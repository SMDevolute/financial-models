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ver" sheetId="1" state="visible" r:id="rId1"/>
    <sheet name="How to read me" sheetId="2" state="visible" r:id="rId2"/>
    <sheet name="Assumptions" sheetId="3" state="visible" r:id="rId3"/>
    <sheet name="Financial Statements" sheetId="4" state="visible" r:id="rId4"/>
    <sheet name="Revenue Forecast" sheetId="5" state="visible" r:id="rId5"/>
    <sheet name="COGS" sheetId="6" state="visible" r:id="rId6"/>
    <sheet name="OPEX" sheetId="7" state="visible" r:id="rId7"/>
    <sheet name="Personnel" sheetId="8" state="visible" r:id="rId8"/>
    <sheet name="Dasboard (FOR PITCHDECK)" sheetId="9" state="hidden" r:id="rId9"/>
    <sheet name="Dashboard" sheetId="10" state="visible" r:id="rId10"/>
  </sheets>
  <definedNames/>
  <calcPr calcId="124519" fullCalcOnLoad="1"/>
</workbook>
</file>

<file path=xl/styles.xml><?xml version="1.0" encoding="utf-8"?>
<styleSheet xmlns="http://schemas.openxmlformats.org/spreadsheetml/2006/main">
  <numFmts count="15">
    <numFmt numFmtId="164" formatCode="0%;\(0%\);\-"/>
    <numFmt numFmtId="165" formatCode="0.0%"/>
    <numFmt numFmtId="166" formatCode="mmm&quot; &quot;yyyy"/>
    <numFmt numFmtId="167" formatCode="#,##0;\(#,##0\);\-"/>
    <numFmt numFmtId="168" formatCode="0.00\x"/>
    <numFmt numFmtId="169" formatCode="&quot;€&quot;#,##0"/>
    <numFmt numFmtId="170" formatCode="[$€]#,##0"/>
    <numFmt numFmtId="171" formatCode="\€#,##0.00;&quot;(€&quot;#,##0.00\);\-"/>
    <numFmt numFmtId="172" formatCode="&quot;€&quot;#,##0.00"/>
    <numFmt numFmtId="173" formatCode="\€#,##0;&quot;(€&quot;#,##0\);\-"/>
    <numFmt numFmtId="174" formatCode="[$€]#,##0.00"/>
    <numFmt numFmtId="175" formatCode="mmm&quot;-&quot;yy"/>
    <numFmt numFmtId="176" formatCode="mmm\-yy"/>
    <numFmt numFmtId="177" formatCode="mm/dd/yyyy"/>
    <numFmt numFmtId="178" formatCode="0;0;\-"/>
  </numFmts>
  <fonts count="40">
    <font>
      <name val="Calibri"/>
      <color theme="1"/>
      <sz val="11"/>
      <scheme val="minor"/>
    </font>
    <font>
      <name val="Geist"/>
      <color theme="1"/>
      <sz val="11"/>
    </font>
    <font>
      <name val="Geist"/>
      <color theme="1"/>
      <sz val="10"/>
    </font>
    <font>
      <name val="Calibri"/>
      <color theme="1"/>
      <sz val="11"/>
    </font>
    <font>
      <name val="Geist"/>
      <b val="1"/>
      <color rgb="FFFFFFFF"/>
      <sz val="11"/>
    </font>
    <font>
      <name val="Geist"/>
      <b val="1"/>
      <color rgb="FF000000"/>
      <sz val="10"/>
    </font>
    <font>
      <name val="Geist"/>
      <b val="1"/>
      <color rgb="FFFFFFFF"/>
      <sz val="10"/>
    </font>
    <font>
      <name val="Geist"/>
      <i val="1"/>
      <color rgb="FFFFFFFF"/>
      <sz val="10"/>
    </font>
    <font>
      <name val="Geist"/>
      <b val="1"/>
      <color rgb="FF000000"/>
      <sz val="11"/>
    </font>
    <font>
      <name val="Geist"/>
      <color rgb="FFFFFFFF"/>
      <sz val="10"/>
    </font>
    <font>
      <name val="Geist"/>
      <color rgb="FF000000"/>
      <sz val="11"/>
    </font>
    <font>
      <name val="Calibri"/>
      <color theme="1"/>
    </font>
    <font>
      <name val="Geist"/>
      <b val="1"/>
      <color rgb="FF0000FF"/>
      <sz val="11"/>
    </font>
    <font>
      <name val="Arial"/>
      <i val="1"/>
      <color rgb="FF999999"/>
      <sz val="9"/>
    </font>
    <font/>
    <font>
      <name val="Geist"/>
      <b val="1"/>
      <color rgb="FF999999"/>
      <sz val="11"/>
    </font>
    <font>
      <name val="Geist"/>
      <b val="1"/>
      <color rgb="FFCCCCCC"/>
      <sz val="11"/>
    </font>
    <font>
      <name val="Geist"/>
      <color rgb="FF0000FF"/>
      <sz val="10"/>
    </font>
    <font>
      <name val="Geist"/>
      <color rgb="FF000000"/>
      <sz val="10"/>
    </font>
    <font>
      <name val="Arial"/>
      <b val="1"/>
      <color rgb="FFFFFFFF"/>
      <sz val="20"/>
    </font>
    <font>
      <name val="Arial"/>
      <color rgb="FFFFFFFF"/>
      <sz val="12"/>
    </font>
    <font>
      <name val="Geist"/>
      <color rgb="FF999999"/>
      <sz val="11"/>
    </font>
    <font>
      <name val="Arial"/>
      <color rgb="FFFFFFFF"/>
      <sz val="9"/>
    </font>
    <font>
      <name val="Arial"/>
      <b val="1"/>
      <color rgb="FFFF0000"/>
      <sz val="10"/>
    </font>
    <font>
      <name val="Calibri"/>
      <b val="1"/>
      <color theme="1"/>
      <scheme val="minor"/>
    </font>
    <font>
      <name val="Geist"/>
      <color rgb="FF595959"/>
      <sz val="10"/>
    </font>
    <font>
      <name val="Geist"/>
      <b val="1"/>
      <color rgb="FF0000FF"/>
      <sz val="10"/>
    </font>
    <font>
      <name val="Geist"/>
      <b val="1"/>
      <color theme="1"/>
      <sz val="10"/>
    </font>
    <font>
      <name val="Geist"/>
      <i val="1"/>
      <color rgb="FF000000"/>
      <sz val="10"/>
    </font>
    <font>
      <name val="Geist"/>
      <color rgb="FF999999"/>
      <sz val="10"/>
    </font>
    <font>
      <name val="Geist"/>
      <color rgb="FFCCCCCC"/>
      <sz val="10"/>
    </font>
    <font>
      <name val="Geist"/>
      <b val="1"/>
      <color theme="1"/>
    </font>
    <font>
      <name val="Geist"/>
      <i val="1"/>
      <color theme="1"/>
      <sz val="10"/>
    </font>
    <font>
      <name val="Geist"/>
      <i val="1"/>
      <color rgb="FF0000FF"/>
      <sz val="10"/>
    </font>
    <font>
      <name val="Geist"/>
      <i val="1"/>
      <color rgb="FFCCCCCC"/>
      <sz val="10"/>
    </font>
    <font>
      <name val="Geist"/>
      <color rgb="FF008000"/>
      <sz val="10"/>
    </font>
    <font>
      <name val="Geist"/>
      <i val="1"/>
      <color rgb="FF999999"/>
      <sz val="10"/>
    </font>
    <font>
      <name val="Geist"/>
      <b val="1"/>
      <color rgb="FF999999"/>
      <sz val="10"/>
    </font>
    <font>
      <name val="Geist"/>
      <i val="1"/>
      <color rgb="FF2E75B6"/>
      <sz val="10"/>
    </font>
    <font>
      <name val="Geist"/>
      <b val="1"/>
      <i val="1"/>
      <color theme="1"/>
      <sz val="10"/>
    </font>
  </fonts>
  <fills count="14">
    <fill>
      <patternFill/>
    </fill>
    <fill>
      <patternFill patternType="lightGray"/>
    </fill>
    <fill>
      <patternFill patternType="solid">
        <fgColor rgb="FF233145"/>
        <bgColor rgb="FF233145"/>
      </patternFill>
    </fill>
    <fill>
      <patternFill patternType="solid">
        <fgColor rgb="FF000000"/>
        <bgColor rgb="FF000000"/>
      </patternFill>
    </fill>
    <fill>
      <patternFill patternType="solid">
        <fgColor rgb="FFFFFFFF"/>
        <bgColor rgb="FFFFFFFF"/>
      </patternFill>
    </fill>
    <fill>
      <patternFill patternType="solid">
        <fgColor rgb="FFFFF2CC"/>
        <bgColor rgb="FFFFF2CC"/>
      </patternFill>
    </fill>
    <fill>
      <patternFill patternType="solid">
        <fgColor rgb="FFF3F3F3"/>
        <bgColor rgb="FFF3F3F3"/>
      </patternFill>
    </fill>
    <fill>
      <patternFill patternType="solid">
        <fgColor rgb="FFEFEFEF"/>
        <bgColor rgb="FFEFEFEF"/>
      </patternFill>
    </fill>
    <fill>
      <patternFill patternType="solid">
        <fgColor rgb="FFFFFF00"/>
        <bgColor rgb="FFFFFF00"/>
      </patternFill>
    </fill>
    <fill>
      <patternFill patternType="solid">
        <fgColor theme="1"/>
        <bgColor theme="1"/>
      </patternFill>
    </fill>
    <fill>
      <patternFill patternType="solid">
        <fgColor rgb="FFFFE599"/>
        <bgColor rgb="FFFFE599"/>
      </patternFill>
    </fill>
    <fill>
      <patternFill patternType="solid">
        <fgColor theme="0"/>
        <bgColor theme="0"/>
      </patternFill>
    </fill>
    <fill>
      <patternFill patternType="solid">
        <fgColor rgb="FFFF0000"/>
        <bgColor rgb="FFFF0000"/>
      </patternFill>
    </fill>
    <fill>
      <patternFill patternType="solid">
        <fgColor rgb="FF3A5068"/>
        <bgColor rgb="FF3A5068"/>
      </patternFill>
    </fill>
  </fills>
  <borders count="22">
    <border/>
    <border>
      <left/>
      <right/>
      <top/>
      <bottom/>
    </border>
    <border>
      <left/>
      <top/>
      <bottom/>
    </border>
    <border>
      <right/>
      <top/>
      <bottom/>
    </border>
    <border>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top style="thin">
        <color rgb="FFB7B7B7"/>
      </top>
      <bottom style="thin">
        <color rgb="FFB7B7B7"/>
      </bottom>
    </border>
    <border>
      <bottom style="thin">
        <color rgb="FFB7B7B7"/>
      </bottom>
    </border>
    <border>
      <left style="thin">
        <color rgb="FFFF0000"/>
      </left>
      <top style="thin">
        <color rgb="FFFF0000"/>
      </top>
      <bottom style="thin">
        <color rgb="FFFF0000"/>
      </bottom>
    </border>
    <border>
      <top style="thin">
        <color rgb="FFFF0000"/>
      </top>
      <bottom style="thin">
        <color rgb="FFFF0000"/>
      </bottom>
    </border>
    <border>
      <right style="thin">
        <color rgb="FFFF0000"/>
      </right>
      <top style="thin">
        <color rgb="FFFF0000"/>
      </top>
      <bottom style="thin">
        <color rgb="FFFF0000"/>
      </bottom>
    </border>
    <border>
      <left/>
      <right/>
      <top/>
    </border>
    <border>
      <left/>
      <right/>
      <top/>
      <bottom style="thin">
        <color rgb="FF000000"/>
      </bottom>
    </border>
    <border>
      <left style="thin">
        <color rgb="FFFF0000"/>
      </left>
      <right style="thin">
        <color rgb="FFFF0000"/>
      </right>
      <top style="thin">
        <color rgb="FFFF0000"/>
      </top>
      <bottom style="thin">
        <color rgb="FFFF0000"/>
      </bottom>
    </border>
    <border>
      <top style="thin">
        <color rgb="FFFF0000"/>
      </top>
    </border>
    <border>
      <right style="thin">
        <color rgb="FFFF0000"/>
      </right>
      <top style="thin">
        <color rgb="FFFF0000"/>
      </top>
    </border>
  </borders>
  <cellStyleXfs count="1">
    <xf numFmtId="0" fontId="0" fillId="0" borderId="0"/>
  </cellStyleXfs>
  <cellXfs count="354">
    <xf numFmtId="0" fontId="0" fillId="0" borderId="0" applyAlignment="1" pivotButton="0" quotePrefix="0" xfId="0">
      <alignment vertical="bottom"/>
    </xf>
    <xf numFmtId="0" fontId="1" fillId="2" borderId="1" pivotButton="0" quotePrefix="0" xfId="0"/>
    <xf numFmtId="0" fontId="2" fillId="3" borderId="0" applyAlignment="1" pivotButton="0" quotePrefix="0" xfId="0">
      <alignment vertical="bottom"/>
    </xf>
    <xf numFmtId="0" fontId="3" fillId="3" borderId="1" pivotButton="0" quotePrefix="0" xfId="0"/>
    <xf numFmtId="0" fontId="4" fillId="2" borderId="1" pivotButton="0" quotePrefix="0" xfId="0"/>
    <xf numFmtId="0" fontId="5" fillId="3" borderId="0" pivotButton="0" quotePrefix="0" xfId="0"/>
    <xf numFmtId="0" fontId="1" fillId="0" borderId="0" pivotButton="0" quotePrefix="0" xfId="0"/>
    <xf numFmtId="0" fontId="2" fillId="4" borderId="1" pivotButton="0" quotePrefix="1" xfId="0"/>
    <xf numFmtId="0" fontId="6" fillId="3" borderId="1" applyAlignment="1" pivotButton="0" quotePrefix="0" xfId="0">
      <alignment horizontal="left" vertical="center"/>
    </xf>
    <xf numFmtId="0" fontId="2" fillId="3" borderId="1" pivotButton="0" quotePrefix="0" xfId="0"/>
    <xf numFmtId="0" fontId="7" fillId="3" borderId="1" pivotButton="0" quotePrefix="0" xfId="0"/>
    <xf numFmtId="0" fontId="6" fillId="3" borderId="0" pivotButton="0" quotePrefix="0" xfId="0"/>
    <xf numFmtId="0" fontId="8" fillId="0" borderId="0" pivotButton="0" quotePrefix="0" xfId="0"/>
    <xf numFmtId="0" fontId="9" fillId="3" borderId="1" pivotButton="0" quotePrefix="0" xfId="0"/>
    <xf numFmtId="0" fontId="8" fillId="5" borderId="1" pivotButton="0" quotePrefix="0" xfId="0"/>
    <xf numFmtId="0" fontId="10" fillId="0" borderId="0" pivotButton="0" quotePrefix="0" xfId="0"/>
    <xf numFmtId="0" fontId="11" fillId="3" borderId="0" pivotButton="0" quotePrefix="0" xfId="0"/>
    <xf numFmtId="0" fontId="9" fillId="3" borderId="2" pivotButton="0" quotePrefix="0" xfId="0"/>
    <xf numFmtId="0" fontId="9" fillId="3" borderId="0" pivotButton="0" quotePrefix="0" xfId="0"/>
    <xf numFmtId="0" fontId="9" fillId="3" borderId="3" pivotButton="0" quotePrefix="0" xfId="0"/>
    <xf numFmtId="0" fontId="12" fillId="0" borderId="0" pivotButton="0" quotePrefix="0" xfId="0"/>
    <xf numFmtId="49" fontId="13" fillId="3" borderId="0" applyAlignment="1" pivotButton="0" quotePrefix="0" xfId="0">
      <alignment horizontal="left" vertical="center"/>
    </xf>
    <xf numFmtId="0" fontId="2" fillId="0" borderId="0" applyAlignment="1" pivotButton="0" quotePrefix="0" xfId="0">
      <alignment vertical="bottom"/>
    </xf>
    <xf numFmtId="0" fontId="2" fillId="4" borderId="0" applyAlignment="1" pivotButton="0" quotePrefix="0" xfId="0">
      <alignment vertical="bottom"/>
    </xf>
    <xf numFmtId="0" fontId="8" fillId="6" borderId="1" pivotButton="0" quotePrefix="0" xfId="0"/>
    <xf numFmtId="49" fontId="13" fillId="4" borderId="0" applyAlignment="1" pivotButton="0" quotePrefix="0" xfId="0">
      <alignment horizontal="left" vertical="center"/>
    </xf>
    <xf numFmtId="0" fontId="6" fillId="3" borderId="2" pivotButton="0" quotePrefix="0" xfId="0"/>
    <xf numFmtId="0" fontId="14" fillId="0" borderId="4" pivotButton="0" quotePrefix="0" xfId="0"/>
    <xf numFmtId="0" fontId="8" fillId="7" borderId="1" pivotButton="0" quotePrefix="0" xfId="0"/>
    <xf numFmtId="0" fontId="6" fillId="4" borderId="2" pivotButton="0" quotePrefix="0" xfId="0"/>
    <xf numFmtId="0" fontId="15" fillId="0" borderId="0" pivotButton="0" quotePrefix="0" xfId="0"/>
    <xf numFmtId="0" fontId="2" fillId="4" borderId="0" pivotButton="0" quotePrefix="0" xfId="0"/>
    <xf numFmtId="0" fontId="2" fillId="0" borderId="0" pivotButton="0" quotePrefix="0" xfId="0"/>
    <xf numFmtId="0" fontId="16" fillId="0" borderId="0" pivotButton="0" quotePrefix="0" xfId="0"/>
    <xf numFmtId="3" fontId="17" fillId="0" borderId="0" applyAlignment="1" pivotButton="0" quotePrefix="0" xfId="0">
      <alignment horizontal="right" vertical="bottom"/>
    </xf>
    <xf numFmtId="0" fontId="9" fillId="4" borderId="0" pivotButton="0" quotePrefix="0" xfId="0"/>
    <xf numFmtId="0" fontId="2" fillId="4" borderId="1" applyAlignment="1" pivotButton="0" quotePrefix="0" xfId="0">
      <alignment horizontal="right"/>
    </xf>
    <xf numFmtId="0" fontId="2" fillId="3" borderId="1" applyAlignment="1" pivotButton="0" quotePrefix="0" xfId="0">
      <alignment horizontal="right"/>
    </xf>
    <xf numFmtId="0" fontId="6" fillId="3" borderId="1" applyAlignment="1" pivotButton="0" quotePrefix="0" xfId="0">
      <alignment horizontal="right" vertical="center"/>
    </xf>
    <xf numFmtId="9" fontId="18" fillId="5" borderId="0" applyAlignment="1" pivotButton="0" quotePrefix="0" xfId="0">
      <alignment horizontal="right" vertical="bottom"/>
    </xf>
    <xf numFmtId="49" fontId="13" fillId="4" borderId="0" applyAlignment="1" pivotButton="0" quotePrefix="0" xfId="0">
      <alignment horizontal="left" vertical="center"/>
    </xf>
    <xf numFmtId="0" fontId="19" fillId="3" borderId="1" pivotButton="0" quotePrefix="0" xfId="0"/>
    <xf numFmtId="0" fontId="6" fillId="3" borderId="2" applyAlignment="1" pivotButton="0" quotePrefix="0" xfId="0">
      <alignment horizontal="right" vertical="center"/>
    </xf>
    <xf numFmtId="0" fontId="18" fillId="5" borderId="0" applyAlignment="1" pivotButton="0" quotePrefix="0" xfId="0">
      <alignment vertical="bottom"/>
    </xf>
    <xf numFmtId="0" fontId="6" fillId="3" borderId="0" applyAlignment="1" pivotButton="0" quotePrefix="0" xfId="0">
      <alignment horizontal="right" vertical="center"/>
    </xf>
    <xf numFmtId="0" fontId="6" fillId="3" borderId="3" applyAlignment="1" pivotButton="0" quotePrefix="0" xfId="0">
      <alignment horizontal="right" vertical="center"/>
    </xf>
    <xf numFmtId="164" fontId="18" fillId="5" borderId="0" applyAlignment="1" pivotButton="0" quotePrefix="0" xfId="0">
      <alignment horizontal="right" vertical="bottom"/>
    </xf>
    <xf numFmtId="0" fontId="20" fillId="3" borderId="1" pivotButton="0" quotePrefix="0" xfId="0"/>
    <xf numFmtId="0" fontId="9" fillId="3" borderId="1" applyAlignment="1" pivotButton="0" quotePrefix="0" xfId="0">
      <alignment horizontal="right" vertical="center"/>
    </xf>
    <xf numFmtId="0" fontId="21" fillId="0" borderId="0" pivotButton="0" quotePrefix="0" xfId="0"/>
    <xf numFmtId="165" fontId="18" fillId="5" borderId="0" applyAlignment="1" pivotButton="0" quotePrefix="0" xfId="0">
      <alignment horizontal="right" vertical="bottom"/>
    </xf>
    <xf numFmtId="0" fontId="9" fillId="3" borderId="2" applyAlignment="1" pivotButton="0" quotePrefix="0" xfId="0">
      <alignment horizontal="right" vertical="center"/>
    </xf>
    <xf numFmtId="0" fontId="2" fillId="4" borderId="0" applyAlignment="1" pivotButton="0" quotePrefix="0" xfId="0">
      <alignment horizontal="right" vertical="center"/>
    </xf>
    <xf numFmtId="0" fontId="9" fillId="4" borderId="0" applyAlignment="1" pivotButton="0" quotePrefix="0" xfId="0">
      <alignment horizontal="right" vertical="center"/>
    </xf>
    <xf numFmtId="0" fontId="22" fillId="3" borderId="1" pivotButton="0" quotePrefix="0" xfId="0"/>
    <xf numFmtId="166" fontId="9" fillId="3" borderId="1" applyAlignment="1" pivotButton="0" quotePrefix="0" xfId="0">
      <alignment horizontal="right" vertical="center"/>
    </xf>
    <xf numFmtId="0" fontId="6" fillId="0" borderId="0" applyAlignment="1" pivotButton="0" quotePrefix="0" xfId="0">
      <alignment horizontal="left" vertical="center"/>
    </xf>
    <xf numFmtId="0" fontId="6" fillId="4" borderId="0" pivotButton="0" quotePrefix="0" xfId="0"/>
    <xf numFmtId="0" fontId="1" fillId="0" borderId="0" applyAlignment="1" pivotButton="0" quotePrefix="0" xfId="0">
      <alignment vertical="top" wrapText="1"/>
    </xf>
    <xf numFmtId="3" fontId="18" fillId="4" borderId="1" applyAlignment="1" pivotButton="0" quotePrefix="0" xfId="0">
      <alignment horizontal="right" vertical="center"/>
    </xf>
    <xf numFmtId="0" fontId="23" fillId="3" borderId="1" pivotButton="0" quotePrefix="0" xfId="0"/>
    <xf numFmtId="49" fontId="13" fillId="4" borderId="1" applyAlignment="1" pivotButton="0" quotePrefix="0" xfId="0">
      <alignment horizontal="left" vertical="center"/>
    </xf>
    <xf numFmtId="0" fontId="1" fillId="0" borderId="0" applyAlignment="1" pivotButton="0" quotePrefix="0" xfId="0">
      <alignment vertical="top" wrapText="1"/>
    </xf>
    <xf numFmtId="0" fontId="18" fillId="0" borderId="0" applyAlignment="1" pivotButton="0" quotePrefix="0" xfId="0">
      <alignment horizontal="left" vertical="center"/>
    </xf>
    <xf numFmtId="167" fontId="18" fillId="5" borderId="0" pivotButton="0" quotePrefix="0" xfId="0"/>
    <xf numFmtId="0" fontId="6" fillId="3" borderId="1" applyAlignment="1" pivotButton="0" quotePrefix="0" xfId="0">
      <alignment horizontal="right"/>
    </xf>
    <xf numFmtId="3" fontId="18" fillId="4" borderId="0" pivotButton="0" quotePrefix="0" xfId="0"/>
    <xf numFmtId="0" fontId="6" fillId="4" borderId="0" applyAlignment="1" pivotButton="0" quotePrefix="0" xfId="0">
      <alignment horizontal="right"/>
    </xf>
    <xf numFmtId="3" fontId="2" fillId="4" borderId="0" pivotButton="0" quotePrefix="0" xfId="0"/>
    <xf numFmtId="3" fontId="2" fillId="0" borderId="0" pivotButton="0" quotePrefix="0" xfId="0"/>
    <xf numFmtId="0" fontId="1" fillId="0" borderId="0" applyAlignment="1" pivotButton="0" quotePrefix="0" xfId="0">
      <alignment wrapText="1"/>
    </xf>
    <xf numFmtId="0" fontId="24" fillId="0" borderId="0" pivotButton="0" quotePrefix="0" xfId="0"/>
    <xf numFmtId="3" fontId="18" fillId="0" borderId="0" pivotButton="0" quotePrefix="0" xfId="0"/>
    <xf numFmtId="3" fontId="5" fillId="0" borderId="0" applyAlignment="1" pivotButton="0" quotePrefix="0" xfId="0">
      <alignment horizontal="left" vertical="center"/>
    </xf>
    <xf numFmtId="0" fontId="1" fillId="0" borderId="0" pivotButton="0" quotePrefix="0" xfId="0"/>
    <xf numFmtId="9" fontId="18" fillId="5" borderId="0" pivotButton="0" quotePrefix="0" xfId="0"/>
    <xf numFmtId="49" fontId="13" fillId="0" borderId="0" applyAlignment="1" pivotButton="0" quotePrefix="0" xfId="0">
      <alignment horizontal="left" vertical="center"/>
    </xf>
    <xf numFmtId="3" fontId="2" fillId="4" borderId="1" pivotButton="0" quotePrefix="0" xfId="0"/>
    <xf numFmtId="0" fontId="2" fillId="3" borderId="0" pivotButton="0" quotePrefix="0" xfId="0"/>
    <xf numFmtId="3" fontId="5" fillId="7" borderId="1" pivotButton="0" quotePrefix="0" xfId="0"/>
    <xf numFmtId="3" fontId="2" fillId="7" borderId="1" pivotButton="0" quotePrefix="0" xfId="0"/>
    <xf numFmtId="0" fontId="5" fillId="6" borderId="0" applyAlignment="1" pivotButton="0" quotePrefix="0" xfId="0">
      <alignment horizontal="left" vertical="center"/>
    </xf>
    <xf numFmtId="0" fontId="5" fillId="6" borderId="0" applyAlignment="1" pivotButton="0" quotePrefix="0" xfId="0">
      <alignment horizontal="right" vertical="center"/>
    </xf>
    <xf numFmtId="49" fontId="13" fillId="0" borderId="0" applyAlignment="1" pivotButton="0" quotePrefix="0" xfId="0">
      <alignment horizontal="left" vertical="center"/>
    </xf>
    <xf numFmtId="3" fontId="2" fillId="7" borderId="2" pivotButton="0" quotePrefix="0" xfId="0"/>
    <xf numFmtId="3" fontId="2" fillId="7" borderId="0" pivotButton="0" quotePrefix="0" xfId="0"/>
    <xf numFmtId="3" fontId="2" fillId="7" borderId="3" pivotButton="0" quotePrefix="0" xfId="0"/>
    <xf numFmtId="3" fontId="18" fillId="5" borderId="0" pivotButton="0" quotePrefix="0" xfId="0"/>
    <xf numFmtId="9" fontId="11" fillId="0" borderId="0" pivotButton="0" quotePrefix="0" xfId="0"/>
    <xf numFmtId="0" fontId="18" fillId="0" borderId="0" pivotButton="0" quotePrefix="0" xfId="0"/>
    <xf numFmtId="0" fontId="25" fillId="4" borderId="0" pivotButton="0" quotePrefix="0" xfId="0"/>
    <xf numFmtId="168" fontId="26" fillId="4" borderId="0" applyAlignment="1" pivotButton="0" quotePrefix="0" xfId="0">
      <alignment horizontal="center"/>
    </xf>
    <xf numFmtId="0" fontId="18" fillId="4" borderId="0" pivotButton="0" quotePrefix="0" xfId="0"/>
    <xf numFmtId="0" fontId="5" fillId="0" borderId="0" applyAlignment="1" pivotButton="0" quotePrefix="0" xfId="0">
      <alignment horizontal="left" vertical="bottom"/>
    </xf>
    <xf numFmtId="169" fontId="18" fillId="5" borderId="0" pivotButton="0" quotePrefix="0" xfId="0"/>
    <xf numFmtId="0" fontId="9" fillId="3" borderId="1" applyAlignment="1" pivotButton="0" quotePrefix="0" xfId="0">
      <alignment horizontal="right"/>
    </xf>
    <xf numFmtId="170" fontId="18" fillId="0" borderId="0" pivotButton="0" quotePrefix="0" xfId="0"/>
    <xf numFmtId="169" fontId="18" fillId="5" borderId="0" pivotButton="0" quotePrefix="0" xfId="0"/>
    <xf numFmtId="0" fontId="2" fillId="0" borderId="0" applyAlignment="1" pivotButton="0" quotePrefix="0" xfId="0">
      <alignment horizontal="right" vertical="center"/>
    </xf>
    <xf numFmtId="169" fontId="18" fillId="0" borderId="0" pivotButton="0" quotePrefix="0" xfId="0"/>
    <xf numFmtId="0" fontId="6" fillId="4" borderId="0" applyAlignment="1" pivotButton="0" quotePrefix="0" xfId="0">
      <alignment horizontal="right" vertical="center"/>
    </xf>
    <xf numFmtId="0" fontId="5" fillId="0" borderId="0" applyAlignment="1" pivotButton="0" quotePrefix="0" xfId="0">
      <alignment horizontal="left" vertical="center"/>
    </xf>
    <xf numFmtId="3" fontId="9" fillId="0" borderId="0" pivotButton="0" quotePrefix="0" xfId="0"/>
    <xf numFmtId="0" fontId="6" fillId="2" borderId="2" pivotButton="0" quotePrefix="0" xfId="0"/>
    <xf numFmtId="0" fontId="2" fillId="7" borderId="1" pivotButton="0" quotePrefix="0" xfId="0"/>
    <xf numFmtId="0" fontId="27" fillId="7" borderId="1" pivotButton="0" quotePrefix="0" xfId="0"/>
    <xf numFmtId="171" fontId="18" fillId="4" borderId="0" applyAlignment="1" pivotButton="0" quotePrefix="0" xfId="0">
      <alignment horizontal="center" vertical="bottom"/>
    </xf>
    <xf numFmtId="0" fontId="27" fillId="0" borderId="0" pivotButton="0" quotePrefix="0" xfId="0"/>
    <xf numFmtId="3" fontId="28" fillId="0" borderId="0" pivotButton="0" quotePrefix="0" xfId="0"/>
    <xf numFmtId="0" fontId="5" fillId="4" borderId="0" pivotButton="0" quotePrefix="0" xfId="0"/>
    <xf numFmtId="0" fontId="5" fillId="4" borderId="0" applyAlignment="1" pivotButton="0" quotePrefix="0" xfId="0">
      <alignment horizontal="left" vertical="bottom"/>
    </xf>
    <xf numFmtId="171" fontId="5" fillId="4" borderId="0" applyAlignment="1" pivotButton="0" quotePrefix="0" xfId="0">
      <alignment horizontal="left" vertical="bottom"/>
    </xf>
    <xf numFmtId="171" fontId="5" fillId="4" borderId="0" applyAlignment="1" pivotButton="0" quotePrefix="0" xfId="0">
      <alignment horizontal="center" vertical="bottom"/>
    </xf>
    <xf numFmtId="0" fontId="18" fillId="4" borderId="0" applyAlignment="1" pivotButton="0" quotePrefix="0" xfId="0">
      <alignment horizontal="left" vertical="bottom"/>
    </xf>
    <xf numFmtId="171" fontId="18" fillId="4" borderId="0" applyAlignment="1" pivotButton="0" quotePrefix="0" xfId="0">
      <alignment horizontal="left" vertical="bottom"/>
    </xf>
    <xf numFmtId="169" fontId="18" fillId="4" borderId="0" applyAlignment="1" pivotButton="0" quotePrefix="0" xfId="0">
      <alignment horizontal="right" vertical="bottom"/>
    </xf>
    <xf numFmtId="0" fontId="5" fillId="4" borderId="0" applyAlignment="1" pivotButton="0" quotePrefix="0" xfId="0">
      <alignment horizontal="left" vertical="center"/>
    </xf>
    <xf numFmtId="0" fontId="5" fillId="4" borderId="0" applyAlignment="1" pivotButton="0" quotePrefix="0" xfId="0">
      <alignment horizontal="left"/>
    </xf>
    <xf numFmtId="169" fontId="5" fillId="4" borderId="0" pivotButton="0" quotePrefix="0" xfId="0"/>
    <xf numFmtId="0" fontId="18" fillId="4" borderId="0" applyAlignment="1" pivotButton="0" quotePrefix="0" xfId="0">
      <alignment horizontal="center" vertical="bottom"/>
    </xf>
    <xf numFmtId="172" fontId="18" fillId="5" borderId="0" pivotButton="0" quotePrefix="0" xfId="0"/>
    <xf numFmtId="172" fontId="18" fillId="4" borderId="0" applyAlignment="1" pivotButton="0" quotePrefix="0" xfId="0">
      <alignment vertical="bottom"/>
    </xf>
    <xf numFmtId="0" fontId="18" fillId="4" borderId="0" applyAlignment="1" pivotButton="0" quotePrefix="0" xfId="0">
      <alignment vertical="bottom"/>
    </xf>
    <xf numFmtId="171" fontId="18" fillId="4" borderId="0" applyAlignment="1" pivotButton="0" quotePrefix="0" xfId="0">
      <alignment horizontal="right" vertical="bottom"/>
    </xf>
    <xf numFmtId="3" fontId="18" fillId="0" borderId="0" applyAlignment="1" pivotButton="0" quotePrefix="0" xfId="0">
      <alignment horizontal="center"/>
    </xf>
    <xf numFmtId="3" fontId="9" fillId="4" borderId="1" pivotButton="0" quotePrefix="0" xfId="0"/>
    <xf numFmtId="3" fontId="6" fillId="3" borderId="1" pivotButton="0" quotePrefix="0" xfId="0"/>
    <xf numFmtId="3" fontId="9" fillId="3" borderId="1" pivotButton="0" quotePrefix="0" xfId="0"/>
    <xf numFmtId="3" fontId="28" fillId="8" borderId="0" pivotButton="0" quotePrefix="0" xfId="0"/>
    <xf numFmtId="171" fontId="5" fillId="0" borderId="0" applyAlignment="1" pivotButton="0" quotePrefix="0" xfId="0">
      <alignment horizontal="right"/>
    </xf>
    <xf numFmtId="171" fontId="5" fillId="4" borderId="0" applyAlignment="1" pivotButton="0" quotePrefix="0" xfId="0">
      <alignment horizontal="right"/>
    </xf>
    <xf numFmtId="0" fontId="18" fillId="4" borderId="0" applyAlignment="1" pivotButton="0" quotePrefix="0" xfId="0">
      <alignment horizontal="right" vertical="bottom"/>
    </xf>
    <xf numFmtId="0" fontId="18" fillId="0" borderId="0" applyAlignment="1" pivotButton="0" quotePrefix="0" xfId="0">
      <alignment horizontal="center"/>
    </xf>
    <xf numFmtId="3" fontId="9" fillId="4" borderId="0" pivotButton="0" quotePrefix="0" xfId="0"/>
    <xf numFmtId="3" fontId="6" fillId="3" borderId="2" pivotButton="0" quotePrefix="0" xfId="0"/>
    <xf numFmtId="167" fontId="18" fillId="4" borderId="0" applyAlignment="1" pivotButton="0" quotePrefix="0" xfId="0">
      <alignment horizontal="center"/>
    </xf>
    <xf numFmtId="173" fontId="18" fillId="4" borderId="0" applyAlignment="1" pivotButton="0" quotePrefix="0" xfId="0">
      <alignment horizontal="right" vertical="bottom"/>
    </xf>
    <xf numFmtId="3" fontId="6" fillId="4" borderId="0" pivotButton="0" quotePrefix="0" xfId="0"/>
    <xf numFmtId="3" fontId="29" fillId="0" borderId="0" pivotButton="0" quotePrefix="0" xfId="0"/>
    <xf numFmtId="167" fontId="18" fillId="4" borderId="0" applyAlignment="1" pivotButton="0" quotePrefix="0" xfId="0">
      <alignment horizontal="center"/>
    </xf>
    <xf numFmtId="0" fontId="5" fillId="6" borderId="0" applyAlignment="1" pivotButton="0" quotePrefix="0" xfId="0">
      <alignment horizontal="left" vertical="center"/>
    </xf>
    <xf numFmtId="0" fontId="2" fillId="0" borderId="0" applyAlignment="1" pivotButton="0" quotePrefix="0" xfId="0">
      <alignment horizontal="center"/>
    </xf>
    <xf numFmtId="0" fontId="2" fillId="4" borderId="0" applyAlignment="1" pivotButton="0" quotePrefix="0" xfId="0">
      <alignment horizontal="center"/>
    </xf>
    <xf numFmtId="173" fontId="2" fillId="5" borderId="0" applyAlignment="1" pivotButton="0" quotePrefix="0" xfId="0">
      <alignment horizontal="center"/>
    </xf>
    <xf numFmtId="0" fontId="5" fillId="7" borderId="1" pivotButton="0" quotePrefix="0" xfId="0"/>
    <xf numFmtId="173" fontId="2" fillId="4" borderId="0" applyAlignment="1" pivotButton="0" quotePrefix="0" xfId="0">
      <alignment horizontal="center"/>
    </xf>
    <xf numFmtId="0" fontId="2" fillId="0" borderId="0" applyAlignment="1" pivotButton="0" quotePrefix="0" xfId="0">
      <alignment horizontal="center"/>
    </xf>
    <xf numFmtId="0" fontId="5" fillId="0" borderId="0" pivotButton="0" quotePrefix="0" xfId="0"/>
    <xf numFmtId="0" fontId="27" fillId="0" borderId="0" applyAlignment="1" pivotButton="0" quotePrefix="0" xfId="0">
      <alignment horizontal="center"/>
    </xf>
    <xf numFmtId="173" fontId="27" fillId="4" borderId="0" applyAlignment="1" pivotButton="0" quotePrefix="0" xfId="0">
      <alignment horizontal="center"/>
    </xf>
    <xf numFmtId="0" fontId="27" fillId="4" borderId="0" applyAlignment="1" pivotButton="0" quotePrefix="0" xfId="0">
      <alignment horizontal="center"/>
    </xf>
    <xf numFmtId="0" fontId="27" fillId="4" borderId="0" pivotButton="0" quotePrefix="0" xfId="0"/>
    <xf numFmtId="0" fontId="6" fillId="0" borderId="0" pivotButton="0" quotePrefix="0" xfId="0"/>
    <xf numFmtId="0" fontId="18" fillId="0" borderId="0" applyAlignment="1" pivotButton="0" quotePrefix="0" xfId="0">
      <alignment horizontal="center"/>
    </xf>
    <xf numFmtId="173" fontId="2" fillId="0" borderId="0" pivotButton="0" quotePrefix="0" xfId="0"/>
    <xf numFmtId="0" fontId="18" fillId="4" borderId="0" applyAlignment="1" pivotButton="0" quotePrefix="0" xfId="0">
      <alignment horizontal="center"/>
    </xf>
    <xf numFmtId="3" fontId="27" fillId="0" borderId="0" pivotButton="0" quotePrefix="0" xfId="0"/>
    <xf numFmtId="3" fontId="27" fillId="7" borderId="0" pivotButton="0" quotePrefix="0" xfId="0"/>
    <xf numFmtId="3" fontId="27" fillId="4" borderId="0" pivotButton="0" quotePrefix="0" xfId="0"/>
    <xf numFmtId="3" fontId="11" fillId="0" borderId="0" pivotButton="0" quotePrefix="0" xfId="0"/>
    <xf numFmtId="9" fontId="6" fillId="3" borderId="4" pivotButton="0" quotePrefix="0" xfId="0"/>
    <xf numFmtId="0" fontId="6" fillId="3" borderId="3" pivotButton="0" quotePrefix="0" xfId="0"/>
    <xf numFmtId="0" fontId="6" fillId="4" borderId="3" pivotButton="0" quotePrefix="0" xfId="0"/>
    <xf numFmtId="0" fontId="5" fillId="0" borderId="0" applyAlignment="1" pivotButton="0" quotePrefix="0" xfId="0">
      <alignment horizontal="right"/>
    </xf>
    <xf numFmtId="174" fontId="2" fillId="4" borderId="0" applyAlignment="1" pivotButton="0" quotePrefix="0" xfId="0">
      <alignment horizontal="left" vertical="center"/>
    </xf>
    <xf numFmtId="0" fontId="18" fillId="4" borderId="0" applyAlignment="1" pivotButton="0" quotePrefix="0" xfId="0">
      <alignment horizontal="left" vertical="center"/>
    </xf>
    <xf numFmtId="174" fontId="2" fillId="4" borderId="0" pivotButton="0" quotePrefix="0" xfId="0"/>
    <xf numFmtId="174" fontId="18" fillId="4" borderId="0" applyAlignment="1" pivotButton="0" quotePrefix="0" xfId="0">
      <alignment horizontal="left" vertical="center"/>
    </xf>
    <xf numFmtId="174" fontId="5" fillId="0" borderId="0" applyAlignment="1" pivotButton="0" quotePrefix="0" xfId="0">
      <alignment horizontal="left" vertical="center"/>
    </xf>
    <xf numFmtId="3" fontId="18" fillId="0" borderId="0" applyAlignment="1" pivotButton="0" quotePrefix="0" xfId="0">
      <alignment horizontal="right"/>
    </xf>
    <xf numFmtId="0" fontId="27" fillId="4" borderId="5" applyAlignment="1" pivotButton="0" quotePrefix="0" xfId="0">
      <alignment horizontal="right"/>
    </xf>
    <xf numFmtId="0" fontId="27" fillId="4" borderId="6" pivotButton="0" quotePrefix="0" xfId="0"/>
    <xf numFmtId="0" fontId="27" fillId="4" borderId="7" applyAlignment="1" pivotButton="0" quotePrefix="0" xfId="0">
      <alignment horizontal="right"/>
    </xf>
    <xf numFmtId="3" fontId="18" fillId="5" borderId="0" applyAlignment="1" pivotButton="0" quotePrefix="0" xfId="0">
      <alignment horizontal="right"/>
    </xf>
    <xf numFmtId="0" fontId="2" fillId="5" borderId="8" pivotButton="0" quotePrefix="0" xfId="0"/>
    <xf numFmtId="0" fontId="2" fillId="4" borderId="9" pivotButton="0" quotePrefix="0" xfId="0"/>
    <xf numFmtId="3" fontId="18" fillId="5" borderId="0" applyAlignment="1" pivotButton="0" quotePrefix="0" xfId="0">
      <alignment horizontal="right"/>
    </xf>
    <xf numFmtId="170" fontId="18" fillId="4" borderId="0" applyAlignment="1" pivotButton="0" quotePrefix="0" xfId="0">
      <alignment horizontal="right"/>
    </xf>
    <xf numFmtId="0" fontId="2" fillId="4" borderId="8" pivotButton="0" quotePrefix="0" xfId="0"/>
    <xf numFmtId="1" fontId="2" fillId="4" borderId="0" pivotButton="0" quotePrefix="0" xfId="0"/>
    <xf numFmtId="9" fontId="2" fillId="5" borderId="9" pivotButton="0" quotePrefix="0" xfId="0"/>
    <xf numFmtId="3" fontId="18" fillId="4" borderId="0" applyAlignment="1" pivotButton="0" quotePrefix="0" xfId="0">
      <alignment horizontal="right"/>
    </xf>
    <xf numFmtId="3" fontId="5" fillId="4" borderId="0" applyAlignment="1" pivotButton="0" quotePrefix="0" xfId="0">
      <alignment horizontal="right"/>
    </xf>
    <xf numFmtId="0" fontId="30" fillId="0" borderId="0" applyAlignment="1" pivotButton="0" quotePrefix="0" xfId="0">
      <alignment horizontal="right"/>
    </xf>
    <xf numFmtId="0" fontId="2" fillId="4" borderId="10" pivotButton="0" quotePrefix="0" xfId="0"/>
    <xf numFmtId="1" fontId="2" fillId="4" borderId="11" pivotButton="0" quotePrefix="0" xfId="0"/>
    <xf numFmtId="0" fontId="6" fillId="3" borderId="12" applyAlignment="1" pivotButton="0" quotePrefix="0" xfId="0">
      <alignment horizontal="left"/>
    </xf>
    <xf numFmtId="0" fontId="6" fillId="3" borderId="12" applyAlignment="1" pivotButton="0" quotePrefix="0" xfId="0">
      <alignment horizontal="right"/>
    </xf>
    <xf numFmtId="0" fontId="6" fillId="3" borderId="13" applyAlignment="1" pivotButton="0" quotePrefix="0" xfId="0">
      <alignment horizontal="right"/>
    </xf>
    <xf numFmtId="0" fontId="18" fillId="0" borderId="0" applyAlignment="1" pivotButton="0" quotePrefix="0" xfId="0">
      <alignment/>
    </xf>
    <xf numFmtId="0" fontId="18" fillId="0" borderId="0" applyAlignment="1" pivotButton="0" quotePrefix="0" xfId="0">
      <alignment/>
    </xf>
    <xf numFmtId="9" fontId="18" fillId="5" borderId="0" applyAlignment="1" pivotButton="0" quotePrefix="0" xfId="0">
      <alignment horizontal="right"/>
    </xf>
    <xf numFmtId="170" fontId="18" fillId="5" borderId="0" applyAlignment="1" pivotButton="0" quotePrefix="0" xfId="0">
      <alignment horizontal="right"/>
    </xf>
    <xf numFmtId="170" fontId="5" fillId="0" borderId="0" applyAlignment="1" pivotButton="0" quotePrefix="0" xfId="0">
      <alignment horizontal="right"/>
    </xf>
    <xf numFmtId="170" fontId="2" fillId="0" borderId="0" pivotButton="0" quotePrefix="0" xfId="0"/>
    <xf numFmtId="170" fontId="2" fillId="4" borderId="0" pivotButton="0" quotePrefix="0" xfId="0"/>
    <xf numFmtId="0" fontId="27" fillId="0" borderId="0" applyAlignment="1" pivotButton="0" quotePrefix="0" xfId="0">
      <alignment/>
    </xf>
    <xf numFmtId="0" fontId="18" fillId="0" borderId="0" applyAlignment="1" pivotButton="0" quotePrefix="0" xfId="0">
      <alignment vertical="bottom"/>
    </xf>
    <xf numFmtId="9" fontId="18" fillId="4" borderId="0" applyAlignment="1" pivotButton="0" quotePrefix="0" xfId="0">
      <alignment horizontal="right"/>
    </xf>
    <xf numFmtId="170" fontId="5" fillId="0" borderId="0" applyAlignment="1" pivotButton="0" quotePrefix="0" xfId="0">
      <alignment vertical="bottom"/>
    </xf>
    <xf numFmtId="0" fontId="27" fillId="0" borderId="0" applyAlignment="1" pivotButton="0" quotePrefix="0" xfId="0">
      <alignment/>
    </xf>
    <xf numFmtId="0" fontId="18" fillId="4" borderId="0" applyAlignment="1" pivotButton="0" quotePrefix="0" xfId="0">
      <alignment/>
    </xf>
    <xf numFmtId="170" fontId="5" fillId="4" borderId="0" applyAlignment="1" pivotButton="0" quotePrefix="0" xfId="0">
      <alignment horizontal="right"/>
    </xf>
    <xf numFmtId="3" fontId="5" fillId="0" borderId="0" pivotButton="0" quotePrefix="0" xfId="0"/>
    <xf numFmtId="174" fontId="18" fillId="0" borderId="0" applyAlignment="1" pivotButton="0" quotePrefix="0" xfId="0">
      <alignment vertical="bottom"/>
    </xf>
    <xf numFmtId="3" fontId="5" fillId="4" borderId="0" pivotButton="0" quotePrefix="0" xfId="0"/>
    <xf numFmtId="3" fontId="3" fillId="4" borderId="1" applyAlignment="1" pivotButton="0" quotePrefix="0" xfId="0">
      <alignment vertical="bottom"/>
    </xf>
    <xf numFmtId="3" fontId="31" fillId="7" borderId="1" applyAlignment="1" pivotButton="0" quotePrefix="0" xfId="0">
      <alignment vertical="bottom"/>
    </xf>
    <xf numFmtId="3" fontId="3" fillId="7" borderId="1" applyAlignment="1" pivotButton="0" quotePrefix="0" xfId="0">
      <alignment vertical="bottom"/>
    </xf>
    <xf numFmtId="3" fontId="3" fillId="7" borderId="2" applyAlignment="1" pivotButton="0" quotePrefix="0" xfId="0">
      <alignment vertical="bottom"/>
    </xf>
    <xf numFmtId="3" fontId="3" fillId="7" borderId="0" applyAlignment="1" pivotButton="0" quotePrefix="0" xfId="0">
      <alignment vertical="bottom"/>
    </xf>
    <xf numFmtId="3" fontId="3" fillId="7" borderId="3" applyAlignment="1" pivotButton="0" quotePrefix="0" xfId="0">
      <alignment vertical="bottom"/>
    </xf>
    <xf numFmtId="3" fontId="3" fillId="4" borderId="0" applyAlignment="1" pivotButton="0" quotePrefix="0" xfId="0">
      <alignment vertical="bottom"/>
    </xf>
    <xf numFmtId="0" fontId="6" fillId="3" borderId="1" applyAlignment="1" pivotButton="0" quotePrefix="0" xfId="0">
      <alignment horizontal="center" vertical="center"/>
    </xf>
    <xf numFmtId="0" fontId="6" fillId="3" borderId="1" pivotButton="0" quotePrefix="0" xfId="0"/>
    <xf numFmtId="9" fontId="2" fillId="4" borderId="0" pivotButton="0" quotePrefix="0" xfId="0"/>
    <xf numFmtId="9" fontId="29" fillId="0" borderId="0" pivotButton="0" quotePrefix="0" xfId="0"/>
    <xf numFmtId="9" fontId="2" fillId="0" borderId="0" pivotButton="0" quotePrefix="0" xfId="0"/>
    <xf numFmtId="9" fontId="29" fillId="4" borderId="0" pivotButton="0" quotePrefix="0" xfId="0"/>
    <xf numFmtId="0" fontId="32" fillId="0" borderId="0" pivotButton="0" quotePrefix="0" xfId="0"/>
    <xf numFmtId="0" fontId="28" fillId="0" borderId="0" pivotButton="0" quotePrefix="0" xfId="0"/>
    <xf numFmtId="3" fontId="33" fillId="0" borderId="0" pivotButton="0" quotePrefix="0" xfId="0"/>
    <xf numFmtId="3" fontId="32" fillId="0" borderId="0" pivotButton="0" quotePrefix="0" xfId="0"/>
    <xf numFmtId="0" fontId="29" fillId="0" borderId="0" pivotButton="0" quotePrefix="0" xfId="0"/>
    <xf numFmtId="173" fontId="18" fillId="0" borderId="0" pivotButton="0" quotePrefix="0" xfId="0"/>
    <xf numFmtId="3" fontId="32" fillId="4" borderId="0" pivotButton="0" quotePrefix="0" xfId="0"/>
    <xf numFmtId="3" fontId="2" fillId="4" borderId="0" pivotButton="0" quotePrefix="0" xfId="0"/>
    <xf numFmtId="3" fontId="5" fillId="6" borderId="1" pivotButton="0" quotePrefix="0" xfId="0"/>
    <xf numFmtId="3" fontId="2" fillId="6" borderId="1" pivotButton="0" quotePrefix="0" xfId="0"/>
    <xf numFmtId="3" fontId="27" fillId="6" borderId="1" pivotButton="0" quotePrefix="0" xfId="0"/>
    <xf numFmtId="3" fontId="5" fillId="6" borderId="2" pivotButton="0" quotePrefix="0" xfId="0"/>
    <xf numFmtId="3" fontId="5" fillId="6" borderId="0" pivotButton="0" quotePrefix="0" xfId="0"/>
    <xf numFmtId="3" fontId="5" fillId="6" borderId="3" pivotButton="0" quotePrefix="0" xfId="0"/>
    <xf numFmtId="3" fontId="2" fillId="0" borderId="0" pivotButton="0" quotePrefix="0" xfId="0"/>
    <xf numFmtId="0" fontId="5" fillId="7" borderId="0" pivotButton="0" quotePrefix="0" xfId="0"/>
    <xf numFmtId="0" fontId="27" fillId="7" borderId="0" pivotButton="0" quotePrefix="0" xfId="0"/>
    <xf numFmtId="3" fontId="5" fillId="7" borderId="0" pivotButton="0" quotePrefix="0" xfId="0"/>
    <xf numFmtId="0" fontId="18" fillId="0" borderId="0" pivotButton="0" quotePrefix="0" xfId="0"/>
    <xf numFmtId="10" fontId="2" fillId="4" borderId="0" pivotButton="0" quotePrefix="0" xfId="0"/>
    <xf numFmtId="10" fontId="29" fillId="0" borderId="0" pivotButton="0" quotePrefix="0" xfId="0"/>
    <xf numFmtId="10" fontId="2" fillId="0" borderId="0" pivotButton="0" quotePrefix="0" xfId="0"/>
    <xf numFmtId="3" fontId="18" fillId="0" borderId="0" pivotButton="0" quotePrefix="0" xfId="0"/>
    <xf numFmtId="10" fontId="29" fillId="4" borderId="0" pivotButton="0" quotePrefix="0" xfId="0"/>
    <xf numFmtId="0" fontId="5" fillId="6" borderId="1" pivotButton="0" quotePrefix="0" xfId="0"/>
    <xf numFmtId="0" fontId="27" fillId="6" borderId="1" pivotButton="0" quotePrefix="0" xfId="0"/>
    <xf numFmtId="3" fontId="27" fillId="6" borderId="0" pivotButton="0" quotePrefix="0" xfId="0"/>
    <xf numFmtId="0" fontId="2" fillId="9" borderId="1" pivotButton="0" quotePrefix="0" xfId="0"/>
    <xf numFmtId="0" fontId="6" fillId="9" borderId="1" applyAlignment="1" pivotButton="0" quotePrefix="0" xfId="0">
      <alignment horizontal="left" vertical="center"/>
    </xf>
    <xf numFmtId="3" fontId="6" fillId="9" borderId="1" pivotButton="0" quotePrefix="0" xfId="0"/>
    <xf numFmtId="0" fontId="34" fillId="0" borderId="0" pivotButton="0" quotePrefix="0" xfId="0"/>
    <xf numFmtId="3" fontId="34" fillId="0" borderId="0" pivotButton="0" quotePrefix="0" xfId="0"/>
    <xf numFmtId="3" fontId="17" fillId="0" borderId="0" pivotButton="0" quotePrefix="0" xfId="0"/>
    <xf numFmtId="3" fontId="18" fillId="10" borderId="0" pivotButton="0" quotePrefix="0" xfId="0"/>
    <xf numFmtId="3" fontId="18" fillId="10" borderId="0" pivotButton="0" quotePrefix="0" xfId="0"/>
    <xf numFmtId="0" fontId="2" fillId="4" borderId="1" pivotButton="0" quotePrefix="0" xfId="0"/>
    <xf numFmtId="0" fontId="2" fillId="3" borderId="1" applyAlignment="1" pivotButton="0" quotePrefix="0" xfId="0">
      <alignment horizontal="center"/>
    </xf>
    <xf numFmtId="3" fontId="2" fillId="3" borderId="1" pivotButton="0" quotePrefix="0" xfId="0"/>
    <xf numFmtId="3" fontId="6" fillId="3" borderId="0" pivotButton="0" quotePrefix="0" xfId="0"/>
    <xf numFmtId="3" fontId="18" fillId="10" borderId="1" pivotButton="0" quotePrefix="0" xfId="0"/>
    <xf numFmtId="3" fontId="6" fillId="3" borderId="1" applyAlignment="1" pivotButton="0" quotePrefix="0" xfId="0">
      <alignment horizontal="right" vertical="center"/>
    </xf>
    <xf numFmtId="3" fontId="2" fillId="11" borderId="0" pivotButton="0" quotePrefix="0" xfId="0"/>
    <xf numFmtId="3" fontId="9" fillId="3" borderId="1" applyAlignment="1" pivotButton="0" quotePrefix="0" xfId="0">
      <alignment horizontal="right"/>
    </xf>
    <xf numFmtId="0" fontId="5" fillId="7" borderId="1" applyAlignment="1" pivotButton="0" quotePrefix="0" xfId="0">
      <alignment horizontal="left" vertical="center"/>
    </xf>
    <xf numFmtId="3" fontId="5" fillId="7" borderId="1" applyAlignment="1" pivotButton="0" quotePrefix="0" xfId="0">
      <alignment horizontal="left" vertical="center"/>
    </xf>
    <xf numFmtId="0" fontId="29" fillId="0" borderId="0" applyAlignment="1" pivotButton="0" quotePrefix="0" xfId="0">
      <alignment horizontal="center" vertical="center"/>
    </xf>
    <xf numFmtId="3" fontId="35" fillId="0" borderId="0" applyAlignment="1" pivotButton="0" quotePrefix="0" xfId="0">
      <alignment horizontal="right" vertical="center"/>
    </xf>
    <xf numFmtId="3" fontId="18" fillId="0" borderId="0" applyAlignment="1" pivotButton="0" quotePrefix="0" xfId="0">
      <alignment horizontal="right" vertical="center"/>
    </xf>
    <xf numFmtId="3" fontId="6" fillId="12" borderId="1" pivotButton="0" quotePrefix="0" xfId="0"/>
    <xf numFmtId="3" fontId="9" fillId="0" borderId="0" applyAlignment="1" pivotButton="0" quotePrefix="0" xfId="0">
      <alignment horizontal="right" vertical="center"/>
    </xf>
    <xf numFmtId="167" fontId="35" fillId="0" borderId="0" applyAlignment="1" pivotButton="0" quotePrefix="0" xfId="0">
      <alignment horizontal="right" vertical="center"/>
    </xf>
    <xf numFmtId="167" fontId="6" fillId="3" borderId="1" applyAlignment="1" pivotButton="0" quotePrefix="0" xfId="0">
      <alignment horizontal="right" vertical="center"/>
    </xf>
    <xf numFmtId="0" fontId="2" fillId="7" borderId="0" pivotButton="0" quotePrefix="0" xfId="0"/>
    <xf numFmtId="0" fontId="2" fillId="7" borderId="1" applyAlignment="1" pivotButton="0" quotePrefix="0" xfId="0">
      <alignment horizontal="center"/>
    </xf>
    <xf numFmtId="0" fontId="29" fillId="0" borderId="0" applyAlignment="1" pivotButton="0" quotePrefix="0" xfId="0">
      <alignment horizontal="center"/>
    </xf>
    <xf numFmtId="174" fontId="18" fillId="0" borderId="0" pivotButton="0" quotePrefix="0" xfId="0"/>
    <xf numFmtId="3" fontId="18" fillId="0" borderId="0" applyAlignment="1" pivotButton="0" quotePrefix="0" xfId="0">
      <alignment horizontal="right" vertical="center"/>
    </xf>
    <xf numFmtId="0" fontId="2" fillId="6" borderId="1" pivotButton="0" quotePrefix="0" xfId="0"/>
    <xf numFmtId="0" fontId="2" fillId="6" borderId="1" applyAlignment="1" pivotButton="0" quotePrefix="0" xfId="0">
      <alignment horizontal="center"/>
    </xf>
    <xf numFmtId="173" fontId="5" fillId="6" borderId="1" pivotButton="0" quotePrefix="0" xfId="0"/>
    <xf numFmtId="3" fontId="30" fillId="0" borderId="0" pivotButton="0" quotePrefix="0" xfId="0"/>
    <xf numFmtId="3" fontId="30" fillId="4" borderId="0" pivotButton="0" quotePrefix="0" xfId="0"/>
    <xf numFmtId="0" fontId="9" fillId="3" borderId="0" applyAlignment="1" pivotButton="0" quotePrefix="0" xfId="0">
      <alignment vertical="bottom"/>
    </xf>
    <xf numFmtId="0" fontId="6" fillId="3" borderId="1" applyAlignment="1" pivotButton="0" quotePrefix="0" xfId="0">
      <alignment horizontal="center"/>
    </xf>
    <xf numFmtId="49" fontId="2" fillId="4" borderId="0" applyAlignment="1" pivotButton="0" quotePrefix="0" xfId="0">
      <alignment horizontal="right" vertical="bottom"/>
    </xf>
    <xf numFmtId="0" fontId="27" fillId="4" borderId="1" applyAlignment="1" pivotButton="0" quotePrefix="0" xfId="0">
      <alignment vertical="bottom"/>
    </xf>
    <xf numFmtId="0" fontId="2" fillId="4" borderId="1" applyAlignment="1" pivotButton="0" quotePrefix="0" xfId="0">
      <alignment vertical="bottom"/>
    </xf>
    <xf numFmtId="175" fontId="18" fillId="10" borderId="1" applyAlignment="1" pivotButton="0" quotePrefix="0" xfId="0">
      <alignment horizontal="right" vertical="bottom"/>
    </xf>
    <xf numFmtId="176" fontId="17" fillId="10" borderId="0" applyAlignment="1" pivotButton="0" quotePrefix="0" xfId="0">
      <alignment vertical="bottom"/>
    </xf>
    <xf numFmtId="167" fontId="18" fillId="10" borderId="1" applyAlignment="1" pivotButton="0" quotePrefix="0" xfId="0">
      <alignment horizontal="right" vertical="bottom"/>
    </xf>
    <xf numFmtId="3" fontId="2" fillId="4" borderId="0" applyAlignment="1" pivotButton="0" quotePrefix="0" xfId="0">
      <alignment horizontal="right" vertical="bottom"/>
    </xf>
    <xf numFmtId="0" fontId="6" fillId="4" borderId="1" pivotButton="0" quotePrefix="0" xfId="0"/>
    <xf numFmtId="0" fontId="6" fillId="4" borderId="0" applyAlignment="1" pivotButton="0" quotePrefix="0" xfId="0">
      <alignment horizontal="left" vertical="center"/>
    </xf>
    <xf numFmtId="0" fontId="6" fillId="4" borderId="0" applyAlignment="1" pivotButton="0" quotePrefix="0" xfId="0">
      <alignment horizontal="center"/>
    </xf>
    <xf numFmtId="167" fontId="6" fillId="4" borderId="0" applyAlignment="1" pivotButton="0" quotePrefix="0" xfId="0">
      <alignment horizontal="right" vertical="center"/>
    </xf>
    <xf numFmtId="3" fontId="6" fillId="4" borderId="0" applyAlignment="1" pivotButton="0" quotePrefix="0" xfId="0">
      <alignment horizontal="right" vertical="center"/>
    </xf>
    <xf numFmtId="3" fontId="2" fillId="4" borderId="0" applyAlignment="1" pivotButton="0" quotePrefix="0" xfId="0">
      <alignment vertical="bottom"/>
    </xf>
    <xf numFmtId="0" fontId="2" fillId="4" borderId="1" applyAlignment="1" pivotButton="0" quotePrefix="0" xfId="0">
      <alignment horizontal="right" vertical="bottom"/>
    </xf>
    <xf numFmtId="177" fontId="2" fillId="4" borderId="1" applyAlignment="1" pivotButton="0" quotePrefix="0" xfId="0">
      <alignment vertical="bottom"/>
    </xf>
    <xf numFmtId="176" fontId="2" fillId="10" borderId="1" applyAlignment="1" pivotButton="0" quotePrefix="0" xfId="0">
      <alignment vertical="bottom"/>
    </xf>
    <xf numFmtId="3" fontId="2" fillId="4" borderId="1" applyAlignment="1" pivotButton="0" quotePrefix="0" xfId="0">
      <alignment horizontal="right" vertical="bottom"/>
    </xf>
    <xf numFmtId="0" fontId="9" fillId="2" borderId="1" pivotButton="0" quotePrefix="0" xfId="0"/>
    <xf numFmtId="0" fontId="6" fillId="2" borderId="1" applyAlignment="1" pivotButton="0" quotePrefix="0" xfId="0">
      <alignment horizontal="left" vertical="center"/>
    </xf>
    <xf numFmtId="0" fontId="6" fillId="2" borderId="1" applyAlignment="1" pivotButton="0" quotePrefix="0" xfId="0">
      <alignment horizontal="center" vertical="center"/>
    </xf>
    <xf numFmtId="0" fontId="36" fillId="0" borderId="0" pivotButton="0" quotePrefix="0" xfId="0"/>
    <xf numFmtId="9" fontId="36" fillId="0" borderId="0" pivotButton="0" quotePrefix="0" xfId="0"/>
    <xf numFmtId="0" fontId="6" fillId="13" borderId="1" applyAlignment="1" pivotButton="0" quotePrefix="0" xfId="0">
      <alignment horizontal="center" vertical="center"/>
    </xf>
    <xf numFmtId="0" fontId="9" fillId="0" borderId="0" applyAlignment="1" pivotButton="0" quotePrefix="0" xfId="0">
      <alignment horizontal="center" vertical="center"/>
    </xf>
    <xf numFmtId="0" fontId="2" fillId="0" borderId="0" pivotButton="0" quotePrefix="0" xfId="0"/>
    <xf numFmtId="0" fontId="37" fillId="0" borderId="0" pivotButton="0" quotePrefix="0" xfId="0"/>
    <xf numFmtId="0" fontId="2" fillId="4" borderId="0" applyAlignment="1" pivotButton="0" quotePrefix="0" xfId="0">
      <alignment horizontal="right" vertical="bottom"/>
    </xf>
    <xf numFmtId="177" fontId="2" fillId="4" borderId="0" applyAlignment="1" pivotButton="0" quotePrefix="0" xfId="0">
      <alignment vertical="bottom"/>
    </xf>
    <xf numFmtId="176" fontId="2" fillId="10" borderId="0" applyAlignment="1" pivotButton="0" quotePrefix="0" xfId="0">
      <alignment vertical="bottom"/>
    </xf>
    <xf numFmtId="0" fontId="27" fillId="4" borderId="0" applyAlignment="1" pivotButton="0" quotePrefix="0" xfId="0">
      <alignment vertical="bottom"/>
    </xf>
    <xf numFmtId="176" fontId="17" fillId="10" borderId="0" applyAlignment="1" pivotButton="0" quotePrefix="0" xfId="0">
      <alignment horizontal="right" vertical="bottom"/>
    </xf>
    <xf numFmtId="0" fontId="6" fillId="3" borderId="4" pivotButton="0" quotePrefix="0" xfId="0"/>
    <xf numFmtId="49" fontId="13" fillId="3" borderId="0" applyAlignment="1" pivotButton="0" quotePrefix="0" xfId="0">
      <alignment horizontal="left" vertical="center"/>
    </xf>
    <xf numFmtId="0" fontId="11" fillId="0" borderId="0" pivotButton="0" quotePrefix="0" xfId="0"/>
    <xf numFmtId="0" fontId="18" fillId="4" borderId="1" applyAlignment="1" pivotButton="0" quotePrefix="0" xfId="0">
      <alignment vertical="bottom"/>
    </xf>
    <xf numFmtId="175" fontId="18" fillId="10" borderId="1" applyAlignment="1" pivotButton="0" quotePrefix="0" xfId="0">
      <alignment horizontal="right" vertical="bottom"/>
    </xf>
    <xf numFmtId="176" fontId="18" fillId="10" borderId="1" applyAlignment="1" pivotButton="0" quotePrefix="0" xfId="0">
      <alignment vertical="bottom"/>
    </xf>
    <xf numFmtId="176" fontId="18" fillId="10" borderId="0" applyAlignment="1" pivotButton="0" quotePrefix="0" xfId="0">
      <alignment vertical="bottom"/>
    </xf>
    <xf numFmtId="0" fontId="11" fillId="0" borderId="0" pivotButton="0" quotePrefix="0" xfId="0"/>
    <xf numFmtId="0" fontId="38" fillId="4" borderId="0" applyAlignment="1" pivotButton="0" quotePrefix="0" xfId="0">
      <alignment vertical="bottom"/>
    </xf>
    <xf numFmtId="176" fontId="35" fillId="4" borderId="0" applyAlignment="1" pivotButton="0" quotePrefix="0" xfId="0">
      <alignment horizontal="right" vertical="bottom"/>
    </xf>
    <xf numFmtId="176" fontId="2" fillId="4" borderId="0" applyAlignment="1" pivotButton="0" quotePrefix="0" xfId="0">
      <alignment vertical="bottom"/>
    </xf>
    <xf numFmtId="167" fontId="35" fillId="4" borderId="0" applyAlignment="1" pivotButton="0" quotePrefix="0" xfId="0">
      <alignment horizontal="right" vertical="bottom"/>
    </xf>
    <xf numFmtId="0" fontId="32" fillId="0" borderId="0" applyAlignment="1" pivotButton="0" quotePrefix="0" xfId="0">
      <alignment vertical="bottom"/>
    </xf>
    <xf numFmtId="0" fontId="39" fillId="0" borderId="0" applyAlignment="1" pivotButton="0" quotePrefix="0" xfId="0">
      <alignment vertical="bottom"/>
    </xf>
    <xf numFmtId="0" fontId="32" fillId="0" borderId="14" applyAlignment="1" pivotButton="0" quotePrefix="0" xfId="0">
      <alignment vertical="bottom" wrapText="1"/>
    </xf>
    <xf numFmtId="0" fontId="14" fillId="0" borderId="15" pivotButton="0" quotePrefix="0" xfId="0"/>
    <xf numFmtId="0" fontId="14" fillId="0" borderId="16" pivotButton="0" quotePrefix="0" xfId="0"/>
    <xf numFmtId="3" fontId="2" fillId="6" borderId="0" applyAlignment="1" pivotButton="0" quotePrefix="0" xfId="0">
      <alignment vertical="bottom"/>
    </xf>
    <xf numFmtId="3" fontId="27" fillId="6" borderId="1" applyAlignment="1" pivotButton="0" quotePrefix="0" xfId="0">
      <alignment vertical="bottom"/>
    </xf>
    <xf numFmtId="3" fontId="2" fillId="6" borderId="1" applyAlignment="1" pivotButton="0" quotePrefix="0" xfId="0">
      <alignment horizontal="right" vertical="bottom"/>
    </xf>
    <xf numFmtId="49" fontId="13" fillId="6" borderId="0" applyAlignment="1" pivotButton="0" quotePrefix="0" xfId="0">
      <alignment horizontal="left" vertical="center"/>
    </xf>
    <xf numFmtId="3" fontId="2" fillId="6" borderId="0" applyAlignment="1" pivotButton="0" quotePrefix="0" xfId="0">
      <alignment horizontal="right" vertical="bottom"/>
    </xf>
    <xf numFmtId="3" fontId="27" fillId="6" borderId="17" applyAlignment="1" pivotButton="0" quotePrefix="0" xfId="0">
      <alignment vertical="bottom"/>
    </xf>
    <xf numFmtId="3" fontId="2" fillId="6" borderId="17" applyAlignment="1" pivotButton="0" quotePrefix="0" xfId="0">
      <alignment horizontal="right" vertical="bottom"/>
    </xf>
    <xf numFmtId="0" fontId="2" fillId="3" borderId="11" applyAlignment="1" pivotButton="0" quotePrefix="0" xfId="0">
      <alignment vertical="bottom"/>
    </xf>
    <xf numFmtId="0" fontId="6" fillId="3" borderId="11" applyAlignment="1" pivotButton="0" quotePrefix="0" xfId="0">
      <alignment vertical="bottom"/>
    </xf>
    <xf numFmtId="167" fontId="6" fillId="3" borderId="11" applyAlignment="1" pivotButton="0" quotePrefix="0" xfId="0">
      <alignment horizontal="right" vertical="bottom"/>
    </xf>
    <xf numFmtId="167" fontId="6" fillId="3" borderId="0" applyAlignment="1" pivotButton="0" quotePrefix="0" xfId="0">
      <alignment horizontal="right" vertical="bottom"/>
    </xf>
    <xf numFmtId="178" fontId="2" fillId="6" borderId="0" applyAlignment="1" pivotButton="0" quotePrefix="0" xfId="0">
      <alignment vertical="bottom"/>
    </xf>
    <xf numFmtId="178" fontId="27" fillId="6" borderId="1" applyAlignment="1" pivotButton="0" quotePrefix="0" xfId="0">
      <alignment vertical="bottom"/>
    </xf>
    <xf numFmtId="178" fontId="2" fillId="6" borderId="1" applyAlignment="1" pivotButton="0" quotePrefix="0" xfId="0">
      <alignment horizontal="right" vertical="bottom"/>
    </xf>
    <xf numFmtId="178" fontId="2" fillId="6" borderId="0" applyAlignment="1" pivotButton="0" quotePrefix="0" xfId="0">
      <alignment horizontal="right" vertical="bottom"/>
    </xf>
    <xf numFmtId="0" fontId="6" fillId="3" borderId="18" applyAlignment="1" pivotButton="0" quotePrefix="0" xfId="0">
      <alignment vertical="bottom"/>
    </xf>
    <xf numFmtId="178" fontId="6" fillId="3" borderId="18" applyAlignment="1" pivotButton="0" quotePrefix="0" xfId="0">
      <alignment horizontal="right" vertical="bottom"/>
    </xf>
    <xf numFmtId="0" fontId="2" fillId="3" borderId="11" pivotButton="0" quotePrefix="0" xfId="0"/>
    <xf numFmtId="0" fontId="0" fillId="0" borderId="0" pivotButton="0" quotePrefix="0" xfId="0"/>
    <xf numFmtId="49" fontId="13" fillId="4" borderId="0" applyAlignment="1" pivotButton="0" quotePrefix="0" xfId="0">
      <alignment horizontal="left" vertical="center"/>
    </xf>
    <xf numFmtId="0" fontId="32" fillId="0" borderId="19" applyAlignment="1" pivotButton="0" quotePrefix="0" xfId="0">
      <alignment vertical="bottom" wrapText="1"/>
    </xf>
    <xf numFmtId="0" fontId="0" fillId="0" borderId="15" pivotButton="0" quotePrefix="0" xfId="0"/>
    <xf numFmtId="0" fontId="0" fillId="0" borderId="16"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plotArea>
      <layout/>
      <barChart>
        <barDir val="col"/>
        <grouping val="stacked"/>
        <ser>
          <idx val="0"/>
          <order val="0"/>
          <tx>
            <strRef>
              <f>'Dasboard (FOR PITCHDECK)'!$S$3</f>
            </strRef>
          </tx>
          <spPr>
            <a:solidFill>
              <a:schemeClr val="lt1"/>
            </a:solidFill>
            <a:ln cmpd="sng">
              <a:noFill/>
              <a:prstDash val="solid"/>
            </a:ln>
          </spPr>
          <cat>
            <strRef>
              <f>'Dasboard (FOR PITCHDECK)'!$T$2:$W$2</f>
            </strRef>
          </cat>
          <val>
            <numRef>
              <f>'Dasboard (FOR PITCHDECK)'!$T$3:$W$3</f>
              <numCache/>
            </numRef>
          </val>
        </ser>
        <ser>
          <idx val="1"/>
          <order val="1"/>
          <tx>
            <strRef>
              <f>'Dasboard (FOR PITCHDECK)'!$S$4</f>
            </strRef>
          </tx>
          <spPr>
            <a:solidFill>
              <a:srgbClr val="DF5B0E"/>
            </a:solidFill>
            <a:ln cmpd="sng">
              <a:noFill/>
              <a:prstDash val="solid"/>
            </a:ln>
          </spPr>
          <cat>
            <strRef>
              <f>'Dasboard (FOR PITCHDECK)'!$T$2:$W$2</f>
            </strRef>
          </cat>
          <val>
            <numRef>
              <f>'Dasboard (FOR PITCHDECK)'!$T$4:$W$4</f>
              <numCache/>
            </numRef>
          </val>
        </ser>
        <gapWidth val="150"/>
        <overlap val="100"/>
        <axId val="1223706457"/>
        <axId val="250108717"/>
      </barChart>
      <catAx>
        <axId val="1223706457"/>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noFill/>
            <a:prstDash val="solid"/>
          </a:ln>
        </spPr>
        <txPr>
          <a:bodyPr/>
          <a:lstStyle/>
          <a:p>
            <a:pPr lvl="0">
              <a:defRPr b="0" i="0">
                <a:solidFill>
                  <a:srgbClr val="000000"/>
                </a:solidFill>
                <a:latin typeface="+mn-lt"/>
              </a:defRPr>
            </a:pPr>
            <a:r>
              <a:t/>
            </a:r>
          </a:p>
        </txPr>
        <crossAx val="250108717"/>
        <lblOffset val="100"/>
      </catAx>
      <valAx>
        <axId val="250108717"/>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noFill/>
            <a:prstDash val="solid"/>
          </a:ln>
        </spPr>
        <txPr>
          <a:bodyPr/>
          <a:lstStyle/>
          <a:p>
            <a:pPr lvl="0">
              <a:defRPr b="0" i="0">
                <a:solidFill>
                  <a:srgbClr val="000000"/>
                </a:solidFill>
                <a:latin typeface="+mn-lt"/>
              </a:defRPr>
            </a:pPr>
            <a:r>
              <a:t/>
            </a:r>
          </a:p>
        </txPr>
        <crossAx val="1223706457"/>
      </valAx>
    </plotArea>
    <plotVisOnly val="1"/>
    <dispBlanksAs val="gap"/>
  </chart>
  <spPr>
    <a:solidFill>
      <a:srgbClr val="FFFFFF"/>
    </a:solidFill>
    <a:ln>
      <a:prstDash val="solid"/>
    </a:ln>
  </spPr>
</chartSpace>
</file>

<file path=xl/charts/chart2.xml><?xml version="1.0" encoding="utf-8"?>
<chartSpace xmlns:a="http://schemas.openxmlformats.org/drawingml/2006/main" xmlns="http://schemas.openxmlformats.org/drawingml/2006/chart">
  <chart>
    <plotArea>
      <layout/>
      <barChart>
        <barDir val="col"/>
        <grouping val="stacked"/>
        <ser>
          <idx val="0"/>
          <order val="0"/>
          <spPr>
            <a:solidFill>
              <a:schemeClr val="accent1"/>
            </a:solidFill>
            <a:ln cmpd="sng">
              <a:noFill/>
              <a:prstDash val="solid"/>
            </a:ln>
          </spPr>
          <val>
            <numRef>
              <f>'Dasboard (FOR PITCHDECK)'!$S$2:$V$2</f>
              <numCache/>
            </numRef>
          </val>
        </ser>
        <ser>
          <idx val="1"/>
          <order val="1"/>
          <spPr>
            <a:solidFill>
              <a:srgbClr val="E63211"/>
            </a:solidFill>
            <a:ln cmpd="sng">
              <a:noFill/>
              <a:prstDash val="solid"/>
            </a:ln>
          </spPr>
          <dLbls>
            <numFmt formatCode="General"/>
            <txPr>
              <a:bodyPr/>
              <a:lstStyle/>
              <a:p>
                <a:pPr lvl="0">
                  <a:defRPr b="1" i="0"/>
                </a:pPr>
                <a:r>
                  <a:t/>
                </a:r>
              </a:p>
            </txPr>
            <showLegendKey val="0"/>
            <showVal val="1"/>
            <showCatName val="0"/>
            <showSerName val="0"/>
            <showPercent val="0"/>
            <showBubbleSize val="0"/>
          </dLbls>
          <val>
            <numRef>
              <f>'Dasboard (FOR PITCHDECK)'!$S$3:$V$3</f>
              <numCache/>
            </numRef>
          </val>
        </ser>
        <ser>
          <idx val="2"/>
          <order val="2"/>
          <spPr>
            <a:solidFill>
              <a:srgbClr val="F68F65"/>
            </a:solidFill>
            <a:ln cmpd="sng">
              <a:noFill/>
              <a:prstDash val="solid"/>
            </a:ln>
          </spPr>
          <dLbls>
            <numFmt formatCode="General"/>
            <txPr>
              <a:bodyPr/>
              <a:lstStyle/>
              <a:p>
                <a:pPr lvl="0">
                  <a:defRPr b="1" i="0"/>
                </a:pPr>
                <a:r>
                  <a:t/>
                </a:r>
              </a:p>
            </txPr>
            <showLegendKey val="0"/>
            <showVal val="1"/>
            <showCatName val="0"/>
            <showSerName val="0"/>
            <showPercent val="0"/>
            <showBubbleSize val="0"/>
          </dLbls>
          <val>
            <numRef>
              <f>'Dasboard (FOR PITCHDECK)'!$S$4:$V$4</f>
              <numCache/>
            </numRef>
          </val>
        </ser>
        <gapWidth val="150"/>
        <overlap val="100"/>
        <axId val="2142527443"/>
        <axId val="2100843510"/>
      </barChart>
      <catAx>
        <axId val="2142527443"/>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noFill/>
            <a:prstDash val="solid"/>
          </a:ln>
        </spPr>
        <txPr>
          <a:bodyPr/>
          <a:lstStyle/>
          <a:p>
            <a:pPr lvl="0">
              <a:defRPr b="0" i="0">
                <a:solidFill>
                  <a:srgbClr val="000000"/>
                </a:solidFill>
                <a:latin typeface="+mn-lt"/>
              </a:defRPr>
            </a:pPr>
            <a:r>
              <a:t/>
            </a:r>
          </a:p>
        </txPr>
        <crossAx val="2100843510"/>
        <lblOffset val="100"/>
      </catAx>
      <valAx>
        <axId val="210084351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noFill/>
            <a:prstDash val="solid"/>
          </a:ln>
        </spPr>
        <txPr>
          <a:bodyPr/>
          <a:lstStyle/>
          <a:p>
            <a:pPr lvl="0">
              <a:defRPr b="0" i="0">
                <a:solidFill>
                  <a:srgbClr val="000000"/>
                </a:solidFill>
                <a:latin typeface="+mn-lt"/>
              </a:defRPr>
            </a:pPr>
            <a:r>
              <a:t/>
            </a:r>
          </a:p>
        </txPr>
        <crossAx val="2142527443"/>
      </valAx>
    </plotArea>
    <plotVisOnly val="1"/>
    <dispBlanksAs val="gap"/>
  </chart>
  <spPr>
    <a:solidFill>
      <a:srgbClr val="FFFFFF"/>
    </a:solidFill>
    <a:ln>
      <a:prstDash val="solid"/>
    </a:ln>
  </spPr>
</chartSpace>
</file>

<file path=xl/charts/chart3.xml><?xml version="1.0" encoding="utf-8"?>
<chartSpace xmlns:a="http://schemas.openxmlformats.org/drawingml/2006/main" xmlns="http://schemas.openxmlformats.org/drawingml/2006/chart">
  <chart>
    <plotArea>
      <layout/>
      <doughnutChart>
        <varyColors val="1"/>
        <ser>
          <idx val="0"/>
          <order val="0"/>
          <spPr>
            <a:ln>
              <a:prstDash val="solid"/>
            </a:ln>
          </spPr>
          <dPt>
            <idx val="0"/>
            <spPr>
              <a:solidFill>
                <a:srgbClr val="FF6503"/>
              </a:solidFill>
              <a:ln>
                <a:prstDash val="solid"/>
              </a:ln>
            </spPr>
          </dPt>
          <dLbls>
            <showLegendKey val="0"/>
            <showVal val="0"/>
            <showCatName val="0"/>
            <showSerName val="0"/>
            <showPercent val="0"/>
            <showBubbleSize val="0"/>
            <showLeaderLines val="1"/>
          </dLbls>
          <val>
            <numRef>
              <f>'Dasboard (FOR PITCHDECK)'!$V$7:$X$7</f>
              <numCache/>
            </numRef>
          </val>
        </ser>
        <dLbls>
          <showLegendKey val="0"/>
          <showVal val="0"/>
          <showCatName val="0"/>
          <showSerName val="0"/>
          <showPercent val="0"/>
          <showBubbleSize val="0"/>
        </dLbls>
        <firstSliceAng val="0"/>
        <holeSize val="50"/>
      </doughnutChart>
    </plotArea>
    <plotVisOnly val="1"/>
    <dispBlanksAs val="gap"/>
  </chart>
  <spPr>
    <a:solidFill>
      <a:srgbClr val="FFFFFF"/>
    </a:solidFill>
    <a:ln>
      <a:prstDash val="solid"/>
    </a:ln>
  </spPr>
</chartSpace>
</file>

<file path=xl/charts/chart4.xml><?xml version="1.0" encoding="utf-8"?>
<chartSpace xmlns:a="http://schemas.openxmlformats.org/drawingml/2006/main" xmlns="http://schemas.openxmlformats.org/drawingml/2006/chart">
  <chart>
    <plotArea>
      <layout/>
      <lineChart>
        <grouping val="standard"/>
        <ser>
          <idx val="0"/>
          <order val="0"/>
          <spPr>
            <a:ln cmpd="sng">
              <a:solidFill>
                <a:srgbClr val="E63211"/>
              </a:solidFill>
              <a:prstDash val="solid"/>
            </a:ln>
          </spPr>
          <marker>
            <symbol val="circle"/>
            <size val="10"/>
            <spPr>
              <a:solidFill>
                <a:srgbClr val="E63211"/>
              </a:solidFill>
              <a:ln cmpd="sng">
                <a:solidFill>
                  <a:srgbClr val="E63211"/>
                </a:solidFill>
                <a:prstDash val="solid"/>
              </a:ln>
            </spPr>
          </marker>
          <dLbls>
            <numFmt formatCode="General"/>
            <txPr>
              <a:bodyPr/>
              <a:lstStyle/>
              <a:p>
                <a:pPr lvl="0">
                  <a:defRPr b="1" i="0"/>
                </a:pPr>
                <a:r>
                  <a:t/>
                </a:r>
              </a:p>
            </txPr>
            <showLegendKey val="0"/>
            <showVal val="1"/>
            <showCatName val="0"/>
            <showSerName val="0"/>
            <showPercent val="0"/>
            <showBubbleSize val="0"/>
          </dLbls>
          <cat>
            <strRef>
              <f>'Dasboard (FOR PITCHDECK)'!$M$2:$P$2</f>
            </strRef>
          </cat>
          <val>
            <numRef>
              <f>'Dasboard (FOR PITCHDECK)'!$M$3:$P$3</f>
              <numCache/>
            </numRef>
          </val>
          <smooth val="0"/>
        </ser>
        <ser>
          <idx val="1"/>
          <order val="1"/>
          <spPr>
            <a:ln cmpd="sng">
              <a:solidFill>
                <a:srgbClr val="CCCCCC"/>
              </a:solidFill>
              <a:prstDash val="solid"/>
            </a:ln>
          </spPr>
          <marker>
            <symbol val="circle"/>
            <size val="10"/>
            <spPr>
              <a:solidFill>
                <a:srgbClr val="CCCCCC"/>
              </a:solidFill>
              <a:ln cmpd="sng">
                <a:solidFill>
                  <a:srgbClr val="CCCCCC"/>
                </a:solidFill>
                <a:prstDash val="solid"/>
              </a:ln>
            </spPr>
          </marker>
          <dLbls>
            <numFmt formatCode="General"/>
            <txPr>
              <a:bodyPr/>
              <a:lstStyle/>
              <a:p>
                <a:pPr lvl="0">
                  <a:defRPr b="1" i="0"/>
                </a:pPr>
                <a:r>
                  <a:t/>
                </a:r>
              </a:p>
            </txPr>
            <showLegendKey val="0"/>
            <showVal val="1"/>
            <showCatName val="0"/>
            <showSerName val="0"/>
            <showPercent val="0"/>
            <showBubbleSize val="0"/>
          </dLbls>
          <cat>
            <strRef>
              <f>'Dasboard (FOR PITCHDECK)'!$M$2:$P$2</f>
            </strRef>
          </cat>
          <val>
            <numRef>
              <f>'Dasboard (FOR PITCHDECK)'!$M$4:$P$4</f>
              <numCache/>
            </numRef>
          </val>
          <smooth val="0"/>
        </ser>
        <axId val="1903951599"/>
        <axId val="439508286"/>
      </lineChart>
      <catAx>
        <axId val="1903951599"/>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noFill/>
            <a:prstDash val="solid"/>
          </a:ln>
        </spPr>
        <txPr>
          <a:bodyPr/>
          <a:lstStyle/>
          <a:p>
            <a:pPr lvl="0">
              <a:defRPr b="0" i="0">
                <a:solidFill>
                  <a:srgbClr val="000000"/>
                </a:solidFill>
                <a:latin typeface="+mn-lt"/>
              </a:defRPr>
            </a:pPr>
            <a:r>
              <a:t/>
            </a:r>
          </a:p>
        </txPr>
        <crossAx val="439508286"/>
        <lblOffset val="100"/>
      </catAx>
      <valAx>
        <axId val="439508286"/>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noFill/>
            <a:prstDash val="solid"/>
          </a:ln>
        </spPr>
        <txPr>
          <a:bodyPr/>
          <a:lstStyle/>
          <a:p>
            <a:pPr lvl="0">
              <a:defRPr b="0" i="0">
                <a:solidFill>
                  <a:srgbClr val="000000"/>
                </a:solidFill>
                <a:latin typeface="+mn-lt"/>
              </a:defRPr>
            </a:pPr>
            <a:r>
              <a:t/>
            </a:r>
          </a:p>
        </txPr>
        <crossAx val="1903951599"/>
      </valAx>
    </plotArea>
    <legend>
      <legendPos val="r"/>
      <overlay val="0"/>
      <txPr>
        <a:bodyPr/>
        <a:lstStyle/>
        <a:p>
          <a:pPr lvl="0">
            <a:defRPr b="0" i="0">
              <a:solidFill>
                <a:srgbClr val="1A1A1A"/>
              </a:solidFill>
              <a:latin typeface="+mn-lt"/>
            </a:defRPr>
          </a:pPr>
          <a:r>
            <a:t/>
          </a:r>
        </a:p>
      </txPr>
    </legend>
    <plotVisOnly val="1"/>
    <dispBlanksAs val="gap"/>
  </chart>
  <spPr>
    <a:solidFill>
      <a:srgbClr val="FFFFFF"/>
    </a:solidFill>
    <a:ln>
      <a:prstDash val="solid"/>
    </a:ln>
  </spPr>
</chartSpace>
</file>

<file path=xl/charts/chart5.xml><?xml version="1.0" encoding="utf-8"?>
<chartSpace xmlns:a="http://schemas.openxmlformats.org/drawingml/2006/main" xmlns="http://schemas.openxmlformats.org/drawingml/2006/chart">
  <chart>
    <title>
      <tx>
        <rich>
          <a:bodyPr/>
          <a:lstStyle/>
          <a:p>
            <a:pPr lvl="0">
              <a:defRPr b="1">
                <a:solidFill>
                  <a:srgbClr val="000000"/>
                </a:solidFill>
                <a:latin typeface="Roboto"/>
              </a:defRPr>
            </a:pPr>
            <a:r>
              <a:rPr b="1">
                <a:solidFill>
                  <a:srgbClr val="000000"/>
                </a:solidFill>
                <a:latin typeface="Roboto"/>
              </a:rPr>
              <a:t>Units sold</a:t>
            </a:r>
          </a:p>
        </rich>
      </tx>
      <overlay val="0"/>
    </title>
    <plotArea>
      <layout/>
      <lineChart>
        <grouping val="standard"/>
        <ser>
          <idx val="0"/>
          <order val="0"/>
          <tx>
            <strRef>
              <f>Dashboard!$J$3</f>
            </strRef>
          </tx>
          <spPr>
            <a:ln cmpd="sng">
              <a:solidFill>
                <a:srgbClr val="E63211"/>
              </a:solidFill>
              <a:prstDash val="solid"/>
            </a:ln>
          </spPr>
          <marker>
            <symbol val="circle"/>
            <size val="10"/>
            <spPr>
              <a:solidFill>
                <a:srgbClr val="E63211"/>
              </a:solidFill>
              <a:ln cmpd="sng">
                <a:solidFill>
                  <a:srgbClr val="E63211"/>
                </a:solidFill>
                <a:prstDash val="solid"/>
              </a:ln>
            </spPr>
          </marker>
          <dLbls>
            <numFmt formatCode="General"/>
            <txPr>
              <a:bodyPr/>
              <a:lstStyle/>
              <a:p>
                <a:pPr lvl="0">
                  <a:defRPr b="1">
                    <a:latin typeface="Roboto"/>
                  </a:defRPr>
                </a:pPr>
                <a:r>
                  <a:t/>
                </a:r>
              </a:p>
            </txPr>
            <showLegendKey val="0"/>
            <showVal val="1"/>
            <showCatName val="0"/>
            <showSerName val="0"/>
            <showPercent val="0"/>
            <showBubbleSize val="0"/>
          </dLbls>
          <cat>
            <strRef>
              <f>Dashboard!$K$2:$O$2</f>
            </strRef>
          </cat>
          <val>
            <numRef>
              <f>Dashboard!$K$3:$O$3</f>
              <numCache/>
            </numRef>
          </val>
          <smooth val="0"/>
        </ser>
        <ser>
          <idx val="1"/>
          <order val="1"/>
          <tx>
            <strRef>
              <f>Dashboard!$J$4</f>
            </strRef>
          </tx>
          <spPr>
            <a:ln cmpd="sng">
              <a:solidFill>
                <a:srgbClr val="CCCCCC"/>
              </a:solidFill>
              <a:prstDash val="solid"/>
            </a:ln>
          </spPr>
          <marker>
            <symbol val="circle"/>
            <size val="10"/>
            <spPr>
              <a:solidFill>
                <a:srgbClr val="CCCCCC"/>
              </a:solidFill>
              <a:ln cmpd="sng">
                <a:solidFill>
                  <a:srgbClr val="CCCCCC"/>
                </a:solidFill>
                <a:prstDash val="solid"/>
              </a:ln>
            </spPr>
          </marker>
          <dLbls>
            <numFmt formatCode="General"/>
            <txPr>
              <a:bodyPr/>
              <a:lstStyle/>
              <a:p>
                <a:pPr lvl="0">
                  <a:defRPr b="1">
                    <a:latin typeface="Roboto"/>
                  </a:defRPr>
                </a:pPr>
                <a:r>
                  <a:t/>
                </a:r>
              </a:p>
            </txPr>
            <showLegendKey val="0"/>
            <showVal val="1"/>
            <showCatName val="0"/>
            <showSerName val="0"/>
            <showPercent val="0"/>
            <showBubbleSize val="0"/>
          </dLbls>
          <cat>
            <strRef>
              <f>Dashboard!$K$2:$O$2</f>
            </strRef>
          </cat>
          <val>
            <numRef>
              <f>Dashboard!$K$4:$O$4</f>
              <numCache/>
            </numRef>
          </val>
          <smooth val="0"/>
        </ser>
        <axId val="318049400"/>
        <axId val="644638901"/>
      </lineChart>
      <catAx>
        <axId val="318049400"/>
        <scaling>
          <orientation val="minMax"/>
        </scaling>
        <delete val="0"/>
        <axPos val="b"/>
        <title>
          <tx>
            <rich>
              <a:bodyPr/>
              <a:lstStyle/>
              <a:p>
                <a:pPr lvl="0">
                  <a:defRPr b="0">
                    <a:solidFill>
                      <a:srgbClr val="000000"/>
                    </a:solidFill>
                    <a:latin typeface="Roboto"/>
                  </a:defRPr>
                </a:pPr>
                <a:r>
                  <a:rPr b="0">
                    <a:solidFill>
                      <a:srgbClr val="000000"/>
                    </a:solidFill>
                    <a:latin typeface="Roboto"/>
                  </a:rPr>
                  <a:t>None</a:t>
                </a:r>
              </a:p>
            </rich>
          </tx>
          <overlay val="0"/>
        </title>
        <numFmt formatCode="General" sourceLinked="1"/>
        <majorTickMark val="none"/>
        <minorTickMark val="none"/>
        <spPr>
          <a:ln>
            <a:noFill/>
            <a:prstDash val="solid"/>
          </a:ln>
        </spPr>
        <txPr>
          <a:bodyPr/>
          <a:lstStyle/>
          <a:p>
            <a:pPr lvl="0">
              <a:defRPr b="0">
                <a:solidFill>
                  <a:srgbClr val="000000"/>
                </a:solidFill>
                <a:latin typeface="Roboto"/>
              </a:defRPr>
            </a:pPr>
            <a:r>
              <a:t/>
            </a:r>
          </a:p>
        </txPr>
        <crossAx val="644638901"/>
        <lblOffset val="100"/>
      </catAx>
      <valAx>
        <axId val="644638901"/>
        <scaling>
          <orientation val="minMax"/>
          <max val="65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Roboto"/>
                  </a:defRPr>
                </a:pPr>
                <a:r>
                  <a:rPr b="0">
                    <a:solidFill>
                      <a:srgbClr val="000000"/>
                    </a:solidFill>
                    <a:latin typeface="Roboto"/>
                  </a:rPr>
                  <a:t>None</a:t>
                </a:r>
              </a:p>
            </rich>
          </tx>
          <overlay val="0"/>
        </title>
        <numFmt formatCode="General" sourceLinked="1"/>
        <majorTickMark val="none"/>
        <minorTickMark val="none"/>
        <tickLblPos val="nextTo"/>
        <spPr>
          <a:ln>
            <a:noFill/>
            <a:prstDash val="solid"/>
          </a:ln>
        </spPr>
        <txPr>
          <a:bodyPr/>
          <a:lstStyle/>
          <a:p>
            <a:pPr lvl="0">
              <a:defRPr b="0">
                <a:solidFill>
                  <a:srgbClr val="000000"/>
                </a:solidFill>
                <a:latin typeface="Roboto"/>
              </a:defRPr>
            </a:pPr>
            <a:r>
              <a:t/>
            </a:r>
          </a:p>
        </txPr>
        <crossAx val="318049400"/>
      </valAx>
    </plotArea>
    <legend>
      <legendPos val="r"/>
      <overlay val="0"/>
      <txPr>
        <a:bodyPr/>
        <a:lstStyle/>
        <a:p>
          <a:pPr lvl="0">
            <a:defRPr b="0">
              <a:solidFill>
                <a:srgbClr val="1A1A1A"/>
              </a:solidFill>
              <a:latin typeface="Roboto"/>
            </a:defRPr>
          </a:pPr>
          <a:r>
            <a:t/>
          </a:r>
        </a:p>
      </txPr>
    </legend>
    <plotVisOnly val="1"/>
    <dispBlanksAs val="gap"/>
  </chart>
  <spPr>
    <a:solidFill>
      <a:srgbClr val="FFFFFF"/>
    </a:solidFill>
    <a:ln>
      <a:prstDash val="solid"/>
    </a:ln>
  </spPr>
</chartSpace>
</file>

<file path=xl/charts/chart6.xml><?xml version="1.0" encoding="utf-8"?>
<chartSpace xmlns:a="http://schemas.openxmlformats.org/drawingml/2006/main" xmlns="http://schemas.openxmlformats.org/drawingml/2006/chart">
  <chart>
    <title>
      <tx>
        <rich>
          <a:bodyPr/>
          <a:lstStyle/>
          <a:p>
            <a:pPr lvl="0">
              <a:defRPr b="1">
                <a:solidFill>
                  <a:srgbClr val="000000"/>
                </a:solidFill>
                <a:latin typeface="Roboto"/>
              </a:defRPr>
            </a:pPr>
            <a:r>
              <a:rPr b="1">
                <a:solidFill>
                  <a:srgbClr val="000000"/>
                </a:solidFill>
                <a:latin typeface="Roboto"/>
              </a:rPr>
              <a:t>Unit Revenues</a:t>
            </a:r>
          </a:p>
        </rich>
      </tx>
      <overlay val="0"/>
    </title>
    <plotArea>
      <layout/>
      <barChart>
        <barDir val="col"/>
        <grouping val="stacked"/>
        <ser>
          <idx val="0"/>
          <order val="0"/>
          <tx>
            <strRef>
              <f>Dashboard!$J$5</f>
            </strRef>
          </tx>
          <spPr>
            <a:solidFill>
              <a:srgbClr val="E53517"/>
            </a:solidFill>
            <a:ln cmpd="sng">
              <a:noFill/>
              <a:prstDash val="solid"/>
            </a:ln>
          </spPr>
          <dLbls>
            <numFmt formatCode="General"/>
            <txPr>
              <a:bodyPr/>
              <a:lstStyle/>
              <a:p>
                <a:pPr lvl="0">
                  <a:defRPr b="1">
                    <a:solidFill>
                      <a:srgbClr val="000000"/>
                    </a:solidFill>
                    <a:latin typeface="Roboto"/>
                  </a:defRPr>
                </a:pPr>
                <a:r>
                  <a:t/>
                </a:r>
              </a:p>
            </txPr>
            <showLegendKey val="0"/>
            <showVal val="1"/>
            <showCatName val="0"/>
            <showSerName val="0"/>
            <showPercent val="0"/>
            <showBubbleSize val="0"/>
          </dLbls>
          <cat>
            <strRef>
              <f>Dashboard!$K$2:$O$2</f>
            </strRef>
          </cat>
          <val>
            <numRef>
              <f>Dashboard!$K$5:$O$5</f>
              <numCache/>
            </numRef>
          </val>
        </ser>
        <ser>
          <idx val="1"/>
          <order val="1"/>
          <tx>
            <strRef>
              <f>Dashboard!$J$6</f>
            </strRef>
          </tx>
          <spPr>
            <a:solidFill>
              <a:srgbClr val="FF6503"/>
            </a:solidFill>
            <a:ln cmpd="sng">
              <a:noFill/>
              <a:prstDash val="solid"/>
            </a:ln>
          </spPr>
          <dLbls>
            <numFmt formatCode="General"/>
            <txPr>
              <a:bodyPr/>
              <a:lstStyle/>
              <a:p>
                <a:pPr lvl="0">
                  <a:defRPr b="1">
                    <a:solidFill>
                      <a:srgbClr val="FFFFFF"/>
                    </a:solidFill>
                    <a:latin typeface="Roboto"/>
                  </a:defRPr>
                </a:pPr>
                <a:r>
                  <a:t/>
                </a:r>
              </a:p>
            </txPr>
            <showLegendKey val="0"/>
            <showVal val="1"/>
            <showCatName val="0"/>
            <showSerName val="0"/>
            <showPercent val="0"/>
            <showBubbleSize val="0"/>
          </dLbls>
          <cat>
            <strRef>
              <f>Dashboard!$K$2:$O$2</f>
            </strRef>
          </cat>
          <val>
            <numRef>
              <f>Dashboard!$K$6:$O$6</f>
              <numCache/>
            </numRef>
          </val>
        </ser>
        <gapWidth val="150"/>
        <overlap val="100"/>
        <axId val="323136742"/>
        <axId val="1359592486"/>
      </barChart>
      <catAx>
        <axId val="323136742"/>
        <scaling>
          <orientation val="minMax"/>
        </scaling>
        <delete val="0"/>
        <axPos val="b"/>
        <title>
          <tx>
            <rich>
              <a:bodyPr/>
              <a:lstStyle/>
              <a:p>
                <a:pPr lvl="0">
                  <a:defRPr b="0">
                    <a:solidFill>
                      <a:srgbClr val="000000"/>
                    </a:solidFill>
                    <a:latin typeface="Roboto"/>
                  </a:defRPr>
                </a:pPr>
                <a:r>
                  <a:rPr b="0">
                    <a:solidFill>
                      <a:srgbClr val="000000"/>
                    </a:solidFill>
                    <a:latin typeface="Roboto"/>
                  </a:rPr>
                  <a:t>None</a:t>
                </a:r>
              </a:p>
            </rich>
          </tx>
          <overlay val="0"/>
        </title>
        <numFmt formatCode="General" sourceLinked="1"/>
        <majorTickMark val="none"/>
        <minorTickMark val="none"/>
        <spPr>
          <a:ln>
            <a:noFill/>
            <a:prstDash val="solid"/>
          </a:ln>
        </spPr>
        <txPr>
          <a:bodyPr/>
          <a:lstStyle/>
          <a:p>
            <a:pPr lvl="0">
              <a:defRPr b="0">
                <a:solidFill>
                  <a:srgbClr val="000000"/>
                </a:solidFill>
                <a:latin typeface="Roboto"/>
              </a:defRPr>
            </a:pPr>
            <a:r>
              <a:t/>
            </a:r>
          </a:p>
        </txPr>
        <crossAx val="1359592486"/>
        <lblOffset val="100"/>
      </catAx>
      <valAx>
        <axId val="1359592486"/>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Roboto"/>
                  </a:defRPr>
                </a:pPr>
                <a:r>
                  <a:rPr b="0">
                    <a:solidFill>
                      <a:srgbClr val="000000"/>
                    </a:solidFill>
                    <a:latin typeface="Roboto"/>
                  </a:rPr>
                  <a:t>None</a:t>
                </a:r>
              </a:p>
            </rich>
          </tx>
          <overlay val="0"/>
        </title>
        <numFmt formatCode="General" sourceLinked="1"/>
        <majorTickMark val="none"/>
        <minorTickMark val="none"/>
        <tickLblPos val="nextTo"/>
        <spPr>
          <a:ln>
            <a:noFill/>
            <a:prstDash val="solid"/>
          </a:ln>
        </spPr>
        <txPr>
          <a:bodyPr/>
          <a:lstStyle/>
          <a:p>
            <a:pPr lvl="0">
              <a:defRPr b="0">
                <a:solidFill>
                  <a:srgbClr val="000000"/>
                </a:solidFill>
                <a:latin typeface="Roboto"/>
              </a:defRPr>
            </a:pPr>
            <a:r>
              <a:t/>
            </a:r>
          </a:p>
        </txPr>
        <crossAx val="323136742"/>
      </valAx>
    </plotArea>
    <plotVisOnly val="1"/>
    <dispBlanksAs val="gap"/>
  </chart>
  <spPr>
    <a:solidFill>
      <a:srgbClr val="FFFFFF"/>
    </a:solidFill>
    <a:ln>
      <a:prstDash val="solid"/>
    </a:ln>
  </spPr>
</chartSpace>
</file>

<file path=xl/charts/chart7.xml><?xml version="1.0" encoding="utf-8"?>
<chartSpace xmlns:a="http://schemas.openxmlformats.org/drawingml/2006/main" xmlns="http://schemas.openxmlformats.org/drawingml/2006/chart">
  <chart>
    <title>
      <tx>
        <rich>
          <a:bodyPr/>
          <a:lstStyle/>
          <a:p>
            <a:pPr lvl="0">
              <a:defRPr b="1" i="0">
                <a:solidFill>
                  <a:srgbClr val="000000"/>
                </a:solidFill>
                <a:latin typeface="+mn-lt"/>
              </a:defRPr>
            </a:pPr>
            <a:r>
              <a:rPr b="1" i="0">
                <a:solidFill>
                  <a:srgbClr val="000000"/>
                </a:solidFill>
                <a:latin typeface="+mn-lt"/>
              </a:rPr>
              <a:t>Seed Capital Allocation</a:t>
            </a:r>
          </a:p>
        </rich>
      </tx>
      <overlay val="0"/>
    </title>
    <plotArea>
      <layout/>
      <doughnutChart>
        <varyColors val="1"/>
        <ser>
          <idx val="0"/>
          <order val="0"/>
          <spPr>
            <a:ln>
              <a:prstDash val="solid"/>
            </a:ln>
          </spPr>
          <dPt>
            <idx val="0"/>
            <spPr>
              <a:solidFill>
                <a:srgbClr val="E53517"/>
              </a:solidFill>
              <a:ln>
                <a:prstDash val="solid"/>
              </a:ln>
            </spPr>
          </dPt>
          <dLbls>
            <showLegendKey val="0"/>
            <showVal val="0"/>
            <showCatName val="0"/>
            <showSerName val="0"/>
            <showPercent val="0"/>
            <showBubbleSize val="0"/>
            <showLeaderLines val="1"/>
          </dLbls>
          <cat>
            <strRef>
              <f>Dashboard!$X$6:$Z$6</f>
            </strRef>
          </cat>
          <val>
            <numRef>
              <f>Dashboard!$X$7:$Z$7</f>
              <numCache/>
            </numRef>
          </val>
        </ser>
        <dLbls>
          <showLegendKey val="0"/>
          <showVal val="0"/>
          <showCatName val="0"/>
          <showSerName val="0"/>
          <showPercent val="0"/>
          <showBubbleSize val="0"/>
        </dLbls>
        <firstSliceAng val="0"/>
        <holeSize val="50"/>
      </doughnutChart>
    </plotArea>
    <legend>
      <legendPos val="r"/>
      <overlay val="0"/>
      <txPr>
        <a:bodyPr/>
        <a:lstStyle/>
        <a:p>
          <a:pPr lvl="0">
            <a:defRPr b="0" i="0">
              <a:solidFill>
                <a:srgbClr val="1A1A1A"/>
              </a:solidFill>
              <a:latin typeface="+mn-lt"/>
            </a:defRPr>
          </a:pPr>
          <a:r>
            <a:t/>
          </a:r>
        </a:p>
      </txPr>
    </legend>
    <plotVisOnly val="1"/>
    <dispBlanksAs val="gap"/>
  </chart>
  <spPr>
    <a:solidFill>
      <a:srgbClr val="FFFFFF"/>
    </a:solidFill>
    <a:ln>
      <a:prstDash val="solid"/>
    </a:ln>
  </spPr>
</chartSpace>
</file>

<file path=xl/charts/chart8.xml><?xml version="1.0" encoding="utf-8"?>
<chartSpace xmlns:a="http://schemas.openxmlformats.org/drawingml/2006/main" xmlns="http://schemas.openxmlformats.org/drawingml/2006/chart">
  <chart>
    <title>
      <tx>
        <rich>
          <a:bodyPr/>
          <a:lstStyle/>
          <a:p>
            <a:pPr lvl="0">
              <a:defRPr b="1" i="0">
                <a:solidFill>
                  <a:srgbClr val="000000"/>
                </a:solidFill>
                <a:latin typeface="+mn-lt"/>
              </a:defRPr>
            </a:pPr>
            <a:r>
              <a:rPr b="1" i="0">
                <a:solidFill>
                  <a:srgbClr val="000000"/>
                </a:solidFill>
                <a:latin typeface="+mn-lt"/>
              </a:rPr>
              <a:t>Headcount</a:t>
            </a:r>
          </a:p>
        </rich>
      </tx>
      <overlay val="0"/>
    </title>
    <plotArea>
      <layout/>
      <lineChart>
        <grouping val="standard"/>
        <varyColors val="0"/>
        <ser>
          <idx val="0"/>
          <order val="0"/>
          <tx>
            <strRef>
              <f>Dashboard!$S$3</f>
            </strRef>
          </tx>
          <spPr>
            <a:ln cmpd="sng">
              <a:solidFill>
                <a:srgbClr val="E53517"/>
              </a:solidFill>
              <a:prstDash val="solid"/>
            </a:ln>
          </spPr>
          <marker>
            <symbol val="circle"/>
            <size val="10"/>
            <spPr>
              <a:solidFill>
                <a:srgbClr val="E53517"/>
              </a:solidFill>
              <a:ln cmpd="sng">
                <a:solidFill>
                  <a:srgbClr val="E53517"/>
                </a:solidFill>
                <a:prstDash val="solid"/>
              </a:ln>
            </spPr>
          </marker>
          <dLbls>
            <numFmt formatCode="General"/>
            <txPr>
              <a:bodyPr/>
              <a:lstStyle/>
              <a:p>
                <a:pPr lvl="0">
                  <a:defRPr b="1" i="0"/>
                </a:pPr>
                <a:r>
                  <a:t/>
                </a:r>
              </a:p>
            </txPr>
            <showLegendKey val="0"/>
            <showVal val="1"/>
            <showCatName val="0"/>
            <showSerName val="0"/>
            <showPercent val="0"/>
            <showBubbleSize val="0"/>
          </dLbls>
          <cat>
            <strRef>
              <f>Dashboard!$T$2:$X$2</f>
            </strRef>
          </cat>
          <val>
            <numRef>
              <f>Dashboard!$T$3:$X$3</f>
              <numCache/>
            </numRef>
          </val>
          <smooth val="0"/>
        </ser>
        <axId val="1181348836"/>
        <axId val="2037845757"/>
      </lineChart>
      <catAx>
        <axId val="1181348836"/>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noFill/>
            <a:prstDash val="solid"/>
          </a:ln>
        </spPr>
        <txPr>
          <a:bodyPr/>
          <a:lstStyle/>
          <a:p>
            <a:pPr lvl="0">
              <a:defRPr b="0" i="0">
                <a:solidFill>
                  <a:srgbClr val="000000"/>
                </a:solidFill>
                <a:latin typeface="+mn-lt"/>
              </a:defRPr>
            </a:pPr>
            <a:r>
              <a:t/>
            </a:r>
          </a:p>
        </txPr>
        <crossAx val="2037845757"/>
        <lblOffset val="100"/>
      </catAx>
      <valAx>
        <axId val="2037845757"/>
        <scaling>
          <orientation val="minMax"/>
          <max val="6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noFill/>
            <a:prstDash val="solid"/>
          </a:ln>
        </spPr>
        <txPr>
          <a:bodyPr/>
          <a:lstStyle/>
          <a:p>
            <a:pPr lvl="0">
              <a:defRPr b="0" i="0">
                <a:solidFill>
                  <a:srgbClr val="000000"/>
                </a:solidFill>
                <a:latin typeface="+mn-lt"/>
              </a:defRPr>
            </a:pPr>
            <a:r>
              <a:t/>
            </a:r>
          </a:p>
        </txPr>
        <crossAx val="1181348836"/>
      </valAx>
    </plotArea>
    <legend>
      <legendPos val="r"/>
      <overlay val="0"/>
      <txPr>
        <a:bodyPr/>
        <a:lstStyle/>
        <a:p>
          <a:pPr lvl="0">
            <a:defRPr b="0" i="0">
              <a:solidFill>
                <a:srgbClr val="1A1A1A"/>
              </a:solidFill>
              <a:latin typeface="+mn-lt"/>
            </a:defRPr>
          </a:pPr>
          <a:r>
            <a:t/>
          </a:r>
        </a:p>
      </txPr>
    </legend>
    <plotVisOnly val="1"/>
    <dispBlanksAs val="gap"/>
  </chart>
</chartSpace>
</file>

<file path=xl/charts/chart9.xml><?xml version="1.0" encoding="utf-8"?>
<chartSpace xmlns:a="http://schemas.openxmlformats.org/drawingml/2006/main" xmlns="http://schemas.openxmlformats.org/drawingml/2006/chart">
  <chart>
    <title>
      <tx>
        <rich>
          <a:bodyPr/>
          <a:lstStyle/>
          <a:p>
            <a:pPr lvl="0">
              <a:defRPr b="1" i="0">
                <a:solidFill>
                  <a:srgbClr val="000000"/>
                </a:solidFill>
                <a:latin typeface="+mn-lt"/>
              </a:defRPr>
            </a:pPr>
            <a:r>
              <a:rPr b="1" i="0">
                <a:solidFill>
                  <a:srgbClr val="000000"/>
                </a:solidFill>
                <a:latin typeface="+mn-lt"/>
              </a:rPr>
              <a:t>Revenue/FTE</a:t>
            </a:r>
          </a:p>
        </rich>
      </tx>
      <overlay val="0"/>
    </title>
    <plotArea>
      <layout/>
      <lineChart>
        <grouping val="standard"/>
        <varyColors val="0"/>
        <ser>
          <idx val="0"/>
          <order val="0"/>
          <tx>
            <strRef>
              <f>Dashboard!$S$4</f>
            </strRef>
          </tx>
          <spPr>
            <a:ln cmpd="sng">
              <a:solidFill>
                <a:srgbClr val="E53517"/>
              </a:solidFill>
              <a:prstDash val="solid"/>
            </a:ln>
          </spPr>
          <marker>
            <symbol val="circle"/>
            <size val="10"/>
            <spPr>
              <a:solidFill>
                <a:srgbClr val="E53517"/>
              </a:solidFill>
              <a:ln cmpd="sng">
                <a:solidFill>
                  <a:srgbClr val="E53517"/>
                </a:solidFill>
                <a:prstDash val="solid"/>
              </a:ln>
            </spPr>
          </marker>
          <dLbls>
            <numFmt formatCode="General"/>
            <txPr>
              <a:bodyPr/>
              <a:lstStyle/>
              <a:p>
                <a:pPr lvl="0">
                  <a:defRPr b="1" i="0"/>
                </a:pPr>
                <a:r>
                  <a:t/>
                </a:r>
              </a:p>
            </txPr>
            <showLegendKey val="0"/>
            <showVal val="1"/>
            <showCatName val="0"/>
            <showSerName val="0"/>
            <showPercent val="0"/>
            <showBubbleSize val="0"/>
          </dLbls>
          <cat>
            <strRef>
              <f>Dashboard!$T$2:$X$2</f>
            </strRef>
          </cat>
          <val>
            <numRef>
              <f>Dashboard!$T$4:$X$4</f>
              <numCache/>
            </numRef>
          </val>
          <smooth val="0"/>
        </ser>
        <axId val="2022301766"/>
        <axId val="1770757875"/>
      </lineChart>
      <catAx>
        <axId val="2022301766"/>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noFill/>
            <a:prstDash val="solid"/>
          </a:ln>
        </spPr>
        <txPr>
          <a:bodyPr/>
          <a:lstStyle/>
          <a:p>
            <a:pPr lvl="0">
              <a:defRPr b="0" i="0">
                <a:solidFill>
                  <a:srgbClr val="000000"/>
                </a:solidFill>
                <a:latin typeface="+mn-lt"/>
              </a:defRPr>
            </a:pPr>
            <a:r>
              <a:t/>
            </a:r>
          </a:p>
        </txPr>
        <crossAx val="1770757875"/>
        <lblOffset val="100"/>
      </catAx>
      <valAx>
        <axId val="1770757875"/>
        <scaling>
          <orientation val="minMax"/>
          <max val="200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noFill/>
            <a:prstDash val="solid"/>
          </a:ln>
        </spPr>
        <txPr>
          <a:bodyPr/>
          <a:lstStyle/>
          <a:p>
            <a:pPr lvl="0">
              <a:defRPr b="0" i="0">
                <a:solidFill>
                  <a:srgbClr val="000000"/>
                </a:solidFill>
                <a:latin typeface="+mn-lt"/>
              </a:defRPr>
            </a:pPr>
            <a:r>
              <a:t/>
            </a:r>
          </a:p>
        </txPr>
        <crossAx val="2022301766"/>
      </valAx>
    </plotArea>
    <legend>
      <legendPos val="r"/>
      <overlay val="0"/>
      <txPr>
        <a:bodyPr/>
        <a:lstStyle/>
        <a:p>
          <a:pPr lvl="0">
            <a:defRPr b="0" i="0">
              <a:solidFill>
                <a:srgbClr val="1A1A1A"/>
              </a:solidFill>
              <a:latin typeface="+mn-lt"/>
            </a:defRPr>
          </a:pPr>
          <a:r>
            <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 Type="http://schemas.openxmlformats.org/officeDocument/2006/relationships/chart" Target="/xl/charts/chart7.xml" Id="rId3" /><Relationship Type="http://schemas.openxmlformats.org/officeDocument/2006/relationships/chart" Target="/xl/charts/chart8.xml" Id="rId4" /><Relationship Type="http://schemas.openxmlformats.org/officeDocument/2006/relationships/chart" Target="/xl/charts/chart9.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171450</colOff>
      <row>11</row>
      <rowOff>0</rowOff>
    </from>
    <ext cx="7105650" cy="440055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19</col>
      <colOff>695325</colOff>
      <row>10</row>
      <rowOff>123825</rowOff>
    </from>
    <ext cx="7105650" cy="440055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2</col>
      <colOff>133350</colOff>
      <row>32</row>
      <rowOff>104775</rowOff>
    </from>
    <ext cx="5715000" cy="3533775"/>
    <graphicFrame>
      <nvGraphicFramePr>
        <cNvPr id="3" name="Chart 3"/>
        <cNvGraphicFramePr/>
      </nvGraphicFramePr>
      <xfrm/>
      <a:graphic>
        <a:graphicData uri="http://schemas.openxmlformats.org/drawingml/2006/chart">
          <c:chart r:id="rId3"/>
        </a:graphicData>
      </a:graphic>
    </graphicFrame>
    <clientData fLocksWithSheet="0"/>
  </oneCellAnchor>
  <oneCellAnchor>
    <from>
      <col>0</col>
      <colOff>0</colOff>
      <row>10</row>
      <rowOff>133350</rowOff>
    </from>
    <ext cx="7105650" cy="4400550"/>
    <graphicFrame>
      <nvGraphicFramePr>
        <cNvPr id="4" name="Chart 4"/>
        <cNvGraphicFramePr/>
      </nvGraphicFramePr>
      <xfrm/>
      <a:graphic>
        <a:graphicData uri="http://schemas.openxmlformats.org/drawingml/2006/chart">
          <c:chart r:id="rId4"/>
        </a:graphicData>
      </a:graphic>
    </graphicFrame>
    <clientData fLocksWithSheet="0"/>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676275</colOff>
      <row>10</row>
      <rowOff>123825</rowOff>
    </from>
    <ext cx="5715000" cy="3533775"/>
    <graphicFrame>
      <nvGraphicFramePr>
        <cNvPr id="1" name="Chart 1"/>
        <cNvGraphicFramePr/>
      </nvGraphicFramePr>
      <xfrm/>
      <a:graphic>
        <a:graphicData uri="http://schemas.openxmlformats.org/drawingml/2006/chart">
          <c:chart r:id="rId1"/>
        </a:graphicData>
      </a:graphic>
    </graphicFrame>
    <clientData fLocksWithSheet="0"/>
  </oneCellAnchor>
  <oneCellAnchor>
    <from>
      <col>1</col>
      <colOff>1352550</colOff>
      <row>10</row>
      <rowOff>123825</rowOff>
    </from>
    <ext cx="5715000" cy="3533775"/>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col>
      <colOff>1219200</colOff>
      <row>29</row>
      <rowOff>38100</rowOff>
    </from>
    <ext cx="5715000" cy="3533775"/>
    <graphicFrame>
      <nvGraphicFramePr>
        <cNvPr id="3" name="Chart 3"/>
        <cNvGraphicFramePr/>
      </nvGraphicFramePr>
      <xfrm/>
      <a:graphic>
        <a:graphicData uri="http://schemas.openxmlformats.org/drawingml/2006/chart">
          <c:chart r:id="rId3"/>
        </a:graphicData>
      </a:graphic>
    </graphicFrame>
    <clientData fLocksWithSheet="0"/>
  </oneCellAnchor>
  <oneCellAnchor>
    <from>
      <col>9</col>
      <colOff>676275</colOff>
      <row>29</row>
      <rowOff>38100</rowOff>
    </from>
    <ext cx="5715000" cy="3533775"/>
    <graphicFrame>
      <nvGraphicFramePr>
        <cNvPr id="4" name="Chart 4"/>
        <cNvGraphicFramePr/>
      </nvGraphicFramePr>
      <xfrm/>
      <a:graphic>
        <a:graphicData uri="http://schemas.openxmlformats.org/drawingml/2006/chart">
          <c:chart r:id="rId4"/>
        </a:graphicData>
      </a:graphic>
    </graphicFrame>
    <clientData fLocksWithSheet="0"/>
  </oneCellAnchor>
  <oneCellAnchor>
    <from>
      <col>19</col>
      <colOff>257175</colOff>
      <row>10</row>
      <rowOff>123825</rowOff>
    </from>
    <ext cx="5715000" cy="3533775"/>
    <graphicFrame>
      <nvGraphicFramePr>
        <cNvPr id="5" name="Chart 5"/>
        <cNvGraphicFramePr/>
      </nvGraphicFramePr>
      <xfrm/>
      <a:graphic>
        <a:graphicData uri="http://schemas.openxmlformats.org/drawingml/2006/chart">
          <c:chart r:id="rId5"/>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9.xml.rels><Relationships xmlns="http://schemas.openxmlformats.org/package/2006/relationships"><Relationship Type="http://schemas.openxmlformats.org/officeDocument/2006/relationships/drawing" Target="/xl/drawings/drawing1.xml" Id="rId1" /></Relationships>
</file>

<file path=xl/worksheets/_rels/sheet10.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S29"/>
  <sheetViews>
    <sheetView showGridLines="0" workbookViewId="0">
      <selection activeCell="A1" sqref="A1"/>
    </sheetView>
  </sheetViews>
  <sheetFormatPr baseColWidth="8" defaultColWidth="14.43" defaultRowHeight="15" customHeight="1"/>
  <cols>
    <col width="8.859999999999999" customWidth="1" style="349" min="1" max="1"/>
    <col width="60" customWidth="1" style="349" min="2" max="2"/>
    <col width="8.859999999999999" customWidth="1" style="349" min="3" max="19"/>
  </cols>
  <sheetData>
    <row r="1" ht="15" customHeight="1" s="349">
      <c r="A1" s="3" t="n"/>
      <c r="B1" s="3" t="n"/>
      <c r="C1" s="3" t="n"/>
      <c r="D1" s="3" t="n"/>
      <c r="E1" s="3" t="n"/>
      <c r="F1" s="3" t="n"/>
      <c r="G1" s="3" t="n"/>
      <c r="H1" s="3" t="n"/>
      <c r="I1" s="3" t="n"/>
      <c r="J1" s="3" t="n"/>
      <c r="K1" s="3" t="n"/>
      <c r="L1" s="3" t="n"/>
      <c r="M1" s="3" t="n"/>
      <c r="N1" s="3" t="n"/>
      <c r="O1" s="3" t="n"/>
      <c r="P1" s="3" t="n"/>
      <c r="Q1" s="3" t="n"/>
      <c r="R1" s="3" t="n"/>
      <c r="S1" s="3" t="n"/>
    </row>
    <row r="2" ht="15" customHeight="1" s="349">
      <c r="A2" s="3" t="n"/>
      <c r="B2" s="3" t="n"/>
      <c r="C2" s="3" t="n"/>
      <c r="D2" s="3" t="n"/>
      <c r="E2" s="3" t="n"/>
      <c r="F2" s="3" t="n"/>
      <c r="G2" s="3" t="n"/>
      <c r="H2" s="3" t="n"/>
      <c r="I2" s="3" t="n"/>
      <c r="J2" s="3" t="n"/>
      <c r="K2" s="3" t="n"/>
      <c r="L2" s="3" t="n"/>
      <c r="M2" s="3" t="n"/>
      <c r="N2" s="3" t="n"/>
      <c r="O2" s="3" t="n"/>
      <c r="P2" s="3" t="n"/>
      <c r="Q2" s="3" t="n"/>
      <c r="R2" s="3" t="n"/>
      <c r="S2" s="3" t="n"/>
    </row>
    <row r="3" ht="15" customHeight="1" s="349">
      <c r="A3" s="3" t="n"/>
      <c r="B3" s="3" t="n"/>
      <c r="C3" s="3" t="n"/>
      <c r="D3" s="3" t="n"/>
      <c r="E3" s="3" t="n"/>
      <c r="F3" s="3" t="n"/>
      <c r="G3" s="3" t="n"/>
      <c r="H3" s="3" t="n"/>
      <c r="I3" s="3" t="n"/>
      <c r="J3" s="3" t="n"/>
      <c r="K3" s="3" t="n"/>
      <c r="L3" s="3" t="n"/>
      <c r="M3" s="3" t="n"/>
      <c r="N3" s="3" t="n"/>
      <c r="O3" s="3" t="n"/>
      <c r="P3" s="3" t="n"/>
      <c r="Q3" s="3" t="n"/>
      <c r="R3" s="3" t="n"/>
      <c r="S3" s="3" t="n"/>
    </row>
    <row r="4" ht="15" customHeight="1" s="349">
      <c r="A4" s="3" t="n"/>
      <c r="B4" s="3" t="n"/>
      <c r="C4" s="3" t="n"/>
      <c r="D4" s="3" t="n"/>
      <c r="E4" s="3" t="n"/>
      <c r="F4" s="3" t="n"/>
      <c r="G4" s="3" t="n"/>
      <c r="H4" s="3" t="n"/>
      <c r="I4" s="3" t="n"/>
      <c r="J4" s="3" t="n"/>
      <c r="K4" s="3" t="n"/>
      <c r="L4" s="3" t="n"/>
      <c r="M4" s="3" t="n"/>
      <c r="N4" s="3" t="n"/>
      <c r="O4" s="3" t="n"/>
      <c r="P4" s="3" t="n"/>
      <c r="Q4" s="3" t="n"/>
      <c r="R4" s="3" t="n"/>
      <c r="S4" s="3" t="n"/>
    </row>
    <row r="5" ht="24" customHeight="1" s="349">
      <c r="A5" s="3" t="n"/>
      <c r="B5" s="16" t="n"/>
      <c r="C5" s="3" t="n"/>
      <c r="D5" s="3" t="n"/>
      <c r="E5" s="3" t="n"/>
      <c r="F5" s="3" t="n"/>
      <c r="G5" s="3" t="n"/>
      <c r="H5" s="3" t="n"/>
      <c r="I5" s="3" t="n"/>
      <c r="J5" s="3" t="n"/>
      <c r="K5" s="3" t="n"/>
      <c r="L5" s="3" t="n"/>
      <c r="M5" s="3" t="n"/>
      <c r="N5" s="3" t="n"/>
      <c r="O5" s="3" t="n"/>
      <c r="P5" s="3" t="n"/>
      <c r="Q5" s="3" t="n"/>
      <c r="R5" s="3" t="n"/>
      <c r="S5" s="3" t="n"/>
    </row>
    <row r="6" ht="15" customHeight="1" s="349">
      <c r="A6" s="3" t="n"/>
      <c r="B6" s="16" t="n"/>
      <c r="C6" s="3" t="n"/>
      <c r="D6" s="3" t="n"/>
      <c r="E6" s="3" t="n"/>
      <c r="F6" s="3" t="n"/>
      <c r="G6" s="3" t="n"/>
      <c r="H6" s="3" t="n"/>
      <c r="I6" s="3" t="n"/>
      <c r="J6" s="3" t="n"/>
      <c r="K6" s="3" t="n"/>
      <c r="L6" s="3" t="n"/>
      <c r="M6" s="3" t="n"/>
      <c r="N6" s="3" t="n"/>
      <c r="O6" s="3" t="n"/>
      <c r="P6" s="3" t="n"/>
      <c r="Q6" s="3" t="n"/>
      <c r="R6" s="3" t="n"/>
      <c r="S6" s="3" t="n"/>
    </row>
    <row r="7" ht="15" customHeight="1" s="349">
      <c r="A7" s="3" t="n"/>
      <c r="B7" s="16" t="n"/>
      <c r="C7" s="3" t="n"/>
      <c r="D7" s="3" t="n"/>
      <c r="E7" s="3" t="n"/>
      <c r="F7" s="3" t="n"/>
      <c r="G7" s="3" t="n"/>
      <c r="H7" s="3" t="n"/>
      <c r="I7" s="3" t="n"/>
      <c r="J7" s="3" t="n"/>
      <c r="K7" s="3" t="n"/>
      <c r="L7" s="3" t="n"/>
      <c r="M7" s="3" t="n"/>
      <c r="N7" s="3" t="n"/>
      <c r="O7" s="3" t="n"/>
      <c r="P7" s="3" t="n"/>
      <c r="Q7" s="3" t="n"/>
      <c r="R7" s="3" t="n"/>
      <c r="S7" s="3" t="n"/>
    </row>
    <row r="8" ht="15" customHeight="1" s="349">
      <c r="A8" s="3" t="n"/>
      <c r="B8" s="16" t="n"/>
      <c r="C8" s="3" t="n"/>
      <c r="D8" s="3" t="n"/>
      <c r="E8" s="3" t="n"/>
      <c r="F8" s="3" t="n"/>
      <c r="G8" s="3" t="n"/>
      <c r="H8" s="3" t="n"/>
      <c r="I8" s="3" t="n"/>
      <c r="J8" s="3" t="n"/>
      <c r="K8" s="3" t="n"/>
      <c r="L8" s="3" t="n"/>
      <c r="M8" s="3" t="n"/>
      <c r="N8" s="3" t="n"/>
      <c r="O8" s="3" t="n"/>
      <c r="P8" s="3" t="n"/>
      <c r="Q8" s="3" t="n"/>
      <c r="R8" s="3" t="n"/>
      <c r="S8" s="3" t="n"/>
    </row>
    <row r="9" ht="15" customHeight="1" s="349">
      <c r="A9" s="3" t="n"/>
      <c r="B9" s="16" t="n"/>
      <c r="C9" s="3" t="n"/>
      <c r="D9" s="3" t="n"/>
      <c r="E9" s="3" t="n"/>
      <c r="F9" s="3" t="n"/>
      <c r="G9" s="3" t="n"/>
      <c r="H9" s="3" t="n"/>
      <c r="I9" s="3" t="n"/>
      <c r="J9" s="3" t="n"/>
      <c r="K9" s="3" t="n"/>
      <c r="L9" s="3" t="n"/>
      <c r="M9" s="3" t="n"/>
      <c r="N9" s="3" t="n"/>
      <c r="O9" s="3" t="n"/>
      <c r="P9" s="3" t="n"/>
      <c r="Q9" s="3" t="n"/>
      <c r="R9" s="3" t="n"/>
      <c r="S9" s="3" t="n"/>
    </row>
    <row r="10" ht="15" customHeight="1" s="349">
      <c r="A10" s="3" t="n"/>
      <c r="B10" s="16" t="n"/>
      <c r="C10" s="3" t="n"/>
      <c r="D10" s="3" t="n"/>
      <c r="E10" s="3" t="n"/>
      <c r="F10" s="3" t="n"/>
      <c r="G10" s="3" t="n"/>
      <c r="H10" s="3" t="n"/>
      <c r="I10" s="3" t="n"/>
      <c r="J10" s="3" t="n"/>
      <c r="K10" s="3" t="n"/>
      <c r="L10" s="3" t="n"/>
      <c r="M10" s="3" t="n"/>
      <c r="N10" s="3" t="n"/>
      <c r="O10" s="3" t="n"/>
      <c r="P10" s="3" t="n"/>
      <c r="Q10" s="3" t="n"/>
      <c r="R10" s="3" t="n"/>
      <c r="S10" s="3" t="n"/>
    </row>
    <row r="11" ht="15" customHeight="1" s="349">
      <c r="A11" s="3" t="n"/>
      <c r="B11" s="16" t="n"/>
      <c r="C11" s="3" t="n"/>
      <c r="D11" s="3" t="n"/>
      <c r="E11" s="3" t="n"/>
      <c r="F11" s="3" t="n"/>
      <c r="G11" s="3" t="n"/>
      <c r="H11" s="3" t="n"/>
      <c r="I11" s="3" t="n"/>
      <c r="J11" s="3" t="n"/>
      <c r="K11" s="3" t="n"/>
      <c r="L11" s="3" t="n"/>
      <c r="M11" s="3" t="n"/>
      <c r="N11" s="3" t="n"/>
      <c r="O11" s="3" t="n"/>
      <c r="P11" s="3" t="n"/>
      <c r="Q11" s="3" t="n"/>
      <c r="R11" s="3" t="n"/>
      <c r="S11" s="3" t="n"/>
    </row>
    <row r="12" ht="15" customHeight="1" s="349">
      <c r="A12" s="3" t="n"/>
      <c r="B12" s="16" t="n"/>
      <c r="C12" s="3" t="n"/>
      <c r="D12" s="3" t="n"/>
      <c r="E12" s="3" t="n"/>
      <c r="F12" s="3" t="n"/>
      <c r="G12" s="3" t="n"/>
      <c r="H12" s="3" t="n"/>
      <c r="I12" s="3" t="n"/>
      <c r="J12" s="3" t="n"/>
      <c r="K12" s="3" t="n"/>
      <c r="L12" s="3" t="n"/>
      <c r="M12" s="3" t="n"/>
      <c r="N12" s="3" t="n"/>
      <c r="O12" s="3" t="n"/>
      <c r="P12" s="3" t="n"/>
      <c r="Q12" s="3" t="n"/>
      <c r="R12" s="3" t="n"/>
      <c r="S12" s="3" t="n"/>
    </row>
    <row r="13" ht="25.5" customHeight="1" s="349">
      <c r="A13" s="3" t="n"/>
      <c r="B13" s="41" t="n"/>
      <c r="C13" s="3" t="n"/>
      <c r="D13" s="3" t="n"/>
      <c r="E13" s="3" t="n"/>
      <c r="F13" s="3" t="n"/>
      <c r="G13" s="3" t="n"/>
      <c r="H13" s="3" t="n"/>
      <c r="I13" s="3" t="n"/>
      <c r="J13" s="3" t="n"/>
      <c r="K13" s="3" t="n"/>
      <c r="L13" s="3" t="n"/>
      <c r="M13" s="3" t="n"/>
      <c r="N13" s="3" t="n"/>
      <c r="O13" s="3" t="n"/>
      <c r="P13" s="3" t="n"/>
      <c r="Q13" s="3" t="n"/>
      <c r="R13" s="3" t="n"/>
      <c r="S13" s="3" t="n"/>
    </row>
    <row r="14" ht="15" customHeight="1" s="349">
      <c r="A14" s="3" t="n"/>
      <c r="B14" s="3" t="n"/>
      <c r="C14" s="3" t="n"/>
      <c r="D14" s="3" t="n"/>
      <c r="E14" s="3" t="n"/>
      <c r="F14" s="3" t="n"/>
      <c r="G14" s="3" t="n"/>
      <c r="H14" s="3" t="n"/>
      <c r="I14" s="3" t="n"/>
      <c r="J14" s="3" t="n"/>
      <c r="K14" s="3" t="n"/>
      <c r="L14" s="3" t="n"/>
      <c r="M14" s="3" t="n"/>
      <c r="N14" s="3" t="n"/>
      <c r="O14" s="3" t="n"/>
      <c r="P14" s="3" t="n"/>
      <c r="Q14" s="3" t="n"/>
      <c r="R14" s="3" t="n"/>
      <c r="S14" s="3" t="n"/>
    </row>
    <row r="15" ht="15" customHeight="1" s="349">
      <c r="A15" s="3" t="n"/>
      <c r="B15" s="47" t="inlineStr">
        <is>
          <t xml:space="preserve">Financial Model </t>
        </is>
      </c>
      <c r="C15" s="3" t="n"/>
      <c r="D15" s="3" t="n"/>
      <c r="E15" s="3" t="n"/>
      <c r="F15" s="3" t="n"/>
      <c r="G15" s="3" t="n"/>
      <c r="H15" s="3" t="n"/>
      <c r="I15" s="3" t="n"/>
      <c r="J15" s="3" t="n"/>
      <c r="K15" s="3" t="n"/>
      <c r="L15" s="3" t="n"/>
      <c r="M15" s="3" t="n"/>
      <c r="N15" s="3" t="n"/>
      <c r="O15" s="3" t="n"/>
      <c r="P15" s="3" t="n"/>
      <c r="Q15" s="3" t="n"/>
      <c r="R15" s="3" t="n"/>
      <c r="S15" s="3" t="n"/>
    </row>
    <row r="16" ht="15" customHeight="1" s="349">
      <c r="A16" s="3" t="n"/>
      <c r="B16" s="3" t="n"/>
      <c r="C16" s="3" t="n"/>
      <c r="D16" s="3" t="n"/>
      <c r="E16" s="3" t="n"/>
      <c r="F16" s="3" t="n"/>
      <c r="G16" s="3" t="n"/>
      <c r="H16" s="3" t="n"/>
      <c r="I16" s="3" t="n"/>
      <c r="J16" s="3" t="n"/>
      <c r="K16" s="3" t="n"/>
      <c r="L16" s="3" t="n"/>
      <c r="M16" s="3" t="n"/>
      <c r="N16" s="3" t="n"/>
      <c r="O16" s="3" t="n"/>
      <c r="P16" s="3" t="n"/>
      <c r="Q16" s="3" t="n"/>
      <c r="R16" s="3" t="n"/>
      <c r="S16" s="3" t="n"/>
    </row>
    <row r="17" ht="15" customHeight="1" s="349">
      <c r="A17" s="3" t="n"/>
      <c r="B17" s="54" t="n"/>
      <c r="C17" s="3" t="n"/>
      <c r="D17" s="3" t="n"/>
      <c r="E17" s="3" t="n"/>
      <c r="F17" s="3" t="n"/>
      <c r="G17" s="3" t="n"/>
      <c r="H17" s="3" t="n"/>
      <c r="I17" s="3" t="n"/>
      <c r="J17" s="3" t="n"/>
      <c r="K17" s="3" t="n"/>
      <c r="L17" s="3" t="n"/>
      <c r="M17" s="3" t="n"/>
      <c r="N17" s="3" t="n"/>
      <c r="O17" s="3" t="n"/>
      <c r="P17" s="3" t="n"/>
      <c r="Q17" s="3" t="n"/>
      <c r="R17" s="3" t="n"/>
      <c r="S17" s="3" t="n"/>
    </row>
    <row r="18" ht="15" customHeight="1" s="349">
      <c r="A18" s="3" t="n"/>
      <c r="B18" s="54" t="n"/>
      <c r="C18" s="3" t="n"/>
      <c r="D18" s="3" t="n"/>
      <c r="E18" s="3" t="n"/>
      <c r="F18" s="3" t="n"/>
      <c r="G18" s="3" t="n"/>
      <c r="H18" s="3" t="n"/>
      <c r="I18" s="3" t="n"/>
      <c r="J18" s="3" t="n"/>
      <c r="K18" s="3" t="n"/>
      <c r="L18" s="3" t="n"/>
      <c r="M18" s="3" t="n"/>
      <c r="N18" s="3" t="n"/>
      <c r="O18" s="3" t="n"/>
      <c r="P18" s="3" t="n"/>
      <c r="Q18" s="3" t="n"/>
      <c r="R18" s="3" t="n"/>
      <c r="S18" s="3" t="n"/>
    </row>
    <row r="19" ht="15" customHeight="1" s="349">
      <c r="A19" s="3" t="n"/>
      <c r="B19" s="54" t="inlineStr">
        <is>
          <t xml:space="preserve">Currency: EUR (€) </t>
        </is>
      </c>
      <c r="C19" s="3" t="n"/>
      <c r="D19" s="3" t="n"/>
      <c r="E19" s="3" t="n"/>
      <c r="F19" s="3" t="n"/>
      <c r="G19" s="3" t="n"/>
      <c r="H19" s="3" t="n"/>
      <c r="I19" s="3" t="n"/>
      <c r="J19" s="3" t="n"/>
      <c r="K19" s="3" t="n"/>
      <c r="L19" s="3" t="n"/>
      <c r="M19" s="3" t="n"/>
      <c r="N19" s="3" t="n"/>
      <c r="O19" s="3" t="n"/>
      <c r="P19" s="3" t="n"/>
      <c r="Q19" s="3" t="n"/>
      <c r="R19" s="3" t="n"/>
      <c r="S19" s="3" t="n"/>
    </row>
    <row r="20" ht="15" customHeight="1" s="349">
      <c r="A20" s="3" t="n"/>
      <c r="B20" s="3" t="n"/>
      <c r="C20" s="3" t="n"/>
      <c r="D20" s="3" t="n"/>
      <c r="E20" s="3" t="n"/>
      <c r="F20" s="3" t="n"/>
      <c r="G20" s="3" t="n"/>
      <c r="H20" s="3" t="n"/>
      <c r="I20" s="3" t="n"/>
      <c r="J20" s="3" t="n"/>
      <c r="K20" s="3" t="n"/>
      <c r="L20" s="3" t="n"/>
      <c r="M20" s="3" t="n"/>
      <c r="N20" s="3" t="n"/>
      <c r="O20" s="3" t="n"/>
      <c r="P20" s="3" t="n"/>
      <c r="Q20" s="3" t="n"/>
      <c r="R20" s="3" t="n"/>
      <c r="S20" s="3" t="n"/>
    </row>
    <row r="21" ht="15.75" customHeight="1" s="349">
      <c r="A21" s="3" t="n"/>
      <c r="B21" s="60" t="inlineStr">
        <is>
          <t>STRICTLY CONFIDENTIAL</t>
        </is>
      </c>
      <c r="C21" s="3" t="n"/>
      <c r="D21" s="3" t="n"/>
      <c r="E21" s="3" t="n"/>
      <c r="F21" s="3" t="n"/>
      <c r="G21" s="3" t="n"/>
      <c r="H21" s="3" t="n"/>
      <c r="I21" s="3" t="n"/>
      <c r="J21" s="3" t="n"/>
      <c r="K21" s="3" t="n"/>
      <c r="L21" s="3" t="n"/>
      <c r="M21" s="3" t="n"/>
      <c r="N21" s="3" t="n"/>
      <c r="O21" s="3" t="n"/>
      <c r="P21" s="3" t="n"/>
      <c r="Q21" s="3" t="n"/>
      <c r="R21" s="3" t="n"/>
      <c r="S21" s="3" t="n"/>
    </row>
    <row r="22" ht="15.75" customHeight="1" s="349">
      <c r="A22" s="3" t="n"/>
      <c r="B22" s="3" t="n"/>
      <c r="C22" s="3" t="n"/>
      <c r="D22" s="3" t="n"/>
      <c r="E22" s="3" t="n"/>
      <c r="F22" s="3" t="n"/>
      <c r="G22" s="3" t="n"/>
      <c r="H22" s="3" t="n"/>
      <c r="I22" s="3" t="n"/>
      <c r="J22" s="3" t="n"/>
      <c r="K22" s="3" t="n"/>
      <c r="L22" s="3" t="n"/>
      <c r="M22" s="3" t="n"/>
      <c r="N22" s="3" t="n"/>
      <c r="O22" s="3" t="n"/>
      <c r="P22" s="3" t="n"/>
      <c r="Q22" s="3" t="n"/>
      <c r="R22" s="3" t="n"/>
      <c r="S22" s="3" t="n"/>
    </row>
    <row r="23" ht="15.75" customHeight="1" s="349">
      <c r="A23" s="3" t="n"/>
      <c r="B23" s="3" t="n"/>
      <c r="C23" s="3" t="n"/>
      <c r="D23" s="3" t="n"/>
      <c r="E23" s="3" t="n"/>
      <c r="F23" s="3" t="n"/>
      <c r="G23" s="3" t="n"/>
      <c r="H23" s="3" t="n"/>
      <c r="I23" s="3" t="n"/>
      <c r="J23" s="3" t="n"/>
      <c r="K23" s="3" t="n"/>
      <c r="L23" s="3" t="n"/>
      <c r="M23" s="3" t="n"/>
      <c r="N23" s="3" t="n"/>
      <c r="O23" s="3" t="n"/>
      <c r="P23" s="3" t="n"/>
      <c r="Q23" s="3" t="n"/>
      <c r="R23" s="3" t="n"/>
      <c r="S23" s="3" t="n"/>
    </row>
    <row r="24" ht="15.75" customHeight="1" s="349">
      <c r="A24" s="3" t="n"/>
      <c r="B24" s="3" t="n"/>
      <c r="C24" s="3" t="n"/>
      <c r="D24" s="3" t="n"/>
      <c r="E24" s="3" t="n"/>
      <c r="F24" s="3" t="n"/>
      <c r="G24" s="3" t="n"/>
      <c r="H24" s="3" t="n"/>
      <c r="I24" s="3" t="n"/>
      <c r="J24" s="3" t="n"/>
      <c r="K24" s="3" t="n"/>
      <c r="L24" s="3" t="n"/>
      <c r="M24" s="3" t="n"/>
      <c r="N24" s="3" t="n"/>
      <c r="O24" s="3" t="n"/>
      <c r="P24" s="3" t="n"/>
      <c r="Q24" s="3" t="n"/>
      <c r="R24" s="3" t="n"/>
      <c r="S24" s="3" t="n"/>
    </row>
    <row r="25" ht="15.75" customHeight="1" s="349">
      <c r="A25" s="3" t="n"/>
      <c r="B25" s="3" t="n"/>
      <c r="C25" s="3" t="n"/>
      <c r="D25" s="3" t="n"/>
      <c r="E25" s="3" t="n"/>
      <c r="F25" s="3" t="n"/>
      <c r="G25" s="3" t="n"/>
      <c r="H25" s="3" t="n"/>
      <c r="I25" s="3" t="n"/>
      <c r="J25" s="3" t="n"/>
      <c r="K25" s="3" t="n"/>
      <c r="L25" s="3" t="n"/>
      <c r="M25" s="3" t="n"/>
      <c r="N25" s="3" t="n"/>
      <c r="O25" s="3" t="n"/>
      <c r="P25" s="3" t="n"/>
      <c r="Q25" s="3" t="n"/>
      <c r="R25" s="3" t="n"/>
      <c r="S25" s="3" t="n"/>
    </row>
    <row r="26" ht="15.75" customHeight="1" s="349">
      <c r="A26" s="3" t="n"/>
      <c r="B26" s="3" t="n"/>
      <c r="C26" s="3" t="n"/>
      <c r="D26" s="3" t="n"/>
      <c r="E26" s="3" t="n"/>
      <c r="F26" s="3" t="n"/>
      <c r="G26" s="3" t="n"/>
      <c r="H26" s="3" t="n"/>
      <c r="I26" s="3" t="n"/>
      <c r="J26" s="3" t="n"/>
      <c r="K26" s="3" t="n"/>
      <c r="L26" s="3" t="n"/>
      <c r="M26" s="3" t="n"/>
      <c r="N26" s="3" t="n"/>
      <c r="O26" s="3" t="n"/>
      <c r="P26" s="3" t="n"/>
      <c r="Q26" s="3" t="n"/>
      <c r="R26" s="3" t="n"/>
      <c r="S26" s="3" t="n"/>
    </row>
    <row r="27" ht="15.75" customHeight="1" s="349">
      <c r="A27" s="3" t="n"/>
      <c r="B27" s="3" t="n"/>
      <c r="C27" s="3" t="n"/>
      <c r="D27" s="3" t="n"/>
      <c r="E27" s="3" t="n"/>
      <c r="F27" s="3" t="n"/>
      <c r="G27" s="3" t="n"/>
      <c r="H27" s="3" t="n"/>
      <c r="I27" s="3" t="n"/>
      <c r="J27" s="3" t="n"/>
      <c r="K27" s="3" t="n"/>
      <c r="L27" s="3" t="n"/>
      <c r="M27" s="3" t="n"/>
      <c r="N27" s="3" t="n"/>
      <c r="O27" s="3" t="n"/>
      <c r="P27" s="3" t="n"/>
      <c r="Q27" s="3" t="n"/>
      <c r="R27" s="3" t="n"/>
      <c r="S27" s="3" t="n"/>
    </row>
    <row r="28" ht="15.75" customHeight="1" s="349">
      <c r="A28" s="3" t="n"/>
      <c r="B28" s="3" t="n"/>
      <c r="C28" s="3" t="n"/>
      <c r="D28" s="3" t="n"/>
      <c r="E28" s="3" t="n"/>
      <c r="F28" s="3" t="n"/>
      <c r="G28" s="3" t="n"/>
      <c r="H28" s="3" t="n"/>
      <c r="I28" s="3" t="n"/>
      <c r="J28" s="3" t="n"/>
      <c r="K28" s="3" t="n"/>
      <c r="L28" s="3" t="n"/>
      <c r="M28" s="3" t="n"/>
      <c r="N28" s="3" t="n"/>
      <c r="O28" s="3" t="n"/>
      <c r="P28" s="3" t="n"/>
      <c r="Q28" s="3" t="n"/>
      <c r="R28" s="3" t="n"/>
      <c r="S28" s="3" t="n"/>
    </row>
    <row r="29" ht="15.75" customHeight="1" s="349">
      <c r="A29" s="3" t="n"/>
      <c r="B29" s="3" t="n"/>
      <c r="C29" s="3" t="n"/>
      <c r="D29" s="3" t="n"/>
      <c r="E29" s="3" t="n"/>
      <c r="F29" s="3" t="n"/>
      <c r="G29" s="3" t="n"/>
      <c r="H29" s="3" t="n"/>
      <c r="I29" s="3" t="n"/>
      <c r="J29" s="3" t="n"/>
      <c r="K29" s="3" t="n"/>
      <c r="L29" s="3" t="n"/>
      <c r="M29" s="3" t="n"/>
      <c r="N29" s="3" t="n"/>
      <c r="O29" s="3" t="n"/>
      <c r="P29" s="3" t="n"/>
      <c r="Q29" s="3" t="n"/>
      <c r="R29" s="3" t="n"/>
      <c r="S29" s="3" t="n"/>
    </row>
    <row r="30" ht="15.75" customHeight="1" s="349"/>
    <row r="31" ht="15.75" customHeight="1" s="349"/>
    <row r="32" ht="15.75" customHeight="1" s="349"/>
    <row r="33" ht="15.75" customHeight="1" s="349"/>
    <row r="34" ht="15.75" customHeight="1" s="349"/>
    <row r="35" ht="15.75" customHeight="1" s="349"/>
    <row r="36" ht="15.75" customHeight="1" s="349"/>
    <row r="37" ht="15.75" customHeight="1" s="349"/>
    <row r="38" ht="15.75" customHeight="1" s="349"/>
    <row r="39" ht="15.75" customHeight="1" s="349"/>
    <row r="40" ht="15.75" customHeight="1" s="349"/>
    <row r="41" ht="15.75" customHeight="1" s="349"/>
    <row r="42" ht="15.75" customHeight="1" s="349"/>
    <row r="43" ht="15.75" customHeight="1" s="349"/>
    <row r="44" ht="15.75" customHeight="1" s="349"/>
    <row r="45" ht="15.75" customHeight="1" s="349"/>
    <row r="46" ht="15.75" customHeight="1" s="349"/>
    <row r="47" ht="15.75" customHeight="1" s="349"/>
    <row r="48" ht="15.75" customHeight="1" s="349"/>
    <row r="49" ht="15.75" customHeight="1" s="349"/>
    <row r="50" ht="15.75" customHeight="1" s="349"/>
    <row r="51" ht="15.75" customHeight="1" s="349"/>
    <row r="52" ht="15.75" customHeight="1" s="349"/>
    <row r="53" ht="15.75" customHeight="1" s="349"/>
    <row r="54" ht="15.75" customHeight="1" s="349"/>
    <row r="55" ht="15.75" customHeight="1" s="349"/>
    <row r="56" ht="15.75" customHeight="1" s="349"/>
    <row r="57" ht="15.75" customHeight="1" s="349"/>
    <row r="58" ht="15.75" customHeight="1" s="349"/>
    <row r="59" ht="15.75" customHeight="1" s="349"/>
    <row r="60" ht="15.75" customHeight="1" s="349"/>
    <row r="61" ht="15.75" customHeight="1" s="349"/>
    <row r="62" ht="15.75" customHeight="1" s="349"/>
    <row r="63" ht="15.75" customHeight="1" s="349"/>
    <row r="64" ht="15.75" customHeight="1" s="349"/>
    <row r="65" ht="15.75" customHeight="1" s="349"/>
    <row r="66" ht="15.75" customHeight="1" s="349"/>
    <row r="67" ht="15.75" customHeight="1" s="349"/>
    <row r="68" ht="15.75" customHeight="1" s="349"/>
    <row r="69" ht="15.75" customHeight="1" s="349"/>
    <row r="70" ht="15.75" customHeight="1" s="349"/>
    <row r="71" ht="15.75" customHeight="1" s="349"/>
    <row r="72" ht="15.75" customHeight="1" s="349"/>
    <row r="73" ht="15.75" customHeight="1" s="349"/>
    <row r="74" ht="15.75" customHeight="1" s="349"/>
    <row r="75" ht="15.75" customHeight="1" s="349"/>
    <row r="76" ht="15.75" customHeight="1" s="349"/>
    <row r="77" ht="15.75" customHeight="1" s="349"/>
    <row r="78" ht="15.75" customHeight="1" s="349"/>
    <row r="79" ht="15.75" customHeight="1" s="349"/>
    <row r="80" ht="15.75" customHeight="1" s="349"/>
    <row r="81" ht="15.75" customHeight="1" s="349"/>
    <row r="82" ht="15.75" customHeight="1" s="349"/>
    <row r="83" ht="15.75" customHeight="1" s="349"/>
    <row r="84" ht="15.75" customHeight="1" s="349"/>
    <row r="85" ht="15.75" customHeight="1" s="349"/>
    <row r="86" ht="15.75" customHeight="1" s="349"/>
    <row r="87" ht="15.75" customHeight="1" s="349"/>
    <row r="88" ht="15.75" customHeight="1" s="349"/>
    <row r="89" ht="15.75" customHeight="1" s="349"/>
    <row r="90" ht="15.75" customHeight="1" s="349"/>
    <row r="91" ht="15.75" customHeight="1" s="349"/>
    <row r="92" ht="15.75" customHeight="1" s="349"/>
    <row r="93" ht="15.75" customHeight="1" s="349"/>
    <row r="94" ht="15.75" customHeight="1" s="349"/>
    <row r="95" ht="15.75" customHeight="1" s="349"/>
    <row r="96" ht="15.75" customHeight="1" s="349"/>
    <row r="97" ht="15.75" customHeight="1" s="349"/>
    <row r="98" ht="15.75" customHeight="1" s="349"/>
    <row r="99" ht="15.75" customHeight="1" s="349"/>
    <row r="100" ht="15.75" customHeight="1" s="349"/>
    <row r="101" ht="15.75" customHeight="1" s="349"/>
    <row r="102" ht="15.75" customHeight="1" s="349"/>
    <row r="103" ht="15.75" customHeight="1" s="349"/>
    <row r="104" ht="15.75" customHeight="1" s="349"/>
    <row r="105" ht="15.75" customHeight="1" s="349"/>
    <row r="106" ht="15.75" customHeight="1" s="349"/>
    <row r="107" ht="15.75" customHeight="1" s="349"/>
    <row r="108" ht="15.75" customHeight="1" s="349"/>
    <row r="109" ht="15.75" customHeight="1" s="349"/>
    <row r="110" ht="15.75" customHeight="1" s="349"/>
    <row r="111" ht="15.75" customHeight="1" s="349"/>
    <row r="112" ht="15.75" customHeight="1" s="349"/>
    <row r="113" ht="15.75" customHeight="1" s="349"/>
    <row r="114" ht="15.75" customHeight="1" s="349"/>
    <row r="115" ht="15.75" customHeight="1" s="349"/>
    <row r="116" ht="15.75" customHeight="1" s="349"/>
    <row r="117" ht="15.75" customHeight="1" s="349"/>
    <row r="118" ht="15.75" customHeight="1" s="349"/>
    <row r="119" ht="15.75" customHeight="1" s="349"/>
    <row r="120" ht="15.75" customHeight="1" s="349"/>
    <row r="121" ht="15.75" customHeight="1" s="349"/>
    <row r="122" ht="15.75" customHeight="1" s="349"/>
    <row r="123" ht="15.75" customHeight="1" s="349"/>
    <row r="124" ht="15.75" customHeight="1" s="349"/>
    <row r="125" ht="15.75" customHeight="1" s="349"/>
    <row r="126" ht="15.75" customHeight="1" s="349"/>
    <row r="127" ht="15.75" customHeight="1" s="349"/>
    <row r="128" ht="15.75" customHeight="1" s="349"/>
    <row r="129" ht="15.75" customHeight="1" s="349"/>
    <row r="130" ht="15.75" customHeight="1" s="349"/>
    <row r="131" ht="15.75" customHeight="1" s="349"/>
    <row r="132" ht="15.75" customHeight="1" s="349"/>
    <row r="133" ht="15.75" customHeight="1" s="349"/>
    <row r="134" ht="15.75" customHeight="1" s="349"/>
    <row r="135" ht="15.75" customHeight="1" s="349"/>
    <row r="136" ht="15.75" customHeight="1" s="349"/>
    <row r="137" ht="15.75" customHeight="1" s="349"/>
    <row r="138" ht="15.75" customHeight="1" s="349"/>
    <row r="139" ht="15.75" customHeight="1" s="349"/>
    <row r="140" ht="15.75" customHeight="1" s="349"/>
    <row r="141" ht="15.75" customHeight="1" s="349"/>
    <row r="142" ht="15.75" customHeight="1" s="349"/>
    <row r="143" ht="15.75" customHeight="1" s="349"/>
    <row r="144" ht="15.75" customHeight="1" s="349"/>
    <row r="145" ht="15.75" customHeight="1" s="349"/>
    <row r="146" ht="15.75" customHeight="1" s="349"/>
    <row r="147" ht="15.75" customHeight="1" s="349"/>
    <row r="148" ht="15.75" customHeight="1" s="349"/>
    <row r="149" ht="15.75" customHeight="1" s="349"/>
    <row r="150" ht="15.75" customHeight="1" s="349"/>
    <row r="151" ht="15.75" customHeight="1" s="349"/>
    <row r="152" ht="15.75" customHeight="1" s="349"/>
    <row r="153" ht="15.75" customHeight="1" s="349"/>
    <row r="154" ht="15.75" customHeight="1" s="349"/>
    <row r="155" ht="15.75" customHeight="1" s="349"/>
    <row r="156" ht="15.75" customHeight="1" s="349"/>
    <row r="157" ht="15.75" customHeight="1" s="349"/>
    <row r="158" ht="15.75" customHeight="1" s="349"/>
    <row r="159" ht="15.75" customHeight="1" s="349"/>
    <row r="160" ht="15.75" customHeight="1" s="349"/>
    <row r="161" ht="15.75" customHeight="1" s="349"/>
    <row r="162" ht="15.75" customHeight="1" s="349"/>
    <row r="163" ht="15.75" customHeight="1" s="349"/>
    <row r="164" ht="15.75" customHeight="1" s="349"/>
    <row r="165" ht="15.75" customHeight="1" s="349"/>
    <row r="166" ht="15.75" customHeight="1" s="349"/>
    <row r="167" ht="15.75" customHeight="1" s="349"/>
    <row r="168" ht="15.75" customHeight="1" s="349"/>
    <row r="169" ht="15.75" customHeight="1" s="349"/>
    <row r="170" ht="15.75" customHeight="1" s="349"/>
    <row r="171" ht="15.75" customHeight="1" s="349"/>
    <row r="172" ht="15.75" customHeight="1" s="349"/>
    <row r="173" ht="15.75" customHeight="1" s="349"/>
    <row r="174" ht="15.75" customHeight="1" s="349"/>
    <row r="175" ht="15.75" customHeight="1" s="349"/>
    <row r="176" ht="15.75" customHeight="1" s="349"/>
    <row r="177" ht="15.75" customHeight="1" s="349"/>
    <row r="178" ht="15.75" customHeight="1" s="349"/>
    <row r="179" ht="15.75" customHeight="1" s="349"/>
    <row r="180" ht="15.75" customHeight="1" s="349"/>
    <row r="181" ht="15.75" customHeight="1" s="349"/>
    <row r="182" ht="15.75" customHeight="1" s="349"/>
    <row r="183" ht="15.75" customHeight="1" s="349"/>
    <row r="184" ht="15.75" customHeight="1" s="349"/>
    <row r="185" ht="15.75" customHeight="1" s="349"/>
    <row r="186" ht="15.75" customHeight="1" s="349"/>
    <row r="187" ht="15.75" customHeight="1" s="349"/>
    <row r="188" ht="15.75" customHeight="1" s="349"/>
    <row r="189" ht="15.75" customHeight="1" s="349"/>
    <row r="190" ht="15.75" customHeight="1" s="349"/>
    <row r="191" ht="15.75" customHeight="1" s="349"/>
    <row r="192" ht="15.75" customHeight="1" s="349"/>
    <row r="193" ht="15.75" customHeight="1" s="349"/>
    <row r="194" ht="15.75" customHeight="1" s="349"/>
    <row r="195" ht="15.75" customHeight="1" s="349"/>
    <row r="196" ht="15.75" customHeight="1" s="349"/>
    <row r="197" ht="15.75" customHeight="1" s="349"/>
    <row r="198" ht="15.75" customHeight="1" s="349"/>
    <row r="199" ht="15.75" customHeight="1" s="349"/>
    <row r="200" ht="15.75" customHeight="1" s="349"/>
    <row r="201" ht="15.75" customHeight="1" s="349"/>
    <row r="202" ht="15.75" customHeight="1" s="349"/>
    <row r="203" ht="15.75" customHeight="1" s="349"/>
    <row r="204" ht="15.75" customHeight="1" s="349"/>
    <row r="205" ht="15.75" customHeight="1" s="349"/>
    <row r="206" ht="15.75" customHeight="1" s="349"/>
    <row r="207" ht="15.75" customHeight="1" s="349"/>
    <row r="208" ht="15.75" customHeight="1" s="349"/>
    <row r="209" ht="15.75" customHeight="1" s="349"/>
    <row r="210" ht="15.75" customHeight="1" s="349"/>
    <row r="211" ht="15.75" customHeight="1" s="349"/>
    <row r="212" ht="15.75" customHeight="1" s="349"/>
    <row r="213" ht="15.75" customHeight="1" s="349"/>
    <row r="214" ht="15.75" customHeight="1" s="349"/>
    <row r="215" ht="15.75" customHeight="1" s="349"/>
    <row r="216" ht="15.75" customHeight="1" s="349"/>
    <row r="217" ht="15.75" customHeight="1" s="349"/>
    <row r="218" ht="15.75" customHeight="1" s="349"/>
    <row r="219" ht="15.75" customHeight="1" s="349"/>
    <row r="220" ht="15.75" customHeight="1" s="349"/>
    <row r="221" ht="15.75" customHeight="1" s="349"/>
    <row r="222" ht="15.75" customHeight="1" s="349"/>
    <row r="223" ht="15.75" customHeight="1" s="349"/>
    <row r="224" ht="15.75" customHeight="1" s="349"/>
    <row r="225" ht="15.75" customHeight="1" s="349"/>
    <row r="226" ht="15.75" customHeight="1" s="349"/>
    <row r="227" ht="15.75" customHeight="1" s="349"/>
    <row r="228" ht="15.75" customHeight="1" s="349"/>
    <row r="229" ht="15.75" customHeight="1" s="349"/>
    <row r="230" ht="15.75" customHeight="1" s="349"/>
    <row r="231" ht="15.75" customHeight="1" s="349"/>
    <row r="232" ht="15.75" customHeight="1" s="349"/>
    <row r="233" ht="15.75" customHeight="1" s="349"/>
    <row r="234" ht="15.75" customHeight="1" s="349"/>
    <row r="235" ht="15.75" customHeight="1" s="349"/>
    <row r="236" ht="15.75" customHeight="1" s="349"/>
    <row r="237" ht="15.75" customHeight="1" s="349"/>
    <row r="238" ht="15.75" customHeight="1" s="349"/>
    <row r="239" ht="15.75" customHeight="1" s="349"/>
    <row r="240" ht="15.75" customHeight="1" s="349"/>
    <row r="241" ht="15.75" customHeight="1" s="349"/>
    <row r="242" ht="15.75" customHeight="1" s="349"/>
    <row r="243" ht="15.75" customHeight="1" s="349"/>
    <row r="244" ht="15.75" customHeight="1" s="349"/>
    <row r="245" ht="15.75" customHeight="1" s="349"/>
    <row r="246" ht="15.75" customHeight="1" s="349"/>
    <row r="247" ht="15.75" customHeight="1" s="349"/>
    <row r="248" ht="15.75" customHeight="1" s="349"/>
    <row r="249" ht="15.75" customHeight="1" s="349"/>
    <row r="250" ht="15.75" customHeight="1" s="349"/>
    <row r="251" ht="15.75" customHeight="1" s="349"/>
    <row r="252" ht="15.75" customHeight="1" s="349"/>
    <row r="253" ht="15.75" customHeight="1" s="349"/>
    <row r="254" ht="15.75" customHeight="1" s="349"/>
    <row r="255" ht="15.75" customHeight="1" s="349"/>
    <row r="256" ht="15.75" customHeight="1" s="349"/>
    <row r="257" ht="15.75" customHeight="1" s="349"/>
    <row r="258" ht="15.75" customHeight="1" s="349"/>
    <row r="259" ht="15.75" customHeight="1" s="349"/>
    <row r="260" ht="15.75" customHeight="1" s="349"/>
    <row r="261" ht="15.75" customHeight="1" s="349"/>
    <row r="262" ht="15.75" customHeight="1" s="349"/>
    <row r="263" ht="15.75" customHeight="1" s="349"/>
    <row r="264" ht="15.75" customHeight="1" s="349"/>
    <row r="265" ht="15.75" customHeight="1" s="349"/>
    <row r="266" ht="15.75" customHeight="1" s="349"/>
    <row r="267" ht="15.75" customHeight="1" s="349"/>
    <row r="268" ht="15.75" customHeight="1" s="349"/>
    <row r="269" ht="15.75" customHeight="1" s="349"/>
    <row r="270" ht="15.75" customHeight="1" s="349"/>
    <row r="271" ht="15.75" customHeight="1" s="349"/>
    <row r="272" ht="15.75" customHeight="1" s="349"/>
    <row r="273" ht="15.75" customHeight="1" s="349"/>
    <row r="274" ht="15.75" customHeight="1" s="349"/>
    <row r="275" ht="15.75" customHeight="1" s="349"/>
    <row r="276" ht="15.75" customHeight="1" s="349"/>
    <row r="277" ht="15.75" customHeight="1" s="349"/>
    <row r="278" ht="15.75" customHeight="1" s="349"/>
    <row r="279" ht="15.75" customHeight="1" s="349"/>
    <row r="280" ht="15.75" customHeight="1" s="349"/>
    <row r="281" ht="15.75" customHeight="1" s="349"/>
    <row r="282" ht="15.75" customHeight="1" s="349"/>
    <row r="283" ht="15.75" customHeight="1" s="349"/>
    <row r="284" ht="15.75" customHeight="1" s="349"/>
    <row r="285" ht="15.75" customHeight="1" s="349"/>
    <row r="286" ht="15.75" customHeight="1" s="349"/>
    <row r="287" ht="15.75" customHeight="1" s="349"/>
    <row r="288" ht="15.75" customHeight="1" s="349"/>
    <row r="289" ht="15.75" customHeight="1" s="349"/>
    <row r="290" ht="15.75" customHeight="1" s="349"/>
    <row r="291" ht="15.75" customHeight="1" s="349"/>
    <row r="292" ht="15.75" customHeight="1" s="349"/>
    <row r="293" ht="15.75" customHeight="1" s="349"/>
    <row r="294" ht="15.75" customHeight="1" s="349"/>
    <row r="295" ht="15.75" customHeight="1" s="349"/>
    <row r="296" ht="15.75" customHeight="1" s="349"/>
    <row r="297" ht="15.75" customHeight="1" s="349"/>
    <row r="298" ht="15.75" customHeight="1" s="349"/>
    <row r="299" ht="15.75" customHeight="1" s="349"/>
    <row r="300" ht="15.75" customHeight="1" s="349"/>
    <row r="301" ht="15.75" customHeight="1" s="349"/>
    <row r="302" ht="15.75" customHeight="1" s="349"/>
    <row r="303" ht="15.75" customHeight="1" s="349"/>
    <row r="304" ht="15.75" customHeight="1" s="349"/>
    <row r="305" ht="15.75" customHeight="1" s="349"/>
    <row r="306" ht="15.75" customHeight="1" s="349"/>
    <row r="307" ht="15.75" customHeight="1" s="349"/>
    <row r="308" ht="15.75" customHeight="1" s="349"/>
    <row r="309" ht="15.75" customHeight="1" s="349"/>
    <row r="310" ht="15.75" customHeight="1" s="349"/>
    <row r="311" ht="15.75" customHeight="1" s="349"/>
    <row r="312" ht="15.75" customHeight="1" s="349"/>
    <row r="313" ht="15.75" customHeight="1" s="349"/>
    <row r="314" ht="15.75" customHeight="1" s="349"/>
    <row r="315" ht="15.75" customHeight="1" s="349"/>
    <row r="316" ht="15.75" customHeight="1" s="349"/>
    <row r="317" ht="15.75" customHeight="1" s="349"/>
    <row r="318" ht="15.75" customHeight="1" s="349"/>
    <row r="319" ht="15.75" customHeight="1" s="349"/>
    <row r="320" ht="15.75" customHeight="1" s="349"/>
    <row r="321" ht="15.75" customHeight="1" s="349"/>
    <row r="322" ht="15.75" customHeight="1" s="349"/>
    <row r="323" ht="15.75" customHeight="1" s="349"/>
    <row r="324" ht="15.75" customHeight="1" s="349"/>
    <row r="325" ht="15.75" customHeight="1" s="349"/>
    <row r="326" ht="15.75" customHeight="1" s="349"/>
    <row r="327" ht="15.75" customHeight="1" s="349"/>
    <row r="328" ht="15.75" customHeight="1" s="349"/>
    <row r="329" ht="15.75" customHeight="1" s="349"/>
    <row r="330" ht="15.75" customHeight="1" s="349"/>
    <row r="331" ht="15.75" customHeight="1" s="349"/>
    <row r="332" ht="15.75" customHeight="1" s="349"/>
    <row r="333" ht="15.75" customHeight="1" s="349"/>
    <row r="334" ht="15.75" customHeight="1" s="349"/>
    <row r="335" ht="15.75" customHeight="1" s="349"/>
    <row r="336" ht="15.75" customHeight="1" s="349"/>
    <row r="337" ht="15.75" customHeight="1" s="349"/>
    <row r="338" ht="15.75" customHeight="1" s="349"/>
    <row r="339" ht="15.75" customHeight="1" s="349"/>
    <row r="340" ht="15.75" customHeight="1" s="349"/>
    <row r="341" ht="15.75" customHeight="1" s="349"/>
    <row r="342" ht="15.75" customHeight="1" s="349"/>
    <row r="343" ht="15.75" customHeight="1" s="349"/>
    <row r="344" ht="15.75" customHeight="1" s="349"/>
    <row r="345" ht="15.75" customHeight="1" s="349"/>
    <row r="346" ht="15.75" customHeight="1" s="349"/>
    <row r="347" ht="15.75" customHeight="1" s="349"/>
    <row r="348" ht="15.75" customHeight="1" s="349"/>
    <row r="349" ht="15.75" customHeight="1" s="349"/>
    <row r="350" ht="15.75" customHeight="1" s="349"/>
    <row r="351" ht="15.75" customHeight="1" s="349"/>
    <row r="352" ht="15.75" customHeight="1" s="349"/>
    <row r="353" ht="15.75" customHeight="1" s="349"/>
    <row r="354" ht="15.75" customHeight="1" s="349"/>
    <row r="355" ht="15.75" customHeight="1" s="349"/>
    <row r="356" ht="15.75" customHeight="1" s="349"/>
    <row r="357" ht="15.75" customHeight="1" s="349"/>
    <row r="358" ht="15.75" customHeight="1" s="349"/>
    <row r="359" ht="15.75" customHeight="1" s="349"/>
    <row r="360" ht="15.75" customHeight="1" s="349"/>
    <row r="361" ht="15.75" customHeight="1" s="349"/>
    <row r="362" ht="15.75" customHeight="1" s="349"/>
    <row r="363" ht="15.75" customHeight="1" s="349"/>
    <row r="364" ht="15.75" customHeight="1" s="349"/>
    <row r="365" ht="15.75" customHeight="1" s="349"/>
    <row r="366" ht="15.75" customHeight="1" s="349"/>
    <row r="367" ht="15.75" customHeight="1" s="349"/>
    <row r="368" ht="15.75" customHeight="1" s="349"/>
    <row r="369" ht="15.75" customHeight="1" s="349"/>
    <row r="370" ht="15.75" customHeight="1" s="349"/>
    <row r="371" ht="15.75" customHeight="1" s="349"/>
    <row r="372" ht="15.75" customHeight="1" s="349"/>
    <row r="373" ht="15.75" customHeight="1" s="349"/>
    <row r="374" ht="15.75" customHeight="1" s="349"/>
    <row r="375" ht="15.75" customHeight="1" s="349"/>
    <row r="376" ht="15.75" customHeight="1" s="349"/>
    <row r="377" ht="15.75" customHeight="1" s="349"/>
    <row r="378" ht="15.75" customHeight="1" s="349"/>
    <row r="379" ht="15.75" customHeight="1" s="349"/>
    <row r="380" ht="15.75" customHeight="1" s="349"/>
    <row r="381" ht="15.75" customHeight="1" s="349"/>
    <row r="382" ht="15.75" customHeight="1" s="349"/>
    <row r="383" ht="15.75" customHeight="1" s="349"/>
    <row r="384" ht="15.75" customHeight="1" s="349"/>
    <row r="385" ht="15.75" customHeight="1" s="349"/>
    <row r="386" ht="15.75" customHeight="1" s="349"/>
    <row r="387" ht="15.75" customHeight="1" s="349"/>
    <row r="388" ht="15.75" customHeight="1" s="349"/>
    <row r="389" ht="15.75" customHeight="1" s="349"/>
    <row r="390" ht="15.75" customHeight="1" s="349"/>
    <row r="391" ht="15.75" customHeight="1" s="349"/>
    <row r="392" ht="15.75" customHeight="1" s="349"/>
    <row r="393" ht="15.75" customHeight="1" s="349"/>
    <row r="394" ht="15.75" customHeight="1" s="349"/>
    <row r="395" ht="15.75" customHeight="1" s="349"/>
    <row r="396" ht="15.75" customHeight="1" s="349"/>
    <row r="397" ht="15.75" customHeight="1" s="349"/>
    <row r="398" ht="15.75" customHeight="1" s="349"/>
    <row r="399" ht="15.75" customHeight="1" s="349"/>
    <row r="400" ht="15.75" customHeight="1" s="349"/>
    <row r="401" ht="15.75" customHeight="1" s="349"/>
    <row r="402" ht="15.75" customHeight="1" s="349"/>
    <row r="403" ht="15.75" customHeight="1" s="349"/>
    <row r="404" ht="15.75" customHeight="1" s="349"/>
    <row r="405" ht="15.75" customHeight="1" s="349"/>
    <row r="406" ht="15.75" customHeight="1" s="349"/>
    <row r="407" ht="15.75" customHeight="1" s="349"/>
    <row r="408" ht="15.75" customHeight="1" s="349"/>
    <row r="409" ht="15.75" customHeight="1" s="349"/>
    <row r="410" ht="15.75" customHeight="1" s="349"/>
    <row r="411" ht="15.75" customHeight="1" s="349"/>
    <row r="412" ht="15.75" customHeight="1" s="349"/>
    <row r="413" ht="15.75" customHeight="1" s="349"/>
    <row r="414" ht="15.75" customHeight="1" s="349"/>
    <row r="415" ht="15.75" customHeight="1" s="349"/>
    <row r="416" ht="15.75" customHeight="1" s="349"/>
    <row r="417" ht="15.75" customHeight="1" s="349"/>
    <row r="418" ht="15.75" customHeight="1" s="349"/>
    <row r="419" ht="15.75" customHeight="1" s="349"/>
    <row r="420" ht="15.75" customHeight="1" s="349"/>
    <row r="421" ht="15.75" customHeight="1" s="349"/>
    <row r="422" ht="15.75" customHeight="1" s="349"/>
    <row r="423" ht="15.75" customHeight="1" s="349"/>
    <row r="424" ht="15.75" customHeight="1" s="349"/>
    <row r="425" ht="15.75" customHeight="1" s="349"/>
    <row r="426" ht="15.75" customHeight="1" s="349"/>
    <row r="427" ht="15.75" customHeight="1" s="349"/>
    <row r="428" ht="15.75" customHeight="1" s="349"/>
    <row r="429" ht="15.75" customHeight="1" s="349"/>
    <row r="430" ht="15.75" customHeight="1" s="349"/>
    <row r="431" ht="15.75" customHeight="1" s="349"/>
    <row r="432" ht="15.75" customHeight="1" s="349"/>
    <row r="433" ht="15.75" customHeight="1" s="349"/>
    <row r="434" ht="15.75" customHeight="1" s="349"/>
    <row r="435" ht="15.75" customHeight="1" s="349"/>
    <row r="436" ht="15.75" customHeight="1" s="349"/>
    <row r="437" ht="15.75" customHeight="1" s="349"/>
    <row r="438" ht="15.75" customHeight="1" s="349"/>
    <row r="439" ht="15.75" customHeight="1" s="349"/>
    <row r="440" ht="15.75" customHeight="1" s="349"/>
    <row r="441" ht="15.75" customHeight="1" s="349"/>
    <row r="442" ht="15.75" customHeight="1" s="349"/>
    <row r="443" ht="15.75" customHeight="1" s="349"/>
    <row r="444" ht="15.75" customHeight="1" s="349"/>
    <row r="445" ht="15.75" customHeight="1" s="349"/>
    <row r="446" ht="15.75" customHeight="1" s="349"/>
    <row r="447" ht="15.75" customHeight="1" s="349"/>
    <row r="448" ht="15.75" customHeight="1" s="349"/>
    <row r="449" ht="15.75" customHeight="1" s="349"/>
    <row r="450" ht="15.75" customHeight="1" s="349"/>
    <row r="451" ht="15.75" customHeight="1" s="349"/>
    <row r="452" ht="15.75" customHeight="1" s="349"/>
    <row r="453" ht="15.75" customHeight="1" s="349"/>
    <row r="454" ht="15.75" customHeight="1" s="349"/>
    <row r="455" ht="15.75" customHeight="1" s="349"/>
    <row r="456" ht="15.75" customHeight="1" s="349"/>
    <row r="457" ht="15.75" customHeight="1" s="349"/>
    <row r="458" ht="15.75" customHeight="1" s="349"/>
    <row r="459" ht="15.75" customHeight="1" s="349"/>
    <row r="460" ht="15.75" customHeight="1" s="349"/>
    <row r="461" ht="15.75" customHeight="1" s="349"/>
    <row r="462" ht="15.75" customHeight="1" s="349"/>
    <row r="463" ht="15.75" customHeight="1" s="349"/>
    <row r="464" ht="15.75" customHeight="1" s="349"/>
    <row r="465" ht="15.75" customHeight="1" s="349"/>
    <row r="466" ht="15.75" customHeight="1" s="349"/>
    <row r="467" ht="15.75" customHeight="1" s="349"/>
    <row r="468" ht="15.75" customHeight="1" s="349"/>
    <row r="469" ht="15.75" customHeight="1" s="349"/>
    <row r="470" ht="15.75" customHeight="1" s="349"/>
    <row r="471" ht="15.75" customHeight="1" s="349"/>
    <row r="472" ht="15.75" customHeight="1" s="349"/>
    <row r="473" ht="15.75" customHeight="1" s="349"/>
    <row r="474" ht="15.75" customHeight="1" s="349"/>
    <row r="475" ht="15.75" customHeight="1" s="349"/>
    <row r="476" ht="15.75" customHeight="1" s="349"/>
    <row r="477" ht="15.75" customHeight="1" s="349"/>
    <row r="478" ht="15.75" customHeight="1" s="349"/>
    <row r="479" ht="15.75" customHeight="1" s="349"/>
    <row r="480" ht="15.75" customHeight="1" s="349"/>
    <row r="481" ht="15.75" customHeight="1" s="349"/>
    <row r="482" ht="15.75" customHeight="1" s="349"/>
    <row r="483" ht="15.75" customHeight="1" s="349"/>
    <row r="484" ht="15.75" customHeight="1" s="349"/>
    <row r="485" ht="15.75" customHeight="1" s="349"/>
    <row r="486" ht="15.75" customHeight="1" s="349"/>
    <row r="487" ht="15.75" customHeight="1" s="349"/>
    <row r="488" ht="15.75" customHeight="1" s="349"/>
    <row r="489" ht="15.75" customHeight="1" s="349"/>
    <row r="490" ht="15.75" customHeight="1" s="349"/>
    <row r="491" ht="15.75" customHeight="1" s="349"/>
    <row r="492" ht="15.75" customHeight="1" s="349"/>
    <row r="493" ht="15.75" customHeight="1" s="349"/>
    <row r="494" ht="15.75" customHeight="1" s="349"/>
    <row r="495" ht="15.75" customHeight="1" s="349"/>
    <row r="496" ht="15.75" customHeight="1" s="349"/>
    <row r="497" ht="15.75" customHeight="1" s="349"/>
    <row r="498" ht="15.75" customHeight="1" s="349"/>
    <row r="499" ht="15.75" customHeight="1" s="349"/>
    <row r="500" ht="15.75" customHeight="1" s="349"/>
    <row r="501" ht="15.75" customHeight="1" s="349"/>
    <row r="502" ht="15.75" customHeight="1" s="349"/>
    <row r="503" ht="15.75" customHeight="1" s="349"/>
    <row r="504" ht="15.75" customHeight="1" s="349"/>
    <row r="505" ht="15.75" customHeight="1" s="349"/>
    <row r="506" ht="15.75" customHeight="1" s="349"/>
    <row r="507" ht="15.75" customHeight="1" s="349"/>
    <row r="508" ht="15.75" customHeight="1" s="349"/>
    <row r="509" ht="15.75" customHeight="1" s="349"/>
    <row r="510" ht="15.75" customHeight="1" s="349"/>
    <row r="511" ht="15.75" customHeight="1" s="349"/>
    <row r="512" ht="15.75" customHeight="1" s="349"/>
    <row r="513" ht="15.75" customHeight="1" s="349"/>
    <row r="514" ht="15.75" customHeight="1" s="349"/>
    <row r="515" ht="15.75" customHeight="1" s="349"/>
    <row r="516" ht="15.75" customHeight="1" s="349"/>
    <row r="517" ht="15.75" customHeight="1" s="349"/>
    <row r="518" ht="15.75" customHeight="1" s="349"/>
    <row r="519" ht="15.75" customHeight="1" s="349"/>
    <row r="520" ht="15.75" customHeight="1" s="349"/>
    <row r="521" ht="15.75" customHeight="1" s="349"/>
    <row r="522" ht="15.75" customHeight="1" s="349"/>
    <row r="523" ht="15.75" customHeight="1" s="349"/>
    <row r="524" ht="15.75" customHeight="1" s="349"/>
    <row r="525" ht="15.75" customHeight="1" s="349"/>
    <row r="526" ht="15.75" customHeight="1" s="349"/>
    <row r="527" ht="15.75" customHeight="1" s="349"/>
    <row r="528" ht="15.75" customHeight="1" s="349"/>
    <row r="529" ht="15.75" customHeight="1" s="349"/>
    <row r="530" ht="15.75" customHeight="1" s="349"/>
    <row r="531" ht="15.75" customHeight="1" s="349"/>
    <row r="532" ht="15.75" customHeight="1" s="349"/>
    <row r="533" ht="15.75" customHeight="1" s="349"/>
    <row r="534" ht="15.75" customHeight="1" s="349"/>
    <row r="535" ht="15.75" customHeight="1" s="349"/>
    <row r="536" ht="15.75" customHeight="1" s="349"/>
    <row r="537" ht="15.75" customHeight="1" s="349"/>
    <row r="538" ht="15.75" customHeight="1" s="349"/>
    <row r="539" ht="15.75" customHeight="1" s="349"/>
    <row r="540" ht="15.75" customHeight="1" s="349"/>
    <row r="541" ht="15.75" customHeight="1" s="349"/>
    <row r="542" ht="15.75" customHeight="1" s="349"/>
    <row r="543" ht="15.75" customHeight="1" s="349"/>
    <row r="544" ht="15.75" customHeight="1" s="349"/>
    <row r="545" ht="15.75" customHeight="1" s="349"/>
    <row r="546" ht="15.75" customHeight="1" s="349"/>
    <row r="547" ht="15.75" customHeight="1" s="349"/>
    <row r="548" ht="15.75" customHeight="1" s="349"/>
    <row r="549" ht="15.75" customHeight="1" s="349"/>
    <row r="550" ht="15.75" customHeight="1" s="349"/>
    <row r="551" ht="15.75" customHeight="1" s="349"/>
    <row r="552" ht="15.75" customHeight="1" s="349"/>
    <row r="553" ht="15.75" customHeight="1" s="349"/>
    <row r="554" ht="15.75" customHeight="1" s="349"/>
    <row r="555" ht="15.75" customHeight="1" s="349"/>
    <row r="556" ht="15.75" customHeight="1" s="349"/>
    <row r="557" ht="15.75" customHeight="1" s="349"/>
    <row r="558" ht="15.75" customHeight="1" s="349"/>
    <row r="559" ht="15.75" customHeight="1" s="349"/>
    <row r="560" ht="15.75" customHeight="1" s="349"/>
    <row r="561" ht="15.75" customHeight="1" s="349"/>
    <row r="562" ht="15.75" customHeight="1" s="349"/>
    <row r="563" ht="15.75" customHeight="1" s="349"/>
    <row r="564" ht="15.75" customHeight="1" s="349"/>
    <row r="565" ht="15.75" customHeight="1" s="349"/>
    <row r="566" ht="15.75" customHeight="1" s="349"/>
    <row r="567" ht="15.75" customHeight="1" s="349"/>
    <row r="568" ht="15.75" customHeight="1" s="349"/>
    <row r="569" ht="15.75" customHeight="1" s="349"/>
    <row r="570" ht="15.75" customHeight="1" s="349"/>
    <row r="571" ht="15.75" customHeight="1" s="349"/>
    <row r="572" ht="15.75" customHeight="1" s="349"/>
    <row r="573" ht="15.75" customHeight="1" s="349"/>
    <row r="574" ht="15.75" customHeight="1" s="349"/>
    <row r="575" ht="15.75" customHeight="1" s="349"/>
    <row r="576" ht="15.75" customHeight="1" s="349"/>
    <row r="577" ht="15.75" customHeight="1" s="349"/>
    <row r="578" ht="15.75" customHeight="1" s="349"/>
    <row r="579" ht="15.75" customHeight="1" s="349"/>
    <row r="580" ht="15.75" customHeight="1" s="349"/>
    <row r="581" ht="15.75" customHeight="1" s="349"/>
    <row r="582" ht="15.75" customHeight="1" s="349"/>
    <row r="583" ht="15.75" customHeight="1" s="349"/>
    <row r="584" ht="15.75" customHeight="1" s="349"/>
    <row r="585" ht="15.75" customHeight="1" s="349"/>
    <row r="586" ht="15.75" customHeight="1" s="349"/>
    <row r="587" ht="15.75" customHeight="1" s="349"/>
    <row r="588" ht="15.75" customHeight="1" s="349"/>
    <row r="589" ht="15.75" customHeight="1" s="349"/>
    <row r="590" ht="15.75" customHeight="1" s="349"/>
    <row r="591" ht="15.75" customHeight="1" s="349"/>
    <row r="592" ht="15.75" customHeight="1" s="349"/>
    <row r="593" ht="15.75" customHeight="1" s="349"/>
    <row r="594" ht="15.75" customHeight="1" s="349"/>
    <row r="595" ht="15.75" customHeight="1" s="349"/>
    <row r="596" ht="15.75" customHeight="1" s="349"/>
    <row r="597" ht="15.75" customHeight="1" s="349"/>
    <row r="598" ht="15.75" customHeight="1" s="349"/>
    <row r="599" ht="15.75" customHeight="1" s="349"/>
    <row r="600" ht="15.75" customHeight="1" s="349"/>
    <row r="601" ht="15.75" customHeight="1" s="349"/>
    <row r="602" ht="15.75" customHeight="1" s="349"/>
    <row r="603" ht="15.75" customHeight="1" s="349"/>
    <row r="604" ht="15.75" customHeight="1" s="349"/>
    <row r="605" ht="15.75" customHeight="1" s="349"/>
    <row r="606" ht="15.75" customHeight="1" s="349"/>
    <row r="607" ht="15.75" customHeight="1" s="349"/>
    <row r="608" ht="15.75" customHeight="1" s="349"/>
    <row r="609" ht="15.75" customHeight="1" s="349"/>
    <row r="610" ht="15.75" customHeight="1" s="349"/>
    <row r="611" ht="15.75" customHeight="1" s="349"/>
    <row r="612" ht="15.75" customHeight="1" s="349"/>
    <row r="613" ht="15.75" customHeight="1" s="349"/>
    <row r="614" ht="15.75" customHeight="1" s="349"/>
    <row r="615" ht="15.75" customHeight="1" s="349"/>
    <row r="616" ht="15.75" customHeight="1" s="349"/>
    <row r="617" ht="15.75" customHeight="1" s="349"/>
    <row r="618" ht="15.75" customHeight="1" s="349"/>
    <row r="619" ht="15.75" customHeight="1" s="349"/>
    <row r="620" ht="15.75" customHeight="1" s="349"/>
    <row r="621" ht="15.75" customHeight="1" s="349"/>
    <row r="622" ht="15.75" customHeight="1" s="349"/>
    <row r="623" ht="15.75" customHeight="1" s="349"/>
    <row r="624" ht="15.75" customHeight="1" s="349"/>
    <row r="625" ht="15.75" customHeight="1" s="349"/>
    <row r="626" ht="15.75" customHeight="1" s="349"/>
    <row r="627" ht="15.75" customHeight="1" s="349"/>
    <row r="628" ht="15.75" customHeight="1" s="349"/>
    <row r="629" ht="15.75" customHeight="1" s="349"/>
    <row r="630" ht="15.75" customHeight="1" s="349"/>
    <row r="631" ht="15.75" customHeight="1" s="349"/>
    <row r="632" ht="15.75" customHeight="1" s="349"/>
    <row r="633" ht="15.75" customHeight="1" s="349"/>
    <row r="634" ht="15.75" customHeight="1" s="349"/>
    <row r="635" ht="15.75" customHeight="1" s="349"/>
    <row r="636" ht="15.75" customHeight="1" s="349"/>
    <row r="637" ht="15.75" customHeight="1" s="349"/>
    <row r="638" ht="15.75" customHeight="1" s="349"/>
    <row r="639" ht="15.75" customHeight="1" s="349"/>
    <row r="640" ht="15.75" customHeight="1" s="349"/>
    <row r="641" ht="15.75" customHeight="1" s="349"/>
    <row r="642" ht="15.75" customHeight="1" s="349"/>
    <row r="643" ht="15.75" customHeight="1" s="349"/>
    <row r="644" ht="15.75" customHeight="1" s="349"/>
    <row r="645" ht="15.75" customHeight="1" s="349"/>
    <row r="646" ht="15.75" customHeight="1" s="349"/>
    <row r="647" ht="15.75" customHeight="1" s="349"/>
    <row r="648" ht="15.75" customHeight="1" s="349"/>
    <row r="649" ht="15.75" customHeight="1" s="349"/>
    <row r="650" ht="15.75" customHeight="1" s="349"/>
    <row r="651" ht="15.75" customHeight="1" s="349"/>
    <row r="652" ht="15.75" customHeight="1" s="349"/>
    <row r="653" ht="15.75" customHeight="1" s="349"/>
    <row r="654" ht="15.75" customHeight="1" s="349"/>
    <row r="655" ht="15.75" customHeight="1" s="349"/>
    <row r="656" ht="15.75" customHeight="1" s="349"/>
    <row r="657" ht="15.75" customHeight="1" s="349"/>
    <row r="658" ht="15.75" customHeight="1" s="349"/>
    <row r="659" ht="15.75" customHeight="1" s="349"/>
    <row r="660" ht="15.75" customHeight="1" s="349"/>
    <row r="661" ht="15.75" customHeight="1" s="349"/>
    <row r="662" ht="15.75" customHeight="1" s="349"/>
    <row r="663" ht="15.75" customHeight="1" s="349"/>
    <row r="664" ht="15.75" customHeight="1" s="349"/>
    <row r="665" ht="15.75" customHeight="1" s="349"/>
    <row r="666" ht="15.75" customHeight="1" s="349"/>
    <row r="667" ht="15.75" customHeight="1" s="349"/>
    <row r="668" ht="15.75" customHeight="1" s="349"/>
    <row r="669" ht="15.75" customHeight="1" s="349"/>
    <row r="670" ht="15.75" customHeight="1" s="349"/>
    <row r="671" ht="15.75" customHeight="1" s="349"/>
    <row r="672" ht="15.75" customHeight="1" s="349"/>
    <row r="673" ht="15.75" customHeight="1" s="349"/>
    <row r="674" ht="15.75" customHeight="1" s="349"/>
    <row r="675" ht="15.75" customHeight="1" s="349"/>
    <row r="676" ht="15.75" customHeight="1" s="349"/>
    <row r="677" ht="15.75" customHeight="1" s="349"/>
    <row r="678" ht="15.75" customHeight="1" s="349"/>
    <row r="679" ht="15.75" customHeight="1" s="349"/>
    <row r="680" ht="15.75" customHeight="1" s="349"/>
    <row r="681" ht="15.75" customHeight="1" s="349"/>
    <row r="682" ht="15.75" customHeight="1" s="349"/>
    <row r="683" ht="15.75" customHeight="1" s="349"/>
    <row r="684" ht="15.75" customHeight="1" s="349"/>
    <row r="685" ht="15.75" customHeight="1" s="349"/>
    <row r="686" ht="15.75" customHeight="1" s="349"/>
    <row r="687" ht="15.75" customHeight="1" s="349"/>
    <row r="688" ht="15.75" customHeight="1" s="349"/>
    <row r="689" ht="15.75" customHeight="1" s="349"/>
    <row r="690" ht="15.75" customHeight="1" s="349"/>
    <row r="691" ht="15.75" customHeight="1" s="349"/>
    <row r="692" ht="15.75" customHeight="1" s="349"/>
    <row r="693" ht="15.75" customHeight="1" s="349"/>
    <row r="694" ht="15.75" customHeight="1" s="349"/>
    <row r="695" ht="15.75" customHeight="1" s="349"/>
    <row r="696" ht="15.75" customHeight="1" s="349"/>
    <row r="697" ht="15.75" customHeight="1" s="349"/>
    <row r="698" ht="15.75" customHeight="1" s="349"/>
    <row r="699" ht="15.75" customHeight="1" s="349"/>
    <row r="700" ht="15.75" customHeight="1" s="349"/>
    <row r="701" ht="15.75" customHeight="1" s="349"/>
    <row r="702" ht="15.75" customHeight="1" s="349"/>
    <row r="703" ht="15.75" customHeight="1" s="349"/>
    <row r="704" ht="15.75" customHeight="1" s="349"/>
    <row r="705" ht="15.75" customHeight="1" s="349"/>
    <row r="706" ht="15.75" customHeight="1" s="349"/>
    <row r="707" ht="15.75" customHeight="1" s="349"/>
    <row r="708" ht="15.75" customHeight="1" s="349"/>
    <row r="709" ht="15.75" customHeight="1" s="349"/>
    <row r="710" ht="15.75" customHeight="1" s="349"/>
    <row r="711" ht="15.75" customHeight="1" s="349"/>
    <row r="712" ht="15.75" customHeight="1" s="349"/>
    <row r="713" ht="15.75" customHeight="1" s="349"/>
    <row r="714" ht="15.75" customHeight="1" s="349"/>
    <row r="715" ht="15.75" customHeight="1" s="349"/>
    <row r="716" ht="15.75" customHeight="1" s="349"/>
    <row r="717" ht="15.75" customHeight="1" s="349"/>
    <row r="718" ht="15.75" customHeight="1" s="349"/>
    <row r="719" ht="15.75" customHeight="1" s="349"/>
    <row r="720" ht="15.75" customHeight="1" s="349"/>
    <row r="721" ht="15.75" customHeight="1" s="349"/>
    <row r="722" ht="15.75" customHeight="1" s="349"/>
    <row r="723" ht="15.75" customHeight="1" s="349"/>
    <row r="724" ht="15.75" customHeight="1" s="349"/>
    <row r="725" ht="15.75" customHeight="1" s="349"/>
    <row r="726" ht="15.75" customHeight="1" s="349"/>
    <row r="727" ht="15.75" customHeight="1" s="349"/>
    <row r="728" ht="15.75" customHeight="1" s="349"/>
    <row r="729" ht="15.75" customHeight="1" s="349"/>
    <row r="730" ht="15.75" customHeight="1" s="349"/>
    <row r="731" ht="15.75" customHeight="1" s="349"/>
    <row r="732" ht="15.75" customHeight="1" s="349"/>
    <row r="733" ht="15.75" customHeight="1" s="349"/>
    <row r="734" ht="15.75" customHeight="1" s="349"/>
    <row r="735" ht="15.75" customHeight="1" s="349"/>
    <row r="736" ht="15.75" customHeight="1" s="349"/>
    <row r="737" ht="15.75" customHeight="1" s="349"/>
    <row r="738" ht="15.75" customHeight="1" s="349"/>
    <row r="739" ht="15.75" customHeight="1" s="349"/>
    <row r="740" ht="15.75" customHeight="1" s="349"/>
    <row r="741" ht="15.75" customHeight="1" s="349"/>
    <row r="742" ht="15.75" customHeight="1" s="349"/>
    <row r="743" ht="15.75" customHeight="1" s="349"/>
    <row r="744" ht="15.75" customHeight="1" s="349"/>
    <row r="745" ht="15.75" customHeight="1" s="349"/>
    <row r="746" ht="15.75" customHeight="1" s="349"/>
    <row r="747" ht="15.75" customHeight="1" s="349"/>
    <row r="748" ht="15.75" customHeight="1" s="349"/>
    <row r="749" ht="15.75" customHeight="1" s="349"/>
    <row r="750" ht="15.75" customHeight="1" s="349"/>
    <row r="751" ht="15.75" customHeight="1" s="349"/>
    <row r="752" ht="15.75" customHeight="1" s="349"/>
    <row r="753" ht="15.75" customHeight="1" s="349"/>
    <row r="754" ht="15.75" customHeight="1" s="349"/>
    <row r="755" ht="15.75" customHeight="1" s="349"/>
    <row r="756" ht="15.75" customHeight="1" s="349"/>
    <row r="757" ht="15.75" customHeight="1" s="349"/>
    <row r="758" ht="15.75" customHeight="1" s="349"/>
    <row r="759" ht="15.75" customHeight="1" s="349"/>
    <row r="760" ht="15.75" customHeight="1" s="349"/>
    <row r="761" ht="15.75" customHeight="1" s="349"/>
    <row r="762" ht="15.75" customHeight="1" s="349"/>
    <row r="763" ht="15.75" customHeight="1" s="349"/>
    <row r="764" ht="15.75" customHeight="1" s="349"/>
    <row r="765" ht="15.75" customHeight="1" s="349"/>
    <row r="766" ht="15.75" customHeight="1" s="349"/>
    <row r="767" ht="15.75" customHeight="1" s="349"/>
    <row r="768" ht="15.75" customHeight="1" s="349"/>
    <row r="769" ht="15.75" customHeight="1" s="349"/>
    <row r="770" ht="15.75" customHeight="1" s="349"/>
    <row r="771" ht="15.75" customHeight="1" s="349"/>
    <row r="772" ht="15.75" customHeight="1" s="349"/>
    <row r="773" ht="15.75" customHeight="1" s="349"/>
    <row r="774" ht="15.75" customHeight="1" s="349"/>
    <row r="775" ht="15.75" customHeight="1" s="349"/>
    <row r="776" ht="15.75" customHeight="1" s="349"/>
    <row r="777" ht="15.75" customHeight="1" s="349"/>
    <row r="778" ht="15.75" customHeight="1" s="349"/>
    <row r="779" ht="15.75" customHeight="1" s="349"/>
    <row r="780" ht="15.75" customHeight="1" s="349"/>
    <row r="781" ht="15.75" customHeight="1" s="349"/>
    <row r="782" ht="15.75" customHeight="1" s="349"/>
    <row r="783" ht="15.75" customHeight="1" s="349"/>
    <row r="784" ht="15.75" customHeight="1" s="349"/>
    <row r="785" ht="15.75" customHeight="1" s="349"/>
    <row r="786" ht="15.75" customHeight="1" s="349"/>
    <row r="787" ht="15.75" customHeight="1" s="349"/>
    <row r="788" ht="15.75" customHeight="1" s="349"/>
    <row r="789" ht="15.75" customHeight="1" s="349"/>
    <row r="790" ht="15.75" customHeight="1" s="349"/>
    <row r="791" ht="15.75" customHeight="1" s="349"/>
    <row r="792" ht="15.75" customHeight="1" s="349"/>
    <row r="793" ht="15.75" customHeight="1" s="349"/>
    <row r="794" ht="15.75" customHeight="1" s="349"/>
    <row r="795" ht="15.75" customHeight="1" s="349"/>
    <row r="796" ht="15.75" customHeight="1" s="349"/>
    <row r="797" ht="15.75" customHeight="1" s="349"/>
    <row r="798" ht="15.75" customHeight="1" s="349"/>
    <row r="799" ht="15.75" customHeight="1" s="349"/>
    <row r="800" ht="15.75" customHeight="1" s="349"/>
    <row r="801" ht="15.75" customHeight="1" s="349"/>
    <row r="802" ht="15.75" customHeight="1" s="349"/>
    <row r="803" ht="15.75" customHeight="1" s="349"/>
    <row r="804" ht="15.75" customHeight="1" s="349"/>
    <row r="805" ht="15.75" customHeight="1" s="349"/>
    <row r="806" ht="15.75" customHeight="1" s="349"/>
    <row r="807" ht="15.75" customHeight="1" s="349"/>
    <row r="808" ht="15.75" customHeight="1" s="349"/>
    <row r="809" ht="15.75" customHeight="1" s="349"/>
    <row r="810" ht="15.75" customHeight="1" s="349"/>
    <row r="811" ht="15.75" customHeight="1" s="349"/>
    <row r="812" ht="15.75" customHeight="1" s="349"/>
    <row r="813" ht="15.75" customHeight="1" s="349"/>
    <row r="814" ht="15.75" customHeight="1" s="349"/>
    <row r="815" ht="15.75" customHeight="1" s="349"/>
    <row r="816" ht="15.75" customHeight="1" s="349"/>
    <row r="817" ht="15.75" customHeight="1" s="349"/>
    <row r="818" ht="15.75" customHeight="1" s="349"/>
    <row r="819" ht="15.75" customHeight="1" s="349"/>
    <row r="820" ht="15.75" customHeight="1" s="349"/>
    <row r="821" ht="15.75" customHeight="1" s="349"/>
    <row r="822" ht="15.75" customHeight="1" s="349"/>
    <row r="823" ht="15.75" customHeight="1" s="349"/>
    <row r="824" ht="15.75" customHeight="1" s="349"/>
    <row r="825" ht="15.75" customHeight="1" s="349"/>
    <row r="826" ht="15.75" customHeight="1" s="349"/>
    <row r="827" ht="15.75" customHeight="1" s="349"/>
    <row r="828" ht="15.75" customHeight="1" s="349"/>
    <row r="829" ht="15.75" customHeight="1" s="349"/>
    <row r="830" ht="15.75" customHeight="1" s="349"/>
    <row r="831" ht="15.75" customHeight="1" s="349"/>
    <row r="832" ht="15.75" customHeight="1" s="349"/>
    <row r="833" ht="15.75" customHeight="1" s="349"/>
    <row r="834" ht="15.75" customHeight="1" s="349"/>
    <row r="835" ht="15.75" customHeight="1" s="349"/>
    <row r="836" ht="15.75" customHeight="1" s="349"/>
    <row r="837" ht="15.75" customHeight="1" s="349"/>
    <row r="838" ht="15.75" customHeight="1" s="349"/>
    <row r="839" ht="15.75" customHeight="1" s="349"/>
    <row r="840" ht="15.75" customHeight="1" s="349"/>
    <row r="841" ht="15.75" customHeight="1" s="349"/>
    <row r="842" ht="15.75" customHeight="1" s="349"/>
    <row r="843" ht="15.75" customHeight="1" s="349"/>
    <row r="844" ht="15.75" customHeight="1" s="349"/>
    <row r="845" ht="15.75" customHeight="1" s="349"/>
    <row r="846" ht="15.75" customHeight="1" s="349"/>
    <row r="847" ht="15.75" customHeight="1" s="349"/>
    <row r="848" ht="15.75" customHeight="1" s="349"/>
    <row r="849" ht="15.75" customHeight="1" s="349"/>
    <row r="850" ht="15.75" customHeight="1" s="349"/>
    <row r="851" ht="15.75" customHeight="1" s="349"/>
    <row r="852" ht="15.75" customHeight="1" s="349"/>
    <row r="853" ht="15.75" customHeight="1" s="349"/>
    <row r="854" ht="15.75" customHeight="1" s="349"/>
    <row r="855" ht="15.75" customHeight="1" s="349"/>
    <row r="856" ht="15.75" customHeight="1" s="349"/>
    <row r="857" ht="15.75" customHeight="1" s="349"/>
    <row r="858" ht="15.75" customHeight="1" s="349"/>
    <row r="859" ht="15.75" customHeight="1" s="349"/>
    <row r="860" ht="15.75" customHeight="1" s="349"/>
    <row r="861" ht="15.75" customHeight="1" s="349"/>
    <row r="862" ht="15.75" customHeight="1" s="349"/>
    <row r="863" ht="15.75" customHeight="1" s="349"/>
    <row r="864" ht="15.75" customHeight="1" s="349"/>
    <row r="865" ht="15.75" customHeight="1" s="349"/>
    <row r="866" ht="15.75" customHeight="1" s="349"/>
    <row r="867" ht="15.75" customHeight="1" s="349"/>
    <row r="868" ht="15.75" customHeight="1" s="349"/>
    <row r="869" ht="15.75" customHeight="1" s="349"/>
    <row r="870" ht="15.75" customHeight="1" s="349"/>
    <row r="871" ht="15.75" customHeight="1" s="349"/>
    <row r="872" ht="15.75" customHeight="1" s="349"/>
    <row r="873" ht="15.75" customHeight="1" s="349"/>
    <row r="874" ht="15.75" customHeight="1" s="349"/>
    <row r="875" ht="15.75" customHeight="1" s="349"/>
    <row r="876" ht="15.75" customHeight="1" s="349"/>
    <row r="877" ht="15.75" customHeight="1" s="349"/>
    <row r="878" ht="15.75" customHeight="1" s="349"/>
    <row r="879" ht="15.75" customHeight="1" s="349"/>
    <row r="880" ht="15.75" customHeight="1" s="349"/>
    <row r="881" ht="15.75" customHeight="1" s="349"/>
    <row r="882" ht="15.75" customHeight="1" s="349"/>
    <row r="883" ht="15.75" customHeight="1" s="349"/>
    <row r="884" ht="15.75" customHeight="1" s="349"/>
    <row r="885" ht="15.75" customHeight="1" s="349"/>
    <row r="886" ht="15.75" customHeight="1" s="349"/>
    <row r="887" ht="15.75" customHeight="1" s="349"/>
    <row r="888" ht="15.75" customHeight="1" s="349"/>
    <row r="889" ht="15.75" customHeight="1" s="349"/>
    <row r="890" ht="15.75" customHeight="1" s="349"/>
    <row r="891" ht="15.75" customHeight="1" s="349"/>
    <row r="892" ht="15.75" customHeight="1" s="349"/>
    <row r="893" ht="15.75" customHeight="1" s="349"/>
    <row r="894" ht="15.75" customHeight="1" s="349"/>
    <row r="895" ht="15.75" customHeight="1" s="349"/>
    <row r="896" ht="15.75" customHeight="1" s="349"/>
    <row r="897" ht="15.75" customHeight="1" s="349"/>
    <row r="898" ht="15.75" customHeight="1" s="349"/>
    <row r="899" ht="15.75" customHeight="1" s="349"/>
    <row r="900" ht="15.75" customHeight="1" s="349"/>
    <row r="901" ht="15.75" customHeight="1" s="349"/>
    <row r="902" ht="15.75" customHeight="1" s="349"/>
    <row r="903" ht="15.75" customHeight="1" s="349"/>
    <row r="904" ht="15.75" customHeight="1" s="349"/>
    <row r="905" ht="15.75" customHeight="1" s="349"/>
    <row r="906" ht="15.75" customHeight="1" s="349"/>
    <row r="907" ht="15.75" customHeight="1" s="349"/>
    <row r="908" ht="15.75" customHeight="1" s="349"/>
    <row r="909" ht="15.75" customHeight="1" s="349"/>
    <row r="910" ht="15.75" customHeight="1" s="349"/>
    <row r="911" ht="15.75" customHeight="1" s="349"/>
    <row r="912" ht="15.75" customHeight="1" s="349"/>
    <row r="913" ht="15.75" customHeight="1" s="349"/>
    <row r="914" ht="15.75" customHeight="1" s="349"/>
    <row r="915" ht="15.75" customHeight="1" s="349"/>
    <row r="916" ht="15.75" customHeight="1" s="349"/>
    <row r="917" ht="15.75" customHeight="1" s="349"/>
    <row r="918" ht="15.75" customHeight="1" s="349"/>
    <row r="919" ht="15.75" customHeight="1" s="349"/>
    <row r="920" ht="15.75" customHeight="1" s="349"/>
    <row r="921" ht="15.75" customHeight="1" s="349"/>
    <row r="922" ht="15.75" customHeight="1" s="349"/>
    <row r="923" ht="15.75" customHeight="1" s="349"/>
    <row r="924" ht="15.75" customHeight="1" s="349"/>
    <row r="925" ht="15.75" customHeight="1" s="349"/>
    <row r="926" ht="15.75" customHeight="1" s="349"/>
    <row r="927" ht="15.75" customHeight="1" s="349"/>
    <row r="928" ht="15.75" customHeight="1" s="349"/>
    <row r="929" ht="15.75" customHeight="1" s="349"/>
    <row r="930" ht="15.75" customHeight="1" s="349"/>
    <row r="931" ht="15.75" customHeight="1" s="349"/>
    <row r="932" ht="15.75" customHeight="1" s="349"/>
    <row r="933" ht="15.75" customHeight="1" s="349"/>
    <row r="934" ht="15.75" customHeight="1" s="349"/>
    <row r="935" ht="15.75" customHeight="1" s="349"/>
    <row r="936" ht="15.75" customHeight="1" s="349"/>
    <row r="937" ht="15.75" customHeight="1" s="349"/>
    <row r="938" ht="15.75" customHeight="1" s="349"/>
    <row r="939" ht="15.75" customHeight="1" s="349"/>
    <row r="940" ht="15.75" customHeight="1" s="349"/>
    <row r="941" ht="15.75" customHeight="1" s="349"/>
    <row r="942" ht="15.75" customHeight="1" s="349"/>
    <row r="943" ht="15.75" customHeight="1" s="349"/>
    <row r="944" ht="15.75" customHeight="1" s="349"/>
    <row r="945" ht="15.75" customHeight="1" s="349"/>
    <row r="946" ht="15.75" customHeight="1" s="349"/>
    <row r="947" ht="15.75" customHeight="1" s="349"/>
    <row r="948" ht="15.75" customHeight="1" s="349"/>
    <row r="949" ht="15.75" customHeight="1" s="349"/>
    <row r="950" ht="15.75" customHeight="1" s="349"/>
    <row r="951" ht="15.75" customHeight="1" s="349"/>
    <row r="952" ht="15.75" customHeight="1" s="349"/>
    <row r="953" ht="15.75" customHeight="1" s="349"/>
    <row r="954" ht="15.75" customHeight="1" s="349"/>
    <row r="955" ht="15.75" customHeight="1" s="349"/>
    <row r="956" ht="15.75" customHeight="1" s="349"/>
    <row r="957" ht="15.75" customHeight="1" s="349"/>
    <row r="958" ht="15.75" customHeight="1" s="349"/>
    <row r="959" ht="15.75" customHeight="1" s="349"/>
    <row r="960" ht="15.75" customHeight="1" s="349"/>
    <row r="961" ht="15.75" customHeight="1" s="349"/>
    <row r="962" ht="15.75" customHeight="1" s="349"/>
    <row r="963" ht="15.75" customHeight="1" s="349"/>
    <row r="964" ht="15.75" customHeight="1" s="349"/>
    <row r="965" ht="15.75" customHeight="1" s="349"/>
    <row r="966" ht="15.75" customHeight="1" s="349"/>
    <row r="967" ht="15.75" customHeight="1" s="349"/>
    <row r="968" ht="15.75" customHeight="1" s="349"/>
    <row r="969" ht="15.75" customHeight="1" s="349"/>
    <row r="970" ht="15.75" customHeight="1" s="349"/>
    <row r="971" ht="15.75" customHeight="1" s="349"/>
    <row r="972" ht="15.75" customHeight="1" s="349"/>
    <row r="973" ht="15.75" customHeight="1" s="349"/>
    <row r="974" ht="15.75" customHeight="1" s="349"/>
    <row r="975" ht="15.75" customHeight="1" s="349"/>
    <row r="976" ht="15.75" customHeight="1" s="349"/>
    <row r="977" ht="15.75" customHeight="1" s="349"/>
    <row r="978" ht="15.75" customHeight="1" s="349"/>
    <row r="979" ht="15.75" customHeight="1" s="349"/>
    <row r="980" ht="15.75" customHeight="1" s="349"/>
    <row r="981" ht="15.75" customHeight="1" s="349"/>
    <row r="982" ht="15.75" customHeight="1" s="349"/>
    <row r="983" ht="15.75" customHeight="1" s="349"/>
    <row r="984" ht="15.75" customHeight="1" s="349"/>
    <row r="985" ht="15.75" customHeight="1" s="349"/>
    <row r="986" ht="15.75" customHeight="1" s="349"/>
    <row r="987" ht="15.75" customHeight="1" s="349"/>
    <row r="988" ht="15.75" customHeight="1" s="349"/>
    <row r="989" ht="15.75" customHeight="1" s="349"/>
    <row r="990" ht="15.75" customHeight="1" s="349"/>
    <row r="991" ht="15.75" customHeight="1" s="349"/>
    <row r="992" ht="15.75" customHeight="1" s="349"/>
    <row r="993" ht="15.75" customHeight="1" s="349"/>
    <row r="994" ht="15.75" customHeight="1" s="349"/>
    <row r="995" ht="15.75" customHeight="1" s="349"/>
    <row r="996" ht="15.75" customHeight="1" s="349"/>
    <row r="997" ht="15.75" customHeight="1" s="349"/>
    <row r="998" ht="15.75" customHeight="1" s="349"/>
    <row r="999" ht="15.75" customHeight="1" s="349"/>
    <row r="1000" ht="15.75" customHeight="1" s="349"/>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230"/>
  <sheetViews>
    <sheetView showGridLines="0" workbookViewId="0">
      <selection activeCell="A1" sqref="A1"/>
    </sheetView>
  </sheetViews>
  <sheetFormatPr baseColWidth="8" defaultColWidth="14.43" defaultRowHeight="15" customHeight="1"/>
  <cols>
    <col width="8.859999999999999" customWidth="1" style="349" min="1" max="1"/>
    <col width="40" customWidth="1" style="349" min="2" max="2"/>
    <col width="73.29000000000001" customWidth="1" style="349" min="3" max="3"/>
    <col width="8.859999999999999" customWidth="1" style="349" min="4" max="7"/>
  </cols>
  <sheetData>
    <row r="1" ht="15" customHeight="1" s="349">
      <c r="A1" s="1" t="n"/>
      <c r="B1" s="4" t="inlineStr">
        <is>
          <t>Tarnoc — How to Read This Model</t>
        </is>
      </c>
      <c r="C1" s="1" t="n"/>
      <c r="D1" s="1" t="n"/>
      <c r="E1" s="1" t="n"/>
      <c r="F1" s="1" t="n"/>
      <c r="G1" s="1" t="n"/>
      <c r="H1" s="74" t="n"/>
      <c r="I1" s="74" t="n"/>
      <c r="J1" s="74" t="n"/>
      <c r="K1" s="74" t="n"/>
      <c r="L1" s="74" t="n"/>
      <c r="M1" s="74" t="n"/>
      <c r="N1" s="74" t="n"/>
      <c r="O1" s="74" t="n"/>
      <c r="P1" s="74" t="n"/>
      <c r="Q1" s="74" t="n"/>
      <c r="R1" s="74" t="n"/>
      <c r="S1" s="74" t="n"/>
      <c r="T1" s="74" t="n"/>
      <c r="U1" s="74" t="n"/>
      <c r="V1" s="74" t="n"/>
      <c r="W1" s="74" t="n"/>
      <c r="X1" s="74" t="n"/>
      <c r="Y1" s="74" t="n"/>
      <c r="Z1" s="74" t="n"/>
    </row>
    <row r="2">
      <c r="A2" s="74" t="n"/>
      <c r="B2" s="74" t="n"/>
      <c r="C2" s="74" t="n"/>
      <c r="D2" s="74" t="n"/>
      <c r="E2" s="74" t="n"/>
      <c r="F2" s="74" t="n"/>
      <c r="G2" s="74" t="n"/>
      <c r="H2" s="74" t="n"/>
      <c r="I2" s="74" t="n"/>
      <c r="J2" s="74" t="n"/>
      <c r="K2" s="74" t="n"/>
      <c r="L2" s="74" t="n"/>
      <c r="M2" s="74" t="n"/>
      <c r="N2" s="74" t="n"/>
      <c r="O2" s="74" t="n"/>
      <c r="P2" s="74" t="n"/>
      <c r="Q2" s="74" t="n"/>
      <c r="R2" s="74" t="n"/>
      <c r="S2" s="74" t="n"/>
      <c r="T2" s="74" t="n"/>
      <c r="U2" s="74" t="n"/>
      <c r="V2" s="74" t="n"/>
      <c r="W2" s="74" t="n"/>
      <c r="X2" s="74" t="n"/>
      <c r="Y2" s="74" t="n"/>
      <c r="Z2" s="74" t="n"/>
    </row>
    <row r="3" ht="15" customHeight="1" s="349">
      <c r="A3" s="74" t="n"/>
      <c r="B3" s="12" t="inlineStr">
        <is>
          <t>COLOR CODING</t>
        </is>
      </c>
      <c r="C3" s="74" t="n"/>
      <c r="D3" s="74" t="n"/>
      <c r="E3" s="74" t="n"/>
      <c r="F3" s="74" t="n"/>
      <c r="G3" s="74" t="n"/>
      <c r="H3" s="74" t="n"/>
      <c r="I3" s="74" t="n"/>
      <c r="J3" s="74" t="n"/>
      <c r="K3" s="74" t="n"/>
      <c r="L3" s="74" t="n"/>
      <c r="M3" s="74" t="n"/>
      <c r="N3" s="74" t="n"/>
      <c r="O3" s="74" t="n"/>
      <c r="P3" s="74" t="n"/>
      <c r="Q3" s="74" t="n"/>
      <c r="R3" s="74" t="n"/>
      <c r="S3" s="74" t="n"/>
      <c r="T3" s="74" t="n"/>
      <c r="U3" s="74" t="n"/>
      <c r="V3" s="74" t="n"/>
      <c r="W3" s="74" t="n"/>
      <c r="X3" s="74" t="n"/>
      <c r="Y3" s="74" t="n"/>
      <c r="Z3" s="74" t="n"/>
    </row>
    <row r="4" ht="15" customHeight="1" s="349">
      <c r="A4" s="74" t="n"/>
      <c r="B4" s="14" t="inlineStr">
        <is>
          <t>Sample</t>
        </is>
      </c>
      <c r="C4" s="15" t="inlineStr">
        <is>
          <t>Assumptions are hardcoded inputs (sourced from documents)</t>
        </is>
      </c>
      <c r="D4" s="74" t="n"/>
      <c r="E4" s="74" t="n"/>
      <c r="F4" s="74" t="n"/>
      <c r="G4" s="74" t="n"/>
      <c r="H4" s="74" t="n"/>
      <c r="I4" s="74" t="n"/>
      <c r="J4" s="74" t="n"/>
      <c r="K4" s="74" t="n"/>
      <c r="L4" s="74" t="n"/>
      <c r="M4" s="74" t="n"/>
      <c r="N4" s="74" t="n"/>
      <c r="O4" s="74" t="n"/>
      <c r="P4" s="74" t="n"/>
      <c r="Q4" s="74" t="n"/>
      <c r="R4" s="74" t="n"/>
      <c r="S4" s="74" t="n"/>
      <c r="T4" s="74" t="n"/>
      <c r="U4" s="74" t="n"/>
      <c r="V4" s="74" t="n"/>
      <c r="W4" s="74" t="n"/>
      <c r="X4" s="74" t="n"/>
      <c r="Y4" s="74" t="n"/>
      <c r="Z4" s="74" t="n"/>
    </row>
    <row r="5" ht="15" customHeight="1" s="349">
      <c r="A5" s="74" t="n"/>
      <c r="B5" s="20" t="inlineStr">
        <is>
          <t>Sample</t>
        </is>
      </c>
      <c r="C5" s="15" t="inlineStr">
        <is>
          <t>Hardcoded historicalsis actual data from source documents</t>
        </is>
      </c>
      <c r="D5" s="74" t="n"/>
      <c r="E5" s="74" t="n"/>
      <c r="F5" s="74" t="n"/>
      <c r="G5" s="74" t="n"/>
      <c r="H5" s="74" t="n"/>
      <c r="I5" s="74" t="n"/>
      <c r="J5" s="74" t="n"/>
      <c r="K5" s="74" t="n"/>
      <c r="L5" s="74" t="n"/>
      <c r="M5" s="74" t="n"/>
      <c r="N5" s="74" t="n"/>
      <c r="O5" s="74" t="n"/>
      <c r="P5" s="74" t="n"/>
      <c r="Q5" s="74" t="n"/>
      <c r="R5" s="74" t="n"/>
      <c r="S5" s="74" t="n"/>
      <c r="T5" s="74" t="n"/>
      <c r="U5" s="74" t="n"/>
      <c r="V5" s="74" t="n"/>
      <c r="W5" s="74" t="n"/>
      <c r="X5" s="74" t="n"/>
      <c r="Y5" s="74" t="n"/>
      <c r="Z5" s="74" t="n"/>
    </row>
    <row r="6" ht="15" customHeight="1" s="349">
      <c r="A6" s="74" t="n"/>
      <c r="B6" s="12" t="inlineStr">
        <is>
          <t>Sample</t>
        </is>
      </c>
      <c r="C6" s="15" t="inlineStr">
        <is>
          <t>Formula cells are calculated, not hardcoded</t>
        </is>
      </c>
      <c r="D6" s="74" t="n"/>
      <c r="E6" s="74" t="n"/>
      <c r="F6" s="74" t="n"/>
      <c r="G6" s="74" t="n"/>
      <c r="H6" s="74" t="n"/>
      <c r="I6" s="74" t="n"/>
      <c r="J6" s="74" t="n"/>
      <c r="K6" s="74" t="n"/>
      <c r="L6" s="74" t="n"/>
      <c r="M6" s="74" t="n"/>
      <c r="N6" s="74" t="n"/>
      <c r="O6" s="74" t="n"/>
      <c r="P6" s="74" t="n"/>
      <c r="Q6" s="74" t="n"/>
      <c r="R6" s="74" t="n"/>
      <c r="S6" s="74" t="n"/>
      <c r="T6" s="74" t="n"/>
      <c r="U6" s="74" t="n"/>
      <c r="V6" s="74" t="n"/>
      <c r="W6" s="74" t="n"/>
      <c r="X6" s="74" t="n"/>
      <c r="Y6" s="74" t="n"/>
      <c r="Z6" s="74" t="n"/>
    </row>
    <row r="7" ht="15" customHeight="1" s="349">
      <c r="A7" s="74" t="n"/>
      <c r="B7" s="24" t="inlineStr">
        <is>
          <t>Sample</t>
        </is>
      </c>
      <c r="C7" s="15" t="inlineStr">
        <is>
          <t>Subtotal / total rows</t>
        </is>
      </c>
      <c r="D7" s="74" t="n"/>
      <c r="E7" s="74" t="n"/>
      <c r="F7" s="74" t="n"/>
      <c r="G7" s="74" t="n"/>
      <c r="H7" s="74" t="n"/>
      <c r="I7" s="74" t="n"/>
      <c r="J7" s="74" t="n"/>
      <c r="K7" s="74" t="n"/>
      <c r="L7" s="74" t="n"/>
      <c r="M7" s="74" t="n"/>
      <c r="N7" s="74" t="n"/>
      <c r="O7" s="74" t="n"/>
      <c r="P7" s="74" t="n"/>
      <c r="Q7" s="74" t="n"/>
      <c r="R7" s="74" t="n"/>
      <c r="S7" s="74" t="n"/>
      <c r="T7" s="74" t="n"/>
      <c r="U7" s="74" t="n"/>
      <c r="V7" s="74" t="n"/>
      <c r="W7" s="74" t="n"/>
      <c r="X7" s="74" t="n"/>
      <c r="Y7" s="74" t="n"/>
      <c r="Z7" s="74" t="n"/>
    </row>
    <row r="8" ht="15" customHeight="1" s="349">
      <c r="A8" s="74" t="n"/>
      <c r="B8" s="4" t="inlineStr">
        <is>
          <t>Sample</t>
        </is>
      </c>
      <c r="C8" s="15" t="inlineStr">
        <is>
          <t>Section headers / grand totals</t>
        </is>
      </c>
      <c r="D8" s="74" t="n"/>
      <c r="E8" s="74" t="n"/>
      <c r="F8" s="74" t="n"/>
      <c r="G8" s="74" t="n"/>
      <c r="H8" s="74" t="n"/>
      <c r="I8" s="74" t="n"/>
      <c r="J8" s="74" t="n"/>
      <c r="K8" s="74" t="n"/>
      <c r="L8" s="74" t="n"/>
      <c r="M8" s="74" t="n"/>
      <c r="N8" s="74" t="n"/>
      <c r="O8" s="74" t="n"/>
      <c r="P8" s="74" t="n"/>
      <c r="Q8" s="74" t="n"/>
      <c r="R8" s="74" t="n"/>
      <c r="S8" s="74" t="n"/>
      <c r="T8" s="74" t="n"/>
      <c r="U8" s="74" t="n"/>
      <c r="V8" s="74" t="n"/>
      <c r="W8" s="74" t="n"/>
      <c r="X8" s="74" t="n"/>
      <c r="Y8" s="74" t="n"/>
      <c r="Z8" s="74" t="n"/>
    </row>
    <row r="9" ht="15" customHeight="1" s="349">
      <c r="A9" s="74" t="n"/>
      <c r="B9" s="28" t="inlineStr">
        <is>
          <t>Sample</t>
        </is>
      </c>
      <c r="C9" s="15" t="inlineStr">
        <is>
          <t>Subsection headers</t>
        </is>
      </c>
      <c r="D9" s="74" t="n"/>
      <c r="E9" s="74" t="n"/>
      <c r="F9" s="74" t="n"/>
      <c r="G9" s="74" t="n"/>
      <c r="H9" s="74" t="n"/>
      <c r="I9" s="74" t="n"/>
      <c r="J9" s="74" t="n"/>
      <c r="K9" s="74" t="n"/>
      <c r="L9" s="74" t="n"/>
      <c r="M9" s="74" t="n"/>
      <c r="N9" s="74" t="n"/>
      <c r="O9" s="74" t="n"/>
      <c r="P9" s="74" t="n"/>
      <c r="Q9" s="74" t="n"/>
      <c r="R9" s="74" t="n"/>
      <c r="S9" s="74" t="n"/>
      <c r="T9" s="74" t="n"/>
      <c r="U9" s="74" t="n"/>
      <c r="V9" s="74" t="n"/>
      <c r="W9" s="74" t="n"/>
      <c r="X9" s="74" t="n"/>
      <c r="Y9" s="74" t="n"/>
      <c r="Z9" s="74" t="n"/>
    </row>
    <row r="10" ht="15" customHeight="1" s="349">
      <c r="A10" s="74" t="n"/>
      <c r="B10" s="30" t="inlineStr">
        <is>
          <t>Sample</t>
        </is>
      </c>
      <c r="C10" s="15" t="inlineStr">
        <is>
          <t>Margin / ratio rows (grey)</t>
        </is>
      </c>
      <c r="D10" s="74" t="n"/>
      <c r="E10" s="74" t="n"/>
      <c r="F10" s="74" t="n"/>
      <c r="G10" s="74" t="n"/>
      <c r="H10" s="74" t="n"/>
      <c r="I10" s="74" t="n"/>
      <c r="J10" s="74" t="n"/>
      <c r="K10" s="74" t="n"/>
      <c r="L10" s="74" t="n"/>
      <c r="M10" s="74" t="n"/>
      <c r="N10" s="74" t="n"/>
      <c r="O10" s="74" t="n"/>
      <c r="P10" s="74" t="n"/>
      <c r="Q10" s="74" t="n"/>
      <c r="R10" s="74" t="n"/>
      <c r="S10" s="74" t="n"/>
      <c r="T10" s="74" t="n"/>
      <c r="U10" s="74" t="n"/>
      <c r="V10" s="74" t="n"/>
      <c r="W10" s="74" t="n"/>
      <c r="X10" s="74" t="n"/>
      <c r="Y10" s="74" t="n"/>
      <c r="Z10" s="74" t="n"/>
    </row>
    <row r="11" ht="15" customHeight="1" s="349">
      <c r="A11" s="74" t="n"/>
      <c r="B11" s="33" t="inlineStr">
        <is>
          <t>Sample</t>
        </is>
      </c>
      <c r="C11" s="15" t="inlineStr">
        <is>
          <t>Balance sheet check rows (must = 0)</t>
        </is>
      </c>
      <c r="D11" s="74" t="n"/>
      <c r="E11" s="74" t="n"/>
      <c r="F11" s="74" t="n"/>
      <c r="G11" s="74" t="n"/>
      <c r="H11" s="74" t="n"/>
      <c r="I11" s="74" t="n"/>
      <c r="J11" s="74" t="n"/>
      <c r="K11" s="74" t="n"/>
      <c r="L11" s="74" t="n"/>
      <c r="M11" s="74" t="n"/>
      <c r="N11" s="74" t="n"/>
      <c r="O11" s="74" t="n"/>
      <c r="P11" s="74" t="n"/>
      <c r="Q11" s="74" t="n"/>
      <c r="R11" s="74" t="n"/>
      <c r="S11" s="74" t="n"/>
      <c r="T11" s="74" t="n"/>
      <c r="U11" s="74" t="n"/>
      <c r="V11" s="74" t="n"/>
      <c r="W11" s="74" t="n"/>
      <c r="X11" s="74" t="n"/>
      <c r="Y11" s="74" t="n"/>
      <c r="Z11" s="74" t="n"/>
    </row>
    <row r="12">
      <c r="A12" s="74" t="n"/>
      <c r="B12" s="74" t="n"/>
      <c r="C12" s="74" t="n"/>
      <c r="D12" s="74" t="n"/>
      <c r="E12" s="74" t="n"/>
      <c r="F12" s="74" t="n"/>
      <c r="G12" s="74" t="n"/>
      <c r="H12" s="74" t="n"/>
      <c r="I12" s="74" t="n"/>
      <c r="J12" s="74" t="n"/>
      <c r="K12" s="74" t="n"/>
      <c r="L12" s="74" t="n"/>
      <c r="M12" s="74" t="n"/>
      <c r="N12" s="74" t="n"/>
      <c r="O12" s="74" t="n"/>
      <c r="P12" s="74" t="n"/>
      <c r="Q12" s="74" t="n"/>
      <c r="R12" s="74" t="n"/>
      <c r="S12" s="74" t="n"/>
      <c r="T12" s="74" t="n"/>
      <c r="U12" s="74" t="n"/>
      <c r="V12" s="74" t="n"/>
      <c r="W12" s="74" t="n"/>
      <c r="X12" s="74" t="n"/>
      <c r="Y12" s="74" t="n"/>
      <c r="Z12" s="74" t="n"/>
    </row>
    <row r="13">
      <c r="A13" s="74" t="n"/>
      <c r="B13" s="74" t="n"/>
      <c r="C13" s="74" t="n"/>
      <c r="D13" s="74" t="n"/>
      <c r="E13" s="74" t="n"/>
      <c r="F13" s="74" t="n"/>
      <c r="G13" s="74" t="n"/>
      <c r="H13" s="74" t="n"/>
      <c r="I13" s="74" t="n"/>
      <c r="J13" s="74" t="n"/>
      <c r="K13" s="74" t="n"/>
      <c r="L13" s="74" t="n"/>
      <c r="M13" s="74" t="n"/>
      <c r="N13" s="74" t="n"/>
      <c r="O13" s="74" t="n"/>
      <c r="P13" s="74" t="n"/>
      <c r="Q13" s="74" t="n"/>
      <c r="R13" s="74" t="n"/>
      <c r="S13" s="74" t="n"/>
      <c r="T13" s="74" t="n"/>
      <c r="U13" s="74" t="n"/>
      <c r="V13" s="74" t="n"/>
      <c r="W13" s="74" t="n"/>
      <c r="X13" s="74" t="n"/>
      <c r="Y13" s="74" t="n"/>
      <c r="Z13" s="74" t="n"/>
    </row>
    <row r="14" ht="15" customHeight="1" s="349">
      <c r="A14" s="74" t="n"/>
      <c r="B14" s="12" t="inlineStr">
        <is>
          <t>FORMULA ARCHITECTURE</t>
        </is>
      </c>
      <c r="C14" s="74" t="n"/>
      <c r="D14" s="74" t="n"/>
      <c r="E14" s="74" t="n"/>
      <c r="F14" s="74" t="n"/>
      <c r="G14" s="74" t="n"/>
      <c r="H14" s="74" t="n"/>
      <c r="I14" s="74" t="n"/>
      <c r="J14" s="74" t="n"/>
      <c r="K14" s="74" t="n"/>
      <c r="L14" s="74" t="n"/>
      <c r="M14" s="74" t="n"/>
      <c r="N14" s="74" t="n"/>
      <c r="O14" s="74" t="n"/>
      <c r="P14" s="74" t="n"/>
      <c r="Q14" s="74" t="n"/>
      <c r="R14" s="74" t="n"/>
      <c r="S14" s="74" t="n"/>
      <c r="T14" s="74" t="n"/>
      <c r="U14" s="74" t="n"/>
      <c r="V14" s="74" t="n"/>
      <c r="W14" s="74" t="n"/>
      <c r="X14" s="74" t="n"/>
      <c r="Y14" s="74" t="n"/>
      <c r="Z14" s="74" t="n"/>
    </row>
    <row r="15" ht="15" customHeight="1" s="349">
      <c r="A15" s="74" t="n"/>
      <c r="B15" s="15" t="inlineStr">
        <is>
          <t>Assumptions  →  Revenue Forecast, COGS, OPEX, CAPEX, Personnel (all drivers sourced here)</t>
        </is>
      </c>
      <c r="C15" s="74" t="n"/>
      <c r="D15" s="74" t="n"/>
      <c r="E15" s="74" t="n"/>
      <c r="F15" s="74" t="n"/>
      <c r="G15" s="74" t="n"/>
      <c r="H15" s="74" t="n"/>
      <c r="I15" s="74" t="n"/>
      <c r="J15" s="74" t="n"/>
      <c r="K15" s="74" t="n"/>
      <c r="L15" s="74" t="n"/>
      <c r="M15" s="74" t="n"/>
      <c r="N15" s="74" t="n"/>
      <c r="O15" s="74" t="n"/>
      <c r="P15" s="74" t="n"/>
      <c r="Q15" s="74" t="n"/>
      <c r="R15" s="74" t="n"/>
      <c r="S15" s="74" t="n"/>
      <c r="T15" s="74" t="n"/>
      <c r="U15" s="74" t="n"/>
      <c r="V15" s="74" t="n"/>
      <c r="W15" s="74" t="n"/>
      <c r="X15" s="74" t="n"/>
      <c r="Y15" s="74" t="n"/>
      <c r="Z15" s="74" t="n"/>
    </row>
    <row r="16" ht="15" customHeight="1" s="349">
      <c r="A16" s="74" t="n"/>
      <c r="B16" s="15" t="inlineStr">
        <is>
          <t>Revenue Forecast  →  Financial Statements (revenue lines via cross-sheet links)</t>
        </is>
      </c>
      <c r="C16" s="74" t="n"/>
      <c r="D16" s="74" t="n"/>
      <c r="E16" s="74" t="n"/>
      <c r="F16" s="74" t="n"/>
      <c r="G16" s="74" t="n"/>
      <c r="H16" s="74" t="n"/>
      <c r="I16" s="74" t="n"/>
      <c r="J16" s="74" t="n"/>
      <c r="K16" s="74" t="n"/>
      <c r="L16" s="74" t="n"/>
      <c r="M16" s="74" t="n"/>
      <c r="N16" s="74" t="n"/>
      <c r="O16" s="74" t="n"/>
      <c r="P16" s="74" t="n"/>
      <c r="Q16" s="74" t="n"/>
      <c r="R16" s="74" t="n"/>
      <c r="S16" s="74" t="n"/>
      <c r="T16" s="74" t="n"/>
      <c r="U16" s="74" t="n"/>
      <c r="V16" s="74" t="n"/>
      <c r="W16" s="74" t="n"/>
      <c r="X16" s="74" t="n"/>
      <c r="Y16" s="74" t="n"/>
      <c r="Z16" s="74" t="n"/>
    </row>
    <row r="17" ht="15" customHeight="1" s="349">
      <c r="A17" s="74" t="n"/>
      <c r="B17" s="15" t="inlineStr">
        <is>
          <t>COGS  →  Financial Statements (cost lines via cross-sheet links)</t>
        </is>
      </c>
      <c r="C17" s="74" t="n"/>
      <c r="D17" s="74" t="n"/>
      <c r="E17" s="74" t="n"/>
      <c r="F17" s="74" t="n"/>
      <c r="G17" s="74" t="n"/>
      <c r="H17" s="74" t="n"/>
      <c r="I17" s="74" t="n"/>
      <c r="J17" s="74" t="n"/>
      <c r="K17" s="74" t="n"/>
      <c r="L17" s="74" t="n"/>
      <c r="M17" s="74" t="n"/>
      <c r="N17" s="74" t="n"/>
      <c r="O17" s="74" t="n"/>
      <c r="P17" s="74" t="n"/>
      <c r="Q17" s="74" t="n"/>
      <c r="R17" s="74" t="n"/>
      <c r="S17" s="74" t="n"/>
      <c r="T17" s="74" t="n"/>
      <c r="U17" s="74" t="n"/>
      <c r="V17" s="74" t="n"/>
      <c r="W17" s="74" t="n"/>
      <c r="X17" s="74" t="n"/>
      <c r="Y17" s="74" t="n"/>
      <c r="Z17" s="74" t="n"/>
    </row>
    <row r="18" ht="15" customHeight="1" s="349">
      <c r="A18" s="74" t="n"/>
      <c r="B18" s="15" t="inlineStr">
        <is>
          <t>OPEX  →  Financial Statements (opex lines via cross-sheet links)</t>
        </is>
      </c>
      <c r="C18" s="74" t="n"/>
      <c r="D18" s="74" t="n"/>
      <c r="E18" s="74" t="n"/>
      <c r="F18" s="74" t="n"/>
      <c r="G18" s="74" t="n"/>
      <c r="H18" s="74" t="n"/>
      <c r="I18" s="74" t="n"/>
      <c r="J18" s="74" t="n"/>
      <c r="K18" s="74" t="n"/>
      <c r="L18" s="74" t="n"/>
      <c r="M18" s="74" t="n"/>
      <c r="N18" s="74" t="n"/>
      <c r="O18" s="74" t="n"/>
      <c r="P18" s="74" t="n"/>
      <c r="Q18" s="74" t="n"/>
      <c r="R18" s="74" t="n"/>
      <c r="S18" s="74" t="n"/>
      <c r="T18" s="74" t="n"/>
      <c r="U18" s="74" t="n"/>
      <c r="V18" s="74" t="n"/>
      <c r="W18" s="74" t="n"/>
      <c r="X18" s="74" t="n"/>
      <c r="Y18" s="74" t="n"/>
      <c r="Z18" s="74" t="n"/>
    </row>
    <row r="19" ht="15.75" customHeight="1" s="349">
      <c r="A19" s="74" t="n"/>
      <c r="B19" s="49" t="n"/>
      <c r="C19" s="74" t="n"/>
      <c r="D19" s="74" t="n"/>
      <c r="E19" s="74" t="n"/>
      <c r="F19" s="74" t="n"/>
      <c r="G19" s="74" t="n"/>
      <c r="H19" s="74" t="n"/>
      <c r="I19" s="74" t="n"/>
      <c r="J19" s="74" t="n"/>
      <c r="K19" s="74" t="n"/>
      <c r="L19" s="74" t="n"/>
      <c r="M19" s="74" t="n"/>
      <c r="N19" s="74" t="n"/>
      <c r="O19" s="74" t="n"/>
      <c r="P19" s="74" t="n"/>
      <c r="Q19" s="74" t="n"/>
      <c r="R19" s="74" t="n"/>
      <c r="S19" s="74" t="n"/>
      <c r="T19" s="74" t="n"/>
      <c r="U19" s="74" t="n"/>
      <c r="V19" s="74" t="n"/>
      <c r="W19" s="74" t="n"/>
      <c r="X19" s="74" t="n"/>
      <c r="Y19" s="74" t="n"/>
      <c r="Z19" s="74" t="n"/>
    </row>
    <row r="20" ht="15.75" customHeight="1" s="349">
      <c r="A20" s="74" t="n"/>
      <c r="B20" s="15" t="inlineStr">
        <is>
          <t>To change a number: ONLY edit cells in the Assumptions tab (yellow/orange).</t>
        </is>
      </c>
      <c r="C20" s="74" t="n"/>
      <c r="D20" s="74" t="n"/>
      <c r="E20" s="74" t="n"/>
      <c r="F20" s="74" t="n"/>
      <c r="G20" s="74" t="n"/>
      <c r="H20" s="74" t="n"/>
      <c r="I20" s="74" t="n"/>
      <c r="J20" s="74" t="n"/>
      <c r="K20" s="74" t="n"/>
      <c r="L20" s="74" t="n"/>
      <c r="M20" s="74" t="n"/>
      <c r="N20" s="74" t="n"/>
      <c r="O20" s="74" t="n"/>
      <c r="P20" s="74" t="n"/>
      <c r="Q20" s="74" t="n"/>
      <c r="R20" s="74" t="n"/>
      <c r="S20" s="74" t="n"/>
      <c r="T20" s="74" t="n"/>
      <c r="U20" s="74" t="n"/>
      <c r="V20" s="74" t="n"/>
      <c r="W20" s="74" t="n"/>
      <c r="X20" s="74" t="n"/>
      <c r="Y20" s="74" t="n"/>
      <c r="Z20" s="74" t="n"/>
    </row>
    <row r="21" ht="15.75" customHeight="1" s="349">
      <c r="A21" s="74" t="n"/>
      <c r="B21" s="15" t="inlineStr">
        <is>
          <t>All other tabs will recalculate automatically.</t>
        </is>
      </c>
      <c r="C21" s="74" t="n"/>
      <c r="D21" s="74" t="n"/>
      <c r="E21" s="74" t="n"/>
      <c r="F21" s="74" t="n"/>
      <c r="G21" s="74" t="n"/>
      <c r="H21" s="74" t="n"/>
      <c r="I21" s="74" t="n"/>
      <c r="J21" s="74" t="n"/>
      <c r="K21" s="74" t="n"/>
      <c r="L21" s="74" t="n"/>
      <c r="M21" s="74" t="n"/>
      <c r="N21" s="74" t="n"/>
      <c r="O21" s="74" t="n"/>
      <c r="P21" s="74" t="n"/>
      <c r="Q21" s="74" t="n"/>
      <c r="R21" s="74" t="n"/>
      <c r="S21" s="74" t="n"/>
      <c r="T21" s="74" t="n"/>
      <c r="U21" s="74" t="n"/>
      <c r="V21" s="74" t="n"/>
      <c r="W21" s="74" t="n"/>
      <c r="X21" s="74" t="n"/>
      <c r="Y21" s="74" t="n"/>
      <c r="Z21" s="74" t="n"/>
    </row>
    <row r="22" ht="15.75" customHeight="1" s="349">
      <c r="A22" s="74" t="n"/>
      <c r="B22" s="74" t="n"/>
      <c r="C22" s="74" t="n"/>
      <c r="D22" s="74" t="n"/>
      <c r="E22" s="74" t="n"/>
      <c r="F22" s="74" t="n"/>
      <c r="G22" s="74" t="n"/>
      <c r="H22" s="74" t="n"/>
      <c r="I22" s="74" t="n"/>
      <c r="J22" s="74" t="n"/>
      <c r="K22" s="74" t="n"/>
      <c r="L22" s="74" t="n"/>
      <c r="M22" s="74" t="n"/>
      <c r="N22" s="74" t="n"/>
      <c r="O22" s="74" t="n"/>
      <c r="P22" s="74" t="n"/>
      <c r="Q22" s="74" t="n"/>
      <c r="R22" s="74" t="n"/>
      <c r="S22" s="74" t="n"/>
      <c r="T22" s="74" t="n"/>
      <c r="U22" s="74" t="n"/>
      <c r="V22" s="74" t="n"/>
      <c r="W22" s="74" t="n"/>
      <c r="X22" s="74" t="n"/>
      <c r="Y22" s="74" t="n"/>
      <c r="Z22" s="74" t="n"/>
    </row>
    <row r="23" ht="15.75" customHeight="1" s="349">
      <c r="A23" s="74" t="n"/>
      <c r="B23" s="74" t="n"/>
      <c r="C23" s="74" t="n"/>
      <c r="D23" s="74" t="n"/>
      <c r="E23" s="74" t="n"/>
      <c r="F23" s="74" t="n"/>
      <c r="G23" s="74" t="n"/>
      <c r="H23" s="74" t="n"/>
      <c r="I23" s="74" t="n"/>
      <c r="J23" s="74" t="n"/>
      <c r="K23" s="74" t="n"/>
      <c r="L23" s="74" t="n"/>
      <c r="M23" s="74" t="n"/>
      <c r="N23" s="74" t="n"/>
      <c r="O23" s="74" t="n"/>
      <c r="P23" s="74" t="n"/>
      <c r="Q23" s="74" t="n"/>
      <c r="R23" s="74" t="n"/>
      <c r="S23" s="74" t="n"/>
      <c r="T23" s="74" t="n"/>
      <c r="U23" s="74" t="n"/>
      <c r="V23" s="74" t="n"/>
      <c r="W23" s="74" t="n"/>
      <c r="X23" s="74" t="n"/>
      <c r="Y23" s="74" t="n"/>
      <c r="Z23" s="74" t="n"/>
    </row>
    <row r="24" ht="15.75" customHeight="1" s="349">
      <c r="A24" s="74" t="n"/>
      <c r="B24" s="12" t="inlineStr">
        <is>
          <t>FURTHER EXPLANATIONS</t>
        </is>
      </c>
      <c r="C24" s="74" t="n"/>
      <c r="D24" s="74" t="n"/>
      <c r="E24" s="74" t="n"/>
      <c r="F24" s="74" t="n"/>
      <c r="G24" s="74" t="n"/>
      <c r="H24" s="74" t="n"/>
      <c r="I24" s="74" t="n"/>
      <c r="J24" s="74" t="n"/>
      <c r="K24" s="74" t="n"/>
      <c r="L24" s="74" t="n"/>
      <c r="M24" s="74" t="n"/>
      <c r="N24" s="74" t="n"/>
      <c r="O24" s="74" t="n"/>
      <c r="P24" s="74" t="n"/>
      <c r="Q24" s="74" t="n"/>
      <c r="R24" s="74" t="n"/>
      <c r="S24" s="74" t="n"/>
      <c r="T24" s="74" t="n"/>
      <c r="U24" s="74" t="n"/>
      <c r="V24" s="74" t="n"/>
      <c r="W24" s="74" t="n"/>
      <c r="X24" s="74" t="n"/>
      <c r="Y24" s="74" t="n"/>
      <c r="Z24" s="74" t="n"/>
    </row>
    <row r="25" ht="51" customHeight="1" s="349">
      <c r="A25" s="74" t="n"/>
      <c r="B25" s="62" t="inlineStr">
        <is>
          <t xml:space="preserve">Subsidies: Tarnoc is and has been eligible for a number of subsidies. We will consider application for large projects, however this model excludes the forecast of any subsidy financing foing forward. </t>
        </is>
      </c>
      <c r="D25" s="74" t="n"/>
      <c r="E25" s="74" t="n"/>
      <c r="F25" s="74" t="n"/>
      <c r="G25" s="74" t="n"/>
      <c r="H25" s="74" t="n"/>
      <c r="I25" s="74" t="n"/>
      <c r="J25" s="74" t="n"/>
      <c r="K25" s="74" t="n"/>
      <c r="L25" s="74" t="n"/>
      <c r="M25" s="74" t="n"/>
      <c r="N25" s="74" t="n"/>
      <c r="O25" s="74" t="n"/>
      <c r="P25" s="74" t="n"/>
      <c r="Q25" s="74" t="n"/>
      <c r="R25" s="74" t="n"/>
      <c r="S25" s="74" t="n"/>
      <c r="T25" s="74" t="n"/>
      <c r="U25" s="74" t="n"/>
      <c r="V25" s="74" t="n"/>
      <c r="W25" s="74" t="n"/>
      <c r="X25" s="74" t="n"/>
      <c r="Y25" s="74" t="n"/>
      <c r="Z25" s="74" t="n"/>
    </row>
    <row r="26" ht="62.25" customHeight="1" s="349">
      <c r="A26" s="74" t="n"/>
      <c r="B26" s="62" t="inlineStr">
        <is>
          <t xml:space="preserve">Installation revenues: This is modelled fully as pass through revenue for now, as we plan to charge a customer exactly what we pay the installation partner for these services. This is subject to change in the future. </t>
        </is>
      </c>
      <c r="D26" s="74" t="n"/>
      <c r="E26" s="74" t="n"/>
      <c r="F26" s="74" t="n"/>
      <c r="G26" s="74" t="n"/>
      <c r="H26" s="74" t="n"/>
      <c r="I26" s="74" t="n"/>
      <c r="J26" s="74" t="n"/>
      <c r="K26" s="74" t="n"/>
      <c r="L26" s="74" t="n"/>
      <c r="M26" s="74" t="n"/>
      <c r="N26" s="74" t="n"/>
      <c r="O26" s="74" t="n"/>
      <c r="P26" s="74" t="n"/>
      <c r="Q26" s="74" t="n"/>
      <c r="R26" s="74" t="n"/>
      <c r="S26" s="74" t="n"/>
      <c r="T26" s="74" t="n"/>
      <c r="U26" s="74" t="n"/>
      <c r="V26" s="74" t="n"/>
      <c r="W26" s="74" t="n"/>
      <c r="X26" s="74" t="n"/>
      <c r="Y26" s="74" t="n"/>
      <c r="Z26" s="74" t="n"/>
    </row>
    <row r="27" ht="65.25" customHeight="1" s="349">
      <c r="A27" s="74" t="n"/>
      <c r="B27" s="62" t="inlineStr">
        <is>
          <t>Tarnoc's main products are the TTK (turbineketel) and the Combi+ (turbineketel + outdoor unit), plus the Twincycle (in development for 2027). Every unit contains a turbineketel; the Combi+ adds an outdoor unit and a heavier installation. We also plan to sell various add-ons such as boilers for hybrid setups and sound reduction units.</t>
        </is>
      </c>
      <c r="D27" s="74" t="n"/>
      <c r="E27" s="74" t="n"/>
      <c r="F27" s="74" t="n"/>
      <c r="G27" s="74" t="n"/>
      <c r="H27" s="74" t="n"/>
      <c r="I27" s="74" t="n"/>
      <c r="J27" s="74" t="n"/>
      <c r="K27" s="74" t="n"/>
      <c r="L27" s="74" t="n"/>
      <c r="M27" s="74" t="n"/>
      <c r="N27" s="74" t="n"/>
      <c r="O27" s="74" t="n"/>
      <c r="P27" s="74" t="n"/>
      <c r="Q27" s="74" t="n"/>
      <c r="R27" s="74" t="n"/>
      <c r="S27" s="74" t="n"/>
      <c r="T27" s="74" t="n"/>
      <c r="U27" s="74" t="n"/>
      <c r="V27" s="74" t="n"/>
      <c r="W27" s="74" t="n"/>
      <c r="X27" s="74" t="n"/>
      <c r="Y27" s="74" t="n"/>
      <c r="Z27" s="74" t="n"/>
    </row>
    <row r="28" ht="51" customHeight="1" s="349">
      <c r="A28" s="74" t="n"/>
      <c r="B28" s="62" t="inlineStr">
        <is>
          <t>Service Revenues: Service revenues are calculated relative to installed base. We assume a certain percentage (see assumptions) of customers will purchase our Service package, and are charged annually.</t>
        </is>
      </c>
      <c r="D28" s="74" t="n"/>
      <c r="E28" s="74" t="n"/>
      <c r="F28" s="74" t="n"/>
      <c r="G28" s="74" t="n"/>
      <c r="H28" s="74" t="n"/>
      <c r="I28" s="74" t="n"/>
      <c r="J28" s="74" t="n"/>
      <c r="K28" s="74" t="n"/>
      <c r="L28" s="74" t="n"/>
      <c r="M28" s="74" t="n"/>
      <c r="N28" s="74" t="n"/>
      <c r="O28" s="74" t="n"/>
      <c r="P28" s="74" t="n"/>
      <c r="Q28" s="74" t="n"/>
      <c r="R28" s="74" t="n"/>
      <c r="S28" s="74" t="n"/>
      <c r="T28" s="74" t="n"/>
      <c r="U28" s="74" t="n"/>
      <c r="V28" s="74" t="n"/>
      <c r="W28" s="74" t="n"/>
      <c r="X28" s="74" t="n"/>
      <c r="Y28" s="74" t="n"/>
      <c r="Z28" s="74" t="n"/>
    </row>
    <row r="29" ht="51" customHeight="1" s="349">
      <c r="A29" s="74" t="n"/>
      <c r="B29" s="62" t="inlineStr">
        <is>
          <t xml:space="preserve">COGS: 1) is driven by the Bill of Materials and volume sales. As our volumes increase, our BOM reduces. We assume 2 year volume sales will determine our BOM, and is modedled as such. 2) We model in COGS as beginning in 2027, as we asume the AP and AR will be roughly equal due to downpayments. </t>
        </is>
      </c>
      <c r="D29" s="74" t="n"/>
      <c r="E29" s="74" t="n"/>
      <c r="F29" s="74" t="n"/>
      <c r="G29" s="74" t="n"/>
      <c r="H29" s="74" t="n"/>
      <c r="I29" s="74" t="n"/>
      <c r="J29" s="74" t="n"/>
      <c r="K29" s="74" t="n"/>
      <c r="L29" s="74" t="n"/>
      <c r="M29" s="74" t="n"/>
      <c r="N29" s="74" t="n"/>
      <c r="O29" s="74" t="n"/>
      <c r="P29" s="74" t="n"/>
      <c r="Q29" s="74" t="n"/>
      <c r="R29" s="74" t="n"/>
      <c r="S29" s="74" t="n"/>
      <c r="T29" s="74" t="n"/>
      <c r="U29" s="74" t="n"/>
      <c r="V29" s="74" t="n"/>
      <c r="W29" s="74" t="n"/>
      <c r="X29" s="74" t="n"/>
      <c r="Y29" s="74" t="n"/>
      <c r="Z29" s="74" t="n"/>
    </row>
    <row r="30" ht="51" customHeight="1" s="349">
      <c r="A30" s="74" t="n"/>
      <c r="B30" s="62" t="inlineStr">
        <is>
          <t xml:space="preserve">Sales and Marketing costs are largely driven by permfomance marketing, and are calcualted on a volume and CPL basis. </t>
        </is>
      </c>
      <c r="D30" s="74" t="n"/>
      <c r="E30" s="74" t="n"/>
      <c r="F30" s="74" t="n"/>
      <c r="G30" s="74" t="n"/>
      <c r="H30" s="74" t="n"/>
      <c r="I30" s="74" t="n"/>
      <c r="J30" s="74" t="n"/>
      <c r="K30" s="74" t="n"/>
      <c r="L30" s="74" t="n"/>
      <c r="M30" s="74" t="n"/>
      <c r="N30" s="74" t="n"/>
      <c r="O30" s="74" t="n"/>
      <c r="P30" s="74" t="n"/>
      <c r="Q30" s="74" t="n"/>
      <c r="R30" s="74" t="n"/>
      <c r="S30" s="74" t="n"/>
      <c r="T30" s="74" t="n"/>
      <c r="U30" s="74" t="n"/>
      <c r="V30" s="74" t="n"/>
      <c r="W30" s="74" t="n"/>
      <c r="X30" s="74" t="n"/>
      <c r="Y30" s="74" t="n"/>
      <c r="Z30" s="74" t="n"/>
    </row>
    <row r="31">
      <c r="A31" s="74" t="n"/>
      <c r="B31" s="70" t="inlineStr">
        <is>
          <t>Revenues: Customer deposits have so far been collected at a TTK sales price of €8,099. We recently increased the list price to €8,925. For the purposes of this financial model, we assume an average selling price of €8,526, which we view as a conservative lower-bound assumption. Based on current market feedback, we believe the long-term market-clearing price is more likely to be approximately €9,000, although this will be validated over time as commercial sales progress.</t>
        </is>
      </c>
      <c r="D31" s="74" t="n"/>
      <c r="E31" s="74" t="n"/>
      <c r="F31" s="74" t="n"/>
      <c r="G31" s="74" t="n"/>
      <c r="H31" s="74" t="n"/>
      <c r="I31" s="74" t="n"/>
      <c r="J31" s="74" t="n"/>
      <c r="K31" s="74" t="n"/>
      <c r="L31" s="74" t="n"/>
      <c r="M31" s="74" t="n"/>
      <c r="N31" s="74" t="n"/>
      <c r="O31" s="74" t="n"/>
      <c r="P31" s="74" t="n"/>
      <c r="Q31" s="74" t="n"/>
      <c r="R31" s="74" t="n"/>
      <c r="S31" s="74" t="n"/>
      <c r="T31" s="74" t="n"/>
      <c r="U31" s="74" t="n"/>
      <c r="V31" s="74" t="n"/>
      <c r="W31" s="74" t="n"/>
      <c r="X31" s="74" t="n"/>
      <c r="Y31" s="74" t="n"/>
      <c r="Z31" s="74" t="n"/>
    </row>
    <row r="32" ht="15.75" customHeight="1" s="349">
      <c r="A32" s="74" t="n"/>
      <c r="B32" s="74" t="n"/>
      <c r="C32" s="74" t="n"/>
      <c r="D32" s="74" t="n"/>
      <c r="E32" s="74" t="n"/>
      <c r="F32" s="74" t="n"/>
      <c r="G32" s="74" t="n"/>
      <c r="H32" s="74" t="n"/>
      <c r="I32" s="74" t="n"/>
      <c r="J32" s="74" t="n"/>
      <c r="K32" s="74" t="n"/>
      <c r="L32" s="74" t="n"/>
      <c r="M32" s="74" t="n"/>
      <c r="N32" s="74" t="n"/>
      <c r="O32" s="74" t="n"/>
      <c r="P32" s="74" t="n"/>
      <c r="Q32" s="74" t="n"/>
      <c r="R32" s="74" t="n"/>
      <c r="S32" s="74" t="n"/>
      <c r="T32" s="74" t="n"/>
      <c r="U32" s="74" t="n"/>
      <c r="V32" s="74" t="n"/>
      <c r="W32" s="74" t="n"/>
      <c r="X32" s="74" t="n"/>
      <c r="Y32" s="74" t="n"/>
      <c r="Z32" s="74" t="n"/>
    </row>
    <row r="33" ht="15.75" customHeight="1" s="349">
      <c r="A33" s="74" t="n"/>
      <c r="B33" s="71" t="inlineStr">
        <is>
          <t>VOLUME, COST TIERS &amp; PATH TO PROFITABILITY</t>
        </is>
      </c>
      <c r="C33" s="74" t="n"/>
      <c r="D33" s="74" t="n"/>
      <c r="E33" s="74" t="n"/>
      <c r="F33" s="74" t="n"/>
      <c r="G33" s="74" t="n"/>
      <c r="H33" s="74" t="n"/>
      <c r="I33" s="74" t="n"/>
      <c r="J33" s="74" t="n"/>
      <c r="K33" s="74" t="n"/>
      <c r="L33" s="74" t="n"/>
      <c r="M33" s="74" t="n"/>
      <c r="N33" s="74" t="n"/>
      <c r="O33" s="74" t="n"/>
      <c r="P33" s="74" t="n"/>
      <c r="Q33" s="74" t="n"/>
      <c r="R33" s="74" t="n"/>
      <c r="S33" s="74" t="n"/>
      <c r="T33" s="74" t="n"/>
      <c r="U33" s="74" t="n"/>
      <c r="V33" s="74" t="n"/>
      <c r="W33" s="74" t="n"/>
      <c r="X33" s="74" t="n"/>
      <c r="Y33" s="74" t="n"/>
      <c r="Z33" s="74" t="n"/>
    </row>
    <row r="34" ht="15.75" customHeight="1" s="349">
      <c r="A34" s="74" t="n"/>
      <c r="B34" s="74" t="inlineStr">
        <is>
          <t>Unit economics are driven by volume-tiered BOM pricing: the turbineketel BOM costs €9,984 below 5,000 units, €7,069 from 5,000, and €4,998 from 10,000 (tier set by two-year combined volume, see COGS explanation above).</t>
        </is>
      </c>
      <c r="C34" s="74" t="n"/>
      <c r="D34" s="74" t="n"/>
      <c r="E34" s="74" t="n"/>
      <c r="F34" s="74" t="n"/>
      <c r="G34" s="74" t="n"/>
      <c r="H34" s="74" t="n"/>
      <c r="I34" s="74" t="n"/>
      <c r="J34" s="74" t="n"/>
      <c r="K34" s="74" t="n"/>
      <c r="L34" s="74" t="n"/>
      <c r="M34" s="74" t="n"/>
      <c r="N34" s="74" t="n"/>
      <c r="O34" s="74" t="n"/>
      <c r="P34" s="74" t="n"/>
      <c r="Q34" s="74" t="n"/>
      <c r="R34" s="74" t="n"/>
      <c r="S34" s="74" t="n"/>
      <c r="T34" s="74" t="n"/>
      <c r="U34" s="74" t="n"/>
      <c r="V34" s="74" t="n"/>
      <c r="W34" s="74" t="n"/>
      <c r="X34" s="74" t="n"/>
      <c r="Y34" s="74" t="n"/>
      <c r="Z34" s="74" t="n"/>
    </row>
    <row r="35" ht="15.75" customHeight="1" s="349">
      <c r="A35" s="74" t="n"/>
      <c r="B35" s="74" t="inlineStr">
        <is>
          <t>Below the 5,000-unit tier, gross margin per unit is close to zero — so the business is loss-making by design until volumes cross that threshold. Base case (600 / 1,600 / 3,600 / 7,200 units, 2027-2030): EBITDA -EUR2.45m (2027), +EUR2.43m (2028), +EUR17.14m (2029).</t>
        </is>
      </c>
      <c r="C35" s="74" t="n"/>
      <c r="D35" s="74" t="n"/>
      <c r="E35" s="74" t="n"/>
      <c r="F35" s="74" t="n"/>
      <c r="G35" s="74" t="n"/>
      <c r="H35" s="74" t="n"/>
      <c r="I35" s="74" t="n"/>
      <c r="J35" s="74" t="n"/>
      <c r="K35" s="74" t="n"/>
      <c r="L35" s="74" t="n"/>
      <c r="M35" s="74" t="n"/>
      <c r="N35" s="74" t="n"/>
      <c r="O35" s="74" t="n"/>
      <c r="P35" s="74" t="n"/>
      <c r="Q35" s="74" t="n"/>
      <c r="R35" s="74" t="n"/>
      <c r="S35" s="74" t="n"/>
      <c r="T35" s="74" t="n"/>
      <c r="U35" s="74" t="n"/>
      <c r="V35" s="74" t="n"/>
      <c r="W35" s="74" t="n"/>
      <c r="X35" s="74" t="n"/>
      <c r="Y35" s="74" t="n"/>
      <c r="Z35" s="74" t="n"/>
    </row>
    <row r="36" ht="15.75" customHeight="1" s="349">
      <c r="A36" s="74" t="n"/>
      <c r="B36" s="74" t="inlineStr">
        <is>
          <t>Cash is tightest in Oct-2026 (~EUR7k) immediately before the equity injection; from Nov-2026 the plan is funded throughout. The Jan-2028 dip described in earlier versions no longer appears at these volumes.</t>
        </is>
      </c>
      <c r="C36" s="74" t="n"/>
      <c r="D36" s="74" t="n"/>
      <c r="E36" s="74" t="n"/>
      <c r="F36" s="74" t="n"/>
      <c r="G36" s="74" t="n"/>
      <c r="H36" s="74" t="n"/>
      <c r="I36" s="74" t="n"/>
      <c r="J36" s="74" t="n"/>
      <c r="K36" s="74" t="n"/>
      <c r="L36" s="74" t="n"/>
      <c r="M36" s="74" t="n"/>
      <c r="N36" s="74" t="n"/>
      <c r="O36" s="74" t="n"/>
      <c r="P36" s="74" t="n"/>
      <c r="Q36" s="74" t="n"/>
      <c r="R36" s="74" t="n"/>
      <c r="S36" s="74" t="n"/>
      <c r="T36" s="74" t="n"/>
      <c r="U36" s="74" t="n"/>
      <c r="V36" s="74" t="n"/>
      <c r="W36" s="74" t="n"/>
      <c r="X36" s="74" t="n"/>
      <c r="Y36" s="74" t="n"/>
      <c r="Z36" s="74" t="n"/>
    </row>
    <row r="37" ht="15.75" customHeight="1" s="349">
      <c r="A37" s="74" t="n"/>
      <c r="B37" s="74" t="inlineStr">
        <is>
          <t>Results are highly sensitive at the tier thresholds. On the two-year basis 2028's tier key is 1,600 + 3,600 = 5,200 against a 5,000 breakpoint, so a 4% volume miss pushes the 2028 BOM back to EUR9,984.</t>
        </is>
      </c>
      <c r="C37" s="74" t="n"/>
      <c r="D37" s="74" t="n"/>
      <c r="E37" s="74" t="n"/>
      <c r="F37" s="74" t="n"/>
      <c r="G37" s="74" t="n"/>
      <c r="H37" s="74" t="n"/>
      <c r="I37" s="74" t="n"/>
      <c r="J37" s="74" t="n"/>
      <c r="K37" s="74" t="n"/>
      <c r="L37" s="74" t="n"/>
      <c r="M37" s="74" t="n"/>
      <c r="N37" s="74" t="n"/>
      <c r="O37" s="74" t="n"/>
      <c r="P37" s="74" t="n"/>
      <c r="Q37" s="74" t="n"/>
      <c r="R37" s="74" t="n"/>
      <c r="S37" s="74" t="n"/>
      <c r="T37" s="74" t="n"/>
      <c r="U37" s="74" t="n"/>
      <c r="V37" s="74" t="n"/>
      <c r="W37" s="74" t="n"/>
      <c r="X37" s="74" t="n"/>
      <c r="Y37" s="74" t="n"/>
      <c r="Z37" s="74" t="n"/>
    </row>
    <row r="38" ht="15.75" customHeight="1" s="349">
      <c r="A38" s="74" t="n"/>
      <c r="B38" s="74" t="n"/>
      <c r="C38" s="74" t="n"/>
      <c r="D38" s="74" t="n"/>
      <c r="E38" s="74" t="n"/>
      <c r="F38" s="74" t="n"/>
      <c r="G38" s="74" t="n"/>
      <c r="H38" s="74" t="n"/>
      <c r="I38" s="74" t="n"/>
      <c r="J38" s="74" t="n"/>
      <c r="K38" s="74" t="n"/>
      <c r="L38" s="74" t="n"/>
      <c r="M38" s="74" t="n"/>
      <c r="N38" s="74" t="n"/>
      <c r="O38" s="74" t="n"/>
      <c r="P38" s="74" t="n"/>
      <c r="Q38" s="74" t="n"/>
      <c r="R38" s="74" t="n"/>
      <c r="S38" s="74" t="n"/>
      <c r="T38" s="74" t="n"/>
      <c r="U38" s="74" t="n"/>
      <c r="V38" s="74" t="n"/>
      <c r="W38" s="74" t="n"/>
      <c r="X38" s="74" t="n"/>
      <c r="Y38" s="74" t="n"/>
      <c r="Z38" s="74" t="n"/>
    </row>
    <row r="39" ht="15.75" customHeight="1" s="349">
      <c r="A39" s="74" t="n"/>
      <c r="B39" s="71" t="inlineStr">
        <is>
          <t>SCENARIO SWITCHES (Assumptions rows 82-83)</t>
        </is>
      </c>
      <c r="C39" s="74" t="n"/>
      <c r="D39" s="74" t="n"/>
      <c r="E39" s="74" t="n"/>
      <c r="F39" s="74" t="n"/>
      <c r="G39" s="74" t="n"/>
      <c r="H39" s="74" t="n"/>
      <c r="I39" s="74" t="n"/>
      <c r="J39" s="74" t="n"/>
      <c r="K39" s="74" t="n"/>
      <c r="L39" s="74" t="n"/>
      <c r="M39" s="74" t="n"/>
      <c r="N39" s="74" t="n"/>
      <c r="O39" s="74" t="n"/>
      <c r="P39" s="74" t="n"/>
      <c r="Q39" s="74" t="n"/>
      <c r="R39" s="74" t="n"/>
      <c r="S39" s="74" t="n"/>
      <c r="T39" s="74" t="n"/>
      <c r="U39" s="74" t="n"/>
      <c r="V39" s="74" t="n"/>
      <c r="W39" s="74" t="n"/>
      <c r="X39" s="74" t="n"/>
      <c r="Y39" s="74" t="n"/>
      <c r="Z39" s="74" t="n"/>
    </row>
    <row r="40" ht="15.75" customHeight="1" s="349">
      <c r="A40" s="74" t="n"/>
      <c r="B40" s="74" t="inlineStr">
        <is>
          <t>Case: 1 = Base (EUR3m raise, 600 / 1,600 / 3,600 / 7,200 units). 2 = Aggressive (EUR10m raise, 1,800 / 5,200 / 11,000 / 22,000 units, EUR5.5m staged capex, sales hires pulled forward, 30 days of inventory).</t>
        </is>
      </c>
      <c r="C40" s="74" t="n"/>
      <c r="D40" s="74" t="n"/>
      <c r="E40" s="74" t="n"/>
      <c r="F40" s="74" t="n"/>
      <c r="G40" s="74" t="n"/>
      <c r="H40" s="74" t="n"/>
      <c r="I40" s="74" t="n"/>
      <c r="J40" s="74" t="n"/>
      <c r="K40" s="74" t="n"/>
      <c r="L40" s="74" t="n"/>
      <c r="M40" s="74" t="n"/>
      <c r="N40" s="74" t="n"/>
      <c r="O40" s="74" t="n"/>
      <c r="P40" s="74" t="n"/>
      <c r="Q40" s="74" t="n"/>
      <c r="R40" s="74" t="n"/>
      <c r="S40" s="74" t="n"/>
      <c r="T40" s="74" t="n"/>
      <c r="U40" s="74" t="n"/>
      <c r="V40" s="74" t="n"/>
      <c r="W40" s="74" t="n"/>
      <c r="X40" s="74" t="n"/>
      <c r="Y40" s="74" t="n"/>
      <c r="Z40" s="74" t="n"/>
    </row>
    <row r="41" ht="15.75" customHeight="1" s="349">
      <c r="A41" s="74" t="n"/>
      <c r="B41" s="74" t="inlineStr">
        <is>
          <t>BOM tier basis: 1 = the year's own volume only (conservative). 2 = this year + next, as originally modelled. On basis 1 the Base case never turns profitable (EBITDA -2.45 / -2.23 / -1.21); the Aggressive case does (-1.34 / +17.12 / +66.08).</t>
        </is>
      </c>
      <c r="C41" s="74" t="n"/>
      <c r="D41" s="74" t="n"/>
      <c r="E41" s="74" t="n"/>
      <c r="F41" s="74" t="n"/>
      <c r="G41" s="74" t="n"/>
      <c r="H41" s="74" t="n"/>
      <c r="I41" s="74" t="n"/>
      <c r="J41" s="74" t="n"/>
      <c r="K41" s="74" t="n"/>
      <c r="L41" s="74" t="n"/>
      <c r="M41" s="74" t="n"/>
      <c r="N41" s="74" t="n"/>
      <c r="O41" s="74" t="n"/>
      <c r="P41" s="74" t="n"/>
      <c r="Q41" s="74" t="n"/>
      <c r="R41" s="74" t="n"/>
      <c r="S41" s="74" t="n"/>
      <c r="T41" s="74" t="n"/>
      <c r="U41" s="74" t="n"/>
      <c r="V41" s="74" t="n"/>
      <c r="W41" s="74" t="n"/>
      <c r="X41" s="74" t="n"/>
      <c r="Y41" s="74" t="n"/>
      <c r="Z41" s="74" t="n"/>
    </row>
    <row r="42" ht="15.75" customHeight="1" s="349">
      <c r="A42" s="74" t="n"/>
      <c r="B42" s="74" t="inlineStr">
        <is>
          <t>Aggressive volumes are deliberately set to clear the breakpoints: 5,200 units in 2028 (&gt;5,000) and 11,000 in 2029 (&gt;10,000). Crossing 5,000 in 2028 is worth roughly EUR15m of COGS.</t>
        </is>
      </c>
      <c r="C42" s="74" t="n"/>
      <c r="D42" s="74" t="n"/>
      <c r="E42" s="74" t="n"/>
      <c r="F42" s="74" t="n"/>
      <c r="G42" s="74" t="n"/>
      <c r="H42" s="74" t="n"/>
      <c r="I42" s="74" t="n"/>
      <c r="J42" s="74" t="n"/>
      <c r="K42" s="74" t="n"/>
      <c r="L42" s="74" t="n"/>
      <c r="M42" s="74" t="n"/>
      <c r="N42" s="74" t="n"/>
      <c r="O42" s="74" t="n"/>
      <c r="P42" s="74" t="n"/>
      <c r="Q42" s="74" t="n"/>
      <c r="R42" s="74" t="n"/>
      <c r="S42" s="74" t="n"/>
      <c r="T42" s="74" t="n"/>
      <c r="U42" s="74" t="n"/>
      <c r="V42" s="74" t="n"/>
      <c r="W42" s="74" t="n"/>
      <c r="X42" s="74" t="n"/>
      <c r="Y42" s="74" t="n"/>
      <c r="Z42" s="74" t="n"/>
    </row>
    <row r="43" ht="15.75" customHeight="1" s="349">
      <c r="A43" s="74" t="n"/>
      <c r="B43" s="74" t="inlineStr">
        <is>
          <t>Questions for vin</t>
        </is>
      </c>
      <c r="C43" s="74" t="n"/>
      <c r="D43" s="74" t="n"/>
      <c r="E43" s="74" t="n"/>
      <c r="F43" s="74" t="n"/>
      <c r="G43" s="74" t="n"/>
      <c r="H43" s="74" t="n"/>
      <c r="I43" s="74" t="n"/>
      <c r="J43" s="74" t="n"/>
      <c r="K43" s="74" t="n"/>
      <c r="L43" s="74" t="n"/>
      <c r="M43" s="74" t="n"/>
      <c r="N43" s="74" t="n"/>
      <c r="O43" s="74" t="n"/>
      <c r="P43" s="74" t="n"/>
      <c r="Q43" s="74" t="n"/>
      <c r="R43" s="74" t="n"/>
      <c r="S43" s="74" t="n"/>
      <c r="T43" s="74" t="n"/>
      <c r="U43" s="74" t="n"/>
      <c r="V43" s="74" t="n"/>
      <c r="W43" s="74" t="n"/>
      <c r="X43" s="74" t="n"/>
      <c r="Y43" s="74" t="n"/>
      <c r="Z43" s="74" t="n"/>
    </row>
    <row r="44" ht="15.75" customHeight="1" s="349">
      <c r="A44" s="74" t="n"/>
      <c r="B44" s="74" t="inlineStr">
        <is>
          <t>1) check prics of ttk and combi</t>
        </is>
      </c>
      <c r="C44" s="74" t="n"/>
      <c r="D44" s="74" t="n"/>
      <c r="E44" s="74" t="n"/>
      <c r="F44" s="74" t="n"/>
      <c r="G44" s="74" t="n"/>
      <c r="H44" s="74" t="n"/>
      <c r="I44" s="74" t="n"/>
      <c r="J44" s="74" t="n"/>
      <c r="K44" s="74" t="n"/>
      <c r="L44" s="74" t="n"/>
      <c r="M44" s="74" t="n"/>
      <c r="N44" s="74" t="n"/>
      <c r="O44" s="74" t="n"/>
      <c r="P44" s="74" t="n"/>
      <c r="Q44" s="74" t="n"/>
      <c r="R44" s="74" t="n"/>
      <c r="S44" s="74" t="n"/>
      <c r="T44" s="74" t="n"/>
      <c r="U44" s="74" t="n"/>
      <c r="V44" s="74" t="n"/>
      <c r="W44" s="74" t="n"/>
      <c r="X44" s="74" t="n"/>
      <c r="Y44" s="74" t="n"/>
      <c r="Z44" s="74" t="n"/>
    </row>
    <row r="45" ht="15.75" customHeight="1" s="349">
      <c r="A45" s="74" t="n"/>
      <c r="B45" s="74" t="inlineStr">
        <is>
          <t xml:space="preserve">2) bill of materials, is all of that inclusive of VAT? because if not </t>
        </is>
      </c>
      <c r="C45" s="74" t="n"/>
      <c r="D45" s="74" t="n"/>
      <c r="E45" s="74" t="n"/>
      <c r="F45" s="74" t="n"/>
      <c r="G45" s="74" t="n"/>
      <c r="H45" s="74" t="n"/>
      <c r="I45" s="74" t="n"/>
      <c r="J45" s="74" t="n"/>
      <c r="K45" s="74" t="n"/>
      <c r="L45" s="74" t="n"/>
      <c r="M45" s="74" t="n"/>
      <c r="N45" s="74" t="n"/>
      <c r="O45" s="74" t="n"/>
      <c r="P45" s="74" t="n"/>
      <c r="Q45" s="74" t="n"/>
      <c r="R45" s="74" t="n"/>
      <c r="S45" s="74" t="n"/>
      <c r="T45" s="74" t="n"/>
      <c r="U45" s="74" t="n"/>
      <c r="V45" s="74" t="n"/>
      <c r="W45" s="74" t="n"/>
      <c r="X45" s="74" t="n"/>
      <c r="Y45" s="74" t="n"/>
      <c r="Z45" s="74" t="n"/>
    </row>
    <row r="46" ht="15.75" customHeight="1" s="349">
      <c r="A46" s="74" t="n"/>
      <c r="B46" s="74" t="n"/>
      <c r="C46" s="74" t="n"/>
      <c r="D46" s="74" t="n"/>
      <c r="E46" s="74" t="n"/>
      <c r="F46" s="74" t="n"/>
      <c r="G46" s="74" t="n"/>
      <c r="H46" s="74" t="n"/>
      <c r="I46" s="74" t="n"/>
      <c r="J46" s="74" t="n"/>
      <c r="K46" s="74" t="n"/>
      <c r="L46" s="74" t="n"/>
      <c r="M46" s="74" t="n"/>
      <c r="N46" s="74" t="n"/>
      <c r="O46" s="74" t="n"/>
      <c r="P46" s="74" t="n"/>
      <c r="Q46" s="74" t="n"/>
      <c r="R46" s="74" t="n"/>
      <c r="S46" s="74" t="n"/>
      <c r="T46" s="74" t="n"/>
      <c r="U46" s="74" t="n"/>
      <c r="V46" s="74" t="n"/>
      <c r="W46" s="74" t="n"/>
      <c r="X46" s="74" t="n"/>
      <c r="Y46" s="74" t="n"/>
      <c r="Z46" s="74" t="n"/>
    </row>
    <row r="47" ht="15.75" customHeight="1" s="349">
      <c r="A47" s="74" t="n"/>
      <c r="B47" s="74" t="n"/>
      <c r="C47" s="74" t="n"/>
      <c r="D47" s="74" t="n"/>
      <c r="E47" s="74" t="n"/>
      <c r="F47" s="74" t="n"/>
      <c r="G47" s="74" t="n"/>
      <c r="H47" s="74" t="n"/>
      <c r="I47" s="74" t="n"/>
      <c r="J47" s="74" t="n"/>
      <c r="K47" s="74" t="n"/>
      <c r="L47" s="74" t="n"/>
      <c r="M47" s="74" t="n"/>
      <c r="N47" s="74" t="n"/>
      <c r="O47" s="74" t="n"/>
      <c r="P47" s="74" t="n"/>
      <c r="Q47" s="74" t="n"/>
      <c r="R47" s="74" t="n"/>
      <c r="S47" s="74" t="n"/>
      <c r="T47" s="74" t="n"/>
      <c r="U47" s="74" t="n"/>
      <c r="V47" s="74" t="n"/>
      <c r="W47" s="74" t="n"/>
      <c r="X47" s="74" t="n"/>
      <c r="Y47" s="74" t="n"/>
      <c r="Z47" s="74" t="n"/>
    </row>
    <row r="48" ht="15.75" customHeight="1" s="349">
      <c r="A48" s="74" t="n"/>
      <c r="B48" s="74" t="n"/>
      <c r="C48" s="74" t="n"/>
      <c r="D48" s="74" t="n"/>
      <c r="E48" s="74" t="n"/>
      <c r="F48" s="74" t="n"/>
      <c r="G48" s="74" t="n"/>
      <c r="H48" s="74" t="n"/>
      <c r="I48" s="74" t="n"/>
      <c r="J48" s="74" t="n"/>
      <c r="K48" s="74" t="n"/>
      <c r="L48" s="74" t="n"/>
      <c r="M48" s="74" t="n"/>
      <c r="N48" s="74" t="n"/>
      <c r="O48" s="74" t="n"/>
      <c r="P48" s="74" t="n"/>
      <c r="Q48" s="74" t="n"/>
      <c r="R48" s="74" t="n"/>
      <c r="S48" s="74" t="n"/>
      <c r="T48" s="74" t="n"/>
      <c r="U48" s="74" t="n"/>
      <c r="V48" s="74" t="n"/>
      <c r="W48" s="74" t="n"/>
      <c r="X48" s="74" t="n"/>
      <c r="Y48" s="74" t="n"/>
      <c r="Z48" s="74" t="n"/>
    </row>
    <row r="49" ht="15.75" customHeight="1" s="349">
      <c r="A49" s="74" t="n"/>
      <c r="B49" s="74" t="n"/>
      <c r="C49" s="74" t="n"/>
      <c r="D49" s="74" t="n"/>
      <c r="E49" s="74" t="n"/>
      <c r="F49" s="74" t="n"/>
      <c r="G49" s="74" t="n"/>
      <c r="H49" s="74" t="n"/>
      <c r="I49" s="74" t="n"/>
      <c r="J49" s="74" t="n"/>
      <c r="K49" s="74" t="n"/>
      <c r="L49" s="74" t="n"/>
      <c r="M49" s="74" t="n"/>
      <c r="N49" s="74" t="n"/>
      <c r="O49" s="74" t="n"/>
      <c r="P49" s="74" t="n"/>
      <c r="Q49" s="74" t="n"/>
      <c r="R49" s="74" t="n"/>
      <c r="S49" s="74" t="n"/>
      <c r="T49" s="74" t="n"/>
      <c r="U49" s="74" t="n"/>
      <c r="V49" s="74" t="n"/>
      <c r="W49" s="74" t="n"/>
      <c r="X49" s="74" t="n"/>
      <c r="Y49" s="74" t="n"/>
      <c r="Z49" s="74" t="n"/>
    </row>
    <row r="50" ht="15.75" customHeight="1" s="349">
      <c r="A50" s="74" t="n"/>
      <c r="B50" s="74" t="n"/>
      <c r="C50" s="74" t="n"/>
      <c r="D50" s="74" t="n"/>
      <c r="E50" s="74" t="n"/>
      <c r="F50" s="74" t="n"/>
      <c r="G50" s="74" t="n"/>
      <c r="H50" s="74" t="n"/>
      <c r="I50" s="74" t="n"/>
      <c r="J50" s="74" t="n"/>
      <c r="K50" s="74" t="n"/>
      <c r="L50" s="74" t="n"/>
      <c r="M50" s="74" t="n"/>
      <c r="N50" s="74" t="n"/>
      <c r="O50" s="74" t="n"/>
      <c r="P50" s="74" t="n"/>
      <c r="Q50" s="74" t="n"/>
      <c r="R50" s="74" t="n"/>
      <c r="S50" s="74" t="n"/>
      <c r="T50" s="74" t="n"/>
      <c r="U50" s="74" t="n"/>
      <c r="V50" s="74" t="n"/>
      <c r="W50" s="74" t="n"/>
      <c r="X50" s="74" t="n"/>
      <c r="Y50" s="74" t="n"/>
      <c r="Z50" s="74" t="n"/>
    </row>
    <row r="51" ht="15.75" customHeight="1" s="349">
      <c r="A51" s="74" t="n"/>
      <c r="B51" s="74" t="n"/>
      <c r="C51" s="74" t="n"/>
      <c r="D51" s="74" t="n"/>
      <c r="E51" s="74" t="n"/>
      <c r="F51" s="74" t="n"/>
      <c r="G51" s="74" t="n"/>
      <c r="H51" s="74" t="n"/>
      <c r="I51" s="74" t="n"/>
      <c r="J51" s="74" t="n"/>
      <c r="K51" s="74" t="n"/>
      <c r="L51" s="74" t="n"/>
      <c r="M51" s="74" t="n"/>
      <c r="N51" s="74" t="n"/>
      <c r="O51" s="74" t="n"/>
      <c r="P51" s="74" t="n"/>
      <c r="Q51" s="74" t="n"/>
      <c r="R51" s="74" t="n"/>
      <c r="S51" s="74" t="n"/>
      <c r="T51" s="74" t="n"/>
      <c r="U51" s="74" t="n"/>
      <c r="V51" s="74" t="n"/>
      <c r="W51" s="74" t="n"/>
      <c r="X51" s="74" t="n"/>
      <c r="Y51" s="74" t="n"/>
      <c r="Z51" s="74" t="n"/>
    </row>
    <row r="52" ht="15.75" customHeight="1" s="349">
      <c r="A52" s="74" t="n"/>
      <c r="B52" s="74" t="n"/>
      <c r="C52" s="74" t="n"/>
      <c r="D52" s="74" t="n"/>
      <c r="E52" s="74" t="n"/>
      <c r="F52" s="74" t="n"/>
      <c r="G52" s="74" t="n"/>
      <c r="H52" s="74" t="n"/>
      <c r="I52" s="74" t="n"/>
      <c r="J52" s="74" t="n"/>
      <c r="K52" s="74" t="n"/>
      <c r="L52" s="74" t="n"/>
      <c r="M52" s="74" t="n"/>
      <c r="N52" s="74" t="n"/>
      <c r="O52" s="74" t="n"/>
      <c r="P52" s="74" t="n"/>
      <c r="Q52" s="74" t="n"/>
      <c r="R52" s="74" t="n"/>
      <c r="S52" s="74" t="n"/>
      <c r="T52" s="74" t="n"/>
      <c r="U52" s="74" t="n"/>
      <c r="V52" s="74" t="n"/>
      <c r="W52" s="74" t="n"/>
      <c r="X52" s="74" t="n"/>
      <c r="Y52" s="74" t="n"/>
      <c r="Z52" s="74" t="n"/>
    </row>
    <row r="53" ht="15.75" customHeight="1" s="349">
      <c r="A53" s="74" t="n"/>
      <c r="B53" s="74" t="n"/>
      <c r="C53" s="74" t="n"/>
      <c r="D53" s="74" t="n"/>
      <c r="E53" s="74" t="n"/>
      <c r="F53" s="74" t="n"/>
      <c r="G53" s="74" t="n"/>
      <c r="H53" s="74" t="n"/>
      <c r="I53" s="74" t="n"/>
      <c r="J53" s="74" t="n"/>
      <c r="K53" s="74" t="n"/>
      <c r="L53" s="74" t="n"/>
      <c r="M53" s="74" t="n"/>
      <c r="N53" s="74" t="n"/>
      <c r="O53" s="74" t="n"/>
      <c r="P53" s="74" t="n"/>
      <c r="Q53" s="74" t="n"/>
      <c r="R53" s="74" t="n"/>
      <c r="S53" s="74" t="n"/>
      <c r="T53" s="74" t="n"/>
      <c r="U53" s="74" t="n"/>
      <c r="V53" s="74" t="n"/>
      <c r="W53" s="74" t="n"/>
      <c r="X53" s="74" t="n"/>
      <c r="Y53" s="74" t="n"/>
      <c r="Z53" s="74" t="n"/>
    </row>
    <row r="54" ht="15.75" customHeight="1" s="349">
      <c r="A54" s="74" t="n"/>
      <c r="B54" s="74" t="n"/>
      <c r="C54" s="74" t="n"/>
      <c r="D54" s="74" t="n"/>
      <c r="E54" s="74" t="n"/>
      <c r="F54" s="74" t="n"/>
      <c r="G54" s="74" t="n"/>
      <c r="H54" s="74" t="n"/>
      <c r="I54" s="74" t="n"/>
      <c r="J54" s="74" t="n"/>
      <c r="K54" s="74" t="n"/>
      <c r="L54" s="74" t="n"/>
      <c r="M54" s="74" t="n"/>
      <c r="N54" s="74" t="n"/>
      <c r="O54" s="74" t="n"/>
      <c r="P54" s="74" t="n"/>
      <c r="Q54" s="74" t="n"/>
      <c r="R54" s="74" t="n"/>
      <c r="S54" s="74" t="n"/>
      <c r="T54" s="74" t="n"/>
      <c r="U54" s="74" t="n"/>
      <c r="V54" s="74" t="n"/>
      <c r="W54" s="74" t="n"/>
      <c r="X54" s="74" t="n"/>
      <c r="Y54" s="74" t="n"/>
      <c r="Z54" s="74" t="n"/>
    </row>
    <row r="55" ht="15.75" customHeight="1" s="349">
      <c r="A55" s="74" t="n"/>
      <c r="B55" s="74" t="n"/>
      <c r="C55" s="74" t="n"/>
      <c r="D55" s="74" t="n"/>
      <c r="E55" s="74" t="n"/>
      <c r="F55" s="74" t="n"/>
      <c r="G55" s="74" t="n"/>
      <c r="H55" s="74" t="n"/>
      <c r="I55" s="74" t="n"/>
      <c r="J55" s="74" t="n"/>
      <c r="K55" s="74" t="n"/>
      <c r="L55" s="74" t="n"/>
      <c r="M55" s="74" t="n"/>
      <c r="N55" s="74" t="n"/>
      <c r="O55" s="74" t="n"/>
      <c r="P55" s="74" t="n"/>
      <c r="Q55" s="74" t="n"/>
      <c r="R55" s="74" t="n"/>
      <c r="S55" s="74" t="n"/>
      <c r="T55" s="74" t="n"/>
      <c r="U55" s="74" t="n"/>
      <c r="V55" s="74" t="n"/>
      <c r="W55" s="74" t="n"/>
      <c r="X55" s="74" t="n"/>
      <c r="Y55" s="74" t="n"/>
      <c r="Z55" s="74" t="n"/>
    </row>
    <row r="56" ht="15.75" customHeight="1" s="349">
      <c r="A56" s="74" t="n"/>
      <c r="B56" s="74" t="n"/>
      <c r="C56" s="74" t="n"/>
      <c r="D56" s="74" t="n"/>
      <c r="E56" s="74" t="n"/>
      <c r="F56" s="74" t="n"/>
      <c r="G56" s="74" t="n"/>
      <c r="H56" s="74" t="n"/>
      <c r="I56" s="74" t="n"/>
      <c r="J56" s="74" t="n"/>
      <c r="K56" s="74" t="n"/>
      <c r="L56" s="74" t="n"/>
      <c r="M56" s="74" t="n"/>
      <c r="N56" s="74" t="n"/>
      <c r="O56" s="74" t="n"/>
      <c r="P56" s="74" t="n"/>
      <c r="Q56" s="74" t="n"/>
      <c r="R56" s="74" t="n"/>
      <c r="S56" s="74" t="n"/>
      <c r="T56" s="74" t="n"/>
      <c r="U56" s="74" t="n"/>
      <c r="V56" s="74" t="n"/>
      <c r="W56" s="74" t="n"/>
      <c r="X56" s="74" t="n"/>
      <c r="Y56" s="74" t="n"/>
      <c r="Z56" s="74" t="n"/>
    </row>
    <row r="57" ht="15.75" customHeight="1" s="349">
      <c r="A57" s="74" t="n"/>
      <c r="B57" s="74" t="n"/>
      <c r="C57" s="74" t="n"/>
      <c r="D57" s="74" t="n"/>
      <c r="E57" s="74" t="n"/>
      <c r="F57" s="74" t="n"/>
      <c r="G57" s="74" t="n"/>
      <c r="H57" s="74" t="n"/>
      <c r="I57" s="74" t="n"/>
      <c r="J57" s="74" t="n"/>
      <c r="K57" s="74" t="n"/>
      <c r="L57" s="74" t="n"/>
      <c r="M57" s="74" t="n"/>
      <c r="N57" s="74" t="n"/>
      <c r="O57" s="74" t="n"/>
      <c r="P57" s="74" t="n"/>
      <c r="Q57" s="74" t="n"/>
      <c r="R57" s="74" t="n"/>
      <c r="S57" s="74" t="n"/>
      <c r="T57" s="74" t="n"/>
      <c r="U57" s="74" t="n"/>
      <c r="V57" s="74" t="n"/>
      <c r="W57" s="74" t="n"/>
      <c r="X57" s="74" t="n"/>
      <c r="Y57" s="74" t="n"/>
      <c r="Z57" s="74" t="n"/>
    </row>
    <row r="58" ht="15.75" customHeight="1" s="349">
      <c r="A58" s="74" t="n"/>
      <c r="B58" s="74" t="n"/>
      <c r="C58" s="74" t="n"/>
      <c r="D58" s="74" t="n"/>
      <c r="E58" s="74" t="n"/>
      <c r="F58" s="74" t="n"/>
      <c r="G58" s="74" t="n"/>
      <c r="H58" s="74" t="n"/>
      <c r="I58" s="74" t="n"/>
      <c r="J58" s="74" t="n"/>
      <c r="K58" s="74" t="n"/>
      <c r="L58" s="74" t="n"/>
      <c r="M58" s="74" t="n"/>
      <c r="N58" s="74" t="n"/>
      <c r="O58" s="74" t="n"/>
      <c r="P58" s="74" t="n"/>
      <c r="Q58" s="74" t="n"/>
      <c r="R58" s="74" t="n"/>
      <c r="S58" s="74" t="n"/>
      <c r="T58" s="74" t="n"/>
      <c r="U58" s="74" t="n"/>
      <c r="V58" s="74" t="n"/>
      <c r="W58" s="74" t="n"/>
      <c r="X58" s="74" t="n"/>
      <c r="Y58" s="74" t="n"/>
      <c r="Z58" s="74" t="n"/>
    </row>
    <row r="59" ht="15.75" customHeight="1" s="349">
      <c r="A59" s="74" t="n"/>
      <c r="B59" s="74" t="n"/>
      <c r="C59" s="74" t="n"/>
      <c r="D59" s="74" t="n"/>
      <c r="E59" s="74" t="n"/>
      <c r="F59" s="74" t="n"/>
      <c r="G59" s="74" t="n"/>
      <c r="H59" s="74" t="n"/>
      <c r="I59" s="74" t="n"/>
      <c r="J59" s="74" t="n"/>
      <c r="K59" s="74" t="n"/>
      <c r="L59" s="74" t="n"/>
      <c r="M59" s="74" t="n"/>
      <c r="N59" s="74" t="n"/>
      <c r="O59" s="74" t="n"/>
      <c r="P59" s="74" t="n"/>
      <c r="Q59" s="74" t="n"/>
      <c r="R59" s="74" t="n"/>
      <c r="S59" s="74" t="n"/>
      <c r="T59" s="74" t="n"/>
      <c r="U59" s="74" t="n"/>
      <c r="V59" s="74" t="n"/>
      <c r="W59" s="74" t="n"/>
      <c r="X59" s="74" t="n"/>
      <c r="Y59" s="74" t="n"/>
      <c r="Z59" s="74" t="n"/>
    </row>
    <row r="60" ht="15.75" customHeight="1" s="349">
      <c r="A60" s="74" t="n"/>
      <c r="B60" s="74" t="n"/>
      <c r="C60" s="74" t="n"/>
      <c r="D60" s="74" t="n"/>
      <c r="E60" s="74" t="n"/>
      <c r="F60" s="74" t="n"/>
      <c r="G60" s="74" t="n"/>
      <c r="H60" s="74" t="n"/>
      <c r="I60" s="74" t="n"/>
      <c r="J60" s="74" t="n"/>
      <c r="K60" s="74" t="n"/>
      <c r="L60" s="74" t="n"/>
      <c r="M60" s="74" t="n"/>
      <c r="N60" s="74" t="n"/>
      <c r="O60" s="74" t="n"/>
      <c r="P60" s="74" t="n"/>
      <c r="Q60" s="74" t="n"/>
      <c r="R60" s="74" t="n"/>
      <c r="S60" s="74" t="n"/>
      <c r="T60" s="74" t="n"/>
      <c r="U60" s="74" t="n"/>
      <c r="V60" s="74" t="n"/>
      <c r="W60" s="74" t="n"/>
      <c r="X60" s="74" t="n"/>
      <c r="Y60" s="74" t="n"/>
      <c r="Z60" s="74" t="n"/>
    </row>
    <row r="61" ht="15.75" customHeight="1" s="349">
      <c r="A61" s="74" t="n"/>
      <c r="B61" s="74" t="n"/>
      <c r="C61" s="74" t="n"/>
      <c r="D61" s="74" t="n"/>
      <c r="E61" s="74" t="n"/>
      <c r="F61" s="74" t="n"/>
      <c r="G61" s="74" t="n"/>
      <c r="H61" s="74" t="n"/>
      <c r="I61" s="74" t="n"/>
      <c r="J61" s="74" t="n"/>
      <c r="K61" s="74" t="n"/>
      <c r="L61" s="74" t="n"/>
      <c r="M61" s="74" t="n"/>
      <c r="N61" s="74" t="n"/>
      <c r="O61" s="74" t="n"/>
      <c r="P61" s="74" t="n"/>
      <c r="Q61" s="74" t="n"/>
      <c r="R61" s="74" t="n"/>
      <c r="S61" s="74" t="n"/>
      <c r="T61" s="74" t="n"/>
      <c r="U61" s="74" t="n"/>
      <c r="V61" s="74" t="n"/>
      <c r="W61" s="74" t="n"/>
      <c r="X61" s="74" t="n"/>
      <c r="Y61" s="74" t="n"/>
      <c r="Z61" s="74" t="n"/>
    </row>
    <row r="62" ht="15.75" customHeight="1" s="349">
      <c r="A62" s="74" t="n"/>
      <c r="B62" s="74" t="n"/>
      <c r="C62" s="74" t="n"/>
      <c r="D62" s="74" t="n"/>
      <c r="E62" s="74" t="n"/>
      <c r="F62" s="74" t="n"/>
      <c r="G62" s="74" t="n"/>
      <c r="H62" s="74" t="n"/>
      <c r="I62" s="74" t="n"/>
      <c r="J62" s="74" t="n"/>
      <c r="K62" s="74" t="n"/>
      <c r="L62" s="74" t="n"/>
      <c r="M62" s="74" t="n"/>
      <c r="N62" s="74" t="n"/>
      <c r="O62" s="74" t="n"/>
      <c r="P62" s="74" t="n"/>
      <c r="Q62" s="74" t="n"/>
      <c r="R62" s="74" t="n"/>
      <c r="S62" s="74" t="n"/>
      <c r="T62" s="74" t="n"/>
      <c r="U62" s="74" t="n"/>
      <c r="V62" s="74" t="n"/>
      <c r="W62" s="74" t="n"/>
      <c r="X62" s="74" t="n"/>
      <c r="Y62" s="74" t="n"/>
      <c r="Z62" s="74" t="n"/>
    </row>
    <row r="63" ht="15.75" customHeight="1" s="349">
      <c r="A63" s="74" t="n"/>
      <c r="B63" s="74" t="n"/>
      <c r="C63" s="74" t="n"/>
      <c r="D63" s="74" t="n"/>
      <c r="E63" s="74" t="n"/>
      <c r="F63" s="74" t="n"/>
      <c r="G63" s="74" t="n"/>
      <c r="H63" s="74" t="n"/>
      <c r="I63" s="74" t="n"/>
      <c r="J63" s="74" t="n"/>
      <c r="K63" s="74" t="n"/>
      <c r="L63" s="74" t="n"/>
      <c r="M63" s="74" t="n"/>
      <c r="N63" s="74" t="n"/>
      <c r="O63" s="74" t="n"/>
      <c r="P63" s="74" t="n"/>
      <c r="Q63" s="74" t="n"/>
      <c r="R63" s="74" t="n"/>
      <c r="S63" s="74" t="n"/>
      <c r="T63" s="74" t="n"/>
      <c r="U63" s="74" t="n"/>
      <c r="V63" s="74" t="n"/>
      <c r="W63" s="74" t="n"/>
      <c r="X63" s="74" t="n"/>
      <c r="Y63" s="74" t="n"/>
      <c r="Z63" s="74" t="n"/>
    </row>
    <row r="64" ht="15.75" customHeight="1" s="349">
      <c r="A64" s="74" t="n"/>
      <c r="B64" s="74" t="n"/>
      <c r="C64" s="74" t="n"/>
      <c r="D64" s="74" t="n"/>
      <c r="E64" s="74" t="n"/>
      <c r="F64" s="74" t="n"/>
      <c r="G64" s="74" t="n"/>
      <c r="H64" s="74" t="n"/>
      <c r="I64" s="74" t="n"/>
      <c r="J64" s="74" t="n"/>
      <c r="K64" s="74" t="n"/>
      <c r="L64" s="74" t="n"/>
      <c r="M64" s="74" t="n"/>
      <c r="N64" s="74" t="n"/>
      <c r="O64" s="74" t="n"/>
      <c r="P64" s="74" t="n"/>
      <c r="Q64" s="74" t="n"/>
      <c r="R64" s="74" t="n"/>
      <c r="S64" s="74" t="n"/>
      <c r="T64" s="74" t="n"/>
      <c r="U64" s="74" t="n"/>
      <c r="V64" s="74" t="n"/>
      <c r="W64" s="74" t="n"/>
      <c r="X64" s="74" t="n"/>
      <c r="Y64" s="74" t="n"/>
      <c r="Z64" s="74" t="n"/>
    </row>
    <row r="65" ht="15.75" customHeight="1" s="349">
      <c r="A65" s="74" t="n"/>
      <c r="B65" s="74" t="n"/>
      <c r="C65" s="74" t="n"/>
      <c r="D65" s="74" t="n"/>
      <c r="E65" s="74" t="n"/>
      <c r="F65" s="74" t="n"/>
      <c r="G65" s="74" t="n"/>
      <c r="H65" s="74" t="n"/>
      <c r="I65" s="74" t="n"/>
      <c r="J65" s="74" t="n"/>
      <c r="K65" s="74" t="n"/>
      <c r="L65" s="74" t="n"/>
      <c r="M65" s="74" t="n"/>
      <c r="N65" s="74" t="n"/>
      <c r="O65" s="74" t="n"/>
      <c r="P65" s="74" t="n"/>
      <c r="Q65" s="74" t="n"/>
      <c r="R65" s="74" t="n"/>
      <c r="S65" s="74" t="n"/>
      <c r="T65" s="74" t="n"/>
      <c r="U65" s="74" t="n"/>
      <c r="V65" s="74" t="n"/>
      <c r="W65" s="74" t="n"/>
      <c r="X65" s="74" t="n"/>
      <c r="Y65" s="74" t="n"/>
      <c r="Z65" s="74" t="n"/>
    </row>
    <row r="66" ht="15.75" customHeight="1" s="349">
      <c r="A66" s="74" t="n"/>
      <c r="B66" s="74" t="n"/>
      <c r="C66" s="74" t="n"/>
      <c r="D66" s="74" t="n"/>
      <c r="E66" s="74" t="n"/>
      <c r="F66" s="74" t="n"/>
      <c r="G66" s="74" t="n"/>
      <c r="H66" s="74" t="n"/>
      <c r="I66" s="74" t="n"/>
      <c r="J66" s="74" t="n"/>
      <c r="K66" s="74" t="n"/>
      <c r="L66" s="74" t="n"/>
      <c r="M66" s="74" t="n"/>
      <c r="N66" s="74" t="n"/>
      <c r="O66" s="74" t="n"/>
      <c r="P66" s="74" t="n"/>
      <c r="Q66" s="74" t="n"/>
      <c r="R66" s="74" t="n"/>
      <c r="S66" s="74" t="n"/>
      <c r="T66" s="74" t="n"/>
      <c r="U66" s="74" t="n"/>
      <c r="V66" s="74" t="n"/>
      <c r="W66" s="74" t="n"/>
      <c r="X66" s="74" t="n"/>
      <c r="Y66" s="74" t="n"/>
      <c r="Z66" s="74" t="n"/>
    </row>
    <row r="67" ht="15.75" customHeight="1" s="349">
      <c r="A67" s="74" t="n"/>
      <c r="B67" s="74" t="n"/>
      <c r="C67" s="74" t="n"/>
      <c r="D67" s="74" t="n"/>
      <c r="E67" s="74" t="n"/>
      <c r="F67" s="74" t="n"/>
      <c r="G67" s="74" t="n"/>
      <c r="H67" s="74" t="n"/>
      <c r="I67" s="74" t="n"/>
      <c r="J67" s="74" t="n"/>
      <c r="K67" s="74" t="n"/>
      <c r="L67" s="74" t="n"/>
      <c r="M67" s="74" t="n"/>
      <c r="N67" s="74" t="n"/>
      <c r="O67" s="74" t="n"/>
      <c r="P67" s="74" t="n"/>
      <c r="Q67" s="74" t="n"/>
      <c r="R67" s="74" t="n"/>
      <c r="S67" s="74" t="n"/>
      <c r="T67" s="74" t="n"/>
      <c r="U67" s="74" t="n"/>
      <c r="V67" s="74" t="n"/>
      <c r="W67" s="74" t="n"/>
      <c r="X67" s="74" t="n"/>
      <c r="Y67" s="74" t="n"/>
      <c r="Z67" s="74" t="n"/>
    </row>
    <row r="68" ht="15.75" customHeight="1" s="349">
      <c r="A68" s="74" t="n"/>
      <c r="B68" s="74" t="n"/>
      <c r="C68" s="74" t="n"/>
      <c r="D68" s="74" t="n"/>
      <c r="E68" s="74" t="n"/>
      <c r="F68" s="74" t="n"/>
      <c r="G68" s="74" t="n"/>
      <c r="H68" s="74" t="n"/>
      <c r="I68" s="74" t="n"/>
      <c r="J68" s="74" t="n"/>
      <c r="K68" s="74" t="n"/>
      <c r="L68" s="74" t="n"/>
      <c r="M68" s="74" t="n"/>
      <c r="N68" s="74" t="n"/>
      <c r="O68" s="74" t="n"/>
      <c r="P68" s="74" t="n"/>
      <c r="Q68" s="74" t="n"/>
      <c r="R68" s="74" t="n"/>
      <c r="S68" s="74" t="n"/>
      <c r="T68" s="74" t="n"/>
      <c r="U68" s="74" t="n"/>
      <c r="V68" s="74" t="n"/>
      <c r="W68" s="74" t="n"/>
      <c r="X68" s="74" t="n"/>
      <c r="Y68" s="74" t="n"/>
      <c r="Z68" s="74" t="n"/>
    </row>
    <row r="69" ht="15.75" customHeight="1" s="349">
      <c r="A69" s="74" t="n"/>
      <c r="B69" s="74" t="n"/>
      <c r="C69" s="74" t="n"/>
      <c r="D69" s="74" t="n"/>
      <c r="E69" s="74" t="n"/>
      <c r="F69" s="74" t="n"/>
      <c r="G69" s="74" t="n"/>
      <c r="H69" s="74" t="n"/>
      <c r="I69" s="74" t="n"/>
      <c r="J69" s="74" t="n"/>
      <c r="K69" s="74" t="n"/>
      <c r="L69" s="74" t="n"/>
      <c r="M69" s="74" t="n"/>
      <c r="N69" s="74" t="n"/>
      <c r="O69" s="74" t="n"/>
      <c r="P69" s="74" t="n"/>
      <c r="Q69" s="74" t="n"/>
      <c r="R69" s="74" t="n"/>
      <c r="S69" s="74" t="n"/>
      <c r="T69" s="74" t="n"/>
      <c r="U69" s="74" t="n"/>
      <c r="V69" s="74" t="n"/>
      <c r="W69" s="74" t="n"/>
      <c r="X69" s="74" t="n"/>
      <c r="Y69" s="74" t="n"/>
      <c r="Z69" s="74" t="n"/>
    </row>
    <row r="70" ht="15.75" customHeight="1" s="349">
      <c r="A70" s="74" t="n"/>
      <c r="B70" s="74" t="n"/>
      <c r="C70" s="74" t="n"/>
      <c r="D70" s="74" t="n"/>
      <c r="E70" s="74" t="n"/>
      <c r="F70" s="74" t="n"/>
      <c r="G70" s="74" t="n"/>
      <c r="H70" s="74" t="n"/>
      <c r="I70" s="74" t="n"/>
      <c r="J70" s="74" t="n"/>
      <c r="K70" s="74" t="n"/>
      <c r="L70" s="74" t="n"/>
      <c r="M70" s="74" t="n"/>
      <c r="N70" s="74" t="n"/>
      <c r="O70" s="74" t="n"/>
      <c r="P70" s="74" t="n"/>
      <c r="Q70" s="74" t="n"/>
      <c r="R70" s="74" t="n"/>
      <c r="S70" s="74" t="n"/>
      <c r="T70" s="74" t="n"/>
      <c r="U70" s="74" t="n"/>
      <c r="V70" s="74" t="n"/>
      <c r="W70" s="74" t="n"/>
      <c r="X70" s="74" t="n"/>
      <c r="Y70" s="74" t="n"/>
      <c r="Z70" s="74" t="n"/>
    </row>
    <row r="71" ht="15.75" customHeight="1" s="349">
      <c r="A71" s="74" t="n"/>
      <c r="B71" s="74" t="n"/>
      <c r="C71" s="74" t="n"/>
      <c r="D71" s="74" t="n"/>
      <c r="E71" s="74" t="n"/>
      <c r="F71" s="74" t="n"/>
      <c r="G71" s="74" t="n"/>
      <c r="H71" s="74" t="n"/>
      <c r="I71" s="74" t="n"/>
      <c r="J71" s="74" t="n"/>
      <c r="K71" s="74" t="n"/>
      <c r="L71" s="74" t="n"/>
      <c r="M71" s="74" t="n"/>
      <c r="N71" s="74" t="n"/>
      <c r="O71" s="74" t="n"/>
      <c r="P71" s="74" t="n"/>
      <c r="Q71" s="74" t="n"/>
      <c r="R71" s="74" t="n"/>
      <c r="S71" s="74" t="n"/>
      <c r="T71" s="74" t="n"/>
      <c r="U71" s="74" t="n"/>
      <c r="V71" s="74" t="n"/>
      <c r="W71" s="74" t="n"/>
      <c r="X71" s="74" t="n"/>
      <c r="Y71" s="74" t="n"/>
      <c r="Z71" s="74" t="n"/>
    </row>
    <row r="72" ht="15.75" customHeight="1" s="349">
      <c r="A72" s="74" t="n"/>
      <c r="B72" s="74" t="n"/>
      <c r="C72" s="74" t="n"/>
      <c r="D72" s="74" t="n"/>
      <c r="E72" s="74" t="n"/>
      <c r="F72" s="74" t="n"/>
      <c r="G72" s="74" t="n"/>
      <c r="H72" s="74" t="n"/>
      <c r="I72" s="74" t="n"/>
      <c r="J72" s="74" t="n"/>
      <c r="K72" s="74" t="n"/>
      <c r="L72" s="74" t="n"/>
      <c r="M72" s="74" t="n"/>
      <c r="N72" s="74" t="n"/>
      <c r="O72" s="74" t="n"/>
      <c r="P72" s="74" t="n"/>
      <c r="Q72" s="74" t="n"/>
      <c r="R72" s="74" t="n"/>
      <c r="S72" s="74" t="n"/>
      <c r="T72" s="74" t="n"/>
      <c r="U72" s="74" t="n"/>
      <c r="V72" s="74" t="n"/>
      <c r="W72" s="74" t="n"/>
      <c r="X72" s="74" t="n"/>
      <c r="Y72" s="74" t="n"/>
      <c r="Z72" s="74" t="n"/>
    </row>
    <row r="73" ht="15.75" customHeight="1" s="349">
      <c r="A73" s="74" t="n"/>
      <c r="B73" s="74" t="n"/>
      <c r="C73" s="74" t="n"/>
      <c r="D73" s="74" t="n"/>
      <c r="E73" s="74" t="n"/>
      <c r="F73" s="74" t="n"/>
      <c r="G73" s="74" t="n"/>
      <c r="H73" s="74" t="n"/>
      <c r="I73" s="74" t="n"/>
      <c r="J73" s="74" t="n"/>
      <c r="K73" s="74" t="n"/>
      <c r="L73" s="74" t="n"/>
      <c r="M73" s="74" t="n"/>
      <c r="N73" s="74" t="n"/>
      <c r="O73" s="74" t="n"/>
      <c r="P73" s="74" t="n"/>
      <c r="Q73" s="74" t="n"/>
      <c r="R73" s="74" t="n"/>
      <c r="S73" s="74" t="n"/>
      <c r="T73" s="74" t="n"/>
      <c r="U73" s="74" t="n"/>
      <c r="V73" s="74" t="n"/>
      <c r="W73" s="74" t="n"/>
      <c r="X73" s="74" t="n"/>
      <c r="Y73" s="74" t="n"/>
      <c r="Z73" s="74" t="n"/>
    </row>
    <row r="74" ht="15.75" customHeight="1" s="349">
      <c r="A74" s="74" t="n"/>
      <c r="B74" s="74" t="n"/>
      <c r="C74" s="74" t="n"/>
      <c r="D74" s="74" t="n"/>
      <c r="E74" s="74" t="n"/>
      <c r="F74" s="74" t="n"/>
      <c r="G74" s="74" t="n"/>
      <c r="H74" s="74" t="n"/>
      <c r="I74" s="74" t="n"/>
      <c r="J74" s="74" t="n"/>
      <c r="K74" s="74" t="n"/>
      <c r="L74" s="74" t="n"/>
      <c r="M74" s="74" t="n"/>
      <c r="N74" s="74" t="n"/>
      <c r="O74" s="74" t="n"/>
      <c r="P74" s="74" t="n"/>
      <c r="Q74" s="74" t="n"/>
      <c r="R74" s="74" t="n"/>
      <c r="S74" s="74" t="n"/>
      <c r="T74" s="74" t="n"/>
      <c r="U74" s="74" t="n"/>
      <c r="V74" s="74" t="n"/>
      <c r="W74" s="74" t="n"/>
      <c r="X74" s="74" t="n"/>
      <c r="Y74" s="74" t="n"/>
      <c r="Z74" s="74" t="n"/>
    </row>
    <row r="75" ht="15.75" customHeight="1" s="349">
      <c r="A75" s="74" t="n"/>
      <c r="B75" s="74" t="n"/>
      <c r="C75" s="74" t="n"/>
      <c r="D75" s="74" t="n"/>
      <c r="E75" s="74" t="n"/>
      <c r="F75" s="74" t="n"/>
      <c r="G75" s="74" t="n"/>
      <c r="H75" s="74" t="n"/>
      <c r="I75" s="74" t="n"/>
      <c r="J75" s="74" t="n"/>
      <c r="K75" s="74" t="n"/>
      <c r="L75" s="74" t="n"/>
      <c r="M75" s="74" t="n"/>
      <c r="N75" s="74" t="n"/>
      <c r="O75" s="74" t="n"/>
      <c r="P75" s="74" t="n"/>
      <c r="Q75" s="74" t="n"/>
      <c r="R75" s="74" t="n"/>
      <c r="S75" s="74" t="n"/>
      <c r="T75" s="74" t="n"/>
      <c r="U75" s="74" t="n"/>
      <c r="V75" s="74" t="n"/>
      <c r="W75" s="74" t="n"/>
      <c r="X75" s="74" t="n"/>
      <c r="Y75" s="74" t="n"/>
      <c r="Z75" s="74" t="n"/>
    </row>
    <row r="76" ht="15.75" customHeight="1" s="349">
      <c r="A76" s="74" t="n"/>
      <c r="B76" s="74" t="n"/>
      <c r="C76" s="74" t="n"/>
      <c r="D76" s="74" t="n"/>
      <c r="E76" s="74" t="n"/>
      <c r="F76" s="74" t="n"/>
      <c r="G76" s="74" t="n"/>
      <c r="H76" s="74" t="n"/>
      <c r="I76" s="74" t="n"/>
      <c r="J76" s="74" t="n"/>
      <c r="K76" s="74" t="n"/>
      <c r="L76" s="74" t="n"/>
      <c r="M76" s="74" t="n"/>
      <c r="N76" s="74" t="n"/>
      <c r="O76" s="74" t="n"/>
      <c r="P76" s="74" t="n"/>
      <c r="Q76" s="74" t="n"/>
      <c r="R76" s="74" t="n"/>
      <c r="S76" s="74" t="n"/>
      <c r="T76" s="74" t="n"/>
      <c r="U76" s="74" t="n"/>
      <c r="V76" s="74" t="n"/>
      <c r="W76" s="74" t="n"/>
      <c r="X76" s="74" t="n"/>
      <c r="Y76" s="74" t="n"/>
      <c r="Z76" s="74" t="n"/>
    </row>
    <row r="77" ht="15.75" customHeight="1" s="349">
      <c r="A77" s="74" t="n"/>
      <c r="B77" s="74" t="n"/>
      <c r="C77" s="74" t="n"/>
      <c r="D77" s="74" t="n"/>
      <c r="E77" s="74" t="n"/>
      <c r="F77" s="74" t="n"/>
      <c r="G77" s="74" t="n"/>
      <c r="H77" s="74" t="n"/>
      <c r="I77" s="74" t="n"/>
      <c r="J77" s="74" t="n"/>
      <c r="K77" s="74" t="n"/>
      <c r="L77" s="74" t="n"/>
      <c r="M77" s="74" t="n"/>
      <c r="N77" s="74" t="n"/>
      <c r="O77" s="74" t="n"/>
      <c r="P77" s="74" t="n"/>
      <c r="Q77" s="74" t="n"/>
      <c r="R77" s="74" t="n"/>
      <c r="S77" s="74" t="n"/>
      <c r="T77" s="74" t="n"/>
      <c r="U77" s="74" t="n"/>
      <c r="V77" s="74" t="n"/>
      <c r="W77" s="74" t="n"/>
      <c r="X77" s="74" t="n"/>
      <c r="Y77" s="74" t="n"/>
      <c r="Z77" s="74" t="n"/>
    </row>
    <row r="78" ht="15.75" customHeight="1" s="349">
      <c r="A78" s="74" t="n"/>
      <c r="B78" s="74" t="n"/>
      <c r="C78" s="74" t="n"/>
      <c r="D78" s="74" t="n"/>
      <c r="E78" s="74" t="n"/>
      <c r="F78" s="74" t="n"/>
      <c r="G78" s="74" t="n"/>
      <c r="H78" s="74" t="n"/>
      <c r="I78" s="74" t="n"/>
      <c r="J78" s="74" t="n"/>
      <c r="K78" s="74" t="n"/>
      <c r="L78" s="74" t="n"/>
      <c r="M78" s="74" t="n"/>
      <c r="N78" s="74" t="n"/>
      <c r="O78" s="74" t="n"/>
      <c r="P78" s="74" t="n"/>
      <c r="Q78" s="74" t="n"/>
      <c r="R78" s="74" t="n"/>
      <c r="S78" s="74" t="n"/>
      <c r="T78" s="74" t="n"/>
      <c r="U78" s="74" t="n"/>
      <c r="V78" s="74" t="n"/>
      <c r="W78" s="74" t="n"/>
      <c r="X78" s="74" t="n"/>
      <c r="Y78" s="74" t="n"/>
      <c r="Z78" s="74" t="n"/>
    </row>
    <row r="79" ht="15.75" customHeight="1" s="349">
      <c r="A79" s="74" t="n"/>
      <c r="B79" s="74" t="n"/>
      <c r="C79" s="74" t="n"/>
      <c r="D79" s="74" t="n"/>
      <c r="E79" s="74" t="n"/>
      <c r="F79" s="74" t="n"/>
      <c r="G79" s="74" t="n"/>
      <c r="H79" s="74" t="n"/>
      <c r="I79" s="74" t="n"/>
      <c r="J79" s="74" t="n"/>
      <c r="K79" s="74" t="n"/>
      <c r="L79" s="74" t="n"/>
      <c r="M79" s="74" t="n"/>
      <c r="N79" s="74" t="n"/>
      <c r="O79" s="74" t="n"/>
      <c r="P79" s="74" t="n"/>
      <c r="Q79" s="74" t="n"/>
      <c r="R79" s="74" t="n"/>
      <c r="S79" s="74" t="n"/>
      <c r="T79" s="74" t="n"/>
      <c r="U79" s="74" t="n"/>
      <c r="V79" s="74" t="n"/>
      <c r="W79" s="74" t="n"/>
      <c r="X79" s="74" t="n"/>
      <c r="Y79" s="74" t="n"/>
      <c r="Z79" s="74" t="n"/>
    </row>
    <row r="80" ht="15.75" customHeight="1" s="349">
      <c r="A80" s="74" t="n"/>
      <c r="B80" s="74" t="n"/>
      <c r="C80" s="74" t="n"/>
      <c r="D80" s="74" t="n"/>
      <c r="E80" s="74" t="n"/>
      <c r="F80" s="74" t="n"/>
      <c r="G80" s="74" t="n"/>
      <c r="H80" s="74" t="n"/>
      <c r="I80" s="74" t="n"/>
      <c r="J80" s="74" t="n"/>
      <c r="K80" s="74" t="n"/>
      <c r="L80" s="74" t="n"/>
      <c r="M80" s="74" t="n"/>
      <c r="N80" s="74" t="n"/>
      <c r="O80" s="74" t="n"/>
      <c r="P80" s="74" t="n"/>
      <c r="Q80" s="74" t="n"/>
      <c r="R80" s="74" t="n"/>
      <c r="S80" s="74" t="n"/>
      <c r="T80" s="74" t="n"/>
      <c r="U80" s="74" t="n"/>
      <c r="V80" s="74" t="n"/>
      <c r="W80" s="74" t="n"/>
      <c r="X80" s="74" t="n"/>
      <c r="Y80" s="74" t="n"/>
      <c r="Z80" s="74" t="n"/>
    </row>
    <row r="81" ht="15.75" customHeight="1" s="349">
      <c r="A81" s="74" t="n"/>
      <c r="B81" s="74" t="n"/>
      <c r="C81" s="74" t="n"/>
      <c r="D81" s="74" t="n"/>
      <c r="E81" s="74" t="n"/>
      <c r="F81" s="74" t="n"/>
      <c r="G81" s="74" t="n"/>
      <c r="H81" s="74" t="n"/>
      <c r="I81" s="74" t="n"/>
      <c r="J81" s="74" t="n"/>
      <c r="K81" s="74" t="n"/>
      <c r="L81" s="74" t="n"/>
      <c r="M81" s="74" t="n"/>
      <c r="N81" s="74" t="n"/>
      <c r="O81" s="74" t="n"/>
      <c r="P81" s="74" t="n"/>
      <c r="Q81" s="74" t="n"/>
      <c r="R81" s="74" t="n"/>
      <c r="S81" s="74" t="n"/>
      <c r="T81" s="74" t="n"/>
      <c r="U81" s="74" t="n"/>
      <c r="V81" s="74" t="n"/>
      <c r="W81" s="74" t="n"/>
      <c r="X81" s="74" t="n"/>
      <c r="Y81" s="74" t="n"/>
      <c r="Z81" s="74" t="n"/>
    </row>
    <row r="82" ht="15.75" customHeight="1" s="349">
      <c r="A82" s="74" t="n"/>
      <c r="B82" s="74" t="n"/>
      <c r="C82" s="74" t="n"/>
      <c r="D82" s="74" t="n"/>
      <c r="E82" s="74" t="n"/>
      <c r="F82" s="74" t="n"/>
      <c r="G82" s="74" t="n"/>
      <c r="H82" s="74" t="n"/>
      <c r="I82" s="74" t="n"/>
      <c r="J82" s="74" t="n"/>
      <c r="K82" s="74" t="n"/>
      <c r="L82" s="74" t="n"/>
      <c r="M82" s="74" t="n"/>
      <c r="N82" s="74" t="n"/>
      <c r="O82" s="74" t="n"/>
      <c r="P82" s="74" t="n"/>
      <c r="Q82" s="74" t="n"/>
      <c r="R82" s="74" t="n"/>
      <c r="S82" s="74" t="n"/>
      <c r="T82" s="74" t="n"/>
      <c r="U82" s="74" t="n"/>
      <c r="V82" s="74" t="n"/>
      <c r="W82" s="74" t="n"/>
      <c r="X82" s="74" t="n"/>
      <c r="Y82" s="74" t="n"/>
      <c r="Z82" s="74" t="n"/>
    </row>
    <row r="83" ht="15.75" customHeight="1" s="349">
      <c r="A83" s="74" t="n"/>
      <c r="B83" s="74" t="n"/>
      <c r="C83" s="74" t="n"/>
      <c r="D83" s="74" t="n"/>
      <c r="E83" s="74" t="n"/>
      <c r="F83" s="74" t="n"/>
      <c r="G83" s="74" t="n"/>
      <c r="H83" s="74" t="n"/>
      <c r="I83" s="74" t="n"/>
      <c r="J83" s="74" t="n"/>
      <c r="K83" s="74" t="n"/>
      <c r="L83" s="74" t="n"/>
      <c r="M83" s="74" t="n"/>
      <c r="N83" s="74" t="n"/>
      <c r="O83" s="74" t="n"/>
      <c r="P83" s="74" t="n"/>
      <c r="Q83" s="74" t="n"/>
      <c r="R83" s="74" t="n"/>
      <c r="S83" s="74" t="n"/>
      <c r="T83" s="74" t="n"/>
      <c r="U83" s="74" t="n"/>
      <c r="V83" s="74" t="n"/>
      <c r="W83" s="74" t="n"/>
      <c r="X83" s="74" t="n"/>
      <c r="Y83" s="74" t="n"/>
      <c r="Z83" s="74" t="n"/>
    </row>
    <row r="84" ht="15.75" customHeight="1" s="349">
      <c r="A84" s="74" t="n"/>
      <c r="B84" s="74" t="n"/>
      <c r="C84" s="74" t="n"/>
      <c r="D84" s="74" t="n"/>
      <c r="E84" s="74" t="n"/>
      <c r="F84" s="74" t="n"/>
      <c r="G84" s="74" t="n"/>
      <c r="H84" s="74" t="n"/>
      <c r="I84" s="74" t="n"/>
      <c r="J84" s="74" t="n"/>
      <c r="K84" s="74" t="n"/>
      <c r="L84" s="74" t="n"/>
      <c r="M84" s="74" t="n"/>
      <c r="N84" s="74" t="n"/>
      <c r="O84" s="74" t="n"/>
      <c r="P84" s="74" t="n"/>
      <c r="Q84" s="74" t="n"/>
      <c r="R84" s="74" t="n"/>
      <c r="S84" s="74" t="n"/>
      <c r="T84" s="74" t="n"/>
      <c r="U84" s="74" t="n"/>
      <c r="V84" s="74" t="n"/>
      <c r="W84" s="74" t="n"/>
      <c r="X84" s="74" t="n"/>
      <c r="Y84" s="74" t="n"/>
      <c r="Z84" s="74" t="n"/>
    </row>
    <row r="85" ht="15.75" customHeight="1" s="349">
      <c r="A85" s="74" t="n"/>
      <c r="B85" s="74" t="n"/>
      <c r="C85" s="74" t="n"/>
      <c r="D85" s="74" t="n"/>
      <c r="E85" s="74" t="n"/>
      <c r="F85" s="74" t="n"/>
      <c r="G85" s="74" t="n"/>
      <c r="H85" s="74" t="n"/>
      <c r="I85" s="74" t="n"/>
      <c r="J85" s="74" t="n"/>
      <c r="K85" s="74" t="n"/>
      <c r="L85" s="74" t="n"/>
      <c r="M85" s="74" t="n"/>
      <c r="N85" s="74" t="n"/>
      <c r="O85" s="74" t="n"/>
      <c r="P85" s="74" t="n"/>
      <c r="Q85" s="74" t="n"/>
      <c r="R85" s="74" t="n"/>
      <c r="S85" s="74" t="n"/>
      <c r="T85" s="74" t="n"/>
      <c r="U85" s="74" t="n"/>
      <c r="V85" s="74" t="n"/>
      <c r="W85" s="74" t="n"/>
      <c r="X85" s="74" t="n"/>
      <c r="Y85" s="74" t="n"/>
      <c r="Z85" s="74" t="n"/>
    </row>
    <row r="86" ht="15.75" customHeight="1" s="349">
      <c r="A86" s="74" t="n"/>
      <c r="B86" s="74" t="n"/>
      <c r="C86" s="74" t="n"/>
      <c r="D86" s="74" t="n"/>
      <c r="E86" s="74" t="n"/>
      <c r="F86" s="74" t="n"/>
      <c r="G86" s="74" t="n"/>
      <c r="H86" s="74" t="n"/>
      <c r="I86" s="74" t="n"/>
      <c r="J86" s="74" t="n"/>
      <c r="K86" s="74" t="n"/>
      <c r="L86" s="74" t="n"/>
      <c r="M86" s="74" t="n"/>
      <c r="N86" s="74" t="n"/>
      <c r="O86" s="74" t="n"/>
      <c r="P86" s="74" t="n"/>
      <c r="Q86" s="74" t="n"/>
      <c r="R86" s="74" t="n"/>
      <c r="S86" s="74" t="n"/>
      <c r="T86" s="74" t="n"/>
      <c r="U86" s="74" t="n"/>
      <c r="V86" s="74" t="n"/>
      <c r="W86" s="74" t="n"/>
      <c r="X86" s="74" t="n"/>
      <c r="Y86" s="74" t="n"/>
      <c r="Z86" s="74" t="n"/>
    </row>
    <row r="87" ht="15.75" customHeight="1" s="349">
      <c r="A87" s="74" t="n"/>
      <c r="B87" s="74" t="n"/>
      <c r="C87" s="74" t="n"/>
      <c r="D87" s="74" t="n"/>
      <c r="E87" s="74" t="n"/>
      <c r="F87" s="74" t="n"/>
      <c r="G87" s="74" t="n"/>
      <c r="H87" s="74" t="n"/>
      <c r="I87" s="74" t="n"/>
      <c r="J87" s="74" t="n"/>
      <c r="K87" s="74" t="n"/>
      <c r="L87" s="74" t="n"/>
      <c r="M87" s="74" t="n"/>
      <c r="N87" s="74" t="n"/>
      <c r="O87" s="74" t="n"/>
      <c r="P87" s="74" t="n"/>
      <c r="Q87" s="74" t="n"/>
      <c r="R87" s="74" t="n"/>
      <c r="S87" s="74" t="n"/>
      <c r="T87" s="74" t="n"/>
      <c r="U87" s="74" t="n"/>
      <c r="V87" s="74" t="n"/>
      <c r="W87" s="74" t="n"/>
      <c r="X87" s="74" t="n"/>
      <c r="Y87" s="74" t="n"/>
      <c r="Z87" s="74" t="n"/>
    </row>
    <row r="88" ht="15.75" customHeight="1" s="349">
      <c r="A88" s="74" t="n"/>
      <c r="B88" s="74" t="n"/>
      <c r="C88" s="74" t="n"/>
      <c r="D88" s="74" t="n"/>
      <c r="E88" s="74" t="n"/>
      <c r="F88" s="74" t="n"/>
      <c r="G88" s="74" t="n"/>
      <c r="H88" s="74" t="n"/>
      <c r="I88" s="74" t="n"/>
      <c r="J88" s="74" t="n"/>
      <c r="K88" s="74" t="n"/>
      <c r="L88" s="74" t="n"/>
      <c r="M88" s="74" t="n"/>
      <c r="N88" s="74" t="n"/>
      <c r="O88" s="74" t="n"/>
      <c r="P88" s="74" t="n"/>
      <c r="Q88" s="74" t="n"/>
      <c r="R88" s="74" t="n"/>
      <c r="S88" s="74" t="n"/>
      <c r="T88" s="74" t="n"/>
      <c r="U88" s="74" t="n"/>
      <c r="V88" s="74" t="n"/>
      <c r="W88" s="74" t="n"/>
      <c r="X88" s="74" t="n"/>
      <c r="Y88" s="74" t="n"/>
      <c r="Z88" s="74" t="n"/>
    </row>
    <row r="89" ht="15.75" customHeight="1" s="349">
      <c r="A89" s="74" t="n"/>
      <c r="B89" s="74" t="n"/>
      <c r="C89" s="74" t="n"/>
      <c r="D89" s="74" t="n"/>
      <c r="E89" s="74" t="n"/>
      <c r="F89" s="74" t="n"/>
      <c r="G89" s="74" t="n"/>
      <c r="H89" s="74" t="n"/>
      <c r="I89" s="74" t="n"/>
      <c r="J89" s="74" t="n"/>
      <c r="K89" s="74" t="n"/>
      <c r="L89" s="74" t="n"/>
      <c r="M89" s="74" t="n"/>
      <c r="N89" s="74" t="n"/>
      <c r="O89" s="74" t="n"/>
      <c r="P89" s="74" t="n"/>
      <c r="Q89" s="74" t="n"/>
      <c r="R89" s="74" t="n"/>
      <c r="S89" s="74" t="n"/>
      <c r="T89" s="74" t="n"/>
      <c r="U89" s="74" t="n"/>
      <c r="V89" s="74" t="n"/>
      <c r="W89" s="74" t="n"/>
      <c r="X89" s="74" t="n"/>
      <c r="Y89" s="74" t="n"/>
      <c r="Z89" s="74" t="n"/>
    </row>
    <row r="90" ht="15.75" customHeight="1" s="349">
      <c r="A90" s="74" t="n"/>
      <c r="B90" s="74" t="n"/>
      <c r="C90" s="74" t="n"/>
      <c r="D90" s="74" t="n"/>
      <c r="E90" s="74" t="n"/>
      <c r="F90" s="74" t="n"/>
      <c r="G90" s="74" t="n"/>
      <c r="H90" s="74" t="n"/>
      <c r="I90" s="74" t="n"/>
      <c r="J90" s="74" t="n"/>
      <c r="K90" s="74" t="n"/>
      <c r="L90" s="74" t="n"/>
      <c r="M90" s="74" t="n"/>
      <c r="N90" s="74" t="n"/>
      <c r="O90" s="74" t="n"/>
      <c r="P90" s="74" t="n"/>
      <c r="Q90" s="74" t="n"/>
      <c r="R90" s="74" t="n"/>
      <c r="S90" s="74" t="n"/>
      <c r="T90" s="74" t="n"/>
      <c r="U90" s="74" t="n"/>
      <c r="V90" s="74" t="n"/>
      <c r="W90" s="74" t="n"/>
      <c r="X90" s="74" t="n"/>
      <c r="Y90" s="74" t="n"/>
      <c r="Z90" s="74" t="n"/>
    </row>
    <row r="91" ht="15.75" customHeight="1" s="349">
      <c r="A91" s="74" t="n"/>
      <c r="B91" s="74" t="n"/>
      <c r="C91" s="74" t="n"/>
      <c r="D91" s="74" t="n"/>
      <c r="E91" s="74" t="n"/>
      <c r="F91" s="74" t="n"/>
      <c r="G91" s="74" t="n"/>
      <c r="H91" s="74" t="n"/>
      <c r="I91" s="74" t="n"/>
      <c r="J91" s="74" t="n"/>
      <c r="K91" s="74" t="n"/>
      <c r="L91" s="74" t="n"/>
      <c r="M91" s="74" t="n"/>
      <c r="N91" s="74" t="n"/>
      <c r="O91" s="74" t="n"/>
      <c r="P91" s="74" t="n"/>
      <c r="Q91" s="74" t="n"/>
      <c r="R91" s="74" t="n"/>
      <c r="S91" s="74" t="n"/>
      <c r="T91" s="74" t="n"/>
      <c r="U91" s="74" t="n"/>
      <c r="V91" s="74" t="n"/>
      <c r="W91" s="74" t="n"/>
      <c r="X91" s="74" t="n"/>
      <c r="Y91" s="74" t="n"/>
      <c r="Z91" s="74" t="n"/>
    </row>
    <row r="92" ht="15.75" customHeight="1" s="349">
      <c r="A92" s="74" t="n"/>
      <c r="B92" s="74" t="n"/>
      <c r="C92" s="74" t="n"/>
      <c r="D92" s="74" t="n"/>
      <c r="E92" s="74" t="n"/>
      <c r="F92" s="74" t="n"/>
      <c r="G92" s="74" t="n"/>
      <c r="H92" s="74" t="n"/>
      <c r="I92" s="74" t="n"/>
      <c r="J92" s="74" t="n"/>
      <c r="K92" s="74" t="n"/>
      <c r="L92" s="74" t="n"/>
      <c r="M92" s="74" t="n"/>
      <c r="N92" s="74" t="n"/>
      <c r="O92" s="74" t="n"/>
      <c r="P92" s="74" t="n"/>
      <c r="Q92" s="74" t="n"/>
      <c r="R92" s="74" t="n"/>
      <c r="S92" s="74" t="n"/>
      <c r="T92" s="74" t="n"/>
      <c r="U92" s="74" t="n"/>
      <c r="V92" s="74" t="n"/>
      <c r="W92" s="74" t="n"/>
      <c r="X92" s="74" t="n"/>
      <c r="Y92" s="74" t="n"/>
      <c r="Z92" s="74" t="n"/>
    </row>
    <row r="93" ht="15.75" customHeight="1" s="349">
      <c r="A93" s="74" t="n"/>
      <c r="B93" s="74" t="n"/>
      <c r="C93" s="74" t="n"/>
      <c r="D93" s="74" t="n"/>
      <c r="E93" s="74" t="n"/>
      <c r="F93" s="74" t="n"/>
      <c r="G93" s="74" t="n"/>
      <c r="H93" s="74" t="n"/>
      <c r="I93" s="74" t="n"/>
      <c r="J93" s="74" t="n"/>
      <c r="K93" s="74" t="n"/>
      <c r="L93" s="74" t="n"/>
      <c r="M93" s="74" t="n"/>
      <c r="N93" s="74" t="n"/>
      <c r="O93" s="74" t="n"/>
      <c r="P93" s="74" t="n"/>
      <c r="Q93" s="74" t="n"/>
      <c r="R93" s="74" t="n"/>
      <c r="S93" s="74" t="n"/>
      <c r="T93" s="74" t="n"/>
      <c r="U93" s="74" t="n"/>
      <c r="V93" s="74" t="n"/>
      <c r="W93" s="74" t="n"/>
      <c r="X93" s="74" t="n"/>
      <c r="Y93" s="74" t="n"/>
      <c r="Z93" s="74" t="n"/>
    </row>
    <row r="94" ht="15.75" customHeight="1" s="349">
      <c r="A94" s="74" t="n"/>
      <c r="B94" s="74" t="n"/>
      <c r="C94" s="74" t="n"/>
      <c r="D94" s="74" t="n"/>
      <c r="E94" s="74" t="n"/>
      <c r="F94" s="74" t="n"/>
      <c r="G94" s="74" t="n"/>
      <c r="H94" s="74" t="n"/>
      <c r="I94" s="74" t="n"/>
      <c r="J94" s="74" t="n"/>
      <c r="K94" s="74" t="n"/>
      <c r="L94" s="74" t="n"/>
      <c r="M94" s="74" t="n"/>
      <c r="N94" s="74" t="n"/>
      <c r="O94" s="74" t="n"/>
      <c r="P94" s="74" t="n"/>
      <c r="Q94" s="74" t="n"/>
      <c r="R94" s="74" t="n"/>
      <c r="S94" s="74" t="n"/>
      <c r="T94" s="74" t="n"/>
      <c r="U94" s="74" t="n"/>
      <c r="V94" s="74" t="n"/>
      <c r="W94" s="74" t="n"/>
      <c r="X94" s="74" t="n"/>
      <c r="Y94" s="74" t="n"/>
      <c r="Z94" s="74" t="n"/>
    </row>
    <row r="95" ht="15.75" customHeight="1" s="349">
      <c r="A95" s="74" t="n"/>
      <c r="B95" s="74" t="n"/>
      <c r="C95" s="74" t="n"/>
      <c r="D95" s="74" t="n"/>
      <c r="E95" s="74" t="n"/>
      <c r="F95" s="74" t="n"/>
      <c r="G95" s="74" t="n"/>
      <c r="H95" s="74" t="n"/>
      <c r="I95" s="74" t="n"/>
      <c r="J95" s="74" t="n"/>
      <c r="K95" s="74" t="n"/>
      <c r="L95" s="74" t="n"/>
      <c r="M95" s="74" t="n"/>
      <c r="N95" s="74" t="n"/>
      <c r="O95" s="74" t="n"/>
      <c r="P95" s="74" t="n"/>
      <c r="Q95" s="74" t="n"/>
      <c r="R95" s="74" t="n"/>
      <c r="S95" s="74" t="n"/>
      <c r="T95" s="74" t="n"/>
      <c r="U95" s="74" t="n"/>
      <c r="V95" s="74" t="n"/>
      <c r="W95" s="74" t="n"/>
      <c r="X95" s="74" t="n"/>
      <c r="Y95" s="74" t="n"/>
      <c r="Z95" s="74" t="n"/>
    </row>
    <row r="96" ht="15.75" customHeight="1" s="349">
      <c r="A96" s="74" t="n"/>
      <c r="B96" s="74" t="n"/>
      <c r="C96" s="74" t="n"/>
      <c r="D96" s="74" t="n"/>
      <c r="E96" s="74" t="n"/>
      <c r="F96" s="74" t="n"/>
      <c r="G96" s="74" t="n"/>
      <c r="H96" s="74" t="n"/>
      <c r="I96" s="74" t="n"/>
      <c r="J96" s="74" t="n"/>
      <c r="K96" s="74" t="n"/>
      <c r="L96" s="74" t="n"/>
      <c r="M96" s="74" t="n"/>
      <c r="N96" s="74" t="n"/>
      <c r="O96" s="74" t="n"/>
      <c r="P96" s="74" t="n"/>
      <c r="Q96" s="74" t="n"/>
      <c r="R96" s="74" t="n"/>
      <c r="S96" s="74" t="n"/>
      <c r="T96" s="74" t="n"/>
      <c r="U96" s="74" t="n"/>
      <c r="V96" s="74" t="n"/>
      <c r="W96" s="74" t="n"/>
      <c r="X96" s="74" t="n"/>
      <c r="Y96" s="74" t="n"/>
      <c r="Z96" s="74" t="n"/>
    </row>
    <row r="97" ht="15.75" customHeight="1" s="349">
      <c r="A97" s="74" t="n"/>
      <c r="B97" s="74" t="n"/>
      <c r="C97" s="74" t="n"/>
      <c r="D97" s="74" t="n"/>
      <c r="E97" s="74" t="n"/>
      <c r="F97" s="74" t="n"/>
      <c r="G97" s="74" t="n"/>
      <c r="H97" s="74" t="n"/>
      <c r="I97" s="74" t="n"/>
      <c r="J97" s="74" t="n"/>
      <c r="K97" s="74" t="n"/>
      <c r="L97" s="74" t="n"/>
      <c r="M97" s="74" t="n"/>
      <c r="N97" s="74" t="n"/>
      <c r="O97" s="74" t="n"/>
      <c r="P97" s="74" t="n"/>
      <c r="Q97" s="74" t="n"/>
      <c r="R97" s="74" t="n"/>
      <c r="S97" s="74" t="n"/>
      <c r="T97" s="74" t="n"/>
      <c r="U97" s="74" t="n"/>
      <c r="V97" s="74" t="n"/>
      <c r="W97" s="74" t="n"/>
      <c r="X97" s="74" t="n"/>
      <c r="Y97" s="74" t="n"/>
      <c r="Z97" s="74" t="n"/>
    </row>
    <row r="98" ht="15.75" customHeight="1" s="349">
      <c r="A98" s="74" t="n"/>
      <c r="B98" s="74" t="n"/>
      <c r="C98" s="74" t="n"/>
      <c r="D98" s="74" t="n"/>
      <c r="E98" s="74" t="n"/>
      <c r="F98" s="74" t="n"/>
      <c r="G98" s="74" t="n"/>
      <c r="H98" s="74" t="n"/>
      <c r="I98" s="74" t="n"/>
      <c r="J98" s="74" t="n"/>
      <c r="K98" s="74" t="n"/>
      <c r="L98" s="74" t="n"/>
      <c r="M98" s="74" t="n"/>
      <c r="N98" s="74" t="n"/>
      <c r="O98" s="74" t="n"/>
      <c r="P98" s="74" t="n"/>
      <c r="Q98" s="74" t="n"/>
      <c r="R98" s="74" t="n"/>
      <c r="S98" s="74" t="n"/>
      <c r="T98" s="74" t="n"/>
      <c r="U98" s="74" t="n"/>
      <c r="V98" s="74" t="n"/>
      <c r="W98" s="74" t="n"/>
      <c r="X98" s="74" t="n"/>
      <c r="Y98" s="74" t="n"/>
      <c r="Z98" s="74" t="n"/>
    </row>
    <row r="99" ht="15.75" customHeight="1" s="349">
      <c r="A99" s="74" t="n"/>
      <c r="B99" s="74" t="n"/>
      <c r="C99" s="74" t="n"/>
      <c r="D99" s="74" t="n"/>
      <c r="E99" s="74" t="n"/>
      <c r="F99" s="74" t="n"/>
      <c r="G99" s="74" t="n"/>
      <c r="H99" s="74" t="n"/>
      <c r="I99" s="74" t="n"/>
      <c r="J99" s="74" t="n"/>
      <c r="K99" s="74" t="n"/>
      <c r="L99" s="74" t="n"/>
      <c r="M99" s="74" t="n"/>
      <c r="N99" s="74" t="n"/>
      <c r="O99" s="74" t="n"/>
      <c r="P99" s="74" t="n"/>
      <c r="Q99" s="74" t="n"/>
      <c r="R99" s="74" t="n"/>
      <c r="S99" s="74" t="n"/>
      <c r="T99" s="74" t="n"/>
      <c r="U99" s="74" t="n"/>
      <c r="V99" s="74" t="n"/>
      <c r="W99" s="74" t="n"/>
      <c r="X99" s="74" t="n"/>
      <c r="Y99" s="74" t="n"/>
      <c r="Z99" s="74" t="n"/>
    </row>
    <row r="100" ht="15.75" customHeight="1" s="349">
      <c r="A100" s="74" t="n"/>
      <c r="B100" s="74" t="n"/>
      <c r="C100" s="74" t="n"/>
      <c r="D100" s="74" t="n"/>
      <c r="E100" s="74" t="n"/>
      <c r="F100" s="74" t="n"/>
      <c r="G100" s="74" t="n"/>
      <c r="H100" s="74" t="n"/>
      <c r="I100" s="74" t="n"/>
      <c r="J100" s="74" t="n"/>
      <c r="K100" s="74" t="n"/>
      <c r="L100" s="74" t="n"/>
      <c r="M100" s="74" t="n"/>
      <c r="N100" s="74" t="n"/>
      <c r="O100" s="74" t="n"/>
      <c r="P100" s="74" t="n"/>
      <c r="Q100" s="74" t="n"/>
      <c r="R100" s="74" t="n"/>
      <c r="S100" s="74" t="n"/>
      <c r="T100" s="74" t="n"/>
      <c r="U100" s="74" t="n"/>
      <c r="V100" s="74" t="n"/>
      <c r="W100" s="74" t="n"/>
      <c r="X100" s="74" t="n"/>
      <c r="Y100" s="74" t="n"/>
      <c r="Z100" s="74" t="n"/>
    </row>
    <row r="101" ht="15.75" customHeight="1" s="349">
      <c r="A101" s="74" t="n"/>
      <c r="B101" s="74" t="n"/>
      <c r="C101" s="74" t="n"/>
      <c r="D101" s="74" t="n"/>
      <c r="E101" s="74" t="n"/>
      <c r="F101" s="74" t="n"/>
      <c r="G101" s="74" t="n"/>
      <c r="H101" s="74" t="n"/>
      <c r="I101" s="74" t="n"/>
      <c r="J101" s="74" t="n"/>
      <c r="K101" s="74" t="n"/>
      <c r="L101" s="74" t="n"/>
      <c r="M101" s="74" t="n"/>
      <c r="N101" s="74" t="n"/>
      <c r="O101" s="74" t="n"/>
      <c r="P101" s="74" t="n"/>
      <c r="Q101" s="74" t="n"/>
      <c r="R101" s="74" t="n"/>
      <c r="S101" s="74" t="n"/>
      <c r="T101" s="74" t="n"/>
      <c r="U101" s="74" t="n"/>
      <c r="V101" s="74" t="n"/>
      <c r="W101" s="74" t="n"/>
      <c r="X101" s="74" t="n"/>
      <c r="Y101" s="74" t="n"/>
      <c r="Z101" s="74" t="n"/>
    </row>
    <row r="102" ht="15.75" customHeight="1" s="349">
      <c r="A102" s="74" t="n"/>
      <c r="B102" s="74" t="n"/>
      <c r="C102" s="74" t="n"/>
      <c r="D102" s="74" t="n"/>
      <c r="E102" s="74" t="n"/>
      <c r="F102" s="74" t="n"/>
      <c r="G102" s="74" t="n"/>
      <c r="H102" s="74" t="n"/>
      <c r="I102" s="74" t="n"/>
      <c r="J102" s="74" t="n"/>
      <c r="K102" s="74" t="n"/>
      <c r="L102" s="74" t="n"/>
      <c r="M102" s="74" t="n"/>
      <c r="N102" s="74" t="n"/>
      <c r="O102" s="74" t="n"/>
      <c r="P102" s="74" t="n"/>
      <c r="Q102" s="74" t="n"/>
      <c r="R102" s="74" t="n"/>
      <c r="S102" s="74" t="n"/>
      <c r="T102" s="74" t="n"/>
      <c r="U102" s="74" t="n"/>
      <c r="V102" s="74" t="n"/>
      <c r="W102" s="74" t="n"/>
      <c r="X102" s="74" t="n"/>
      <c r="Y102" s="74" t="n"/>
      <c r="Z102" s="74" t="n"/>
    </row>
    <row r="103" ht="15.75" customHeight="1" s="349">
      <c r="A103" s="74" t="n"/>
      <c r="B103" s="74" t="n"/>
      <c r="C103" s="74" t="n"/>
      <c r="D103" s="74" t="n"/>
      <c r="E103" s="74" t="n"/>
      <c r="F103" s="74" t="n"/>
      <c r="G103" s="74" t="n"/>
      <c r="H103" s="74" t="n"/>
      <c r="I103" s="74" t="n"/>
      <c r="J103" s="74" t="n"/>
      <c r="K103" s="74" t="n"/>
      <c r="L103" s="74" t="n"/>
      <c r="M103" s="74" t="n"/>
      <c r="N103" s="74" t="n"/>
      <c r="O103" s="74" t="n"/>
      <c r="P103" s="74" t="n"/>
      <c r="Q103" s="74" t="n"/>
      <c r="R103" s="74" t="n"/>
      <c r="S103" s="74" t="n"/>
      <c r="T103" s="74" t="n"/>
      <c r="U103" s="74" t="n"/>
      <c r="V103" s="74" t="n"/>
      <c r="W103" s="74" t="n"/>
      <c r="X103" s="74" t="n"/>
      <c r="Y103" s="74" t="n"/>
      <c r="Z103" s="74" t="n"/>
    </row>
    <row r="104" ht="15.75" customHeight="1" s="349">
      <c r="A104" s="74" t="n"/>
      <c r="B104" s="74" t="n"/>
      <c r="C104" s="74" t="n"/>
      <c r="D104" s="74" t="n"/>
      <c r="E104" s="74" t="n"/>
      <c r="F104" s="74" t="n"/>
      <c r="G104" s="74" t="n"/>
      <c r="H104" s="74" t="n"/>
      <c r="I104" s="74" t="n"/>
      <c r="J104" s="74" t="n"/>
      <c r="K104" s="74" t="n"/>
      <c r="L104" s="74" t="n"/>
      <c r="M104" s="74" t="n"/>
      <c r="N104" s="74" t="n"/>
      <c r="O104" s="74" t="n"/>
      <c r="P104" s="74" t="n"/>
      <c r="Q104" s="74" t="n"/>
      <c r="R104" s="74" t="n"/>
      <c r="S104" s="74" t="n"/>
      <c r="T104" s="74" t="n"/>
      <c r="U104" s="74" t="n"/>
      <c r="V104" s="74" t="n"/>
      <c r="W104" s="74" t="n"/>
      <c r="X104" s="74" t="n"/>
      <c r="Y104" s="74" t="n"/>
      <c r="Z104" s="74" t="n"/>
    </row>
    <row r="105" ht="15.75" customHeight="1" s="349">
      <c r="A105" s="74" t="n"/>
      <c r="B105" s="74" t="n"/>
      <c r="C105" s="74" t="n"/>
      <c r="D105" s="74" t="n"/>
      <c r="E105" s="74" t="n"/>
      <c r="F105" s="74" t="n"/>
      <c r="G105" s="74" t="n"/>
      <c r="H105" s="74" t="n"/>
      <c r="I105" s="74" t="n"/>
      <c r="J105" s="74" t="n"/>
      <c r="K105" s="74" t="n"/>
      <c r="L105" s="74" t="n"/>
      <c r="M105" s="74" t="n"/>
      <c r="N105" s="74" t="n"/>
      <c r="O105" s="74" t="n"/>
      <c r="P105" s="74" t="n"/>
      <c r="Q105" s="74" t="n"/>
      <c r="R105" s="74" t="n"/>
      <c r="S105" s="74" t="n"/>
      <c r="T105" s="74" t="n"/>
      <c r="U105" s="74" t="n"/>
      <c r="V105" s="74" t="n"/>
      <c r="W105" s="74" t="n"/>
      <c r="X105" s="74" t="n"/>
      <c r="Y105" s="74" t="n"/>
      <c r="Z105" s="74" t="n"/>
    </row>
    <row r="106" ht="15.75" customHeight="1" s="349">
      <c r="A106" s="74" t="n"/>
      <c r="B106" s="74" t="n"/>
      <c r="C106" s="74" t="n"/>
      <c r="D106" s="74" t="n"/>
      <c r="E106" s="74" t="n"/>
      <c r="F106" s="74" t="n"/>
      <c r="G106" s="74" t="n"/>
      <c r="H106" s="74" t="n"/>
      <c r="I106" s="74" t="n"/>
      <c r="J106" s="74" t="n"/>
      <c r="K106" s="74" t="n"/>
      <c r="L106" s="74" t="n"/>
      <c r="M106" s="74" t="n"/>
      <c r="N106" s="74" t="n"/>
      <c r="O106" s="74" t="n"/>
      <c r="P106" s="74" t="n"/>
      <c r="Q106" s="74" t="n"/>
      <c r="R106" s="74" t="n"/>
      <c r="S106" s="74" t="n"/>
      <c r="T106" s="74" t="n"/>
      <c r="U106" s="74" t="n"/>
      <c r="V106" s="74" t="n"/>
      <c r="W106" s="74" t="n"/>
      <c r="X106" s="74" t="n"/>
      <c r="Y106" s="74" t="n"/>
      <c r="Z106" s="74" t="n"/>
    </row>
    <row r="107" ht="15.75" customHeight="1" s="349">
      <c r="A107" s="74" t="n"/>
      <c r="B107" s="74" t="n"/>
      <c r="C107" s="74" t="n"/>
      <c r="D107" s="74" t="n"/>
      <c r="E107" s="74" t="n"/>
      <c r="F107" s="74" t="n"/>
      <c r="G107" s="74" t="n"/>
      <c r="H107" s="74" t="n"/>
      <c r="I107" s="74" t="n"/>
      <c r="J107" s="74" t="n"/>
      <c r="K107" s="74" t="n"/>
      <c r="L107" s="74" t="n"/>
      <c r="M107" s="74" t="n"/>
      <c r="N107" s="74" t="n"/>
      <c r="O107" s="74" t="n"/>
      <c r="P107" s="74" t="n"/>
      <c r="Q107" s="74" t="n"/>
      <c r="R107" s="74" t="n"/>
      <c r="S107" s="74" t="n"/>
      <c r="T107" s="74" t="n"/>
      <c r="U107" s="74" t="n"/>
      <c r="V107" s="74" t="n"/>
      <c r="W107" s="74" t="n"/>
      <c r="X107" s="74" t="n"/>
      <c r="Y107" s="74" t="n"/>
      <c r="Z107" s="74" t="n"/>
    </row>
    <row r="108" ht="15.75" customHeight="1" s="349">
      <c r="A108" s="74" t="n"/>
      <c r="B108" s="74" t="n"/>
      <c r="C108" s="74" t="n"/>
      <c r="D108" s="74" t="n"/>
      <c r="E108" s="74" t="n"/>
      <c r="F108" s="74" t="n"/>
      <c r="G108" s="74" t="n"/>
      <c r="H108" s="74" t="n"/>
      <c r="I108" s="74" t="n"/>
      <c r="J108" s="74" t="n"/>
      <c r="K108" s="74" t="n"/>
      <c r="L108" s="74" t="n"/>
      <c r="M108" s="74" t="n"/>
      <c r="N108" s="74" t="n"/>
      <c r="O108" s="74" t="n"/>
      <c r="P108" s="74" t="n"/>
      <c r="Q108" s="74" t="n"/>
      <c r="R108" s="74" t="n"/>
      <c r="S108" s="74" t="n"/>
      <c r="T108" s="74" t="n"/>
      <c r="U108" s="74" t="n"/>
      <c r="V108" s="74" t="n"/>
      <c r="W108" s="74" t="n"/>
      <c r="X108" s="74" t="n"/>
      <c r="Y108" s="74" t="n"/>
      <c r="Z108" s="74" t="n"/>
    </row>
    <row r="109" ht="15.75" customHeight="1" s="349">
      <c r="A109" s="74" t="n"/>
      <c r="B109" s="74" t="n"/>
      <c r="C109" s="74" t="n"/>
      <c r="D109" s="74" t="n"/>
      <c r="E109" s="74" t="n"/>
      <c r="F109" s="74" t="n"/>
      <c r="G109" s="74" t="n"/>
      <c r="H109" s="74" t="n"/>
      <c r="I109" s="74" t="n"/>
      <c r="J109" s="74" t="n"/>
      <c r="K109" s="74" t="n"/>
      <c r="L109" s="74" t="n"/>
      <c r="M109" s="74" t="n"/>
      <c r="N109" s="74" t="n"/>
      <c r="O109" s="74" t="n"/>
      <c r="P109" s="74" t="n"/>
      <c r="Q109" s="74" t="n"/>
      <c r="R109" s="74" t="n"/>
      <c r="S109" s="74" t="n"/>
      <c r="T109" s="74" t="n"/>
      <c r="U109" s="74" t="n"/>
      <c r="V109" s="74" t="n"/>
      <c r="W109" s="74" t="n"/>
      <c r="X109" s="74" t="n"/>
      <c r="Y109" s="74" t="n"/>
      <c r="Z109" s="74" t="n"/>
    </row>
    <row r="110" ht="15.75" customHeight="1" s="349">
      <c r="A110" s="74" t="n"/>
      <c r="B110" s="74" t="n"/>
      <c r="C110" s="74" t="n"/>
      <c r="D110" s="74" t="n"/>
      <c r="E110" s="74" t="n"/>
      <c r="F110" s="74" t="n"/>
      <c r="G110" s="74" t="n"/>
      <c r="H110" s="74" t="n"/>
      <c r="I110" s="74" t="n"/>
      <c r="J110" s="74" t="n"/>
      <c r="K110" s="74" t="n"/>
      <c r="L110" s="74" t="n"/>
      <c r="M110" s="74" t="n"/>
      <c r="N110" s="74" t="n"/>
      <c r="O110" s="74" t="n"/>
      <c r="P110" s="74" t="n"/>
      <c r="Q110" s="74" t="n"/>
      <c r="R110" s="74" t="n"/>
      <c r="S110" s="74" t="n"/>
      <c r="T110" s="74" t="n"/>
      <c r="U110" s="74" t="n"/>
      <c r="V110" s="74" t="n"/>
      <c r="W110" s="74" t="n"/>
      <c r="X110" s="74" t="n"/>
      <c r="Y110" s="74" t="n"/>
      <c r="Z110" s="74" t="n"/>
    </row>
    <row r="111" ht="15.75" customHeight="1" s="349">
      <c r="A111" s="74" t="n"/>
      <c r="B111" s="74" t="n"/>
      <c r="C111" s="74" t="n"/>
      <c r="D111" s="74" t="n"/>
      <c r="E111" s="74" t="n"/>
      <c r="F111" s="74" t="n"/>
      <c r="G111" s="74" t="n"/>
      <c r="H111" s="74" t="n"/>
      <c r="I111" s="74" t="n"/>
      <c r="J111" s="74" t="n"/>
      <c r="K111" s="74" t="n"/>
      <c r="L111" s="74" t="n"/>
      <c r="M111" s="74" t="n"/>
      <c r="N111" s="74" t="n"/>
      <c r="O111" s="74" t="n"/>
      <c r="P111" s="74" t="n"/>
      <c r="Q111" s="74" t="n"/>
      <c r="R111" s="74" t="n"/>
      <c r="S111" s="74" t="n"/>
      <c r="T111" s="74" t="n"/>
      <c r="U111" s="74" t="n"/>
      <c r="V111" s="74" t="n"/>
      <c r="W111" s="74" t="n"/>
      <c r="X111" s="74" t="n"/>
      <c r="Y111" s="74" t="n"/>
      <c r="Z111" s="74" t="n"/>
    </row>
    <row r="112" ht="15.75" customHeight="1" s="349">
      <c r="A112" s="74" t="n"/>
      <c r="B112" s="74" t="n"/>
      <c r="C112" s="74" t="n"/>
      <c r="D112" s="74" t="n"/>
      <c r="E112" s="74" t="n"/>
      <c r="F112" s="74" t="n"/>
      <c r="G112" s="74" t="n"/>
      <c r="H112" s="74" t="n"/>
      <c r="I112" s="74" t="n"/>
      <c r="J112" s="74" t="n"/>
      <c r="K112" s="74" t="n"/>
      <c r="L112" s="74" t="n"/>
      <c r="M112" s="74" t="n"/>
      <c r="N112" s="74" t="n"/>
      <c r="O112" s="74" t="n"/>
      <c r="P112" s="74" t="n"/>
      <c r="Q112" s="74" t="n"/>
      <c r="R112" s="74" t="n"/>
      <c r="S112" s="74" t="n"/>
      <c r="T112" s="74" t="n"/>
      <c r="U112" s="74" t="n"/>
      <c r="V112" s="74" t="n"/>
      <c r="W112" s="74" t="n"/>
      <c r="X112" s="74" t="n"/>
      <c r="Y112" s="74" t="n"/>
      <c r="Z112" s="74" t="n"/>
    </row>
    <row r="113" ht="15.75" customHeight="1" s="349">
      <c r="A113" s="74" t="n"/>
      <c r="B113" s="74" t="n"/>
      <c r="C113" s="74" t="n"/>
      <c r="D113" s="74" t="n"/>
      <c r="E113" s="74" t="n"/>
      <c r="F113" s="74" t="n"/>
      <c r="G113" s="74" t="n"/>
      <c r="H113" s="74" t="n"/>
      <c r="I113" s="74" t="n"/>
      <c r="J113" s="74" t="n"/>
      <c r="K113" s="74" t="n"/>
      <c r="L113" s="74" t="n"/>
      <c r="M113" s="74" t="n"/>
      <c r="N113" s="74" t="n"/>
      <c r="O113" s="74" t="n"/>
      <c r="P113" s="74" t="n"/>
      <c r="Q113" s="74" t="n"/>
      <c r="R113" s="74" t="n"/>
      <c r="S113" s="74" t="n"/>
      <c r="T113" s="74" t="n"/>
      <c r="U113" s="74" t="n"/>
      <c r="V113" s="74" t="n"/>
      <c r="W113" s="74" t="n"/>
      <c r="X113" s="74" t="n"/>
      <c r="Y113" s="74" t="n"/>
      <c r="Z113" s="74" t="n"/>
    </row>
    <row r="114" ht="15.75" customHeight="1" s="349">
      <c r="A114" s="74" t="n"/>
      <c r="B114" s="74" t="n"/>
      <c r="C114" s="74" t="n"/>
      <c r="D114" s="74" t="n"/>
      <c r="E114" s="74" t="n"/>
      <c r="F114" s="74" t="n"/>
      <c r="G114" s="74" t="n"/>
      <c r="H114" s="74" t="n"/>
      <c r="I114" s="74" t="n"/>
      <c r="J114" s="74" t="n"/>
      <c r="K114" s="74" t="n"/>
      <c r="L114" s="74" t="n"/>
      <c r="M114" s="74" t="n"/>
      <c r="N114" s="74" t="n"/>
      <c r="O114" s="74" t="n"/>
      <c r="P114" s="74" t="n"/>
      <c r="Q114" s="74" t="n"/>
      <c r="R114" s="74" t="n"/>
      <c r="S114" s="74" t="n"/>
      <c r="T114" s="74" t="n"/>
      <c r="U114" s="74" t="n"/>
      <c r="V114" s="74" t="n"/>
      <c r="W114" s="74" t="n"/>
      <c r="X114" s="74" t="n"/>
      <c r="Y114" s="74" t="n"/>
      <c r="Z114" s="74" t="n"/>
    </row>
    <row r="115" ht="15.75" customHeight="1" s="349">
      <c r="A115" s="74" t="n"/>
      <c r="B115" s="74" t="n"/>
      <c r="C115" s="74" t="n"/>
      <c r="D115" s="74" t="n"/>
      <c r="E115" s="74" t="n"/>
      <c r="F115" s="74" t="n"/>
      <c r="G115" s="74" t="n"/>
      <c r="H115" s="74" t="n"/>
      <c r="I115" s="74" t="n"/>
      <c r="J115" s="74" t="n"/>
      <c r="K115" s="74" t="n"/>
      <c r="L115" s="74" t="n"/>
      <c r="M115" s="74" t="n"/>
      <c r="N115" s="74" t="n"/>
      <c r="O115" s="74" t="n"/>
      <c r="P115" s="74" t="n"/>
      <c r="Q115" s="74" t="n"/>
      <c r="R115" s="74" t="n"/>
      <c r="S115" s="74" t="n"/>
      <c r="T115" s="74" t="n"/>
      <c r="U115" s="74" t="n"/>
      <c r="V115" s="74" t="n"/>
      <c r="W115" s="74" t="n"/>
      <c r="X115" s="74" t="n"/>
      <c r="Y115" s="74" t="n"/>
      <c r="Z115" s="74" t="n"/>
    </row>
    <row r="116" ht="15.75" customHeight="1" s="349">
      <c r="A116" s="74" t="n"/>
      <c r="B116" s="74" t="n"/>
      <c r="C116" s="74" t="n"/>
      <c r="D116" s="74" t="n"/>
      <c r="E116" s="74" t="n"/>
      <c r="F116" s="74" t="n"/>
      <c r="G116" s="74" t="n"/>
      <c r="H116" s="74" t="n"/>
      <c r="I116" s="74" t="n"/>
      <c r="J116" s="74" t="n"/>
      <c r="K116" s="74" t="n"/>
      <c r="L116" s="74" t="n"/>
      <c r="M116" s="74" t="n"/>
      <c r="N116" s="74" t="n"/>
      <c r="O116" s="74" t="n"/>
      <c r="P116" s="74" t="n"/>
      <c r="Q116" s="74" t="n"/>
      <c r="R116" s="74" t="n"/>
      <c r="S116" s="74" t="n"/>
      <c r="T116" s="74" t="n"/>
      <c r="U116" s="74" t="n"/>
      <c r="V116" s="74" t="n"/>
      <c r="W116" s="74" t="n"/>
      <c r="X116" s="74" t="n"/>
      <c r="Y116" s="74" t="n"/>
      <c r="Z116" s="74" t="n"/>
    </row>
    <row r="117" ht="15.75" customHeight="1" s="349">
      <c r="A117" s="74" t="n"/>
      <c r="B117" s="74" t="n"/>
      <c r="C117" s="74" t="n"/>
      <c r="D117" s="74" t="n"/>
      <c r="E117" s="74" t="n"/>
      <c r="F117" s="74" t="n"/>
      <c r="G117" s="74" t="n"/>
      <c r="H117" s="74" t="n"/>
      <c r="I117" s="74" t="n"/>
      <c r="J117" s="74" t="n"/>
      <c r="K117" s="74" t="n"/>
      <c r="L117" s="74" t="n"/>
      <c r="M117" s="74" t="n"/>
      <c r="N117" s="74" t="n"/>
      <c r="O117" s="74" t="n"/>
      <c r="P117" s="74" t="n"/>
      <c r="Q117" s="74" t="n"/>
      <c r="R117" s="74" t="n"/>
      <c r="S117" s="74" t="n"/>
      <c r="T117" s="74" t="n"/>
      <c r="U117" s="74" t="n"/>
      <c r="V117" s="74" t="n"/>
      <c r="W117" s="74" t="n"/>
      <c r="X117" s="74" t="n"/>
      <c r="Y117" s="74" t="n"/>
      <c r="Z117" s="74" t="n"/>
    </row>
    <row r="118" ht="15.75" customHeight="1" s="349">
      <c r="A118" s="74" t="n"/>
      <c r="B118" s="74" t="n"/>
      <c r="C118" s="74" t="n"/>
      <c r="D118" s="74" t="n"/>
      <c r="E118" s="74" t="n"/>
      <c r="F118" s="74" t="n"/>
      <c r="G118" s="74" t="n"/>
      <c r="H118" s="74" t="n"/>
      <c r="I118" s="74" t="n"/>
      <c r="J118" s="74" t="n"/>
      <c r="K118" s="74" t="n"/>
      <c r="L118" s="74" t="n"/>
      <c r="M118" s="74" t="n"/>
      <c r="N118" s="74" t="n"/>
      <c r="O118" s="74" t="n"/>
      <c r="P118" s="74" t="n"/>
      <c r="Q118" s="74" t="n"/>
      <c r="R118" s="74" t="n"/>
      <c r="S118" s="74" t="n"/>
      <c r="T118" s="74" t="n"/>
      <c r="U118" s="74" t="n"/>
      <c r="V118" s="74" t="n"/>
      <c r="W118" s="74" t="n"/>
      <c r="X118" s="74" t="n"/>
      <c r="Y118" s="74" t="n"/>
      <c r="Z118" s="74" t="n"/>
    </row>
    <row r="119" ht="15.75" customHeight="1" s="349">
      <c r="A119" s="74" t="n"/>
      <c r="B119" s="74" t="n"/>
      <c r="C119" s="74" t="n"/>
      <c r="D119" s="74" t="n"/>
      <c r="E119" s="74" t="n"/>
      <c r="F119" s="74" t="n"/>
      <c r="G119" s="74" t="n"/>
      <c r="H119" s="74" t="n"/>
      <c r="I119" s="74" t="n"/>
      <c r="J119" s="74" t="n"/>
      <c r="K119" s="74" t="n"/>
      <c r="L119" s="74" t="n"/>
      <c r="M119" s="74" t="n"/>
      <c r="N119" s="74" t="n"/>
      <c r="O119" s="74" t="n"/>
      <c r="P119" s="74" t="n"/>
      <c r="Q119" s="74" t="n"/>
      <c r="R119" s="74" t="n"/>
      <c r="S119" s="74" t="n"/>
      <c r="T119" s="74" t="n"/>
      <c r="U119" s="74" t="n"/>
      <c r="V119" s="74" t="n"/>
      <c r="W119" s="74" t="n"/>
      <c r="X119" s="74" t="n"/>
      <c r="Y119" s="74" t="n"/>
      <c r="Z119" s="74" t="n"/>
    </row>
    <row r="120" ht="15.75" customHeight="1" s="349">
      <c r="A120" s="74" t="n"/>
      <c r="B120" s="74" t="n"/>
      <c r="C120" s="74" t="n"/>
      <c r="D120" s="74" t="n"/>
      <c r="E120" s="74" t="n"/>
      <c r="F120" s="74" t="n"/>
      <c r="G120" s="74" t="n"/>
      <c r="H120" s="74" t="n"/>
      <c r="I120" s="74" t="n"/>
      <c r="J120" s="74" t="n"/>
      <c r="K120" s="74" t="n"/>
      <c r="L120" s="74" t="n"/>
      <c r="M120" s="74" t="n"/>
      <c r="N120" s="74" t="n"/>
      <c r="O120" s="74" t="n"/>
      <c r="P120" s="74" t="n"/>
      <c r="Q120" s="74" t="n"/>
      <c r="R120" s="74" t="n"/>
      <c r="S120" s="74" t="n"/>
      <c r="T120" s="74" t="n"/>
      <c r="U120" s="74" t="n"/>
      <c r="V120" s="74" t="n"/>
      <c r="W120" s="74" t="n"/>
      <c r="X120" s="74" t="n"/>
      <c r="Y120" s="74" t="n"/>
      <c r="Z120" s="74" t="n"/>
    </row>
    <row r="121" ht="15.75" customHeight="1" s="349">
      <c r="A121" s="74" t="n"/>
      <c r="B121" s="74" t="n"/>
      <c r="C121" s="74" t="n"/>
      <c r="D121" s="74" t="n"/>
      <c r="E121" s="74" t="n"/>
      <c r="F121" s="74" t="n"/>
      <c r="G121" s="74" t="n"/>
      <c r="H121" s="74" t="n"/>
      <c r="I121" s="74" t="n"/>
      <c r="J121" s="74" t="n"/>
      <c r="K121" s="74" t="n"/>
      <c r="L121" s="74" t="n"/>
      <c r="M121" s="74" t="n"/>
      <c r="N121" s="74" t="n"/>
      <c r="O121" s="74" t="n"/>
      <c r="P121" s="74" t="n"/>
      <c r="Q121" s="74" t="n"/>
      <c r="R121" s="74" t="n"/>
      <c r="S121" s="74" t="n"/>
      <c r="T121" s="74" t="n"/>
      <c r="U121" s="74" t="n"/>
      <c r="V121" s="74" t="n"/>
      <c r="W121" s="74" t="n"/>
      <c r="X121" s="74" t="n"/>
      <c r="Y121" s="74" t="n"/>
      <c r="Z121" s="74" t="n"/>
    </row>
    <row r="122" ht="15.75" customHeight="1" s="349">
      <c r="A122" s="74" t="n"/>
      <c r="B122" s="74" t="n"/>
      <c r="C122" s="74" t="n"/>
      <c r="D122" s="74" t="n"/>
      <c r="E122" s="74" t="n"/>
      <c r="F122" s="74" t="n"/>
      <c r="G122" s="74" t="n"/>
      <c r="H122" s="74" t="n"/>
      <c r="I122" s="74" t="n"/>
      <c r="J122" s="74" t="n"/>
      <c r="K122" s="74" t="n"/>
      <c r="L122" s="74" t="n"/>
      <c r="M122" s="74" t="n"/>
      <c r="N122" s="74" t="n"/>
      <c r="O122" s="74" t="n"/>
      <c r="P122" s="74" t="n"/>
      <c r="Q122" s="74" t="n"/>
      <c r="R122" s="74" t="n"/>
      <c r="S122" s="74" t="n"/>
      <c r="T122" s="74" t="n"/>
      <c r="U122" s="74" t="n"/>
      <c r="V122" s="74" t="n"/>
      <c r="W122" s="74" t="n"/>
      <c r="X122" s="74" t="n"/>
      <c r="Y122" s="74" t="n"/>
      <c r="Z122" s="74" t="n"/>
    </row>
    <row r="123" ht="15.75" customHeight="1" s="349">
      <c r="A123" s="74" t="n"/>
      <c r="B123" s="74" t="n"/>
      <c r="C123" s="74" t="n"/>
      <c r="D123" s="74" t="n"/>
      <c r="E123" s="74" t="n"/>
      <c r="F123" s="74" t="n"/>
      <c r="G123" s="74" t="n"/>
      <c r="H123" s="74" t="n"/>
      <c r="I123" s="74" t="n"/>
      <c r="J123" s="74" t="n"/>
      <c r="K123" s="74" t="n"/>
      <c r="L123" s="74" t="n"/>
      <c r="M123" s="74" t="n"/>
      <c r="N123" s="74" t="n"/>
      <c r="O123" s="74" t="n"/>
      <c r="P123" s="74" t="n"/>
      <c r="Q123" s="74" t="n"/>
      <c r="R123" s="74" t="n"/>
      <c r="S123" s="74" t="n"/>
      <c r="T123" s="74" t="n"/>
      <c r="U123" s="74" t="n"/>
      <c r="V123" s="74" t="n"/>
      <c r="W123" s="74" t="n"/>
      <c r="X123" s="74" t="n"/>
      <c r="Y123" s="74" t="n"/>
      <c r="Z123" s="74" t="n"/>
    </row>
    <row r="124" ht="15.75" customHeight="1" s="349">
      <c r="A124" s="74" t="n"/>
      <c r="B124" s="74" t="n"/>
      <c r="C124" s="74" t="n"/>
      <c r="D124" s="74" t="n"/>
      <c r="E124" s="74" t="n"/>
      <c r="F124" s="74" t="n"/>
      <c r="G124" s="74" t="n"/>
      <c r="H124" s="74" t="n"/>
      <c r="I124" s="74" t="n"/>
      <c r="J124" s="74" t="n"/>
      <c r="K124" s="74" t="n"/>
      <c r="L124" s="74" t="n"/>
      <c r="M124" s="74" t="n"/>
      <c r="N124" s="74" t="n"/>
      <c r="O124" s="74" t="n"/>
      <c r="P124" s="74" t="n"/>
      <c r="Q124" s="74" t="n"/>
      <c r="R124" s="74" t="n"/>
      <c r="S124" s="74" t="n"/>
      <c r="T124" s="74" t="n"/>
      <c r="U124" s="74" t="n"/>
      <c r="V124" s="74" t="n"/>
      <c r="W124" s="74" t="n"/>
      <c r="X124" s="74" t="n"/>
      <c r="Y124" s="74" t="n"/>
      <c r="Z124" s="74" t="n"/>
    </row>
    <row r="125" ht="15.75" customHeight="1" s="349">
      <c r="A125" s="74" t="n"/>
      <c r="B125" s="74" t="n"/>
      <c r="C125" s="74" t="n"/>
      <c r="D125" s="74" t="n"/>
      <c r="E125" s="74" t="n"/>
      <c r="F125" s="74" t="n"/>
      <c r="G125" s="74" t="n"/>
      <c r="H125" s="74" t="n"/>
      <c r="I125" s="74" t="n"/>
      <c r="J125" s="74" t="n"/>
      <c r="K125" s="74" t="n"/>
      <c r="L125" s="74" t="n"/>
      <c r="M125" s="74" t="n"/>
      <c r="N125" s="74" t="n"/>
      <c r="O125" s="74" t="n"/>
      <c r="P125" s="74" t="n"/>
      <c r="Q125" s="74" t="n"/>
      <c r="R125" s="74" t="n"/>
      <c r="S125" s="74" t="n"/>
      <c r="T125" s="74" t="n"/>
      <c r="U125" s="74" t="n"/>
      <c r="V125" s="74" t="n"/>
      <c r="W125" s="74" t="n"/>
      <c r="X125" s="74" t="n"/>
      <c r="Y125" s="74" t="n"/>
      <c r="Z125" s="74" t="n"/>
    </row>
    <row r="126" ht="15.75" customHeight="1" s="349">
      <c r="A126" s="74" t="n"/>
      <c r="B126" s="74" t="n"/>
      <c r="C126" s="74" t="n"/>
      <c r="D126" s="74" t="n"/>
      <c r="E126" s="74" t="n"/>
      <c r="F126" s="74" t="n"/>
      <c r="G126" s="74" t="n"/>
      <c r="H126" s="74" t="n"/>
      <c r="I126" s="74" t="n"/>
      <c r="J126" s="74" t="n"/>
      <c r="K126" s="74" t="n"/>
      <c r="L126" s="74" t="n"/>
      <c r="M126" s="74" t="n"/>
      <c r="N126" s="74" t="n"/>
      <c r="O126" s="74" t="n"/>
      <c r="P126" s="74" t="n"/>
      <c r="Q126" s="74" t="n"/>
      <c r="R126" s="74" t="n"/>
      <c r="S126" s="74" t="n"/>
      <c r="T126" s="74" t="n"/>
      <c r="U126" s="74" t="n"/>
      <c r="V126" s="74" t="n"/>
      <c r="W126" s="74" t="n"/>
      <c r="X126" s="74" t="n"/>
      <c r="Y126" s="74" t="n"/>
      <c r="Z126" s="74" t="n"/>
    </row>
    <row r="127" ht="15.75" customHeight="1" s="349">
      <c r="A127" s="74" t="n"/>
      <c r="B127" s="74" t="n"/>
      <c r="C127" s="74" t="n"/>
      <c r="D127" s="74" t="n"/>
      <c r="E127" s="74" t="n"/>
      <c r="F127" s="74" t="n"/>
      <c r="G127" s="74" t="n"/>
      <c r="H127" s="74" t="n"/>
      <c r="I127" s="74" t="n"/>
      <c r="J127" s="74" t="n"/>
      <c r="K127" s="74" t="n"/>
      <c r="L127" s="74" t="n"/>
      <c r="M127" s="74" t="n"/>
      <c r="N127" s="74" t="n"/>
      <c r="O127" s="74" t="n"/>
      <c r="P127" s="74" t="n"/>
      <c r="Q127" s="74" t="n"/>
      <c r="R127" s="74" t="n"/>
      <c r="S127" s="74" t="n"/>
      <c r="T127" s="74" t="n"/>
      <c r="U127" s="74" t="n"/>
      <c r="V127" s="74" t="n"/>
      <c r="W127" s="74" t="n"/>
      <c r="X127" s="74" t="n"/>
      <c r="Y127" s="74" t="n"/>
      <c r="Z127" s="74" t="n"/>
    </row>
    <row r="128" ht="15.75" customHeight="1" s="349">
      <c r="A128" s="74" t="n"/>
      <c r="B128" s="74" t="n"/>
      <c r="C128" s="74" t="n"/>
      <c r="D128" s="74" t="n"/>
      <c r="E128" s="74" t="n"/>
      <c r="F128" s="74" t="n"/>
      <c r="G128" s="74" t="n"/>
      <c r="H128" s="74" t="n"/>
      <c r="I128" s="74" t="n"/>
      <c r="J128" s="74" t="n"/>
      <c r="K128" s="74" t="n"/>
      <c r="L128" s="74" t="n"/>
      <c r="M128" s="74" t="n"/>
      <c r="N128" s="74" t="n"/>
      <c r="O128" s="74" t="n"/>
      <c r="P128" s="74" t="n"/>
      <c r="Q128" s="74" t="n"/>
      <c r="R128" s="74" t="n"/>
      <c r="S128" s="74" t="n"/>
      <c r="T128" s="74" t="n"/>
      <c r="U128" s="74" t="n"/>
      <c r="V128" s="74" t="n"/>
      <c r="W128" s="74" t="n"/>
      <c r="X128" s="74" t="n"/>
      <c r="Y128" s="74" t="n"/>
      <c r="Z128" s="74" t="n"/>
    </row>
    <row r="129" ht="15.75" customHeight="1" s="349">
      <c r="A129" s="74" t="n"/>
      <c r="B129" s="74" t="n"/>
      <c r="C129" s="74" t="n"/>
      <c r="D129" s="74" t="n"/>
      <c r="E129" s="74" t="n"/>
      <c r="F129" s="74" t="n"/>
      <c r="G129" s="74" t="n"/>
      <c r="H129" s="74" t="n"/>
      <c r="I129" s="74" t="n"/>
      <c r="J129" s="74" t="n"/>
      <c r="K129" s="74" t="n"/>
      <c r="L129" s="74" t="n"/>
      <c r="M129" s="74" t="n"/>
      <c r="N129" s="74" t="n"/>
      <c r="O129" s="74" t="n"/>
      <c r="P129" s="74" t="n"/>
      <c r="Q129" s="74" t="n"/>
      <c r="R129" s="74" t="n"/>
      <c r="S129" s="74" t="n"/>
      <c r="T129" s="74" t="n"/>
      <c r="U129" s="74" t="n"/>
      <c r="V129" s="74" t="n"/>
      <c r="W129" s="74" t="n"/>
      <c r="X129" s="74" t="n"/>
      <c r="Y129" s="74" t="n"/>
      <c r="Z129" s="74" t="n"/>
    </row>
    <row r="130" ht="15.75" customHeight="1" s="349">
      <c r="A130" s="74" t="n"/>
      <c r="B130" s="74" t="n"/>
      <c r="C130" s="74" t="n"/>
      <c r="D130" s="74" t="n"/>
      <c r="E130" s="74" t="n"/>
      <c r="F130" s="74" t="n"/>
      <c r="G130" s="74" t="n"/>
      <c r="H130" s="74" t="n"/>
      <c r="I130" s="74" t="n"/>
      <c r="J130" s="74" t="n"/>
      <c r="K130" s="74" t="n"/>
      <c r="L130" s="74" t="n"/>
      <c r="M130" s="74" t="n"/>
      <c r="N130" s="74" t="n"/>
      <c r="O130" s="74" t="n"/>
      <c r="P130" s="74" t="n"/>
      <c r="Q130" s="74" t="n"/>
      <c r="R130" s="74" t="n"/>
      <c r="S130" s="74" t="n"/>
      <c r="T130" s="74" t="n"/>
      <c r="U130" s="74" t="n"/>
      <c r="V130" s="74" t="n"/>
      <c r="W130" s="74" t="n"/>
      <c r="X130" s="74" t="n"/>
      <c r="Y130" s="74" t="n"/>
      <c r="Z130" s="74" t="n"/>
    </row>
    <row r="131" ht="15.75" customHeight="1" s="349">
      <c r="A131" s="74" t="n"/>
      <c r="B131" s="74" t="n"/>
      <c r="C131" s="74" t="n"/>
      <c r="D131" s="74" t="n"/>
      <c r="E131" s="74" t="n"/>
      <c r="F131" s="74" t="n"/>
      <c r="G131" s="74" t="n"/>
      <c r="H131" s="74" t="n"/>
      <c r="I131" s="74" t="n"/>
      <c r="J131" s="74" t="n"/>
      <c r="K131" s="74" t="n"/>
      <c r="L131" s="74" t="n"/>
      <c r="M131" s="74" t="n"/>
      <c r="N131" s="74" t="n"/>
      <c r="O131" s="74" t="n"/>
      <c r="P131" s="74" t="n"/>
      <c r="Q131" s="74" t="n"/>
      <c r="R131" s="74" t="n"/>
      <c r="S131" s="74" t="n"/>
      <c r="T131" s="74" t="n"/>
      <c r="U131" s="74" t="n"/>
      <c r="V131" s="74" t="n"/>
      <c r="W131" s="74" t="n"/>
      <c r="X131" s="74" t="n"/>
      <c r="Y131" s="74" t="n"/>
      <c r="Z131" s="74" t="n"/>
    </row>
    <row r="132" ht="15.75" customHeight="1" s="349">
      <c r="A132" s="74" t="n"/>
      <c r="B132" s="74" t="n"/>
      <c r="C132" s="74" t="n"/>
      <c r="D132" s="74" t="n"/>
      <c r="E132" s="74" t="n"/>
      <c r="F132" s="74" t="n"/>
      <c r="G132" s="74" t="n"/>
      <c r="H132" s="74" t="n"/>
      <c r="I132" s="74" t="n"/>
      <c r="J132" s="74" t="n"/>
      <c r="K132" s="74" t="n"/>
      <c r="L132" s="74" t="n"/>
      <c r="M132" s="74" t="n"/>
      <c r="N132" s="74" t="n"/>
      <c r="O132" s="74" t="n"/>
      <c r="P132" s="74" t="n"/>
      <c r="Q132" s="74" t="n"/>
      <c r="R132" s="74" t="n"/>
      <c r="S132" s="74" t="n"/>
      <c r="T132" s="74" t="n"/>
      <c r="U132" s="74" t="n"/>
      <c r="V132" s="74" t="n"/>
      <c r="W132" s="74" t="n"/>
      <c r="X132" s="74" t="n"/>
      <c r="Y132" s="74" t="n"/>
      <c r="Z132" s="74" t="n"/>
    </row>
    <row r="133" ht="15.75" customHeight="1" s="349">
      <c r="A133" s="74" t="n"/>
      <c r="B133" s="74" t="n"/>
      <c r="C133" s="74" t="n"/>
      <c r="D133" s="74" t="n"/>
      <c r="E133" s="74" t="n"/>
      <c r="F133" s="74" t="n"/>
      <c r="G133" s="74" t="n"/>
      <c r="H133" s="74" t="n"/>
      <c r="I133" s="74" t="n"/>
      <c r="J133" s="74" t="n"/>
      <c r="K133" s="74" t="n"/>
      <c r="L133" s="74" t="n"/>
      <c r="M133" s="74" t="n"/>
      <c r="N133" s="74" t="n"/>
      <c r="O133" s="74" t="n"/>
      <c r="P133" s="74" t="n"/>
      <c r="Q133" s="74" t="n"/>
      <c r="R133" s="74" t="n"/>
      <c r="S133" s="74" t="n"/>
      <c r="T133" s="74" t="n"/>
      <c r="U133" s="74" t="n"/>
      <c r="V133" s="74" t="n"/>
      <c r="W133" s="74" t="n"/>
      <c r="X133" s="74" t="n"/>
      <c r="Y133" s="74" t="n"/>
      <c r="Z133" s="74" t="n"/>
    </row>
    <row r="134" ht="15.75" customHeight="1" s="349">
      <c r="A134" s="74" t="n"/>
      <c r="B134" s="74" t="n"/>
      <c r="C134" s="74" t="n"/>
      <c r="D134" s="74" t="n"/>
      <c r="E134" s="74" t="n"/>
      <c r="F134" s="74" t="n"/>
      <c r="G134" s="74" t="n"/>
      <c r="H134" s="74" t="n"/>
      <c r="I134" s="74" t="n"/>
      <c r="J134" s="74" t="n"/>
      <c r="K134" s="74" t="n"/>
      <c r="L134" s="74" t="n"/>
      <c r="M134" s="74" t="n"/>
      <c r="N134" s="74" t="n"/>
      <c r="O134" s="74" t="n"/>
      <c r="P134" s="74" t="n"/>
      <c r="Q134" s="74" t="n"/>
      <c r="R134" s="74" t="n"/>
      <c r="S134" s="74" t="n"/>
      <c r="T134" s="74" t="n"/>
      <c r="U134" s="74" t="n"/>
      <c r="V134" s="74" t="n"/>
      <c r="W134" s="74" t="n"/>
      <c r="X134" s="74" t="n"/>
      <c r="Y134" s="74" t="n"/>
      <c r="Z134" s="74" t="n"/>
    </row>
    <row r="135" ht="15.75" customHeight="1" s="349">
      <c r="A135" s="74" t="n"/>
      <c r="B135" s="74" t="n"/>
      <c r="C135" s="74" t="n"/>
      <c r="D135" s="74" t="n"/>
      <c r="E135" s="74" t="n"/>
      <c r="F135" s="74" t="n"/>
      <c r="G135" s="74" t="n"/>
      <c r="H135" s="74" t="n"/>
      <c r="I135" s="74" t="n"/>
      <c r="J135" s="74" t="n"/>
      <c r="K135" s="74" t="n"/>
      <c r="L135" s="74" t="n"/>
      <c r="M135" s="74" t="n"/>
      <c r="N135" s="74" t="n"/>
      <c r="O135" s="74" t="n"/>
      <c r="P135" s="74" t="n"/>
      <c r="Q135" s="74" t="n"/>
      <c r="R135" s="74" t="n"/>
      <c r="S135" s="74" t="n"/>
      <c r="T135" s="74" t="n"/>
      <c r="U135" s="74" t="n"/>
      <c r="V135" s="74" t="n"/>
      <c r="W135" s="74" t="n"/>
      <c r="X135" s="74" t="n"/>
      <c r="Y135" s="74" t="n"/>
      <c r="Z135" s="74" t="n"/>
    </row>
    <row r="136" ht="15.75" customHeight="1" s="349">
      <c r="A136" s="74" t="n"/>
      <c r="B136" s="74" t="n"/>
      <c r="C136" s="74" t="n"/>
      <c r="D136" s="74" t="n"/>
      <c r="E136" s="74" t="n"/>
      <c r="F136" s="74" t="n"/>
      <c r="G136" s="74" t="n"/>
      <c r="H136" s="74" t="n"/>
      <c r="I136" s="74" t="n"/>
      <c r="J136" s="74" t="n"/>
      <c r="K136" s="74" t="n"/>
      <c r="L136" s="74" t="n"/>
      <c r="M136" s="74" t="n"/>
      <c r="N136" s="74" t="n"/>
      <c r="O136" s="74" t="n"/>
      <c r="P136" s="74" t="n"/>
      <c r="Q136" s="74" t="n"/>
      <c r="R136" s="74" t="n"/>
      <c r="S136" s="74" t="n"/>
      <c r="T136" s="74" t="n"/>
      <c r="U136" s="74" t="n"/>
      <c r="V136" s="74" t="n"/>
      <c r="W136" s="74" t="n"/>
      <c r="X136" s="74" t="n"/>
      <c r="Y136" s="74" t="n"/>
      <c r="Z136" s="74" t="n"/>
    </row>
    <row r="137" ht="15.75" customHeight="1" s="349">
      <c r="A137" s="74" t="n"/>
      <c r="B137" s="74" t="n"/>
      <c r="C137" s="74" t="n"/>
      <c r="D137" s="74" t="n"/>
      <c r="E137" s="74" t="n"/>
      <c r="F137" s="74" t="n"/>
      <c r="G137" s="74" t="n"/>
      <c r="H137" s="74" t="n"/>
      <c r="I137" s="74" t="n"/>
      <c r="J137" s="74" t="n"/>
      <c r="K137" s="74" t="n"/>
      <c r="L137" s="74" t="n"/>
      <c r="M137" s="74" t="n"/>
      <c r="N137" s="74" t="n"/>
      <c r="O137" s="74" t="n"/>
      <c r="P137" s="74" t="n"/>
      <c r="Q137" s="74" t="n"/>
      <c r="R137" s="74" t="n"/>
      <c r="S137" s="74" t="n"/>
      <c r="T137" s="74" t="n"/>
      <c r="U137" s="74" t="n"/>
      <c r="V137" s="74" t="n"/>
      <c r="W137" s="74" t="n"/>
      <c r="X137" s="74" t="n"/>
      <c r="Y137" s="74" t="n"/>
      <c r="Z137" s="74" t="n"/>
    </row>
    <row r="138" ht="15.75" customHeight="1" s="349">
      <c r="A138" s="74" t="n"/>
      <c r="B138" s="74" t="n"/>
      <c r="C138" s="74" t="n"/>
      <c r="D138" s="74" t="n"/>
      <c r="E138" s="74" t="n"/>
      <c r="F138" s="74" t="n"/>
      <c r="G138" s="74" t="n"/>
      <c r="H138" s="74" t="n"/>
      <c r="I138" s="74" t="n"/>
      <c r="J138" s="74" t="n"/>
      <c r="K138" s="74" t="n"/>
      <c r="L138" s="74" t="n"/>
      <c r="M138" s="74" t="n"/>
      <c r="N138" s="74" t="n"/>
      <c r="O138" s="74" t="n"/>
      <c r="P138" s="74" t="n"/>
      <c r="Q138" s="74" t="n"/>
      <c r="R138" s="74" t="n"/>
      <c r="S138" s="74" t="n"/>
      <c r="T138" s="74" t="n"/>
      <c r="U138" s="74" t="n"/>
      <c r="V138" s="74" t="n"/>
      <c r="W138" s="74" t="n"/>
      <c r="X138" s="74" t="n"/>
      <c r="Y138" s="74" t="n"/>
      <c r="Z138" s="74" t="n"/>
    </row>
    <row r="139" ht="15.75" customHeight="1" s="349">
      <c r="A139" s="74" t="n"/>
      <c r="B139" s="74" t="n"/>
      <c r="C139" s="74" t="n"/>
      <c r="D139" s="74" t="n"/>
      <c r="E139" s="74" t="n"/>
      <c r="F139" s="74" t="n"/>
      <c r="G139" s="74" t="n"/>
      <c r="H139" s="74" t="n"/>
      <c r="I139" s="74" t="n"/>
      <c r="J139" s="74" t="n"/>
      <c r="K139" s="74" t="n"/>
      <c r="L139" s="74" t="n"/>
      <c r="M139" s="74" t="n"/>
      <c r="N139" s="74" t="n"/>
      <c r="O139" s="74" t="n"/>
      <c r="P139" s="74" t="n"/>
      <c r="Q139" s="74" t="n"/>
      <c r="R139" s="74" t="n"/>
      <c r="S139" s="74" t="n"/>
      <c r="T139" s="74" t="n"/>
      <c r="U139" s="74" t="n"/>
      <c r="V139" s="74" t="n"/>
      <c r="W139" s="74" t="n"/>
      <c r="X139" s="74" t="n"/>
      <c r="Y139" s="74" t="n"/>
      <c r="Z139" s="74" t="n"/>
    </row>
    <row r="140" ht="15.75" customHeight="1" s="349">
      <c r="A140" s="74" t="n"/>
      <c r="B140" s="74" t="n"/>
      <c r="C140" s="74" t="n"/>
      <c r="D140" s="74" t="n"/>
      <c r="E140" s="74" t="n"/>
      <c r="F140" s="74" t="n"/>
      <c r="G140" s="74" t="n"/>
      <c r="H140" s="74" t="n"/>
      <c r="I140" s="74" t="n"/>
      <c r="J140" s="74" t="n"/>
      <c r="K140" s="74" t="n"/>
      <c r="L140" s="74" t="n"/>
      <c r="M140" s="74" t="n"/>
      <c r="N140" s="74" t="n"/>
      <c r="O140" s="74" t="n"/>
      <c r="P140" s="74" t="n"/>
      <c r="Q140" s="74" t="n"/>
      <c r="R140" s="74" t="n"/>
      <c r="S140" s="74" t="n"/>
      <c r="T140" s="74" t="n"/>
      <c r="U140" s="74" t="n"/>
      <c r="V140" s="74" t="n"/>
      <c r="W140" s="74" t="n"/>
      <c r="X140" s="74" t="n"/>
      <c r="Y140" s="74" t="n"/>
      <c r="Z140" s="74" t="n"/>
    </row>
    <row r="141" ht="15.75" customHeight="1" s="349">
      <c r="A141" s="74" t="n"/>
      <c r="B141" s="74" t="n"/>
      <c r="C141" s="74" t="n"/>
      <c r="D141" s="74" t="n"/>
      <c r="E141" s="74" t="n"/>
      <c r="F141" s="74" t="n"/>
      <c r="G141" s="74" t="n"/>
      <c r="H141" s="74" t="n"/>
      <c r="I141" s="74" t="n"/>
      <c r="J141" s="74" t="n"/>
      <c r="K141" s="74" t="n"/>
      <c r="L141" s="74" t="n"/>
      <c r="M141" s="74" t="n"/>
      <c r="N141" s="74" t="n"/>
      <c r="O141" s="74" t="n"/>
      <c r="P141" s="74" t="n"/>
      <c r="Q141" s="74" t="n"/>
      <c r="R141" s="74" t="n"/>
      <c r="S141" s="74" t="n"/>
      <c r="T141" s="74" t="n"/>
      <c r="U141" s="74" t="n"/>
      <c r="V141" s="74" t="n"/>
      <c r="W141" s="74" t="n"/>
      <c r="X141" s="74" t="n"/>
      <c r="Y141" s="74" t="n"/>
      <c r="Z141" s="74" t="n"/>
    </row>
    <row r="142" ht="15.75" customHeight="1" s="349">
      <c r="A142" s="74" t="n"/>
      <c r="B142" s="74" t="n"/>
      <c r="C142" s="74" t="n"/>
      <c r="D142" s="74" t="n"/>
      <c r="E142" s="74" t="n"/>
      <c r="F142" s="74" t="n"/>
      <c r="G142" s="74" t="n"/>
      <c r="H142" s="74" t="n"/>
      <c r="I142" s="74" t="n"/>
      <c r="J142" s="74" t="n"/>
      <c r="K142" s="74" t="n"/>
      <c r="L142" s="74" t="n"/>
      <c r="M142" s="74" t="n"/>
      <c r="N142" s="74" t="n"/>
      <c r="O142" s="74" t="n"/>
      <c r="P142" s="74" t="n"/>
      <c r="Q142" s="74" t="n"/>
      <c r="R142" s="74" t="n"/>
      <c r="S142" s="74" t="n"/>
      <c r="T142" s="74" t="n"/>
      <c r="U142" s="74" t="n"/>
      <c r="V142" s="74" t="n"/>
      <c r="W142" s="74" t="n"/>
      <c r="X142" s="74" t="n"/>
      <c r="Y142" s="74" t="n"/>
      <c r="Z142" s="74" t="n"/>
    </row>
    <row r="143" ht="15.75" customHeight="1" s="349">
      <c r="A143" s="74" t="n"/>
      <c r="B143" s="74" t="n"/>
      <c r="C143" s="74" t="n"/>
      <c r="D143" s="74" t="n"/>
      <c r="E143" s="74" t="n"/>
      <c r="F143" s="74" t="n"/>
      <c r="G143" s="74" t="n"/>
      <c r="H143" s="74" t="n"/>
      <c r="I143" s="74" t="n"/>
      <c r="J143" s="74" t="n"/>
      <c r="K143" s="74" t="n"/>
      <c r="L143" s="74" t="n"/>
      <c r="M143" s="74" t="n"/>
      <c r="N143" s="74" t="n"/>
      <c r="O143" s="74" t="n"/>
      <c r="P143" s="74" t="n"/>
      <c r="Q143" s="74" t="n"/>
      <c r="R143" s="74" t="n"/>
      <c r="S143" s="74" t="n"/>
      <c r="T143" s="74" t="n"/>
      <c r="U143" s="74" t="n"/>
      <c r="V143" s="74" t="n"/>
      <c r="W143" s="74" t="n"/>
      <c r="X143" s="74" t="n"/>
      <c r="Y143" s="74" t="n"/>
      <c r="Z143" s="74" t="n"/>
    </row>
    <row r="144" ht="15.75" customHeight="1" s="349">
      <c r="A144" s="74" t="n"/>
      <c r="B144" s="74" t="n"/>
      <c r="C144" s="74" t="n"/>
      <c r="D144" s="74" t="n"/>
      <c r="E144" s="74" t="n"/>
      <c r="F144" s="74" t="n"/>
      <c r="G144" s="74" t="n"/>
      <c r="H144" s="74" t="n"/>
      <c r="I144" s="74" t="n"/>
      <c r="J144" s="74" t="n"/>
      <c r="K144" s="74" t="n"/>
      <c r="L144" s="74" t="n"/>
      <c r="M144" s="74" t="n"/>
      <c r="N144" s="74" t="n"/>
      <c r="O144" s="74" t="n"/>
      <c r="P144" s="74" t="n"/>
      <c r="Q144" s="74" t="n"/>
      <c r="R144" s="74" t="n"/>
      <c r="S144" s="74" t="n"/>
      <c r="T144" s="74" t="n"/>
      <c r="U144" s="74" t="n"/>
      <c r="V144" s="74" t="n"/>
      <c r="W144" s="74" t="n"/>
      <c r="X144" s="74" t="n"/>
      <c r="Y144" s="74" t="n"/>
      <c r="Z144" s="74" t="n"/>
    </row>
    <row r="145" ht="15.75" customHeight="1" s="349">
      <c r="A145" s="74" t="n"/>
      <c r="B145" s="74" t="n"/>
      <c r="C145" s="74" t="n"/>
      <c r="D145" s="74" t="n"/>
      <c r="E145" s="74" t="n"/>
      <c r="F145" s="74" t="n"/>
      <c r="G145" s="74" t="n"/>
      <c r="H145" s="74" t="n"/>
      <c r="I145" s="74" t="n"/>
      <c r="J145" s="74" t="n"/>
      <c r="K145" s="74" t="n"/>
      <c r="L145" s="74" t="n"/>
      <c r="M145" s="74" t="n"/>
      <c r="N145" s="74" t="n"/>
      <c r="O145" s="74" t="n"/>
      <c r="P145" s="74" t="n"/>
      <c r="Q145" s="74" t="n"/>
      <c r="R145" s="74" t="n"/>
      <c r="S145" s="74" t="n"/>
      <c r="T145" s="74" t="n"/>
      <c r="U145" s="74" t="n"/>
      <c r="V145" s="74" t="n"/>
      <c r="W145" s="74" t="n"/>
      <c r="X145" s="74" t="n"/>
      <c r="Y145" s="74" t="n"/>
      <c r="Z145" s="74" t="n"/>
    </row>
    <row r="146" ht="15.75" customHeight="1" s="349">
      <c r="A146" s="74" t="n"/>
      <c r="B146" s="74" t="n"/>
      <c r="C146" s="74" t="n"/>
      <c r="D146" s="74" t="n"/>
      <c r="E146" s="74" t="n"/>
      <c r="F146" s="74" t="n"/>
      <c r="G146" s="74" t="n"/>
      <c r="H146" s="74" t="n"/>
      <c r="I146" s="74" t="n"/>
      <c r="J146" s="74" t="n"/>
      <c r="K146" s="74" t="n"/>
      <c r="L146" s="74" t="n"/>
      <c r="M146" s="74" t="n"/>
      <c r="N146" s="74" t="n"/>
      <c r="O146" s="74" t="n"/>
      <c r="P146" s="74" t="n"/>
      <c r="Q146" s="74" t="n"/>
      <c r="R146" s="74" t="n"/>
      <c r="S146" s="74" t="n"/>
      <c r="T146" s="74" t="n"/>
      <c r="U146" s="74" t="n"/>
      <c r="V146" s="74" t="n"/>
      <c r="W146" s="74" t="n"/>
      <c r="X146" s="74" t="n"/>
      <c r="Y146" s="74" t="n"/>
      <c r="Z146" s="74" t="n"/>
    </row>
    <row r="147" ht="15.75" customHeight="1" s="349">
      <c r="A147" s="74" t="n"/>
      <c r="B147" s="74" t="n"/>
      <c r="C147" s="74" t="n"/>
      <c r="D147" s="74" t="n"/>
      <c r="E147" s="74" t="n"/>
      <c r="F147" s="74" t="n"/>
      <c r="G147" s="74" t="n"/>
      <c r="H147" s="74" t="n"/>
      <c r="I147" s="74" t="n"/>
      <c r="J147" s="74" t="n"/>
      <c r="K147" s="74" t="n"/>
      <c r="L147" s="74" t="n"/>
      <c r="M147" s="74" t="n"/>
      <c r="N147" s="74" t="n"/>
      <c r="O147" s="74" t="n"/>
      <c r="P147" s="74" t="n"/>
      <c r="Q147" s="74" t="n"/>
      <c r="R147" s="74" t="n"/>
      <c r="S147" s="74" t="n"/>
      <c r="T147" s="74" t="n"/>
      <c r="U147" s="74" t="n"/>
      <c r="V147" s="74" t="n"/>
      <c r="W147" s="74" t="n"/>
      <c r="X147" s="74" t="n"/>
      <c r="Y147" s="74" t="n"/>
      <c r="Z147" s="74" t="n"/>
    </row>
    <row r="148" ht="15.75" customHeight="1" s="349">
      <c r="A148" s="74" t="n"/>
      <c r="B148" s="74" t="n"/>
      <c r="C148" s="74" t="n"/>
      <c r="D148" s="74" t="n"/>
      <c r="E148" s="74" t="n"/>
      <c r="F148" s="74" t="n"/>
      <c r="G148" s="74" t="n"/>
      <c r="H148" s="74" t="n"/>
      <c r="I148" s="74" t="n"/>
      <c r="J148" s="74" t="n"/>
      <c r="K148" s="74" t="n"/>
      <c r="L148" s="74" t="n"/>
      <c r="M148" s="74" t="n"/>
      <c r="N148" s="74" t="n"/>
      <c r="O148" s="74" t="n"/>
      <c r="P148" s="74" t="n"/>
      <c r="Q148" s="74" t="n"/>
      <c r="R148" s="74" t="n"/>
      <c r="S148" s="74" t="n"/>
      <c r="T148" s="74" t="n"/>
      <c r="U148" s="74" t="n"/>
      <c r="V148" s="74" t="n"/>
      <c r="W148" s="74" t="n"/>
      <c r="X148" s="74" t="n"/>
      <c r="Y148" s="74" t="n"/>
      <c r="Z148" s="74" t="n"/>
    </row>
    <row r="149" ht="15.75" customHeight="1" s="349">
      <c r="A149" s="74" t="n"/>
      <c r="B149" s="74" t="n"/>
      <c r="C149" s="74" t="n"/>
      <c r="D149" s="74" t="n"/>
      <c r="E149" s="74" t="n"/>
      <c r="F149" s="74" t="n"/>
      <c r="G149" s="74" t="n"/>
      <c r="H149" s="74" t="n"/>
      <c r="I149" s="74" t="n"/>
      <c r="J149" s="74" t="n"/>
      <c r="K149" s="74" t="n"/>
      <c r="L149" s="74" t="n"/>
      <c r="M149" s="74" t="n"/>
      <c r="N149" s="74" t="n"/>
      <c r="O149" s="74" t="n"/>
      <c r="P149" s="74" t="n"/>
      <c r="Q149" s="74" t="n"/>
      <c r="R149" s="74" t="n"/>
      <c r="S149" s="74" t="n"/>
      <c r="T149" s="74" t="n"/>
      <c r="U149" s="74" t="n"/>
      <c r="V149" s="74" t="n"/>
      <c r="W149" s="74" t="n"/>
      <c r="X149" s="74" t="n"/>
      <c r="Y149" s="74" t="n"/>
      <c r="Z149" s="74" t="n"/>
    </row>
    <row r="150" ht="15.75" customHeight="1" s="349">
      <c r="A150" s="74" t="n"/>
      <c r="B150" s="74" t="n"/>
      <c r="C150" s="74" t="n"/>
      <c r="D150" s="74" t="n"/>
      <c r="E150" s="74" t="n"/>
      <c r="F150" s="74" t="n"/>
      <c r="G150" s="74" t="n"/>
      <c r="H150" s="74" t="n"/>
      <c r="I150" s="74" t="n"/>
      <c r="J150" s="74" t="n"/>
      <c r="K150" s="74" t="n"/>
      <c r="L150" s="74" t="n"/>
      <c r="M150" s="74" t="n"/>
      <c r="N150" s="74" t="n"/>
      <c r="O150" s="74" t="n"/>
      <c r="P150" s="74" t="n"/>
      <c r="Q150" s="74" t="n"/>
      <c r="R150" s="74" t="n"/>
      <c r="S150" s="74" t="n"/>
      <c r="T150" s="74" t="n"/>
      <c r="U150" s="74" t="n"/>
      <c r="V150" s="74" t="n"/>
      <c r="W150" s="74" t="n"/>
      <c r="X150" s="74" t="n"/>
      <c r="Y150" s="74" t="n"/>
      <c r="Z150" s="74" t="n"/>
    </row>
    <row r="151" ht="15.75" customHeight="1" s="349">
      <c r="A151" s="74" t="n"/>
      <c r="B151" s="74" t="n"/>
      <c r="C151" s="74" t="n"/>
      <c r="D151" s="74" t="n"/>
      <c r="E151" s="74" t="n"/>
      <c r="F151" s="74" t="n"/>
      <c r="G151" s="74" t="n"/>
      <c r="H151" s="74" t="n"/>
      <c r="I151" s="74" t="n"/>
      <c r="J151" s="74" t="n"/>
      <c r="K151" s="74" t="n"/>
      <c r="L151" s="74" t="n"/>
      <c r="M151" s="74" t="n"/>
      <c r="N151" s="74" t="n"/>
      <c r="O151" s="74" t="n"/>
      <c r="P151" s="74" t="n"/>
      <c r="Q151" s="74" t="n"/>
      <c r="R151" s="74" t="n"/>
      <c r="S151" s="74" t="n"/>
      <c r="T151" s="74" t="n"/>
      <c r="U151" s="74" t="n"/>
      <c r="V151" s="74" t="n"/>
      <c r="W151" s="74" t="n"/>
      <c r="X151" s="74" t="n"/>
      <c r="Y151" s="74" t="n"/>
      <c r="Z151" s="74" t="n"/>
    </row>
    <row r="152" ht="15.75" customHeight="1" s="349">
      <c r="A152" s="74" t="n"/>
      <c r="B152" s="74" t="n"/>
      <c r="C152" s="74" t="n"/>
      <c r="D152" s="74" t="n"/>
      <c r="E152" s="74" t="n"/>
      <c r="F152" s="74" t="n"/>
      <c r="G152" s="74" t="n"/>
      <c r="H152" s="74" t="n"/>
      <c r="I152" s="74" t="n"/>
      <c r="J152" s="74" t="n"/>
      <c r="K152" s="74" t="n"/>
      <c r="L152" s="74" t="n"/>
      <c r="M152" s="74" t="n"/>
      <c r="N152" s="74" t="n"/>
      <c r="O152" s="74" t="n"/>
      <c r="P152" s="74" t="n"/>
      <c r="Q152" s="74" t="n"/>
      <c r="R152" s="74" t="n"/>
      <c r="S152" s="74" t="n"/>
      <c r="T152" s="74" t="n"/>
      <c r="U152" s="74" t="n"/>
      <c r="V152" s="74" t="n"/>
      <c r="W152" s="74" t="n"/>
      <c r="X152" s="74" t="n"/>
      <c r="Y152" s="74" t="n"/>
      <c r="Z152" s="74" t="n"/>
    </row>
    <row r="153" ht="15.75" customHeight="1" s="349">
      <c r="A153" s="74" t="n"/>
      <c r="B153" s="74" t="n"/>
      <c r="C153" s="74" t="n"/>
      <c r="D153" s="74" t="n"/>
      <c r="E153" s="74" t="n"/>
      <c r="F153" s="74" t="n"/>
      <c r="G153" s="74" t="n"/>
      <c r="H153" s="74" t="n"/>
      <c r="I153" s="74" t="n"/>
      <c r="J153" s="74" t="n"/>
      <c r="K153" s="74" t="n"/>
      <c r="L153" s="74" t="n"/>
      <c r="M153" s="74" t="n"/>
      <c r="N153" s="74" t="n"/>
      <c r="O153" s="74" t="n"/>
      <c r="P153" s="74" t="n"/>
      <c r="Q153" s="74" t="n"/>
      <c r="R153" s="74" t="n"/>
      <c r="S153" s="74" t="n"/>
      <c r="T153" s="74" t="n"/>
      <c r="U153" s="74" t="n"/>
      <c r="V153" s="74" t="n"/>
      <c r="W153" s="74" t="n"/>
      <c r="X153" s="74" t="n"/>
      <c r="Y153" s="74" t="n"/>
      <c r="Z153" s="74" t="n"/>
    </row>
    <row r="154" ht="15.75" customHeight="1" s="349">
      <c r="A154" s="74" t="n"/>
      <c r="B154" s="74" t="n"/>
      <c r="C154" s="74" t="n"/>
      <c r="D154" s="74" t="n"/>
      <c r="E154" s="74" t="n"/>
      <c r="F154" s="74" t="n"/>
      <c r="G154" s="74" t="n"/>
      <c r="H154" s="74" t="n"/>
      <c r="I154" s="74" t="n"/>
      <c r="J154" s="74" t="n"/>
      <c r="K154" s="74" t="n"/>
      <c r="L154" s="74" t="n"/>
      <c r="M154" s="74" t="n"/>
      <c r="N154" s="74" t="n"/>
      <c r="O154" s="74" t="n"/>
      <c r="P154" s="74" t="n"/>
      <c r="Q154" s="74" t="n"/>
      <c r="R154" s="74" t="n"/>
      <c r="S154" s="74" t="n"/>
      <c r="T154" s="74" t="n"/>
      <c r="U154" s="74" t="n"/>
      <c r="V154" s="74" t="n"/>
      <c r="W154" s="74" t="n"/>
      <c r="X154" s="74" t="n"/>
      <c r="Y154" s="74" t="n"/>
      <c r="Z154" s="74" t="n"/>
    </row>
    <row r="155" ht="15.75" customHeight="1" s="349">
      <c r="A155" s="74" t="n"/>
      <c r="B155" s="74" t="n"/>
      <c r="C155" s="74" t="n"/>
      <c r="D155" s="74" t="n"/>
      <c r="E155" s="74" t="n"/>
      <c r="F155" s="74" t="n"/>
      <c r="G155" s="74" t="n"/>
      <c r="H155" s="74" t="n"/>
      <c r="I155" s="74" t="n"/>
      <c r="J155" s="74" t="n"/>
      <c r="K155" s="74" t="n"/>
      <c r="L155" s="74" t="n"/>
      <c r="M155" s="74" t="n"/>
      <c r="N155" s="74" t="n"/>
      <c r="O155" s="74" t="n"/>
      <c r="P155" s="74" t="n"/>
      <c r="Q155" s="74" t="n"/>
      <c r="R155" s="74" t="n"/>
      <c r="S155" s="74" t="n"/>
      <c r="T155" s="74" t="n"/>
      <c r="U155" s="74" t="n"/>
      <c r="V155" s="74" t="n"/>
      <c r="W155" s="74" t="n"/>
      <c r="X155" s="74" t="n"/>
      <c r="Y155" s="74" t="n"/>
      <c r="Z155" s="74" t="n"/>
    </row>
    <row r="156" ht="15.75" customHeight="1" s="349">
      <c r="A156" s="74" t="n"/>
      <c r="B156" s="74" t="n"/>
      <c r="C156" s="74" t="n"/>
      <c r="D156" s="74" t="n"/>
      <c r="E156" s="74" t="n"/>
      <c r="F156" s="74" t="n"/>
      <c r="G156" s="74" t="n"/>
      <c r="H156" s="74" t="n"/>
      <c r="I156" s="74" t="n"/>
      <c r="J156" s="74" t="n"/>
      <c r="K156" s="74" t="n"/>
      <c r="L156" s="74" t="n"/>
      <c r="M156" s="74" t="n"/>
      <c r="N156" s="74" t="n"/>
      <c r="O156" s="74" t="n"/>
      <c r="P156" s="74" t="n"/>
      <c r="Q156" s="74" t="n"/>
      <c r="R156" s="74" t="n"/>
      <c r="S156" s="74" t="n"/>
      <c r="T156" s="74" t="n"/>
      <c r="U156" s="74" t="n"/>
      <c r="V156" s="74" t="n"/>
      <c r="W156" s="74" t="n"/>
      <c r="X156" s="74" t="n"/>
      <c r="Y156" s="74" t="n"/>
      <c r="Z156" s="74" t="n"/>
    </row>
    <row r="157" ht="15.75" customHeight="1" s="349">
      <c r="A157" s="74" t="n"/>
      <c r="B157" s="74" t="n"/>
      <c r="C157" s="74" t="n"/>
      <c r="D157" s="74" t="n"/>
      <c r="E157" s="74" t="n"/>
      <c r="F157" s="74" t="n"/>
      <c r="G157" s="74" t="n"/>
      <c r="H157" s="74" t="n"/>
      <c r="I157" s="74" t="n"/>
      <c r="J157" s="74" t="n"/>
      <c r="K157" s="74" t="n"/>
      <c r="L157" s="74" t="n"/>
      <c r="M157" s="74" t="n"/>
      <c r="N157" s="74" t="n"/>
      <c r="O157" s="74" t="n"/>
      <c r="P157" s="74" t="n"/>
      <c r="Q157" s="74" t="n"/>
      <c r="R157" s="74" t="n"/>
      <c r="S157" s="74" t="n"/>
      <c r="T157" s="74" t="n"/>
      <c r="U157" s="74" t="n"/>
      <c r="V157" s="74" t="n"/>
      <c r="W157" s="74" t="n"/>
      <c r="X157" s="74" t="n"/>
      <c r="Y157" s="74" t="n"/>
      <c r="Z157" s="74" t="n"/>
    </row>
    <row r="158" ht="15.75" customHeight="1" s="349">
      <c r="A158" s="74" t="n"/>
      <c r="B158" s="74" t="n"/>
      <c r="C158" s="74" t="n"/>
      <c r="D158" s="74" t="n"/>
      <c r="E158" s="74" t="n"/>
      <c r="F158" s="74" t="n"/>
      <c r="G158" s="74" t="n"/>
      <c r="H158" s="74" t="n"/>
      <c r="I158" s="74" t="n"/>
      <c r="J158" s="74" t="n"/>
      <c r="K158" s="74" t="n"/>
      <c r="L158" s="74" t="n"/>
      <c r="M158" s="74" t="n"/>
      <c r="N158" s="74" t="n"/>
      <c r="O158" s="74" t="n"/>
      <c r="P158" s="74" t="n"/>
      <c r="Q158" s="74" t="n"/>
      <c r="R158" s="74" t="n"/>
      <c r="S158" s="74" t="n"/>
      <c r="T158" s="74" t="n"/>
      <c r="U158" s="74" t="n"/>
      <c r="V158" s="74" t="n"/>
      <c r="W158" s="74" t="n"/>
      <c r="X158" s="74" t="n"/>
      <c r="Y158" s="74" t="n"/>
      <c r="Z158" s="74" t="n"/>
    </row>
    <row r="159" ht="15.75" customHeight="1" s="349">
      <c r="A159" s="74" t="n"/>
      <c r="B159" s="74" t="n"/>
      <c r="C159" s="74" t="n"/>
      <c r="D159" s="74" t="n"/>
      <c r="E159" s="74" t="n"/>
      <c r="F159" s="74" t="n"/>
      <c r="G159" s="74" t="n"/>
      <c r="H159" s="74" t="n"/>
      <c r="I159" s="74" t="n"/>
      <c r="J159" s="74" t="n"/>
      <c r="K159" s="74" t="n"/>
      <c r="L159" s="74" t="n"/>
      <c r="M159" s="74" t="n"/>
      <c r="N159" s="74" t="n"/>
      <c r="O159" s="74" t="n"/>
      <c r="P159" s="74" t="n"/>
      <c r="Q159" s="74" t="n"/>
      <c r="R159" s="74" t="n"/>
      <c r="S159" s="74" t="n"/>
      <c r="T159" s="74" t="n"/>
      <c r="U159" s="74" t="n"/>
      <c r="V159" s="74" t="n"/>
      <c r="W159" s="74" t="n"/>
      <c r="X159" s="74" t="n"/>
      <c r="Y159" s="74" t="n"/>
      <c r="Z159" s="74" t="n"/>
    </row>
    <row r="160" ht="15.75" customHeight="1" s="349">
      <c r="A160" s="74" t="n"/>
      <c r="B160" s="74" t="n"/>
      <c r="C160" s="74" t="n"/>
      <c r="D160" s="74" t="n"/>
      <c r="E160" s="74" t="n"/>
      <c r="F160" s="74" t="n"/>
      <c r="G160" s="74" t="n"/>
      <c r="H160" s="74" t="n"/>
      <c r="I160" s="74" t="n"/>
      <c r="J160" s="74" t="n"/>
      <c r="K160" s="74" t="n"/>
      <c r="L160" s="74" t="n"/>
      <c r="M160" s="74" t="n"/>
      <c r="N160" s="74" t="n"/>
      <c r="O160" s="74" t="n"/>
      <c r="P160" s="74" t="n"/>
      <c r="Q160" s="74" t="n"/>
      <c r="R160" s="74" t="n"/>
      <c r="S160" s="74" t="n"/>
      <c r="T160" s="74" t="n"/>
      <c r="U160" s="74" t="n"/>
      <c r="V160" s="74" t="n"/>
      <c r="W160" s="74" t="n"/>
      <c r="X160" s="74" t="n"/>
      <c r="Y160" s="74" t="n"/>
      <c r="Z160" s="74" t="n"/>
    </row>
    <row r="161" ht="15.75" customHeight="1" s="349">
      <c r="A161" s="74" t="n"/>
      <c r="B161" s="74" t="n"/>
      <c r="C161" s="74" t="n"/>
      <c r="D161" s="74" t="n"/>
      <c r="E161" s="74" t="n"/>
      <c r="F161" s="74" t="n"/>
      <c r="G161" s="74" t="n"/>
      <c r="H161" s="74" t="n"/>
      <c r="I161" s="74" t="n"/>
      <c r="J161" s="74" t="n"/>
      <c r="K161" s="74" t="n"/>
      <c r="L161" s="74" t="n"/>
      <c r="M161" s="74" t="n"/>
      <c r="N161" s="74" t="n"/>
      <c r="O161" s="74" t="n"/>
      <c r="P161" s="74" t="n"/>
      <c r="Q161" s="74" t="n"/>
      <c r="R161" s="74" t="n"/>
      <c r="S161" s="74" t="n"/>
      <c r="T161" s="74" t="n"/>
      <c r="U161" s="74" t="n"/>
      <c r="V161" s="74" t="n"/>
      <c r="W161" s="74" t="n"/>
      <c r="X161" s="74" t="n"/>
      <c r="Y161" s="74" t="n"/>
      <c r="Z161" s="74" t="n"/>
    </row>
    <row r="162" ht="15.75" customHeight="1" s="349">
      <c r="A162" s="74" t="n"/>
      <c r="B162" s="74" t="n"/>
      <c r="C162" s="74" t="n"/>
      <c r="D162" s="74" t="n"/>
      <c r="E162" s="74" t="n"/>
      <c r="F162" s="74" t="n"/>
      <c r="G162" s="74" t="n"/>
      <c r="H162" s="74" t="n"/>
      <c r="I162" s="74" t="n"/>
      <c r="J162" s="74" t="n"/>
      <c r="K162" s="74" t="n"/>
      <c r="L162" s="74" t="n"/>
      <c r="M162" s="74" t="n"/>
      <c r="N162" s="74" t="n"/>
      <c r="O162" s="74" t="n"/>
      <c r="P162" s="74" t="n"/>
      <c r="Q162" s="74" t="n"/>
      <c r="R162" s="74" t="n"/>
      <c r="S162" s="74" t="n"/>
      <c r="T162" s="74" t="n"/>
      <c r="U162" s="74" t="n"/>
      <c r="V162" s="74" t="n"/>
      <c r="W162" s="74" t="n"/>
      <c r="X162" s="74" t="n"/>
      <c r="Y162" s="74" t="n"/>
      <c r="Z162" s="74" t="n"/>
    </row>
    <row r="163" ht="15.75" customHeight="1" s="349">
      <c r="A163" s="74" t="n"/>
      <c r="B163" s="74" t="n"/>
      <c r="C163" s="74" t="n"/>
      <c r="D163" s="74" t="n"/>
      <c r="E163" s="74" t="n"/>
      <c r="F163" s="74" t="n"/>
      <c r="G163" s="74" t="n"/>
      <c r="H163" s="74" t="n"/>
      <c r="I163" s="74" t="n"/>
      <c r="J163" s="74" t="n"/>
      <c r="K163" s="74" t="n"/>
      <c r="L163" s="74" t="n"/>
      <c r="M163" s="74" t="n"/>
      <c r="N163" s="74" t="n"/>
      <c r="O163" s="74" t="n"/>
      <c r="P163" s="74" t="n"/>
      <c r="Q163" s="74" t="n"/>
      <c r="R163" s="74" t="n"/>
      <c r="S163" s="74" t="n"/>
      <c r="T163" s="74" t="n"/>
      <c r="U163" s="74" t="n"/>
      <c r="V163" s="74" t="n"/>
      <c r="W163" s="74" t="n"/>
      <c r="X163" s="74" t="n"/>
      <c r="Y163" s="74" t="n"/>
      <c r="Z163" s="74" t="n"/>
    </row>
    <row r="164" ht="15.75" customHeight="1" s="349">
      <c r="A164" s="74" t="n"/>
      <c r="B164" s="74" t="n"/>
      <c r="C164" s="74" t="n"/>
      <c r="D164" s="74" t="n"/>
      <c r="E164" s="74" t="n"/>
      <c r="F164" s="74" t="n"/>
      <c r="G164" s="74" t="n"/>
      <c r="H164" s="74" t="n"/>
      <c r="I164" s="74" t="n"/>
      <c r="J164" s="74" t="n"/>
      <c r="K164" s="74" t="n"/>
      <c r="L164" s="74" t="n"/>
      <c r="M164" s="74" t="n"/>
      <c r="N164" s="74" t="n"/>
      <c r="O164" s="74" t="n"/>
      <c r="P164" s="74" t="n"/>
      <c r="Q164" s="74" t="n"/>
      <c r="R164" s="74" t="n"/>
      <c r="S164" s="74" t="n"/>
      <c r="T164" s="74" t="n"/>
      <c r="U164" s="74" t="n"/>
      <c r="V164" s="74" t="n"/>
      <c r="W164" s="74" t="n"/>
      <c r="X164" s="74" t="n"/>
      <c r="Y164" s="74" t="n"/>
      <c r="Z164" s="74" t="n"/>
    </row>
    <row r="165" ht="15.75" customHeight="1" s="349">
      <c r="A165" s="74" t="n"/>
      <c r="B165" s="74" t="n"/>
      <c r="C165" s="74" t="n"/>
      <c r="D165" s="74" t="n"/>
      <c r="E165" s="74" t="n"/>
      <c r="F165" s="74" t="n"/>
      <c r="G165" s="74" t="n"/>
      <c r="H165" s="74" t="n"/>
      <c r="I165" s="74" t="n"/>
      <c r="J165" s="74" t="n"/>
      <c r="K165" s="74" t="n"/>
      <c r="L165" s="74" t="n"/>
      <c r="M165" s="74" t="n"/>
      <c r="N165" s="74" t="n"/>
      <c r="O165" s="74" t="n"/>
      <c r="P165" s="74" t="n"/>
      <c r="Q165" s="74" t="n"/>
      <c r="R165" s="74" t="n"/>
      <c r="S165" s="74" t="n"/>
      <c r="T165" s="74" t="n"/>
      <c r="U165" s="74" t="n"/>
      <c r="V165" s="74" t="n"/>
      <c r="W165" s="74" t="n"/>
      <c r="X165" s="74" t="n"/>
      <c r="Y165" s="74" t="n"/>
      <c r="Z165" s="74" t="n"/>
    </row>
    <row r="166" ht="15.75" customHeight="1" s="349">
      <c r="A166" s="74" t="n"/>
      <c r="B166" s="74" t="n"/>
      <c r="C166" s="74" t="n"/>
      <c r="D166" s="74" t="n"/>
      <c r="E166" s="74" t="n"/>
      <c r="F166" s="74" t="n"/>
      <c r="G166" s="74" t="n"/>
      <c r="H166" s="74" t="n"/>
      <c r="I166" s="74" t="n"/>
      <c r="J166" s="74" t="n"/>
      <c r="K166" s="74" t="n"/>
      <c r="L166" s="74" t="n"/>
      <c r="M166" s="74" t="n"/>
      <c r="N166" s="74" t="n"/>
      <c r="O166" s="74" t="n"/>
      <c r="P166" s="74" t="n"/>
      <c r="Q166" s="74" t="n"/>
      <c r="R166" s="74" t="n"/>
      <c r="S166" s="74" t="n"/>
      <c r="T166" s="74" t="n"/>
      <c r="U166" s="74" t="n"/>
      <c r="V166" s="74" t="n"/>
      <c r="W166" s="74" t="n"/>
      <c r="X166" s="74" t="n"/>
      <c r="Y166" s="74" t="n"/>
      <c r="Z166" s="74" t="n"/>
    </row>
    <row r="167" ht="15.75" customHeight="1" s="349">
      <c r="A167" s="74" t="n"/>
      <c r="B167" s="74" t="n"/>
      <c r="C167" s="74" t="n"/>
      <c r="D167" s="74" t="n"/>
      <c r="E167" s="74" t="n"/>
      <c r="F167" s="74" t="n"/>
      <c r="G167" s="74" t="n"/>
      <c r="H167" s="74" t="n"/>
      <c r="I167" s="74" t="n"/>
      <c r="J167" s="74" t="n"/>
      <c r="K167" s="74" t="n"/>
      <c r="L167" s="74" t="n"/>
      <c r="M167" s="74" t="n"/>
      <c r="N167" s="74" t="n"/>
      <c r="O167" s="74" t="n"/>
      <c r="P167" s="74" t="n"/>
      <c r="Q167" s="74" t="n"/>
      <c r="R167" s="74" t="n"/>
      <c r="S167" s="74" t="n"/>
      <c r="T167" s="74" t="n"/>
      <c r="U167" s="74" t="n"/>
      <c r="V167" s="74" t="n"/>
      <c r="W167" s="74" t="n"/>
      <c r="X167" s="74" t="n"/>
      <c r="Y167" s="74" t="n"/>
      <c r="Z167" s="74" t="n"/>
    </row>
    <row r="168" ht="15.75" customHeight="1" s="349">
      <c r="A168" s="74" t="n"/>
      <c r="B168" s="74" t="n"/>
      <c r="C168" s="74" t="n"/>
      <c r="D168" s="74" t="n"/>
      <c r="E168" s="74" t="n"/>
      <c r="F168" s="74" t="n"/>
      <c r="G168" s="74" t="n"/>
      <c r="H168" s="74" t="n"/>
      <c r="I168" s="74" t="n"/>
      <c r="J168" s="74" t="n"/>
      <c r="K168" s="74" t="n"/>
      <c r="L168" s="74" t="n"/>
      <c r="M168" s="74" t="n"/>
      <c r="N168" s="74" t="n"/>
      <c r="O168" s="74" t="n"/>
      <c r="P168" s="74" t="n"/>
      <c r="Q168" s="74" t="n"/>
      <c r="R168" s="74" t="n"/>
      <c r="S168" s="74" t="n"/>
      <c r="T168" s="74" t="n"/>
      <c r="U168" s="74" t="n"/>
      <c r="V168" s="74" t="n"/>
      <c r="W168" s="74" t="n"/>
      <c r="X168" s="74" t="n"/>
      <c r="Y168" s="74" t="n"/>
      <c r="Z168" s="74" t="n"/>
    </row>
    <row r="169" ht="15.75" customHeight="1" s="349">
      <c r="A169" s="74" t="n"/>
      <c r="B169" s="74" t="n"/>
      <c r="C169" s="74" t="n"/>
      <c r="D169" s="74" t="n"/>
      <c r="E169" s="74" t="n"/>
      <c r="F169" s="74" t="n"/>
      <c r="G169" s="74" t="n"/>
      <c r="H169" s="74" t="n"/>
      <c r="I169" s="74" t="n"/>
      <c r="J169" s="74" t="n"/>
      <c r="K169" s="74" t="n"/>
      <c r="L169" s="74" t="n"/>
      <c r="M169" s="74" t="n"/>
      <c r="N169" s="74" t="n"/>
      <c r="O169" s="74" t="n"/>
      <c r="P169" s="74" t="n"/>
      <c r="Q169" s="74" t="n"/>
      <c r="R169" s="74" t="n"/>
      <c r="S169" s="74" t="n"/>
      <c r="T169" s="74" t="n"/>
      <c r="U169" s="74" t="n"/>
      <c r="V169" s="74" t="n"/>
      <c r="W169" s="74" t="n"/>
      <c r="X169" s="74" t="n"/>
      <c r="Y169" s="74" t="n"/>
      <c r="Z169" s="74" t="n"/>
    </row>
    <row r="170" ht="15.75" customHeight="1" s="349">
      <c r="A170" s="74" t="n"/>
      <c r="B170" s="74" t="n"/>
      <c r="C170" s="74" t="n"/>
      <c r="D170" s="74" t="n"/>
      <c r="E170" s="74" t="n"/>
      <c r="F170" s="74" t="n"/>
      <c r="G170" s="74" t="n"/>
      <c r="H170" s="74" t="n"/>
      <c r="I170" s="74" t="n"/>
      <c r="J170" s="74" t="n"/>
      <c r="K170" s="74" t="n"/>
      <c r="L170" s="74" t="n"/>
      <c r="M170" s="74" t="n"/>
      <c r="N170" s="74" t="n"/>
      <c r="O170" s="74" t="n"/>
      <c r="P170" s="74" t="n"/>
      <c r="Q170" s="74" t="n"/>
      <c r="R170" s="74" t="n"/>
      <c r="S170" s="74" t="n"/>
      <c r="T170" s="74" t="n"/>
      <c r="U170" s="74" t="n"/>
      <c r="V170" s="74" t="n"/>
      <c r="W170" s="74" t="n"/>
      <c r="X170" s="74" t="n"/>
      <c r="Y170" s="74" t="n"/>
      <c r="Z170" s="74" t="n"/>
    </row>
    <row r="171" ht="15.75" customHeight="1" s="349">
      <c r="A171" s="74" t="n"/>
      <c r="B171" s="74" t="n"/>
      <c r="C171" s="74" t="n"/>
      <c r="D171" s="74" t="n"/>
      <c r="E171" s="74" t="n"/>
      <c r="F171" s="74" t="n"/>
      <c r="G171" s="74" t="n"/>
      <c r="H171" s="74" t="n"/>
      <c r="I171" s="74" t="n"/>
      <c r="J171" s="74" t="n"/>
      <c r="K171" s="74" t="n"/>
      <c r="L171" s="74" t="n"/>
      <c r="M171" s="74" t="n"/>
      <c r="N171" s="74" t="n"/>
      <c r="O171" s="74" t="n"/>
      <c r="P171" s="74" t="n"/>
      <c r="Q171" s="74" t="n"/>
      <c r="R171" s="74" t="n"/>
      <c r="S171" s="74" t="n"/>
      <c r="T171" s="74" t="n"/>
      <c r="U171" s="74" t="n"/>
      <c r="V171" s="74" t="n"/>
      <c r="W171" s="74" t="n"/>
      <c r="X171" s="74" t="n"/>
      <c r="Y171" s="74" t="n"/>
      <c r="Z171" s="74" t="n"/>
    </row>
    <row r="172" ht="15.75" customHeight="1" s="349">
      <c r="A172" s="74" t="n"/>
      <c r="B172" s="74" t="n"/>
      <c r="C172" s="74" t="n"/>
      <c r="D172" s="74" t="n"/>
      <c r="E172" s="74" t="n"/>
      <c r="F172" s="74" t="n"/>
      <c r="G172" s="74" t="n"/>
      <c r="H172" s="74" t="n"/>
      <c r="I172" s="74" t="n"/>
      <c r="J172" s="74" t="n"/>
      <c r="K172" s="74" t="n"/>
      <c r="L172" s="74" t="n"/>
      <c r="M172" s="74" t="n"/>
      <c r="N172" s="74" t="n"/>
      <c r="O172" s="74" t="n"/>
      <c r="P172" s="74" t="n"/>
      <c r="Q172" s="74" t="n"/>
      <c r="R172" s="74" t="n"/>
      <c r="S172" s="74" t="n"/>
      <c r="T172" s="74" t="n"/>
      <c r="U172" s="74" t="n"/>
      <c r="V172" s="74" t="n"/>
      <c r="W172" s="74" t="n"/>
      <c r="X172" s="74" t="n"/>
      <c r="Y172" s="74" t="n"/>
      <c r="Z172" s="74" t="n"/>
    </row>
    <row r="173" ht="15.75" customHeight="1" s="349">
      <c r="A173" s="74" t="n"/>
      <c r="B173" s="74" t="n"/>
      <c r="C173" s="74" t="n"/>
      <c r="D173" s="74" t="n"/>
      <c r="E173" s="74" t="n"/>
      <c r="F173" s="74" t="n"/>
      <c r="G173" s="74" t="n"/>
      <c r="H173" s="74" t="n"/>
      <c r="I173" s="74" t="n"/>
      <c r="J173" s="74" t="n"/>
      <c r="K173" s="74" t="n"/>
      <c r="L173" s="74" t="n"/>
      <c r="M173" s="74" t="n"/>
      <c r="N173" s="74" t="n"/>
      <c r="O173" s="74" t="n"/>
      <c r="P173" s="74" t="n"/>
      <c r="Q173" s="74" t="n"/>
      <c r="R173" s="74" t="n"/>
      <c r="S173" s="74" t="n"/>
      <c r="T173" s="74" t="n"/>
      <c r="U173" s="74" t="n"/>
      <c r="V173" s="74" t="n"/>
      <c r="W173" s="74" t="n"/>
      <c r="X173" s="74" t="n"/>
      <c r="Y173" s="74" t="n"/>
      <c r="Z173" s="74" t="n"/>
    </row>
    <row r="174" ht="15.75" customHeight="1" s="349">
      <c r="A174" s="74" t="n"/>
      <c r="B174" s="74" t="n"/>
      <c r="C174" s="74" t="n"/>
      <c r="D174" s="74" t="n"/>
      <c r="E174" s="74" t="n"/>
      <c r="F174" s="74" t="n"/>
      <c r="G174" s="74" t="n"/>
      <c r="H174" s="74" t="n"/>
      <c r="I174" s="74" t="n"/>
      <c r="J174" s="74" t="n"/>
      <c r="K174" s="74" t="n"/>
      <c r="L174" s="74" t="n"/>
      <c r="M174" s="74" t="n"/>
      <c r="N174" s="74" t="n"/>
      <c r="O174" s="74" t="n"/>
      <c r="P174" s="74" t="n"/>
      <c r="Q174" s="74" t="n"/>
      <c r="R174" s="74" t="n"/>
      <c r="S174" s="74" t="n"/>
      <c r="T174" s="74" t="n"/>
      <c r="U174" s="74" t="n"/>
      <c r="V174" s="74" t="n"/>
      <c r="W174" s="74" t="n"/>
      <c r="X174" s="74" t="n"/>
      <c r="Y174" s="74" t="n"/>
      <c r="Z174" s="74" t="n"/>
    </row>
    <row r="175" ht="15.75" customHeight="1" s="349">
      <c r="A175" s="74" t="n"/>
      <c r="B175" s="74" t="n"/>
      <c r="C175" s="74" t="n"/>
      <c r="D175" s="74" t="n"/>
      <c r="E175" s="74" t="n"/>
      <c r="F175" s="74" t="n"/>
      <c r="G175" s="74" t="n"/>
      <c r="H175" s="74" t="n"/>
      <c r="I175" s="74" t="n"/>
      <c r="J175" s="74" t="n"/>
      <c r="K175" s="74" t="n"/>
      <c r="L175" s="74" t="n"/>
      <c r="M175" s="74" t="n"/>
      <c r="N175" s="74" t="n"/>
      <c r="O175" s="74" t="n"/>
      <c r="P175" s="74" t="n"/>
      <c r="Q175" s="74" t="n"/>
      <c r="R175" s="74" t="n"/>
      <c r="S175" s="74" t="n"/>
      <c r="T175" s="74" t="n"/>
      <c r="U175" s="74" t="n"/>
      <c r="V175" s="74" t="n"/>
      <c r="W175" s="74" t="n"/>
      <c r="X175" s="74" t="n"/>
      <c r="Y175" s="74" t="n"/>
      <c r="Z175" s="74" t="n"/>
    </row>
    <row r="176" ht="15.75" customHeight="1" s="349">
      <c r="A176" s="74" t="n"/>
      <c r="B176" s="74" t="n"/>
      <c r="C176" s="74" t="n"/>
      <c r="D176" s="74" t="n"/>
      <c r="E176" s="74" t="n"/>
      <c r="F176" s="74" t="n"/>
      <c r="G176" s="74" t="n"/>
      <c r="H176" s="74" t="n"/>
      <c r="I176" s="74" t="n"/>
      <c r="J176" s="74" t="n"/>
      <c r="K176" s="74" t="n"/>
      <c r="L176" s="74" t="n"/>
      <c r="M176" s="74" t="n"/>
      <c r="N176" s="74" t="n"/>
      <c r="O176" s="74" t="n"/>
      <c r="P176" s="74" t="n"/>
      <c r="Q176" s="74" t="n"/>
      <c r="R176" s="74" t="n"/>
      <c r="S176" s="74" t="n"/>
      <c r="T176" s="74" t="n"/>
      <c r="U176" s="74" t="n"/>
      <c r="V176" s="74" t="n"/>
      <c r="W176" s="74" t="n"/>
      <c r="X176" s="74" t="n"/>
      <c r="Y176" s="74" t="n"/>
      <c r="Z176" s="74" t="n"/>
    </row>
    <row r="177" ht="15.75" customHeight="1" s="349">
      <c r="A177" s="74" t="n"/>
      <c r="B177" s="74" t="n"/>
      <c r="C177" s="74" t="n"/>
      <c r="D177" s="74" t="n"/>
      <c r="E177" s="74" t="n"/>
      <c r="F177" s="74" t="n"/>
      <c r="G177" s="74" t="n"/>
      <c r="H177" s="74" t="n"/>
      <c r="I177" s="74" t="n"/>
      <c r="J177" s="74" t="n"/>
      <c r="K177" s="74" t="n"/>
      <c r="L177" s="74" t="n"/>
      <c r="M177" s="74" t="n"/>
      <c r="N177" s="74" t="n"/>
      <c r="O177" s="74" t="n"/>
      <c r="P177" s="74" t="n"/>
      <c r="Q177" s="74" t="n"/>
      <c r="R177" s="74" t="n"/>
      <c r="S177" s="74" t="n"/>
      <c r="T177" s="74" t="n"/>
      <c r="U177" s="74" t="n"/>
      <c r="V177" s="74" t="n"/>
      <c r="W177" s="74" t="n"/>
      <c r="X177" s="74" t="n"/>
      <c r="Y177" s="74" t="n"/>
      <c r="Z177" s="74" t="n"/>
    </row>
    <row r="178" ht="15.75" customHeight="1" s="349">
      <c r="A178" s="74" t="n"/>
      <c r="B178" s="74" t="n"/>
      <c r="C178" s="74" t="n"/>
      <c r="D178" s="74" t="n"/>
      <c r="E178" s="74" t="n"/>
      <c r="F178" s="74" t="n"/>
      <c r="G178" s="74" t="n"/>
      <c r="H178" s="74" t="n"/>
      <c r="I178" s="74" t="n"/>
      <c r="J178" s="74" t="n"/>
      <c r="K178" s="74" t="n"/>
      <c r="L178" s="74" t="n"/>
      <c r="M178" s="74" t="n"/>
      <c r="N178" s="74" t="n"/>
      <c r="O178" s="74" t="n"/>
      <c r="P178" s="74" t="n"/>
      <c r="Q178" s="74" t="n"/>
      <c r="R178" s="74" t="n"/>
      <c r="S178" s="74" t="n"/>
      <c r="T178" s="74" t="n"/>
      <c r="U178" s="74" t="n"/>
      <c r="V178" s="74" t="n"/>
      <c r="W178" s="74" t="n"/>
      <c r="X178" s="74" t="n"/>
      <c r="Y178" s="74" t="n"/>
      <c r="Z178" s="74" t="n"/>
    </row>
    <row r="179" ht="15.75" customHeight="1" s="349">
      <c r="A179" s="74" t="n"/>
      <c r="B179" s="74" t="n"/>
      <c r="C179" s="74" t="n"/>
      <c r="D179" s="74" t="n"/>
      <c r="E179" s="74" t="n"/>
      <c r="F179" s="74" t="n"/>
      <c r="G179" s="74" t="n"/>
      <c r="H179" s="74" t="n"/>
      <c r="I179" s="74" t="n"/>
      <c r="J179" s="74" t="n"/>
      <c r="K179" s="74" t="n"/>
      <c r="L179" s="74" t="n"/>
      <c r="M179" s="74" t="n"/>
      <c r="N179" s="74" t="n"/>
      <c r="O179" s="74" t="n"/>
      <c r="P179" s="74" t="n"/>
      <c r="Q179" s="74" t="n"/>
      <c r="R179" s="74" t="n"/>
      <c r="S179" s="74" t="n"/>
      <c r="T179" s="74" t="n"/>
      <c r="U179" s="74" t="n"/>
      <c r="V179" s="74" t="n"/>
      <c r="W179" s="74" t="n"/>
      <c r="X179" s="74" t="n"/>
      <c r="Y179" s="74" t="n"/>
      <c r="Z179" s="74" t="n"/>
    </row>
    <row r="180" ht="15.75" customHeight="1" s="349">
      <c r="A180" s="74" t="n"/>
      <c r="B180" s="74" t="n"/>
      <c r="C180" s="74" t="n"/>
      <c r="D180" s="74" t="n"/>
      <c r="E180" s="74" t="n"/>
      <c r="F180" s="74" t="n"/>
      <c r="G180" s="74" t="n"/>
      <c r="H180" s="74" t="n"/>
      <c r="I180" s="74" t="n"/>
      <c r="J180" s="74" t="n"/>
      <c r="K180" s="74" t="n"/>
      <c r="L180" s="74" t="n"/>
      <c r="M180" s="74" t="n"/>
      <c r="N180" s="74" t="n"/>
      <c r="O180" s="74" t="n"/>
      <c r="P180" s="74" t="n"/>
      <c r="Q180" s="74" t="n"/>
      <c r="R180" s="74" t="n"/>
      <c r="S180" s="74" t="n"/>
      <c r="T180" s="74" t="n"/>
      <c r="U180" s="74" t="n"/>
      <c r="V180" s="74" t="n"/>
      <c r="W180" s="74" t="n"/>
      <c r="X180" s="74" t="n"/>
      <c r="Y180" s="74" t="n"/>
      <c r="Z180" s="74" t="n"/>
    </row>
    <row r="181" ht="15.75" customHeight="1" s="349">
      <c r="A181" s="74" t="n"/>
      <c r="B181" s="74" t="n"/>
      <c r="C181" s="74" t="n"/>
      <c r="D181" s="74" t="n"/>
      <c r="E181" s="74" t="n"/>
      <c r="F181" s="74" t="n"/>
      <c r="G181" s="74" t="n"/>
      <c r="H181" s="74" t="n"/>
      <c r="I181" s="74" t="n"/>
      <c r="J181" s="74" t="n"/>
      <c r="K181" s="74" t="n"/>
      <c r="L181" s="74" t="n"/>
      <c r="M181" s="74" t="n"/>
      <c r="N181" s="74" t="n"/>
      <c r="O181" s="74" t="n"/>
      <c r="P181" s="74" t="n"/>
      <c r="Q181" s="74" t="n"/>
      <c r="R181" s="74" t="n"/>
      <c r="S181" s="74" t="n"/>
      <c r="T181" s="74" t="n"/>
      <c r="U181" s="74" t="n"/>
      <c r="V181" s="74" t="n"/>
      <c r="W181" s="74" t="n"/>
      <c r="X181" s="74" t="n"/>
      <c r="Y181" s="74" t="n"/>
      <c r="Z181" s="74" t="n"/>
    </row>
    <row r="182" ht="15.75" customHeight="1" s="349">
      <c r="A182" s="74" t="n"/>
      <c r="B182" s="74" t="n"/>
      <c r="C182" s="74" t="n"/>
      <c r="D182" s="74" t="n"/>
      <c r="E182" s="74" t="n"/>
      <c r="F182" s="74" t="n"/>
      <c r="G182" s="74" t="n"/>
      <c r="H182" s="74" t="n"/>
      <c r="I182" s="74" t="n"/>
      <c r="J182" s="74" t="n"/>
      <c r="K182" s="74" t="n"/>
      <c r="L182" s="74" t="n"/>
      <c r="M182" s="74" t="n"/>
      <c r="N182" s="74" t="n"/>
      <c r="O182" s="74" t="n"/>
      <c r="P182" s="74" t="n"/>
      <c r="Q182" s="74" t="n"/>
      <c r="R182" s="74" t="n"/>
      <c r="S182" s="74" t="n"/>
      <c r="T182" s="74" t="n"/>
      <c r="U182" s="74" t="n"/>
      <c r="V182" s="74" t="n"/>
      <c r="W182" s="74" t="n"/>
      <c r="X182" s="74" t="n"/>
      <c r="Y182" s="74" t="n"/>
      <c r="Z182" s="74" t="n"/>
    </row>
    <row r="183" ht="15.75" customHeight="1" s="349">
      <c r="A183" s="74" t="n"/>
      <c r="B183" s="74" t="n"/>
      <c r="C183" s="74" t="n"/>
      <c r="D183" s="74" t="n"/>
      <c r="E183" s="74" t="n"/>
      <c r="F183" s="74" t="n"/>
      <c r="G183" s="74" t="n"/>
      <c r="H183" s="74" t="n"/>
      <c r="I183" s="74" t="n"/>
      <c r="J183" s="74" t="n"/>
      <c r="K183" s="74" t="n"/>
      <c r="L183" s="74" t="n"/>
      <c r="M183" s="74" t="n"/>
      <c r="N183" s="74" t="n"/>
      <c r="O183" s="74" t="n"/>
      <c r="P183" s="74" t="n"/>
      <c r="Q183" s="74" t="n"/>
      <c r="R183" s="74" t="n"/>
      <c r="S183" s="74" t="n"/>
      <c r="T183" s="74" t="n"/>
      <c r="U183" s="74" t="n"/>
      <c r="V183" s="74" t="n"/>
      <c r="W183" s="74" t="n"/>
      <c r="X183" s="74" t="n"/>
      <c r="Y183" s="74" t="n"/>
      <c r="Z183" s="74" t="n"/>
    </row>
    <row r="184" ht="15.75" customHeight="1" s="349">
      <c r="A184" s="74" t="n"/>
      <c r="B184" s="74" t="n"/>
      <c r="C184" s="74" t="n"/>
      <c r="D184" s="74" t="n"/>
      <c r="E184" s="74" t="n"/>
      <c r="F184" s="74" t="n"/>
      <c r="G184" s="74" t="n"/>
      <c r="H184" s="74" t="n"/>
      <c r="I184" s="74" t="n"/>
      <c r="J184" s="74" t="n"/>
      <c r="K184" s="74" t="n"/>
      <c r="L184" s="74" t="n"/>
      <c r="M184" s="74" t="n"/>
      <c r="N184" s="74" t="n"/>
      <c r="O184" s="74" t="n"/>
      <c r="P184" s="74" t="n"/>
      <c r="Q184" s="74" t="n"/>
      <c r="R184" s="74" t="n"/>
      <c r="S184" s="74" t="n"/>
      <c r="T184" s="74" t="n"/>
      <c r="U184" s="74" t="n"/>
      <c r="V184" s="74" t="n"/>
      <c r="W184" s="74" t="n"/>
      <c r="X184" s="74" t="n"/>
      <c r="Y184" s="74" t="n"/>
      <c r="Z184" s="74" t="n"/>
    </row>
    <row r="185" ht="15.75" customHeight="1" s="349">
      <c r="A185" s="74" t="n"/>
      <c r="B185" s="74" t="n"/>
      <c r="C185" s="74" t="n"/>
      <c r="D185" s="74" t="n"/>
      <c r="E185" s="74" t="n"/>
      <c r="F185" s="74" t="n"/>
      <c r="G185" s="74" t="n"/>
      <c r="H185" s="74" t="n"/>
      <c r="I185" s="74" t="n"/>
      <c r="J185" s="74" t="n"/>
      <c r="K185" s="74" t="n"/>
      <c r="L185" s="74" t="n"/>
      <c r="M185" s="74" t="n"/>
      <c r="N185" s="74" t="n"/>
      <c r="O185" s="74" t="n"/>
      <c r="P185" s="74" t="n"/>
      <c r="Q185" s="74" t="n"/>
      <c r="R185" s="74" t="n"/>
      <c r="S185" s="74" t="n"/>
      <c r="T185" s="74" t="n"/>
      <c r="U185" s="74" t="n"/>
      <c r="V185" s="74" t="n"/>
      <c r="W185" s="74" t="n"/>
      <c r="X185" s="74" t="n"/>
      <c r="Y185" s="74" t="n"/>
      <c r="Z185" s="74" t="n"/>
    </row>
    <row r="186" ht="15.75" customHeight="1" s="349">
      <c r="A186" s="74" t="n"/>
      <c r="B186" s="74" t="n"/>
      <c r="C186" s="74" t="n"/>
      <c r="D186" s="74" t="n"/>
      <c r="E186" s="74" t="n"/>
      <c r="F186" s="74" t="n"/>
      <c r="G186" s="74" t="n"/>
      <c r="H186" s="74" t="n"/>
      <c r="I186" s="74" t="n"/>
      <c r="J186" s="74" t="n"/>
      <c r="K186" s="74" t="n"/>
      <c r="L186" s="74" t="n"/>
      <c r="M186" s="74" t="n"/>
      <c r="N186" s="74" t="n"/>
      <c r="O186" s="74" t="n"/>
      <c r="P186" s="74" t="n"/>
      <c r="Q186" s="74" t="n"/>
      <c r="R186" s="74" t="n"/>
      <c r="S186" s="74" t="n"/>
      <c r="T186" s="74" t="n"/>
      <c r="U186" s="74" t="n"/>
      <c r="V186" s="74" t="n"/>
      <c r="W186" s="74" t="n"/>
      <c r="X186" s="74" t="n"/>
      <c r="Y186" s="74" t="n"/>
      <c r="Z186" s="74" t="n"/>
    </row>
    <row r="187" ht="15.75" customHeight="1" s="349">
      <c r="A187" s="74" t="n"/>
      <c r="B187" s="74" t="n"/>
      <c r="C187" s="74" t="n"/>
      <c r="D187" s="74" t="n"/>
      <c r="E187" s="74" t="n"/>
      <c r="F187" s="74" t="n"/>
      <c r="G187" s="74" t="n"/>
      <c r="H187" s="74" t="n"/>
      <c r="I187" s="74" t="n"/>
      <c r="J187" s="74" t="n"/>
      <c r="K187" s="74" t="n"/>
      <c r="L187" s="74" t="n"/>
      <c r="M187" s="74" t="n"/>
      <c r="N187" s="74" t="n"/>
      <c r="O187" s="74" t="n"/>
      <c r="P187" s="74" t="n"/>
      <c r="Q187" s="74" t="n"/>
      <c r="R187" s="74" t="n"/>
      <c r="S187" s="74" t="n"/>
      <c r="T187" s="74" t="n"/>
      <c r="U187" s="74" t="n"/>
      <c r="V187" s="74" t="n"/>
      <c r="W187" s="74" t="n"/>
      <c r="X187" s="74" t="n"/>
      <c r="Y187" s="74" t="n"/>
      <c r="Z187" s="74" t="n"/>
    </row>
    <row r="188" ht="15.75" customHeight="1" s="349">
      <c r="A188" s="74" t="n"/>
      <c r="B188" s="74" t="n"/>
      <c r="C188" s="74" t="n"/>
      <c r="D188" s="74" t="n"/>
      <c r="E188" s="74" t="n"/>
      <c r="F188" s="74" t="n"/>
      <c r="G188" s="74" t="n"/>
      <c r="H188" s="74" t="n"/>
      <c r="I188" s="74" t="n"/>
      <c r="J188" s="74" t="n"/>
      <c r="K188" s="74" t="n"/>
      <c r="L188" s="74" t="n"/>
      <c r="M188" s="74" t="n"/>
      <c r="N188" s="74" t="n"/>
      <c r="O188" s="74" t="n"/>
      <c r="P188" s="74" t="n"/>
      <c r="Q188" s="74" t="n"/>
      <c r="R188" s="74" t="n"/>
      <c r="S188" s="74" t="n"/>
      <c r="T188" s="74" t="n"/>
      <c r="U188" s="74" t="n"/>
      <c r="V188" s="74" t="n"/>
      <c r="W188" s="74" t="n"/>
      <c r="X188" s="74" t="n"/>
      <c r="Y188" s="74" t="n"/>
      <c r="Z188" s="74" t="n"/>
    </row>
    <row r="189" ht="15.75" customHeight="1" s="349">
      <c r="A189" s="74" t="n"/>
      <c r="B189" s="74" t="n"/>
      <c r="C189" s="74" t="n"/>
      <c r="D189" s="74" t="n"/>
      <c r="E189" s="74" t="n"/>
      <c r="F189" s="74" t="n"/>
      <c r="G189" s="74" t="n"/>
      <c r="H189" s="74" t="n"/>
      <c r="I189" s="74" t="n"/>
      <c r="J189" s="74" t="n"/>
      <c r="K189" s="74" t="n"/>
      <c r="L189" s="74" t="n"/>
      <c r="M189" s="74" t="n"/>
      <c r="N189" s="74" t="n"/>
      <c r="O189" s="74" t="n"/>
      <c r="P189" s="74" t="n"/>
      <c r="Q189" s="74" t="n"/>
      <c r="R189" s="74" t="n"/>
      <c r="S189" s="74" t="n"/>
      <c r="T189" s="74" t="n"/>
      <c r="U189" s="74" t="n"/>
      <c r="V189" s="74" t="n"/>
      <c r="W189" s="74" t="n"/>
      <c r="X189" s="74" t="n"/>
      <c r="Y189" s="74" t="n"/>
      <c r="Z189" s="74" t="n"/>
    </row>
    <row r="190" ht="15.75" customHeight="1" s="349">
      <c r="A190" s="74" t="n"/>
      <c r="B190" s="74" t="n"/>
      <c r="C190" s="74" t="n"/>
      <c r="D190" s="74" t="n"/>
      <c r="E190" s="74" t="n"/>
      <c r="F190" s="74" t="n"/>
      <c r="G190" s="74" t="n"/>
      <c r="H190" s="74" t="n"/>
      <c r="I190" s="74" t="n"/>
      <c r="J190" s="74" t="n"/>
      <c r="K190" s="74" t="n"/>
      <c r="L190" s="74" t="n"/>
      <c r="M190" s="74" t="n"/>
      <c r="N190" s="74" t="n"/>
      <c r="O190" s="74" t="n"/>
      <c r="P190" s="74" t="n"/>
      <c r="Q190" s="74" t="n"/>
      <c r="R190" s="74" t="n"/>
      <c r="S190" s="74" t="n"/>
      <c r="T190" s="74" t="n"/>
      <c r="U190" s="74" t="n"/>
      <c r="V190" s="74" t="n"/>
      <c r="W190" s="74" t="n"/>
      <c r="X190" s="74" t="n"/>
      <c r="Y190" s="74" t="n"/>
      <c r="Z190" s="74" t="n"/>
    </row>
    <row r="191" ht="15.75" customHeight="1" s="349">
      <c r="A191" s="74" t="n"/>
      <c r="B191" s="74" t="n"/>
      <c r="C191" s="74" t="n"/>
      <c r="D191" s="74" t="n"/>
      <c r="E191" s="74" t="n"/>
      <c r="F191" s="74" t="n"/>
      <c r="G191" s="74" t="n"/>
      <c r="H191" s="74" t="n"/>
      <c r="I191" s="74" t="n"/>
      <c r="J191" s="74" t="n"/>
      <c r="K191" s="74" t="n"/>
      <c r="L191" s="74" t="n"/>
      <c r="M191" s="74" t="n"/>
      <c r="N191" s="74" t="n"/>
      <c r="O191" s="74" t="n"/>
      <c r="P191" s="74" t="n"/>
      <c r="Q191" s="74" t="n"/>
      <c r="R191" s="74" t="n"/>
      <c r="S191" s="74" t="n"/>
      <c r="T191" s="74" t="n"/>
      <c r="U191" s="74" t="n"/>
      <c r="V191" s="74" t="n"/>
      <c r="W191" s="74" t="n"/>
      <c r="X191" s="74" t="n"/>
      <c r="Y191" s="74" t="n"/>
      <c r="Z191" s="74" t="n"/>
    </row>
    <row r="192" ht="15.75" customHeight="1" s="349">
      <c r="A192" s="74" t="n"/>
      <c r="B192" s="74" t="n"/>
      <c r="C192" s="74" t="n"/>
      <c r="D192" s="74" t="n"/>
      <c r="E192" s="74" t="n"/>
      <c r="F192" s="74" t="n"/>
      <c r="G192" s="74" t="n"/>
      <c r="H192" s="74" t="n"/>
      <c r="I192" s="74" t="n"/>
      <c r="J192" s="74" t="n"/>
      <c r="K192" s="74" t="n"/>
      <c r="L192" s="74" t="n"/>
      <c r="M192" s="74" t="n"/>
      <c r="N192" s="74" t="n"/>
      <c r="O192" s="74" t="n"/>
      <c r="P192" s="74" t="n"/>
      <c r="Q192" s="74" t="n"/>
      <c r="R192" s="74" t="n"/>
      <c r="S192" s="74" t="n"/>
      <c r="T192" s="74" t="n"/>
      <c r="U192" s="74" t="n"/>
      <c r="V192" s="74" t="n"/>
      <c r="W192" s="74" t="n"/>
      <c r="X192" s="74" t="n"/>
      <c r="Y192" s="74" t="n"/>
      <c r="Z192" s="74" t="n"/>
    </row>
    <row r="193" ht="15.75" customHeight="1" s="349">
      <c r="A193" s="74" t="n"/>
      <c r="B193" s="74" t="n"/>
      <c r="C193" s="74" t="n"/>
      <c r="D193" s="74" t="n"/>
      <c r="E193" s="74" t="n"/>
      <c r="F193" s="74" t="n"/>
      <c r="G193" s="74" t="n"/>
      <c r="H193" s="74" t="n"/>
      <c r="I193" s="74" t="n"/>
      <c r="J193" s="74" t="n"/>
      <c r="K193" s="74" t="n"/>
      <c r="L193" s="74" t="n"/>
      <c r="M193" s="74" t="n"/>
      <c r="N193" s="74" t="n"/>
      <c r="O193" s="74" t="n"/>
      <c r="P193" s="74" t="n"/>
      <c r="Q193" s="74" t="n"/>
      <c r="R193" s="74" t="n"/>
      <c r="S193" s="74" t="n"/>
      <c r="T193" s="74" t="n"/>
      <c r="U193" s="74" t="n"/>
      <c r="V193" s="74" t="n"/>
      <c r="W193" s="74" t="n"/>
      <c r="X193" s="74" t="n"/>
      <c r="Y193" s="74" t="n"/>
      <c r="Z193" s="74" t="n"/>
    </row>
    <row r="194" ht="15.75" customHeight="1" s="349">
      <c r="A194" s="74" t="n"/>
      <c r="B194" s="74" t="n"/>
      <c r="C194" s="74" t="n"/>
      <c r="D194" s="74" t="n"/>
      <c r="E194" s="74" t="n"/>
      <c r="F194" s="74" t="n"/>
      <c r="G194" s="74" t="n"/>
      <c r="H194" s="74" t="n"/>
      <c r="I194" s="74" t="n"/>
      <c r="J194" s="74" t="n"/>
      <c r="K194" s="74" t="n"/>
      <c r="L194" s="74" t="n"/>
      <c r="M194" s="74" t="n"/>
      <c r="N194" s="74" t="n"/>
      <c r="O194" s="74" t="n"/>
      <c r="P194" s="74" t="n"/>
      <c r="Q194" s="74" t="n"/>
      <c r="R194" s="74" t="n"/>
      <c r="S194" s="74" t="n"/>
      <c r="T194" s="74" t="n"/>
      <c r="U194" s="74" t="n"/>
      <c r="V194" s="74" t="n"/>
      <c r="W194" s="74" t="n"/>
      <c r="X194" s="74" t="n"/>
      <c r="Y194" s="74" t="n"/>
      <c r="Z194" s="74" t="n"/>
    </row>
    <row r="195" ht="15.75" customHeight="1" s="349">
      <c r="A195" s="74" t="n"/>
      <c r="B195" s="74" t="n"/>
      <c r="C195" s="74" t="n"/>
      <c r="D195" s="74" t="n"/>
      <c r="E195" s="74" t="n"/>
      <c r="F195" s="74" t="n"/>
      <c r="G195" s="74" t="n"/>
      <c r="H195" s="74" t="n"/>
      <c r="I195" s="74" t="n"/>
      <c r="J195" s="74" t="n"/>
      <c r="K195" s="74" t="n"/>
      <c r="L195" s="74" t="n"/>
      <c r="M195" s="74" t="n"/>
      <c r="N195" s="74" t="n"/>
      <c r="O195" s="74" t="n"/>
      <c r="P195" s="74" t="n"/>
      <c r="Q195" s="74" t="n"/>
      <c r="R195" s="74" t="n"/>
      <c r="S195" s="74" t="n"/>
      <c r="T195" s="74" t="n"/>
      <c r="U195" s="74" t="n"/>
      <c r="V195" s="74" t="n"/>
      <c r="W195" s="74" t="n"/>
      <c r="X195" s="74" t="n"/>
      <c r="Y195" s="74" t="n"/>
      <c r="Z195" s="74" t="n"/>
    </row>
    <row r="196" ht="15.75" customHeight="1" s="349">
      <c r="A196" s="74" t="n"/>
      <c r="B196" s="74" t="n"/>
      <c r="C196" s="74" t="n"/>
      <c r="D196" s="74" t="n"/>
      <c r="E196" s="74" t="n"/>
      <c r="F196" s="74" t="n"/>
      <c r="G196" s="74" t="n"/>
      <c r="H196" s="74" t="n"/>
      <c r="I196" s="74" t="n"/>
      <c r="J196" s="74" t="n"/>
      <c r="K196" s="74" t="n"/>
      <c r="L196" s="74" t="n"/>
      <c r="M196" s="74" t="n"/>
      <c r="N196" s="74" t="n"/>
      <c r="O196" s="74" t="n"/>
      <c r="P196" s="74" t="n"/>
      <c r="Q196" s="74" t="n"/>
      <c r="R196" s="74" t="n"/>
      <c r="S196" s="74" t="n"/>
      <c r="T196" s="74" t="n"/>
      <c r="U196" s="74" t="n"/>
      <c r="V196" s="74" t="n"/>
      <c r="W196" s="74" t="n"/>
      <c r="X196" s="74" t="n"/>
      <c r="Y196" s="74" t="n"/>
      <c r="Z196" s="74" t="n"/>
    </row>
    <row r="197" ht="15.75" customHeight="1" s="349">
      <c r="A197" s="74" t="n"/>
      <c r="B197" s="74" t="n"/>
      <c r="C197" s="74" t="n"/>
      <c r="D197" s="74" t="n"/>
      <c r="E197" s="74" t="n"/>
      <c r="F197" s="74" t="n"/>
      <c r="G197" s="74" t="n"/>
      <c r="H197" s="74" t="n"/>
      <c r="I197" s="74" t="n"/>
      <c r="J197" s="74" t="n"/>
      <c r="K197" s="74" t="n"/>
      <c r="L197" s="74" t="n"/>
      <c r="M197" s="74" t="n"/>
      <c r="N197" s="74" t="n"/>
      <c r="O197" s="74" t="n"/>
      <c r="P197" s="74" t="n"/>
      <c r="Q197" s="74" t="n"/>
      <c r="R197" s="74" t="n"/>
      <c r="S197" s="74" t="n"/>
      <c r="T197" s="74" t="n"/>
      <c r="U197" s="74" t="n"/>
      <c r="V197" s="74" t="n"/>
      <c r="W197" s="74" t="n"/>
      <c r="X197" s="74" t="n"/>
      <c r="Y197" s="74" t="n"/>
      <c r="Z197" s="74" t="n"/>
    </row>
    <row r="198" ht="15.75" customHeight="1" s="349">
      <c r="A198" s="74" t="n"/>
      <c r="B198" s="74" t="n"/>
      <c r="C198" s="74" t="n"/>
      <c r="D198" s="74" t="n"/>
      <c r="E198" s="74" t="n"/>
      <c r="F198" s="74" t="n"/>
      <c r="G198" s="74" t="n"/>
      <c r="H198" s="74" t="n"/>
      <c r="I198" s="74" t="n"/>
      <c r="J198" s="74" t="n"/>
      <c r="K198" s="74" t="n"/>
      <c r="L198" s="74" t="n"/>
      <c r="M198" s="74" t="n"/>
      <c r="N198" s="74" t="n"/>
      <c r="O198" s="74" t="n"/>
      <c r="P198" s="74" t="n"/>
      <c r="Q198" s="74" t="n"/>
      <c r="R198" s="74" t="n"/>
      <c r="S198" s="74" t="n"/>
      <c r="T198" s="74" t="n"/>
      <c r="U198" s="74" t="n"/>
      <c r="V198" s="74" t="n"/>
      <c r="W198" s="74" t="n"/>
      <c r="X198" s="74" t="n"/>
      <c r="Y198" s="74" t="n"/>
      <c r="Z198" s="74" t="n"/>
    </row>
    <row r="199" ht="15.75" customHeight="1" s="349">
      <c r="A199" s="74" t="n"/>
      <c r="B199" s="74" t="n"/>
      <c r="C199" s="74" t="n"/>
      <c r="D199" s="74" t="n"/>
      <c r="E199" s="74" t="n"/>
      <c r="F199" s="74" t="n"/>
      <c r="G199" s="74" t="n"/>
      <c r="H199" s="74" t="n"/>
      <c r="I199" s="74" t="n"/>
      <c r="J199" s="74" t="n"/>
      <c r="K199" s="74" t="n"/>
      <c r="L199" s="74" t="n"/>
      <c r="M199" s="74" t="n"/>
      <c r="N199" s="74" t="n"/>
      <c r="O199" s="74" t="n"/>
      <c r="P199" s="74" t="n"/>
      <c r="Q199" s="74" t="n"/>
      <c r="R199" s="74" t="n"/>
      <c r="S199" s="74" t="n"/>
      <c r="T199" s="74" t="n"/>
      <c r="U199" s="74" t="n"/>
      <c r="V199" s="74" t="n"/>
      <c r="W199" s="74" t="n"/>
      <c r="X199" s="74" t="n"/>
      <c r="Y199" s="74" t="n"/>
      <c r="Z199" s="74" t="n"/>
    </row>
    <row r="200" ht="15.75" customHeight="1" s="349">
      <c r="A200" s="74" t="n"/>
      <c r="B200" s="74" t="n"/>
      <c r="C200" s="74" t="n"/>
      <c r="D200" s="74" t="n"/>
      <c r="E200" s="74" t="n"/>
      <c r="F200" s="74" t="n"/>
      <c r="G200" s="74" t="n"/>
      <c r="H200" s="74" t="n"/>
      <c r="I200" s="74" t="n"/>
      <c r="J200" s="74" t="n"/>
      <c r="K200" s="74" t="n"/>
      <c r="L200" s="74" t="n"/>
      <c r="M200" s="74" t="n"/>
      <c r="N200" s="74" t="n"/>
      <c r="O200" s="74" t="n"/>
      <c r="P200" s="74" t="n"/>
      <c r="Q200" s="74" t="n"/>
      <c r="R200" s="74" t="n"/>
      <c r="S200" s="74" t="n"/>
      <c r="T200" s="74" t="n"/>
      <c r="U200" s="74" t="n"/>
      <c r="V200" s="74" t="n"/>
      <c r="W200" s="74" t="n"/>
      <c r="X200" s="74" t="n"/>
      <c r="Y200" s="74" t="n"/>
      <c r="Z200" s="74" t="n"/>
    </row>
    <row r="201" ht="15.75" customHeight="1" s="349">
      <c r="A201" s="74" t="n"/>
      <c r="B201" s="74" t="n"/>
      <c r="C201" s="74" t="n"/>
      <c r="D201" s="74" t="n"/>
      <c r="E201" s="74" t="n"/>
      <c r="F201" s="74" t="n"/>
      <c r="G201" s="74" t="n"/>
      <c r="H201" s="74" t="n"/>
      <c r="I201" s="74" t="n"/>
      <c r="J201" s="74" t="n"/>
      <c r="K201" s="74" t="n"/>
      <c r="L201" s="74" t="n"/>
      <c r="M201" s="74" t="n"/>
      <c r="N201" s="74" t="n"/>
      <c r="O201" s="74" t="n"/>
      <c r="P201" s="74" t="n"/>
      <c r="Q201" s="74" t="n"/>
      <c r="R201" s="74" t="n"/>
      <c r="S201" s="74" t="n"/>
      <c r="T201" s="74" t="n"/>
      <c r="U201" s="74" t="n"/>
      <c r="V201" s="74" t="n"/>
      <c r="W201" s="74" t="n"/>
      <c r="X201" s="74" t="n"/>
      <c r="Y201" s="74" t="n"/>
      <c r="Z201" s="74" t="n"/>
    </row>
    <row r="202" ht="15.75" customHeight="1" s="349">
      <c r="A202" s="74" t="n"/>
      <c r="B202" s="74" t="n"/>
      <c r="C202" s="74" t="n"/>
      <c r="D202" s="74" t="n"/>
      <c r="E202" s="74" t="n"/>
      <c r="F202" s="74" t="n"/>
      <c r="G202" s="74" t="n"/>
      <c r="H202" s="74" t="n"/>
      <c r="I202" s="74" t="n"/>
      <c r="J202" s="74" t="n"/>
      <c r="K202" s="74" t="n"/>
      <c r="L202" s="74" t="n"/>
      <c r="M202" s="74" t="n"/>
      <c r="N202" s="74" t="n"/>
      <c r="O202" s="74" t="n"/>
      <c r="P202" s="74" t="n"/>
      <c r="Q202" s="74" t="n"/>
      <c r="R202" s="74" t="n"/>
      <c r="S202" s="74" t="n"/>
      <c r="T202" s="74" t="n"/>
      <c r="U202" s="74" t="n"/>
      <c r="V202" s="74" t="n"/>
      <c r="W202" s="74" t="n"/>
      <c r="X202" s="74" t="n"/>
      <c r="Y202" s="74" t="n"/>
      <c r="Z202" s="74" t="n"/>
    </row>
    <row r="203" ht="15.75" customHeight="1" s="349">
      <c r="A203" s="74" t="n"/>
      <c r="B203" s="74" t="n"/>
      <c r="C203" s="74" t="n"/>
      <c r="D203" s="74" t="n"/>
      <c r="E203" s="74" t="n"/>
      <c r="F203" s="74" t="n"/>
      <c r="G203" s="74" t="n"/>
      <c r="H203" s="74" t="n"/>
      <c r="I203" s="74" t="n"/>
      <c r="J203" s="74" t="n"/>
      <c r="K203" s="74" t="n"/>
      <c r="L203" s="74" t="n"/>
      <c r="M203" s="74" t="n"/>
      <c r="N203" s="74" t="n"/>
      <c r="O203" s="74" t="n"/>
      <c r="P203" s="74" t="n"/>
      <c r="Q203" s="74" t="n"/>
      <c r="R203" s="74" t="n"/>
      <c r="S203" s="74" t="n"/>
      <c r="T203" s="74" t="n"/>
      <c r="U203" s="74" t="n"/>
      <c r="V203" s="74" t="n"/>
      <c r="W203" s="74" t="n"/>
      <c r="X203" s="74" t="n"/>
      <c r="Y203" s="74" t="n"/>
      <c r="Z203" s="74" t="n"/>
    </row>
    <row r="204" ht="15.75" customHeight="1" s="349">
      <c r="A204" s="74" t="n"/>
      <c r="B204" s="74" t="n"/>
      <c r="C204" s="74" t="n"/>
      <c r="D204" s="74" t="n"/>
      <c r="E204" s="74" t="n"/>
      <c r="F204" s="74" t="n"/>
      <c r="G204" s="74" t="n"/>
      <c r="H204" s="74" t="n"/>
      <c r="I204" s="74" t="n"/>
      <c r="J204" s="74" t="n"/>
      <c r="K204" s="74" t="n"/>
      <c r="L204" s="74" t="n"/>
      <c r="M204" s="74" t="n"/>
      <c r="N204" s="74" t="n"/>
      <c r="O204" s="74" t="n"/>
      <c r="P204" s="74" t="n"/>
      <c r="Q204" s="74" t="n"/>
      <c r="R204" s="74" t="n"/>
      <c r="S204" s="74" t="n"/>
      <c r="T204" s="74" t="n"/>
      <c r="U204" s="74" t="n"/>
      <c r="V204" s="74" t="n"/>
      <c r="W204" s="74" t="n"/>
      <c r="X204" s="74" t="n"/>
      <c r="Y204" s="74" t="n"/>
      <c r="Z204" s="74" t="n"/>
    </row>
    <row r="205" ht="15.75" customHeight="1" s="349">
      <c r="A205" s="74" t="n"/>
      <c r="B205" s="74" t="n"/>
      <c r="C205" s="74" t="n"/>
      <c r="D205" s="74" t="n"/>
      <c r="E205" s="74" t="n"/>
      <c r="F205" s="74" t="n"/>
      <c r="G205" s="74" t="n"/>
      <c r="H205" s="74" t="n"/>
      <c r="I205" s="74" t="n"/>
      <c r="J205" s="74" t="n"/>
      <c r="K205" s="74" t="n"/>
      <c r="L205" s="74" t="n"/>
      <c r="M205" s="74" t="n"/>
      <c r="N205" s="74" t="n"/>
      <c r="O205" s="74" t="n"/>
      <c r="P205" s="74" t="n"/>
      <c r="Q205" s="74" t="n"/>
      <c r="R205" s="74" t="n"/>
      <c r="S205" s="74" t="n"/>
      <c r="T205" s="74" t="n"/>
      <c r="U205" s="74" t="n"/>
      <c r="V205" s="74" t="n"/>
      <c r="W205" s="74" t="n"/>
      <c r="X205" s="74" t="n"/>
      <c r="Y205" s="74" t="n"/>
      <c r="Z205" s="74" t="n"/>
    </row>
    <row r="206" ht="15.75" customHeight="1" s="349">
      <c r="A206" s="74" t="n"/>
      <c r="B206" s="74" t="n"/>
      <c r="C206" s="74" t="n"/>
      <c r="D206" s="74" t="n"/>
      <c r="E206" s="74" t="n"/>
      <c r="F206" s="74" t="n"/>
      <c r="G206" s="74" t="n"/>
      <c r="H206" s="74" t="n"/>
      <c r="I206" s="74" t="n"/>
      <c r="J206" s="74" t="n"/>
      <c r="K206" s="74" t="n"/>
      <c r="L206" s="74" t="n"/>
      <c r="M206" s="74" t="n"/>
      <c r="N206" s="74" t="n"/>
      <c r="O206" s="74" t="n"/>
      <c r="P206" s="74" t="n"/>
      <c r="Q206" s="74" t="n"/>
      <c r="R206" s="74" t="n"/>
      <c r="S206" s="74" t="n"/>
      <c r="T206" s="74" t="n"/>
      <c r="U206" s="74" t="n"/>
      <c r="V206" s="74" t="n"/>
      <c r="W206" s="74" t="n"/>
      <c r="X206" s="74" t="n"/>
      <c r="Y206" s="74" t="n"/>
      <c r="Z206" s="74" t="n"/>
    </row>
    <row r="207" ht="15.75" customHeight="1" s="349">
      <c r="A207" s="74" t="n"/>
      <c r="B207" s="74" t="n"/>
      <c r="C207" s="74" t="n"/>
      <c r="D207" s="74" t="n"/>
      <c r="E207" s="74" t="n"/>
      <c r="F207" s="74" t="n"/>
      <c r="G207" s="74" t="n"/>
      <c r="H207" s="74" t="n"/>
      <c r="I207" s="74" t="n"/>
      <c r="J207" s="74" t="n"/>
      <c r="K207" s="74" t="n"/>
      <c r="L207" s="74" t="n"/>
      <c r="M207" s="74" t="n"/>
      <c r="N207" s="74" t="n"/>
      <c r="O207" s="74" t="n"/>
      <c r="P207" s="74" t="n"/>
      <c r="Q207" s="74" t="n"/>
      <c r="R207" s="74" t="n"/>
      <c r="S207" s="74" t="n"/>
      <c r="T207" s="74" t="n"/>
      <c r="U207" s="74" t="n"/>
      <c r="V207" s="74" t="n"/>
      <c r="W207" s="74" t="n"/>
      <c r="X207" s="74" t="n"/>
      <c r="Y207" s="74" t="n"/>
      <c r="Z207" s="74" t="n"/>
    </row>
    <row r="208" ht="15.75" customHeight="1" s="349">
      <c r="A208" s="74" t="n"/>
      <c r="B208" s="74" t="n"/>
      <c r="C208" s="74" t="n"/>
      <c r="D208" s="74" t="n"/>
      <c r="E208" s="74" t="n"/>
      <c r="F208" s="74" t="n"/>
      <c r="G208" s="74" t="n"/>
      <c r="H208" s="74" t="n"/>
      <c r="I208" s="74" t="n"/>
      <c r="J208" s="74" t="n"/>
      <c r="K208" s="74" t="n"/>
      <c r="L208" s="74" t="n"/>
      <c r="M208" s="74" t="n"/>
      <c r="N208" s="74" t="n"/>
      <c r="O208" s="74" t="n"/>
      <c r="P208" s="74" t="n"/>
      <c r="Q208" s="74" t="n"/>
      <c r="R208" s="74" t="n"/>
      <c r="S208" s="74" t="n"/>
      <c r="T208" s="74" t="n"/>
      <c r="U208" s="74" t="n"/>
      <c r="V208" s="74" t="n"/>
      <c r="W208" s="74" t="n"/>
      <c r="X208" s="74" t="n"/>
      <c r="Y208" s="74" t="n"/>
      <c r="Z208" s="74" t="n"/>
    </row>
    <row r="209" ht="15.75" customHeight="1" s="349">
      <c r="A209" s="74" t="n"/>
      <c r="B209" s="74" t="n"/>
      <c r="C209" s="74" t="n"/>
      <c r="D209" s="74" t="n"/>
      <c r="E209" s="74" t="n"/>
      <c r="F209" s="74" t="n"/>
      <c r="G209" s="74" t="n"/>
      <c r="H209" s="74" t="n"/>
      <c r="I209" s="74" t="n"/>
      <c r="J209" s="74" t="n"/>
      <c r="K209" s="74" t="n"/>
      <c r="L209" s="74" t="n"/>
      <c r="M209" s="74" t="n"/>
      <c r="N209" s="74" t="n"/>
      <c r="O209" s="74" t="n"/>
      <c r="P209" s="74" t="n"/>
      <c r="Q209" s="74" t="n"/>
      <c r="R209" s="74" t="n"/>
      <c r="S209" s="74" t="n"/>
      <c r="T209" s="74" t="n"/>
      <c r="U209" s="74" t="n"/>
      <c r="V209" s="74" t="n"/>
      <c r="W209" s="74" t="n"/>
      <c r="X209" s="74" t="n"/>
      <c r="Y209" s="74" t="n"/>
      <c r="Z209" s="74" t="n"/>
    </row>
    <row r="210" ht="15.75" customHeight="1" s="349">
      <c r="A210" s="74" t="n"/>
      <c r="B210" s="74" t="n"/>
      <c r="C210" s="74" t="n"/>
      <c r="D210" s="74" t="n"/>
      <c r="E210" s="74" t="n"/>
      <c r="F210" s="74" t="n"/>
      <c r="G210" s="74" t="n"/>
      <c r="H210" s="74" t="n"/>
      <c r="I210" s="74" t="n"/>
      <c r="J210" s="74" t="n"/>
      <c r="K210" s="74" t="n"/>
      <c r="L210" s="74" t="n"/>
      <c r="M210" s="74" t="n"/>
      <c r="N210" s="74" t="n"/>
      <c r="O210" s="74" t="n"/>
      <c r="P210" s="74" t="n"/>
      <c r="Q210" s="74" t="n"/>
      <c r="R210" s="74" t="n"/>
      <c r="S210" s="74" t="n"/>
      <c r="T210" s="74" t="n"/>
      <c r="U210" s="74" t="n"/>
      <c r="V210" s="74" t="n"/>
      <c r="W210" s="74" t="n"/>
      <c r="X210" s="74" t="n"/>
      <c r="Y210" s="74" t="n"/>
      <c r="Z210" s="74" t="n"/>
    </row>
    <row r="211" ht="15.75" customHeight="1" s="349">
      <c r="A211" s="74" t="n"/>
      <c r="B211" s="74" t="n"/>
      <c r="C211" s="74" t="n"/>
      <c r="D211" s="74" t="n"/>
      <c r="E211" s="74" t="n"/>
      <c r="F211" s="74" t="n"/>
      <c r="G211" s="74" t="n"/>
      <c r="H211" s="74" t="n"/>
      <c r="I211" s="74" t="n"/>
      <c r="J211" s="74" t="n"/>
      <c r="K211" s="74" t="n"/>
      <c r="L211" s="74" t="n"/>
      <c r="M211" s="74" t="n"/>
      <c r="N211" s="74" t="n"/>
      <c r="O211" s="74" t="n"/>
      <c r="P211" s="74" t="n"/>
      <c r="Q211" s="74" t="n"/>
      <c r="R211" s="74" t="n"/>
      <c r="S211" s="74" t="n"/>
      <c r="T211" s="74" t="n"/>
      <c r="U211" s="74" t="n"/>
      <c r="V211" s="74" t="n"/>
      <c r="W211" s="74" t="n"/>
      <c r="X211" s="74" t="n"/>
      <c r="Y211" s="74" t="n"/>
      <c r="Z211" s="74" t="n"/>
    </row>
    <row r="212" ht="15.75" customHeight="1" s="349">
      <c r="A212" s="74" t="n"/>
      <c r="B212" s="74" t="n"/>
      <c r="C212" s="74" t="n"/>
      <c r="D212" s="74" t="n"/>
      <c r="E212" s="74" t="n"/>
      <c r="F212" s="74" t="n"/>
      <c r="G212" s="74" t="n"/>
      <c r="H212" s="74" t="n"/>
      <c r="I212" s="74" t="n"/>
      <c r="J212" s="74" t="n"/>
      <c r="K212" s="74" t="n"/>
      <c r="L212" s="74" t="n"/>
      <c r="M212" s="74" t="n"/>
      <c r="N212" s="74" t="n"/>
      <c r="O212" s="74" t="n"/>
      <c r="P212" s="74" t="n"/>
      <c r="Q212" s="74" t="n"/>
      <c r="R212" s="74" t="n"/>
      <c r="S212" s="74" t="n"/>
      <c r="T212" s="74" t="n"/>
      <c r="U212" s="74" t="n"/>
      <c r="V212" s="74" t="n"/>
      <c r="W212" s="74" t="n"/>
      <c r="X212" s="74" t="n"/>
      <c r="Y212" s="74" t="n"/>
      <c r="Z212" s="74" t="n"/>
    </row>
    <row r="213" ht="15.75" customHeight="1" s="349">
      <c r="A213" s="74" t="n"/>
      <c r="B213" s="74" t="n"/>
      <c r="C213" s="74" t="n"/>
      <c r="D213" s="74" t="n"/>
      <c r="E213" s="74" t="n"/>
      <c r="F213" s="74" t="n"/>
      <c r="G213" s="74" t="n"/>
      <c r="H213" s="74" t="n"/>
      <c r="I213" s="74" t="n"/>
      <c r="J213" s="74" t="n"/>
      <c r="K213" s="74" t="n"/>
      <c r="L213" s="74" t="n"/>
      <c r="M213" s="74" t="n"/>
      <c r="N213" s="74" t="n"/>
      <c r="O213" s="74" t="n"/>
      <c r="P213" s="74" t="n"/>
      <c r="Q213" s="74" t="n"/>
      <c r="R213" s="74" t="n"/>
      <c r="S213" s="74" t="n"/>
      <c r="T213" s="74" t="n"/>
      <c r="U213" s="74" t="n"/>
      <c r="V213" s="74" t="n"/>
      <c r="W213" s="74" t="n"/>
      <c r="X213" s="74" t="n"/>
      <c r="Y213" s="74" t="n"/>
      <c r="Z213" s="74" t="n"/>
    </row>
    <row r="214" ht="15.75" customHeight="1" s="349">
      <c r="A214" s="74" t="n"/>
      <c r="B214" s="74" t="n"/>
      <c r="C214" s="74" t="n"/>
      <c r="D214" s="74" t="n"/>
      <c r="E214" s="74" t="n"/>
      <c r="F214" s="74" t="n"/>
      <c r="G214" s="74" t="n"/>
      <c r="H214" s="74" t="n"/>
      <c r="I214" s="74" t="n"/>
      <c r="J214" s="74" t="n"/>
      <c r="K214" s="74" t="n"/>
      <c r="L214" s="74" t="n"/>
      <c r="M214" s="74" t="n"/>
      <c r="N214" s="74" t="n"/>
      <c r="O214" s="74" t="n"/>
      <c r="P214" s="74" t="n"/>
      <c r="Q214" s="74" t="n"/>
      <c r="R214" s="74" t="n"/>
      <c r="S214" s="74" t="n"/>
      <c r="T214" s="74" t="n"/>
      <c r="U214" s="74" t="n"/>
      <c r="V214" s="74" t="n"/>
      <c r="W214" s="74" t="n"/>
      <c r="X214" s="74" t="n"/>
      <c r="Y214" s="74" t="n"/>
      <c r="Z214" s="74" t="n"/>
    </row>
    <row r="215" ht="15.75" customHeight="1" s="349">
      <c r="A215" s="74" t="n"/>
      <c r="B215" s="74" t="n"/>
      <c r="C215" s="74" t="n"/>
      <c r="D215" s="74" t="n"/>
      <c r="E215" s="74" t="n"/>
      <c r="F215" s="74" t="n"/>
      <c r="G215" s="74" t="n"/>
      <c r="H215" s="74" t="n"/>
      <c r="I215" s="74" t="n"/>
      <c r="J215" s="74" t="n"/>
      <c r="K215" s="74" t="n"/>
      <c r="L215" s="74" t="n"/>
      <c r="M215" s="74" t="n"/>
      <c r="N215" s="74" t="n"/>
      <c r="O215" s="74" t="n"/>
      <c r="P215" s="74" t="n"/>
      <c r="Q215" s="74" t="n"/>
      <c r="R215" s="74" t="n"/>
      <c r="S215" s="74" t="n"/>
      <c r="T215" s="74" t="n"/>
      <c r="U215" s="74" t="n"/>
      <c r="V215" s="74" t="n"/>
      <c r="W215" s="74" t="n"/>
      <c r="X215" s="74" t="n"/>
      <c r="Y215" s="74" t="n"/>
      <c r="Z215" s="74" t="n"/>
    </row>
    <row r="216" ht="15.75" customHeight="1" s="349">
      <c r="A216" s="74" t="n"/>
      <c r="B216" s="74" t="n"/>
      <c r="C216" s="74" t="n"/>
      <c r="D216" s="74" t="n"/>
      <c r="E216" s="74" t="n"/>
      <c r="F216" s="74" t="n"/>
      <c r="G216" s="74" t="n"/>
      <c r="H216" s="74" t="n"/>
      <c r="I216" s="74" t="n"/>
      <c r="J216" s="74" t="n"/>
      <c r="K216" s="74" t="n"/>
      <c r="L216" s="74" t="n"/>
      <c r="M216" s="74" t="n"/>
      <c r="N216" s="74" t="n"/>
      <c r="O216" s="74" t="n"/>
      <c r="P216" s="74" t="n"/>
      <c r="Q216" s="74" t="n"/>
      <c r="R216" s="74" t="n"/>
      <c r="S216" s="74" t="n"/>
      <c r="T216" s="74" t="n"/>
      <c r="U216" s="74" t="n"/>
      <c r="V216" s="74" t="n"/>
      <c r="W216" s="74" t="n"/>
      <c r="X216" s="74" t="n"/>
      <c r="Y216" s="74" t="n"/>
      <c r="Z216" s="74" t="n"/>
    </row>
    <row r="217" ht="15.75" customHeight="1" s="349">
      <c r="A217" s="74" t="n"/>
      <c r="B217" s="74" t="n"/>
      <c r="C217" s="74" t="n"/>
      <c r="D217" s="74" t="n"/>
      <c r="E217" s="74" t="n"/>
      <c r="F217" s="74" t="n"/>
      <c r="G217" s="74" t="n"/>
      <c r="H217" s="74" t="n"/>
      <c r="I217" s="74" t="n"/>
      <c r="J217" s="74" t="n"/>
      <c r="K217" s="74" t="n"/>
      <c r="L217" s="74" t="n"/>
      <c r="M217" s="74" t="n"/>
      <c r="N217" s="74" t="n"/>
      <c r="O217" s="74" t="n"/>
      <c r="P217" s="74" t="n"/>
      <c r="Q217" s="74" t="n"/>
      <c r="R217" s="74" t="n"/>
      <c r="S217" s="74" t="n"/>
      <c r="T217" s="74" t="n"/>
      <c r="U217" s="74" t="n"/>
      <c r="V217" s="74" t="n"/>
      <c r="W217" s="74" t="n"/>
      <c r="X217" s="74" t="n"/>
      <c r="Y217" s="74" t="n"/>
      <c r="Z217" s="74" t="n"/>
    </row>
    <row r="218" ht="15.75" customHeight="1" s="349">
      <c r="A218" s="74" t="n"/>
      <c r="B218" s="74" t="n"/>
      <c r="C218" s="74" t="n"/>
      <c r="D218" s="74" t="n"/>
      <c r="E218" s="74" t="n"/>
      <c r="F218" s="74" t="n"/>
      <c r="G218" s="74" t="n"/>
      <c r="H218" s="74" t="n"/>
      <c r="I218" s="74" t="n"/>
      <c r="J218" s="74" t="n"/>
      <c r="K218" s="74" t="n"/>
      <c r="L218" s="74" t="n"/>
      <c r="M218" s="74" t="n"/>
      <c r="N218" s="74" t="n"/>
      <c r="O218" s="74" t="n"/>
      <c r="P218" s="74" t="n"/>
      <c r="Q218" s="74" t="n"/>
      <c r="R218" s="74" t="n"/>
      <c r="S218" s="74" t="n"/>
      <c r="T218" s="74" t="n"/>
      <c r="U218" s="74" t="n"/>
      <c r="V218" s="74" t="n"/>
      <c r="W218" s="74" t="n"/>
      <c r="X218" s="74" t="n"/>
      <c r="Y218" s="74" t="n"/>
      <c r="Z218" s="74" t="n"/>
    </row>
    <row r="219" ht="15.75" customHeight="1" s="349">
      <c r="A219" s="74" t="n"/>
      <c r="B219" s="74" t="n"/>
      <c r="C219" s="74" t="n"/>
      <c r="D219" s="74" t="n"/>
      <c r="E219" s="74" t="n"/>
      <c r="F219" s="74" t="n"/>
      <c r="G219" s="74" t="n"/>
      <c r="H219" s="74" t="n"/>
      <c r="I219" s="74" t="n"/>
      <c r="J219" s="74" t="n"/>
      <c r="K219" s="74" t="n"/>
      <c r="L219" s="74" t="n"/>
      <c r="M219" s="74" t="n"/>
      <c r="N219" s="74" t="n"/>
      <c r="O219" s="74" t="n"/>
      <c r="P219" s="74" t="n"/>
      <c r="Q219" s="74" t="n"/>
      <c r="R219" s="74" t="n"/>
      <c r="S219" s="74" t="n"/>
      <c r="T219" s="74" t="n"/>
      <c r="U219" s="74" t="n"/>
      <c r="V219" s="74" t="n"/>
      <c r="W219" s="74" t="n"/>
      <c r="X219" s="74" t="n"/>
      <c r="Y219" s="74" t="n"/>
      <c r="Z219" s="74" t="n"/>
    </row>
    <row r="220" ht="15.75" customHeight="1" s="349">
      <c r="A220" s="74" t="n"/>
      <c r="B220" s="74" t="n"/>
      <c r="C220" s="74" t="n"/>
      <c r="D220" s="74" t="n"/>
      <c r="E220" s="74" t="n"/>
      <c r="F220" s="74" t="n"/>
      <c r="G220" s="74" t="n"/>
      <c r="H220" s="74" t="n"/>
      <c r="I220" s="74" t="n"/>
      <c r="J220" s="74" t="n"/>
      <c r="K220" s="74" t="n"/>
      <c r="L220" s="74" t="n"/>
      <c r="M220" s="74" t="n"/>
      <c r="N220" s="74" t="n"/>
      <c r="O220" s="74" t="n"/>
      <c r="P220" s="74" t="n"/>
      <c r="Q220" s="74" t="n"/>
      <c r="R220" s="74" t="n"/>
      <c r="S220" s="74" t="n"/>
      <c r="T220" s="74" t="n"/>
      <c r="U220" s="74" t="n"/>
      <c r="V220" s="74" t="n"/>
      <c r="W220" s="74" t="n"/>
      <c r="X220" s="74" t="n"/>
      <c r="Y220" s="74" t="n"/>
      <c r="Z220" s="74" t="n"/>
    </row>
    <row r="221" ht="15.75" customHeight="1" s="349">
      <c r="A221" s="74" t="n"/>
      <c r="B221" s="74" t="n"/>
      <c r="C221" s="74" t="n"/>
      <c r="D221" s="74" t="n"/>
      <c r="E221" s="74" t="n"/>
      <c r="F221" s="74" t="n"/>
      <c r="G221" s="74" t="n"/>
      <c r="H221" s="74" t="n"/>
      <c r="I221" s="74" t="n"/>
      <c r="J221" s="74" t="n"/>
      <c r="K221" s="74" t="n"/>
      <c r="L221" s="74" t="n"/>
      <c r="M221" s="74" t="n"/>
      <c r="N221" s="74" t="n"/>
      <c r="O221" s="74" t="n"/>
      <c r="P221" s="74" t="n"/>
      <c r="Q221" s="74" t="n"/>
      <c r="R221" s="74" t="n"/>
      <c r="S221" s="74" t="n"/>
      <c r="T221" s="74" t="n"/>
      <c r="U221" s="74" t="n"/>
      <c r="V221" s="74" t="n"/>
      <c r="W221" s="74" t="n"/>
      <c r="X221" s="74" t="n"/>
      <c r="Y221" s="74" t="n"/>
      <c r="Z221" s="74" t="n"/>
    </row>
    <row r="222" ht="15.75" customHeight="1" s="349">
      <c r="A222" s="74" t="n"/>
      <c r="B222" s="74" t="n"/>
      <c r="C222" s="74" t="n"/>
      <c r="D222" s="74" t="n"/>
      <c r="E222" s="74" t="n"/>
      <c r="F222" s="74" t="n"/>
      <c r="G222" s="74" t="n"/>
      <c r="H222" s="74" t="n"/>
      <c r="I222" s="74" t="n"/>
      <c r="J222" s="74" t="n"/>
      <c r="K222" s="74" t="n"/>
      <c r="L222" s="74" t="n"/>
      <c r="M222" s="74" t="n"/>
      <c r="N222" s="74" t="n"/>
      <c r="O222" s="74" t="n"/>
      <c r="P222" s="74" t="n"/>
      <c r="Q222" s="74" t="n"/>
      <c r="R222" s="74" t="n"/>
      <c r="S222" s="74" t="n"/>
      <c r="T222" s="74" t="n"/>
      <c r="U222" s="74" t="n"/>
      <c r="V222" s="74" t="n"/>
      <c r="W222" s="74" t="n"/>
      <c r="X222" s="74" t="n"/>
      <c r="Y222" s="74" t="n"/>
      <c r="Z222" s="74" t="n"/>
    </row>
    <row r="223" ht="15.75" customHeight="1" s="349">
      <c r="A223" s="74" t="n"/>
      <c r="B223" s="74" t="n"/>
      <c r="C223" s="74" t="n"/>
      <c r="D223" s="74" t="n"/>
      <c r="E223" s="74" t="n"/>
      <c r="F223" s="74" t="n"/>
      <c r="G223" s="74" t="n"/>
      <c r="H223" s="74" t="n"/>
      <c r="I223" s="74" t="n"/>
      <c r="J223" s="74" t="n"/>
      <c r="K223" s="74" t="n"/>
      <c r="L223" s="74" t="n"/>
      <c r="M223" s="74" t="n"/>
      <c r="N223" s="74" t="n"/>
      <c r="O223" s="74" t="n"/>
      <c r="P223" s="74" t="n"/>
      <c r="Q223" s="74" t="n"/>
      <c r="R223" s="74" t="n"/>
      <c r="S223" s="74" t="n"/>
      <c r="T223" s="74" t="n"/>
      <c r="U223" s="74" t="n"/>
      <c r="V223" s="74" t="n"/>
      <c r="W223" s="74" t="n"/>
      <c r="X223" s="74" t="n"/>
      <c r="Y223" s="74" t="n"/>
      <c r="Z223" s="74" t="n"/>
    </row>
    <row r="224" ht="15.75" customHeight="1" s="349">
      <c r="A224" s="74" t="n"/>
      <c r="B224" s="74" t="n"/>
      <c r="C224" s="74" t="n"/>
      <c r="D224" s="74" t="n"/>
      <c r="E224" s="74" t="n"/>
      <c r="F224" s="74" t="n"/>
      <c r="G224" s="74" t="n"/>
      <c r="H224" s="74" t="n"/>
      <c r="I224" s="74" t="n"/>
      <c r="J224" s="74" t="n"/>
      <c r="K224" s="74" t="n"/>
      <c r="L224" s="74" t="n"/>
      <c r="M224" s="74" t="n"/>
      <c r="N224" s="74" t="n"/>
      <c r="O224" s="74" t="n"/>
      <c r="P224" s="74" t="n"/>
      <c r="Q224" s="74" t="n"/>
      <c r="R224" s="74" t="n"/>
      <c r="S224" s="74" t="n"/>
      <c r="T224" s="74" t="n"/>
      <c r="U224" s="74" t="n"/>
      <c r="V224" s="74" t="n"/>
      <c r="W224" s="74" t="n"/>
      <c r="X224" s="74" t="n"/>
      <c r="Y224" s="74" t="n"/>
      <c r="Z224" s="74" t="n"/>
    </row>
    <row r="225" ht="15.75" customHeight="1" s="349">
      <c r="A225" s="74" t="n"/>
      <c r="B225" s="74" t="n"/>
      <c r="C225" s="74" t="n"/>
      <c r="D225" s="74" t="n"/>
      <c r="E225" s="74" t="n"/>
      <c r="F225" s="74" t="n"/>
      <c r="G225" s="74" t="n"/>
      <c r="H225" s="74" t="n"/>
      <c r="I225" s="74" t="n"/>
      <c r="J225" s="74" t="n"/>
      <c r="K225" s="74" t="n"/>
      <c r="L225" s="74" t="n"/>
      <c r="M225" s="74" t="n"/>
      <c r="N225" s="74" t="n"/>
      <c r="O225" s="74" t="n"/>
      <c r="P225" s="74" t="n"/>
      <c r="Q225" s="74" t="n"/>
      <c r="R225" s="74" t="n"/>
      <c r="S225" s="74" t="n"/>
      <c r="T225" s="74" t="n"/>
      <c r="U225" s="74" t="n"/>
      <c r="V225" s="74" t="n"/>
      <c r="W225" s="74" t="n"/>
      <c r="X225" s="74" t="n"/>
      <c r="Y225" s="74" t="n"/>
      <c r="Z225" s="74" t="n"/>
    </row>
    <row r="226" ht="15.75" customHeight="1" s="349">
      <c r="A226" s="74" t="n"/>
      <c r="B226" s="74" t="n"/>
      <c r="C226" s="74" t="n"/>
      <c r="D226" s="74" t="n"/>
      <c r="E226" s="74" t="n"/>
      <c r="F226" s="74" t="n"/>
      <c r="G226" s="74" t="n"/>
      <c r="H226" s="74" t="n"/>
      <c r="I226" s="74" t="n"/>
      <c r="J226" s="74" t="n"/>
      <c r="K226" s="74" t="n"/>
      <c r="L226" s="74" t="n"/>
      <c r="M226" s="74" t="n"/>
      <c r="N226" s="74" t="n"/>
      <c r="O226" s="74" t="n"/>
      <c r="P226" s="74" t="n"/>
      <c r="Q226" s="74" t="n"/>
      <c r="R226" s="74" t="n"/>
      <c r="S226" s="74" t="n"/>
      <c r="T226" s="74" t="n"/>
      <c r="U226" s="74" t="n"/>
      <c r="V226" s="74" t="n"/>
      <c r="W226" s="74" t="n"/>
      <c r="X226" s="74" t="n"/>
      <c r="Y226" s="74" t="n"/>
      <c r="Z226" s="74" t="n"/>
    </row>
    <row r="227" ht="15.75" customHeight="1" s="349">
      <c r="A227" s="74" t="n"/>
      <c r="B227" s="74" t="n"/>
      <c r="C227" s="74" t="n"/>
      <c r="D227" s="74" t="n"/>
      <c r="E227" s="74" t="n"/>
      <c r="F227" s="74" t="n"/>
      <c r="G227" s="74" t="n"/>
      <c r="H227" s="74" t="n"/>
      <c r="I227" s="74" t="n"/>
      <c r="J227" s="74" t="n"/>
      <c r="K227" s="74" t="n"/>
      <c r="L227" s="74" t="n"/>
      <c r="M227" s="74" t="n"/>
      <c r="N227" s="74" t="n"/>
      <c r="O227" s="74" t="n"/>
      <c r="P227" s="74" t="n"/>
      <c r="Q227" s="74" t="n"/>
      <c r="R227" s="74" t="n"/>
      <c r="S227" s="74" t="n"/>
      <c r="T227" s="74" t="n"/>
      <c r="U227" s="74" t="n"/>
      <c r="V227" s="74" t="n"/>
      <c r="W227" s="74" t="n"/>
      <c r="X227" s="74" t="n"/>
      <c r="Y227" s="74" t="n"/>
      <c r="Z227" s="74" t="n"/>
    </row>
    <row r="228" ht="15.75" customHeight="1" s="349">
      <c r="A228" s="74" t="n"/>
      <c r="B228" s="74" t="n"/>
      <c r="C228" s="74" t="n"/>
      <c r="D228" s="74" t="n"/>
      <c r="E228" s="74" t="n"/>
      <c r="F228" s="74" t="n"/>
      <c r="G228" s="74" t="n"/>
      <c r="H228" s="74" t="n"/>
      <c r="I228" s="74" t="n"/>
      <c r="J228" s="74" t="n"/>
      <c r="K228" s="74" t="n"/>
      <c r="L228" s="74" t="n"/>
      <c r="M228" s="74" t="n"/>
      <c r="N228" s="74" t="n"/>
      <c r="O228" s="74" t="n"/>
      <c r="P228" s="74" t="n"/>
      <c r="Q228" s="74" t="n"/>
      <c r="R228" s="74" t="n"/>
      <c r="S228" s="74" t="n"/>
      <c r="T228" s="74" t="n"/>
      <c r="U228" s="74" t="n"/>
      <c r="V228" s="74" t="n"/>
      <c r="W228" s="74" t="n"/>
      <c r="X228" s="74" t="n"/>
      <c r="Y228" s="74" t="n"/>
      <c r="Z228" s="74" t="n"/>
    </row>
    <row r="229" ht="15.75" customHeight="1" s="349">
      <c r="A229" s="74" t="n"/>
      <c r="B229" s="74" t="n"/>
      <c r="C229" s="74" t="n"/>
      <c r="D229" s="74" t="n"/>
      <c r="E229" s="74" t="n"/>
      <c r="F229" s="74" t="n"/>
      <c r="G229" s="74" t="n"/>
      <c r="H229" s="74" t="n"/>
      <c r="I229" s="74" t="n"/>
      <c r="J229" s="74" t="n"/>
      <c r="K229" s="74" t="n"/>
      <c r="L229" s="74" t="n"/>
      <c r="M229" s="74" t="n"/>
      <c r="N229" s="74" t="n"/>
      <c r="O229" s="74" t="n"/>
      <c r="P229" s="74" t="n"/>
      <c r="Q229" s="74" t="n"/>
      <c r="R229" s="74" t="n"/>
      <c r="S229" s="74" t="n"/>
      <c r="T229" s="74" t="n"/>
      <c r="U229" s="74" t="n"/>
      <c r="V229" s="74" t="n"/>
      <c r="W229" s="74" t="n"/>
      <c r="X229" s="74" t="n"/>
      <c r="Y229" s="74" t="n"/>
      <c r="Z229" s="74" t="n"/>
    </row>
    <row r="230" ht="15.75" customHeight="1" s="349">
      <c r="A230" s="74" t="n"/>
      <c r="B230" s="74" t="n"/>
      <c r="C230" s="74" t="n"/>
      <c r="D230" s="74" t="n"/>
      <c r="E230" s="74" t="n"/>
      <c r="F230" s="74" t="n"/>
      <c r="G230" s="74" t="n"/>
      <c r="H230" s="74" t="n"/>
      <c r="I230" s="74" t="n"/>
      <c r="J230" s="74" t="n"/>
      <c r="K230" s="74" t="n"/>
      <c r="L230" s="74" t="n"/>
      <c r="M230" s="74" t="n"/>
      <c r="N230" s="74" t="n"/>
      <c r="O230" s="74" t="n"/>
      <c r="P230" s="74" t="n"/>
      <c r="Q230" s="74" t="n"/>
      <c r="R230" s="74" t="n"/>
      <c r="S230" s="74" t="n"/>
      <c r="T230" s="74" t="n"/>
      <c r="U230" s="74" t="n"/>
      <c r="V230" s="74" t="n"/>
      <c r="W230" s="74" t="n"/>
      <c r="X230" s="74" t="n"/>
      <c r="Y230" s="74" t="n"/>
      <c r="Z230" s="74" t="n"/>
    </row>
    <row r="231" ht="15.75" customHeight="1" s="349"/>
    <row r="232" ht="15.75" customHeight="1" s="349"/>
    <row r="233" ht="15.75" customHeight="1" s="349"/>
    <row r="234" ht="15.75" customHeight="1" s="349"/>
    <row r="235" ht="15.75" customHeight="1" s="349"/>
    <row r="236" ht="15.75" customHeight="1" s="349"/>
    <row r="237" ht="15.75" customHeight="1" s="349"/>
    <row r="238" ht="15.75" customHeight="1" s="349"/>
    <row r="239" ht="15.75" customHeight="1" s="349"/>
    <row r="240" ht="15.75" customHeight="1" s="349"/>
    <row r="241" ht="15.75" customHeight="1" s="349"/>
    <row r="242" ht="15.75" customHeight="1" s="349"/>
    <row r="243" ht="15.75" customHeight="1" s="349"/>
    <row r="244" ht="15.75" customHeight="1" s="349"/>
    <row r="245" ht="15.75" customHeight="1" s="349"/>
    <row r="246" ht="15.75" customHeight="1" s="349"/>
    <row r="247" ht="15.75" customHeight="1" s="349"/>
    <row r="248" ht="15.75" customHeight="1" s="349"/>
    <row r="249" ht="15.75" customHeight="1" s="349"/>
    <row r="250" ht="15.75" customHeight="1" s="349"/>
    <row r="251" ht="15.75" customHeight="1" s="349"/>
    <row r="252" ht="15.75" customHeight="1" s="349"/>
    <row r="253" ht="15.75" customHeight="1" s="349"/>
    <row r="254" ht="15.75" customHeight="1" s="349"/>
    <row r="255" ht="15.75" customHeight="1" s="349"/>
    <row r="256" ht="15.75" customHeight="1" s="349"/>
    <row r="257" ht="15.75" customHeight="1" s="349"/>
    <row r="258" ht="15.75" customHeight="1" s="349"/>
    <row r="259" ht="15.75" customHeight="1" s="349"/>
    <row r="260" ht="15.75" customHeight="1" s="349"/>
    <row r="261" ht="15.75" customHeight="1" s="349"/>
    <row r="262" ht="15.75" customHeight="1" s="349"/>
    <row r="263" ht="15.75" customHeight="1" s="349"/>
    <row r="264" ht="15.75" customHeight="1" s="349"/>
    <row r="265" ht="15.75" customHeight="1" s="349"/>
    <row r="266" ht="15.75" customHeight="1" s="349"/>
    <row r="267" ht="15.75" customHeight="1" s="349"/>
    <row r="268" ht="15.75" customHeight="1" s="349"/>
    <row r="269" ht="15.75" customHeight="1" s="349"/>
    <row r="270" ht="15.75" customHeight="1" s="349"/>
    <row r="271" ht="15.75" customHeight="1" s="349"/>
    <row r="272" ht="15.75" customHeight="1" s="349"/>
    <row r="273" ht="15.75" customHeight="1" s="349"/>
    <row r="274" ht="15.75" customHeight="1" s="349"/>
    <row r="275" ht="15.75" customHeight="1" s="349"/>
    <row r="276" ht="15.75" customHeight="1" s="349"/>
    <row r="277" ht="15.75" customHeight="1" s="349"/>
    <row r="278" ht="15.75" customHeight="1" s="349"/>
    <row r="279" ht="15.75" customHeight="1" s="349"/>
    <row r="280" ht="15.75" customHeight="1" s="349"/>
    <row r="281" ht="15.75" customHeight="1" s="349"/>
    <row r="282" ht="15.75" customHeight="1" s="349"/>
    <row r="283" ht="15.75" customHeight="1" s="349"/>
    <row r="284" ht="15.75" customHeight="1" s="349"/>
    <row r="285" ht="15.75" customHeight="1" s="349"/>
    <row r="286" ht="15.75" customHeight="1" s="349"/>
    <row r="287" ht="15.75" customHeight="1" s="349"/>
    <row r="288" ht="15.75" customHeight="1" s="349"/>
    <row r="289" ht="15.75" customHeight="1" s="349"/>
    <row r="290" ht="15.75" customHeight="1" s="349"/>
    <row r="291" ht="15.75" customHeight="1" s="349"/>
    <row r="292" ht="15.75" customHeight="1" s="349"/>
    <row r="293" ht="15.75" customHeight="1" s="349"/>
    <row r="294" ht="15.75" customHeight="1" s="349"/>
    <row r="295" ht="15.75" customHeight="1" s="349"/>
    <row r="296" ht="15.75" customHeight="1" s="349"/>
    <row r="297" ht="15.75" customHeight="1" s="349"/>
    <row r="298" ht="15.75" customHeight="1" s="349"/>
    <row r="299" ht="15.75" customHeight="1" s="349"/>
    <row r="300" ht="15.75" customHeight="1" s="349"/>
    <row r="301" ht="15.75" customHeight="1" s="349"/>
    <row r="302" ht="15.75" customHeight="1" s="349"/>
    <row r="303" ht="15.75" customHeight="1" s="349"/>
    <row r="304" ht="15.75" customHeight="1" s="349"/>
    <row r="305" ht="15.75" customHeight="1" s="349"/>
    <row r="306" ht="15.75" customHeight="1" s="349"/>
    <row r="307" ht="15.75" customHeight="1" s="349"/>
    <row r="308" ht="15.75" customHeight="1" s="349"/>
    <row r="309" ht="15.75" customHeight="1" s="349"/>
    <row r="310" ht="15.75" customHeight="1" s="349"/>
    <row r="311" ht="15.75" customHeight="1" s="349"/>
    <row r="312" ht="15.75" customHeight="1" s="349"/>
    <row r="313" ht="15.75" customHeight="1" s="349"/>
    <row r="314" ht="15.75" customHeight="1" s="349"/>
    <row r="315" ht="15.75" customHeight="1" s="349"/>
    <row r="316" ht="15.75" customHeight="1" s="349"/>
    <row r="317" ht="15.75" customHeight="1" s="349"/>
    <row r="318" ht="15.75" customHeight="1" s="349"/>
    <row r="319" ht="15.75" customHeight="1" s="349"/>
    <row r="320" ht="15.75" customHeight="1" s="349"/>
    <row r="321" ht="15.75" customHeight="1" s="349"/>
    <row r="322" ht="15.75" customHeight="1" s="349"/>
    <row r="323" ht="15.75" customHeight="1" s="349"/>
    <row r="324" ht="15.75" customHeight="1" s="349"/>
    <row r="325" ht="15.75" customHeight="1" s="349"/>
    <row r="326" ht="15.75" customHeight="1" s="349"/>
    <row r="327" ht="15.75" customHeight="1" s="349"/>
    <row r="328" ht="15.75" customHeight="1" s="349"/>
    <row r="329" ht="15.75" customHeight="1" s="349"/>
    <row r="330" ht="15.75" customHeight="1" s="349"/>
    <row r="331" ht="15.75" customHeight="1" s="349"/>
    <row r="332" ht="15.75" customHeight="1" s="349"/>
    <row r="333" ht="15.75" customHeight="1" s="349"/>
    <row r="334" ht="15.75" customHeight="1" s="349"/>
    <row r="335" ht="15.75" customHeight="1" s="349"/>
    <row r="336" ht="15.75" customHeight="1" s="349"/>
    <row r="337" ht="15.75" customHeight="1" s="349"/>
    <row r="338" ht="15.75" customHeight="1" s="349"/>
    <row r="339" ht="15.75" customHeight="1" s="349"/>
    <row r="340" ht="15.75" customHeight="1" s="349"/>
    <row r="341" ht="15.75" customHeight="1" s="349"/>
    <row r="342" ht="15.75" customHeight="1" s="349"/>
    <row r="343" ht="15.75" customHeight="1" s="349"/>
    <row r="344" ht="15.75" customHeight="1" s="349"/>
    <row r="345" ht="15.75" customHeight="1" s="349"/>
    <row r="346" ht="15.75" customHeight="1" s="349"/>
    <row r="347" ht="15.75" customHeight="1" s="349"/>
    <row r="348" ht="15.75" customHeight="1" s="349"/>
    <row r="349" ht="15.75" customHeight="1" s="349"/>
    <row r="350" ht="15.75" customHeight="1" s="349"/>
    <row r="351" ht="15.75" customHeight="1" s="349"/>
    <row r="352" ht="15.75" customHeight="1" s="349"/>
    <row r="353" ht="15.75" customHeight="1" s="349"/>
    <row r="354" ht="15.75" customHeight="1" s="349"/>
    <row r="355" ht="15.75" customHeight="1" s="349"/>
    <row r="356" ht="15.75" customHeight="1" s="349"/>
    <row r="357" ht="15.75" customHeight="1" s="349"/>
    <row r="358" ht="15.75" customHeight="1" s="349"/>
    <row r="359" ht="15.75" customHeight="1" s="349"/>
    <row r="360" ht="15.75" customHeight="1" s="349"/>
    <row r="361" ht="15.75" customHeight="1" s="349"/>
    <row r="362" ht="15.75" customHeight="1" s="349"/>
    <row r="363" ht="15.75" customHeight="1" s="349"/>
    <row r="364" ht="15.75" customHeight="1" s="349"/>
    <row r="365" ht="15.75" customHeight="1" s="349"/>
    <row r="366" ht="15.75" customHeight="1" s="349"/>
    <row r="367" ht="15.75" customHeight="1" s="349"/>
    <row r="368" ht="15.75" customHeight="1" s="349"/>
    <row r="369" ht="15.75" customHeight="1" s="349"/>
    <row r="370" ht="15.75" customHeight="1" s="349"/>
    <row r="371" ht="15.75" customHeight="1" s="349"/>
    <row r="372" ht="15.75" customHeight="1" s="349"/>
    <row r="373" ht="15.75" customHeight="1" s="349"/>
    <row r="374" ht="15.75" customHeight="1" s="349"/>
    <row r="375" ht="15.75" customHeight="1" s="349"/>
    <row r="376" ht="15.75" customHeight="1" s="349"/>
    <row r="377" ht="15.75" customHeight="1" s="349"/>
    <row r="378" ht="15.75" customHeight="1" s="349"/>
    <row r="379" ht="15.75" customHeight="1" s="349"/>
    <row r="380" ht="15.75" customHeight="1" s="349"/>
    <row r="381" ht="15.75" customHeight="1" s="349"/>
    <row r="382" ht="15.75" customHeight="1" s="349"/>
    <row r="383" ht="15.75" customHeight="1" s="349"/>
    <row r="384" ht="15.75" customHeight="1" s="349"/>
    <row r="385" ht="15.75" customHeight="1" s="349"/>
    <row r="386" ht="15.75" customHeight="1" s="349"/>
    <row r="387" ht="15.75" customHeight="1" s="349"/>
    <row r="388" ht="15.75" customHeight="1" s="349"/>
    <row r="389" ht="15.75" customHeight="1" s="349"/>
    <row r="390" ht="15.75" customHeight="1" s="349"/>
    <row r="391" ht="15.75" customHeight="1" s="349"/>
    <row r="392" ht="15.75" customHeight="1" s="349"/>
    <row r="393" ht="15.75" customHeight="1" s="349"/>
    <row r="394" ht="15.75" customHeight="1" s="349"/>
    <row r="395" ht="15.75" customHeight="1" s="349"/>
    <row r="396" ht="15.75" customHeight="1" s="349"/>
    <row r="397" ht="15.75" customHeight="1" s="349"/>
    <row r="398" ht="15.75" customHeight="1" s="349"/>
    <row r="399" ht="15.75" customHeight="1" s="349"/>
    <row r="400" ht="15.75" customHeight="1" s="349"/>
    <row r="401" ht="15.75" customHeight="1" s="349"/>
    <row r="402" ht="15.75" customHeight="1" s="349"/>
    <row r="403" ht="15.75" customHeight="1" s="349"/>
    <row r="404" ht="15.75" customHeight="1" s="349"/>
    <row r="405" ht="15.75" customHeight="1" s="349"/>
    <row r="406" ht="15.75" customHeight="1" s="349"/>
    <row r="407" ht="15.75" customHeight="1" s="349"/>
    <row r="408" ht="15.75" customHeight="1" s="349"/>
    <row r="409" ht="15.75" customHeight="1" s="349"/>
    <row r="410" ht="15.75" customHeight="1" s="349"/>
    <row r="411" ht="15.75" customHeight="1" s="349"/>
    <row r="412" ht="15.75" customHeight="1" s="349"/>
    <row r="413" ht="15.75" customHeight="1" s="349"/>
    <row r="414" ht="15.75" customHeight="1" s="349"/>
    <row r="415" ht="15.75" customHeight="1" s="349"/>
    <row r="416" ht="15.75" customHeight="1" s="349"/>
    <row r="417" ht="15.75" customHeight="1" s="349"/>
    <row r="418" ht="15.75" customHeight="1" s="349"/>
    <row r="419" ht="15.75" customHeight="1" s="349"/>
    <row r="420" ht="15.75" customHeight="1" s="349"/>
    <row r="421" ht="15.75" customHeight="1" s="349"/>
    <row r="422" ht="15.75" customHeight="1" s="349"/>
    <row r="423" ht="15.75" customHeight="1" s="349"/>
    <row r="424" ht="15.75" customHeight="1" s="349"/>
    <row r="425" ht="15.75" customHeight="1" s="349"/>
    <row r="426" ht="15.75" customHeight="1" s="349"/>
    <row r="427" ht="15.75" customHeight="1" s="349"/>
    <row r="428" ht="15.75" customHeight="1" s="349"/>
    <row r="429" ht="15.75" customHeight="1" s="349"/>
    <row r="430" ht="15.75" customHeight="1" s="349"/>
    <row r="431" ht="15.75" customHeight="1" s="349"/>
    <row r="432" ht="15.75" customHeight="1" s="349"/>
    <row r="433" ht="15.75" customHeight="1" s="349"/>
    <row r="434" ht="15.75" customHeight="1" s="349"/>
    <row r="435" ht="15.75" customHeight="1" s="349"/>
    <row r="436" ht="15.75" customHeight="1" s="349"/>
    <row r="437" ht="15.75" customHeight="1" s="349"/>
    <row r="438" ht="15.75" customHeight="1" s="349"/>
    <row r="439" ht="15.75" customHeight="1" s="349"/>
    <row r="440" ht="15.75" customHeight="1" s="349"/>
    <row r="441" ht="15.75" customHeight="1" s="349"/>
    <row r="442" ht="15.75" customHeight="1" s="349"/>
    <row r="443" ht="15.75" customHeight="1" s="349"/>
    <row r="444" ht="15.75" customHeight="1" s="349"/>
    <row r="445" ht="15.75" customHeight="1" s="349"/>
    <row r="446" ht="15.75" customHeight="1" s="349"/>
    <row r="447" ht="15.75" customHeight="1" s="349"/>
    <row r="448" ht="15.75" customHeight="1" s="349"/>
    <row r="449" ht="15.75" customHeight="1" s="349"/>
    <row r="450" ht="15.75" customHeight="1" s="349"/>
    <row r="451" ht="15.75" customHeight="1" s="349"/>
    <row r="452" ht="15.75" customHeight="1" s="349"/>
    <row r="453" ht="15.75" customHeight="1" s="349"/>
    <row r="454" ht="15.75" customHeight="1" s="349"/>
    <row r="455" ht="15.75" customHeight="1" s="349"/>
    <row r="456" ht="15.75" customHeight="1" s="349"/>
    <row r="457" ht="15.75" customHeight="1" s="349"/>
    <row r="458" ht="15.75" customHeight="1" s="349"/>
    <row r="459" ht="15.75" customHeight="1" s="349"/>
    <row r="460" ht="15.75" customHeight="1" s="349"/>
    <row r="461" ht="15.75" customHeight="1" s="349"/>
    <row r="462" ht="15.75" customHeight="1" s="349"/>
    <row r="463" ht="15.75" customHeight="1" s="349"/>
    <row r="464" ht="15.75" customHeight="1" s="349"/>
    <row r="465" ht="15.75" customHeight="1" s="349"/>
    <row r="466" ht="15.75" customHeight="1" s="349"/>
    <row r="467" ht="15.75" customHeight="1" s="349"/>
    <row r="468" ht="15.75" customHeight="1" s="349"/>
    <row r="469" ht="15.75" customHeight="1" s="349"/>
    <row r="470" ht="15.75" customHeight="1" s="349"/>
    <row r="471" ht="15.75" customHeight="1" s="349"/>
    <row r="472" ht="15.75" customHeight="1" s="349"/>
    <row r="473" ht="15.75" customHeight="1" s="349"/>
    <row r="474" ht="15.75" customHeight="1" s="349"/>
    <row r="475" ht="15.75" customHeight="1" s="349"/>
    <row r="476" ht="15.75" customHeight="1" s="349"/>
    <row r="477" ht="15.75" customHeight="1" s="349"/>
    <row r="478" ht="15.75" customHeight="1" s="349"/>
    <row r="479" ht="15.75" customHeight="1" s="349"/>
    <row r="480" ht="15.75" customHeight="1" s="349"/>
    <row r="481" ht="15.75" customHeight="1" s="349"/>
    <row r="482" ht="15.75" customHeight="1" s="349"/>
    <row r="483" ht="15.75" customHeight="1" s="349"/>
    <row r="484" ht="15.75" customHeight="1" s="349"/>
    <row r="485" ht="15.75" customHeight="1" s="349"/>
    <row r="486" ht="15.75" customHeight="1" s="349"/>
    <row r="487" ht="15.75" customHeight="1" s="349"/>
    <row r="488" ht="15.75" customHeight="1" s="349"/>
    <row r="489" ht="15.75" customHeight="1" s="349"/>
    <row r="490" ht="15.75" customHeight="1" s="349"/>
    <row r="491" ht="15.75" customHeight="1" s="349"/>
    <row r="492" ht="15.75" customHeight="1" s="349"/>
    <row r="493" ht="15.75" customHeight="1" s="349"/>
    <row r="494" ht="15.75" customHeight="1" s="349"/>
    <row r="495" ht="15.75" customHeight="1" s="349"/>
    <row r="496" ht="15.75" customHeight="1" s="349"/>
    <row r="497" ht="15.75" customHeight="1" s="349"/>
    <row r="498" ht="15.75" customHeight="1" s="349"/>
    <row r="499" ht="15.75" customHeight="1" s="349"/>
    <row r="500" ht="15.75" customHeight="1" s="349"/>
    <row r="501" ht="15.75" customHeight="1" s="349"/>
    <row r="502" ht="15.75" customHeight="1" s="349"/>
    <row r="503" ht="15.75" customHeight="1" s="349"/>
    <row r="504" ht="15.75" customHeight="1" s="349"/>
    <row r="505" ht="15.75" customHeight="1" s="349"/>
    <row r="506" ht="15.75" customHeight="1" s="349"/>
    <row r="507" ht="15.75" customHeight="1" s="349"/>
    <row r="508" ht="15.75" customHeight="1" s="349"/>
    <row r="509" ht="15.75" customHeight="1" s="349"/>
    <row r="510" ht="15.75" customHeight="1" s="349"/>
    <row r="511" ht="15.75" customHeight="1" s="349"/>
    <row r="512" ht="15.75" customHeight="1" s="349"/>
    <row r="513" ht="15.75" customHeight="1" s="349"/>
    <row r="514" ht="15.75" customHeight="1" s="349"/>
    <row r="515" ht="15.75" customHeight="1" s="349"/>
    <row r="516" ht="15.75" customHeight="1" s="349"/>
    <row r="517" ht="15.75" customHeight="1" s="349"/>
    <row r="518" ht="15.75" customHeight="1" s="349"/>
    <row r="519" ht="15.75" customHeight="1" s="349"/>
    <row r="520" ht="15.75" customHeight="1" s="349"/>
    <row r="521" ht="15.75" customHeight="1" s="349"/>
    <row r="522" ht="15.75" customHeight="1" s="349"/>
    <row r="523" ht="15.75" customHeight="1" s="349"/>
    <row r="524" ht="15.75" customHeight="1" s="349"/>
    <row r="525" ht="15.75" customHeight="1" s="349"/>
    <row r="526" ht="15.75" customHeight="1" s="349"/>
    <row r="527" ht="15.75" customHeight="1" s="349"/>
    <row r="528" ht="15.75" customHeight="1" s="349"/>
    <row r="529" ht="15.75" customHeight="1" s="349"/>
    <row r="530" ht="15.75" customHeight="1" s="349"/>
    <row r="531" ht="15.75" customHeight="1" s="349"/>
    <row r="532" ht="15.75" customHeight="1" s="349"/>
    <row r="533" ht="15.75" customHeight="1" s="349"/>
    <row r="534" ht="15.75" customHeight="1" s="349"/>
    <row r="535" ht="15.75" customHeight="1" s="349"/>
    <row r="536" ht="15.75" customHeight="1" s="349"/>
    <row r="537" ht="15.75" customHeight="1" s="349"/>
    <row r="538" ht="15.75" customHeight="1" s="349"/>
    <row r="539" ht="15.75" customHeight="1" s="349"/>
    <row r="540" ht="15.75" customHeight="1" s="349"/>
    <row r="541" ht="15.75" customHeight="1" s="349"/>
    <row r="542" ht="15.75" customHeight="1" s="349"/>
    <row r="543" ht="15.75" customHeight="1" s="349"/>
    <row r="544" ht="15.75" customHeight="1" s="349"/>
    <row r="545" ht="15.75" customHeight="1" s="349"/>
    <row r="546" ht="15.75" customHeight="1" s="349"/>
    <row r="547" ht="15.75" customHeight="1" s="349"/>
    <row r="548" ht="15.75" customHeight="1" s="349"/>
    <row r="549" ht="15.75" customHeight="1" s="349"/>
    <row r="550" ht="15.75" customHeight="1" s="349"/>
    <row r="551" ht="15.75" customHeight="1" s="349"/>
    <row r="552" ht="15.75" customHeight="1" s="349"/>
    <row r="553" ht="15.75" customHeight="1" s="349"/>
    <row r="554" ht="15.75" customHeight="1" s="349"/>
    <row r="555" ht="15.75" customHeight="1" s="349"/>
    <row r="556" ht="15.75" customHeight="1" s="349"/>
    <row r="557" ht="15.75" customHeight="1" s="349"/>
    <row r="558" ht="15.75" customHeight="1" s="349"/>
    <row r="559" ht="15.75" customHeight="1" s="349"/>
    <row r="560" ht="15.75" customHeight="1" s="349"/>
    <row r="561" ht="15.75" customHeight="1" s="349"/>
    <row r="562" ht="15.75" customHeight="1" s="349"/>
    <row r="563" ht="15.75" customHeight="1" s="349"/>
    <row r="564" ht="15.75" customHeight="1" s="349"/>
    <row r="565" ht="15.75" customHeight="1" s="349"/>
    <row r="566" ht="15.75" customHeight="1" s="349"/>
    <row r="567" ht="15.75" customHeight="1" s="349"/>
    <row r="568" ht="15.75" customHeight="1" s="349"/>
    <row r="569" ht="15.75" customHeight="1" s="349"/>
    <row r="570" ht="15.75" customHeight="1" s="349"/>
    <row r="571" ht="15.75" customHeight="1" s="349"/>
    <row r="572" ht="15.75" customHeight="1" s="349"/>
    <row r="573" ht="15.75" customHeight="1" s="349"/>
    <row r="574" ht="15.75" customHeight="1" s="349"/>
    <row r="575" ht="15.75" customHeight="1" s="349"/>
    <row r="576" ht="15.75" customHeight="1" s="349"/>
    <row r="577" ht="15.75" customHeight="1" s="349"/>
    <row r="578" ht="15.75" customHeight="1" s="349"/>
    <row r="579" ht="15.75" customHeight="1" s="349"/>
    <row r="580" ht="15.75" customHeight="1" s="349"/>
    <row r="581" ht="15.75" customHeight="1" s="349"/>
    <row r="582" ht="15.75" customHeight="1" s="349"/>
    <row r="583" ht="15.75" customHeight="1" s="349"/>
    <row r="584" ht="15.75" customHeight="1" s="349"/>
    <row r="585" ht="15.75" customHeight="1" s="349"/>
    <row r="586" ht="15.75" customHeight="1" s="349"/>
    <row r="587" ht="15.75" customHeight="1" s="349"/>
    <row r="588" ht="15.75" customHeight="1" s="349"/>
    <row r="589" ht="15.75" customHeight="1" s="349"/>
    <row r="590" ht="15.75" customHeight="1" s="349"/>
    <row r="591" ht="15.75" customHeight="1" s="349"/>
    <row r="592" ht="15.75" customHeight="1" s="349"/>
    <row r="593" ht="15.75" customHeight="1" s="349"/>
    <row r="594" ht="15.75" customHeight="1" s="349"/>
    <row r="595" ht="15.75" customHeight="1" s="349"/>
    <row r="596" ht="15.75" customHeight="1" s="349"/>
    <row r="597" ht="15.75" customHeight="1" s="349"/>
    <row r="598" ht="15.75" customHeight="1" s="349"/>
    <row r="599" ht="15.75" customHeight="1" s="349"/>
    <row r="600" ht="15.75" customHeight="1" s="349"/>
    <row r="601" ht="15.75" customHeight="1" s="349"/>
    <row r="602" ht="15.75" customHeight="1" s="349"/>
    <row r="603" ht="15.75" customHeight="1" s="349"/>
    <row r="604" ht="15.75" customHeight="1" s="349"/>
    <row r="605" ht="15.75" customHeight="1" s="349"/>
    <row r="606" ht="15.75" customHeight="1" s="349"/>
    <row r="607" ht="15.75" customHeight="1" s="349"/>
    <row r="608" ht="15.75" customHeight="1" s="349"/>
    <row r="609" ht="15.75" customHeight="1" s="349"/>
    <row r="610" ht="15.75" customHeight="1" s="349"/>
    <row r="611" ht="15.75" customHeight="1" s="349"/>
    <row r="612" ht="15.75" customHeight="1" s="349"/>
    <row r="613" ht="15.75" customHeight="1" s="349"/>
    <row r="614" ht="15.75" customHeight="1" s="349"/>
    <row r="615" ht="15.75" customHeight="1" s="349"/>
    <row r="616" ht="15.75" customHeight="1" s="349"/>
    <row r="617" ht="15.75" customHeight="1" s="349"/>
    <row r="618" ht="15.75" customHeight="1" s="349"/>
    <row r="619" ht="15.75" customHeight="1" s="349"/>
    <row r="620" ht="15.75" customHeight="1" s="349"/>
    <row r="621" ht="15.75" customHeight="1" s="349"/>
    <row r="622" ht="15.75" customHeight="1" s="349"/>
    <row r="623" ht="15.75" customHeight="1" s="349"/>
    <row r="624" ht="15.75" customHeight="1" s="349"/>
    <row r="625" ht="15.75" customHeight="1" s="349"/>
    <row r="626" ht="15.75" customHeight="1" s="349"/>
    <row r="627" ht="15.75" customHeight="1" s="349"/>
    <row r="628" ht="15.75" customHeight="1" s="349"/>
    <row r="629" ht="15.75" customHeight="1" s="349"/>
    <row r="630" ht="15.75" customHeight="1" s="349"/>
    <row r="631" ht="15.75" customHeight="1" s="349"/>
    <row r="632" ht="15.75" customHeight="1" s="349"/>
    <row r="633" ht="15.75" customHeight="1" s="349"/>
    <row r="634" ht="15.75" customHeight="1" s="349"/>
    <row r="635" ht="15.75" customHeight="1" s="349"/>
    <row r="636" ht="15.75" customHeight="1" s="349"/>
    <row r="637" ht="15.75" customHeight="1" s="349"/>
    <row r="638" ht="15.75" customHeight="1" s="349"/>
    <row r="639" ht="15.75" customHeight="1" s="349"/>
    <row r="640" ht="15.75" customHeight="1" s="349"/>
    <row r="641" ht="15.75" customHeight="1" s="349"/>
    <row r="642" ht="15.75" customHeight="1" s="349"/>
    <row r="643" ht="15.75" customHeight="1" s="349"/>
    <row r="644" ht="15.75" customHeight="1" s="349"/>
    <row r="645" ht="15.75" customHeight="1" s="349"/>
    <row r="646" ht="15.75" customHeight="1" s="349"/>
    <row r="647" ht="15.75" customHeight="1" s="349"/>
    <row r="648" ht="15.75" customHeight="1" s="349"/>
    <row r="649" ht="15.75" customHeight="1" s="349"/>
    <row r="650" ht="15.75" customHeight="1" s="349"/>
    <row r="651" ht="15.75" customHeight="1" s="349"/>
    <row r="652" ht="15.75" customHeight="1" s="349"/>
    <row r="653" ht="15.75" customHeight="1" s="349"/>
    <row r="654" ht="15.75" customHeight="1" s="349"/>
    <row r="655" ht="15.75" customHeight="1" s="349"/>
    <row r="656" ht="15.75" customHeight="1" s="349"/>
    <row r="657" ht="15.75" customHeight="1" s="349"/>
    <row r="658" ht="15.75" customHeight="1" s="349"/>
    <row r="659" ht="15.75" customHeight="1" s="349"/>
    <row r="660" ht="15.75" customHeight="1" s="349"/>
    <row r="661" ht="15.75" customHeight="1" s="349"/>
    <row r="662" ht="15.75" customHeight="1" s="349"/>
    <row r="663" ht="15.75" customHeight="1" s="349"/>
    <row r="664" ht="15.75" customHeight="1" s="349"/>
    <row r="665" ht="15.75" customHeight="1" s="349"/>
    <row r="666" ht="15.75" customHeight="1" s="349"/>
    <row r="667" ht="15.75" customHeight="1" s="349"/>
    <row r="668" ht="15.75" customHeight="1" s="349"/>
    <row r="669" ht="15.75" customHeight="1" s="349"/>
    <row r="670" ht="15.75" customHeight="1" s="349"/>
    <row r="671" ht="15.75" customHeight="1" s="349"/>
    <row r="672" ht="15.75" customHeight="1" s="349"/>
    <row r="673" ht="15.75" customHeight="1" s="349"/>
    <row r="674" ht="15.75" customHeight="1" s="349"/>
    <row r="675" ht="15.75" customHeight="1" s="349"/>
    <row r="676" ht="15.75" customHeight="1" s="349"/>
    <row r="677" ht="15.75" customHeight="1" s="349"/>
    <row r="678" ht="15.75" customHeight="1" s="349"/>
    <row r="679" ht="15.75" customHeight="1" s="349"/>
    <row r="680" ht="15.75" customHeight="1" s="349"/>
    <row r="681" ht="15.75" customHeight="1" s="349"/>
    <row r="682" ht="15.75" customHeight="1" s="349"/>
    <row r="683" ht="15.75" customHeight="1" s="349"/>
    <row r="684" ht="15.75" customHeight="1" s="349"/>
    <row r="685" ht="15.75" customHeight="1" s="349"/>
    <row r="686" ht="15.75" customHeight="1" s="349"/>
    <row r="687" ht="15.75" customHeight="1" s="349"/>
    <row r="688" ht="15.75" customHeight="1" s="349"/>
    <row r="689" ht="15.75" customHeight="1" s="349"/>
    <row r="690" ht="15.75" customHeight="1" s="349"/>
    <row r="691" ht="15.75" customHeight="1" s="349"/>
    <row r="692" ht="15.75" customHeight="1" s="349"/>
    <row r="693" ht="15.75" customHeight="1" s="349"/>
    <row r="694" ht="15.75" customHeight="1" s="349"/>
    <row r="695" ht="15.75" customHeight="1" s="349"/>
    <row r="696" ht="15.75" customHeight="1" s="349"/>
    <row r="697" ht="15.75" customHeight="1" s="349"/>
    <row r="698" ht="15.75" customHeight="1" s="349"/>
    <row r="699" ht="15.75" customHeight="1" s="349"/>
    <row r="700" ht="15.75" customHeight="1" s="349"/>
    <row r="701" ht="15.75" customHeight="1" s="349"/>
    <row r="702" ht="15.75" customHeight="1" s="349"/>
    <row r="703" ht="15.75" customHeight="1" s="349"/>
    <row r="704" ht="15.75" customHeight="1" s="349"/>
    <row r="705" ht="15.75" customHeight="1" s="349"/>
    <row r="706" ht="15.75" customHeight="1" s="349"/>
    <row r="707" ht="15.75" customHeight="1" s="349"/>
    <row r="708" ht="15.75" customHeight="1" s="349"/>
    <row r="709" ht="15.75" customHeight="1" s="349"/>
    <row r="710" ht="15.75" customHeight="1" s="349"/>
    <row r="711" ht="15.75" customHeight="1" s="349"/>
    <row r="712" ht="15.75" customHeight="1" s="349"/>
    <row r="713" ht="15.75" customHeight="1" s="349"/>
    <row r="714" ht="15.75" customHeight="1" s="349"/>
    <row r="715" ht="15.75" customHeight="1" s="349"/>
    <row r="716" ht="15.75" customHeight="1" s="349"/>
    <row r="717" ht="15.75" customHeight="1" s="349"/>
    <row r="718" ht="15.75" customHeight="1" s="349"/>
    <row r="719" ht="15.75" customHeight="1" s="349"/>
    <row r="720" ht="15.75" customHeight="1" s="349"/>
    <row r="721" ht="15.75" customHeight="1" s="349"/>
    <row r="722" ht="15.75" customHeight="1" s="349"/>
    <row r="723" ht="15.75" customHeight="1" s="349"/>
    <row r="724" ht="15.75" customHeight="1" s="349"/>
    <row r="725" ht="15.75" customHeight="1" s="349"/>
    <row r="726" ht="15.75" customHeight="1" s="349"/>
    <row r="727" ht="15.75" customHeight="1" s="349"/>
    <row r="728" ht="15.75" customHeight="1" s="349"/>
    <row r="729" ht="15.75" customHeight="1" s="349"/>
    <row r="730" ht="15.75" customHeight="1" s="349"/>
    <row r="731" ht="15.75" customHeight="1" s="349"/>
    <row r="732" ht="15.75" customHeight="1" s="349"/>
    <row r="733" ht="15.75" customHeight="1" s="349"/>
    <row r="734" ht="15.75" customHeight="1" s="349"/>
    <row r="735" ht="15.75" customHeight="1" s="349"/>
    <row r="736" ht="15.75" customHeight="1" s="349"/>
    <row r="737" ht="15.75" customHeight="1" s="349"/>
    <row r="738" ht="15.75" customHeight="1" s="349"/>
    <row r="739" ht="15.75" customHeight="1" s="349"/>
    <row r="740" ht="15.75" customHeight="1" s="349"/>
    <row r="741" ht="15.75" customHeight="1" s="349"/>
    <row r="742" ht="15.75" customHeight="1" s="349"/>
    <row r="743" ht="15.75" customHeight="1" s="349"/>
    <row r="744" ht="15.75" customHeight="1" s="349"/>
    <row r="745" ht="15.75" customHeight="1" s="349"/>
    <row r="746" ht="15.75" customHeight="1" s="349"/>
    <row r="747" ht="15.75" customHeight="1" s="349"/>
    <row r="748" ht="15.75" customHeight="1" s="349"/>
    <row r="749" ht="15.75" customHeight="1" s="349"/>
    <row r="750" ht="15.75" customHeight="1" s="349"/>
    <row r="751" ht="15.75" customHeight="1" s="349"/>
    <row r="752" ht="15.75" customHeight="1" s="349"/>
    <row r="753" ht="15.75" customHeight="1" s="349"/>
    <row r="754" ht="15.75" customHeight="1" s="349"/>
    <row r="755" ht="15.75" customHeight="1" s="349"/>
    <row r="756" ht="15.75" customHeight="1" s="349"/>
    <row r="757" ht="15.75" customHeight="1" s="349"/>
    <row r="758" ht="15.75" customHeight="1" s="349"/>
    <row r="759" ht="15.75" customHeight="1" s="349"/>
    <row r="760" ht="15.75" customHeight="1" s="349"/>
    <row r="761" ht="15.75" customHeight="1" s="349"/>
    <row r="762" ht="15.75" customHeight="1" s="349"/>
    <row r="763" ht="15.75" customHeight="1" s="349"/>
    <row r="764" ht="15.75" customHeight="1" s="349"/>
    <row r="765" ht="15.75" customHeight="1" s="349"/>
    <row r="766" ht="15.75" customHeight="1" s="349"/>
    <row r="767" ht="15.75" customHeight="1" s="349"/>
    <row r="768" ht="15.75" customHeight="1" s="349"/>
    <row r="769" ht="15.75" customHeight="1" s="349"/>
    <row r="770" ht="15.75" customHeight="1" s="349"/>
    <row r="771" ht="15.75" customHeight="1" s="349"/>
    <row r="772" ht="15.75" customHeight="1" s="349"/>
    <row r="773" ht="15.75" customHeight="1" s="349"/>
    <row r="774" ht="15.75" customHeight="1" s="349"/>
    <row r="775" ht="15.75" customHeight="1" s="349"/>
    <row r="776" ht="15.75" customHeight="1" s="349"/>
    <row r="777" ht="15.75" customHeight="1" s="349"/>
    <row r="778" ht="15.75" customHeight="1" s="349"/>
    <row r="779" ht="15.75" customHeight="1" s="349"/>
    <row r="780" ht="15.75" customHeight="1" s="349"/>
    <row r="781" ht="15.75" customHeight="1" s="349"/>
    <row r="782" ht="15.75" customHeight="1" s="349"/>
    <row r="783" ht="15.75" customHeight="1" s="349"/>
    <row r="784" ht="15.75" customHeight="1" s="349"/>
    <row r="785" ht="15.75" customHeight="1" s="349"/>
    <row r="786" ht="15.75" customHeight="1" s="349"/>
    <row r="787" ht="15.75" customHeight="1" s="349"/>
    <row r="788" ht="15.75" customHeight="1" s="349"/>
    <row r="789" ht="15.75" customHeight="1" s="349"/>
    <row r="790" ht="15.75" customHeight="1" s="349"/>
    <row r="791" ht="15.75" customHeight="1" s="349"/>
    <row r="792" ht="15.75" customHeight="1" s="349"/>
    <row r="793" ht="15.75" customHeight="1" s="349"/>
    <row r="794" ht="15.75" customHeight="1" s="349"/>
    <row r="795" ht="15.75" customHeight="1" s="349"/>
    <row r="796" ht="15.75" customHeight="1" s="349"/>
    <row r="797" ht="15.75" customHeight="1" s="349"/>
    <row r="798" ht="15.75" customHeight="1" s="349"/>
    <row r="799" ht="15.75" customHeight="1" s="349"/>
    <row r="800" ht="15.75" customHeight="1" s="349"/>
    <row r="801" ht="15.75" customHeight="1" s="349"/>
    <row r="802" ht="15.75" customHeight="1" s="349"/>
    <row r="803" ht="15.75" customHeight="1" s="349"/>
    <row r="804" ht="15.75" customHeight="1" s="349"/>
    <row r="805" ht="15.75" customHeight="1" s="349"/>
    <row r="806" ht="15.75" customHeight="1" s="349"/>
    <row r="807" ht="15.75" customHeight="1" s="349"/>
    <row r="808" ht="15.75" customHeight="1" s="349"/>
    <row r="809" ht="15.75" customHeight="1" s="349"/>
    <row r="810" ht="15.75" customHeight="1" s="349"/>
    <row r="811" ht="15.75" customHeight="1" s="349"/>
    <row r="812" ht="15.75" customHeight="1" s="349"/>
    <row r="813" ht="15.75" customHeight="1" s="349"/>
    <row r="814" ht="15.75" customHeight="1" s="349"/>
    <row r="815" ht="15.75" customHeight="1" s="349"/>
    <row r="816" ht="15.75" customHeight="1" s="349"/>
    <row r="817" ht="15.75" customHeight="1" s="349"/>
    <row r="818" ht="15.75" customHeight="1" s="349"/>
    <row r="819" ht="15.75" customHeight="1" s="349"/>
    <row r="820" ht="15.75" customHeight="1" s="349"/>
    <row r="821" ht="15.75" customHeight="1" s="349"/>
    <row r="822" ht="15.75" customHeight="1" s="349"/>
    <row r="823" ht="15.75" customHeight="1" s="349"/>
    <row r="824" ht="15.75" customHeight="1" s="349"/>
    <row r="825" ht="15.75" customHeight="1" s="349"/>
    <row r="826" ht="15.75" customHeight="1" s="349"/>
    <row r="827" ht="15.75" customHeight="1" s="349"/>
    <row r="828" ht="15.75" customHeight="1" s="349"/>
    <row r="829" ht="15.75" customHeight="1" s="349"/>
    <row r="830" ht="15.75" customHeight="1" s="349"/>
    <row r="831" ht="15.75" customHeight="1" s="349"/>
    <row r="832" ht="15.75" customHeight="1" s="349"/>
    <row r="833" ht="15.75" customHeight="1" s="349"/>
    <row r="834" ht="15.75" customHeight="1" s="349"/>
    <row r="835" ht="15.75" customHeight="1" s="349"/>
    <row r="836" ht="15.75" customHeight="1" s="349"/>
    <row r="837" ht="15.75" customHeight="1" s="349"/>
    <row r="838" ht="15.75" customHeight="1" s="349"/>
    <row r="839" ht="15.75" customHeight="1" s="349"/>
    <row r="840" ht="15.75" customHeight="1" s="349"/>
    <row r="841" ht="15.75" customHeight="1" s="349"/>
    <row r="842" ht="15.75" customHeight="1" s="349"/>
    <row r="843" ht="15.75" customHeight="1" s="349"/>
    <row r="844" ht="15.75" customHeight="1" s="349"/>
    <row r="845" ht="15.75" customHeight="1" s="349"/>
    <row r="846" ht="15.75" customHeight="1" s="349"/>
    <row r="847" ht="15.75" customHeight="1" s="349"/>
    <row r="848" ht="15.75" customHeight="1" s="349"/>
    <row r="849" ht="15.75" customHeight="1" s="349"/>
    <row r="850" ht="15.75" customHeight="1" s="349"/>
    <row r="851" ht="15.75" customHeight="1" s="349"/>
    <row r="852" ht="15.75" customHeight="1" s="349"/>
    <row r="853" ht="15.75" customHeight="1" s="349"/>
    <row r="854" ht="15.75" customHeight="1" s="349"/>
    <row r="855" ht="15.75" customHeight="1" s="349"/>
    <row r="856" ht="15.75" customHeight="1" s="349"/>
    <row r="857" ht="15.75" customHeight="1" s="349"/>
    <row r="858" ht="15.75" customHeight="1" s="349"/>
    <row r="859" ht="15.75" customHeight="1" s="349"/>
    <row r="860" ht="15.75" customHeight="1" s="349"/>
    <row r="861" ht="15.75" customHeight="1" s="349"/>
    <row r="862" ht="15.75" customHeight="1" s="349"/>
    <row r="863" ht="15.75" customHeight="1" s="349"/>
    <row r="864" ht="15.75" customHeight="1" s="349"/>
    <row r="865" ht="15.75" customHeight="1" s="349"/>
    <row r="866" ht="15.75" customHeight="1" s="349"/>
    <row r="867" ht="15.75" customHeight="1" s="349"/>
    <row r="868" ht="15.75" customHeight="1" s="349"/>
    <row r="869" ht="15.75" customHeight="1" s="349"/>
    <row r="870" ht="15.75" customHeight="1" s="349"/>
    <row r="871" ht="15.75" customHeight="1" s="349"/>
    <row r="872" ht="15.75" customHeight="1" s="349"/>
    <row r="873" ht="15.75" customHeight="1" s="349"/>
    <row r="874" ht="15.75" customHeight="1" s="349"/>
    <row r="875" ht="15.75" customHeight="1" s="349"/>
    <row r="876" ht="15.75" customHeight="1" s="349"/>
    <row r="877" ht="15.75" customHeight="1" s="349"/>
    <row r="878" ht="15.75" customHeight="1" s="349"/>
    <row r="879" ht="15.75" customHeight="1" s="349"/>
    <row r="880" ht="15.75" customHeight="1" s="349"/>
    <row r="881" ht="15.75" customHeight="1" s="349"/>
    <row r="882" ht="15.75" customHeight="1" s="349"/>
    <row r="883" ht="15.75" customHeight="1" s="349"/>
    <row r="884" ht="15.75" customHeight="1" s="349"/>
    <row r="885" ht="15.75" customHeight="1" s="349"/>
    <row r="886" ht="15.75" customHeight="1" s="349"/>
    <row r="887" ht="15.75" customHeight="1" s="349"/>
    <row r="888" ht="15.75" customHeight="1" s="349"/>
    <row r="889" ht="15.75" customHeight="1" s="349"/>
    <row r="890" ht="15.75" customHeight="1" s="349"/>
    <row r="891" ht="15.75" customHeight="1" s="349"/>
    <row r="892" ht="15.75" customHeight="1" s="349"/>
    <row r="893" ht="15.75" customHeight="1" s="349"/>
    <row r="894" ht="15.75" customHeight="1" s="349"/>
    <row r="895" ht="15.75" customHeight="1" s="349"/>
    <row r="896" ht="15.75" customHeight="1" s="349"/>
    <row r="897" ht="15.75" customHeight="1" s="349"/>
    <row r="898" ht="15.75" customHeight="1" s="349"/>
    <row r="899" ht="15.75" customHeight="1" s="349"/>
    <row r="900" ht="15.75" customHeight="1" s="349"/>
    <row r="901" ht="15.75" customHeight="1" s="349"/>
    <row r="902" ht="15.75" customHeight="1" s="349"/>
    <row r="903" ht="15.75" customHeight="1" s="349"/>
    <row r="904" ht="15.75" customHeight="1" s="349"/>
    <row r="905" ht="15.75" customHeight="1" s="349"/>
    <row r="906" ht="15.75" customHeight="1" s="349"/>
    <row r="907" ht="15.75" customHeight="1" s="349"/>
    <row r="908" ht="15.75" customHeight="1" s="349"/>
    <row r="909" ht="15.75" customHeight="1" s="349"/>
    <row r="910" ht="15.75" customHeight="1" s="349"/>
    <row r="911" ht="15.75" customHeight="1" s="349"/>
    <row r="912" ht="15.75" customHeight="1" s="349"/>
    <row r="913" ht="15.75" customHeight="1" s="349"/>
    <row r="914" ht="15.75" customHeight="1" s="349"/>
    <row r="915" ht="15.75" customHeight="1" s="349"/>
    <row r="916" ht="15.75" customHeight="1" s="349"/>
    <row r="917" ht="15.75" customHeight="1" s="349"/>
    <row r="918" ht="15.75" customHeight="1" s="349"/>
    <row r="919" ht="15.75" customHeight="1" s="349"/>
    <row r="920" ht="15.75" customHeight="1" s="349"/>
    <row r="921" ht="15.75" customHeight="1" s="349"/>
    <row r="922" ht="15.75" customHeight="1" s="349"/>
    <row r="923" ht="15.75" customHeight="1" s="349"/>
    <row r="924" ht="15.75" customHeight="1" s="349"/>
    <row r="925" ht="15.75" customHeight="1" s="349"/>
    <row r="926" ht="15.75" customHeight="1" s="349"/>
    <row r="927" ht="15.75" customHeight="1" s="349"/>
    <row r="928" ht="15.75" customHeight="1" s="349"/>
    <row r="929" ht="15.75" customHeight="1" s="349"/>
    <row r="930" ht="15.75" customHeight="1" s="349"/>
    <row r="931" ht="15.75" customHeight="1" s="349"/>
    <row r="932" ht="15.75" customHeight="1" s="349"/>
    <row r="933" ht="15.75" customHeight="1" s="349"/>
    <row r="934" ht="15.75" customHeight="1" s="349"/>
    <row r="935" ht="15.75" customHeight="1" s="349"/>
    <row r="936" ht="15.75" customHeight="1" s="349"/>
    <row r="937" ht="15.75" customHeight="1" s="349"/>
    <row r="938" ht="15.75" customHeight="1" s="349"/>
    <row r="939" ht="15.75" customHeight="1" s="349"/>
    <row r="940" ht="15.75" customHeight="1" s="349"/>
    <row r="941" ht="15.75" customHeight="1" s="349"/>
    <row r="942" ht="15.75" customHeight="1" s="349"/>
    <row r="943" ht="15.75" customHeight="1" s="349"/>
    <row r="944" ht="15.75" customHeight="1" s="349"/>
    <row r="945" ht="15.75" customHeight="1" s="349"/>
    <row r="946" ht="15.75" customHeight="1" s="349"/>
    <row r="947" ht="15.75" customHeight="1" s="349"/>
    <row r="948" ht="15.75" customHeight="1" s="349"/>
    <row r="949" ht="15.75" customHeight="1" s="349"/>
    <row r="950" ht="15.75" customHeight="1" s="349"/>
    <row r="951" ht="15.75" customHeight="1" s="349"/>
    <row r="952" ht="15.75" customHeight="1" s="349"/>
    <row r="953" ht="15.75" customHeight="1" s="349"/>
    <row r="954" ht="15.75" customHeight="1" s="349"/>
    <row r="955" ht="15.75" customHeight="1" s="349"/>
    <row r="956" ht="15.75" customHeight="1" s="349"/>
    <row r="957" ht="15.75" customHeight="1" s="349"/>
    <row r="958" ht="15.75" customHeight="1" s="349"/>
    <row r="959" ht="15.75" customHeight="1" s="349"/>
    <row r="960" ht="15.75" customHeight="1" s="349"/>
    <row r="961" ht="15.75" customHeight="1" s="349"/>
    <row r="962" ht="15.75" customHeight="1" s="349"/>
    <row r="963" ht="15.75" customHeight="1" s="349"/>
    <row r="964" ht="15.75" customHeight="1" s="349"/>
    <row r="965" ht="15.75" customHeight="1" s="349"/>
    <row r="966" ht="15.75" customHeight="1" s="349"/>
    <row r="967" ht="15.75" customHeight="1" s="349"/>
    <row r="968" ht="15.75" customHeight="1" s="349"/>
    <row r="969" ht="15.75" customHeight="1" s="349"/>
    <row r="970" ht="15.75" customHeight="1" s="349"/>
    <row r="971" ht="15.75" customHeight="1" s="349"/>
    <row r="972" ht="15.75" customHeight="1" s="349"/>
    <row r="973" ht="15.75" customHeight="1" s="349"/>
    <row r="974" ht="15.75" customHeight="1" s="349"/>
    <row r="975" ht="15.75" customHeight="1" s="349"/>
    <row r="976" ht="15.75" customHeight="1" s="349"/>
    <row r="977" ht="15.75" customHeight="1" s="349"/>
    <row r="978" ht="15.75" customHeight="1" s="349"/>
    <row r="979" ht="15.75" customHeight="1" s="349"/>
    <row r="980" ht="15.75" customHeight="1" s="349"/>
    <row r="981" ht="15.75" customHeight="1" s="349"/>
    <row r="982" ht="15.75" customHeight="1" s="349"/>
    <row r="983" ht="15.75" customHeight="1" s="349"/>
    <row r="984" ht="15.75" customHeight="1" s="349"/>
    <row r="985" ht="15.75" customHeight="1" s="349"/>
    <row r="986" ht="15.75" customHeight="1" s="349"/>
    <row r="987" ht="15.75" customHeight="1" s="349"/>
    <row r="988" ht="15.75" customHeight="1" s="349"/>
    <row r="989" ht="15.75" customHeight="1" s="349"/>
    <row r="990" ht="15.75" customHeight="1" s="349"/>
    <row r="991" ht="15.75" customHeight="1" s="349"/>
    <row r="992" ht="15.75" customHeight="1" s="349"/>
    <row r="993" ht="15.75" customHeight="1" s="349"/>
    <row r="994" ht="15.75" customHeight="1" s="349"/>
    <row r="995" ht="15.75" customHeight="1" s="349"/>
    <row r="996" ht="15.75" customHeight="1" s="349"/>
    <row r="997" ht="15.75" customHeight="1" s="349"/>
    <row r="998" ht="15.75" customHeight="1" s="349"/>
    <row r="999" ht="15.75" customHeight="1" s="349"/>
    <row r="1000" ht="15.75" customHeight="1" s="349"/>
  </sheetData>
  <mergeCells count="7">
    <mergeCell ref="B30:C30"/>
    <mergeCell ref="B29:C29"/>
    <mergeCell ref="B25:C25"/>
    <mergeCell ref="B28:C28"/>
    <mergeCell ref="B31:C31"/>
    <mergeCell ref="B26:C26"/>
    <mergeCell ref="B27:C27"/>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AD321"/>
  <sheetViews>
    <sheetView showGridLines="0" workbookViewId="0">
      <selection activeCell="A1" sqref="A1"/>
    </sheetView>
  </sheetViews>
  <sheetFormatPr baseColWidth="8" defaultColWidth="14.43" defaultRowHeight="15" customHeight="1"/>
  <cols>
    <col width="18.86" customWidth="1" style="349" min="1" max="1"/>
    <col width="44" customWidth="1" style="349" min="2" max="2"/>
    <col width="25.43" customWidth="1" style="349" min="3" max="3"/>
    <col width="46.86" customWidth="1" style="349" min="4" max="4"/>
    <col width="13.43" customWidth="1" style="349" min="5" max="5"/>
    <col width="17.57" customWidth="1" style="349" min="6" max="6"/>
    <col width="17.86" customWidth="1" style="349" min="7" max="7"/>
    <col width="17.71" customWidth="1" style="349" min="8" max="8"/>
    <col width="13.43" customWidth="1" style="349" min="9" max="11"/>
    <col width="43" customWidth="1" style="349" min="12" max="12"/>
    <col width="13.43" customWidth="1" style="349" min="13" max="30"/>
  </cols>
  <sheetData>
    <row r="1" ht="21.75" customHeight="1" s="349">
      <c r="A1" s="2" t="n"/>
      <c r="B1" s="5" t="n"/>
      <c r="C1" s="5" t="n"/>
      <c r="D1" s="5"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row>
    <row r="2" ht="21.75" customHeight="1" s="349">
      <c r="A2" s="2" t="n"/>
      <c r="B2" s="11" t="inlineStr">
        <is>
          <t>Drivers &amp; Assumptions</t>
        </is>
      </c>
      <c r="C2" s="5" t="n"/>
      <c r="D2" s="5"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row>
    <row r="3" ht="21.75" customHeight="1" s="349">
      <c r="A3" s="2" t="n"/>
      <c r="B3" s="5" t="inlineStr">
        <is>
          <t>ASSUMPTIONS</t>
        </is>
      </c>
      <c r="E3" s="2" t="n"/>
      <c r="F3" s="2" t="n"/>
      <c r="G3" s="2" t="n"/>
      <c r="H3" s="2" t="n"/>
      <c r="I3" s="2" t="n"/>
      <c r="J3" s="2" t="n"/>
      <c r="K3" s="2" t="n"/>
      <c r="L3" s="315" t="inlineStr">
        <is>
          <t>what this row does</t>
        </is>
      </c>
      <c r="M3" s="2" t="n"/>
      <c r="N3" s="2" t="n"/>
      <c r="O3" s="2" t="n"/>
      <c r="P3" s="2" t="n"/>
      <c r="Q3" s="2" t="n"/>
      <c r="R3" s="2" t="n"/>
      <c r="S3" s="2" t="n"/>
      <c r="T3" s="2" t="n"/>
      <c r="U3" s="2" t="n"/>
      <c r="V3" s="2" t="n"/>
      <c r="W3" s="2" t="n"/>
      <c r="X3" s="2" t="n"/>
      <c r="Y3" s="2" t="n"/>
      <c r="Z3" s="2" t="n"/>
      <c r="AA3" s="2" t="n"/>
      <c r="AB3" s="2" t="n"/>
      <c r="AC3" s="2" t="n"/>
      <c r="AD3" s="2" t="n"/>
    </row>
    <row r="4" ht="21.75" customHeight="1" s="349">
      <c r="A4" s="22" t="n"/>
      <c r="B4" s="22" t="n"/>
      <c r="C4" s="22" t="n"/>
      <c r="D4" s="22" t="n"/>
      <c r="E4" s="22" t="n"/>
      <c r="F4" s="22" t="n"/>
      <c r="G4" s="22" t="n"/>
      <c r="H4" s="23" t="n"/>
      <c r="I4" s="23" t="n"/>
      <c r="J4" s="23" t="n"/>
      <c r="K4" s="23" t="n"/>
      <c r="L4" s="40" t="n"/>
      <c r="M4" s="23" t="n"/>
      <c r="N4" s="22" t="n"/>
      <c r="O4" s="22" t="n"/>
      <c r="P4" s="22" t="n"/>
      <c r="Q4" s="22" t="n"/>
      <c r="R4" s="22" t="n"/>
      <c r="S4" s="22" t="n"/>
      <c r="T4" s="22" t="n"/>
      <c r="U4" s="22" t="n"/>
      <c r="V4" s="22" t="n"/>
      <c r="W4" s="22" t="n"/>
      <c r="X4" s="22" t="n"/>
      <c r="Y4" s="22" t="n"/>
      <c r="Z4" s="22" t="n"/>
      <c r="AA4" s="22" t="n"/>
      <c r="AB4" s="22" t="n"/>
      <c r="AC4" s="22" t="n"/>
      <c r="AD4" s="22" t="n"/>
    </row>
    <row r="5" ht="21.75" customHeight="1" s="349">
      <c r="A5" s="22" t="n"/>
      <c r="B5" s="26" t="inlineStr">
        <is>
          <t>General Assumptions</t>
        </is>
      </c>
      <c r="E5" s="26" t="n"/>
      <c r="H5" s="29" t="n"/>
      <c r="K5" s="29" t="n"/>
      <c r="N5" s="22" t="n"/>
      <c r="O5" s="22" t="n"/>
      <c r="P5" s="22" t="n"/>
      <c r="Q5" s="22" t="n"/>
      <c r="R5" s="22" t="n"/>
      <c r="S5" s="22" t="n"/>
      <c r="T5" s="22" t="n"/>
      <c r="U5" s="22" t="n"/>
      <c r="V5" s="22" t="n"/>
      <c r="W5" s="22" t="n"/>
      <c r="X5" s="22" t="n"/>
      <c r="Y5" s="22" t="n"/>
      <c r="Z5" s="22" t="n"/>
      <c r="AA5" s="22" t="n"/>
      <c r="AB5" s="22" t="n"/>
      <c r="AC5" s="22" t="n"/>
      <c r="AD5" s="22" t="n"/>
    </row>
    <row r="6" hidden="1" ht="21.75" customHeight="1" s="349">
      <c r="A6" s="22" t="n"/>
      <c r="B6" s="307" t="inlineStr">
        <is>
          <t>Opening Cash Balance (Jan 2024)</t>
        </is>
      </c>
      <c r="C6" s="34" t="n">
        <v>29538.9</v>
      </c>
      <c r="D6" s="22" t="n"/>
      <c r="E6" s="22" t="n"/>
      <c r="F6" s="22" t="n"/>
      <c r="G6" s="22" t="n"/>
      <c r="H6" s="23" t="n"/>
      <c r="I6" s="23" t="n"/>
      <c r="J6" s="23" t="n"/>
      <c r="K6" s="23" t="n"/>
      <c r="L6" s="40" t="n"/>
      <c r="M6" s="23" t="n"/>
      <c r="N6" s="22" t="n"/>
      <c r="O6" s="22" t="n"/>
      <c r="P6" s="22" t="n"/>
      <c r="Q6" s="22" t="n"/>
      <c r="R6" s="22" t="n"/>
      <c r="S6" s="22" t="n"/>
      <c r="T6" s="22" t="n"/>
      <c r="U6" s="22" t="n"/>
      <c r="V6" s="22" t="n"/>
      <c r="W6" s="22" t="n"/>
      <c r="X6" s="22" t="n"/>
      <c r="Y6" s="22" t="n"/>
      <c r="Z6" s="22" t="n"/>
      <c r="AA6" s="22" t="n"/>
      <c r="AB6" s="22" t="n"/>
      <c r="AC6" s="22" t="n"/>
      <c r="AD6" s="22" t="n"/>
    </row>
    <row r="7" ht="21.75" customHeight="1" s="349">
      <c r="A7" s="22" t="n"/>
      <c r="B7" s="307" t="inlineStr">
        <is>
          <t>Annual salary increase (%)</t>
        </is>
      </c>
      <c r="C7" s="39" t="n">
        <v>0.08</v>
      </c>
      <c r="D7" s="22" t="n"/>
      <c r="E7" s="22" t="n"/>
      <c r="F7" s="22" t="n"/>
      <c r="G7" s="22" t="n"/>
      <c r="H7" s="23" t="n"/>
      <c r="I7" s="23" t="n"/>
      <c r="J7" s="23" t="n"/>
      <c r="K7" s="23" t="n"/>
      <c r="L7" s="40" t="inlineStr">
        <is>
          <t>salary raise applied every year on the Personnel tab</t>
        </is>
      </c>
      <c r="M7" s="23" t="n"/>
      <c r="N7" s="22" t="n"/>
      <c r="O7" s="22" t="n"/>
      <c r="P7" s="22" t="n"/>
      <c r="Q7" s="22" t="n"/>
      <c r="R7" s="22" t="n"/>
      <c r="S7" s="22" t="n"/>
      <c r="T7" s="22" t="n"/>
      <c r="U7" s="22" t="n"/>
      <c r="V7" s="22" t="n"/>
      <c r="W7" s="22" t="n"/>
      <c r="X7" s="22" t="n"/>
      <c r="Y7" s="22" t="n"/>
      <c r="Z7" s="22" t="n"/>
      <c r="AA7" s="22" t="n"/>
      <c r="AB7" s="22" t="n"/>
      <c r="AC7" s="22" t="n"/>
      <c r="AD7" s="22" t="n"/>
    </row>
    <row r="8" ht="21.75" customHeight="1" s="349">
      <c r="A8" s="22" t="n"/>
      <c r="B8" s="307" t="inlineStr">
        <is>
          <t>Employer cost basis</t>
        </is>
      </c>
      <c r="C8" s="43" t="inlineStr">
        <is>
          <t>Werkgeverlasten (incl. taxes)</t>
        </is>
      </c>
      <c r="D8" s="22" t="n"/>
      <c r="E8" s="22" t="n"/>
      <c r="F8" s="22" t="n"/>
      <c r="G8" s="22" t="n"/>
      <c r="H8" s="23" t="n"/>
      <c r="I8" s="23" t="n"/>
      <c r="J8" s="23" t="n"/>
      <c r="K8" s="23" t="n"/>
      <c r="L8" s="40" t="n"/>
      <c r="M8" s="23" t="n"/>
      <c r="N8" s="22" t="n"/>
      <c r="O8" s="22" t="n"/>
      <c r="P8" s="22" t="n"/>
      <c r="Q8" s="22" t="n"/>
      <c r="R8" s="22" t="n"/>
      <c r="S8" s="22" t="n"/>
      <c r="T8" s="22" t="n"/>
      <c r="U8" s="22" t="n"/>
      <c r="V8" s="22" t="n"/>
      <c r="W8" s="22" t="n"/>
      <c r="X8" s="22" t="n"/>
      <c r="Y8" s="22" t="n"/>
      <c r="Z8" s="22" t="n"/>
      <c r="AA8" s="22" t="n"/>
      <c r="AB8" s="22" t="n"/>
      <c r="AC8" s="22" t="n"/>
      <c r="AD8" s="22" t="n"/>
    </row>
    <row r="9" ht="21.75" customHeight="1" s="349">
      <c r="A9" s="22" t="n"/>
      <c r="B9" s="307" t="inlineStr">
        <is>
          <t>Holiday pay (%)</t>
        </is>
      </c>
      <c r="C9" s="46" t="n">
        <v>0.08</v>
      </c>
      <c r="D9" s="22" t="n"/>
      <c r="E9" s="22" t="n"/>
      <c r="F9" s="22" t="n"/>
      <c r="G9" s="22" t="n"/>
      <c r="H9" s="23" t="n"/>
      <c r="I9" s="23" t="n"/>
      <c r="J9" s="23" t="n"/>
      <c r="K9" s="23" t="n"/>
      <c r="L9" s="40" t="n"/>
      <c r="M9" s="23" t="n"/>
      <c r="N9" s="22" t="n"/>
      <c r="O9" s="22" t="n"/>
      <c r="P9" s="22" t="n"/>
      <c r="Q9" s="22" t="n"/>
      <c r="R9" s="22" t="n"/>
      <c r="S9" s="22" t="n"/>
      <c r="T9" s="22" t="n"/>
      <c r="U9" s="22" t="n"/>
      <c r="V9" s="22" t="n"/>
      <c r="W9" s="22" t="n"/>
      <c r="X9" s="22" t="n"/>
      <c r="Y9" s="22" t="n"/>
      <c r="Z9" s="22" t="n"/>
      <c r="AA9" s="22" t="n"/>
      <c r="AB9" s="22" t="n"/>
      <c r="AC9" s="22" t="n"/>
      <c r="AD9" s="22" t="n"/>
    </row>
    <row r="10" ht="21.75" customHeight="1" s="349">
      <c r="A10" s="22" t="n"/>
      <c r="B10" s="22" t="inlineStr">
        <is>
          <t>Income tax rate</t>
        </is>
      </c>
      <c r="C10" s="50" t="n">
        <v>0.258</v>
      </c>
      <c r="D10" s="22" t="n"/>
      <c r="E10" s="22" t="n"/>
      <c r="F10" s="22" t="n"/>
      <c r="G10" s="22" t="n"/>
      <c r="H10" s="23" t="n"/>
      <c r="I10" s="23" t="n"/>
      <c r="J10" s="23" t="n"/>
      <c r="K10" s="23" t="n"/>
      <c r="L10" s="40" t="n"/>
      <c r="M10" s="23" t="n"/>
      <c r="N10" s="22" t="n"/>
      <c r="O10" s="22" t="n"/>
      <c r="P10" s="22" t="n"/>
      <c r="Q10" s="22" t="n"/>
      <c r="R10" s="22" t="n"/>
      <c r="S10" s="22" t="n"/>
      <c r="T10" s="22" t="n"/>
      <c r="U10" s="22" t="n"/>
      <c r="V10" s="22" t="n"/>
      <c r="W10" s="22" t="n"/>
      <c r="X10" s="22" t="n"/>
      <c r="Y10" s="22" t="n"/>
      <c r="Z10" s="22" t="n"/>
      <c r="AA10" s="22" t="n"/>
      <c r="AB10" s="22" t="n"/>
      <c r="AC10" s="22" t="n"/>
      <c r="AD10" s="22" t="n"/>
    </row>
    <row r="11" ht="21.75" customHeight="1" s="349">
      <c r="A11" s="22" t="n"/>
      <c r="B11" s="22" t="inlineStr">
        <is>
          <t>Interst on WC loan</t>
        </is>
      </c>
      <c r="C11" s="50" t="n">
        <v>0.05</v>
      </c>
      <c r="D11" s="22" t="n"/>
      <c r="E11" s="22" t="n"/>
      <c r="F11" s="22" t="n"/>
      <c r="G11" s="22" t="n"/>
      <c r="H11" s="23" t="n"/>
      <c r="I11" s="23" t="n"/>
      <c r="J11" s="23" t="n"/>
      <c r="K11" s="23" t="n"/>
      <c r="L11" s="40" t="inlineStr">
        <is>
          <t>interest rate charged on the CLA / working-capital loan</t>
        </is>
      </c>
      <c r="M11" s="23" t="n"/>
      <c r="N11" s="22" t="n"/>
      <c r="O11" s="22" t="n"/>
      <c r="P11" s="22" t="n"/>
      <c r="Q11" s="22" t="n"/>
      <c r="R11" s="22" t="n"/>
      <c r="S11" s="22" t="n"/>
      <c r="T11" s="22" t="n"/>
      <c r="U11" s="22" t="n"/>
      <c r="V11" s="22" t="n"/>
      <c r="W11" s="22" t="n"/>
      <c r="X11" s="22" t="n"/>
      <c r="Y11" s="22" t="n"/>
      <c r="Z11" s="22" t="n"/>
      <c r="AA11" s="22" t="n"/>
      <c r="AB11" s="22" t="n"/>
      <c r="AC11" s="22" t="n"/>
      <c r="AD11" s="22" t="n"/>
    </row>
    <row r="12" ht="21.75" customHeight="1" s="349">
      <c r="A12" s="307" t="n"/>
      <c r="B12" s="56" t="n"/>
      <c r="C12" s="307" t="n"/>
      <c r="D12" s="307" t="n"/>
      <c r="E12" s="307" t="n"/>
      <c r="F12" s="307" t="n"/>
      <c r="G12" s="307" t="n"/>
      <c r="H12" s="31" t="n"/>
      <c r="I12" s="31" t="n"/>
      <c r="J12" s="31" t="n"/>
      <c r="K12" s="31" t="n"/>
      <c r="L12" s="40" t="n"/>
      <c r="M12" s="31" t="n"/>
      <c r="N12" s="307" t="n"/>
      <c r="O12" s="307" t="n"/>
      <c r="P12" s="307" t="n"/>
      <c r="Q12" s="307" t="n"/>
      <c r="R12" s="307" t="n"/>
      <c r="S12" s="307" t="n"/>
      <c r="T12" s="307" t="n"/>
      <c r="U12" s="307" t="n"/>
      <c r="V12" s="307" t="n"/>
      <c r="W12" s="307" t="n"/>
      <c r="X12" s="307" t="n"/>
      <c r="Y12" s="307" t="n"/>
      <c r="Z12" s="307" t="n"/>
      <c r="AA12" s="307" t="n"/>
      <c r="AB12" s="307" t="n"/>
      <c r="AC12" s="307" t="n"/>
      <c r="AD12" s="307" t="n"/>
    </row>
    <row r="13" ht="21.75" customHeight="1" s="349">
      <c r="A13" s="307" t="n"/>
      <c r="B13" s="26" t="inlineStr">
        <is>
          <t>Working Capital</t>
        </is>
      </c>
      <c r="E13" s="307" t="n"/>
      <c r="F13" s="307" t="n"/>
      <c r="G13" s="307" t="n"/>
      <c r="H13" s="57" t="n">
        <v>20</v>
      </c>
      <c r="I13" s="31" t="n"/>
      <c r="J13" s="31" t="n"/>
      <c r="K13" s="31" t="n"/>
      <c r="L13" s="40" t="n"/>
      <c r="M13" s="31" t="n"/>
      <c r="N13" s="31" t="n"/>
      <c r="O13" s="31" t="n"/>
      <c r="P13" s="31" t="n"/>
      <c r="Q13" s="31" t="n"/>
      <c r="R13" s="31" t="n"/>
      <c r="S13" s="31" t="n"/>
      <c r="T13" s="31" t="n"/>
      <c r="U13" s="31" t="n"/>
      <c r="V13" s="31" t="n"/>
      <c r="W13" s="31" t="n"/>
      <c r="X13" s="31" t="n"/>
      <c r="Y13" s="31" t="n"/>
      <c r="Z13" s="31" t="n"/>
      <c r="AA13" s="31" t="n"/>
      <c r="AB13" s="31" t="n"/>
      <c r="AC13" s="31" t="n"/>
      <c r="AD13" s="31" t="n"/>
    </row>
    <row r="14" ht="21.75" customHeight="1" s="349">
      <c r="A14" s="307" t="n"/>
      <c r="B14" s="307" t="n"/>
      <c r="C14" s="307" t="n"/>
      <c r="D14" s="307" t="n"/>
      <c r="E14" s="307" t="n"/>
      <c r="F14" s="307" t="n"/>
      <c r="G14" s="307" t="n"/>
      <c r="H14" s="31" t="inlineStr">
        <is>
          <t> </t>
        </is>
      </c>
      <c r="I14" s="59" t="n"/>
      <c r="J14" s="59" t="n"/>
      <c r="K14" s="59" t="n"/>
      <c r="L14" s="61" t="n"/>
      <c r="M14" s="59" t="n"/>
      <c r="N14" s="59" t="n"/>
      <c r="O14" s="59" t="n"/>
      <c r="P14" s="59" t="n"/>
      <c r="Q14" s="59" t="n"/>
      <c r="R14" s="59" t="n"/>
      <c r="S14" s="59" t="n"/>
      <c r="T14" s="59" t="n"/>
      <c r="U14" s="59" t="n"/>
      <c r="V14" s="59" t="n"/>
      <c r="W14" s="59" t="n"/>
      <c r="X14" s="59" t="n"/>
      <c r="Y14" s="59" t="n"/>
      <c r="Z14" s="59" t="n"/>
      <c r="AA14" s="59" t="n"/>
      <c r="AB14" s="59" t="n"/>
      <c r="AC14" s="59" t="n"/>
      <c r="AD14" s="59" t="n"/>
    </row>
    <row r="15" ht="21.75" customHeight="1" s="349">
      <c r="A15" s="307" t="n"/>
      <c r="B15" s="63" t="inlineStr">
        <is>
          <t>Days Sales Outstanding (DSO)</t>
        </is>
      </c>
      <c r="C15" s="307" t="inlineStr">
        <is>
          <t>days</t>
        </is>
      </c>
      <c r="D15" s="64" t="n">
        <v>20</v>
      </c>
      <c r="E15" s="307" t="n"/>
      <c r="F15" s="307" t="n"/>
      <c r="G15" s="307" t="n"/>
      <c r="H15" s="31" t="n"/>
      <c r="I15" s="66" t="n"/>
      <c r="J15" s="66" t="n"/>
      <c r="K15" s="66" t="n"/>
      <c r="L15" s="40" t="inlineStr">
        <is>
          <t>days customers take to pay — sets receivables on the balance sheet</t>
        </is>
      </c>
      <c r="M15" s="66" t="n"/>
      <c r="N15" s="66" t="n"/>
      <c r="O15" s="66" t="n"/>
      <c r="P15" s="66" t="n"/>
      <c r="Q15" s="66" t="n"/>
      <c r="R15" s="66" t="n"/>
      <c r="S15" s="66" t="n"/>
      <c r="T15" s="66" t="n"/>
      <c r="U15" s="31" t="n"/>
      <c r="V15" s="31" t="n"/>
      <c r="W15" s="31" t="n"/>
      <c r="X15" s="31" t="n"/>
      <c r="Y15" s="31" t="n"/>
      <c r="Z15" s="31" t="n"/>
      <c r="AA15" s="31" t="n"/>
      <c r="AB15" s="31" t="n"/>
      <c r="AC15" s="31" t="n"/>
      <c r="AD15" s="31" t="n"/>
    </row>
    <row r="16" ht="21.75" customHeight="1" s="349">
      <c r="A16" s="307" t="n"/>
      <c r="B16" s="63" t="inlineStr">
        <is>
          <t>Days Payable Outstanding (DPO)</t>
        </is>
      </c>
      <c r="C16" s="307" t="inlineStr">
        <is>
          <t>days</t>
        </is>
      </c>
      <c r="D16" s="64" t="n">
        <v>45</v>
      </c>
      <c r="E16" s="307" t="n"/>
      <c r="F16" s="307" t="n"/>
      <c r="G16" s="307" t="n"/>
      <c r="H16" s="31" t="n"/>
      <c r="I16" s="66" t="n"/>
      <c r="J16" s="66" t="n"/>
      <c r="K16" s="66" t="n"/>
      <c r="L16" s="40" t="inlineStr">
        <is>
          <t>days we take to pay suppliers — sets payables</t>
        </is>
      </c>
      <c r="M16" s="66" t="n"/>
      <c r="N16" s="66" t="n"/>
      <c r="O16" s="66" t="n"/>
      <c r="P16" s="66" t="n"/>
      <c r="Q16" s="66" t="n"/>
      <c r="R16" s="66" t="n"/>
      <c r="S16" s="66" t="n"/>
      <c r="T16" s="66" t="n"/>
      <c r="U16" s="31" t="n"/>
      <c r="V16" s="31" t="n"/>
      <c r="W16" s="31" t="n"/>
      <c r="X16" s="31" t="n"/>
      <c r="Y16" s="31" t="n"/>
      <c r="Z16" s="31" t="n"/>
      <c r="AA16" s="31" t="n"/>
      <c r="AB16" s="31" t="n"/>
      <c r="AC16" s="31" t="n"/>
      <c r="AD16" s="31" t="n"/>
    </row>
    <row r="17" ht="21.75" customHeight="1" s="349">
      <c r="A17" s="307" t="n"/>
      <c r="B17" s="63" t="inlineStr">
        <is>
          <t>Days Inventory Outstanding (DIO)</t>
        </is>
      </c>
      <c r="C17" s="307" t="inlineStr">
        <is>
          <t>days</t>
        </is>
      </c>
      <c r="D17" s="64">
        <f>IF($D$82=2,30,0)</f>
        <v/>
      </c>
      <c r="E17" s="307" t="n"/>
      <c r="F17" s="307" t="n"/>
      <c r="G17" s="307" t="n"/>
      <c r="H17" s="307" t="n"/>
      <c r="I17" s="307" t="n"/>
      <c r="J17" s="307" t="n"/>
      <c r="K17" s="31" t="n"/>
      <c r="L17" s="40" t="inlineStr">
        <is>
          <t>days of stock held. 0 in Base (as before); 30 in the Aggressive case</t>
        </is>
      </c>
      <c r="M17" s="31" t="n"/>
      <c r="N17" s="307" t="n"/>
      <c r="O17" s="307" t="n"/>
      <c r="P17" s="307" t="n"/>
      <c r="Q17" s="307" t="n"/>
      <c r="R17" s="307" t="n"/>
      <c r="S17" s="307" t="n"/>
      <c r="T17" s="307" t="n"/>
      <c r="U17" s="307" t="n"/>
      <c r="V17" s="307" t="n"/>
      <c r="W17" s="307" t="n"/>
      <c r="X17" s="307" t="n"/>
      <c r="Y17" s="307" t="n"/>
      <c r="Z17" s="307" t="n"/>
      <c r="AA17" s="307" t="n"/>
      <c r="AB17" s="307" t="n"/>
      <c r="AC17" s="307" t="n"/>
      <c r="AD17" s="307" t="n"/>
    </row>
    <row r="18" ht="21.75" customHeight="1" s="349">
      <c r="A18" s="307" t="n"/>
      <c r="B18" s="63" t="inlineStr">
        <is>
          <t>Pre-payment</t>
        </is>
      </c>
      <c r="C18" s="307" t="inlineStr">
        <is>
          <t>%</t>
        </is>
      </c>
      <c r="D18" s="75" t="n"/>
      <c r="E18" s="307" t="n"/>
      <c r="F18" s="307" t="n"/>
      <c r="G18" s="307" t="n"/>
      <c r="H18" s="307" t="n"/>
      <c r="I18" s="307" t="n"/>
      <c r="J18" s="307" t="n"/>
      <c r="K18" s="31" t="n"/>
      <c r="L18" s="40" t="inlineStr">
        <is>
          <t>share paid up front. left blank, so no customer deposits assumed</t>
        </is>
      </c>
      <c r="M18" s="31" t="n"/>
      <c r="N18" s="307" t="n"/>
      <c r="O18" s="307" t="n"/>
      <c r="P18" s="307" t="n"/>
      <c r="Q18" s="307" t="n"/>
      <c r="R18" s="307" t="n"/>
      <c r="S18" s="307" t="n"/>
      <c r="T18" s="307" t="n"/>
      <c r="U18" s="307" t="n"/>
      <c r="V18" s="307" t="n"/>
      <c r="W18" s="307" t="n"/>
      <c r="X18" s="307" t="n"/>
      <c r="Y18" s="307" t="n"/>
      <c r="Z18" s="307" t="n"/>
      <c r="AA18" s="307" t="n"/>
      <c r="AB18" s="307" t="n"/>
      <c r="AC18" s="307" t="n"/>
      <c r="AD18" s="307" t="n"/>
    </row>
    <row r="19" ht="21.75" customHeight="1" s="349">
      <c r="A19" s="307" t="n"/>
      <c r="B19" s="56" t="n"/>
      <c r="C19" s="307" t="n"/>
      <c r="D19" s="307" t="n"/>
      <c r="E19" s="307" t="n"/>
      <c r="F19" s="307" t="n"/>
      <c r="G19" s="307" t="n"/>
      <c r="L19" s="83" t="n"/>
      <c r="M19" s="31" t="n"/>
      <c r="N19" s="307" t="n"/>
      <c r="O19" s="307" t="n"/>
      <c r="P19" s="307" t="n"/>
      <c r="Q19" s="307" t="n"/>
      <c r="R19" s="307" t="n"/>
      <c r="S19" s="307" t="n"/>
      <c r="T19" s="307" t="n"/>
      <c r="U19" s="307" t="n"/>
      <c r="V19" s="307" t="n"/>
      <c r="W19" s="307" t="n"/>
      <c r="X19" s="307" t="n"/>
      <c r="Y19" s="307" t="n"/>
      <c r="Z19" s="307" t="n"/>
      <c r="AA19" s="307" t="n"/>
      <c r="AB19" s="307" t="n"/>
      <c r="AC19" s="307" t="n"/>
      <c r="AD19" s="307" t="n"/>
    </row>
    <row r="20" ht="21.75" customHeight="1" s="349">
      <c r="A20" s="307" t="n"/>
      <c r="B20" s="11" t="inlineStr">
        <is>
          <t>Revenue Build</t>
        </is>
      </c>
      <c r="C20" s="78" t="n"/>
      <c r="D20" s="78" t="n"/>
      <c r="E20" s="78" t="n"/>
      <c r="F20" s="78" t="n"/>
      <c r="G20" s="78" t="n"/>
      <c r="L20" s="83" t="n"/>
      <c r="M20" s="31" t="n"/>
      <c r="N20" s="307" t="n"/>
      <c r="O20" s="307" t="n"/>
      <c r="P20" s="307" t="n"/>
      <c r="Q20" s="307" t="n"/>
      <c r="R20" s="307" t="n"/>
      <c r="S20" s="307" t="n"/>
      <c r="T20" s="307" t="n"/>
      <c r="U20" s="307" t="n"/>
      <c r="V20" s="307" t="n"/>
      <c r="W20" s="307" t="n"/>
      <c r="X20" s="307" t="n"/>
      <c r="Y20" s="307" t="n"/>
      <c r="Z20" s="307" t="n"/>
      <c r="AA20" s="307" t="n"/>
      <c r="AB20" s="307" t="n"/>
      <c r="AC20" s="307" t="n"/>
      <c r="AD20" s="307" t="n"/>
    </row>
    <row r="21" ht="21.75" customHeight="1" s="349">
      <c r="A21" s="307" t="n"/>
      <c r="B21" s="140" t="inlineStr">
        <is>
          <t>~Units sold</t>
        </is>
      </c>
      <c r="C21" s="140" t="n"/>
      <c r="D21" s="82">
        <f>IF($D$82=2,D84,D85)</f>
        <v/>
      </c>
      <c r="E21" s="82">
        <f>IF($D$82=2,E84,E85)</f>
        <v/>
      </c>
      <c r="F21" s="82">
        <f>IF($D$82=2,F84,F85)</f>
        <v/>
      </c>
      <c r="G21" s="82">
        <f>IF($D$82=2,G84,G85)</f>
        <v/>
      </c>
      <c r="L21" s="83" t="inlineStr">
        <is>
          <t>the main dial: total units a year, picked from the Case switch in row 82</t>
        </is>
      </c>
      <c r="M21" s="31" t="n"/>
      <c r="N21" s="307" t="n"/>
      <c r="O21" s="307" t="n"/>
      <c r="P21" s="307" t="n"/>
      <c r="Q21" s="307" t="n"/>
      <c r="R21" s="307" t="n"/>
      <c r="S21" s="307" t="n"/>
      <c r="T21" s="307" t="n"/>
      <c r="U21" s="307" t="n"/>
      <c r="V21" s="307" t="n"/>
      <c r="W21" s="307" t="n"/>
      <c r="X21" s="307" t="n"/>
      <c r="Y21" s="307" t="n"/>
      <c r="Z21" s="307" t="n"/>
      <c r="AA21" s="307" t="n"/>
      <c r="AB21" s="307" t="n"/>
      <c r="AC21" s="307" t="n"/>
      <c r="AD21" s="307" t="n"/>
    </row>
    <row r="22" ht="21.75" customHeight="1" s="349">
      <c r="A22" s="307" t="n"/>
      <c r="B22" s="31" t="n"/>
      <c r="C22" s="307" t="n">
        <v>2026</v>
      </c>
      <c r="D22" s="307" t="n">
        <v>2027</v>
      </c>
      <c r="E22" s="307" t="n">
        <v>2028</v>
      </c>
      <c r="F22" s="307" t="n">
        <v>2029</v>
      </c>
      <c r="G22" s="307" t="n">
        <v>2030</v>
      </c>
      <c r="L22" s="83" t="n"/>
      <c r="M22" s="31" t="n"/>
      <c r="N22" s="307" t="n"/>
      <c r="O22" s="307" t="n"/>
      <c r="P22" s="307" t="n"/>
      <c r="Q22" s="307" t="n"/>
      <c r="R22" s="307" t="n"/>
      <c r="S22" s="307" t="n"/>
      <c r="T22" s="307" t="n"/>
      <c r="U22" s="307" t="n"/>
      <c r="V22" s="307" t="n"/>
      <c r="W22" s="307" t="n"/>
      <c r="X22" s="307" t="n"/>
      <c r="Y22" s="307" t="n"/>
      <c r="Z22" s="307" t="n"/>
      <c r="AA22" s="307" t="n"/>
      <c r="AB22" s="307" t="n"/>
      <c r="AC22" s="307" t="n"/>
      <c r="AD22" s="307" t="n"/>
    </row>
    <row r="23" ht="21.75" customHeight="1" s="349">
      <c r="A23" s="307" t="n"/>
      <c r="B23" s="31" t="inlineStr">
        <is>
          <t>TTK</t>
        </is>
      </c>
      <c r="C23" s="87" t="n">
        <v>0</v>
      </c>
      <c r="D23" s="87">
        <f>D$21*$H23</f>
        <v/>
      </c>
      <c r="E23" s="87">
        <f>E$21*$H23</f>
        <v/>
      </c>
      <c r="F23" s="87">
        <f>F$21*$H23</f>
        <v/>
      </c>
      <c r="G23" s="87">
        <f>G$21*$H23</f>
        <v/>
      </c>
      <c r="H23" s="88" t="n">
        <v>0.2</v>
      </c>
      <c r="L23" s="83" t="inlineStr">
        <is>
          <t>TTK units = total units x the mix % in column H</t>
        </is>
      </c>
      <c r="M23" s="31" t="n"/>
      <c r="N23" s="307" t="n"/>
      <c r="O23" s="307" t="n"/>
      <c r="P23" s="307" t="n"/>
      <c r="Q23" s="307" t="n"/>
      <c r="R23" s="307" t="n"/>
      <c r="S23" s="307" t="n"/>
      <c r="T23" s="307" t="n"/>
      <c r="U23" s="307" t="n"/>
      <c r="V23" s="307" t="n"/>
      <c r="W23" s="307" t="n"/>
      <c r="X23" s="307" t="n"/>
      <c r="Y23" s="307" t="n"/>
      <c r="Z23" s="307" t="n"/>
      <c r="AA23" s="307" t="n"/>
      <c r="AB23" s="307" t="n"/>
      <c r="AC23" s="307" t="n"/>
      <c r="AD23" s="307" t="n"/>
    </row>
    <row r="24" ht="21.75" customHeight="1" s="349">
      <c r="A24" s="307" t="n"/>
      <c r="B24" s="307" t="inlineStr">
        <is>
          <t>Combi+</t>
        </is>
      </c>
      <c r="C24" s="87" t="n">
        <v>0</v>
      </c>
      <c r="D24" s="87">
        <f>D$21*$H24</f>
        <v/>
      </c>
      <c r="E24" s="87">
        <f>E$21*$H24</f>
        <v/>
      </c>
      <c r="F24" s="87">
        <f>F$21*$H24</f>
        <v/>
      </c>
      <c r="G24" s="87">
        <f>G$21*$H24</f>
        <v/>
      </c>
      <c r="H24" s="88">
        <f>1-H23</f>
        <v/>
      </c>
      <c r="L24" s="83" t="inlineStr">
        <is>
          <t>Combi+ units = total units x the mix % in column H</t>
        </is>
      </c>
      <c r="M24" s="31" t="n"/>
      <c r="N24" s="307" t="n"/>
      <c r="O24" s="307" t="n"/>
      <c r="P24" s="307" t="n"/>
      <c r="Q24" s="307" t="n"/>
      <c r="R24" s="307" t="n"/>
      <c r="S24" s="307" t="n"/>
      <c r="T24" s="307" t="n"/>
      <c r="U24" s="307" t="n"/>
      <c r="V24" s="307" t="n"/>
      <c r="W24" s="307" t="n"/>
      <c r="X24" s="307" t="n"/>
      <c r="Y24" s="307" t="n"/>
      <c r="Z24" s="307" t="n"/>
      <c r="AA24" s="307" t="n"/>
      <c r="AB24" s="307" t="n"/>
      <c r="AC24" s="307" t="n"/>
      <c r="AD24" s="307" t="n"/>
    </row>
    <row r="25" ht="21.75" customHeight="1" s="349">
      <c r="A25" s="307" t="n"/>
      <c r="B25" s="307" t="n"/>
      <c r="C25" s="307" t="n"/>
      <c r="D25" s="307" t="n"/>
      <c r="E25" s="307" t="n"/>
      <c r="F25" s="307" t="n"/>
      <c r="G25" s="307" t="n"/>
      <c r="L25" s="83" t="n"/>
      <c r="M25" s="31" t="n"/>
      <c r="N25" s="307" t="n"/>
      <c r="O25" s="307" t="n"/>
      <c r="P25" s="307" t="n"/>
      <c r="Q25" s="307" t="n"/>
      <c r="R25" s="307" t="n"/>
      <c r="S25" s="307" t="n"/>
      <c r="T25" s="307" t="n"/>
      <c r="U25" s="307" t="n"/>
      <c r="V25" s="307" t="n"/>
      <c r="W25" s="307" t="n"/>
      <c r="X25" s="307" t="n"/>
      <c r="Y25" s="307" t="n"/>
      <c r="Z25" s="307" t="n"/>
      <c r="AA25" s="307" t="n"/>
      <c r="AB25" s="307" t="n"/>
      <c r="AC25" s="307" t="n"/>
      <c r="AD25" s="307" t="n"/>
    </row>
    <row r="26" ht="21.75" customHeight="1" s="349">
      <c r="A26" s="237" t="n"/>
      <c r="B26" s="90" t="n"/>
      <c r="C26" s="31" t="n"/>
      <c r="D26" s="91" t="n"/>
      <c r="E26" s="91" t="n"/>
      <c r="F26" s="91" t="n"/>
      <c r="G26" s="91" t="n"/>
      <c r="L26" s="83" t="n"/>
      <c r="M26" s="92" t="n"/>
      <c r="N26" s="237" t="n"/>
      <c r="O26" s="237" t="n"/>
      <c r="P26" s="237" t="n"/>
      <c r="Q26" s="237" t="n"/>
      <c r="R26" s="237" t="n"/>
      <c r="S26" s="237" t="n"/>
      <c r="T26" s="237" t="n"/>
      <c r="U26" s="237" t="n"/>
      <c r="V26" s="237" t="n"/>
      <c r="W26" s="237" t="n"/>
      <c r="X26" s="237" t="n"/>
      <c r="Y26" s="237" t="n"/>
      <c r="Z26" s="237" t="n"/>
      <c r="AA26" s="237" t="n"/>
      <c r="AB26" s="237" t="n"/>
      <c r="AC26" s="237" t="n"/>
      <c r="AD26" s="237" t="n"/>
    </row>
    <row r="27" ht="21.75" customHeight="1" s="349">
      <c r="A27" s="237" t="n"/>
      <c r="B27" s="140" t="inlineStr">
        <is>
          <t>Pricing</t>
        </is>
      </c>
      <c r="C27" s="140" t="n"/>
      <c r="D27" s="140" t="n"/>
      <c r="E27" s="140" t="n"/>
      <c r="F27" s="140" t="n"/>
      <c r="G27" s="140" t="n"/>
      <c r="H27" s="92" t="n"/>
      <c r="I27" s="92" t="n"/>
      <c r="J27" s="92" t="n"/>
      <c r="K27" s="92" t="n"/>
      <c r="L27" s="40" t="n"/>
      <c r="M27" s="92" t="n"/>
      <c r="N27" s="237" t="n"/>
      <c r="O27" s="237" t="n"/>
      <c r="P27" s="237" t="n"/>
      <c r="Q27" s="237" t="n"/>
      <c r="R27" s="237" t="n"/>
      <c r="S27" s="237" t="n"/>
      <c r="T27" s="237" t="n"/>
      <c r="U27" s="237" t="n"/>
      <c r="V27" s="237" t="n"/>
      <c r="W27" s="237" t="n"/>
      <c r="X27" s="237" t="n"/>
      <c r="Y27" s="237" t="n"/>
      <c r="Z27" s="237" t="n"/>
      <c r="AA27" s="237" t="n"/>
      <c r="AB27" s="237" t="n"/>
      <c r="AC27" s="237" t="n"/>
      <c r="AD27" s="237" t="n"/>
    </row>
    <row r="28" ht="21.75" customHeight="1" s="349">
      <c r="A28" s="237" t="n"/>
      <c r="B28" s="93" t="inlineStr">
        <is>
          <t>PRICING — build-up (turbineketel + outdoor unit)</t>
        </is>
      </c>
      <c r="C28" s="31" t="n"/>
      <c r="D28" s="91" t="inlineStr">
        <is>
          <t>(inc VAT)</t>
        </is>
      </c>
      <c r="E28" s="91" t="n"/>
      <c r="F28" s="91" t="n"/>
      <c r="G28" s="91" t="n"/>
      <c r="H28" s="92" t="n"/>
      <c r="I28" s="92" t="n"/>
      <c r="J28" s="92" t="n"/>
      <c r="K28" s="92" t="n"/>
      <c r="L28" s="40" t="n"/>
      <c r="M28" s="92" t="n"/>
      <c r="N28" s="237" t="n"/>
      <c r="O28" s="237" t="n"/>
      <c r="P28" s="237" t="n"/>
      <c r="Q28" s="237" t="n"/>
      <c r="R28" s="237" t="n"/>
      <c r="S28" s="237" t="n"/>
      <c r="T28" s="237" t="n"/>
      <c r="U28" s="237" t="n"/>
      <c r="V28" s="237" t="n"/>
      <c r="W28" s="237" t="n"/>
      <c r="X28" s="237" t="n"/>
      <c r="Y28" s="237" t="n"/>
      <c r="Z28" s="237" t="n"/>
      <c r="AA28" s="237" t="n"/>
      <c r="AB28" s="237" t="n"/>
      <c r="AC28" s="237" t="n"/>
      <c r="AD28" s="237" t="n"/>
    </row>
    <row r="29" ht="21.75" customHeight="1" s="349">
      <c r="A29" s="237" t="n"/>
      <c r="B29" s="237" t="inlineStr">
        <is>
          <t>Turbineketel base price (all products)</t>
        </is>
      </c>
      <c r="C29" s="97" t="n">
        <v>8525.620000000001</v>
      </c>
      <c r="D29" s="96">
        <f>C29*1.21</f>
        <v/>
      </c>
      <c r="E29" s="91" t="n"/>
      <c r="F29" s="91" t="n"/>
      <c r="G29" s="91" t="n"/>
      <c r="H29" s="92" t="n"/>
      <c r="I29" s="92" t="n"/>
      <c r="J29" s="92" t="n"/>
      <c r="K29" s="31" t="n"/>
      <c r="L29" s="40" t="inlineStr">
        <is>
          <t>column D is just the same price with VAT added, for reference</t>
        </is>
      </c>
      <c r="M29" s="92" t="n"/>
      <c r="N29" s="237" t="n"/>
      <c r="O29" s="237" t="n"/>
      <c r="P29" s="237" t="n"/>
      <c r="Q29" s="237" t="n"/>
      <c r="R29" s="237" t="n"/>
      <c r="S29" s="237" t="n"/>
      <c r="T29" s="237" t="n"/>
      <c r="U29" s="237" t="n"/>
      <c r="V29" s="237" t="n"/>
      <c r="W29" s="237" t="n"/>
      <c r="X29" s="237" t="n"/>
      <c r="Y29" s="237" t="n"/>
      <c r="Z29" s="237" t="n"/>
      <c r="AA29" s="237" t="n"/>
      <c r="AB29" s="237" t="n"/>
      <c r="AC29" s="237" t="n"/>
      <c r="AD29" s="237" t="n"/>
    </row>
    <row r="30" ht="21.75" customHeight="1" s="349">
      <c r="A30" s="237" t="n"/>
      <c r="B30" s="93" t="inlineStr">
        <is>
          <t>Outdoor unit — Combi+</t>
        </is>
      </c>
      <c r="C30" s="97" t="n">
        <v>5309.92</v>
      </c>
      <c r="D30" s="96">
        <f>C30*1.21</f>
        <v/>
      </c>
      <c r="E30" s="307" t="n"/>
      <c r="F30" s="237" t="n"/>
      <c r="G30" s="237" t="n"/>
      <c r="H30" s="92" t="n"/>
      <c r="I30" s="92" t="n"/>
      <c r="J30" s="92" t="n"/>
      <c r="K30" s="31" t="n"/>
      <c r="L30" s="40" t="inlineStr">
        <is>
          <t>column D is the incl-VAT version, for reference</t>
        </is>
      </c>
      <c r="M30" s="92" t="n"/>
      <c r="N30" s="237" t="n"/>
      <c r="O30" s="237" t="n"/>
      <c r="P30" s="237" t="n"/>
      <c r="Q30" s="237" t="n"/>
      <c r="R30" s="237" t="n"/>
      <c r="S30" s="237" t="n"/>
      <c r="T30" s="237" t="n"/>
      <c r="U30" s="237" t="n"/>
      <c r="V30" s="237" t="n"/>
      <c r="W30" s="237" t="n"/>
      <c r="X30" s="237" t="n"/>
      <c r="Y30" s="237" t="n"/>
      <c r="Z30" s="237" t="n"/>
      <c r="AA30" s="237" t="n"/>
      <c r="AB30" s="237" t="n"/>
      <c r="AC30" s="237" t="n"/>
      <c r="AD30" s="237" t="n"/>
    </row>
    <row r="31" ht="21.75" customHeight="1" s="349">
      <c r="A31" s="237" t="n"/>
      <c r="B31" s="237" t="inlineStr">
        <is>
          <t>Combi+ price (ketel + ODU)</t>
        </is>
      </c>
      <c r="C31" s="99">
        <f>C29+C30</f>
        <v/>
      </c>
      <c r="D31" s="96">
        <f>C31*1.21</f>
        <v/>
      </c>
      <c r="E31" s="237" t="n"/>
      <c r="F31" s="237" t="n"/>
      <c r="G31" s="237" t="n"/>
      <c r="H31" s="92" t="n"/>
      <c r="I31" s="92" t="n"/>
      <c r="J31" s="92" t="n"/>
      <c r="K31" s="92" t="n"/>
      <c r="L31" s="40" t="inlineStr">
        <is>
          <t>Combi+ price = ketel + outdoor unit</t>
        </is>
      </c>
      <c r="M31" s="92" t="n"/>
      <c r="N31" s="237" t="n"/>
      <c r="O31" s="237" t="n"/>
      <c r="P31" s="237" t="n"/>
      <c r="Q31" s="237" t="n"/>
      <c r="R31" s="237" t="n"/>
      <c r="S31" s="237" t="n"/>
      <c r="T31" s="237" t="n"/>
      <c r="U31" s="237" t="n"/>
      <c r="V31" s="237" t="n"/>
      <c r="W31" s="237" t="n"/>
      <c r="X31" s="237" t="n"/>
      <c r="Y31" s="237" t="n"/>
      <c r="Z31" s="237" t="n"/>
      <c r="AA31" s="237" t="n"/>
      <c r="AB31" s="237" t="n"/>
      <c r="AC31" s="237" t="n"/>
      <c r="AD31" s="237" t="n"/>
    </row>
    <row r="32" ht="21.75" customHeight="1" s="349">
      <c r="A32" s="237" t="n"/>
      <c r="B32" s="93" t="inlineStr">
        <is>
          <t>INSTALLATION (PASS-THROUGH; REV=COST)</t>
        </is>
      </c>
      <c r="C32" s="237" t="n"/>
      <c r="D32" s="237" t="n"/>
      <c r="E32" s="237" t="n"/>
      <c r="F32" s="237" t="n"/>
      <c r="G32" s="237" t="n"/>
      <c r="H32" s="92" t="n"/>
      <c r="I32" s="92" t="n"/>
      <c r="J32" s="92" t="n"/>
      <c r="K32" s="92" t="n"/>
      <c r="L32" s="40" t="n"/>
      <c r="M32" s="92" t="n"/>
      <c r="N32" s="237" t="n"/>
      <c r="O32" s="237" t="n"/>
      <c r="P32" s="237" t="n"/>
      <c r="Q32" s="237" t="n"/>
      <c r="R32" s="237" t="n"/>
      <c r="S32" s="237" t="n"/>
      <c r="T32" s="237" t="n"/>
      <c r="U32" s="237" t="n"/>
      <c r="V32" s="237" t="n"/>
      <c r="W32" s="237" t="n"/>
      <c r="X32" s="237" t="n"/>
      <c r="Y32" s="237" t="n"/>
      <c r="Z32" s="237" t="n"/>
      <c r="AA32" s="237" t="n"/>
      <c r="AB32" s="237" t="n"/>
      <c r="AC32" s="237" t="n"/>
      <c r="AD32" s="237" t="n"/>
    </row>
    <row r="33" ht="21.75" customHeight="1" s="349">
      <c r="A33" s="237" t="n"/>
      <c r="B33" s="101" t="inlineStr">
        <is>
          <t>Installation — TTK</t>
        </is>
      </c>
      <c r="C33" s="99" t="n">
        <v>2800</v>
      </c>
      <c r="D33" s="237" t="n"/>
      <c r="E33" s="237" t="n"/>
      <c r="F33" s="237" t="n"/>
      <c r="G33" s="237" t="n"/>
      <c r="H33" s="92" t="n"/>
      <c r="I33" s="92" t="n"/>
      <c r="J33" s="92" t="n"/>
      <c r="K33" s="92" t="n"/>
      <c r="L33" s="40" t="inlineStr">
        <is>
          <t>charged at cost, no margin (pass-through)</t>
        </is>
      </c>
      <c r="M33" s="92" t="n"/>
      <c r="N33" s="237" t="n"/>
      <c r="O33" s="237" t="n"/>
      <c r="P33" s="237" t="n"/>
      <c r="Q33" s="237" t="n"/>
      <c r="R33" s="237" t="n"/>
      <c r="S33" s="237" t="n"/>
      <c r="T33" s="237" t="n"/>
      <c r="U33" s="237" t="n"/>
      <c r="V33" s="237" t="n"/>
      <c r="W33" s="237" t="n"/>
      <c r="X33" s="237" t="n"/>
      <c r="Y33" s="237" t="n"/>
      <c r="Z33" s="237" t="n"/>
      <c r="AA33" s="237" t="n"/>
      <c r="AB33" s="237" t="n"/>
      <c r="AC33" s="237" t="n"/>
      <c r="AD33" s="237" t="n"/>
    </row>
    <row r="34" ht="21.75" customHeight="1" s="349">
      <c r="A34" s="237" t="n"/>
      <c r="B34" s="101" t="inlineStr">
        <is>
          <t>Installation — Combi+</t>
        </is>
      </c>
      <c r="C34" s="99" t="n">
        <v>3800</v>
      </c>
      <c r="D34" s="237" t="n"/>
      <c r="E34" s="237" t="n"/>
      <c r="F34" s="237" t="n"/>
      <c r="G34" s="237" t="n"/>
      <c r="H34" s="92" t="n"/>
      <c r="I34" s="92" t="n"/>
      <c r="J34" s="92" t="n"/>
      <c r="K34" s="92" t="n"/>
      <c r="L34" s="40" t="inlineStr">
        <is>
          <t>charged at cost, no margin (pass-through)</t>
        </is>
      </c>
      <c r="M34" s="92" t="n"/>
      <c r="N34" s="237" t="n"/>
      <c r="O34" s="237" t="n"/>
      <c r="P34" s="237" t="n"/>
      <c r="Q34" s="237" t="n"/>
      <c r="R34" s="237" t="n"/>
      <c r="S34" s="237" t="n"/>
      <c r="T34" s="237" t="n"/>
      <c r="U34" s="237" t="n"/>
      <c r="V34" s="237" t="n"/>
      <c r="W34" s="237" t="n"/>
      <c r="X34" s="237" t="n"/>
      <c r="Y34" s="237" t="n"/>
      <c r="Z34" s="237" t="n"/>
      <c r="AA34" s="237" t="n"/>
      <c r="AB34" s="237" t="n"/>
      <c r="AC34" s="237" t="n"/>
      <c r="AD34" s="237" t="n"/>
    </row>
    <row r="35" ht="23.25" customHeight="1" s="349">
      <c r="A35" s="237" t="n"/>
      <c r="B35" s="103" t="inlineStr">
        <is>
          <t>COGS</t>
        </is>
      </c>
      <c r="E35" s="103" t="n"/>
      <c r="H35" s="29" t="n"/>
      <c r="K35" s="29" t="n"/>
      <c r="N35" s="237" t="n"/>
      <c r="O35" s="237" t="n"/>
      <c r="P35" s="237" t="n"/>
      <c r="Q35" s="237" t="n"/>
      <c r="R35" s="237" t="n"/>
      <c r="S35" s="237" t="n"/>
      <c r="T35" s="237" t="n"/>
      <c r="U35" s="237" t="n"/>
      <c r="V35" s="237" t="n"/>
      <c r="W35" s="237" t="n"/>
      <c r="X35" s="237" t="n"/>
      <c r="Y35" s="237" t="n"/>
      <c r="Z35" s="237" t="n"/>
      <c r="AA35" s="237" t="n"/>
      <c r="AB35" s="237" t="n"/>
      <c r="AC35" s="237" t="n"/>
      <c r="AD35" s="237" t="n"/>
    </row>
    <row r="36" ht="21.75" customHeight="1" s="349">
      <c r="A36" s="237" t="n"/>
      <c r="B36" s="101" t="inlineStr">
        <is>
          <t>TTK</t>
        </is>
      </c>
      <c r="C36" s="237" t="n"/>
      <c r="D36" s="237" t="n"/>
      <c r="E36" s="237" t="n"/>
      <c r="F36" s="237" t="n"/>
      <c r="G36" s="237" t="n"/>
      <c r="H36" s="92" t="n"/>
      <c r="I36" s="106" t="n"/>
      <c r="J36" s="92" t="n"/>
      <c r="K36" s="92" t="n"/>
      <c r="L36" s="40" t="n"/>
      <c r="M36" s="92" t="n"/>
      <c r="N36" s="237" t="n"/>
      <c r="O36" s="237" t="n"/>
      <c r="P36" s="237" t="n"/>
      <c r="Q36" s="237" t="n"/>
      <c r="R36" s="237" t="n"/>
      <c r="S36" s="237" t="n"/>
      <c r="T36" s="237" t="n"/>
      <c r="U36" s="237" t="n"/>
      <c r="V36" s="237" t="n"/>
      <c r="W36" s="237" t="n"/>
      <c r="X36" s="237" t="n"/>
      <c r="Y36" s="237" t="n"/>
      <c r="Z36" s="237" t="n"/>
      <c r="AA36" s="237" t="n"/>
      <c r="AB36" s="237" t="n"/>
      <c r="AC36" s="237" t="n"/>
      <c r="AD36" s="237" t="n"/>
    </row>
    <row r="37" ht="21.75" customHeight="1" s="349">
      <c r="A37" s="237" t="n"/>
      <c r="B37" s="107" t="inlineStr">
        <is>
          <t>Bill of Materials TTK supplier 1</t>
        </is>
      </c>
      <c r="C37" s="307" t="n"/>
      <c r="D37" s="307" t="n"/>
      <c r="E37" s="307" t="n"/>
      <c r="H37" s="31" t="n"/>
      <c r="I37" s="31" t="n"/>
      <c r="J37" s="92" t="n"/>
      <c r="L37" s="83" t="n"/>
      <c r="M37" s="92" t="n"/>
      <c r="N37" s="237" t="n"/>
      <c r="O37" s="237" t="n"/>
      <c r="P37" s="237" t="n"/>
      <c r="Q37" s="237" t="n"/>
      <c r="R37" s="237" t="n"/>
      <c r="S37" s="237" t="n"/>
      <c r="T37" s="237" t="n"/>
      <c r="U37" s="237" t="n"/>
      <c r="V37" s="237" t="n"/>
      <c r="W37" s="237" t="n"/>
      <c r="X37" s="237" t="n"/>
      <c r="Y37" s="237" t="n"/>
      <c r="Z37" s="237" t="n"/>
      <c r="AA37" s="237" t="n"/>
      <c r="AB37" s="237" t="n"/>
      <c r="AC37" s="237" t="n"/>
      <c r="AD37" s="237" t="n"/>
    </row>
    <row r="38" ht="21.75" customHeight="1" s="349">
      <c r="A38" s="237" t="n"/>
      <c r="B38" s="109" t="inlineStr">
        <is>
          <t>#</t>
        </is>
      </c>
      <c r="C38" s="110" t="inlineStr">
        <is>
          <t>Category</t>
        </is>
      </c>
      <c r="D38" s="111" t="inlineStr">
        <is>
          <t>Component</t>
        </is>
      </c>
      <c r="E38" s="112" t="inlineStr">
        <is>
          <t>1,000 units</t>
        </is>
      </c>
      <c r="F38" s="112" t="inlineStr">
        <is>
          <t>5,000 units</t>
        </is>
      </c>
      <c r="G38" s="109" t="inlineStr">
        <is>
          <t>10,000 units</t>
        </is>
      </c>
      <c r="H38" s="109" t="inlineStr">
        <is>
          <t>Unit</t>
        </is>
      </c>
      <c r="I38" s="109" t="inlineStr">
        <is>
          <t>Source</t>
        </is>
      </c>
      <c r="J38" s="92" t="n"/>
      <c r="L38" s="83" t="n"/>
      <c r="M38" s="92" t="n"/>
      <c r="N38" s="237" t="n"/>
      <c r="O38" s="237" t="n"/>
      <c r="P38" s="237" t="n"/>
      <c r="Q38" s="237" t="n"/>
      <c r="R38" s="237" t="n"/>
      <c r="S38" s="237" t="n"/>
      <c r="T38" s="237" t="n"/>
      <c r="U38" s="237" t="n"/>
      <c r="V38" s="237" t="n"/>
      <c r="W38" s="237" t="n"/>
      <c r="X38" s="237" t="n"/>
      <c r="Y38" s="237" t="n"/>
      <c r="Z38" s="237" t="n"/>
      <c r="AA38" s="237" t="n"/>
      <c r="AB38" s="237" t="n"/>
      <c r="AC38" s="237" t="n"/>
      <c r="AD38" s="237" t="n"/>
    </row>
    <row r="39" ht="21.75" customHeight="1" s="349">
      <c r="A39" s="237" t="n"/>
      <c r="B39" s="92" t="inlineStr">
        <is>
          <t>B1</t>
        </is>
      </c>
      <c r="C39" s="113" t="inlineStr">
        <is>
          <t>Supplier 1</t>
        </is>
      </c>
      <c r="D39" s="114" t="inlineStr">
        <is>
          <t>Compressor + VFD</t>
        </is>
      </c>
      <c r="E39" s="97" t="n">
        <v>6314</v>
      </c>
      <c r="F39" s="97" t="n">
        <v>4500</v>
      </c>
      <c r="G39" s="97" t="n">
        <v>2692.44</v>
      </c>
      <c r="H39" s="92" t="inlineStr">
        <is>
          <t>€/unit</t>
        </is>
      </c>
      <c r="I39" s="92" t="inlineStr">
        <is>
          <t>Source: BOM data provided</t>
        </is>
      </c>
      <c r="J39" s="92" t="n"/>
      <c r="L39" s="83" t="inlineStr">
        <is>
          <t>compressor prices typed in per tier, not a % step-down</t>
        </is>
      </c>
      <c r="M39" s="92" t="n"/>
      <c r="N39" s="237" t="n"/>
      <c r="O39" s="237" t="n"/>
      <c r="P39" s="237" t="n"/>
      <c r="Q39" s="237" t="n"/>
      <c r="R39" s="237" t="n"/>
      <c r="S39" s="237" t="n"/>
      <c r="T39" s="237" t="n"/>
      <c r="U39" s="237" t="n"/>
      <c r="V39" s="237" t="n"/>
      <c r="W39" s="237" t="n"/>
      <c r="X39" s="237" t="n"/>
      <c r="Y39" s="237" t="n"/>
      <c r="Z39" s="237" t="n"/>
      <c r="AA39" s="237" t="n"/>
      <c r="AB39" s="237" t="n"/>
      <c r="AC39" s="237" t="n"/>
      <c r="AD39" s="237" t="n"/>
    </row>
    <row r="40" ht="21.75" customHeight="1" s="349">
      <c r="A40" s="237" t="n"/>
      <c r="B40" s="92" t="inlineStr">
        <is>
          <t>B2</t>
        </is>
      </c>
      <c r="C40" s="113" t="inlineStr">
        <is>
          <t>Supplier 1</t>
        </is>
      </c>
      <c r="D40" s="114" t="inlineStr">
        <is>
          <t>Heat exchangers (set)</t>
        </is>
      </c>
      <c r="E40" s="97" t="n">
        <v>805.5</v>
      </c>
      <c r="F40" s="115">
        <f>E40*0.7</f>
        <v/>
      </c>
      <c r="G40" s="115">
        <f>0.6*F40</f>
        <v/>
      </c>
      <c r="H40" s="92" t="inlineStr">
        <is>
          <t>€/unit</t>
        </is>
      </c>
      <c r="I40" s="92" t="inlineStr">
        <is>
          <t>Source: BOM data provided</t>
        </is>
      </c>
      <c r="J40" s="92" t="n"/>
      <c r="L40" s="83" t="inlineStr">
        <is>
          <t>volume discount: 5k column = 70% of 1k, 10k = 60% of 5k</t>
        </is>
      </c>
      <c r="M40" s="92" t="n"/>
      <c r="N40" s="237" t="n"/>
      <c r="O40" s="237" t="n"/>
      <c r="P40" s="237" t="n"/>
      <c r="Q40" s="237" t="n"/>
      <c r="R40" s="237" t="n"/>
      <c r="S40" s="237" t="n"/>
      <c r="T40" s="237" t="n"/>
      <c r="U40" s="237" t="n"/>
      <c r="V40" s="237" t="n"/>
      <c r="W40" s="237" t="n"/>
      <c r="X40" s="237" t="n"/>
      <c r="Y40" s="237" t="n"/>
      <c r="Z40" s="237" t="n"/>
      <c r="AA40" s="237" t="n"/>
      <c r="AB40" s="237" t="n"/>
      <c r="AC40" s="237" t="n"/>
      <c r="AD40" s="237" t="n"/>
    </row>
    <row r="41" ht="21.75" customHeight="1" s="349">
      <c r="A41" s="237" t="n"/>
      <c r="B41" s="92" t="inlineStr">
        <is>
          <t>B3</t>
        </is>
      </c>
      <c r="C41" s="113" t="inlineStr">
        <is>
          <t>Supplier 1</t>
        </is>
      </c>
      <c r="D41" s="114" t="inlineStr">
        <is>
          <t>Electronics &amp; Power Electronics</t>
        </is>
      </c>
      <c r="E41" s="97" t="n">
        <v>632.92</v>
      </c>
      <c r="F41" s="115">
        <f>E41*0.7</f>
        <v/>
      </c>
      <c r="G41" s="115">
        <f>0.6*F41</f>
        <v/>
      </c>
      <c r="H41" s="92" t="inlineStr">
        <is>
          <t>€/unit</t>
        </is>
      </c>
      <c r="I41" s="92" t="inlineStr">
        <is>
          <t>Source: BOM data provided</t>
        </is>
      </c>
      <c r="J41" s="92" t="n"/>
      <c r="L41" s="83" t="inlineStr">
        <is>
          <t>volume discount: 5k column = 70% of 1k, 10k = 60% of 5k</t>
        </is>
      </c>
      <c r="M41" s="92" t="n"/>
      <c r="N41" s="237" t="n"/>
      <c r="O41" s="237" t="n"/>
      <c r="P41" s="237" t="n"/>
      <c r="Q41" s="237" t="n"/>
      <c r="R41" s="237" t="n"/>
      <c r="S41" s="237" t="n"/>
      <c r="T41" s="237" t="n"/>
      <c r="U41" s="237" t="n"/>
      <c r="V41" s="237" t="n"/>
      <c r="W41" s="237" t="n"/>
      <c r="X41" s="237" t="n"/>
      <c r="Y41" s="237" t="n"/>
      <c r="Z41" s="237" t="n"/>
      <c r="AA41" s="237" t="n"/>
      <c r="AB41" s="237" t="n"/>
      <c r="AC41" s="237" t="n"/>
      <c r="AD41" s="237" t="n"/>
    </row>
    <row r="42" ht="21.75" customHeight="1" s="349">
      <c r="A42" s="237" t="n"/>
      <c r="B42" s="92" t="inlineStr">
        <is>
          <t>B4</t>
        </is>
      </c>
      <c r="C42" s="113" t="inlineStr">
        <is>
          <t>Supplier 1</t>
        </is>
      </c>
      <c r="D42" s="114" t="inlineStr">
        <is>
          <t>Hydraulic Components (Pumps, Valves, etc.)</t>
        </is>
      </c>
      <c r="E42" s="97" t="n">
        <v>283.76</v>
      </c>
      <c r="F42" s="115">
        <f>E42*0.7</f>
        <v/>
      </c>
      <c r="G42" s="115">
        <f>0.6*F42</f>
        <v/>
      </c>
      <c r="H42" s="92" t="inlineStr">
        <is>
          <t>€/unit</t>
        </is>
      </c>
      <c r="I42" s="92" t="inlineStr">
        <is>
          <t>Source: BOM data provided</t>
        </is>
      </c>
      <c r="J42" s="92" t="n"/>
      <c r="L42" s="83" t="inlineStr">
        <is>
          <t>volume discount: 5k column = 70% of 1k, 10k = 60% of 5k</t>
        </is>
      </c>
      <c r="M42" s="92" t="n"/>
      <c r="N42" s="237" t="n"/>
      <c r="O42" s="237" t="n"/>
      <c r="P42" s="237" t="n"/>
      <c r="Q42" s="237" t="n"/>
      <c r="R42" s="237" t="n"/>
      <c r="S42" s="237" t="n"/>
      <c r="T42" s="237" t="n"/>
      <c r="U42" s="237" t="n"/>
      <c r="V42" s="237" t="n"/>
      <c r="W42" s="237" t="n"/>
      <c r="X42" s="237" t="n"/>
      <c r="Y42" s="237" t="n"/>
      <c r="Z42" s="237" t="n"/>
      <c r="AA42" s="237" t="n"/>
      <c r="AB42" s="237" t="n"/>
      <c r="AC42" s="237" t="n"/>
      <c r="AD42" s="237" t="n"/>
    </row>
    <row r="43" ht="21.75" customHeight="1" s="349">
      <c r="A43" s="237" t="n"/>
      <c r="B43" s="92" t="inlineStr">
        <is>
          <t>B5</t>
        </is>
      </c>
      <c r="C43" s="113" t="inlineStr">
        <is>
          <t>Supplier 1</t>
        </is>
      </c>
      <c r="D43" s="114" t="inlineStr">
        <is>
          <t>Silencer &amp; Insulation</t>
        </is>
      </c>
      <c r="E43" s="97" t="n">
        <v>118.48</v>
      </c>
      <c r="F43" s="115">
        <f>E43*0.7</f>
        <v/>
      </c>
      <c r="G43" s="115">
        <f>0.6*F43</f>
        <v/>
      </c>
      <c r="H43" s="92" t="inlineStr">
        <is>
          <t>€/unit</t>
        </is>
      </c>
      <c r="I43" s="92" t="inlineStr">
        <is>
          <t>Source: BOM data provided</t>
        </is>
      </c>
      <c r="J43" s="92" t="n"/>
      <c r="L43" s="83" t="inlineStr">
        <is>
          <t>volume discount: 5k column = 70% of 1k, 10k = 60% of 5k</t>
        </is>
      </c>
      <c r="M43" s="92" t="n"/>
      <c r="N43" s="237" t="n"/>
      <c r="O43" s="237" t="n"/>
      <c r="P43" s="237" t="n"/>
      <c r="Q43" s="237" t="n"/>
      <c r="R43" s="237" t="n"/>
      <c r="S43" s="237" t="n"/>
      <c r="T43" s="237" t="n"/>
      <c r="U43" s="237" t="n"/>
      <c r="V43" s="237" t="n"/>
      <c r="W43" s="237" t="n"/>
      <c r="X43" s="237" t="n"/>
      <c r="Y43" s="237" t="n"/>
      <c r="Z43" s="237" t="n"/>
      <c r="AA43" s="237" t="n"/>
      <c r="AB43" s="237" t="n"/>
      <c r="AC43" s="237" t="n"/>
      <c r="AD43" s="237" t="n"/>
    </row>
    <row r="44" ht="21.75" customHeight="1" s="349">
      <c r="A44" s="237" t="n"/>
      <c r="B44" s="92" t="inlineStr">
        <is>
          <t>B6</t>
        </is>
      </c>
      <c r="C44" s="113" t="inlineStr">
        <is>
          <t>Supplier 1</t>
        </is>
      </c>
      <c r="D44" s="114" t="inlineStr">
        <is>
          <t>Enclosure (Sheet Metal &amp; Coating)</t>
        </is>
      </c>
      <c r="E44" s="97" t="n">
        <v>653.03</v>
      </c>
      <c r="F44" s="115">
        <f>E44*0.7</f>
        <v/>
      </c>
      <c r="G44" s="115">
        <f>0.6*F44</f>
        <v/>
      </c>
      <c r="H44" s="92" t="inlineStr">
        <is>
          <t>€/unit</t>
        </is>
      </c>
      <c r="I44" s="92" t="inlineStr">
        <is>
          <t>Source: BOM data provided</t>
        </is>
      </c>
      <c r="J44" s="92" t="n"/>
      <c r="L44" s="83" t="inlineStr">
        <is>
          <t>volume discount: 5k column = 70% of 1k, 10k = 60% of 5k</t>
        </is>
      </c>
      <c r="M44" s="92" t="n"/>
      <c r="N44" s="237" t="n"/>
      <c r="O44" s="237" t="n"/>
      <c r="P44" s="237" t="n"/>
      <c r="Q44" s="237" t="n"/>
      <c r="R44" s="237" t="n"/>
      <c r="S44" s="237" t="n"/>
      <c r="T44" s="237" t="n"/>
      <c r="U44" s="237" t="n"/>
      <c r="V44" s="237" t="n"/>
      <c r="W44" s="237" t="n"/>
      <c r="X44" s="237" t="n"/>
      <c r="Y44" s="237" t="n"/>
      <c r="Z44" s="237" t="n"/>
      <c r="AA44" s="237" t="n"/>
      <c r="AB44" s="237" t="n"/>
      <c r="AC44" s="237" t="n"/>
      <c r="AD44" s="237" t="n"/>
    </row>
    <row r="45" ht="21.75" customHeight="1" s="349">
      <c r="A45" s="237" t="n"/>
      <c r="B45" s="92" t="inlineStr">
        <is>
          <t>B7</t>
        </is>
      </c>
      <c r="C45" s="113" t="inlineStr">
        <is>
          <t>Supplier 1</t>
        </is>
      </c>
      <c r="D45" s="114" t="inlineStr">
        <is>
          <t>Other Components</t>
        </is>
      </c>
      <c r="E45" s="97" t="n">
        <v>290</v>
      </c>
      <c r="F45" s="115">
        <f>E45*0.7</f>
        <v/>
      </c>
      <c r="G45" s="115" t="n">
        <v>126</v>
      </c>
      <c r="H45" s="92" t="inlineStr">
        <is>
          <t>€/unit</t>
        </is>
      </c>
      <c r="I45" s="92" t="inlineStr">
        <is>
          <t>Source: BOM data provided</t>
        </is>
      </c>
      <c r="J45" s="92" t="n"/>
      <c r="L45" s="83" t="inlineStr">
        <is>
          <t>5k = 70% of 1k; the 10k number is typed in by hand</t>
        </is>
      </c>
      <c r="M45" s="92" t="n"/>
      <c r="N45" s="237" t="n"/>
      <c r="O45" s="237" t="n"/>
      <c r="P45" s="237" t="n"/>
      <c r="Q45" s="237" t="n"/>
      <c r="R45" s="237" t="n"/>
      <c r="S45" s="237" t="n"/>
      <c r="T45" s="237" t="n"/>
      <c r="U45" s="237" t="n"/>
      <c r="V45" s="237" t="n"/>
      <c r="W45" s="237" t="n"/>
      <c r="X45" s="237" t="n"/>
      <c r="Y45" s="237" t="n"/>
      <c r="Z45" s="237" t="n"/>
      <c r="AA45" s="237" t="n"/>
      <c r="AB45" s="237" t="n"/>
      <c r="AC45" s="237" t="n"/>
      <c r="AD45" s="237" t="n"/>
    </row>
    <row r="46" ht="21.75" customHeight="1" s="349">
      <c r="A46" s="237" t="n"/>
      <c r="B46" s="92" t="inlineStr">
        <is>
          <t>B8</t>
        </is>
      </c>
      <c r="C46" s="113" t="inlineStr">
        <is>
          <t>Supplier 1</t>
        </is>
      </c>
      <c r="D46" s="114" t="inlineStr">
        <is>
          <t>Assembly &amp; Final Testing</t>
        </is>
      </c>
      <c r="E46" s="97" t="n">
        <v>200</v>
      </c>
      <c r="F46" s="115">
        <f>E46*0.7</f>
        <v/>
      </c>
      <c r="G46" s="115">
        <f>0.6*F46</f>
        <v/>
      </c>
      <c r="H46" s="92" t="inlineStr">
        <is>
          <t>€/unit</t>
        </is>
      </c>
      <c r="I46" s="92" t="inlineStr">
        <is>
          <t>Source: BOM data provided</t>
        </is>
      </c>
      <c r="J46" s="92" t="n"/>
      <c r="L46" s="83" t="inlineStr">
        <is>
          <t>volume discount: 5k column = 70% of 1k, 10k = 60% of 5k</t>
        </is>
      </c>
      <c r="M46" s="92" t="n"/>
      <c r="N46" s="237" t="n"/>
      <c r="O46" s="237" t="n"/>
      <c r="P46" s="237" t="n"/>
      <c r="Q46" s="237" t="n"/>
      <c r="R46" s="237" t="n"/>
      <c r="S46" s="237" t="n"/>
      <c r="T46" s="237" t="n"/>
      <c r="U46" s="237" t="n"/>
      <c r="V46" s="237" t="n"/>
      <c r="W46" s="237" t="n"/>
      <c r="X46" s="237" t="n"/>
      <c r="Y46" s="237" t="n"/>
      <c r="Z46" s="237" t="n"/>
      <c r="AA46" s="237" t="n"/>
      <c r="AB46" s="237" t="n"/>
      <c r="AC46" s="237" t="n"/>
      <c r="AD46" s="237" t="n"/>
    </row>
    <row r="47" ht="21.75" customHeight="1" s="349">
      <c r="A47" s="237" t="n"/>
      <c r="B47" s="92" t="inlineStr">
        <is>
          <t>B9</t>
        </is>
      </c>
      <c r="C47" s="113" t="inlineStr">
        <is>
          <t>Supplier 1</t>
        </is>
      </c>
      <c r="D47" s="114" t="inlineStr">
        <is>
          <t>Packaging &amp; Inbound Logistics</t>
        </is>
      </c>
      <c r="E47" s="97" t="n">
        <v>395</v>
      </c>
      <c r="F47" s="115">
        <f>E47*0.7</f>
        <v/>
      </c>
      <c r="G47" s="115">
        <f>0.6*F47</f>
        <v/>
      </c>
      <c r="H47" s="92" t="inlineStr">
        <is>
          <t>€/unit</t>
        </is>
      </c>
      <c r="I47" s="92" t="inlineStr">
        <is>
          <t>Source: BOM data provided</t>
        </is>
      </c>
      <c r="J47" s="92" t="n"/>
      <c r="L47" s="83" t="inlineStr">
        <is>
          <t>volume discount: 5k column = 70% of 1k, 10k = 60% of 5k</t>
        </is>
      </c>
      <c r="M47" s="92" t="n"/>
      <c r="N47" s="237" t="n"/>
      <c r="O47" s="237" t="n"/>
      <c r="P47" s="237" t="n"/>
      <c r="Q47" s="237" t="n"/>
      <c r="R47" s="237" t="n"/>
      <c r="S47" s="237" t="n"/>
      <c r="T47" s="237" t="n"/>
      <c r="U47" s="237" t="n"/>
      <c r="V47" s="237" t="n"/>
      <c r="W47" s="237" t="n"/>
      <c r="X47" s="237" t="n"/>
      <c r="Y47" s="237" t="n"/>
      <c r="Z47" s="237" t="n"/>
      <c r="AA47" s="237" t="n"/>
      <c r="AB47" s="237" t="n"/>
      <c r="AC47" s="237" t="n"/>
      <c r="AD47" s="237" t="n"/>
    </row>
    <row r="48" ht="21.75" customHeight="1" s="349">
      <c r="A48" s="237" t="n"/>
      <c r="B48" s="92" t="inlineStr">
        <is>
          <t>B10</t>
        </is>
      </c>
      <c r="C48" s="113" t="inlineStr">
        <is>
          <t>Supplier 1</t>
        </is>
      </c>
      <c r="D48" s="114" t="inlineStr">
        <is>
          <t>Yield Loss &amp; Warranty Provision (~3%)</t>
        </is>
      </c>
      <c r="E48" s="97" t="n">
        <v>291.23</v>
      </c>
      <c r="F48" s="115">
        <f>E48*0.7</f>
        <v/>
      </c>
      <c r="G48" s="115">
        <f>0.6*F48</f>
        <v/>
      </c>
      <c r="H48" s="92" t="inlineStr">
        <is>
          <t>€/unit</t>
        </is>
      </c>
      <c r="I48" s="92" t="inlineStr">
        <is>
          <t>Source: BOM data provided</t>
        </is>
      </c>
      <c r="J48" s="92" t="n"/>
      <c r="L48" s="83" t="inlineStr">
        <is>
          <t>volume discount: 5k column = 70% of 1k, 10k = 60% of 5k</t>
        </is>
      </c>
      <c r="M48" s="92" t="n"/>
      <c r="N48" s="237" t="n"/>
      <c r="O48" s="237" t="n"/>
      <c r="P48" s="237" t="n"/>
      <c r="Q48" s="237" t="n"/>
      <c r="R48" s="237" t="n"/>
      <c r="S48" s="237" t="n"/>
      <c r="T48" s="237" t="n"/>
      <c r="U48" s="237" t="n"/>
      <c r="V48" s="237" t="n"/>
      <c r="W48" s="237" t="n"/>
      <c r="X48" s="237" t="n"/>
      <c r="Y48" s="237" t="n"/>
      <c r="Z48" s="237" t="n"/>
      <c r="AA48" s="237" t="n"/>
      <c r="AB48" s="237" t="n"/>
      <c r="AC48" s="237" t="n"/>
      <c r="AD48" s="237" t="n"/>
    </row>
    <row r="49" ht="21.75" customHeight="1" s="349">
      <c r="A49" s="237" t="n"/>
      <c r="B49" s="92" t="inlineStr">
        <is>
          <t>B11</t>
        </is>
      </c>
      <c r="C49" s="114" t="inlineStr">
        <is>
          <t>Contingency/risk</t>
        </is>
      </c>
      <c r="D49" s="114" t="inlineStr">
        <is>
          <t>Contingency &amp; Risk Reserve</t>
        </is>
      </c>
      <c r="E49" s="97" t="n">
        <v>0</v>
      </c>
      <c r="F49" s="115" t="n">
        <v>0</v>
      </c>
      <c r="G49" s="115" t="n">
        <v>760</v>
      </c>
      <c r="H49" s="92" t="inlineStr">
        <is>
          <t>€/unit</t>
        </is>
      </c>
      <c r="I49" s="92" t="inlineStr">
        <is>
          <t xml:space="preserve">Source: No source, added for risk purposes </t>
        </is>
      </c>
      <c r="J49" s="92" t="n"/>
      <c r="L49" s="83" t="inlineStr">
        <is>
          <t>risk buffer, added by hand at the 10k tier only</t>
        </is>
      </c>
      <c r="M49" s="92" t="n"/>
      <c r="N49" s="237" t="n"/>
      <c r="O49" s="237" t="n"/>
      <c r="P49" s="237" t="n"/>
      <c r="Q49" s="237" t="n"/>
      <c r="R49" s="237" t="n"/>
      <c r="S49" s="237" t="n"/>
      <c r="T49" s="237" t="n"/>
      <c r="U49" s="237" t="n"/>
      <c r="V49" s="237" t="n"/>
      <c r="W49" s="237" t="n"/>
      <c r="X49" s="237" t="n"/>
      <c r="Y49" s="237" t="n"/>
      <c r="Z49" s="237" t="n"/>
      <c r="AA49" s="237" t="n"/>
      <c r="AB49" s="237" t="n"/>
      <c r="AC49" s="237" t="n"/>
      <c r="AD49" s="237" t="n"/>
    </row>
    <row r="50" ht="21.75" customHeight="1" s="349">
      <c r="A50" s="237" t="n"/>
      <c r="B50" s="116" t="inlineStr">
        <is>
          <t>B-T</t>
        </is>
      </c>
      <c r="C50" s="117" t="inlineStr">
        <is>
          <t>Supplier 1 total</t>
        </is>
      </c>
      <c r="D50" s="117" t="inlineStr">
        <is>
          <t>Total COGS / unit (BOM)</t>
        </is>
      </c>
      <c r="E50" s="118">
        <f>SUM(E39:E49)</f>
        <v/>
      </c>
      <c r="F50" s="118">
        <f>SUM(F39:F49)</f>
        <v/>
      </c>
      <c r="G50" s="118">
        <f>round(SUM(G39:G49),0)</f>
        <v/>
      </c>
      <c r="H50" s="109" t="inlineStr">
        <is>
          <t>€/unit</t>
        </is>
      </c>
      <c r="I50" s="109" t="n"/>
      <c r="J50" s="109" t="n"/>
      <c r="L50" s="83" t="inlineStr">
        <is>
          <t>adds the BOM lines up: cost per ketel at each volume tier</t>
        </is>
      </c>
      <c r="M50" s="92" t="n"/>
      <c r="N50" s="237" t="n"/>
      <c r="O50" s="237" t="n"/>
      <c r="P50" s="237" t="n"/>
      <c r="Q50" s="237" t="n"/>
      <c r="R50" s="237" t="n"/>
      <c r="S50" s="237" t="n"/>
      <c r="T50" s="237" t="n"/>
      <c r="U50" s="237" t="n"/>
      <c r="V50" s="237" t="n"/>
      <c r="W50" s="237" t="n"/>
      <c r="X50" s="237" t="n"/>
      <c r="Y50" s="237" t="n"/>
      <c r="Z50" s="237" t="n"/>
      <c r="AA50" s="237" t="n"/>
      <c r="AB50" s="237" t="n"/>
      <c r="AC50" s="237" t="n"/>
      <c r="AD50" s="237" t="n"/>
    </row>
    <row r="51" ht="21.75" customHeight="1" s="349">
      <c r="A51" s="237" t="n"/>
      <c r="B51" s="116" t="n"/>
      <c r="C51" s="109" t="n"/>
      <c r="D51" s="109" t="n"/>
      <c r="E51" s="118" t="n"/>
      <c r="F51" s="118" t="n"/>
      <c r="G51" s="118" t="n"/>
      <c r="H51" s="109" t="n"/>
      <c r="I51" s="109" t="n"/>
      <c r="J51" s="109" t="n"/>
      <c r="L51" s="83" t="n"/>
      <c r="M51" s="92" t="n"/>
      <c r="N51" s="237" t="n"/>
      <c r="O51" s="237" t="n"/>
      <c r="P51" s="237" t="n"/>
      <c r="Q51" s="237" t="n"/>
      <c r="R51" s="237" t="n"/>
      <c r="S51" s="237" t="n"/>
      <c r="T51" s="237" t="n"/>
      <c r="U51" s="237" t="n"/>
      <c r="V51" s="237" t="n"/>
      <c r="W51" s="237" t="n"/>
      <c r="X51" s="237" t="n"/>
      <c r="Y51" s="237" t="n"/>
      <c r="Z51" s="237" t="n"/>
      <c r="AA51" s="237" t="n"/>
      <c r="AB51" s="237" t="n"/>
      <c r="AC51" s="237" t="n"/>
      <c r="AD51" s="237" t="n"/>
    </row>
    <row r="52" hidden="1" ht="21.75" customHeight="1" s="349">
      <c r="A52" s="237" t="n"/>
      <c r="B52" s="101" t="inlineStr">
        <is>
          <t>Bill of Materials TTK supplier 2</t>
        </is>
      </c>
      <c r="C52" s="237" t="n"/>
      <c r="D52" s="237" t="n"/>
      <c r="E52" s="237" t="n"/>
      <c r="F52" s="92" t="n"/>
      <c r="G52" s="92" t="n"/>
      <c r="H52" s="92" t="n"/>
      <c r="I52" s="92" t="n"/>
      <c r="J52" s="92" t="n"/>
      <c r="L52" s="83" t="n"/>
      <c r="M52" s="92" t="n"/>
      <c r="N52" s="237" t="n"/>
      <c r="O52" s="237" t="n"/>
      <c r="P52" s="237" t="n"/>
      <c r="Q52" s="237" t="n"/>
      <c r="R52" s="237" t="n"/>
      <c r="S52" s="237" t="n"/>
      <c r="T52" s="237" t="n"/>
      <c r="U52" s="237" t="n"/>
      <c r="V52" s="237" t="n"/>
      <c r="W52" s="237" t="n"/>
      <c r="X52" s="237" t="n"/>
      <c r="Y52" s="237" t="n"/>
      <c r="Z52" s="237" t="n"/>
      <c r="AA52" s="237" t="n"/>
      <c r="AB52" s="237" t="n"/>
      <c r="AC52" s="237" t="n"/>
      <c r="AD52" s="237" t="n"/>
    </row>
    <row r="53" hidden="1" ht="21.75" customHeight="1" s="349">
      <c r="A53" s="237" t="n"/>
      <c r="B53" s="237" t="inlineStr">
        <is>
          <t>D1</t>
        </is>
      </c>
      <c r="C53" s="119" t="inlineStr">
        <is>
          <t>Supplier 2</t>
        </is>
      </c>
      <c r="D53" s="237" t="inlineStr">
        <is>
          <t>Compressor + VFD</t>
        </is>
      </c>
      <c r="E53" s="120" t="n">
        <v>2568</v>
      </c>
      <c r="F53" s="121" t="n">
        <v>2311.2</v>
      </c>
      <c r="G53" s="121" t="n">
        <v>2080.08</v>
      </c>
      <c r="H53" s="122" t="inlineStr">
        <is>
          <t>€/unit</t>
        </is>
      </c>
      <c r="I53" s="92" t="inlineStr">
        <is>
          <t>Source: BOM data provided</t>
        </is>
      </c>
      <c r="J53" s="92" t="n"/>
      <c r="L53" s="83" t="n"/>
      <c r="M53" s="92" t="n"/>
      <c r="N53" s="237" t="n"/>
      <c r="O53" s="237" t="n"/>
      <c r="P53" s="237" t="n"/>
      <c r="Q53" s="237" t="n"/>
      <c r="R53" s="237" t="n"/>
      <c r="S53" s="237" t="n"/>
      <c r="T53" s="237" t="n"/>
      <c r="U53" s="237" t="n"/>
      <c r="V53" s="237" t="n"/>
      <c r="W53" s="237" t="n"/>
      <c r="X53" s="237" t="n"/>
      <c r="Y53" s="237" t="n"/>
      <c r="Z53" s="237" t="n"/>
      <c r="AA53" s="237" t="n"/>
      <c r="AB53" s="237" t="n"/>
      <c r="AC53" s="237" t="n"/>
      <c r="AD53" s="237" t="n"/>
    </row>
    <row r="54" hidden="1" ht="21.75" customHeight="1" s="349">
      <c r="A54" s="237" t="n"/>
      <c r="B54" s="237" t="inlineStr">
        <is>
          <t>D2</t>
        </is>
      </c>
      <c r="C54" s="119" t="inlineStr">
        <is>
          <t>Supplier 2</t>
        </is>
      </c>
      <c r="D54" s="237" t="inlineStr">
        <is>
          <t>Heat exchangers (set)</t>
        </is>
      </c>
      <c r="E54" s="120" t="n">
        <v>805.5</v>
      </c>
      <c r="F54" s="123">
        <f>E54*0.7</f>
        <v/>
      </c>
      <c r="G54" s="123">
        <f>F54*0.6</f>
        <v/>
      </c>
      <c r="H54" s="122" t="inlineStr">
        <is>
          <t>€/unit</t>
        </is>
      </c>
      <c r="I54" s="92" t="inlineStr">
        <is>
          <t>Source: BOM data provided</t>
        </is>
      </c>
      <c r="J54" s="92" t="n"/>
      <c r="L54" s="83" t="inlineStr">
        <is>
          <t>volume discount: 5k column = 70% of 1k, 10k = 60% of 5k</t>
        </is>
      </c>
      <c r="M54" s="92" t="n"/>
      <c r="N54" s="237" t="n"/>
      <c r="O54" s="237" t="n"/>
      <c r="P54" s="237" t="n"/>
      <c r="Q54" s="237" t="n"/>
      <c r="R54" s="237" t="n"/>
      <c r="S54" s="237" t="n"/>
      <c r="T54" s="237" t="n"/>
      <c r="U54" s="237" t="n"/>
      <c r="V54" s="237" t="n"/>
      <c r="W54" s="237" t="n"/>
      <c r="X54" s="237" t="n"/>
      <c r="Y54" s="237" t="n"/>
      <c r="Z54" s="237" t="n"/>
      <c r="AA54" s="237" t="n"/>
      <c r="AB54" s="237" t="n"/>
      <c r="AC54" s="237" t="n"/>
      <c r="AD54" s="237" t="n"/>
    </row>
    <row r="55" hidden="1" ht="21.75" customHeight="1" s="349">
      <c r="A55" s="237" t="n"/>
      <c r="B55" s="237" t="inlineStr">
        <is>
          <t>D3</t>
        </is>
      </c>
      <c r="C55" s="119" t="inlineStr">
        <is>
          <t>Supplier 2</t>
        </is>
      </c>
      <c r="D55" s="237" t="inlineStr">
        <is>
          <t>Elektronica &amp; vermogenselektronica</t>
        </is>
      </c>
      <c r="E55" s="120" t="n">
        <v>257.92</v>
      </c>
      <c r="F55" s="123">
        <f>E55*0.7</f>
        <v/>
      </c>
      <c r="G55" s="123">
        <f>F55*0.6</f>
        <v/>
      </c>
      <c r="H55" s="122" t="inlineStr">
        <is>
          <t>€/unit</t>
        </is>
      </c>
      <c r="I55" s="92" t="inlineStr">
        <is>
          <t>Source: BOM data provided</t>
        </is>
      </c>
      <c r="J55" s="92" t="n"/>
      <c r="L55" s="83" t="inlineStr">
        <is>
          <t>volume discount: 5k column = 70% of 1k, 10k = 60% of 5k</t>
        </is>
      </c>
      <c r="M55" s="92" t="n"/>
      <c r="N55" s="237" t="n"/>
      <c r="O55" s="237" t="n"/>
      <c r="P55" s="237" t="n"/>
      <c r="Q55" s="237" t="n"/>
      <c r="R55" s="237" t="n"/>
      <c r="S55" s="237" t="n"/>
      <c r="T55" s="237" t="n"/>
      <c r="U55" s="237" t="n"/>
      <c r="V55" s="237" t="n"/>
      <c r="W55" s="237" t="n"/>
      <c r="X55" s="237" t="n"/>
      <c r="Y55" s="237" t="n"/>
      <c r="Z55" s="237" t="n"/>
      <c r="AA55" s="237" t="n"/>
      <c r="AB55" s="237" t="n"/>
      <c r="AC55" s="237" t="n"/>
      <c r="AD55" s="237" t="n"/>
    </row>
    <row r="56" hidden="1" ht="21.75" customHeight="1" s="349">
      <c r="A56" s="237" t="n"/>
      <c r="B56" s="237" t="inlineStr">
        <is>
          <t>D4</t>
        </is>
      </c>
      <c r="C56" s="119" t="inlineStr">
        <is>
          <t>Supplier 2</t>
        </is>
      </c>
      <c r="D56" s="237" t="inlineStr">
        <is>
          <t>Hydraulisch (pompen/kleppen/etc.)</t>
        </is>
      </c>
      <c r="E56" s="120" t="n">
        <v>283.76</v>
      </c>
      <c r="F56" s="123">
        <f>E56*0.7</f>
        <v/>
      </c>
      <c r="G56" s="123">
        <f>F56*0.6</f>
        <v/>
      </c>
      <c r="H56" s="122" t="inlineStr">
        <is>
          <t>€/unit</t>
        </is>
      </c>
      <c r="I56" s="92" t="inlineStr">
        <is>
          <t>Source: BOM data provided</t>
        </is>
      </c>
      <c r="J56" s="92" t="n"/>
      <c r="L56" s="83" t="inlineStr">
        <is>
          <t>volume discount: 5k column = 70% of 1k, 10k = 60% of 5k</t>
        </is>
      </c>
      <c r="M56" s="92" t="n"/>
      <c r="N56" s="237" t="n"/>
      <c r="O56" s="237" t="n"/>
      <c r="P56" s="237" t="n"/>
      <c r="Q56" s="237" t="n"/>
      <c r="R56" s="237" t="n"/>
      <c r="S56" s="237" t="n"/>
      <c r="T56" s="237" t="n"/>
      <c r="U56" s="237" t="n"/>
      <c r="V56" s="237" t="n"/>
      <c r="W56" s="237" t="n"/>
      <c r="X56" s="237" t="n"/>
      <c r="Y56" s="237" t="n"/>
      <c r="Z56" s="237" t="n"/>
      <c r="AA56" s="237" t="n"/>
      <c r="AB56" s="237" t="n"/>
      <c r="AC56" s="237" t="n"/>
      <c r="AD56" s="237" t="n"/>
    </row>
    <row r="57" hidden="1" ht="21.75" customHeight="1" s="349">
      <c r="A57" s="237" t="n"/>
      <c r="B57" s="237" t="inlineStr">
        <is>
          <t>D5</t>
        </is>
      </c>
      <c r="C57" s="119" t="inlineStr">
        <is>
          <t>Supplier 2</t>
        </is>
      </c>
      <c r="D57" s="237" t="inlineStr">
        <is>
          <t>Silencer + isolatie</t>
        </is>
      </c>
      <c r="E57" s="120" t="n">
        <v>118.48</v>
      </c>
      <c r="F57" s="123">
        <f>E57*0.7</f>
        <v/>
      </c>
      <c r="G57" s="123">
        <f>F57*0.6</f>
        <v/>
      </c>
      <c r="H57" s="122" t="inlineStr">
        <is>
          <t>€/unit</t>
        </is>
      </c>
      <c r="I57" s="92" t="inlineStr">
        <is>
          <t>Source: BOM data provided</t>
        </is>
      </c>
      <c r="J57" s="92" t="n"/>
      <c r="L57" s="83" t="inlineStr">
        <is>
          <t>volume discount: 5k column = 70% of 1k, 10k = 60% of 5k</t>
        </is>
      </c>
      <c r="M57" s="92" t="n"/>
      <c r="N57" s="237" t="n"/>
      <c r="O57" s="237" t="n"/>
      <c r="P57" s="237" t="n"/>
      <c r="Q57" s="237" t="n"/>
      <c r="R57" s="237" t="n"/>
      <c r="S57" s="237" t="n"/>
      <c r="T57" s="237" t="n"/>
      <c r="U57" s="237" t="n"/>
      <c r="V57" s="237" t="n"/>
      <c r="W57" s="237" t="n"/>
      <c r="X57" s="237" t="n"/>
      <c r="Y57" s="237" t="n"/>
      <c r="Z57" s="237" t="n"/>
      <c r="AA57" s="237" t="n"/>
      <c r="AB57" s="237" t="n"/>
      <c r="AC57" s="237" t="n"/>
      <c r="AD57" s="237" t="n"/>
    </row>
    <row r="58" hidden="1" ht="21.75" customHeight="1" s="349">
      <c r="A58" s="237" t="n"/>
      <c r="B58" s="237" t="inlineStr">
        <is>
          <t>D6</t>
        </is>
      </c>
      <c r="C58" s="119" t="inlineStr">
        <is>
          <t>Supplier 2</t>
        </is>
      </c>
      <c r="D58" s="237" t="inlineStr">
        <is>
          <t>Enclosure (plaatwerk, coating)</t>
        </is>
      </c>
      <c r="E58" s="120" t="n">
        <v>653.03</v>
      </c>
      <c r="F58" s="123">
        <f>E58*0.7</f>
        <v/>
      </c>
      <c r="G58" s="123">
        <f>F58*0.6</f>
        <v/>
      </c>
      <c r="H58" s="122" t="inlineStr">
        <is>
          <t>€/unit</t>
        </is>
      </c>
      <c r="I58" s="92" t="inlineStr">
        <is>
          <t>Source: BOM data provided</t>
        </is>
      </c>
      <c r="J58" s="92" t="n"/>
      <c r="L58" s="83" t="inlineStr">
        <is>
          <t>volume discount: 5k column = 70% of 1k, 10k = 60% of 5k</t>
        </is>
      </c>
      <c r="M58" s="92" t="n"/>
      <c r="N58" s="237" t="n"/>
      <c r="O58" s="237" t="n"/>
      <c r="P58" s="237" t="n"/>
      <c r="Q58" s="237" t="n"/>
      <c r="R58" s="237" t="n"/>
      <c r="S58" s="237" t="n"/>
      <c r="T58" s="237" t="n"/>
      <c r="U58" s="237" t="n"/>
      <c r="V58" s="237" t="n"/>
      <c r="W58" s="237" t="n"/>
      <c r="X58" s="237" t="n"/>
      <c r="Y58" s="237" t="n"/>
      <c r="Z58" s="237" t="n"/>
      <c r="AA58" s="237" t="n"/>
      <c r="AB58" s="237" t="n"/>
      <c r="AC58" s="237" t="n"/>
      <c r="AD58" s="237" t="n"/>
    </row>
    <row r="59" hidden="1" ht="21.75" customHeight="1" s="349">
      <c r="A59" s="237" t="n"/>
      <c r="B59" s="237" t="inlineStr">
        <is>
          <t>D7</t>
        </is>
      </c>
      <c r="C59" s="119" t="inlineStr">
        <is>
          <t>Supplier 2</t>
        </is>
      </c>
      <c r="D59" s="237" t="inlineStr">
        <is>
          <t>Everything Else</t>
        </is>
      </c>
      <c r="E59" s="120" t="n">
        <v>300</v>
      </c>
      <c r="F59" s="123">
        <f>E59*0.7</f>
        <v/>
      </c>
      <c r="G59" s="123">
        <f>F59*0.6</f>
        <v/>
      </c>
      <c r="H59" s="122" t="inlineStr">
        <is>
          <t>€/unit</t>
        </is>
      </c>
      <c r="I59" s="92" t="inlineStr">
        <is>
          <t>Source: BOM data provided</t>
        </is>
      </c>
      <c r="J59" s="92" t="n"/>
      <c r="L59" s="83" t="inlineStr">
        <is>
          <t>volume discount: 5k column = 70% of 1k, 10k = 60% of 5k</t>
        </is>
      </c>
      <c r="M59" s="92" t="n"/>
      <c r="N59" s="237" t="n"/>
      <c r="O59" s="237" t="n"/>
      <c r="P59" s="237" t="n"/>
      <c r="Q59" s="237" t="n"/>
      <c r="R59" s="237" t="n"/>
      <c r="S59" s="237" t="n"/>
      <c r="T59" s="237" t="n"/>
      <c r="U59" s="237" t="n"/>
      <c r="V59" s="237" t="n"/>
      <c r="W59" s="237" t="n"/>
      <c r="X59" s="237" t="n"/>
      <c r="Y59" s="237" t="n"/>
      <c r="Z59" s="237" t="n"/>
      <c r="AA59" s="237" t="n"/>
      <c r="AB59" s="237" t="n"/>
      <c r="AC59" s="237" t="n"/>
      <c r="AD59" s="237" t="n"/>
    </row>
    <row r="60" hidden="1" ht="21.75" customHeight="1" s="349">
      <c r="A60" s="237" t="n"/>
      <c r="B60" s="237" t="inlineStr">
        <is>
          <t>D8</t>
        </is>
      </c>
      <c r="C60" s="119" t="inlineStr">
        <is>
          <t>Supplier 2</t>
        </is>
      </c>
      <c r="D60" s="237" t="inlineStr">
        <is>
          <t>Assemblage &amp; eindtest</t>
        </is>
      </c>
      <c r="E60" s="120" t="n">
        <v>200</v>
      </c>
      <c r="F60" s="123">
        <f>E60*0.7</f>
        <v/>
      </c>
      <c r="G60" s="123">
        <f>F60*0.6</f>
        <v/>
      </c>
      <c r="H60" s="122" t="inlineStr">
        <is>
          <t>€/unit</t>
        </is>
      </c>
      <c r="I60" s="92" t="inlineStr">
        <is>
          <t>Source: BOM data provided</t>
        </is>
      </c>
      <c r="J60" s="92" t="n"/>
      <c r="L60" s="83" t="inlineStr">
        <is>
          <t>volume discount: 5k column = 70% of 1k, 10k = 60% of 5k</t>
        </is>
      </c>
      <c r="M60" s="92" t="n"/>
      <c r="N60" s="237" t="n"/>
      <c r="O60" s="237" t="n"/>
      <c r="P60" s="237" t="n"/>
      <c r="Q60" s="237" t="n"/>
      <c r="R60" s="237" t="n"/>
      <c r="S60" s="237" t="n"/>
      <c r="T60" s="237" t="n"/>
      <c r="U60" s="237" t="n"/>
      <c r="V60" s="237" t="n"/>
      <c r="W60" s="237" t="n"/>
      <c r="X60" s="237" t="n"/>
      <c r="Y60" s="237" t="n"/>
      <c r="Z60" s="237" t="n"/>
      <c r="AA60" s="237" t="n"/>
      <c r="AB60" s="237" t="n"/>
      <c r="AC60" s="237" t="n"/>
      <c r="AD60" s="237" t="n"/>
    </row>
    <row r="61" hidden="1" ht="21.75" customHeight="1" s="349">
      <c r="A61" s="237" t="n"/>
      <c r="B61" s="237" t="inlineStr">
        <is>
          <t>D9</t>
        </is>
      </c>
      <c r="C61" s="119" t="inlineStr">
        <is>
          <t>Supplier 2</t>
        </is>
      </c>
      <c r="D61" s="237" t="inlineStr">
        <is>
          <t>Verpakking &amp; logistiek inkomend</t>
        </is>
      </c>
      <c r="E61" s="120" t="n">
        <v>400</v>
      </c>
      <c r="F61" s="123">
        <f>E61*0.7</f>
        <v/>
      </c>
      <c r="G61" s="123">
        <f>F61*0.6</f>
        <v/>
      </c>
      <c r="H61" s="122" t="inlineStr">
        <is>
          <t>€/unit</t>
        </is>
      </c>
      <c r="I61" s="92" t="inlineStr">
        <is>
          <t>Source: BOM data provided</t>
        </is>
      </c>
      <c r="J61" s="92" t="n"/>
      <c r="L61" s="83" t="inlineStr">
        <is>
          <t>volume discount: 5k column = 70% of 1k, 10k = 60% of 5k</t>
        </is>
      </c>
      <c r="M61" s="92" t="n"/>
      <c r="N61" s="237" t="n"/>
      <c r="O61" s="237" t="n"/>
      <c r="P61" s="237" t="n"/>
      <c r="Q61" s="237" t="n"/>
      <c r="R61" s="237" t="n"/>
      <c r="S61" s="237" t="n"/>
      <c r="T61" s="237" t="n"/>
      <c r="U61" s="237" t="n"/>
      <c r="V61" s="237" t="n"/>
      <c r="W61" s="237" t="n"/>
      <c r="X61" s="237" t="n"/>
      <c r="Y61" s="237" t="n"/>
      <c r="Z61" s="237" t="n"/>
      <c r="AA61" s="237" t="n"/>
      <c r="AB61" s="237" t="n"/>
      <c r="AC61" s="237" t="n"/>
      <c r="AD61" s="237" t="n"/>
    </row>
    <row r="62" hidden="1" ht="21.75" customHeight="1" s="349">
      <c r="A62" s="237" t="n"/>
      <c r="B62" s="237" t="inlineStr">
        <is>
          <t>D10</t>
        </is>
      </c>
      <c r="C62" s="119" t="inlineStr">
        <is>
          <t>Supplier 2</t>
        </is>
      </c>
      <c r="D62" s="237" t="inlineStr">
        <is>
          <t>Yield / garantie-reserve (~3%)</t>
        </is>
      </c>
      <c r="E62" s="120" t="n">
        <v>236.81</v>
      </c>
      <c r="F62" s="123">
        <f>E62*0.7</f>
        <v/>
      </c>
      <c r="G62" s="123">
        <f>F62*0.6</f>
        <v/>
      </c>
      <c r="H62" s="122" t="inlineStr">
        <is>
          <t>€/unit</t>
        </is>
      </c>
      <c r="I62" s="92" t="inlineStr">
        <is>
          <t>Source: BOM data provided</t>
        </is>
      </c>
      <c r="J62" s="92" t="n"/>
      <c r="L62" s="83" t="inlineStr">
        <is>
          <t>volume discount: 5k column = 70% of 1k, 10k = 60% of 5k</t>
        </is>
      </c>
      <c r="M62" s="92" t="n"/>
      <c r="N62" s="237" t="n"/>
      <c r="O62" s="237" t="n"/>
      <c r="P62" s="237" t="n"/>
      <c r="Q62" s="237" t="n"/>
      <c r="R62" s="237" t="n"/>
      <c r="S62" s="237" t="n"/>
      <c r="T62" s="237" t="n"/>
      <c r="U62" s="237" t="n"/>
      <c r="V62" s="237" t="n"/>
      <c r="W62" s="237" t="n"/>
      <c r="X62" s="237" t="n"/>
      <c r="Y62" s="237" t="n"/>
      <c r="Z62" s="237" t="n"/>
      <c r="AA62" s="237" t="n"/>
      <c r="AB62" s="237" t="n"/>
      <c r="AC62" s="237" t="n"/>
      <c r="AD62" s="237" t="n"/>
    </row>
    <row r="63" hidden="1" ht="21.75" customHeight="1" s="349">
      <c r="A63" s="237" t="n"/>
      <c r="B63" s="237" t="n"/>
      <c r="C63" s="109" t="inlineStr">
        <is>
          <t>Supplier 2 total</t>
        </is>
      </c>
      <c r="D63" s="109" t="inlineStr">
        <is>
          <t>Total COGS / unit (BOM)</t>
        </is>
      </c>
      <c r="E63" s="129">
        <f>SUM(E53:E62)</f>
        <v/>
      </c>
      <c r="F63" s="130">
        <f>SUM(F53:F62)</f>
        <v/>
      </c>
      <c r="G63" s="130">
        <f>SUM(G53:G62)</f>
        <v/>
      </c>
      <c r="H63" s="131" t="n"/>
      <c r="I63" s="122" t="n"/>
      <c r="J63" s="92" t="n"/>
      <c r="L63" s="83" t="inlineStr">
        <is>
          <t>supplier 2's total cost per ketel at each tier, for comparison</t>
        </is>
      </c>
      <c r="M63" s="92" t="n"/>
      <c r="N63" s="237" t="n"/>
      <c r="O63" s="237" t="n"/>
      <c r="P63" s="237" t="n"/>
      <c r="Q63" s="237" t="n"/>
      <c r="R63" s="237" t="n"/>
      <c r="S63" s="237" t="n"/>
      <c r="T63" s="237" t="n"/>
      <c r="U63" s="237" t="n"/>
      <c r="V63" s="237" t="n"/>
      <c r="W63" s="237" t="n"/>
      <c r="X63" s="237" t="n"/>
      <c r="Y63" s="237" t="n"/>
      <c r="Z63" s="237" t="n"/>
      <c r="AA63" s="237" t="n"/>
      <c r="AB63" s="237" t="n"/>
      <c r="AC63" s="237" t="n"/>
      <c r="AD63" s="237" t="n"/>
    </row>
    <row r="64" ht="21.75" customHeight="1" s="349">
      <c r="A64" s="237" t="n"/>
      <c r="B64" s="237" t="n"/>
      <c r="C64" s="237" t="n"/>
      <c r="D64" s="237" t="n"/>
      <c r="E64" s="237" t="n"/>
      <c r="F64" s="122" t="n"/>
      <c r="G64" s="122" t="n"/>
      <c r="H64" s="122" t="n"/>
      <c r="I64" s="122" t="n"/>
      <c r="J64" s="92" t="n"/>
      <c r="L64" s="83" t="n"/>
      <c r="M64" s="92" t="n"/>
      <c r="N64" s="237" t="n"/>
      <c r="O64" s="237" t="n"/>
      <c r="P64" s="237" t="n"/>
      <c r="Q64" s="237" t="n"/>
      <c r="R64" s="237" t="n"/>
      <c r="S64" s="237" t="n"/>
      <c r="T64" s="237" t="n"/>
      <c r="U64" s="237" t="n"/>
      <c r="V64" s="237" t="n"/>
      <c r="W64" s="237" t="n"/>
      <c r="X64" s="237" t="n"/>
      <c r="Y64" s="237" t="n"/>
      <c r="Z64" s="237" t="n"/>
      <c r="AA64" s="237" t="n"/>
      <c r="AB64" s="237" t="n"/>
      <c r="AC64" s="237" t="n"/>
      <c r="AD64" s="237" t="n"/>
    </row>
    <row r="65" ht="21.75" customHeight="1" s="349">
      <c r="A65" s="237" t="n"/>
      <c r="B65" s="140" t="inlineStr">
        <is>
          <t>TTK Volume tier breakpoints</t>
        </is>
      </c>
      <c r="H65" s="122" t="n"/>
      <c r="I65" s="122" t="n"/>
      <c r="J65" s="122" t="n"/>
      <c r="K65" s="122" t="n"/>
      <c r="L65" s="40" t="n"/>
      <c r="M65" s="92" t="n"/>
      <c r="N65" s="237" t="n"/>
      <c r="O65" s="237" t="n"/>
      <c r="P65" s="237" t="n"/>
      <c r="Q65" s="237" t="n"/>
      <c r="R65" s="237" t="n"/>
      <c r="S65" s="237" t="n"/>
      <c r="T65" s="237" t="n"/>
      <c r="U65" s="237" t="n"/>
      <c r="V65" s="237" t="n"/>
      <c r="W65" s="237" t="n"/>
      <c r="X65" s="237" t="n"/>
      <c r="Y65" s="237" t="n"/>
      <c r="Z65" s="237" t="n"/>
      <c r="AA65" s="237" t="n"/>
      <c r="AB65" s="237" t="n"/>
      <c r="AC65" s="237" t="n"/>
      <c r="AD65" s="237" t="n"/>
    </row>
    <row r="66" ht="21.75" customHeight="1" s="349">
      <c r="A66" s="237" t="n"/>
      <c r="B66" s="153" t="inlineStr">
        <is>
          <t>Min Units (≥)</t>
        </is>
      </c>
      <c r="C66" s="153" t="inlineStr">
        <is>
          <t>Cost / unit</t>
        </is>
      </c>
      <c r="D66" s="153" t="inlineStr">
        <is>
          <t>Unit</t>
        </is>
      </c>
      <c r="E66" s="153" t="inlineStr">
        <is>
          <t>Note</t>
        </is>
      </c>
      <c r="F66" s="307" t="n"/>
      <c r="G66" s="307" t="n"/>
      <c r="H66" s="31" t="n"/>
      <c r="I66" s="92" t="n"/>
      <c r="J66" s="92" t="n"/>
      <c r="K66" s="31" t="n"/>
      <c r="L66" s="40" t="n"/>
      <c r="M66" s="92" t="n"/>
      <c r="N66" s="237" t="n"/>
      <c r="O66" s="237" t="n"/>
      <c r="P66" s="237" t="n"/>
      <c r="Q66" s="237" t="n"/>
      <c r="R66" s="237" t="n"/>
      <c r="S66" s="237" t="n"/>
      <c r="T66" s="237" t="n"/>
      <c r="U66" s="237" t="n"/>
      <c r="V66" s="237" t="n"/>
      <c r="W66" s="237" t="n"/>
      <c r="X66" s="237" t="n"/>
      <c r="Y66" s="237" t="n"/>
      <c r="Z66" s="237" t="n"/>
      <c r="AA66" s="237" t="n"/>
      <c r="AB66" s="237" t="n"/>
      <c r="AC66" s="237" t="n"/>
      <c r="AD66" s="237" t="n"/>
    </row>
    <row r="67" ht="21.75" customHeight="1" s="349">
      <c r="A67" s="237" t="n"/>
      <c r="B67" s="139" t="n">
        <v>0</v>
      </c>
      <c r="C67" s="136">
        <f>E50</f>
        <v/>
      </c>
      <c r="D67" s="153" t="inlineStr">
        <is>
          <t>€/unit</t>
        </is>
      </c>
      <c r="E67" s="237" t="inlineStr">
        <is>
          <t>Linked from BOM Total row above</t>
        </is>
      </c>
      <c r="F67" s="307" t="n"/>
      <c r="G67" s="31" t="n"/>
      <c r="H67" s="31" t="n"/>
      <c r="I67" s="122" t="n"/>
      <c r="J67" s="122" t="n"/>
      <c r="K67" s="31" t="n"/>
      <c r="L67" s="40" t="inlineStr">
        <is>
          <t>the sub-5,000 tier. cost pulled from the BOM total above</t>
        </is>
      </c>
      <c r="M67" s="92" t="n"/>
      <c r="N67" s="237" t="n"/>
      <c r="O67" s="237" t="n"/>
      <c r="P67" s="237" t="n"/>
      <c r="Q67" s="237" t="n"/>
      <c r="R67" s="237" t="n"/>
      <c r="S67" s="237" t="n"/>
      <c r="T67" s="237" t="n"/>
      <c r="U67" s="237" t="n"/>
      <c r="V67" s="237" t="n"/>
      <c r="W67" s="237" t="n"/>
      <c r="X67" s="237" t="n"/>
      <c r="Y67" s="237" t="n"/>
      <c r="Z67" s="237" t="n"/>
      <c r="AA67" s="237" t="n"/>
      <c r="AB67" s="237" t="n"/>
      <c r="AC67" s="237" t="n"/>
      <c r="AD67" s="237" t="n"/>
    </row>
    <row r="68" ht="21.75" customHeight="1" s="349">
      <c r="A68" s="237" t="n"/>
      <c r="B68" s="139" t="n">
        <v>5000</v>
      </c>
      <c r="C68" s="136">
        <f>F50</f>
        <v/>
      </c>
      <c r="D68" s="153" t="inlineStr">
        <is>
          <t>€/unit</t>
        </is>
      </c>
      <c r="E68" s="237" t="inlineStr">
        <is>
          <t>Linked from BOM Total row above</t>
        </is>
      </c>
      <c r="F68" s="307" t="n"/>
      <c r="G68" s="31" t="n"/>
      <c r="H68" s="31" t="n"/>
      <c r="I68" s="122" t="n"/>
      <c r="J68" s="122" t="n"/>
      <c r="K68" s="31" t="n"/>
      <c r="L68" s="40" t="inlineStr">
        <is>
          <t>the 5,000+ tier. COGS looks up this little table</t>
        </is>
      </c>
      <c r="M68" s="92" t="n"/>
      <c r="N68" s="237" t="n"/>
      <c r="O68" s="237" t="n"/>
      <c r="P68" s="237" t="n"/>
      <c r="Q68" s="237" t="n"/>
      <c r="R68" s="237" t="n"/>
      <c r="S68" s="237" t="n"/>
      <c r="T68" s="237" t="n"/>
      <c r="U68" s="237" t="n"/>
      <c r="V68" s="237" t="n"/>
      <c r="W68" s="237" t="n"/>
      <c r="X68" s="237" t="n"/>
      <c r="Y68" s="237" t="n"/>
      <c r="Z68" s="237" t="n"/>
      <c r="AA68" s="237" t="n"/>
      <c r="AB68" s="237" t="n"/>
      <c r="AC68" s="237" t="n"/>
      <c r="AD68" s="237" t="n"/>
    </row>
    <row r="69" ht="21.75" customHeight="1" s="349">
      <c r="A69" s="237" t="n"/>
      <c r="B69" s="139" t="n">
        <v>10000</v>
      </c>
      <c r="C69" s="136">
        <f>G50</f>
        <v/>
      </c>
      <c r="D69" s="153" t="inlineStr">
        <is>
          <t>€/unit</t>
        </is>
      </c>
      <c r="E69" s="237" t="inlineStr">
        <is>
          <t>Linked from BOM Total row above</t>
        </is>
      </c>
      <c r="F69" s="307" t="n"/>
      <c r="G69" s="31" t="n"/>
      <c r="H69" s="31" t="n"/>
      <c r="I69" s="122" t="n"/>
      <c r="J69" s="122" t="n"/>
      <c r="K69" s="31" t="n"/>
      <c r="L69" s="40" t="inlineStr">
        <is>
          <t>the 10,000+ tier. the tier key is two years of volume, not one</t>
        </is>
      </c>
      <c r="M69" s="92" t="n"/>
      <c r="N69" s="237" t="n"/>
      <c r="O69" s="237" t="n"/>
      <c r="P69" s="237" t="n"/>
      <c r="Q69" s="237" t="n"/>
      <c r="R69" s="237" t="n"/>
      <c r="S69" s="237" t="n"/>
      <c r="T69" s="237" t="n"/>
      <c r="U69" s="237" t="n"/>
      <c r="V69" s="237" t="n"/>
      <c r="W69" s="237" t="n"/>
      <c r="X69" s="237" t="n"/>
      <c r="Y69" s="237" t="n"/>
      <c r="Z69" s="237" t="n"/>
      <c r="AA69" s="237" t="n"/>
      <c r="AB69" s="237" t="n"/>
      <c r="AC69" s="237" t="n"/>
      <c r="AD69" s="237" t="n"/>
    </row>
    <row r="70" ht="21" customHeight="1" s="349">
      <c r="A70" s="307" t="n"/>
      <c r="B70" s="307" t="n"/>
      <c r="C70" s="307" t="n"/>
      <c r="D70" s="307" t="n"/>
      <c r="E70" s="307" t="n"/>
      <c r="F70" s="307" t="n"/>
      <c r="G70" s="307" t="n"/>
      <c r="H70" s="31" t="n"/>
      <c r="I70" s="31" t="n"/>
      <c r="J70" s="31" t="n"/>
      <c r="K70" s="31" t="n"/>
      <c r="L70" s="40" t="n"/>
      <c r="M70" s="31" t="n"/>
      <c r="N70" s="307" t="n"/>
      <c r="O70" s="307" t="n"/>
      <c r="P70" s="307" t="n"/>
      <c r="Q70" s="307" t="n"/>
      <c r="R70" s="307" t="n"/>
      <c r="S70" s="307" t="n"/>
      <c r="T70" s="307" t="n"/>
      <c r="U70" s="307" t="n"/>
      <c r="V70" s="307" t="n"/>
      <c r="W70" s="307" t="n"/>
      <c r="X70" s="307" t="n"/>
      <c r="Y70" s="307" t="n"/>
      <c r="Z70" s="307" t="n"/>
      <c r="AA70" s="307" t="n"/>
      <c r="AB70" s="307" t="n"/>
      <c r="AC70" s="307" t="n"/>
      <c r="AD70" s="307" t="n"/>
    </row>
    <row r="71" ht="21.75" customHeight="1" s="349">
      <c r="A71" s="237" t="n"/>
      <c r="B71" s="140" t="inlineStr">
        <is>
          <t>OUTDOOR UNIT COGS (Combi+) — volume tiers</t>
        </is>
      </c>
      <c r="H71" s="122" t="n"/>
      <c r="I71" s="122" t="n"/>
      <c r="J71" s="122" t="n"/>
      <c r="K71" s="92" t="n"/>
      <c r="L71" s="40" t="n"/>
      <c r="M71" s="92" t="n"/>
      <c r="N71" s="237" t="n"/>
      <c r="O71" s="237" t="n"/>
      <c r="P71" s="237" t="n"/>
      <c r="Q71" s="237" t="n"/>
      <c r="R71" s="237" t="n"/>
      <c r="S71" s="237" t="n"/>
      <c r="T71" s="237" t="n"/>
      <c r="U71" s="237" t="n"/>
      <c r="V71" s="237" t="n"/>
      <c r="W71" s="237" t="n"/>
      <c r="X71" s="237" t="n"/>
      <c r="Y71" s="237" t="n"/>
      <c r="Z71" s="237" t="n"/>
      <c r="AA71" s="237" t="n"/>
      <c r="AB71" s="237" t="n"/>
      <c r="AC71" s="237" t="n"/>
      <c r="AD71" s="237" t="n"/>
    </row>
    <row r="72" ht="21.75" customHeight="1" s="349">
      <c r="A72" s="237" t="n"/>
      <c r="B72" s="146" t="inlineStr">
        <is>
          <t>Component</t>
        </is>
      </c>
      <c r="C72" s="146" t="n"/>
      <c r="D72" s="146" t="n"/>
      <c r="E72" s="146" t="inlineStr">
        <is>
          <t>1,000 units</t>
        </is>
      </c>
      <c r="F72" s="146" t="inlineStr">
        <is>
          <t>5,000 units</t>
        </is>
      </c>
      <c r="G72" s="142" t="inlineStr">
        <is>
          <t>10,000 units</t>
        </is>
      </c>
      <c r="H72" s="142" t="inlineStr">
        <is>
          <t>Unit</t>
        </is>
      </c>
      <c r="I72" s="142" t="inlineStr">
        <is>
          <t>Unit</t>
        </is>
      </c>
      <c r="J72" s="142" t="inlineStr">
        <is>
          <t>Source</t>
        </is>
      </c>
      <c r="K72" s="31" t="n"/>
      <c r="L72" s="83" t="n"/>
      <c r="M72" s="92" t="n"/>
      <c r="N72" s="237" t="n"/>
      <c r="O72" s="237" t="n"/>
      <c r="P72" s="237" t="n"/>
      <c r="Q72" s="237" t="n"/>
      <c r="R72" s="237" t="n"/>
      <c r="S72" s="237" t="n"/>
      <c r="T72" s="237" t="n"/>
      <c r="U72" s="237" t="n"/>
      <c r="V72" s="237" t="n"/>
      <c r="W72" s="237" t="n"/>
      <c r="X72" s="237" t="n"/>
      <c r="Y72" s="237" t="n"/>
      <c r="Z72" s="237" t="n"/>
      <c r="AA72" s="237" t="n"/>
      <c r="AB72" s="237" t="n"/>
      <c r="AC72" s="237" t="n"/>
      <c r="AD72" s="237" t="n"/>
    </row>
    <row r="73" ht="21.75" customHeight="1" s="349">
      <c r="A73" s="237" t="n"/>
      <c r="B73" s="146" t="inlineStr">
        <is>
          <t>Outdoor unit — Combi+</t>
        </is>
      </c>
      <c r="C73" s="307" t="n"/>
      <c r="D73" s="307" t="n"/>
      <c r="E73" s="143" t="n">
        <v>1402.6</v>
      </c>
      <c r="F73" s="143" t="n">
        <v>1262.34</v>
      </c>
      <c r="G73" s="143" t="n">
        <v>1136.1</v>
      </c>
      <c r="H73" s="145" t="inlineStr">
        <is>
          <t>€/unit</t>
        </is>
      </c>
      <c r="I73" s="142" t="inlineStr">
        <is>
          <t>€/unit</t>
        </is>
      </c>
      <c r="J73" s="31" t="inlineStr">
        <is>
          <t>Source: BOM data</t>
        </is>
      </c>
      <c r="K73" s="31" t="n"/>
      <c r="L73" s="83" t="n"/>
      <c r="M73" s="92" t="n"/>
      <c r="N73" s="237" t="n"/>
      <c r="O73" s="237" t="n"/>
      <c r="P73" s="237" t="n"/>
      <c r="Q73" s="237" t="n"/>
      <c r="R73" s="237" t="n"/>
      <c r="S73" s="237" t="n"/>
      <c r="T73" s="237" t="n"/>
      <c r="U73" s="237" t="n"/>
      <c r="V73" s="237" t="n"/>
      <c r="W73" s="237" t="n"/>
      <c r="X73" s="237" t="n"/>
      <c r="Y73" s="237" t="n"/>
      <c r="Z73" s="237" t="n"/>
      <c r="AA73" s="237" t="n"/>
      <c r="AB73" s="237" t="n"/>
      <c r="AC73" s="237" t="n"/>
      <c r="AD73" s="237" t="n"/>
    </row>
    <row r="74" ht="21.75" customHeight="1" s="349">
      <c r="A74" s="237" t="n"/>
      <c r="B74" s="146" t="inlineStr">
        <is>
          <t>Shipping (Combi+)</t>
        </is>
      </c>
      <c r="C74" s="307" t="n"/>
      <c r="D74" s="307" t="n"/>
      <c r="E74" s="143" t="n">
        <v>100</v>
      </c>
      <c r="F74" s="143" t="n">
        <v>100</v>
      </c>
      <c r="G74" s="143" t="n">
        <v>100</v>
      </c>
      <c r="H74" s="145" t="inlineStr">
        <is>
          <t>€/unit</t>
        </is>
      </c>
      <c r="I74" s="142" t="inlineStr">
        <is>
          <t>€/unit</t>
        </is>
      </c>
      <c r="J74" s="31" t="inlineStr">
        <is>
          <t>Source: BOM data</t>
        </is>
      </c>
      <c r="K74" s="31" t="n"/>
      <c r="L74" s="83" t="n"/>
      <c r="M74" s="92" t="n"/>
      <c r="N74" s="237" t="n"/>
      <c r="O74" s="237" t="n"/>
      <c r="P74" s="237" t="n"/>
      <c r="Q74" s="237" t="n"/>
      <c r="R74" s="237" t="n"/>
      <c r="S74" s="237" t="n"/>
      <c r="T74" s="237" t="n"/>
      <c r="U74" s="237" t="n"/>
      <c r="V74" s="237" t="n"/>
      <c r="W74" s="237" t="n"/>
      <c r="X74" s="237" t="n"/>
      <c r="Y74" s="237" t="n"/>
      <c r="Z74" s="237" t="n"/>
      <c r="AA74" s="237" t="n"/>
      <c r="AB74" s="237" t="n"/>
      <c r="AC74" s="237" t="n"/>
      <c r="AD74" s="237" t="n"/>
    </row>
    <row r="75" ht="21.75" customHeight="1" s="349">
      <c r="A75" s="237" t="n"/>
      <c r="B75" s="146" t="n"/>
      <c r="C75" s="307" t="n"/>
      <c r="D75" s="307" t="n"/>
      <c r="E75" s="143" t="n"/>
      <c r="F75" s="143" t="n"/>
      <c r="G75" s="143" t="n"/>
      <c r="H75" s="145" t="n"/>
      <c r="I75" s="142" t="n"/>
      <c r="J75" s="31" t="n"/>
      <c r="K75" s="31" t="n"/>
      <c r="L75" s="83" t="n"/>
      <c r="M75" s="92" t="n"/>
      <c r="N75" s="237" t="n"/>
      <c r="O75" s="237" t="n"/>
      <c r="P75" s="237" t="n"/>
      <c r="Q75" s="237" t="n"/>
      <c r="R75" s="237" t="n"/>
      <c r="S75" s="237" t="n"/>
      <c r="T75" s="237" t="n"/>
      <c r="U75" s="237" t="n"/>
      <c r="V75" s="237" t="n"/>
      <c r="W75" s="237" t="n"/>
      <c r="X75" s="237" t="n"/>
      <c r="Y75" s="237" t="n"/>
      <c r="Z75" s="237" t="n"/>
      <c r="AA75" s="237" t="n"/>
      <c r="AB75" s="237" t="n"/>
      <c r="AC75" s="237" t="n"/>
      <c r="AD75" s="237" t="n"/>
    </row>
    <row r="76" ht="21.75" customHeight="1" s="349">
      <c r="A76" s="147" t="n"/>
      <c r="B76" s="148" t="inlineStr">
        <is>
          <t>Outdoor Unit tier breakpoints (for COGS VLOOKUP)</t>
        </is>
      </c>
      <c r="C76" s="107" t="n"/>
      <c r="D76" s="107" t="n"/>
      <c r="E76" s="149" t="n"/>
      <c r="F76" s="149" t="n"/>
      <c r="G76" s="149" t="n"/>
      <c r="H76" s="149" t="n"/>
      <c r="I76" s="150" t="n"/>
      <c r="J76" s="151" t="n"/>
      <c r="K76" s="151" t="n"/>
      <c r="L76" s="83" t="n"/>
      <c r="M76" s="109" t="n"/>
      <c r="N76" s="147" t="n"/>
      <c r="O76" s="147" t="n"/>
      <c r="P76" s="147" t="n"/>
      <c r="Q76" s="147" t="n"/>
      <c r="R76" s="147" t="n"/>
      <c r="S76" s="147" t="n"/>
      <c r="T76" s="147" t="n"/>
      <c r="U76" s="147" t="n"/>
      <c r="V76" s="147" t="n"/>
      <c r="W76" s="147" t="n"/>
      <c r="X76" s="147" t="n"/>
      <c r="Y76" s="147" t="n"/>
      <c r="Z76" s="147" t="n"/>
      <c r="AA76" s="147" t="n"/>
      <c r="AB76" s="147" t="n"/>
      <c r="AC76" s="147" t="n"/>
      <c r="AD76" s="147" t="n"/>
    </row>
    <row r="77" ht="21.75" customHeight="1" s="349">
      <c r="A77" s="237" t="n"/>
      <c r="B77" s="152" t="inlineStr">
        <is>
          <t>Min Units (≥)</t>
        </is>
      </c>
      <c r="L77" s="40" t="n"/>
      <c r="M77" s="92" t="n"/>
      <c r="N77" s="237" t="n"/>
      <c r="O77" s="237" t="n"/>
      <c r="P77" s="237" t="n"/>
      <c r="Q77" s="237" t="n"/>
      <c r="R77" s="237" t="n"/>
      <c r="S77" s="237" t="n"/>
      <c r="T77" s="237" t="n"/>
      <c r="U77" s="237" t="n"/>
      <c r="V77" s="237" t="n"/>
      <c r="W77" s="237" t="n"/>
      <c r="X77" s="237" t="n"/>
      <c r="Y77" s="237" t="n"/>
      <c r="Z77" s="237" t="n"/>
      <c r="AA77" s="237" t="n"/>
      <c r="AB77" s="237" t="n"/>
      <c r="AC77" s="237" t="n"/>
      <c r="AD77" s="237" t="n"/>
    </row>
    <row r="78" ht="21.75" customHeight="1" s="349">
      <c r="A78" s="237" t="n"/>
      <c r="B78" s="153" t="n">
        <v>0</v>
      </c>
      <c r="C78" s="136">
        <f>E73</f>
        <v/>
      </c>
      <c r="D78" s="153" t="n"/>
      <c r="E78" s="31" t="n"/>
      <c r="F78" s="154" t="n"/>
      <c r="G78" s="307" t="n"/>
      <c r="H78" s="31" t="n"/>
      <c r="I78" s="92" t="n"/>
      <c r="J78" s="155" t="n"/>
      <c r="K78" s="31" t="n"/>
      <c r="L78" s="40" t="inlineStr">
        <is>
          <t>outdoor unit cost below 5,000 units, pulled from the table above</t>
        </is>
      </c>
      <c r="M78" s="92" t="n"/>
      <c r="N78" s="237" t="n"/>
      <c r="O78" s="237" t="n"/>
      <c r="P78" s="237" t="n"/>
      <c r="Q78" s="237" t="n"/>
      <c r="R78" s="237" t="n"/>
      <c r="S78" s="237" t="n"/>
      <c r="T78" s="237" t="n"/>
      <c r="U78" s="237" t="n"/>
      <c r="V78" s="237" t="n"/>
      <c r="W78" s="237" t="n"/>
      <c r="X78" s="237" t="n"/>
      <c r="Y78" s="237" t="n"/>
      <c r="Z78" s="237" t="n"/>
      <c r="AA78" s="237" t="n"/>
      <c r="AB78" s="237" t="n"/>
      <c r="AC78" s="237" t="n"/>
      <c r="AD78" s="237" t="n"/>
    </row>
    <row r="79" ht="21.75" customHeight="1" s="349">
      <c r="A79" s="237" t="n"/>
      <c r="B79" s="139" t="n">
        <v>5000</v>
      </c>
      <c r="C79" s="136">
        <f>F73</f>
        <v/>
      </c>
      <c r="D79" s="153" t="n"/>
      <c r="E79" s="31" t="n"/>
      <c r="F79" s="154" t="n"/>
      <c r="G79" s="307" t="n"/>
      <c r="H79" s="31" t="n"/>
      <c r="I79" s="122" t="n"/>
      <c r="J79" s="155" t="n"/>
      <c r="K79" s="31" t="n"/>
      <c r="L79" s="40" t="inlineStr">
        <is>
          <t>outdoor unit cost at 5,000+</t>
        </is>
      </c>
      <c r="M79" s="92" t="n"/>
      <c r="N79" s="237" t="n"/>
      <c r="O79" s="237" t="n"/>
      <c r="P79" s="237" t="n"/>
      <c r="Q79" s="237" t="n"/>
      <c r="R79" s="237" t="n"/>
      <c r="S79" s="237" t="n"/>
      <c r="T79" s="237" t="n"/>
      <c r="U79" s="237" t="n"/>
      <c r="V79" s="237" t="n"/>
      <c r="W79" s="237" t="n"/>
      <c r="X79" s="237" t="n"/>
      <c r="Y79" s="237" t="n"/>
      <c r="Z79" s="237" t="n"/>
      <c r="AA79" s="237" t="n"/>
      <c r="AB79" s="237" t="n"/>
      <c r="AC79" s="237" t="n"/>
      <c r="AD79" s="237" t="n"/>
    </row>
    <row r="80" ht="21.75" customHeight="1" s="349">
      <c r="A80" s="237" t="n"/>
      <c r="B80" s="139" t="n">
        <v>10000</v>
      </c>
      <c r="C80" s="136">
        <f>G73</f>
        <v/>
      </c>
      <c r="D80" s="153" t="n"/>
      <c r="E80" s="31" t="n"/>
      <c r="F80" s="154" t="n"/>
      <c r="G80" s="307" t="n"/>
      <c r="H80" s="31" t="n"/>
      <c r="I80" s="122" t="n"/>
      <c r="J80" s="155" t="n"/>
      <c r="K80" s="31" t="n"/>
      <c r="L80" s="40" t="inlineStr">
        <is>
          <t>outdoor unit cost at 10,000+</t>
        </is>
      </c>
      <c r="M80" s="92" t="n"/>
      <c r="N80" s="237" t="n"/>
      <c r="O80" s="237" t="n"/>
      <c r="P80" s="237" t="n"/>
      <c r="Q80" s="237" t="n"/>
      <c r="R80" s="237" t="n"/>
      <c r="S80" s="237" t="n"/>
      <c r="T80" s="237" t="n"/>
      <c r="U80" s="237" t="n"/>
      <c r="V80" s="237" t="n"/>
      <c r="W80" s="237" t="n"/>
      <c r="X80" s="237" t="n"/>
      <c r="Y80" s="237" t="n"/>
      <c r="Z80" s="237" t="n"/>
      <c r="AA80" s="237" t="n"/>
      <c r="AB80" s="237" t="n"/>
      <c r="AC80" s="237" t="n"/>
      <c r="AD80" s="237" t="n"/>
    </row>
    <row r="81" ht="21.75" customHeight="1" s="349">
      <c r="A81" s="237" t="n"/>
      <c r="B81" s="140" t="inlineStr">
        <is>
          <t>SCENARIO &amp; TIER BASIS</t>
        </is>
      </c>
      <c r="H81" s="31" t="n"/>
      <c r="I81" s="122" t="n"/>
      <c r="J81" s="155" t="n"/>
      <c r="K81" s="31" t="n"/>
      <c r="L81" s="40" t="n"/>
      <c r="M81" s="92" t="n"/>
      <c r="N81" s="237" t="n"/>
      <c r="O81" s="237" t="n"/>
      <c r="P81" s="237" t="n"/>
      <c r="Q81" s="237" t="n"/>
      <c r="R81" s="237" t="n"/>
      <c r="S81" s="237" t="n"/>
      <c r="T81" s="237" t="n"/>
      <c r="U81" s="237" t="n"/>
      <c r="V81" s="237" t="n"/>
      <c r="W81" s="237" t="n"/>
      <c r="X81" s="237" t="n"/>
      <c r="Y81" s="237" t="n"/>
      <c r="Z81" s="237" t="n"/>
      <c r="AA81" s="237" t="n"/>
      <c r="AB81" s="237" t="n"/>
      <c r="AC81" s="237" t="n"/>
      <c r="AD81" s="237" t="n"/>
    </row>
    <row r="82" ht="21.75" customHeight="1" s="349">
      <c r="A82" s="237" t="n"/>
      <c r="B82" s="153" t="inlineStr">
        <is>
          <t>Case   (1 = Base €3m,  2 = Aggressive €10m)</t>
        </is>
      </c>
      <c r="C82" s="136" t="n"/>
      <c r="D82" s="64" t="n">
        <v>2</v>
      </c>
      <c r="E82" s="31" t="n"/>
      <c r="F82" s="307" t="n"/>
      <c r="G82" s="307" t="n"/>
      <c r="H82" s="31" t="n"/>
      <c r="I82" s="122" t="n"/>
      <c r="J82" s="155" t="n"/>
      <c r="K82" s="31" t="n"/>
      <c r="L82" s="350" t="inlineStr">
        <is>
          <t>the master switch. 2 = the 10m plan: bigger volumes, capex, 10m equity, faster sales hires</t>
        </is>
      </c>
      <c r="M82" s="92" t="n"/>
      <c r="N82" s="237" t="n"/>
      <c r="O82" s="237" t="n"/>
      <c r="P82" s="237" t="n"/>
      <c r="Q82" s="237" t="n"/>
      <c r="R82" s="237" t="n"/>
      <c r="S82" s="237" t="n"/>
      <c r="T82" s="237" t="n"/>
      <c r="U82" s="237" t="n"/>
      <c r="V82" s="237" t="n"/>
      <c r="W82" s="237" t="n"/>
      <c r="X82" s="237" t="n"/>
      <c r="Y82" s="237" t="n"/>
      <c r="Z82" s="237" t="n"/>
      <c r="AA82" s="237" t="n"/>
      <c r="AB82" s="237" t="n"/>
      <c r="AC82" s="237" t="n"/>
      <c r="AD82" s="237" t="n"/>
    </row>
    <row r="83" ht="21.75" customHeight="1" s="349">
      <c r="A83" s="237" t="n"/>
      <c r="B83" s="153" t="inlineStr">
        <is>
          <t>BOM tier basis   (1 = this year only,  2 = this year + next)</t>
        </is>
      </c>
      <c r="C83" s="136" t="n"/>
      <c r="D83" s="64" t="n">
        <v>1</v>
      </c>
      <c r="E83" s="31" t="n"/>
      <c r="F83" s="307" t="n"/>
      <c r="G83" s="307" t="n"/>
      <c r="H83" s="31" t="n"/>
      <c r="I83" s="122" t="n"/>
      <c r="J83" s="155" t="n"/>
      <c r="K83" s="31" t="n"/>
      <c r="L83" s="350" t="inlineStr">
        <is>
          <t>how the ketel cost tier is chosen. 1 = only the year's own volume (conservative)</t>
        </is>
      </c>
      <c r="M83" s="92" t="n"/>
      <c r="N83" s="237" t="n"/>
      <c r="O83" s="237" t="n"/>
      <c r="P83" s="237" t="n"/>
      <c r="Q83" s="237" t="n"/>
      <c r="R83" s="237" t="n"/>
      <c r="S83" s="237" t="n"/>
      <c r="T83" s="237" t="n"/>
      <c r="U83" s="237" t="n"/>
      <c r="V83" s="237" t="n"/>
      <c r="W83" s="237" t="n"/>
      <c r="X83" s="237" t="n"/>
      <c r="Y83" s="237" t="n"/>
      <c r="Z83" s="237" t="n"/>
      <c r="AA83" s="237" t="n"/>
      <c r="AB83" s="237" t="n"/>
      <c r="AC83" s="237" t="n"/>
      <c r="AD83" s="237" t="n"/>
    </row>
    <row r="84" ht="21.75" customHeight="1" s="349">
      <c r="A84" s="237" t="n"/>
      <c r="B84" s="153" t="inlineStr">
        <is>
          <t>Aggressive case — units sold</t>
        </is>
      </c>
      <c r="C84" s="237" t="n"/>
      <c r="D84" s="82" t="n">
        <v>1800</v>
      </c>
      <c r="E84" s="82" t="n">
        <v>5200</v>
      </c>
      <c r="F84" s="82" t="n">
        <v>11000</v>
      </c>
      <c r="G84" s="82" t="n">
        <v>22000</v>
      </c>
      <c r="H84" s="92" t="n"/>
      <c r="I84" s="92" t="n"/>
      <c r="J84" s="92" t="n"/>
      <c r="K84" s="92" t="n"/>
      <c r="L84" s="350" t="inlineStr">
        <is>
          <t>2028 is set to clear the 5,000-unit tier, 2029 to clear 10,000</t>
        </is>
      </c>
      <c r="M84" s="92" t="n"/>
      <c r="N84" s="237" t="n"/>
      <c r="O84" s="237" t="n"/>
      <c r="P84" s="237" t="n"/>
      <c r="Q84" s="237" t="n"/>
      <c r="R84" s="237" t="n"/>
      <c r="S84" s="237" t="n"/>
      <c r="T84" s="237" t="n"/>
      <c r="U84" s="237" t="n"/>
      <c r="V84" s="237" t="n"/>
      <c r="W84" s="237" t="n"/>
      <c r="X84" s="237" t="n"/>
      <c r="Y84" s="237" t="n"/>
      <c r="Z84" s="237" t="n"/>
      <c r="AA84" s="237" t="n"/>
      <c r="AB84" s="237" t="n"/>
      <c r="AC84" s="237" t="n"/>
      <c r="AD84" s="237" t="n"/>
    </row>
    <row r="85" ht="21.75" customHeight="1" s="349">
      <c r="A85" s="237" t="n"/>
      <c r="B85" s="153" t="inlineStr">
        <is>
          <t>Base case — units sold</t>
        </is>
      </c>
      <c r="C85" s="237" t="n"/>
      <c r="D85" s="82" t="n">
        <v>600</v>
      </c>
      <c r="E85" s="82" t="n">
        <v>1600</v>
      </c>
      <c r="F85" s="82" t="n">
        <v>3600</v>
      </c>
      <c r="G85" s="82" t="n">
        <v>7200</v>
      </c>
      <c r="H85" s="92" t="n"/>
      <c r="I85" s="92" t="n"/>
      <c r="J85" s="92" t="n"/>
      <c r="K85" s="92" t="n"/>
      <c r="L85" s="350" t="inlineStr">
        <is>
          <t>the plan as it stands today — leave alone so Base stays comparable</t>
        </is>
      </c>
      <c r="M85" s="92" t="n"/>
      <c r="N85" s="237" t="n"/>
      <c r="O85" s="237" t="n"/>
      <c r="P85" s="237" t="n"/>
      <c r="Q85" s="237" t="n"/>
      <c r="R85" s="237" t="n"/>
      <c r="S85" s="237" t="n"/>
      <c r="T85" s="237" t="n"/>
      <c r="U85" s="237" t="n"/>
      <c r="V85" s="237" t="n"/>
      <c r="W85" s="237" t="n"/>
      <c r="X85" s="237" t="n"/>
      <c r="Y85" s="237" t="n"/>
      <c r="Z85" s="237" t="n"/>
      <c r="AA85" s="237" t="n"/>
      <c r="AB85" s="237" t="n"/>
      <c r="AC85" s="237" t="n"/>
      <c r="AD85" s="237" t="n"/>
    </row>
    <row r="86" ht="23.25" customHeight="1" s="349">
      <c r="A86" s="237" t="n"/>
      <c r="B86" s="26" t="inlineStr">
        <is>
          <t>Other operating expenditures</t>
        </is>
      </c>
      <c r="E86" s="26" t="n"/>
      <c r="F86" s="26" t="inlineStr">
        <is>
          <t>Yearly increase:</t>
        </is>
      </c>
      <c r="G86" s="160" t="n">
        <v>0.35</v>
      </c>
      <c r="H86" s="161" t="n"/>
      <c r="I86" s="26" t="n"/>
      <c r="J86" s="162" t="n"/>
      <c r="K86" s="29" t="n"/>
      <c r="N86" s="237" t="n"/>
      <c r="O86" s="237" t="n"/>
      <c r="P86" s="237" t="n"/>
      <c r="Q86" s="237" t="n"/>
      <c r="R86" s="237" t="n"/>
      <c r="S86" s="237" t="n"/>
      <c r="T86" s="237" t="n"/>
      <c r="U86" s="237" t="n"/>
      <c r="V86" s="237" t="n"/>
      <c r="W86" s="237" t="n"/>
      <c r="X86" s="237" t="n"/>
      <c r="Y86" s="237" t="n"/>
      <c r="Z86" s="237" t="n"/>
      <c r="AA86" s="237" t="n"/>
      <c r="AB86" s="237" t="n"/>
      <c r="AC86" s="237" t="n"/>
      <c r="AD86" s="237" t="n"/>
    </row>
    <row r="87" ht="21.75" customHeight="1" s="349">
      <c r="A87" s="237" t="n"/>
      <c r="B87" s="101" t="n"/>
      <c r="C87" s="107" t="inlineStr">
        <is>
          <t>Category</t>
        </is>
      </c>
      <c r="D87" s="147" t="inlineStr">
        <is>
          <t>Note</t>
        </is>
      </c>
      <c r="E87" s="163" t="n">
        <v>2026</v>
      </c>
      <c r="F87" s="107" t="n">
        <v>2027</v>
      </c>
      <c r="G87" s="107" t="n">
        <v>2028</v>
      </c>
      <c r="H87" s="147" t="n">
        <v>2029</v>
      </c>
      <c r="I87" s="163" t="n">
        <v>2030</v>
      </c>
      <c r="J87" s="92" t="n"/>
      <c r="K87" s="92" t="n"/>
      <c r="L87" s="83" t="n"/>
      <c r="M87" s="92" t="n"/>
      <c r="N87" s="237" t="n"/>
      <c r="O87" s="237" t="n"/>
      <c r="P87" s="237" t="n"/>
      <c r="Q87" s="237" t="n"/>
      <c r="R87" s="237" t="n"/>
      <c r="S87" s="237" t="n"/>
      <c r="T87" s="237" t="n"/>
      <c r="U87" s="237" t="n"/>
      <c r="V87" s="237" t="n"/>
      <c r="W87" s="237" t="n"/>
      <c r="X87" s="237" t="n"/>
      <c r="Y87" s="237" t="n"/>
      <c r="Z87" s="237" t="n"/>
      <c r="AA87" s="237" t="n"/>
      <c r="AB87" s="237" t="n"/>
      <c r="AC87" s="237" t="n"/>
      <c r="AD87" s="237" t="n"/>
    </row>
    <row r="88" ht="21.75" customHeight="1" s="349">
      <c r="A88" s="237" t="n"/>
      <c r="B88" s="164" t="inlineStr">
        <is>
          <t>Office rent (part of General)</t>
        </is>
      </c>
      <c r="C88" s="31" t="inlineStr">
        <is>
          <t>G&amp;A</t>
        </is>
      </c>
      <c r="D88" s="92" t="inlineStr">
        <is>
          <t>ongoing</t>
        </is>
      </c>
      <c r="E88" s="143" t="n">
        <v>5000</v>
      </c>
      <c r="F88" s="145">
        <f>$E88*(1+$G$86)</f>
        <v/>
      </c>
      <c r="G88" s="145">
        <f>F88*(1+$G$86)</f>
        <v/>
      </c>
      <c r="H88" s="145">
        <f>G88*(1+$G$86)</f>
        <v/>
      </c>
      <c r="I88" s="145">
        <f>H88*(1+$G$86)</f>
        <v/>
      </c>
      <c r="J88" s="92" t="n"/>
      <c r="K88" s="92" t="n"/>
      <c r="L88" s="83" t="inlineStr">
        <is>
          <t>2026 is typed in; later years grow it by the rate above</t>
        </is>
      </c>
      <c r="M88" s="92" t="n"/>
      <c r="N88" s="237" t="n"/>
      <c r="O88" s="237" t="n"/>
      <c r="P88" s="237" t="n"/>
      <c r="Q88" s="237" t="n"/>
      <c r="R88" s="237" t="n"/>
      <c r="S88" s="237" t="n"/>
      <c r="T88" s="237" t="n"/>
      <c r="U88" s="237" t="n"/>
      <c r="V88" s="237" t="n"/>
      <c r="W88" s="237" t="n"/>
      <c r="X88" s="237" t="n"/>
      <c r="Y88" s="237" t="n"/>
      <c r="Z88" s="237" t="n"/>
      <c r="AA88" s="237" t="n"/>
      <c r="AB88" s="237" t="n"/>
      <c r="AC88" s="237" t="n"/>
      <c r="AD88" s="237" t="n"/>
    </row>
    <row r="89" ht="21.75" customHeight="1" s="349">
      <c r="A89" s="237" t="n"/>
      <c r="B89" s="164" t="inlineStr">
        <is>
          <t>Other General</t>
        </is>
      </c>
      <c r="C89" s="31" t="inlineStr">
        <is>
          <t>G&amp;A</t>
        </is>
      </c>
      <c r="D89" s="92" t="inlineStr">
        <is>
          <t>ongoing</t>
        </is>
      </c>
      <c r="E89" s="143" t="n">
        <v>7000</v>
      </c>
      <c r="F89" s="145">
        <f>$E89*(1+$G$86)</f>
        <v/>
      </c>
      <c r="G89" s="145">
        <f>F89*(1+$G$86)</f>
        <v/>
      </c>
      <c r="H89" s="145">
        <f>G89*(1+$G$86)</f>
        <v/>
      </c>
      <c r="I89" s="145">
        <f>H89*(1+$G$86)</f>
        <v/>
      </c>
      <c r="J89" s="92" t="n"/>
      <c r="K89" s="92" t="n"/>
      <c r="L89" s="83" t="inlineStr">
        <is>
          <t>2026 is typed in; later years grow it by the rate above</t>
        </is>
      </c>
      <c r="M89" s="92" t="n"/>
      <c r="N89" s="237" t="n"/>
      <c r="O89" s="237" t="n"/>
      <c r="P89" s="237" t="n"/>
      <c r="Q89" s="237" t="n"/>
      <c r="R89" s="237" t="n"/>
      <c r="S89" s="237" t="n"/>
      <c r="T89" s="237" t="n"/>
      <c r="U89" s="237" t="n"/>
      <c r="V89" s="237" t="n"/>
      <c r="W89" s="237" t="n"/>
      <c r="X89" s="237" t="n"/>
      <c r="Y89" s="237" t="n"/>
      <c r="Z89" s="237" t="n"/>
      <c r="AA89" s="237" t="n"/>
      <c r="AB89" s="237" t="n"/>
      <c r="AC89" s="237" t="n"/>
      <c r="AD89" s="237" t="n"/>
    </row>
    <row r="90" ht="21.75" customHeight="1" s="349">
      <c r="A90" s="237" t="n"/>
      <c r="B90" s="164" t="inlineStr">
        <is>
          <t>Baseline Sales &amp; Marketing</t>
        </is>
      </c>
      <c r="C90" s="31" t="inlineStr">
        <is>
          <t>S&amp;M</t>
        </is>
      </c>
      <c r="D90" s="92" t="inlineStr">
        <is>
          <t>ongoing</t>
        </is>
      </c>
      <c r="E90" s="143" t="n">
        <v>14000</v>
      </c>
      <c r="F90" s="145">
        <f>$E90*(1+$G$86)</f>
        <v/>
      </c>
      <c r="G90" s="145">
        <f>F90*(1+$G$86)</f>
        <v/>
      </c>
      <c r="H90" s="145">
        <f>G90*(1+$G$86)</f>
        <v/>
      </c>
      <c r="I90" s="145">
        <f>H90*(1+$G$86)</f>
        <v/>
      </c>
      <c r="J90" s="92" t="n"/>
      <c r="K90" s="92" t="n"/>
      <c r="L90" s="83" t="inlineStr">
        <is>
          <t>2026 is typed in; later years grow it by the rate above</t>
        </is>
      </c>
      <c r="M90" s="92" t="n"/>
      <c r="N90" s="237" t="n"/>
      <c r="O90" s="237" t="n"/>
      <c r="P90" s="237" t="n"/>
      <c r="Q90" s="237" t="n"/>
      <c r="R90" s="237" t="n"/>
      <c r="S90" s="237" t="n"/>
      <c r="T90" s="237" t="n"/>
      <c r="U90" s="237" t="n"/>
      <c r="V90" s="237" t="n"/>
      <c r="W90" s="237" t="n"/>
      <c r="X90" s="237" t="n"/>
      <c r="Y90" s="237" t="n"/>
      <c r="Z90" s="237" t="n"/>
      <c r="AA90" s="237" t="n"/>
      <c r="AB90" s="237" t="n"/>
      <c r="AC90" s="237" t="n"/>
      <c r="AD90" s="237" t="n"/>
    </row>
    <row r="91" ht="21.75" customHeight="1" s="349">
      <c r="A91" s="237" t="n"/>
      <c r="B91" s="164" t="inlineStr">
        <is>
          <t>Finance &amp; Legal etc.</t>
        </is>
      </c>
      <c r="C91" s="31" t="inlineStr">
        <is>
          <t>G&amp;A</t>
        </is>
      </c>
      <c r="D91" s="92" t="inlineStr">
        <is>
          <t>ongoing</t>
        </is>
      </c>
      <c r="E91" s="143" t="n">
        <v>8000</v>
      </c>
      <c r="F91" s="145">
        <f>$E91*(1+$G$86)</f>
        <v/>
      </c>
      <c r="G91" s="145">
        <f>F91*(1+$G$86)</f>
        <v/>
      </c>
      <c r="H91" s="145">
        <f>G91*(1+$G$86)</f>
        <v/>
      </c>
      <c r="I91" s="145">
        <f>H91*(1+$G$86)</f>
        <v/>
      </c>
      <c r="J91" s="92" t="n"/>
      <c r="K91" s="92" t="n"/>
      <c r="L91" s="83" t="inlineStr">
        <is>
          <t>2026 is typed in; later years grow it by the rate above</t>
        </is>
      </c>
      <c r="M91" s="92" t="n"/>
      <c r="N91" s="237" t="n"/>
      <c r="O91" s="237" t="n"/>
      <c r="P91" s="237" t="n"/>
      <c r="Q91" s="237" t="n"/>
      <c r="R91" s="237" t="n"/>
      <c r="S91" s="237" t="n"/>
      <c r="T91" s="237" t="n"/>
      <c r="U91" s="237" t="n"/>
      <c r="V91" s="237" t="n"/>
      <c r="W91" s="237" t="n"/>
      <c r="X91" s="237" t="n"/>
      <c r="Y91" s="237" t="n"/>
      <c r="Z91" s="237" t="n"/>
      <c r="AA91" s="237" t="n"/>
      <c r="AB91" s="237" t="n"/>
      <c r="AC91" s="237" t="n"/>
      <c r="AD91" s="237" t="n"/>
    </row>
    <row r="92" ht="21.75" customHeight="1" s="349">
      <c r="A92" s="237" t="n"/>
      <c r="B92" s="164" t="inlineStr">
        <is>
          <t>Ongoing Development costs</t>
        </is>
      </c>
      <c r="C92" s="31" t="inlineStr">
        <is>
          <t>R&amp;D</t>
        </is>
      </c>
      <c r="D92" s="92" t="inlineStr">
        <is>
          <t>ongoing</t>
        </is>
      </c>
      <c r="E92" s="143" t="n">
        <v>10000</v>
      </c>
      <c r="F92" s="145">
        <f>$E92*(1+$G$86)</f>
        <v/>
      </c>
      <c r="G92" s="145">
        <f>F92*(1+$G$86)</f>
        <v/>
      </c>
      <c r="H92" s="145">
        <f>G92*(1+$G$86)</f>
        <v/>
      </c>
      <c r="I92" s="145">
        <f>H92*(1+$G$86)</f>
        <v/>
      </c>
      <c r="J92" s="92" t="n"/>
      <c r="K92" s="92" t="n"/>
      <c r="L92" s="83" t="inlineStr">
        <is>
          <t>2026 is typed in; later years grow it by the rate above</t>
        </is>
      </c>
      <c r="M92" s="92" t="n"/>
      <c r="N92" s="237" t="n"/>
      <c r="O92" s="237" t="n"/>
      <c r="P92" s="237" t="n"/>
      <c r="Q92" s="237" t="n"/>
      <c r="R92" s="237" t="n"/>
      <c r="S92" s="237" t="n"/>
      <c r="T92" s="237" t="n"/>
      <c r="U92" s="237" t="n"/>
      <c r="V92" s="237" t="n"/>
      <c r="W92" s="237" t="n"/>
      <c r="X92" s="237" t="n"/>
      <c r="Y92" s="237" t="n"/>
      <c r="Z92" s="237" t="n"/>
      <c r="AA92" s="237" t="n"/>
      <c r="AB92" s="237" t="n"/>
      <c r="AC92" s="237" t="n"/>
      <c r="AD92" s="237" t="n"/>
    </row>
    <row r="93" ht="21.75" customHeight="1" s="349">
      <c r="A93" s="237" t="n"/>
      <c r="B93" s="165" t="inlineStr">
        <is>
          <t xml:space="preserve">Third party cost product development </t>
        </is>
      </c>
      <c r="C93" s="31" t="inlineStr">
        <is>
          <t>R&amp;D</t>
        </is>
      </c>
      <c r="D93" s="92" t="inlineStr">
        <is>
          <t>ongoing</t>
        </is>
      </c>
      <c r="E93" s="143" t="n">
        <v>15000</v>
      </c>
      <c r="F93" s="145">
        <f>$E93*(1+$G$86)</f>
        <v/>
      </c>
      <c r="G93" s="145">
        <f>F93*(1+$G$86)</f>
        <v/>
      </c>
      <c r="H93" s="145">
        <f>G93*(1+$G$86)</f>
        <v/>
      </c>
      <c r="I93" s="145">
        <f>H93*(1+$G$86)</f>
        <v/>
      </c>
      <c r="J93" s="92" t="n"/>
      <c r="K93" s="92" t="n"/>
      <c r="L93" s="83" t="inlineStr">
        <is>
          <t>2026 is typed in; later years grow it by the rate above</t>
        </is>
      </c>
      <c r="M93" s="92" t="n"/>
      <c r="N93" s="237" t="n"/>
      <c r="O93" s="237" t="n"/>
      <c r="P93" s="237" t="n"/>
      <c r="Q93" s="237" t="n"/>
      <c r="R93" s="237" t="n"/>
      <c r="S93" s="237" t="n"/>
      <c r="T93" s="237" t="n"/>
      <c r="U93" s="237" t="n"/>
      <c r="V93" s="237" t="n"/>
      <c r="W93" s="237" t="n"/>
      <c r="X93" s="237" t="n"/>
      <c r="Y93" s="237" t="n"/>
      <c r="Z93" s="237" t="n"/>
      <c r="AA93" s="237" t="n"/>
      <c r="AB93" s="237" t="n"/>
      <c r="AC93" s="237" t="n"/>
      <c r="AD93" s="237" t="n"/>
    </row>
    <row r="94" ht="21.75" customHeight="1" s="349">
      <c r="A94" s="237" t="n"/>
      <c r="B94" s="31" t="inlineStr">
        <is>
          <t>Kicker Development Cost</t>
        </is>
      </c>
      <c r="C94" s="31" t="inlineStr">
        <is>
          <t>R&amp;D</t>
        </is>
      </c>
      <c r="D94" s="92" t="inlineStr">
        <is>
          <t>one-off</t>
        </is>
      </c>
      <c r="E94" s="143" t="n">
        <v>168933</v>
      </c>
      <c r="F94" s="145" t="n"/>
      <c r="G94" s="145" t="n"/>
      <c r="H94" s="145" t="n"/>
      <c r="I94" s="145" t="n"/>
      <c r="J94" s="92" t="n"/>
      <c r="K94" s="92" t="n"/>
      <c r="L94" s="83" t="inlineStr">
        <is>
          <t>one-off, lands in the single month it's booked on OPEX</t>
        </is>
      </c>
      <c r="M94" s="92" t="n"/>
      <c r="N94" s="237" t="n"/>
      <c r="O94" s="237" t="n"/>
      <c r="P94" s="237" t="n"/>
      <c r="Q94" s="237" t="n"/>
      <c r="R94" s="237" t="n"/>
      <c r="S94" s="237" t="n"/>
      <c r="T94" s="237" t="n"/>
      <c r="U94" s="237" t="n"/>
      <c r="V94" s="237" t="n"/>
      <c r="W94" s="237" t="n"/>
      <c r="X94" s="237" t="n"/>
      <c r="Y94" s="237" t="n"/>
      <c r="Z94" s="237" t="n"/>
      <c r="AA94" s="237" t="n"/>
      <c r="AB94" s="237" t="n"/>
      <c r="AC94" s="237" t="n"/>
      <c r="AD94" s="237" t="n"/>
    </row>
    <row r="95" ht="21.75" customHeight="1" s="349">
      <c r="A95" s="237" t="n"/>
      <c r="B95" s="166" t="inlineStr">
        <is>
          <t>Customer journey (third party)</t>
        </is>
      </c>
      <c r="C95" s="31" t="inlineStr">
        <is>
          <t>S&amp;M</t>
        </is>
      </c>
      <c r="D95" s="92" t="inlineStr">
        <is>
          <t>one-off</t>
        </is>
      </c>
      <c r="E95" s="143" t="n">
        <v>10000</v>
      </c>
      <c r="F95" s="145" t="n"/>
      <c r="G95" s="145" t="n"/>
      <c r="H95" s="145" t="n"/>
      <c r="I95" s="145" t="n"/>
      <c r="J95" s="92" t="n"/>
      <c r="K95" s="92" t="n"/>
      <c r="L95" s="83" t="inlineStr">
        <is>
          <t>one-off, lands in the single month it's booked on OPEX</t>
        </is>
      </c>
      <c r="M95" s="92" t="n"/>
      <c r="N95" s="237" t="n"/>
      <c r="O95" s="237" t="n"/>
      <c r="P95" s="237" t="n"/>
      <c r="Q95" s="237" t="n"/>
      <c r="R95" s="237" t="n"/>
      <c r="S95" s="237" t="n"/>
      <c r="T95" s="237" t="n"/>
      <c r="U95" s="237" t="n"/>
      <c r="V95" s="237" t="n"/>
      <c r="W95" s="237" t="n"/>
      <c r="X95" s="237" t="n"/>
      <c r="Y95" s="237" t="n"/>
      <c r="Z95" s="237" t="n"/>
      <c r="AA95" s="237" t="n"/>
      <c r="AB95" s="237" t="n"/>
      <c r="AC95" s="237" t="n"/>
      <c r="AD95" s="237" t="n"/>
    </row>
    <row r="96" ht="21.75" customHeight="1" s="349">
      <c r="A96" s="237" t="n"/>
      <c r="B96" s="167" t="inlineStr">
        <is>
          <t>Branding + Website (third party cost)</t>
        </is>
      </c>
      <c r="C96" s="92" t="inlineStr">
        <is>
          <t>S&amp;M</t>
        </is>
      </c>
      <c r="D96" s="92" t="inlineStr">
        <is>
          <t>one-off</t>
        </is>
      </c>
      <c r="E96" s="143" t="n">
        <v>10000</v>
      </c>
      <c r="F96" s="145" t="n"/>
      <c r="G96" s="145" t="n"/>
      <c r="H96" s="145" t="n"/>
      <c r="I96" s="145" t="n"/>
      <c r="J96" s="92" t="n"/>
      <c r="K96" s="92" t="n"/>
      <c r="L96" s="83" t="inlineStr">
        <is>
          <t>one-off, lands in the single month it's booked on OPEX</t>
        </is>
      </c>
      <c r="M96" s="92" t="n"/>
      <c r="N96" s="237" t="n"/>
      <c r="O96" s="237" t="n"/>
      <c r="P96" s="237" t="n"/>
      <c r="Q96" s="237" t="n"/>
      <c r="R96" s="237" t="n"/>
      <c r="S96" s="237" t="n"/>
      <c r="T96" s="237" t="n"/>
      <c r="U96" s="237" t="n"/>
      <c r="V96" s="237" t="n"/>
      <c r="W96" s="237" t="n"/>
      <c r="X96" s="237" t="n"/>
      <c r="Y96" s="237" t="n"/>
      <c r="Z96" s="237" t="n"/>
      <c r="AA96" s="237" t="n"/>
      <c r="AB96" s="237" t="n"/>
      <c r="AC96" s="237" t="n"/>
      <c r="AD96" s="237" t="n"/>
    </row>
    <row r="97" ht="21.75" customHeight="1" s="349">
      <c r="A97" s="237" t="n"/>
      <c r="B97" s="164" t="inlineStr">
        <is>
          <t>Assembly partner</t>
        </is>
      </c>
      <c r="C97" s="31" t="inlineStr">
        <is>
          <t>R&amp;D</t>
        </is>
      </c>
      <c r="D97" s="92" t="inlineStr">
        <is>
          <t>one-off</t>
        </is>
      </c>
      <c r="E97" s="143" t="n">
        <v>100000</v>
      </c>
      <c r="F97" s="145" t="n"/>
      <c r="G97" s="145" t="n"/>
      <c r="H97" s="145" t="n"/>
      <c r="I97" s="145" t="n"/>
      <c r="J97" s="92" t="n"/>
      <c r="K97" s="92" t="n"/>
      <c r="L97" s="83" t="inlineStr">
        <is>
          <t>one-off, lands in the single month it's booked on OPEX</t>
        </is>
      </c>
      <c r="M97" s="92" t="n"/>
      <c r="N97" s="237" t="n"/>
      <c r="O97" s="237" t="n"/>
      <c r="P97" s="237" t="n"/>
      <c r="Q97" s="237" t="n"/>
      <c r="R97" s="237" t="n"/>
      <c r="S97" s="237" t="n"/>
      <c r="T97" s="237" t="n"/>
      <c r="U97" s="237" t="n"/>
      <c r="V97" s="237" t="n"/>
      <c r="W97" s="237" t="n"/>
      <c r="X97" s="237" t="n"/>
      <c r="Y97" s="237" t="n"/>
      <c r="Z97" s="237" t="n"/>
      <c r="AA97" s="237" t="n"/>
      <c r="AB97" s="237" t="n"/>
      <c r="AC97" s="237" t="n"/>
      <c r="AD97" s="237" t="n"/>
    </row>
    <row r="98" ht="21.75" customHeight="1" s="349">
      <c r="A98" s="237" t="n"/>
      <c r="B98" s="167" t="inlineStr">
        <is>
          <t>Tooling Fisher (result: 2%-3%)</t>
        </is>
      </c>
      <c r="C98" s="92" t="inlineStr">
        <is>
          <t>R&amp;D</t>
        </is>
      </c>
      <c r="D98" s="92" t="inlineStr">
        <is>
          <t>one-off</t>
        </is>
      </c>
      <c r="E98" s="143" t="n">
        <v>45000</v>
      </c>
      <c r="F98" s="145" t="n"/>
      <c r="G98" s="145" t="n"/>
      <c r="H98" s="145" t="n"/>
      <c r="I98" s="145" t="n"/>
      <c r="J98" s="92" t="n"/>
      <c r="K98" s="92" t="n"/>
      <c r="L98" s="83" t="inlineStr">
        <is>
          <t>one-off, lands in the single month it's booked on OPEX</t>
        </is>
      </c>
      <c r="M98" s="92" t="n"/>
      <c r="N98" s="237" t="n"/>
      <c r="O98" s="237" t="n"/>
      <c r="P98" s="237" t="n"/>
      <c r="Q98" s="237" t="n"/>
      <c r="R98" s="237" t="n"/>
      <c r="S98" s="237" t="n"/>
      <c r="T98" s="237" t="n"/>
      <c r="U98" s="237" t="n"/>
      <c r="V98" s="237" t="n"/>
      <c r="W98" s="237" t="n"/>
      <c r="X98" s="237" t="n"/>
      <c r="Y98" s="237" t="n"/>
      <c r="Z98" s="237" t="n"/>
      <c r="AA98" s="237" t="n"/>
      <c r="AB98" s="237" t="n"/>
      <c r="AC98" s="237" t="n"/>
      <c r="AD98" s="237" t="n"/>
    </row>
    <row r="99" ht="21.75" customHeight="1" s="349">
      <c r="A99" s="307" t="n"/>
      <c r="B99" s="307" t="n"/>
      <c r="C99" s="307" t="n"/>
      <c r="D99" s="307" t="n"/>
      <c r="E99" s="307" t="n"/>
      <c r="F99" s="307" t="n"/>
      <c r="G99" s="307" t="n"/>
      <c r="H99" s="31" t="n"/>
      <c r="I99" s="31" t="n"/>
      <c r="J99" s="31" t="n"/>
      <c r="K99" s="31" t="n"/>
      <c r="L99" s="83" t="n"/>
      <c r="M99" s="31" t="n"/>
      <c r="N99" s="307" t="n"/>
      <c r="O99" s="307" t="n"/>
      <c r="P99" s="307" t="n"/>
      <c r="Q99" s="307" t="n"/>
      <c r="R99" s="307" t="n"/>
      <c r="S99" s="307" t="n"/>
      <c r="T99" s="307" t="n"/>
      <c r="U99" s="307" t="n"/>
      <c r="V99" s="307" t="n"/>
      <c r="W99" s="307" t="n"/>
      <c r="X99" s="307" t="n"/>
      <c r="Y99" s="307" t="n"/>
      <c r="Z99" s="307" t="n"/>
      <c r="AA99" s="307" t="n"/>
      <c r="AB99" s="307" t="n"/>
      <c r="AC99" s="307" t="n"/>
      <c r="AD99" s="307" t="n"/>
    </row>
    <row r="100" ht="21.75" customHeight="1" s="349">
      <c r="A100" s="307" t="n"/>
      <c r="B100" s="168" t="n"/>
      <c r="C100" s="237" t="n"/>
      <c r="D100" s="237" t="n"/>
      <c r="E100" s="169" t="n"/>
      <c r="F100" s="307" t="n"/>
      <c r="G100" s="307" t="n"/>
      <c r="H100" s="307" t="n"/>
      <c r="I100" s="307" t="n"/>
      <c r="J100" s="307" t="n"/>
      <c r="K100" s="307" t="n"/>
      <c r="L100" s="83" t="n"/>
      <c r="M100" s="31" t="n"/>
      <c r="N100" s="307" t="n"/>
      <c r="O100" s="307" t="n"/>
      <c r="P100" s="307" t="n"/>
      <c r="Q100" s="307" t="n"/>
      <c r="R100" s="307" t="n"/>
      <c r="S100" s="307" t="n"/>
      <c r="T100" s="307" t="n"/>
      <c r="U100" s="307" t="n"/>
      <c r="V100" s="307" t="n"/>
      <c r="W100" s="307" t="n"/>
      <c r="X100" s="307" t="n"/>
      <c r="Y100" s="307" t="n"/>
      <c r="Z100" s="307" t="n"/>
      <c r="AA100" s="307" t="n"/>
      <c r="AB100" s="307" t="n"/>
      <c r="AC100" s="307" t="n"/>
      <c r="AD100" s="307" t="n"/>
    </row>
    <row r="101" ht="21.75" customHeight="1" s="349">
      <c r="A101" s="307" t="n"/>
      <c r="B101" s="168" t="inlineStr">
        <is>
          <t>Assumptions for costs per unit sold (3rd parties or expenses (NO personell)</t>
        </is>
      </c>
      <c r="C101" s="237" t="n"/>
      <c r="D101" s="237" t="n"/>
      <c r="E101" s="169" t="n"/>
      <c r="F101" s="307" t="n"/>
      <c r="G101" s="170" t="inlineStr">
        <is>
          <t>Units sold</t>
        </is>
      </c>
      <c r="H101" s="171" t="inlineStr">
        <is>
          <t>S&amp;M cost per unit</t>
        </is>
      </c>
      <c r="I101" s="172" t="inlineStr">
        <is>
          <t>Decrease</t>
        </is>
      </c>
      <c r="J101" s="151" t="inlineStr">
        <is>
          <t>Yearly costs</t>
        </is>
      </c>
      <c r="K101" s="31" t="n"/>
      <c r="L101" s="83" t="n"/>
      <c r="M101" s="31" t="n"/>
      <c r="N101" s="307" t="n"/>
      <c r="O101" s="307" t="n"/>
      <c r="P101" s="307" t="n"/>
      <c r="Q101" s="307" t="n"/>
      <c r="R101" s="307" t="n"/>
      <c r="S101" s="307" t="n"/>
      <c r="T101" s="307" t="n"/>
      <c r="U101" s="307" t="n"/>
      <c r="V101" s="307" t="n"/>
      <c r="W101" s="307" t="n"/>
      <c r="X101" s="307" t="n"/>
      <c r="Y101" s="307" t="n"/>
      <c r="Z101" s="307" t="n"/>
      <c r="AA101" s="307" t="n"/>
      <c r="AB101" s="307" t="n"/>
      <c r="AC101" s="307" t="n"/>
      <c r="AD101" s="307" t="n"/>
    </row>
    <row r="102" ht="21.75" customHeight="1" s="349">
      <c r="A102" s="307" t="n"/>
      <c r="B102" s="167" t="inlineStr">
        <is>
          <t>Marketing spend per Customer</t>
        </is>
      </c>
      <c r="C102" s="92" t="inlineStr">
        <is>
          <t>S&amp;M</t>
        </is>
      </c>
      <c r="D102" s="92" t="n"/>
      <c r="E102" s="176" t="n">
        <v>600</v>
      </c>
      <c r="F102" s="307" t="inlineStr">
        <is>
          <t>third party</t>
        </is>
      </c>
      <c r="G102" s="174" t="n">
        <v>0</v>
      </c>
      <c r="H102" s="226">
        <f>E106</f>
        <v/>
      </c>
      <c r="I102" s="175" t="n"/>
      <c r="J102" s="31" t="n"/>
      <c r="K102" s="307" t="n"/>
      <c r="L102" s="83" t="inlineStr">
        <is>
          <t>top of the cost-down table: sales cost per unit at zero volume</t>
        </is>
      </c>
      <c r="M102" s="31" t="n"/>
      <c r="N102" s="307" t="n"/>
      <c r="O102" s="307" t="n"/>
      <c r="P102" s="307" t="n"/>
      <c r="Q102" s="307" t="n"/>
      <c r="R102" s="307" t="n"/>
      <c r="S102" s="307" t="n"/>
      <c r="T102" s="307" t="n"/>
      <c r="U102" s="307" t="n"/>
      <c r="V102" s="307" t="n"/>
      <c r="W102" s="307" t="n"/>
      <c r="X102" s="307" t="n"/>
      <c r="Y102" s="307" t="n"/>
      <c r="Z102" s="307" t="n"/>
      <c r="AA102" s="307" t="n"/>
      <c r="AB102" s="307" t="n"/>
      <c r="AC102" s="307" t="n"/>
      <c r="AD102" s="307" t="n"/>
    </row>
    <row r="103" ht="21.75" customHeight="1" s="349">
      <c r="A103" s="307" t="n"/>
      <c r="B103" s="167" t="inlineStr">
        <is>
          <t>Closing costs per customer</t>
        </is>
      </c>
      <c r="C103" s="92" t="inlineStr">
        <is>
          <t>S&amp;M</t>
        </is>
      </c>
      <c r="D103" s="92" t="inlineStr">
        <is>
          <t>(Calls, viewing location, etc)</t>
        </is>
      </c>
      <c r="E103" s="176" t="n">
        <v>150</v>
      </c>
      <c r="F103" s="307" t="inlineStr">
        <is>
          <t>third party</t>
        </is>
      </c>
      <c r="G103" s="174" t="n">
        <v>400</v>
      </c>
      <c r="H103" s="226">
        <f>E106</f>
        <v/>
      </c>
      <c r="I103" s="175" t="n"/>
      <c r="J103" s="177">
        <f>G103*H103</f>
        <v/>
      </c>
      <c r="K103" s="31" t="n"/>
      <c r="L103" s="83" t="inlineStr">
        <is>
          <t>same cost up to 400 units. column J = total spend there</t>
        </is>
      </c>
      <c r="M103" s="31" t="n"/>
      <c r="N103" s="307" t="n"/>
      <c r="O103" s="307" t="n"/>
      <c r="P103" s="307" t="n"/>
      <c r="Q103" s="307" t="n"/>
      <c r="R103" s="307" t="n"/>
      <c r="S103" s="307" t="n"/>
      <c r="T103" s="307" t="n"/>
      <c r="U103" s="307" t="n"/>
      <c r="V103" s="307" t="n"/>
      <c r="W103" s="307" t="n"/>
      <c r="X103" s="307" t="n"/>
      <c r="Y103" s="307" t="n"/>
      <c r="Z103" s="307" t="n"/>
      <c r="AA103" s="307" t="n"/>
      <c r="AB103" s="307" t="n"/>
      <c r="AC103" s="307" t="n"/>
      <c r="AD103" s="307" t="n"/>
    </row>
    <row r="104" ht="21.75" customHeight="1" s="349">
      <c r="A104" s="307" t="n"/>
      <c r="B104" s="167" t="inlineStr">
        <is>
          <t>Aftersales and support</t>
        </is>
      </c>
      <c r="C104" s="92" t="inlineStr">
        <is>
          <t>S&amp;M</t>
        </is>
      </c>
      <c r="D104" s="92" t="n"/>
      <c r="E104" s="176" t="n">
        <v>50</v>
      </c>
      <c r="F104" s="307" t="inlineStr">
        <is>
          <t>third party</t>
        </is>
      </c>
      <c r="G104" s="178">
        <f>G103*2</f>
        <v/>
      </c>
      <c r="H104" s="179">
        <f>H103*I104</f>
        <v/>
      </c>
      <c r="I104" s="180" t="n">
        <v>0.9</v>
      </c>
      <c r="J104" s="177">
        <f>G104*H104</f>
        <v/>
      </c>
      <c r="K104" s="31" t="n"/>
      <c r="L104" s="83" t="inlineStr">
        <is>
          <t>units double, cost per unit drops 10%. OPEX looks up this table</t>
        </is>
      </c>
      <c r="M104" s="31" t="n"/>
      <c r="N104" s="307" t="n"/>
      <c r="O104" s="307" t="n"/>
      <c r="P104" s="307" t="n"/>
      <c r="Q104" s="307" t="n"/>
      <c r="R104" s="307" t="n"/>
      <c r="S104" s="307" t="n"/>
      <c r="T104" s="307" t="n"/>
      <c r="U104" s="307" t="n"/>
      <c r="V104" s="307" t="n"/>
      <c r="W104" s="307" t="n"/>
      <c r="X104" s="307" t="n"/>
      <c r="Y104" s="307" t="n"/>
      <c r="Z104" s="307" t="n"/>
      <c r="AA104" s="307" t="n"/>
      <c r="AB104" s="307" t="n"/>
      <c r="AC104" s="307" t="n"/>
      <c r="AD104" s="307" t="n"/>
    </row>
    <row r="105" ht="21.75" customHeight="1" s="349">
      <c r="A105" s="307" t="n"/>
      <c r="B105" s="167" t="n"/>
      <c r="C105" s="31" t="n"/>
      <c r="D105" s="92" t="n"/>
      <c r="E105" s="181" t="n"/>
      <c r="F105" s="307" t="n"/>
      <c r="G105" s="178">
        <f>G104*2</f>
        <v/>
      </c>
      <c r="H105" s="179">
        <f>H104*I105</f>
        <v/>
      </c>
      <c r="I105" s="180" t="n">
        <v>0.9</v>
      </c>
      <c r="J105" s="177">
        <f>G105*H105</f>
        <v/>
      </c>
      <c r="K105" s="31" t="n"/>
      <c r="L105" s="83" t="inlineStr">
        <is>
          <t>units double, cost per unit drops 10%</t>
        </is>
      </c>
      <c r="M105" s="31" t="n"/>
      <c r="N105" s="307" t="n"/>
      <c r="O105" s="307" t="n"/>
      <c r="P105" s="307" t="n"/>
      <c r="Q105" s="307" t="n"/>
      <c r="R105" s="307" t="n"/>
      <c r="S105" s="307" t="n"/>
      <c r="T105" s="307" t="n"/>
      <c r="U105" s="307" t="n"/>
      <c r="V105" s="307" t="n"/>
      <c r="W105" s="307" t="n"/>
      <c r="X105" s="307" t="n"/>
      <c r="Y105" s="307" t="n"/>
      <c r="Z105" s="307" t="n"/>
      <c r="AA105" s="307" t="n"/>
      <c r="AB105" s="307" t="n"/>
      <c r="AC105" s="307" t="n"/>
      <c r="AD105" s="307" t="n"/>
    </row>
    <row r="106" ht="21.75" customHeight="1" s="349">
      <c r="A106" s="307" t="n"/>
      <c r="B106" s="167" t="inlineStr">
        <is>
          <t>Cost per unit sold (cost down driven by volume)</t>
        </is>
      </c>
      <c r="C106" s="31" t="inlineStr">
        <is>
          <t>S&amp;M</t>
        </is>
      </c>
      <c r="D106" s="92" t="inlineStr">
        <is>
          <t>costdown: S(n)=S(1)*n^-b, where b=0,2</t>
        </is>
      </c>
      <c r="E106" s="182">
        <f>SUM(E102:E104)</f>
        <v/>
      </c>
      <c r="F106" s="307" t="inlineStr">
        <is>
          <t>S(1)</t>
        </is>
      </c>
      <c r="G106" s="178">
        <f>G105*2</f>
        <v/>
      </c>
      <c r="H106" s="179">
        <f>H105*I106</f>
        <v/>
      </c>
      <c r="I106" s="180" t="n">
        <v>0.9</v>
      </c>
      <c r="J106" s="177">
        <f>G106*H106</f>
        <v/>
      </c>
      <c r="K106" s="31" t="n"/>
      <c r="L106" s="83" t="inlineStr">
        <is>
          <t>column E adds the three costs above = cost per unit at low volume</t>
        </is>
      </c>
      <c r="M106" s="31" t="n"/>
      <c r="N106" s="307" t="n"/>
      <c r="O106" s="307" t="n"/>
      <c r="P106" s="307" t="n"/>
      <c r="Q106" s="307" t="n"/>
      <c r="R106" s="307" t="n"/>
      <c r="S106" s="307" t="n"/>
      <c r="T106" s="307" t="n"/>
      <c r="U106" s="307" t="n"/>
      <c r="V106" s="307" t="n"/>
      <c r="W106" s="307" t="n"/>
      <c r="X106" s="307" t="n"/>
      <c r="Y106" s="307" t="n"/>
      <c r="Z106" s="307" t="n"/>
      <c r="AA106" s="307" t="n"/>
      <c r="AB106" s="307" t="n"/>
      <c r="AC106" s="307" t="n"/>
      <c r="AD106" s="307" t="n"/>
    </row>
    <row r="107" ht="21.75" customHeight="1" s="349">
      <c r="A107" s="307" t="n"/>
      <c r="B107" s="307" t="n"/>
      <c r="C107" s="183" t="n"/>
      <c r="D107" s="307" t="n"/>
      <c r="E107" s="307" t="n"/>
      <c r="F107" s="307" t="n"/>
      <c r="G107" s="178">
        <f>G106*2</f>
        <v/>
      </c>
      <c r="H107" s="179">
        <f>H106*I107</f>
        <v/>
      </c>
      <c r="I107" s="180" t="n">
        <v>0.9</v>
      </c>
      <c r="J107" s="177">
        <f>G107*H107</f>
        <v/>
      </c>
      <c r="K107" s="31" t="n"/>
      <c r="L107" s="40" t="inlineStr">
        <is>
          <t>units double, cost per unit drops 10%</t>
        </is>
      </c>
      <c r="M107" s="31" t="n"/>
      <c r="N107" s="307" t="n"/>
      <c r="O107" s="307" t="n"/>
      <c r="P107" s="307" t="n"/>
      <c r="Q107" s="307" t="n"/>
      <c r="R107" s="307" t="n"/>
      <c r="S107" s="307" t="n"/>
      <c r="T107" s="307" t="n"/>
      <c r="U107" s="307" t="n"/>
      <c r="V107" s="307" t="n"/>
      <c r="W107" s="307" t="n"/>
      <c r="X107" s="307" t="n"/>
      <c r="Y107" s="307" t="n"/>
      <c r="Z107" s="307" t="n"/>
      <c r="AA107" s="307" t="n"/>
      <c r="AB107" s="307" t="n"/>
      <c r="AC107" s="307" t="n"/>
      <c r="AD107" s="307" t="n"/>
    </row>
    <row r="108" ht="21.75" customHeight="1" s="349">
      <c r="A108" s="307" t="n"/>
      <c r="B108" s="56" t="n"/>
      <c r="C108" s="307" t="n"/>
      <c r="D108" s="307" t="n"/>
      <c r="E108" s="307" t="n"/>
      <c r="F108" s="307" t="n"/>
      <c r="G108" s="178">
        <f>G107*2</f>
        <v/>
      </c>
      <c r="H108" s="179">
        <f>H107*I108</f>
        <v/>
      </c>
      <c r="I108" s="180" t="n">
        <v>0.9</v>
      </c>
      <c r="J108" s="177">
        <f>G108*H108</f>
        <v/>
      </c>
      <c r="K108" s="31" t="n"/>
      <c r="L108" s="40" t="inlineStr">
        <is>
          <t>units double, cost per unit drops 10%</t>
        </is>
      </c>
      <c r="M108" s="31" t="n"/>
      <c r="N108" s="307" t="n"/>
      <c r="O108" s="307" t="n"/>
      <c r="P108" s="307" t="n"/>
      <c r="Q108" s="307" t="n"/>
      <c r="R108" s="307" t="n"/>
      <c r="S108" s="307" t="n"/>
      <c r="T108" s="307" t="n"/>
      <c r="U108" s="307" t="n"/>
      <c r="V108" s="307" t="n"/>
      <c r="W108" s="307" t="n"/>
      <c r="X108" s="307" t="n"/>
      <c r="Y108" s="307" t="n"/>
      <c r="Z108" s="307" t="n"/>
      <c r="AA108" s="307" t="n"/>
      <c r="AB108" s="307" t="n"/>
      <c r="AC108" s="307" t="n"/>
      <c r="AD108" s="307" t="n"/>
    </row>
    <row r="109" ht="21.75" customHeight="1" s="349">
      <c r="A109" s="307" t="n"/>
      <c r="G109" s="184">
        <f>G108*2</f>
        <v/>
      </c>
      <c r="H109" s="185">
        <f>H108*I109</f>
        <v/>
      </c>
      <c r="I109" s="180" t="n">
        <v>0.9</v>
      </c>
      <c r="J109" s="177">
        <f>G109*H109</f>
        <v/>
      </c>
      <c r="K109" s="307" t="n"/>
      <c r="L109" s="40" t="inlineStr">
        <is>
          <t>units double, cost per unit drops 10% (bottom of the table)</t>
        </is>
      </c>
      <c r="M109" s="31" t="n"/>
      <c r="N109" s="307" t="n"/>
      <c r="O109" s="307" t="n"/>
      <c r="P109" s="307" t="n"/>
      <c r="Q109" s="307" t="n"/>
      <c r="R109" s="307" t="n"/>
      <c r="S109" s="307" t="n"/>
      <c r="T109" s="307" t="n"/>
      <c r="U109" s="307" t="n"/>
      <c r="V109" s="307" t="n"/>
      <c r="W109" s="307" t="n"/>
      <c r="X109" s="307" t="n"/>
      <c r="Y109" s="307" t="n"/>
      <c r="Z109" s="307" t="n"/>
      <c r="AA109" s="307" t="n"/>
      <c r="AB109" s="307" t="n"/>
      <c r="AC109" s="307" t="n"/>
      <c r="AD109" s="307" t="n"/>
    </row>
    <row r="110" ht="21.75" customHeight="1" s="349">
      <c r="A110" s="307" t="n"/>
      <c r="K110" s="307" t="n"/>
      <c r="L110" s="40" t="n"/>
      <c r="M110" s="31" t="n"/>
      <c r="N110" s="307" t="n"/>
      <c r="O110" s="307" t="n"/>
      <c r="P110" s="307" t="n"/>
      <c r="Q110" s="307" t="n"/>
      <c r="R110" s="307" t="n"/>
      <c r="S110" s="307" t="n"/>
      <c r="T110" s="307" t="n"/>
      <c r="U110" s="307" t="n"/>
      <c r="V110" s="307" t="n"/>
      <c r="W110" s="307" t="n"/>
      <c r="X110" s="307" t="n"/>
      <c r="Y110" s="307" t="n"/>
      <c r="Z110" s="307" t="n"/>
      <c r="AA110" s="307" t="n"/>
      <c r="AB110" s="307" t="n"/>
      <c r="AC110" s="307" t="n"/>
      <c r="AD110" s="307" t="n"/>
    </row>
    <row r="111" ht="21.75" customHeight="1" s="349">
      <c r="A111" s="307" t="n"/>
      <c r="B111" s="186" t="inlineStr">
        <is>
          <t>Product</t>
        </is>
      </c>
      <c r="C111" s="186" t="inlineStr">
        <is>
          <t>Upsell item</t>
        </is>
      </c>
      <c r="D111" s="186" t="inlineStr">
        <is>
          <t>Type</t>
        </is>
      </c>
      <c r="E111" s="187" t="inlineStr">
        <is>
          <t>Attach %</t>
        </is>
      </c>
      <c r="F111" s="187" t="inlineStr">
        <is>
          <t>Unit rev. (EX VAT)</t>
        </is>
      </c>
      <c r="G111" s="188" t="inlineStr">
        <is>
          <t>Unit COGS</t>
        </is>
      </c>
      <c r="H111" s="188" t="inlineStr">
        <is>
          <t>Gross profit</t>
        </is>
      </c>
      <c r="I111" s="188" t="inlineStr">
        <is>
          <t>avg. Value</t>
        </is>
      </c>
      <c r="J111" s="187" t="inlineStr">
        <is>
          <t>avg. profit</t>
        </is>
      </c>
      <c r="K111" s="307" t="n"/>
      <c r="L111" s="40" t="n"/>
      <c r="M111" s="31" t="n"/>
      <c r="N111" s="307" t="n"/>
      <c r="O111" s="307" t="n"/>
      <c r="P111" s="307" t="n"/>
      <c r="Q111" s="307" t="n"/>
      <c r="R111" s="307" t="n"/>
      <c r="S111" s="307" t="n"/>
      <c r="T111" s="307" t="n"/>
      <c r="U111" s="307" t="n"/>
      <c r="V111" s="307" t="n"/>
      <c r="W111" s="307" t="n"/>
      <c r="X111" s="307" t="n"/>
      <c r="Y111" s="307" t="n"/>
      <c r="Z111" s="307" t="n"/>
      <c r="AA111" s="307" t="n"/>
      <c r="AB111" s="307" t="n"/>
      <c r="AC111" s="307" t="n"/>
      <c r="AD111" s="307" t="n"/>
    </row>
    <row r="112" ht="21.75" customHeight="1" s="349">
      <c r="A112" s="307" t="n"/>
      <c r="B112" s="190" t="inlineStr">
        <is>
          <t>TTK / Combi+</t>
        </is>
      </c>
      <c r="C112" s="190" t="inlineStr">
        <is>
          <t>Boiler variant 50</t>
        </is>
      </c>
      <c r="D112" s="190" t="inlineStr">
        <is>
          <t>One-time</t>
        </is>
      </c>
      <c r="E112" s="191" t="n">
        <v>0.49</v>
      </c>
      <c r="F112" s="192" t="n">
        <v>165.29</v>
      </c>
      <c r="G112" s="192" t="n">
        <v>80</v>
      </c>
      <c r="H112" s="193">
        <f>F112-G112</f>
        <v/>
      </c>
      <c r="I112" s="194">
        <f>F112*E112</f>
        <v/>
      </c>
      <c r="J112" s="195">
        <f>H112*E112</f>
        <v/>
      </c>
      <c r="K112" s="307" t="n"/>
      <c r="L112" s="40" t="inlineStr">
        <is>
          <t>profit per upsell, then the average per heat pump after attach %</t>
        </is>
      </c>
      <c r="M112" s="31" t="n"/>
      <c r="N112" s="307" t="n"/>
      <c r="O112" s="307" t="n"/>
      <c r="P112" s="307" t="n"/>
      <c r="Q112" s="307" t="n"/>
      <c r="R112" s="307" t="n"/>
      <c r="S112" s="307" t="n"/>
      <c r="T112" s="307" t="n"/>
      <c r="U112" s="307" t="n"/>
      <c r="V112" s="307" t="n"/>
      <c r="W112" s="307" t="n"/>
      <c r="X112" s="307" t="n"/>
      <c r="Y112" s="307" t="n"/>
      <c r="Z112" s="307" t="n"/>
      <c r="AA112" s="307" t="n"/>
      <c r="AB112" s="307" t="n"/>
      <c r="AC112" s="307" t="n"/>
      <c r="AD112" s="307" t="n"/>
    </row>
    <row r="113" ht="21.75" customHeight="1" s="349">
      <c r="A113" s="307" t="n"/>
      <c r="B113" s="190" t="inlineStr">
        <is>
          <t>TTK / Combi+</t>
        </is>
      </c>
      <c r="C113" s="190" t="inlineStr">
        <is>
          <t>Boiler variant 100</t>
        </is>
      </c>
      <c r="D113" s="190" t="inlineStr">
        <is>
          <t>One-time</t>
        </is>
      </c>
      <c r="E113" s="191" t="n">
        <v>0.19</v>
      </c>
      <c r="F113" s="192" t="n">
        <v>330.58</v>
      </c>
      <c r="G113" s="192" t="n">
        <v>150</v>
      </c>
      <c r="H113" s="193">
        <f>F113-G113</f>
        <v/>
      </c>
      <c r="I113" s="194">
        <f>F113*E113</f>
        <v/>
      </c>
      <c r="J113" s="195">
        <f>H113*E113</f>
        <v/>
      </c>
      <c r="K113" s="307" t="n"/>
      <c r="L113" s="40" t="inlineStr">
        <is>
          <t>profit per upsell, then the average per heat pump after attach %</t>
        </is>
      </c>
      <c r="M113" s="31" t="n"/>
      <c r="N113" s="307" t="n"/>
      <c r="O113" s="307" t="n"/>
      <c r="P113" s="307" t="n"/>
      <c r="Q113" s="307" t="n"/>
      <c r="R113" s="307" t="n"/>
      <c r="S113" s="307" t="n"/>
      <c r="T113" s="307" t="n"/>
      <c r="U113" s="307" t="n"/>
      <c r="V113" s="307" t="n"/>
      <c r="W113" s="307" t="n"/>
      <c r="X113" s="307" t="n"/>
      <c r="Y113" s="307" t="n"/>
      <c r="Z113" s="307" t="n"/>
      <c r="AA113" s="307" t="n"/>
      <c r="AB113" s="307" t="n"/>
      <c r="AC113" s="307" t="n"/>
      <c r="AD113" s="307" t="n"/>
    </row>
    <row r="114" ht="21.75" customHeight="1" s="349">
      <c r="A114" s="307" t="n"/>
      <c r="B114" s="190" t="inlineStr">
        <is>
          <t>TTK / Combi+</t>
        </is>
      </c>
      <c r="C114" s="190" t="inlineStr">
        <is>
          <t>Sound reduction</t>
        </is>
      </c>
      <c r="D114" s="190" t="inlineStr">
        <is>
          <t>One-time</t>
        </is>
      </c>
      <c r="E114" s="191" t="n">
        <v>0.79</v>
      </c>
      <c r="F114" s="192" t="n">
        <v>454.55</v>
      </c>
      <c r="G114" s="192" t="n">
        <v>190</v>
      </c>
      <c r="H114" s="193">
        <f>F114-G114</f>
        <v/>
      </c>
      <c r="I114" s="194">
        <f>F114*E114</f>
        <v/>
      </c>
      <c r="J114" s="195">
        <f>H114*E114</f>
        <v/>
      </c>
      <c r="K114" s="307" t="n"/>
      <c r="L114" s="40" t="inlineStr">
        <is>
          <t>profit per upsell, then the average per heat pump after attach %</t>
        </is>
      </c>
      <c r="M114" s="31" t="n"/>
      <c r="N114" s="307" t="n"/>
      <c r="O114" s="307" t="n"/>
      <c r="P114" s="307" t="n"/>
      <c r="Q114" s="307" t="n"/>
      <c r="R114" s="307" t="n"/>
      <c r="S114" s="307" t="n"/>
      <c r="T114" s="307" t="n"/>
      <c r="U114" s="307" t="n"/>
      <c r="V114" s="307" t="n"/>
      <c r="W114" s="307" t="n"/>
      <c r="X114" s="307" t="n"/>
      <c r="Y114" s="307" t="n"/>
      <c r="Z114" s="307" t="n"/>
      <c r="AA114" s="307" t="n"/>
      <c r="AB114" s="307" t="n"/>
      <c r="AC114" s="307" t="n"/>
      <c r="AD114" s="307" t="n"/>
    </row>
    <row r="115" ht="21.75" customHeight="1" s="349">
      <c r="A115" s="307" t="n"/>
      <c r="B115" s="200" t="inlineStr">
        <is>
          <t>Upsell basket subtotal (per unit) — applies to TTK and Combi+</t>
        </is>
      </c>
      <c r="D115" s="197" t="n"/>
      <c r="E115" s="198" t="n"/>
      <c r="F115" s="177">
        <f>SUMPRODUCT(E112:E114,F112:F114)</f>
        <v/>
      </c>
      <c r="G115" s="177" t="n"/>
      <c r="H115" s="199" t="n"/>
      <c r="I115" s="199">
        <f>sum(I112:I114)</f>
        <v/>
      </c>
      <c r="J115" s="199">
        <f>sum(J112:J114)</f>
        <v/>
      </c>
      <c r="K115" s="307" t="n"/>
      <c r="L115" s="40" t="inlineStr">
        <is>
          <t>average upsell revenue per unit sold, weighted by attach %</t>
        </is>
      </c>
      <c r="M115" s="31" t="n"/>
      <c r="N115" s="307" t="n"/>
      <c r="O115" s="307" t="n"/>
      <c r="P115" s="307" t="n"/>
      <c r="Q115" s="307" t="n"/>
      <c r="R115" s="307" t="n"/>
      <c r="S115" s="307" t="n"/>
      <c r="T115" s="307" t="n"/>
      <c r="U115" s="307" t="n"/>
      <c r="V115" s="307" t="n"/>
      <c r="W115" s="307" t="n"/>
      <c r="X115" s="307" t="n"/>
      <c r="Y115" s="307" t="n"/>
      <c r="Z115" s="307" t="n"/>
      <c r="AA115" s="307" t="n"/>
      <c r="AB115" s="307" t="n"/>
      <c r="AC115" s="307" t="n"/>
      <c r="AD115" s="307" t="n"/>
    </row>
    <row r="116" ht="21.75" customHeight="1" s="349">
      <c r="A116" s="307" t="n"/>
      <c r="B116" s="200" t="n"/>
      <c r="C116" s="200" t="n"/>
      <c r="D116" s="197" t="n"/>
      <c r="E116" s="198" t="n"/>
      <c r="F116" s="177" t="n"/>
      <c r="G116" s="177" t="n"/>
      <c r="H116" s="199" t="n"/>
      <c r="I116" s="199" t="n"/>
      <c r="J116" s="199" t="n"/>
      <c r="K116" s="307" t="n"/>
      <c r="L116" s="40" t="n"/>
      <c r="M116" s="31" t="n"/>
      <c r="N116" s="307" t="n"/>
      <c r="O116" s="307" t="n"/>
      <c r="P116" s="307" t="n"/>
      <c r="Q116" s="307" t="n"/>
      <c r="R116" s="307" t="n"/>
      <c r="S116" s="307" t="n"/>
      <c r="T116" s="307" t="n"/>
      <c r="U116" s="307" t="n"/>
      <c r="V116" s="307" t="n"/>
      <c r="W116" s="307" t="n"/>
      <c r="X116" s="307" t="n"/>
      <c r="Y116" s="307" t="n"/>
      <c r="Z116" s="307" t="n"/>
      <c r="AA116" s="307" t="n"/>
      <c r="AB116" s="307" t="n"/>
      <c r="AC116" s="307" t="n"/>
      <c r="AD116" s="307" t="n"/>
    </row>
    <row r="117" ht="21.75" customHeight="1" s="349">
      <c r="A117" s="31" t="n"/>
      <c r="B117" s="201" t="inlineStr">
        <is>
          <t>Turbine Heat Pump</t>
        </is>
      </c>
      <c r="C117" s="201" t="inlineStr">
        <is>
          <t>Basic service contract</t>
        </is>
      </c>
      <c r="D117" s="201" t="inlineStr">
        <is>
          <t>Service contract (yearly)</t>
        </is>
      </c>
      <c r="E117" s="191" t="n">
        <v>0.34</v>
      </c>
      <c r="F117" s="192" t="n">
        <v>60</v>
      </c>
      <c r="G117" s="192" t="n">
        <v>30</v>
      </c>
      <c r="H117" s="202">
        <f>F117-G117</f>
        <v/>
      </c>
      <c r="I117" s="195">
        <f>F117*E117</f>
        <v/>
      </c>
      <c r="J117" s="195">
        <f>H117*E117</f>
        <v/>
      </c>
      <c r="K117" s="31" t="n"/>
      <c r="L117" s="40" t="inlineStr">
        <is>
          <t>yearly service fee and cost, times the share who sign up</t>
        </is>
      </c>
      <c r="M117" s="31" t="n"/>
      <c r="N117" s="31" t="n"/>
      <c r="O117" s="31" t="n"/>
      <c r="P117" s="31" t="n"/>
      <c r="Q117" s="31" t="n"/>
      <c r="R117" s="31" t="n"/>
      <c r="S117" s="31" t="n"/>
      <c r="T117" s="31" t="n"/>
      <c r="U117" s="31" t="n"/>
      <c r="V117" s="31" t="n"/>
      <c r="W117" s="31" t="n"/>
      <c r="X117" s="31" t="n"/>
      <c r="Y117" s="31" t="n"/>
      <c r="Z117" s="31" t="n"/>
      <c r="AA117" s="31" t="n"/>
      <c r="AB117" s="31" t="n"/>
      <c r="AC117" s="31" t="n"/>
      <c r="AD117" s="31" t="n"/>
    </row>
    <row r="118" ht="21.75" customHeight="1" s="349">
      <c r="A118" s="307" t="n"/>
      <c r="B118" s="190" t="inlineStr">
        <is>
          <t>Turbine Heat Pump</t>
        </is>
      </c>
      <c r="C118" s="190" t="inlineStr">
        <is>
          <t>Premium service contract</t>
        </is>
      </c>
      <c r="D118" s="190" t="inlineStr">
        <is>
          <t>Service contract (yearly)</t>
        </is>
      </c>
      <c r="E118" s="191" t="n">
        <v>0.54</v>
      </c>
      <c r="F118" s="192" t="n">
        <v>90</v>
      </c>
      <c r="G118" s="192" t="n">
        <v>40</v>
      </c>
      <c r="H118" s="193">
        <f>F118-G118</f>
        <v/>
      </c>
      <c r="I118" s="194">
        <f>F118*E118</f>
        <v/>
      </c>
      <c r="J118" s="195">
        <f>H118*E118</f>
        <v/>
      </c>
      <c r="K118" s="307" t="n"/>
      <c r="L118" s="40" t="inlineStr">
        <is>
          <t>yearly service fee and cost, times the share who sign up</t>
        </is>
      </c>
      <c r="M118" s="31" t="n"/>
      <c r="N118" s="307" t="n"/>
      <c r="O118" s="307" t="n"/>
      <c r="P118" s="307" t="n"/>
      <c r="Q118" s="307" t="n"/>
      <c r="R118" s="307" t="n"/>
      <c r="S118" s="307" t="n"/>
      <c r="T118" s="307" t="n"/>
      <c r="U118" s="307" t="n"/>
      <c r="V118" s="307" t="n"/>
      <c r="W118" s="307" t="n"/>
      <c r="X118" s="307" t="n"/>
      <c r="Y118" s="307" t="n"/>
      <c r="Z118" s="307" t="n"/>
      <c r="AA118" s="307" t="n"/>
      <c r="AB118" s="307" t="n"/>
      <c r="AC118" s="307" t="n"/>
      <c r="AD118" s="307" t="n"/>
    </row>
    <row r="119" ht="21.75" customHeight="1" s="349">
      <c r="A119" s="307" t="n"/>
      <c r="D119" s="197" t="n"/>
      <c r="E119" s="197" t="n"/>
      <c r="F119" s="204" t="n"/>
      <c r="G119" s="204" t="n"/>
      <c r="K119" s="307" t="n"/>
      <c r="L119" s="40" t="n"/>
      <c r="M119" s="31" t="n"/>
      <c r="N119" s="307" t="n"/>
      <c r="O119" s="307" t="n"/>
      <c r="P119" s="307" t="n"/>
      <c r="Q119" s="307" t="n"/>
      <c r="R119" s="307" t="n"/>
      <c r="S119" s="307" t="n"/>
      <c r="T119" s="307" t="n"/>
      <c r="U119" s="307" t="n"/>
      <c r="V119" s="307" t="n"/>
      <c r="W119" s="307" t="n"/>
      <c r="X119" s="307" t="n"/>
      <c r="Y119" s="307" t="n"/>
      <c r="Z119" s="307" t="n"/>
      <c r="AA119" s="307" t="n"/>
      <c r="AB119" s="307" t="n"/>
      <c r="AC119" s="307" t="n"/>
      <c r="AD119" s="307" t="n"/>
    </row>
    <row r="120" ht="21.75" customHeight="1" s="349">
      <c r="A120" s="307" t="n"/>
      <c r="B120" s="190" t="inlineStr">
        <is>
          <t>Combi+</t>
        </is>
      </c>
      <c r="C120" s="190" t="inlineStr">
        <is>
          <t>Basic service contract</t>
        </is>
      </c>
      <c r="D120" s="190" t="inlineStr">
        <is>
          <t>Service contract (yearly)</t>
        </is>
      </c>
      <c r="E120" s="191" t="n">
        <v>0.34</v>
      </c>
      <c r="F120" s="192" t="n">
        <v>150</v>
      </c>
      <c r="G120" s="192" t="n">
        <v>75</v>
      </c>
      <c r="H120" s="193">
        <f>F120-G120</f>
        <v/>
      </c>
      <c r="I120" s="194">
        <f>F120*E120</f>
        <v/>
      </c>
      <c r="J120" s="195">
        <f>H120*E120</f>
        <v/>
      </c>
      <c r="K120" s="307" t="n"/>
      <c r="L120" s="40" t="inlineStr">
        <is>
          <t>Combi+ service fee and cost, times the share who sign up</t>
        </is>
      </c>
      <c r="M120" s="31" t="n"/>
      <c r="N120" s="307" t="n"/>
      <c r="O120" s="307" t="n"/>
      <c r="P120" s="307" t="n"/>
      <c r="Q120" s="307" t="n"/>
      <c r="R120" s="307" t="n"/>
      <c r="S120" s="307" t="n"/>
      <c r="T120" s="307" t="n"/>
      <c r="U120" s="307" t="n"/>
      <c r="V120" s="307" t="n"/>
      <c r="W120" s="307" t="n"/>
      <c r="X120" s="307" t="n"/>
      <c r="Y120" s="307" t="n"/>
      <c r="Z120" s="307" t="n"/>
      <c r="AA120" s="307" t="n"/>
      <c r="AB120" s="307" t="n"/>
      <c r="AC120" s="307" t="n"/>
      <c r="AD120" s="307" t="n"/>
    </row>
    <row r="121" ht="21.75" customHeight="1" s="349">
      <c r="A121" s="307" t="n"/>
      <c r="B121" s="190" t="inlineStr">
        <is>
          <t>Combi+</t>
        </is>
      </c>
      <c r="C121" s="190" t="inlineStr">
        <is>
          <t>Premium service contract</t>
        </is>
      </c>
      <c r="D121" s="190" t="inlineStr">
        <is>
          <t>Service contract (yearly)</t>
        </is>
      </c>
      <c r="E121" s="191" t="n">
        <v>0.54</v>
      </c>
      <c r="F121" s="192" t="n">
        <v>200</v>
      </c>
      <c r="G121" s="192" t="n">
        <v>100</v>
      </c>
      <c r="H121" s="193">
        <f>F121-G121</f>
        <v/>
      </c>
      <c r="I121" s="194">
        <f>F121*E121</f>
        <v/>
      </c>
      <c r="J121" s="195">
        <f>H121*E121</f>
        <v/>
      </c>
      <c r="K121" s="307" t="n"/>
      <c r="L121" s="40" t="inlineStr">
        <is>
          <t>Combi+ service fee and cost, times the share who sign up</t>
        </is>
      </c>
      <c r="M121" s="31" t="n"/>
      <c r="N121" s="307" t="n"/>
      <c r="O121" s="307" t="n"/>
      <c r="P121" s="307" t="n"/>
      <c r="Q121" s="307" t="n"/>
      <c r="R121" s="307" t="n"/>
      <c r="S121" s="307" t="n"/>
      <c r="T121" s="307" t="n"/>
      <c r="U121" s="307" t="n"/>
      <c r="V121" s="307" t="n"/>
      <c r="W121" s="307" t="n"/>
      <c r="X121" s="307" t="n"/>
      <c r="Y121" s="307" t="n"/>
      <c r="Z121" s="307" t="n"/>
      <c r="AA121" s="307" t="n"/>
      <c r="AB121" s="307" t="n"/>
      <c r="AC121" s="307" t="n"/>
      <c r="AD121" s="307" t="n"/>
    </row>
    <row r="122" ht="21.75" customHeight="1" s="349">
      <c r="A122" s="307" t="n"/>
      <c r="B122" s="56" t="n"/>
      <c r="C122" s="307" t="n"/>
      <c r="D122" s="307" t="n"/>
      <c r="E122" s="307" t="n"/>
      <c r="F122" s="307" t="n"/>
      <c r="G122" s="307" t="n"/>
      <c r="H122" s="31" t="n"/>
      <c r="I122" s="31" t="n"/>
      <c r="J122" s="31" t="n"/>
      <c r="K122" s="31" t="n"/>
      <c r="L122" s="31" t="n"/>
      <c r="M122" s="31" t="n"/>
      <c r="N122" s="307" t="n"/>
      <c r="O122" s="307" t="n"/>
      <c r="P122" s="307" t="n"/>
      <c r="Q122" s="307" t="n"/>
      <c r="R122" s="307" t="n"/>
      <c r="S122" s="307" t="n"/>
      <c r="T122" s="307" t="n"/>
      <c r="U122" s="307" t="n"/>
      <c r="V122" s="307" t="n"/>
      <c r="W122" s="307" t="n"/>
      <c r="X122" s="307" t="n"/>
      <c r="Y122" s="307" t="n"/>
      <c r="Z122" s="307" t="n"/>
      <c r="AA122" s="307" t="n"/>
      <c r="AB122" s="307" t="n"/>
      <c r="AC122" s="307" t="n"/>
      <c r="AD122" s="307" t="n"/>
    </row>
    <row r="123" ht="21.75" customHeight="1" s="349">
      <c r="A123" s="307" t="n"/>
      <c r="B123" s="140" t="inlineStr">
        <is>
          <t>CAPEX &amp; DEPRECIATION</t>
        </is>
      </c>
      <c r="H123" s="31" t="n"/>
      <c r="I123" s="31" t="n"/>
      <c r="J123" s="31" t="n"/>
      <c r="K123" s="31" t="n"/>
      <c r="L123" s="31" t="n"/>
      <c r="M123" s="31" t="n"/>
      <c r="N123" s="307" t="n"/>
      <c r="O123" s="307" t="n"/>
      <c r="P123" s="307" t="n"/>
      <c r="Q123" s="307" t="n"/>
      <c r="R123" s="307" t="n"/>
      <c r="S123" s="307" t="n"/>
      <c r="T123" s="307" t="n"/>
      <c r="U123" s="307" t="n"/>
      <c r="V123" s="307" t="n"/>
      <c r="W123" s="307" t="n"/>
      <c r="X123" s="307" t="n"/>
      <c r="Y123" s="307" t="n"/>
      <c r="Z123" s="307" t="n"/>
      <c r="AA123" s="307" t="n"/>
      <c r="AB123" s="307" t="n"/>
      <c r="AC123" s="307" t="n"/>
      <c r="AD123" s="307" t="n"/>
    </row>
    <row r="124" ht="21.75" customHeight="1" s="349">
      <c r="A124" s="307" t="n"/>
      <c r="B124" s="153" t="inlineStr">
        <is>
          <t>Year</t>
        </is>
      </c>
      <c r="C124" s="307" t="n"/>
      <c r="D124" s="307" t="n">
        <v>2027</v>
      </c>
      <c r="E124" s="307" t="n">
        <v>2028</v>
      </c>
      <c r="F124" s="307" t="n">
        <v>2029</v>
      </c>
      <c r="G124" s="307" t="n">
        <v>2030</v>
      </c>
      <c r="H124" s="31" t="n"/>
      <c r="I124" s="31" t="n"/>
      <c r="J124" s="31" t="n"/>
      <c r="K124" s="31" t="n"/>
      <c r="L124" s="31" t="n"/>
      <c r="M124" s="31" t="n"/>
      <c r="N124" s="307" t="n"/>
      <c r="O124" s="307" t="n"/>
      <c r="P124" s="307" t="n"/>
      <c r="Q124" s="307" t="n"/>
      <c r="R124" s="307" t="n"/>
      <c r="S124" s="307" t="n"/>
      <c r="T124" s="307" t="n"/>
      <c r="U124" s="307" t="n"/>
      <c r="V124" s="307" t="n"/>
      <c r="W124" s="307" t="n"/>
      <c r="X124" s="307" t="n"/>
      <c r="Y124" s="307" t="n"/>
      <c r="Z124" s="307" t="n"/>
      <c r="AA124" s="307" t="n"/>
      <c r="AB124" s="307" t="n"/>
      <c r="AC124" s="307" t="n"/>
      <c r="AD124" s="307" t="n"/>
    </row>
    <row r="125" ht="21.75" customHeight="1" s="349">
      <c r="A125" s="307" t="n"/>
      <c r="B125" s="153" t="inlineStr">
        <is>
          <t>Tooling &amp; automation (aggressive)</t>
        </is>
      </c>
      <c r="C125" s="307" t="n"/>
      <c r="D125" s="82" t="n">
        <v>1500000</v>
      </c>
      <c r="E125" s="82" t="n">
        <v>1000000</v>
      </c>
      <c r="F125" s="82" t="n">
        <v>500000</v>
      </c>
      <c r="G125" s="82" t="n">
        <v>0</v>
      </c>
      <c r="H125" s="31" t="n"/>
      <c r="I125" s="31" t="n"/>
      <c r="J125" s="31" t="n"/>
      <c r="K125" s="31" t="n"/>
      <c r="L125" s="350" t="inlineStr">
        <is>
          <t>3.0m of tooling, staged 1.5 / 1.0 / 0.5</t>
        </is>
      </c>
      <c r="M125" s="31" t="n"/>
      <c r="N125" s="307" t="n"/>
      <c r="O125" s="307" t="n"/>
      <c r="P125" s="307" t="n"/>
      <c r="Q125" s="307" t="n"/>
      <c r="R125" s="307" t="n"/>
      <c r="S125" s="307" t="n"/>
      <c r="T125" s="307" t="n"/>
      <c r="U125" s="307" t="n"/>
      <c r="V125" s="307" t="n"/>
      <c r="W125" s="307" t="n"/>
      <c r="X125" s="307" t="n"/>
      <c r="Y125" s="307" t="n"/>
      <c r="Z125" s="307" t="n"/>
      <c r="AA125" s="307" t="n"/>
      <c r="AB125" s="307" t="n"/>
      <c r="AC125" s="307" t="n"/>
      <c r="AD125" s="307" t="n"/>
    </row>
    <row r="126" ht="21.75" customHeight="1" s="349">
      <c r="A126" s="307" t="n"/>
      <c r="B126" s="153" t="inlineStr">
        <is>
          <t>Facility fit-out (aggressive)</t>
        </is>
      </c>
      <c r="C126" s="307" t="n"/>
      <c r="D126" s="82" t="n">
        <v>0</v>
      </c>
      <c r="E126" s="82" t="n">
        <v>1500000</v>
      </c>
      <c r="F126" s="82" t="n">
        <v>1000000</v>
      </c>
      <c r="G126" s="82" t="n">
        <v>0</v>
      </c>
      <c r="H126" s="31" t="n"/>
      <c r="I126" s="31" t="n"/>
      <c r="J126" s="31" t="n"/>
      <c r="K126" s="31" t="n"/>
      <c r="L126" s="350" t="inlineStr">
        <is>
          <t>2.5m fit-out; partner builds until stage 1 is live</t>
        </is>
      </c>
      <c r="M126" s="31" t="n"/>
      <c r="N126" s="307" t="n"/>
      <c r="O126" s="307" t="n"/>
      <c r="P126" s="307" t="n"/>
      <c r="Q126" s="307" t="n"/>
      <c r="R126" s="307" t="n"/>
      <c r="S126" s="307" t="n"/>
      <c r="T126" s="307" t="n"/>
      <c r="U126" s="307" t="n"/>
      <c r="V126" s="307" t="n"/>
      <c r="W126" s="307" t="n"/>
      <c r="X126" s="307" t="n"/>
      <c r="Y126" s="307" t="n"/>
      <c r="Z126" s="307" t="n"/>
      <c r="AA126" s="307" t="n"/>
      <c r="AB126" s="307" t="n"/>
      <c r="AC126" s="307" t="n"/>
      <c r="AD126" s="307" t="n"/>
    </row>
    <row r="127" ht="21.75" customHeight="1" s="349">
      <c r="A127" s="307" t="n"/>
      <c r="B127" s="153" t="inlineStr">
        <is>
          <t>Total capex (case-driven)</t>
        </is>
      </c>
      <c r="C127" s="307" t="n"/>
      <c r="D127" s="82">
        <f>IF($D$82=2,D125+D126,0)</f>
        <v/>
      </c>
      <c r="E127" s="82">
        <f>IF($D$82=2,E125+E126,0)</f>
        <v/>
      </c>
      <c r="F127" s="82">
        <f>IF($D$82=2,F125+F126,0)</f>
        <v/>
      </c>
      <c r="G127" s="82">
        <f>IF($D$82=2,G125+G126,0)</f>
        <v/>
      </c>
      <c r="H127" s="31" t="n"/>
      <c r="I127" s="31" t="n"/>
      <c r="J127" s="31" t="n"/>
      <c r="K127" s="31" t="n"/>
      <c r="L127" s="350" t="inlineStr">
        <is>
          <t>what the model actually spends — zero unless Case = 2</t>
        </is>
      </c>
      <c r="M127" s="31" t="n"/>
      <c r="N127" s="307" t="n"/>
      <c r="O127" s="307" t="n"/>
      <c r="P127" s="307" t="n"/>
      <c r="Q127" s="307" t="n"/>
      <c r="R127" s="307" t="n"/>
      <c r="S127" s="307" t="n"/>
      <c r="T127" s="307" t="n"/>
      <c r="U127" s="307" t="n"/>
      <c r="V127" s="307" t="n"/>
      <c r="W127" s="307" t="n"/>
      <c r="X127" s="307" t="n"/>
      <c r="Y127" s="307" t="n"/>
      <c r="Z127" s="307" t="n"/>
      <c r="AA127" s="307" t="n"/>
      <c r="AB127" s="307" t="n"/>
      <c r="AC127" s="307" t="n"/>
      <c r="AD127" s="307" t="n"/>
    </row>
    <row r="128" ht="21.75" customHeight="1" s="349">
      <c r="A128" s="307" t="n"/>
      <c r="B128" s="153" t="inlineStr">
        <is>
          <t>Useful life (years, blended)</t>
        </is>
      </c>
      <c r="C128" s="307" t="n"/>
      <c r="D128" s="64" t="n">
        <v>8</v>
      </c>
      <c r="E128" s="307" t="n"/>
      <c r="F128" s="307" t="n"/>
      <c r="G128" s="307" t="n"/>
      <c r="H128" s="31" t="n"/>
      <c r="I128" s="31" t="n"/>
      <c r="J128" s="31" t="n"/>
      <c r="K128" s="31" t="n"/>
      <c r="L128" s="350" t="inlineStr">
        <is>
          <t>straight line, blended across tooling and building</t>
        </is>
      </c>
      <c r="M128" s="31" t="n"/>
      <c r="N128" s="307" t="n"/>
      <c r="O128" s="307" t="n"/>
      <c r="P128" s="307" t="n"/>
      <c r="Q128" s="307" t="n"/>
      <c r="R128" s="307" t="n"/>
      <c r="S128" s="307" t="n"/>
      <c r="T128" s="307" t="n"/>
      <c r="U128" s="307" t="n"/>
      <c r="V128" s="307" t="n"/>
      <c r="W128" s="307" t="n"/>
      <c r="X128" s="307" t="n"/>
      <c r="Y128" s="307" t="n"/>
      <c r="Z128" s="307" t="n"/>
      <c r="AA128" s="307" t="n"/>
      <c r="AB128" s="307" t="n"/>
      <c r="AC128" s="307" t="n"/>
      <c r="AD128" s="307" t="n"/>
    </row>
    <row r="129" ht="21.75" customHeight="1" s="349">
      <c r="A129" s="307" t="n"/>
      <c r="B129" s="56" t="n"/>
      <c r="C129" s="307" t="n"/>
      <c r="D129" s="307" t="n"/>
      <c r="E129" s="307" t="n"/>
      <c r="F129" s="307" t="n"/>
      <c r="G129" s="307" t="n"/>
      <c r="H129" s="31" t="n"/>
      <c r="I129" s="31" t="n"/>
      <c r="J129" s="31" t="n"/>
      <c r="K129" s="31" t="n"/>
      <c r="L129" s="31" t="n"/>
      <c r="M129" s="31" t="n"/>
      <c r="N129" s="307" t="n"/>
      <c r="O129" s="307" t="n"/>
      <c r="P129" s="307" t="n"/>
      <c r="Q129" s="307" t="n"/>
      <c r="R129" s="307" t="n"/>
      <c r="S129" s="307" t="n"/>
      <c r="T129" s="307" t="n"/>
      <c r="U129" s="307" t="n"/>
      <c r="V129" s="307" t="n"/>
      <c r="W129" s="307" t="n"/>
      <c r="X129" s="307" t="n"/>
      <c r="Y129" s="307" t="n"/>
      <c r="Z129" s="307" t="n"/>
      <c r="AA129" s="307" t="n"/>
      <c r="AB129" s="307" t="n"/>
      <c r="AC129" s="307" t="n"/>
      <c r="AD129" s="307" t="n"/>
    </row>
    <row r="130" ht="21.75" customHeight="1" s="349">
      <c r="A130" s="307" t="n"/>
      <c r="B130" s="56" t="n"/>
      <c r="C130" s="307" t="n"/>
      <c r="D130" s="307" t="n"/>
      <c r="E130" s="307" t="n"/>
      <c r="F130" s="307" t="n"/>
      <c r="G130" s="307" t="n"/>
      <c r="H130" s="31" t="n"/>
      <c r="I130" s="31" t="n"/>
      <c r="J130" s="31" t="n"/>
      <c r="K130" s="31" t="n"/>
      <c r="L130" s="31" t="n"/>
      <c r="M130" s="31" t="n"/>
      <c r="N130" s="307" t="n"/>
      <c r="O130" s="307" t="n"/>
      <c r="P130" s="307" t="n"/>
      <c r="Q130" s="307" t="n"/>
      <c r="R130" s="307" t="n"/>
      <c r="S130" s="307" t="n"/>
      <c r="T130" s="307" t="n"/>
      <c r="U130" s="307" t="n"/>
      <c r="V130" s="307" t="n"/>
      <c r="W130" s="307" t="n"/>
      <c r="X130" s="307" t="n"/>
      <c r="Y130" s="307" t="n"/>
      <c r="Z130" s="307" t="n"/>
      <c r="AA130" s="307" t="n"/>
      <c r="AB130" s="307" t="n"/>
      <c r="AC130" s="307" t="n"/>
      <c r="AD130" s="307" t="n"/>
    </row>
    <row r="131" ht="21.75" customHeight="1" s="349">
      <c r="A131" s="307" t="n"/>
      <c r="B131" s="56" t="n"/>
      <c r="C131" s="307" t="n"/>
      <c r="D131" s="307" t="n"/>
      <c r="E131" s="307" t="n"/>
      <c r="F131" s="307" t="n"/>
      <c r="G131" s="307" t="n"/>
      <c r="H131" s="31" t="n"/>
      <c r="I131" s="31" t="n"/>
      <c r="J131" s="31" t="n"/>
      <c r="K131" s="31" t="n"/>
      <c r="L131" s="31" t="n"/>
      <c r="M131" s="31" t="n"/>
      <c r="N131" s="307" t="n"/>
      <c r="O131" s="307" t="n"/>
      <c r="P131" s="307" t="n"/>
      <c r="Q131" s="307" t="n"/>
      <c r="R131" s="307" t="n"/>
      <c r="S131" s="307" t="n"/>
      <c r="T131" s="307" t="n"/>
      <c r="U131" s="307" t="n"/>
      <c r="V131" s="307" t="n"/>
      <c r="W131" s="307" t="n"/>
      <c r="X131" s="307" t="n"/>
      <c r="Y131" s="307" t="n"/>
      <c r="Z131" s="307" t="n"/>
      <c r="AA131" s="307" t="n"/>
      <c r="AB131" s="307" t="n"/>
      <c r="AC131" s="307" t="n"/>
      <c r="AD131" s="307" t="n"/>
    </row>
    <row r="132" ht="21.75" customHeight="1" s="349">
      <c r="A132" s="307" t="n"/>
      <c r="B132" s="56" t="n"/>
      <c r="C132" s="307" t="n"/>
      <c r="D132" s="307" t="n"/>
      <c r="E132" s="307" t="n"/>
      <c r="F132" s="307" t="n"/>
      <c r="G132" s="307" t="n"/>
      <c r="H132" s="31" t="n"/>
      <c r="I132" s="31" t="n"/>
      <c r="J132" s="31" t="n"/>
      <c r="K132" s="31" t="n"/>
      <c r="L132" s="31" t="n"/>
      <c r="M132" s="31" t="n"/>
      <c r="N132" s="307" t="n"/>
      <c r="O132" s="307" t="n"/>
      <c r="P132" s="307" t="n"/>
      <c r="Q132" s="307" t="n"/>
      <c r="R132" s="307" t="n"/>
      <c r="S132" s="307" t="n"/>
      <c r="T132" s="307" t="n"/>
      <c r="U132" s="307" t="n"/>
      <c r="V132" s="307" t="n"/>
      <c r="W132" s="307" t="n"/>
      <c r="X132" s="307" t="n"/>
      <c r="Y132" s="307" t="n"/>
      <c r="Z132" s="307" t="n"/>
      <c r="AA132" s="307" t="n"/>
      <c r="AB132" s="307" t="n"/>
      <c r="AC132" s="307" t="n"/>
      <c r="AD132" s="307" t="n"/>
    </row>
    <row r="133" ht="21.75" customHeight="1" s="349">
      <c r="A133" s="307" t="n"/>
      <c r="B133" s="56" t="n"/>
      <c r="C133" s="307" t="n"/>
      <c r="D133" s="307" t="n"/>
      <c r="E133" s="307" t="n"/>
      <c r="F133" s="307" t="n"/>
      <c r="G133" s="307" t="n"/>
      <c r="H133" s="31" t="n"/>
      <c r="I133" s="31" t="n"/>
      <c r="J133" s="31" t="n"/>
      <c r="K133" s="31" t="n"/>
      <c r="L133" s="31" t="n"/>
      <c r="M133" s="31" t="n"/>
      <c r="N133" s="307" t="n"/>
      <c r="O133" s="307" t="n"/>
      <c r="P133" s="307" t="n"/>
      <c r="Q133" s="307" t="n"/>
      <c r="R133" s="307" t="n"/>
      <c r="S133" s="307" t="n"/>
      <c r="T133" s="307" t="n"/>
      <c r="U133" s="307" t="n"/>
      <c r="V133" s="307" t="n"/>
      <c r="W133" s="307" t="n"/>
      <c r="X133" s="307" t="n"/>
      <c r="Y133" s="307" t="n"/>
      <c r="Z133" s="307" t="n"/>
      <c r="AA133" s="307" t="n"/>
      <c r="AB133" s="307" t="n"/>
      <c r="AC133" s="307" t="n"/>
      <c r="AD133" s="307" t="n"/>
    </row>
    <row r="134" ht="21.75" customHeight="1" s="349">
      <c r="A134" s="307" t="n"/>
      <c r="B134" s="56" t="n"/>
      <c r="C134" s="307" t="n"/>
      <c r="D134" s="307" t="n"/>
      <c r="E134" s="307" t="n"/>
      <c r="F134" s="307" t="n"/>
      <c r="G134" s="307" t="n"/>
      <c r="H134" s="31" t="n"/>
      <c r="I134" s="31" t="n"/>
      <c r="J134" s="31" t="n"/>
      <c r="K134" s="31" t="n"/>
      <c r="L134" s="31" t="n"/>
      <c r="M134" s="31" t="n"/>
      <c r="N134" s="307" t="n"/>
      <c r="O134" s="307" t="n"/>
      <c r="P134" s="307" t="n"/>
      <c r="Q134" s="307" t="n"/>
      <c r="R134" s="307" t="n"/>
      <c r="S134" s="307" t="n"/>
      <c r="T134" s="307" t="n"/>
      <c r="U134" s="307" t="n"/>
      <c r="V134" s="307" t="n"/>
      <c r="W134" s="307" t="n"/>
      <c r="X134" s="307" t="n"/>
      <c r="Y134" s="307" t="n"/>
      <c r="Z134" s="307" t="n"/>
      <c r="AA134" s="307" t="n"/>
      <c r="AB134" s="307" t="n"/>
      <c r="AC134" s="307" t="n"/>
      <c r="AD134" s="307" t="n"/>
    </row>
    <row r="135" ht="21.75" customHeight="1" s="349">
      <c r="A135" s="307" t="n"/>
      <c r="B135" s="56" t="n"/>
      <c r="C135" s="307" t="n"/>
      <c r="D135" s="307" t="n"/>
      <c r="E135" s="307" t="n"/>
      <c r="F135" s="307" t="n"/>
      <c r="G135" s="307" t="n"/>
      <c r="H135" s="31" t="n"/>
      <c r="I135" s="31" t="n"/>
      <c r="J135" s="31" t="n"/>
      <c r="K135" s="31" t="n"/>
      <c r="L135" s="31" t="n"/>
      <c r="M135" s="31" t="n"/>
      <c r="N135" s="307" t="n"/>
      <c r="O135" s="307" t="n"/>
      <c r="P135" s="307" t="n"/>
      <c r="Q135" s="307" t="n"/>
      <c r="R135" s="307" t="n"/>
      <c r="S135" s="307" t="n"/>
      <c r="T135" s="307" t="n"/>
      <c r="U135" s="307" t="n"/>
      <c r="V135" s="307" t="n"/>
      <c r="W135" s="307" t="n"/>
      <c r="X135" s="307" t="n"/>
      <c r="Y135" s="307" t="n"/>
      <c r="Z135" s="307" t="n"/>
      <c r="AA135" s="307" t="n"/>
      <c r="AB135" s="307" t="n"/>
      <c r="AC135" s="307" t="n"/>
      <c r="AD135" s="307" t="n"/>
    </row>
    <row r="136" ht="21.75" customHeight="1" s="349">
      <c r="A136" s="307" t="n"/>
      <c r="B136" s="56" t="n"/>
      <c r="C136" s="307" t="n"/>
      <c r="D136" s="307" t="n"/>
      <c r="E136" s="307" t="n"/>
      <c r="F136" s="307" t="n"/>
      <c r="G136" s="307" t="n"/>
      <c r="H136" s="31" t="n"/>
      <c r="I136" s="31" t="n"/>
      <c r="J136" s="31" t="n"/>
      <c r="K136" s="31" t="n"/>
      <c r="L136" s="31" t="n"/>
      <c r="M136" s="31" t="n"/>
      <c r="N136" s="307" t="n"/>
      <c r="O136" s="307" t="n"/>
      <c r="P136" s="307" t="n"/>
      <c r="Q136" s="307" t="n"/>
      <c r="R136" s="307" t="n"/>
      <c r="S136" s="307" t="n"/>
      <c r="T136" s="307" t="n"/>
      <c r="U136" s="307" t="n"/>
      <c r="V136" s="307" t="n"/>
      <c r="W136" s="307" t="n"/>
      <c r="X136" s="307" t="n"/>
      <c r="Y136" s="307" t="n"/>
      <c r="Z136" s="307" t="n"/>
      <c r="AA136" s="307" t="n"/>
      <c r="AB136" s="307" t="n"/>
      <c r="AC136" s="307" t="n"/>
      <c r="AD136" s="307" t="n"/>
    </row>
    <row r="137" ht="21.75" customHeight="1" s="349">
      <c r="A137" s="307" t="n"/>
      <c r="B137" s="56" t="n"/>
      <c r="C137" s="307" t="n"/>
      <c r="D137" s="307" t="n"/>
      <c r="E137" s="307" t="n"/>
      <c r="F137" s="307" t="n"/>
      <c r="G137" s="307" t="n"/>
      <c r="H137" s="31" t="n"/>
      <c r="I137" s="31" t="n"/>
      <c r="J137" s="31" t="n"/>
      <c r="K137" s="31" t="n"/>
      <c r="L137" s="31" t="n"/>
      <c r="M137" s="31" t="n"/>
      <c r="N137" s="307" t="n"/>
      <c r="O137" s="307" t="n"/>
      <c r="P137" s="307" t="n"/>
      <c r="Q137" s="307" t="n"/>
      <c r="R137" s="307" t="n"/>
      <c r="S137" s="307" t="n"/>
      <c r="T137" s="307" t="n"/>
      <c r="U137" s="307" t="n"/>
      <c r="V137" s="307" t="n"/>
      <c r="W137" s="307" t="n"/>
      <c r="X137" s="307" t="n"/>
      <c r="Y137" s="307" t="n"/>
      <c r="Z137" s="307" t="n"/>
      <c r="AA137" s="307" t="n"/>
      <c r="AB137" s="307" t="n"/>
      <c r="AC137" s="307" t="n"/>
      <c r="AD137" s="307" t="n"/>
    </row>
    <row r="138" ht="21.75" customHeight="1" s="349">
      <c r="A138" s="307" t="n"/>
      <c r="B138" s="56" t="n"/>
      <c r="C138" s="307" t="n"/>
      <c r="D138" s="307" t="n"/>
      <c r="E138" s="307" t="n"/>
      <c r="F138" s="307" t="n"/>
      <c r="G138" s="307" t="n"/>
      <c r="H138" s="31" t="n"/>
      <c r="I138" s="31" t="n"/>
      <c r="J138" s="31" t="n"/>
      <c r="K138" s="31" t="n"/>
      <c r="L138" s="31" t="n"/>
      <c r="M138" s="31" t="n"/>
      <c r="N138" s="307" t="n"/>
      <c r="O138" s="307" t="n"/>
      <c r="P138" s="307" t="n"/>
      <c r="Q138" s="307" t="n"/>
      <c r="R138" s="307" t="n"/>
      <c r="S138" s="307" t="n"/>
      <c r="T138" s="307" t="n"/>
      <c r="U138" s="307" t="n"/>
      <c r="V138" s="307" t="n"/>
      <c r="W138" s="307" t="n"/>
      <c r="X138" s="307" t="n"/>
      <c r="Y138" s="307" t="n"/>
      <c r="Z138" s="307" t="n"/>
      <c r="AA138" s="307" t="n"/>
      <c r="AB138" s="307" t="n"/>
      <c r="AC138" s="307" t="n"/>
      <c r="AD138" s="307" t="n"/>
    </row>
    <row r="139" ht="21.75" customHeight="1" s="349">
      <c r="A139" s="307" t="n"/>
      <c r="B139" s="56" t="n"/>
      <c r="C139" s="307" t="n"/>
      <c r="D139" s="307" t="n"/>
      <c r="E139" s="307" t="n"/>
      <c r="F139" s="307" t="n"/>
      <c r="G139" s="307" t="n"/>
      <c r="H139" s="31" t="n"/>
      <c r="I139" s="31" t="n"/>
      <c r="J139" s="31" t="n"/>
      <c r="K139" s="31" t="n"/>
      <c r="L139" s="31" t="n"/>
      <c r="M139" s="31" t="n"/>
      <c r="N139" s="307" t="n"/>
      <c r="O139" s="307" t="n"/>
      <c r="P139" s="307" t="n"/>
      <c r="Q139" s="307" t="n"/>
      <c r="R139" s="307" t="n"/>
      <c r="S139" s="307" t="n"/>
      <c r="T139" s="307" t="n"/>
      <c r="U139" s="307" t="n"/>
      <c r="V139" s="307" t="n"/>
      <c r="W139" s="307" t="n"/>
      <c r="X139" s="307" t="n"/>
      <c r="Y139" s="307" t="n"/>
      <c r="Z139" s="307" t="n"/>
      <c r="AA139" s="307" t="n"/>
      <c r="AB139" s="307" t="n"/>
      <c r="AC139" s="307" t="n"/>
      <c r="AD139" s="307" t="n"/>
    </row>
    <row r="140" ht="21.75" customHeight="1" s="349">
      <c r="A140" s="307" t="n"/>
      <c r="B140" s="56" t="n"/>
      <c r="C140" s="307" t="n"/>
      <c r="D140" s="307" t="n"/>
      <c r="E140" s="307" t="n"/>
      <c r="F140" s="307" t="n"/>
      <c r="G140" s="307" t="n"/>
      <c r="H140" s="31" t="n"/>
      <c r="I140" s="31" t="n"/>
      <c r="J140" s="31" t="n"/>
      <c r="K140" s="31" t="n"/>
      <c r="L140" s="31" t="n"/>
      <c r="M140" s="31" t="n"/>
      <c r="N140" s="307" t="n"/>
      <c r="O140" s="307" t="n"/>
      <c r="P140" s="307" t="n"/>
      <c r="Q140" s="307" t="n"/>
      <c r="R140" s="307" t="n"/>
      <c r="S140" s="307" t="n"/>
      <c r="T140" s="307" t="n"/>
      <c r="U140" s="307" t="n"/>
      <c r="V140" s="307" t="n"/>
      <c r="W140" s="307" t="n"/>
      <c r="X140" s="307" t="n"/>
      <c r="Y140" s="307" t="n"/>
      <c r="Z140" s="307" t="n"/>
      <c r="AA140" s="307" t="n"/>
      <c r="AB140" s="307" t="n"/>
      <c r="AC140" s="307" t="n"/>
      <c r="AD140" s="307" t="n"/>
    </row>
    <row r="141" ht="21.75" customHeight="1" s="349">
      <c r="A141" s="307" t="n"/>
      <c r="B141" s="56" t="n"/>
      <c r="C141" s="307" t="n"/>
      <c r="D141" s="307" t="n"/>
      <c r="E141" s="307" t="n"/>
      <c r="F141" s="307" t="n"/>
      <c r="G141" s="307" t="n"/>
      <c r="H141" s="31" t="n"/>
      <c r="I141" s="31" t="n"/>
      <c r="J141" s="31" t="n"/>
      <c r="K141" s="31" t="n"/>
      <c r="L141" s="31" t="n"/>
      <c r="M141" s="31" t="n"/>
      <c r="N141" s="307" t="n"/>
      <c r="O141" s="307" t="n"/>
      <c r="P141" s="307" t="n"/>
      <c r="Q141" s="307" t="n"/>
      <c r="R141" s="307" t="n"/>
      <c r="S141" s="307" t="n"/>
      <c r="T141" s="307" t="n"/>
      <c r="U141" s="307" t="n"/>
      <c r="V141" s="307" t="n"/>
      <c r="W141" s="307" t="n"/>
      <c r="X141" s="307" t="n"/>
      <c r="Y141" s="307" t="n"/>
      <c r="Z141" s="307" t="n"/>
      <c r="AA141" s="307" t="n"/>
      <c r="AB141" s="307" t="n"/>
      <c r="AC141" s="307" t="n"/>
      <c r="AD141" s="307" t="n"/>
    </row>
    <row r="142" ht="21.75" customHeight="1" s="349">
      <c r="A142" s="307" t="n"/>
      <c r="B142" s="56" t="n"/>
      <c r="C142" s="307" t="n"/>
      <c r="D142" s="307" t="n"/>
      <c r="E142" s="307" t="n"/>
      <c r="F142" s="307" t="n"/>
      <c r="G142" s="307" t="n"/>
      <c r="H142" s="31" t="n"/>
      <c r="I142" s="31" t="n"/>
      <c r="J142" s="31" t="n"/>
      <c r="K142" s="31" t="n"/>
      <c r="L142" s="31" t="n"/>
      <c r="M142" s="31" t="n"/>
      <c r="N142" s="307" t="n"/>
      <c r="O142" s="307" t="n"/>
      <c r="P142" s="307" t="n"/>
      <c r="Q142" s="307" t="n"/>
      <c r="R142" s="307" t="n"/>
      <c r="S142" s="307" t="n"/>
      <c r="T142" s="307" t="n"/>
      <c r="U142" s="307" t="n"/>
      <c r="V142" s="307" t="n"/>
      <c r="W142" s="307" t="n"/>
      <c r="X142" s="307" t="n"/>
      <c r="Y142" s="307" t="n"/>
      <c r="Z142" s="307" t="n"/>
      <c r="AA142" s="307" t="n"/>
      <c r="AB142" s="307" t="n"/>
      <c r="AC142" s="307" t="n"/>
      <c r="AD142" s="307" t="n"/>
    </row>
    <row r="143" ht="21.75" customHeight="1" s="349">
      <c r="A143" s="307" t="n"/>
      <c r="B143" s="56" t="n"/>
      <c r="C143" s="307" t="n"/>
      <c r="D143" s="307" t="n"/>
      <c r="E143" s="307" t="n"/>
      <c r="F143" s="307" t="n"/>
      <c r="G143" s="307" t="n"/>
      <c r="H143" s="31" t="n"/>
      <c r="I143" s="31" t="n"/>
      <c r="J143" s="31" t="n"/>
      <c r="K143" s="31" t="n"/>
      <c r="L143" s="31" t="n"/>
      <c r="M143" s="31" t="n"/>
      <c r="N143" s="307" t="n"/>
      <c r="O143" s="307" t="n"/>
      <c r="P143" s="307" t="n"/>
      <c r="Q143" s="307" t="n"/>
      <c r="R143" s="307" t="n"/>
      <c r="S143" s="307" t="n"/>
      <c r="T143" s="307" t="n"/>
      <c r="U143" s="307" t="n"/>
      <c r="V143" s="307" t="n"/>
      <c r="W143" s="307" t="n"/>
      <c r="X143" s="307" t="n"/>
      <c r="Y143" s="307" t="n"/>
      <c r="Z143" s="307" t="n"/>
      <c r="AA143" s="307" t="n"/>
      <c r="AB143" s="307" t="n"/>
      <c r="AC143" s="307" t="n"/>
      <c r="AD143" s="307" t="n"/>
    </row>
    <row r="144" ht="21.75" customHeight="1" s="349">
      <c r="A144" s="307" t="n"/>
      <c r="B144" s="56" t="n"/>
      <c r="C144" s="307" t="n"/>
      <c r="D144" s="307" t="n"/>
      <c r="E144" s="307" t="n"/>
      <c r="F144" s="307" t="n"/>
      <c r="G144" s="307" t="n"/>
      <c r="H144" s="31" t="n"/>
      <c r="I144" s="31" t="n"/>
      <c r="J144" s="31" t="n"/>
      <c r="K144" s="31" t="n"/>
      <c r="L144" s="31" t="n"/>
      <c r="M144" s="31" t="n"/>
      <c r="N144" s="307" t="n"/>
      <c r="O144" s="307" t="n"/>
      <c r="P144" s="307" t="n"/>
      <c r="Q144" s="307" t="n"/>
      <c r="R144" s="307" t="n"/>
      <c r="S144" s="307" t="n"/>
      <c r="T144" s="307" t="n"/>
      <c r="U144" s="307" t="n"/>
      <c r="V144" s="307" t="n"/>
      <c r="W144" s="307" t="n"/>
      <c r="X144" s="307" t="n"/>
      <c r="Y144" s="307" t="n"/>
      <c r="Z144" s="307" t="n"/>
      <c r="AA144" s="307" t="n"/>
      <c r="AB144" s="307" t="n"/>
      <c r="AC144" s="307" t="n"/>
      <c r="AD144" s="307" t="n"/>
    </row>
    <row r="145" ht="21.75" customHeight="1" s="349">
      <c r="A145" s="307" t="n"/>
      <c r="B145" s="56" t="n"/>
      <c r="C145" s="307" t="n"/>
      <c r="D145" s="307" t="n"/>
      <c r="E145" s="307" t="n"/>
      <c r="F145" s="307" t="n"/>
      <c r="G145" s="307" t="n"/>
      <c r="H145" s="31" t="n"/>
      <c r="I145" s="31" t="n"/>
      <c r="J145" s="31" t="n"/>
      <c r="K145" s="31" t="n"/>
      <c r="L145" s="31" t="n"/>
      <c r="M145" s="31" t="n"/>
      <c r="N145" s="307" t="n"/>
      <c r="O145" s="307" t="n"/>
      <c r="P145" s="307" t="n"/>
      <c r="Q145" s="307" t="n"/>
      <c r="R145" s="307" t="n"/>
      <c r="S145" s="307" t="n"/>
      <c r="T145" s="307" t="n"/>
      <c r="U145" s="307" t="n"/>
      <c r="V145" s="307" t="n"/>
      <c r="W145" s="307" t="n"/>
      <c r="X145" s="307" t="n"/>
      <c r="Y145" s="307" t="n"/>
      <c r="Z145" s="307" t="n"/>
      <c r="AA145" s="307" t="n"/>
      <c r="AB145" s="307" t="n"/>
      <c r="AC145" s="307" t="n"/>
      <c r="AD145" s="307" t="n"/>
    </row>
    <row r="146" ht="21.75" customHeight="1" s="349">
      <c r="A146" s="307" t="n"/>
      <c r="B146" s="56" t="n"/>
      <c r="C146" s="307" t="n"/>
      <c r="D146" s="307" t="n"/>
      <c r="E146" s="307" t="n"/>
      <c r="F146" s="307" t="n"/>
      <c r="G146" s="307" t="n"/>
      <c r="H146" s="31" t="n"/>
      <c r="I146" s="31" t="n"/>
      <c r="J146" s="31" t="n"/>
      <c r="K146" s="31" t="n"/>
      <c r="L146" s="31" t="n"/>
      <c r="M146" s="31" t="n"/>
      <c r="N146" s="307" t="n"/>
      <c r="O146" s="307" t="n"/>
      <c r="P146" s="307" t="n"/>
      <c r="Q146" s="307" t="n"/>
      <c r="R146" s="307" t="n"/>
      <c r="S146" s="307" t="n"/>
      <c r="T146" s="307" t="n"/>
      <c r="U146" s="307" t="n"/>
      <c r="V146" s="307" t="n"/>
      <c r="W146" s="307" t="n"/>
      <c r="X146" s="307" t="n"/>
      <c r="Y146" s="307" t="n"/>
      <c r="Z146" s="307" t="n"/>
      <c r="AA146" s="307" t="n"/>
      <c r="AB146" s="307" t="n"/>
      <c r="AC146" s="307" t="n"/>
      <c r="AD146" s="307" t="n"/>
    </row>
    <row r="147" ht="21.75" customHeight="1" s="349">
      <c r="A147" s="307" t="n"/>
      <c r="B147" s="56" t="n"/>
      <c r="C147" s="307" t="n"/>
      <c r="D147" s="307" t="n"/>
      <c r="E147" s="307" t="n"/>
      <c r="F147" s="307" t="n"/>
      <c r="G147" s="307" t="n"/>
      <c r="H147" s="31" t="n"/>
      <c r="I147" s="31" t="n"/>
      <c r="J147" s="31" t="n"/>
      <c r="K147" s="31" t="n"/>
      <c r="L147" s="31" t="n"/>
      <c r="M147" s="31" t="n"/>
      <c r="N147" s="307" t="n"/>
      <c r="O147" s="307" t="n"/>
      <c r="P147" s="307" t="n"/>
      <c r="Q147" s="307" t="n"/>
      <c r="R147" s="307" t="n"/>
      <c r="S147" s="307" t="n"/>
      <c r="T147" s="307" t="n"/>
      <c r="U147" s="307" t="n"/>
      <c r="V147" s="307" t="n"/>
      <c r="W147" s="307" t="n"/>
      <c r="X147" s="307" t="n"/>
      <c r="Y147" s="307" t="n"/>
      <c r="Z147" s="307" t="n"/>
      <c r="AA147" s="307" t="n"/>
      <c r="AB147" s="307" t="n"/>
      <c r="AC147" s="307" t="n"/>
      <c r="AD147" s="307" t="n"/>
    </row>
    <row r="148" ht="21.75" customHeight="1" s="349">
      <c r="A148" s="307" t="n"/>
      <c r="B148" s="56" t="n"/>
      <c r="C148" s="307" t="n"/>
      <c r="D148" s="307" t="n"/>
      <c r="E148" s="307" t="n"/>
      <c r="F148" s="307" t="n"/>
      <c r="G148" s="307" t="n"/>
      <c r="H148" s="31" t="n"/>
      <c r="I148" s="31" t="n"/>
      <c r="J148" s="31" t="n"/>
      <c r="K148" s="31" t="n"/>
      <c r="L148" s="31" t="n"/>
      <c r="M148" s="31" t="n"/>
      <c r="N148" s="307" t="n"/>
      <c r="O148" s="307" t="n"/>
      <c r="P148" s="307" t="n"/>
      <c r="Q148" s="307" t="n"/>
      <c r="R148" s="307" t="n"/>
      <c r="S148" s="307" t="n"/>
      <c r="T148" s="307" t="n"/>
      <c r="U148" s="307" t="n"/>
      <c r="V148" s="307" t="n"/>
      <c r="W148" s="307" t="n"/>
      <c r="X148" s="307" t="n"/>
      <c r="Y148" s="307" t="n"/>
      <c r="Z148" s="307" t="n"/>
      <c r="AA148" s="307" t="n"/>
      <c r="AB148" s="307" t="n"/>
      <c r="AC148" s="307" t="n"/>
      <c r="AD148" s="307" t="n"/>
    </row>
    <row r="149" ht="21.75" customHeight="1" s="349">
      <c r="A149" s="307" t="n"/>
      <c r="B149" s="56" t="n"/>
      <c r="C149" s="307" t="n"/>
      <c r="D149" s="307" t="n"/>
      <c r="E149" s="307" t="n"/>
      <c r="F149" s="307" t="n"/>
      <c r="G149" s="307" t="n"/>
      <c r="H149" s="31" t="n"/>
      <c r="I149" s="31" t="n"/>
      <c r="J149" s="31" t="n"/>
      <c r="K149" s="31" t="n"/>
      <c r="L149" s="31" t="n"/>
      <c r="M149" s="31" t="n"/>
      <c r="N149" s="307" t="n"/>
      <c r="O149" s="307" t="n"/>
      <c r="P149" s="307" t="n"/>
      <c r="Q149" s="307" t="n"/>
      <c r="R149" s="307" t="n"/>
      <c r="S149" s="307" t="n"/>
      <c r="T149" s="307" t="n"/>
      <c r="U149" s="307" t="n"/>
      <c r="V149" s="307" t="n"/>
      <c r="W149" s="307" t="n"/>
      <c r="X149" s="307" t="n"/>
      <c r="Y149" s="307" t="n"/>
      <c r="Z149" s="307" t="n"/>
      <c r="AA149" s="307" t="n"/>
      <c r="AB149" s="307" t="n"/>
      <c r="AC149" s="307" t="n"/>
      <c r="AD149" s="307" t="n"/>
    </row>
    <row r="150" ht="21.75" customHeight="1" s="349">
      <c r="A150" s="307" t="n"/>
      <c r="B150" s="56" t="n"/>
      <c r="C150" s="307" t="n"/>
      <c r="D150" s="307" t="n"/>
      <c r="E150" s="307" t="n"/>
      <c r="F150" s="307" t="n"/>
      <c r="G150" s="307" t="n"/>
      <c r="H150" s="31" t="n"/>
      <c r="I150" s="31" t="n"/>
      <c r="J150" s="31" t="n"/>
      <c r="K150" s="31" t="n"/>
      <c r="L150" s="31" t="n"/>
      <c r="M150" s="31" t="n"/>
      <c r="N150" s="307" t="n"/>
      <c r="O150" s="307" t="n"/>
      <c r="P150" s="307" t="n"/>
      <c r="Q150" s="307" t="n"/>
      <c r="R150" s="307" t="n"/>
      <c r="S150" s="307" t="n"/>
      <c r="T150" s="307" t="n"/>
      <c r="U150" s="307" t="n"/>
      <c r="V150" s="307" t="n"/>
      <c r="W150" s="307" t="n"/>
      <c r="X150" s="307" t="n"/>
      <c r="Y150" s="307" t="n"/>
      <c r="Z150" s="307" t="n"/>
      <c r="AA150" s="307" t="n"/>
      <c r="AB150" s="307" t="n"/>
      <c r="AC150" s="307" t="n"/>
      <c r="AD150" s="307" t="n"/>
    </row>
    <row r="151" ht="21.75" customHeight="1" s="349">
      <c r="A151" s="307" t="n"/>
      <c r="B151" s="56" t="n"/>
      <c r="C151" s="307" t="n"/>
      <c r="D151" s="307" t="n"/>
      <c r="E151" s="307" t="n"/>
      <c r="F151" s="307" t="n"/>
      <c r="G151" s="307" t="n"/>
      <c r="H151" s="31" t="n"/>
      <c r="I151" s="31" t="n"/>
      <c r="J151" s="31" t="n"/>
      <c r="K151" s="31" t="n"/>
      <c r="L151" s="31" t="n"/>
      <c r="M151" s="31" t="n"/>
      <c r="N151" s="307" t="n"/>
      <c r="O151" s="307" t="n"/>
      <c r="P151" s="307" t="n"/>
      <c r="Q151" s="307" t="n"/>
      <c r="R151" s="307" t="n"/>
      <c r="S151" s="307" t="n"/>
      <c r="T151" s="307" t="n"/>
      <c r="U151" s="307" t="n"/>
      <c r="V151" s="307" t="n"/>
      <c r="W151" s="307" t="n"/>
      <c r="X151" s="307" t="n"/>
      <c r="Y151" s="307" t="n"/>
      <c r="Z151" s="307" t="n"/>
      <c r="AA151" s="307" t="n"/>
      <c r="AB151" s="307" t="n"/>
      <c r="AC151" s="307" t="n"/>
      <c r="AD151" s="307" t="n"/>
    </row>
    <row r="152" ht="21.75" customHeight="1" s="349">
      <c r="A152" s="307" t="n"/>
      <c r="B152" s="56" t="n"/>
      <c r="C152" s="307" t="n"/>
      <c r="D152" s="307" t="n"/>
      <c r="E152" s="307" t="n"/>
      <c r="F152" s="307" t="n"/>
      <c r="G152" s="307" t="n"/>
      <c r="H152" s="31" t="n"/>
      <c r="I152" s="31" t="n"/>
      <c r="J152" s="31" t="n"/>
      <c r="K152" s="31" t="n"/>
      <c r="L152" s="31" t="n"/>
      <c r="M152" s="31" t="n"/>
      <c r="N152" s="307" t="n"/>
      <c r="O152" s="307" t="n"/>
      <c r="P152" s="307" t="n"/>
      <c r="Q152" s="307" t="n"/>
      <c r="R152" s="307" t="n"/>
      <c r="S152" s="307" t="n"/>
      <c r="T152" s="307" t="n"/>
      <c r="U152" s="307" t="n"/>
      <c r="V152" s="307" t="n"/>
      <c r="W152" s="307" t="n"/>
      <c r="X152" s="307" t="n"/>
      <c r="Y152" s="307" t="n"/>
      <c r="Z152" s="307" t="n"/>
      <c r="AA152" s="307" t="n"/>
      <c r="AB152" s="307" t="n"/>
      <c r="AC152" s="307" t="n"/>
      <c r="AD152" s="307" t="n"/>
    </row>
    <row r="153" ht="21.75" customHeight="1" s="349">
      <c r="A153" s="307" t="n"/>
      <c r="B153" s="56" t="n"/>
      <c r="C153" s="307" t="n"/>
      <c r="D153" s="307" t="n"/>
      <c r="E153" s="307" t="n"/>
      <c r="F153" s="307" t="n"/>
      <c r="G153" s="307" t="n"/>
      <c r="H153" s="31" t="n"/>
      <c r="I153" s="31" t="n"/>
      <c r="J153" s="31" t="n"/>
      <c r="K153" s="31" t="n"/>
      <c r="L153" s="31" t="n"/>
      <c r="M153" s="31" t="n"/>
      <c r="N153" s="307" t="n"/>
      <c r="O153" s="307" t="n"/>
      <c r="P153" s="307" t="n"/>
      <c r="Q153" s="307" t="n"/>
      <c r="R153" s="307" t="n"/>
      <c r="S153" s="307" t="n"/>
      <c r="T153" s="307" t="n"/>
      <c r="U153" s="307" t="n"/>
      <c r="V153" s="307" t="n"/>
      <c r="W153" s="307" t="n"/>
      <c r="X153" s="307" t="n"/>
      <c r="Y153" s="307" t="n"/>
      <c r="Z153" s="307" t="n"/>
      <c r="AA153" s="307" t="n"/>
      <c r="AB153" s="307" t="n"/>
      <c r="AC153" s="307" t="n"/>
      <c r="AD153" s="307" t="n"/>
    </row>
    <row r="154" ht="21.75" customHeight="1" s="349">
      <c r="A154" s="307" t="n"/>
      <c r="B154" s="56" t="n"/>
      <c r="C154" s="307" t="n"/>
      <c r="D154" s="307" t="n"/>
      <c r="E154" s="307" t="n"/>
      <c r="F154" s="307" t="n"/>
      <c r="G154" s="307" t="n"/>
      <c r="H154" s="31" t="n"/>
      <c r="I154" s="31" t="n"/>
      <c r="J154" s="31" t="n"/>
      <c r="K154" s="31" t="n"/>
      <c r="L154" s="31" t="n"/>
      <c r="M154" s="31" t="n"/>
      <c r="N154" s="307" t="n"/>
      <c r="O154" s="307" t="n"/>
      <c r="P154" s="307" t="n"/>
      <c r="Q154" s="307" t="n"/>
      <c r="R154" s="307" t="n"/>
      <c r="S154" s="307" t="n"/>
      <c r="T154" s="307" t="n"/>
      <c r="U154" s="307" t="n"/>
      <c r="V154" s="307" t="n"/>
      <c r="W154" s="307" t="n"/>
      <c r="X154" s="307" t="n"/>
      <c r="Y154" s="307" t="n"/>
      <c r="Z154" s="307" t="n"/>
      <c r="AA154" s="307" t="n"/>
      <c r="AB154" s="307" t="n"/>
      <c r="AC154" s="307" t="n"/>
      <c r="AD154" s="307" t="n"/>
    </row>
    <row r="155" ht="21.75" customHeight="1" s="349">
      <c r="A155" s="307" t="n"/>
      <c r="B155" s="56" t="n"/>
      <c r="C155" s="307" t="n"/>
      <c r="D155" s="307" t="n"/>
      <c r="E155" s="307" t="n"/>
      <c r="F155" s="307" t="n"/>
      <c r="G155" s="307" t="n"/>
      <c r="H155" s="31" t="n"/>
      <c r="I155" s="31" t="n"/>
      <c r="J155" s="31" t="n"/>
      <c r="K155" s="31" t="n"/>
      <c r="L155" s="31" t="n"/>
      <c r="M155" s="31" t="n"/>
      <c r="N155" s="307" t="n"/>
      <c r="O155" s="307" t="n"/>
      <c r="P155" s="307" t="n"/>
      <c r="Q155" s="307" t="n"/>
      <c r="R155" s="307" t="n"/>
      <c r="S155" s="307" t="n"/>
      <c r="T155" s="307" t="n"/>
      <c r="U155" s="307" t="n"/>
      <c r="V155" s="307" t="n"/>
      <c r="W155" s="307" t="n"/>
      <c r="X155" s="307" t="n"/>
      <c r="Y155" s="307" t="n"/>
      <c r="Z155" s="307" t="n"/>
      <c r="AA155" s="307" t="n"/>
      <c r="AB155" s="307" t="n"/>
      <c r="AC155" s="307" t="n"/>
      <c r="AD155" s="307" t="n"/>
    </row>
    <row r="156" ht="21.75" customHeight="1" s="349">
      <c r="A156" s="307" t="n"/>
      <c r="B156" s="56" t="n"/>
      <c r="C156" s="307" t="n"/>
      <c r="D156" s="307" t="n"/>
      <c r="E156" s="307" t="n"/>
      <c r="F156" s="307" t="n"/>
      <c r="G156" s="307" t="n"/>
      <c r="H156" s="31" t="n"/>
      <c r="I156" s="31" t="n"/>
      <c r="J156" s="31" t="n"/>
      <c r="K156" s="31" t="n"/>
      <c r="L156" s="31" t="n"/>
      <c r="M156" s="31" t="n"/>
      <c r="N156" s="307" t="n"/>
      <c r="O156" s="307" t="n"/>
      <c r="P156" s="307" t="n"/>
      <c r="Q156" s="307" t="n"/>
      <c r="R156" s="307" t="n"/>
      <c r="S156" s="307" t="n"/>
      <c r="T156" s="307" t="n"/>
      <c r="U156" s="307" t="n"/>
      <c r="V156" s="307" t="n"/>
      <c r="W156" s="307" t="n"/>
      <c r="X156" s="307" t="n"/>
      <c r="Y156" s="307" t="n"/>
      <c r="Z156" s="307" t="n"/>
      <c r="AA156" s="307" t="n"/>
      <c r="AB156" s="307" t="n"/>
      <c r="AC156" s="307" t="n"/>
      <c r="AD156" s="307" t="n"/>
    </row>
    <row r="157" ht="21.75" customHeight="1" s="349">
      <c r="A157" s="307" t="n"/>
      <c r="B157" s="56" t="n"/>
      <c r="C157" s="307" t="n"/>
      <c r="D157" s="307" t="n"/>
      <c r="E157" s="307" t="n"/>
      <c r="F157" s="307" t="n"/>
      <c r="G157" s="307" t="n"/>
      <c r="H157" s="31" t="n"/>
      <c r="I157" s="31" t="n"/>
      <c r="J157" s="31" t="n"/>
      <c r="K157" s="31" t="n"/>
      <c r="L157" s="31" t="n"/>
      <c r="M157" s="31" t="n"/>
      <c r="N157" s="307" t="n"/>
      <c r="O157" s="307" t="n"/>
      <c r="P157" s="307" t="n"/>
      <c r="Q157" s="307" t="n"/>
      <c r="R157" s="307" t="n"/>
      <c r="S157" s="307" t="n"/>
      <c r="T157" s="307" t="n"/>
      <c r="U157" s="307" t="n"/>
      <c r="V157" s="307" t="n"/>
      <c r="W157" s="307" t="n"/>
      <c r="X157" s="307" t="n"/>
      <c r="Y157" s="307" t="n"/>
      <c r="Z157" s="307" t="n"/>
      <c r="AA157" s="307" t="n"/>
      <c r="AB157" s="307" t="n"/>
      <c r="AC157" s="307" t="n"/>
      <c r="AD157" s="307" t="n"/>
    </row>
    <row r="158" ht="21.75" customHeight="1" s="349">
      <c r="A158" s="307" t="n"/>
      <c r="B158" s="56" t="n"/>
      <c r="C158" s="307" t="n"/>
      <c r="D158" s="307" t="n"/>
      <c r="E158" s="307" t="n"/>
      <c r="F158" s="307" t="n"/>
      <c r="G158" s="307" t="n"/>
      <c r="H158" s="31" t="n"/>
      <c r="I158" s="31" t="n"/>
      <c r="J158" s="31" t="n"/>
      <c r="K158" s="31" t="n"/>
      <c r="L158" s="31" t="n"/>
      <c r="M158" s="31" t="n"/>
      <c r="N158" s="307" t="n"/>
      <c r="O158" s="307" t="n"/>
      <c r="P158" s="307" t="n"/>
      <c r="Q158" s="307" t="n"/>
      <c r="R158" s="307" t="n"/>
      <c r="S158" s="307" t="n"/>
      <c r="T158" s="307" t="n"/>
      <c r="U158" s="307" t="n"/>
      <c r="V158" s="307" t="n"/>
      <c r="W158" s="307" t="n"/>
      <c r="X158" s="307" t="n"/>
      <c r="Y158" s="307" t="n"/>
      <c r="Z158" s="307" t="n"/>
      <c r="AA158" s="307" t="n"/>
      <c r="AB158" s="307" t="n"/>
      <c r="AC158" s="307" t="n"/>
      <c r="AD158" s="307" t="n"/>
    </row>
    <row r="159" ht="21.75" customHeight="1" s="349">
      <c r="A159" s="307" t="n"/>
      <c r="B159" s="56" t="n"/>
      <c r="C159" s="307" t="n"/>
      <c r="D159" s="307" t="n"/>
      <c r="E159" s="307" t="n"/>
      <c r="F159" s="307" t="n"/>
      <c r="G159" s="307" t="n"/>
      <c r="H159" s="31" t="n"/>
      <c r="I159" s="31" t="n"/>
      <c r="J159" s="31" t="n"/>
      <c r="K159" s="31" t="n"/>
      <c r="L159" s="31" t="n"/>
      <c r="M159" s="31" t="n"/>
      <c r="N159" s="307" t="n"/>
      <c r="O159" s="307" t="n"/>
      <c r="P159" s="307" t="n"/>
      <c r="Q159" s="307" t="n"/>
      <c r="R159" s="307" t="n"/>
      <c r="S159" s="307" t="n"/>
      <c r="T159" s="307" t="n"/>
      <c r="U159" s="307" t="n"/>
      <c r="V159" s="307" t="n"/>
      <c r="W159" s="307" t="n"/>
      <c r="X159" s="307" t="n"/>
      <c r="Y159" s="307" t="n"/>
      <c r="Z159" s="307" t="n"/>
      <c r="AA159" s="307" t="n"/>
      <c r="AB159" s="307" t="n"/>
      <c r="AC159" s="307" t="n"/>
      <c r="AD159" s="307" t="n"/>
    </row>
    <row r="160" ht="21.75" customHeight="1" s="349">
      <c r="A160" s="307" t="n"/>
      <c r="B160" s="56" t="n"/>
      <c r="C160" s="307" t="n"/>
      <c r="D160" s="307" t="n"/>
      <c r="E160" s="307" t="n"/>
      <c r="F160" s="307" t="n"/>
      <c r="G160" s="307" t="n"/>
      <c r="H160" s="31" t="n"/>
      <c r="I160" s="31" t="n"/>
      <c r="J160" s="31" t="n"/>
      <c r="K160" s="31" t="n"/>
      <c r="L160" s="31" t="n"/>
      <c r="M160" s="31" t="n"/>
      <c r="N160" s="307" t="n"/>
      <c r="O160" s="307" t="n"/>
      <c r="P160" s="307" t="n"/>
      <c r="Q160" s="307" t="n"/>
      <c r="R160" s="307" t="n"/>
      <c r="S160" s="307" t="n"/>
      <c r="T160" s="307" t="n"/>
      <c r="U160" s="307" t="n"/>
      <c r="V160" s="307" t="n"/>
      <c r="W160" s="307" t="n"/>
      <c r="X160" s="307" t="n"/>
      <c r="Y160" s="307" t="n"/>
      <c r="Z160" s="307" t="n"/>
      <c r="AA160" s="307" t="n"/>
      <c r="AB160" s="307" t="n"/>
      <c r="AC160" s="307" t="n"/>
      <c r="AD160" s="307" t="n"/>
    </row>
    <row r="161" ht="21.75" customHeight="1" s="349">
      <c r="A161" s="307" t="n"/>
      <c r="B161" s="56" t="n"/>
      <c r="C161" s="307" t="n"/>
      <c r="D161" s="307" t="n"/>
      <c r="E161" s="307" t="n"/>
      <c r="F161" s="307" t="n"/>
      <c r="G161" s="307" t="n"/>
      <c r="H161" s="31" t="n"/>
      <c r="I161" s="31" t="n"/>
      <c r="J161" s="31" t="n"/>
      <c r="K161" s="31" t="n"/>
      <c r="L161" s="31" t="n"/>
      <c r="M161" s="31" t="n"/>
      <c r="N161" s="307" t="n"/>
      <c r="O161" s="307" t="n"/>
      <c r="P161" s="307" t="n"/>
      <c r="Q161" s="307" t="n"/>
      <c r="R161" s="307" t="n"/>
      <c r="S161" s="307" t="n"/>
      <c r="T161" s="307" t="n"/>
      <c r="U161" s="307" t="n"/>
      <c r="V161" s="307" t="n"/>
      <c r="W161" s="307" t="n"/>
      <c r="X161" s="307" t="n"/>
      <c r="Y161" s="307" t="n"/>
      <c r="Z161" s="307" t="n"/>
      <c r="AA161" s="307" t="n"/>
      <c r="AB161" s="307" t="n"/>
      <c r="AC161" s="307" t="n"/>
      <c r="AD161" s="307" t="n"/>
    </row>
    <row r="162" ht="21.75" customHeight="1" s="349">
      <c r="A162" s="307" t="n"/>
      <c r="B162" s="56" t="n"/>
      <c r="C162" s="307" t="n"/>
      <c r="D162" s="307" t="n"/>
      <c r="E162" s="307" t="n"/>
      <c r="F162" s="307" t="n"/>
      <c r="G162" s="307" t="n"/>
      <c r="H162" s="31" t="n"/>
      <c r="I162" s="31" t="n"/>
      <c r="J162" s="31" t="n"/>
      <c r="K162" s="31" t="n"/>
      <c r="L162" s="31" t="n"/>
      <c r="M162" s="31" t="n"/>
      <c r="N162" s="307" t="n"/>
      <c r="O162" s="307" t="n"/>
      <c r="P162" s="307" t="n"/>
      <c r="Q162" s="307" t="n"/>
      <c r="R162" s="307" t="n"/>
      <c r="S162" s="307" t="n"/>
      <c r="T162" s="307" t="n"/>
      <c r="U162" s="307" t="n"/>
      <c r="V162" s="307" t="n"/>
      <c r="W162" s="307" t="n"/>
      <c r="X162" s="307" t="n"/>
      <c r="Y162" s="307" t="n"/>
      <c r="Z162" s="307" t="n"/>
      <c r="AA162" s="307" t="n"/>
      <c r="AB162" s="307" t="n"/>
      <c r="AC162" s="307" t="n"/>
      <c r="AD162" s="307" t="n"/>
    </row>
    <row r="163" ht="21.75" customHeight="1" s="349">
      <c r="A163" s="307" t="n"/>
      <c r="B163" s="56" t="n"/>
      <c r="C163" s="307" t="n"/>
      <c r="D163" s="307" t="n"/>
      <c r="E163" s="307" t="n"/>
      <c r="F163" s="307" t="n"/>
      <c r="G163" s="307" t="n"/>
      <c r="H163" s="31" t="n"/>
      <c r="I163" s="31" t="n"/>
      <c r="J163" s="31" t="n"/>
      <c r="K163" s="31" t="n"/>
      <c r="L163" s="31" t="n"/>
      <c r="M163" s="31" t="n"/>
      <c r="N163" s="307" t="n"/>
      <c r="O163" s="307" t="n"/>
      <c r="P163" s="307" t="n"/>
      <c r="Q163" s="307" t="n"/>
      <c r="R163" s="307" t="n"/>
      <c r="S163" s="307" t="n"/>
      <c r="T163" s="307" t="n"/>
      <c r="U163" s="307" t="n"/>
      <c r="V163" s="307" t="n"/>
      <c r="W163" s="307" t="n"/>
      <c r="X163" s="307" t="n"/>
      <c r="Y163" s="307" t="n"/>
      <c r="Z163" s="307" t="n"/>
      <c r="AA163" s="307" t="n"/>
      <c r="AB163" s="307" t="n"/>
      <c r="AC163" s="307" t="n"/>
      <c r="AD163" s="307" t="n"/>
    </row>
    <row r="164" ht="21.75" customHeight="1" s="349">
      <c r="A164" s="307" t="n"/>
      <c r="B164" s="56" t="n"/>
      <c r="C164" s="307" t="n"/>
      <c r="D164" s="307" t="n"/>
      <c r="E164" s="307" t="n"/>
      <c r="F164" s="307" t="n"/>
      <c r="G164" s="307" t="n"/>
      <c r="H164" s="31" t="n"/>
      <c r="I164" s="31" t="n"/>
      <c r="J164" s="31" t="n"/>
      <c r="K164" s="31" t="n"/>
      <c r="L164" s="31" t="n"/>
      <c r="M164" s="31" t="n"/>
      <c r="N164" s="307" t="n"/>
      <c r="O164" s="307" t="n"/>
      <c r="P164" s="307" t="n"/>
      <c r="Q164" s="307" t="n"/>
      <c r="R164" s="307" t="n"/>
      <c r="S164" s="307" t="n"/>
      <c r="T164" s="307" t="n"/>
      <c r="U164" s="307" t="n"/>
      <c r="V164" s="307" t="n"/>
      <c r="W164" s="307" t="n"/>
      <c r="X164" s="307" t="n"/>
      <c r="Y164" s="307" t="n"/>
      <c r="Z164" s="307" t="n"/>
      <c r="AA164" s="307" t="n"/>
      <c r="AB164" s="307" t="n"/>
      <c r="AC164" s="307" t="n"/>
      <c r="AD164" s="307" t="n"/>
    </row>
    <row r="165" ht="21.75" customHeight="1" s="349">
      <c r="A165" s="307" t="n"/>
      <c r="B165" s="56" t="n"/>
      <c r="C165" s="307" t="n"/>
      <c r="D165" s="307" t="n"/>
      <c r="E165" s="307" t="n"/>
      <c r="F165" s="307" t="n"/>
      <c r="G165" s="307" t="n"/>
      <c r="H165" s="31" t="n"/>
      <c r="I165" s="31" t="n"/>
      <c r="J165" s="31" t="n"/>
      <c r="K165" s="31" t="n"/>
      <c r="L165" s="31" t="n"/>
      <c r="M165" s="31" t="n"/>
      <c r="N165" s="307" t="n"/>
      <c r="O165" s="307" t="n"/>
      <c r="P165" s="307" t="n"/>
      <c r="Q165" s="307" t="n"/>
      <c r="R165" s="307" t="n"/>
      <c r="S165" s="307" t="n"/>
      <c r="T165" s="307" t="n"/>
      <c r="U165" s="307" t="n"/>
      <c r="V165" s="307" t="n"/>
      <c r="W165" s="307" t="n"/>
      <c r="X165" s="307" t="n"/>
      <c r="Y165" s="307" t="n"/>
      <c r="Z165" s="307" t="n"/>
      <c r="AA165" s="307" t="n"/>
      <c r="AB165" s="307" t="n"/>
      <c r="AC165" s="307" t="n"/>
      <c r="AD165" s="307" t="n"/>
    </row>
    <row r="166" ht="15.75" customHeight="1" s="349">
      <c r="A166" s="307" t="n"/>
      <c r="B166" s="307" t="n"/>
      <c r="C166" s="307" t="n"/>
      <c r="D166" s="307" t="n"/>
      <c r="E166" s="307" t="n"/>
      <c r="F166" s="307" t="n"/>
      <c r="G166" s="307" t="n"/>
      <c r="H166" s="31" t="n"/>
      <c r="I166" s="31" t="n"/>
      <c r="J166" s="31" t="n"/>
      <c r="K166" s="31" t="n"/>
      <c r="L166" s="31" t="n"/>
      <c r="M166" s="31" t="n"/>
      <c r="N166" s="307" t="n"/>
      <c r="O166" s="307" t="n"/>
      <c r="P166" s="307" t="n"/>
      <c r="Q166" s="307" t="n"/>
      <c r="R166" s="307" t="n"/>
      <c r="S166" s="307" t="n"/>
      <c r="T166" s="307" t="n"/>
      <c r="U166" s="307" t="n"/>
      <c r="V166" s="307" t="n"/>
      <c r="W166" s="307" t="n"/>
      <c r="X166" s="307" t="n"/>
      <c r="Y166" s="307" t="n"/>
      <c r="Z166" s="307" t="n"/>
      <c r="AA166" s="307" t="n"/>
      <c r="AB166" s="307" t="n"/>
      <c r="AC166" s="307" t="n"/>
      <c r="AD166" s="307" t="n"/>
    </row>
    <row r="167" ht="15.75" customHeight="1" s="349">
      <c r="A167" s="307" t="n"/>
      <c r="B167" s="307" t="n"/>
      <c r="C167" s="307" t="n"/>
      <c r="D167" s="307" t="n"/>
      <c r="E167" s="307" t="n"/>
      <c r="F167" s="307" t="n"/>
      <c r="G167" s="307" t="n"/>
      <c r="H167" s="31" t="n"/>
      <c r="I167" s="31" t="n"/>
      <c r="J167" s="31" t="n"/>
      <c r="K167" s="31" t="n"/>
      <c r="L167" s="31" t="n"/>
      <c r="M167" s="31" t="n"/>
      <c r="N167" s="307" t="n"/>
      <c r="O167" s="307" t="n"/>
      <c r="P167" s="307" t="n"/>
      <c r="Q167" s="307" t="n"/>
      <c r="R167" s="307" t="n"/>
      <c r="S167" s="307" t="n"/>
      <c r="T167" s="307" t="n"/>
      <c r="U167" s="307" t="n"/>
      <c r="V167" s="307" t="n"/>
      <c r="W167" s="307" t="n"/>
      <c r="X167" s="307" t="n"/>
      <c r="Y167" s="307" t="n"/>
      <c r="Z167" s="307" t="n"/>
      <c r="AA167" s="307" t="n"/>
      <c r="AB167" s="307" t="n"/>
      <c r="AC167" s="307" t="n"/>
      <c r="AD167" s="307" t="n"/>
    </row>
    <row r="168" ht="15.75" customHeight="1" s="349">
      <c r="A168" s="307" t="n"/>
      <c r="B168" s="307" t="n"/>
      <c r="C168" s="307" t="n"/>
      <c r="D168" s="307" t="n"/>
      <c r="E168" s="307" t="n"/>
      <c r="F168" s="307" t="n"/>
      <c r="G168" s="307" t="n"/>
      <c r="H168" s="31" t="n"/>
      <c r="I168" s="31" t="n"/>
      <c r="J168" s="31" t="n"/>
      <c r="K168" s="31" t="n"/>
      <c r="L168" s="31" t="n"/>
      <c r="M168" s="31" t="n"/>
      <c r="N168" s="307" t="n"/>
      <c r="O168" s="307" t="n"/>
      <c r="P168" s="307" t="n"/>
      <c r="Q168" s="307" t="n"/>
      <c r="R168" s="307" t="n"/>
      <c r="S168" s="307" t="n"/>
      <c r="T168" s="307" t="n"/>
      <c r="U168" s="307" t="n"/>
      <c r="V168" s="307" t="n"/>
      <c r="W168" s="307" t="n"/>
      <c r="X168" s="307" t="n"/>
      <c r="Y168" s="307" t="n"/>
      <c r="Z168" s="307" t="n"/>
      <c r="AA168" s="307" t="n"/>
      <c r="AB168" s="307" t="n"/>
      <c r="AC168" s="307" t="n"/>
      <c r="AD168" s="307" t="n"/>
    </row>
    <row r="169" ht="15.75" customHeight="1" s="349">
      <c r="A169" s="307" t="n"/>
      <c r="B169" s="307" t="n"/>
      <c r="C169" s="307" t="n"/>
      <c r="D169" s="307" t="n"/>
      <c r="E169" s="307" t="n"/>
      <c r="F169" s="307" t="n"/>
      <c r="G169" s="307" t="n"/>
      <c r="H169" s="31" t="n"/>
      <c r="I169" s="31" t="n"/>
      <c r="J169" s="31" t="n"/>
      <c r="K169" s="31" t="n"/>
      <c r="L169" s="31" t="n"/>
      <c r="M169" s="31" t="n"/>
      <c r="N169" s="307" t="n"/>
      <c r="O169" s="307" t="n"/>
      <c r="P169" s="307" t="n"/>
      <c r="Q169" s="307" t="n"/>
      <c r="R169" s="307" t="n"/>
      <c r="S169" s="307" t="n"/>
      <c r="T169" s="307" t="n"/>
      <c r="U169" s="307" t="n"/>
      <c r="V169" s="307" t="n"/>
      <c r="W169" s="307" t="n"/>
      <c r="X169" s="307" t="n"/>
      <c r="Y169" s="307" t="n"/>
      <c r="Z169" s="307" t="n"/>
      <c r="AA169" s="307" t="n"/>
      <c r="AB169" s="307" t="n"/>
      <c r="AC169" s="307" t="n"/>
      <c r="AD169" s="307" t="n"/>
    </row>
    <row r="170" ht="15.75" customHeight="1" s="349">
      <c r="A170" s="307" t="n"/>
      <c r="B170" s="307" t="n"/>
      <c r="C170" s="307" t="n"/>
      <c r="D170" s="307" t="n"/>
      <c r="E170" s="307" t="n"/>
      <c r="F170" s="307" t="n"/>
      <c r="G170" s="307" t="n"/>
      <c r="H170" s="31" t="n"/>
      <c r="I170" s="31" t="n"/>
      <c r="J170" s="31" t="n"/>
      <c r="K170" s="31" t="n"/>
      <c r="L170" s="31" t="n"/>
      <c r="M170" s="31" t="n"/>
      <c r="N170" s="307" t="n"/>
      <c r="O170" s="307" t="n"/>
      <c r="P170" s="307" t="n"/>
      <c r="Q170" s="307" t="n"/>
      <c r="R170" s="307" t="n"/>
      <c r="S170" s="307" t="n"/>
      <c r="T170" s="307" t="n"/>
      <c r="U170" s="307" t="n"/>
      <c r="V170" s="307" t="n"/>
      <c r="W170" s="307" t="n"/>
      <c r="X170" s="307" t="n"/>
      <c r="Y170" s="307" t="n"/>
      <c r="Z170" s="307" t="n"/>
      <c r="AA170" s="307" t="n"/>
      <c r="AB170" s="307" t="n"/>
      <c r="AC170" s="307" t="n"/>
      <c r="AD170" s="307" t="n"/>
    </row>
    <row r="171" ht="15.75" customHeight="1" s="349">
      <c r="A171" s="307" t="n"/>
      <c r="B171" s="307" t="n"/>
      <c r="C171" s="307" t="n"/>
      <c r="D171" s="307" t="n"/>
      <c r="E171" s="307" t="n"/>
      <c r="F171" s="307" t="n"/>
      <c r="G171" s="307" t="n"/>
      <c r="H171" s="31" t="n"/>
      <c r="I171" s="31" t="n"/>
      <c r="J171" s="31" t="n"/>
      <c r="K171" s="31" t="n"/>
      <c r="L171" s="31" t="n"/>
      <c r="M171" s="31" t="n"/>
      <c r="N171" s="307" t="n"/>
      <c r="O171" s="307" t="n"/>
      <c r="P171" s="307" t="n"/>
      <c r="Q171" s="307" t="n"/>
      <c r="R171" s="307" t="n"/>
      <c r="S171" s="307" t="n"/>
      <c r="T171" s="307" t="n"/>
      <c r="U171" s="307" t="n"/>
      <c r="V171" s="307" t="n"/>
      <c r="W171" s="307" t="n"/>
      <c r="X171" s="307" t="n"/>
      <c r="Y171" s="307" t="n"/>
      <c r="Z171" s="307" t="n"/>
      <c r="AA171" s="307" t="n"/>
      <c r="AB171" s="307" t="n"/>
      <c r="AC171" s="307" t="n"/>
      <c r="AD171" s="307" t="n"/>
    </row>
    <row r="172" ht="15.75" customHeight="1" s="349">
      <c r="A172" s="307" t="n"/>
      <c r="B172" s="307" t="n"/>
      <c r="C172" s="307" t="n"/>
      <c r="D172" s="307" t="n"/>
      <c r="E172" s="307" t="n"/>
      <c r="F172" s="307" t="n"/>
      <c r="G172" s="307" t="n"/>
      <c r="H172" s="31" t="n"/>
      <c r="I172" s="31" t="n"/>
      <c r="J172" s="31" t="n"/>
      <c r="K172" s="31" t="n"/>
      <c r="L172" s="31" t="n"/>
      <c r="M172" s="31" t="n"/>
      <c r="N172" s="307" t="n"/>
      <c r="O172" s="307" t="n"/>
      <c r="P172" s="307" t="n"/>
      <c r="Q172" s="307" t="n"/>
      <c r="R172" s="307" t="n"/>
      <c r="S172" s="307" t="n"/>
      <c r="T172" s="307" t="n"/>
      <c r="U172" s="307" t="n"/>
      <c r="V172" s="307" t="n"/>
      <c r="W172" s="307" t="n"/>
      <c r="X172" s="307" t="n"/>
      <c r="Y172" s="307" t="n"/>
      <c r="Z172" s="307" t="n"/>
      <c r="AA172" s="307" t="n"/>
      <c r="AB172" s="307" t="n"/>
      <c r="AC172" s="307" t="n"/>
      <c r="AD172" s="307" t="n"/>
    </row>
    <row r="173" ht="15.75" customHeight="1" s="349">
      <c r="A173" s="307" t="n"/>
      <c r="B173" s="307" t="n"/>
      <c r="C173" s="307" t="n"/>
      <c r="D173" s="307" t="n"/>
      <c r="E173" s="307" t="n"/>
      <c r="F173" s="307" t="n"/>
      <c r="G173" s="307" t="n"/>
      <c r="H173" s="31" t="n"/>
      <c r="I173" s="31" t="n"/>
      <c r="J173" s="31" t="n"/>
      <c r="K173" s="31" t="n"/>
      <c r="L173" s="31" t="n"/>
      <c r="M173" s="31" t="n"/>
      <c r="N173" s="307" t="n"/>
      <c r="O173" s="307" t="n"/>
      <c r="P173" s="307" t="n"/>
      <c r="Q173" s="307" t="n"/>
      <c r="R173" s="307" t="n"/>
      <c r="S173" s="307" t="n"/>
      <c r="T173" s="307" t="n"/>
      <c r="U173" s="307" t="n"/>
      <c r="V173" s="307" t="n"/>
      <c r="W173" s="307" t="n"/>
      <c r="X173" s="307" t="n"/>
      <c r="Y173" s="307" t="n"/>
      <c r="Z173" s="307" t="n"/>
      <c r="AA173" s="307" t="n"/>
      <c r="AB173" s="307" t="n"/>
      <c r="AC173" s="307" t="n"/>
      <c r="AD173" s="307" t="n"/>
    </row>
    <row r="174" ht="15.75" customHeight="1" s="349">
      <c r="A174" s="307" t="n"/>
      <c r="B174" s="307" t="n"/>
      <c r="C174" s="307" t="n"/>
      <c r="D174" s="307" t="n"/>
      <c r="E174" s="307" t="n"/>
      <c r="F174" s="307" t="n"/>
      <c r="G174" s="307" t="n"/>
      <c r="H174" s="31" t="n"/>
      <c r="I174" s="31" t="n"/>
      <c r="J174" s="31" t="n"/>
      <c r="K174" s="31" t="n"/>
      <c r="L174" s="31" t="n"/>
      <c r="M174" s="31" t="n"/>
      <c r="N174" s="307" t="n"/>
      <c r="O174" s="307" t="n"/>
      <c r="P174" s="307" t="n"/>
      <c r="Q174" s="307" t="n"/>
      <c r="R174" s="307" t="n"/>
      <c r="S174" s="307" t="n"/>
      <c r="T174" s="307" t="n"/>
      <c r="U174" s="307" t="n"/>
      <c r="V174" s="307" t="n"/>
      <c r="W174" s="307" t="n"/>
      <c r="X174" s="307" t="n"/>
      <c r="Y174" s="307" t="n"/>
      <c r="Z174" s="307" t="n"/>
      <c r="AA174" s="307" t="n"/>
      <c r="AB174" s="307" t="n"/>
      <c r="AC174" s="307" t="n"/>
      <c r="AD174" s="307" t="n"/>
    </row>
    <row r="175" ht="15.75" customHeight="1" s="349">
      <c r="A175" s="307" t="n"/>
      <c r="B175" s="307" t="n"/>
      <c r="C175" s="307" t="n"/>
      <c r="D175" s="307" t="n"/>
      <c r="E175" s="307" t="n"/>
      <c r="F175" s="307" t="n"/>
      <c r="G175" s="307" t="n"/>
      <c r="H175" s="31" t="n"/>
      <c r="I175" s="31" t="n"/>
      <c r="J175" s="31" t="n"/>
      <c r="K175" s="31" t="n"/>
      <c r="L175" s="31" t="n"/>
      <c r="M175" s="31" t="n"/>
      <c r="N175" s="307" t="n"/>
      <c r="O175" s="307" t="n"/>
      <c r="P175" s="307" t="n"/>
      <c r="Q175" s="307" t="n"/>
      <c r="R175" s="307" t="n"/>
      <c r="S175" s="307" t="n"/>
      <c r="T175" s="307" t="n"/>
      <c r="U175" s="307" t="n"/>
      <c r="V175" s="307" t="n"/>
      <c r="W175" s="307" t="n"/>
      <c r="X175" s="307" t="n"/>
      <c r="Y175" s="307" t="n"/>
      <c r="Z175" s="307" t="n"/>
      <c r="AA175" s="307" t="n"/>
      <c r="AB175" s="307" t="n"/>
      <c r="AC175" s="307" t="n"/>
      <c r="AD175" s="307" t="n"/>
    </row>
    <row r="176" ht="15.75" customHeight="1" s="349">
      <c r="A176" s="307" t="n"/>
      <c r="B176" s="307" t="n"/>
      <c r="C176" s="307" t="n"/>
      <c r="D176" s="307" t="n"/>
      <c r="E176" s="307" t="n"/>
      <c r="F176" s="307" t="n"/>
      <c r="G176" s="307" t="n"/>
      <c r="H176" s="31" t="n"/>
      <c r="I176" s="31" t="n"/>
      <c r="J176" s="31" t="n"/>
      <c r="K176" s="31" t="n"/>
      <c r="L176" s="31" t="n"/>
      <c r="M176" s="31" t="n"/>
      <c r="N176" s="307" t="n"/>
      <c r="O176" s="307" t="n"/>
      <c r="P176" s="307" t="n"/>
      <c r="Q176" s="307" t="n"/>
      <c r="R176" s="307" t="n"/>
      <c r="S176" s="307" t="n"/>
      <c r="T176" s="307" t="n"/>
      <c r="U176" s="307" t="n"/>
      <c r="V176" s="307" t="n"/>
      <c r="W176" s="307" t="n"/>
      <c r="X176" s="307" t="n"/>
      <c r="Y176" s="307" t="n"/>
      <c r="Z176" s="307" t="n"/>
      <c r="AA176" s="307" t="n"/>
      <c r="AB176" s="307" t="n"/>
      <c r="AC176" s="307" t="n"/>
      <c r="AD176" s="307" t="n"/>
    </row>
    <row r="177" ht="15.75" customHeight="1" s="349">
      <c r="A177" s="307" t="n"/>
      <c r="B177" s="307" t="n"/>
      <c r="C177" s="307" t="n"/>
      <c r="D177" s="307" t="n"/>
      <c r="E177" s="307" t="n"/>
      <c r="F177" s="307" t="n"/>
      <c r="G177" s="307" t="n"/>
      <c r="H177" s="31" t="n"/>
      <c r="I177" s="31" t="n"/>
      <c r="J177" s="31" t="n"/>
      <c r="K177" s="31" t="n"/>
      <c r="L177" s="31" t="n"/>
      <c r="M177" s="31" t="n"/>
      <c r="N177" s="307" t="n"/>
      <c r="O177" s="307" t="n"/>
      <c r="P177" s="307" t="n"/>
      <c r="Q177" s="307" t="n"/>
      <c r="R177" s="307" t="n"/>
      <c r="S177" s="307" t="n"/>
      <c r="T177" s="307" t="n"/>
      <c r="U177" s="307" t="n"/>
      <c r="V177" s="307" t="n"/>
      <c r="W177" s="307" t="n"/>
      <c r="X177" s="307" t="n"/>
      <c r="Y177" s="307" t="n"/>
      <c r="Z177" s="307" t="n"/>
      <c r="AA177" s="307" t="n"/>
      <c r="AB177" s="307" t="n"/>
      <c r="AC177" s="307" t="n"/>
      <c r="AD177" s="307" t="n"/>
    </row>
    <row r="178" ht="15.75" customHeight="1" s="349">
      <c r="A178" s="307" t="n"/>
      <c r="B178" s="307" t="n"/>
      <c r="C178" s="307" t="n"/>
      <c r="D178" s="307" t="n"/>
      <c r="E178" s="307" t="n"/>
      <c r="F178" s="307" t="n"/>
      <c r="G178" s="307" t="n"/>
      <c r="H178" s="31" t="n"/>
      <c r="I178" s="31" t="n"/>
      <c r="J178" s="31" t="n"/>
      <c r="K178" s="31" t="n"/>
      <c r="L178" s="31" t="n"/>
      <c r="M178" s="31" t="n"/>
      <c r="N178" s="307" t="n"/>
      <c r="O178" s="307" t="n"/>
      <c r="P178" s="307" t="n"/>
      <c r="Q178" s="307" t="n"/>
      <c r="R178" s="307" t="n"/>
      <c r="S178" s="307" t="n"/>
      <c r="T178" s="307" t="n"/>
      <c r="U178" s="307" t="n"/>
      <c r="V178" s="307" t="n"/>
      <c r="W178" s="307" t="n"/>
      <c r="X178" s="307" t="n"/>
      <c r="Y178" s="307" t="n"/>
      <c r="Z178" s="307" t="n"/>
      <c r="AA178" s="307" t="n"/>
      <c r="AB178" s="307" t="n"/>
      <c r="AC178" s="307" t="n"/>
      <c r="AD178" s="307" t="n"/>
    </row>
    <row r="179" ht="15.75" customHeight="1" s="349">
      <c r="A179" s="307" t="n"/>
      <c r="B179" s="307" t="n"/>
      <c r="C179" s="307" t="n"/>
      <c r="D179" s="307" t="n"/>
      <c r="E179" s="307" t="n"/>
      <c r="F179" s="307" t="n"/>
      <c r="G179" s="307" t="n"/>
      <c r="H179" s="31" t="n"/>
      <c r="I179" s="31" t="n"/>
      <c r="J179" s="31" t="n"/>
      <c r="K179" s="31" t="n"/>
      <c r="L179" s="31" t="n"/>
      <c r="M179" s="31" t="n"/>
      <c r="N179" s="307" t="n"/>
      <c r="O179" s="307" t="n"/>
      <c r="P179" s="307" t="n"/>
      <c r="Q179" s="307" t="n"/>
      <c r="R179" s="307" t="n"/>
      <c r="S179" s="307" t="n"/>
      <c r="T179" s="307" t="n"/>
      <c r="U179" s="307" t="n"/>
      <c r="V179" s="307" t="n"/>
      <c r="W179" s="307" t="n"/>
      <c r="X179" s="307" t="n"/>
      <c r="Y179" s="307" t="n"/>
      <c r="Z179" s="307" t="n"/>
      <c r="AA179" s="307" t="n"/>
      <c r="AB179" s="307" t="n"/>
      <c r="AC179" s="307" t="n"/>
      <c r="AD179" s="307" t="n"/>
    </row>
    <row r="180" ht="15.75" customHeight="1" s="349">
      <c r="A180" s="307" t="n"/>
      <c r="B180" s="307" t="n"/>
      <c r="C180" s="307" t="n"/>
      <c r="D180" s="307" t="n"/>
      <c r="E180" s="307" t="n"/>
      <c r="F180" s="307" t="n"/>
      <c r="G180" s="307" t="n"/>
      <c r="H180" s="31" t="n"/>
      <c r="I180" s="31" t="n"/>
      <c r="J180" s="31" t="n"/>
      <c r="K180" s="31" t="n"/>
      <c r="L180" s="31" t="n"/>
      <c r="M180" s="31" t="n"/>
      <c r="N180" s="307" t="n"/>
      <c r="O180" s="307" t="n"/>
      <c r="P180" s="307" t="n"/>
      <c r="Q180" s="307" t="n"/>
      <c r="R180" s="307" t="n"/>
      <c r="S180" s="307" t="n"/>
      <c r="T180" s="307" t="n"/>
      <c r="U180" s="307" t="n"/>
      <c r="V180" s="307" t="n"/>
      <c r="W180" s="307" t="n"/>
      <c r="X180" s="307" t="n"/>
      <c r="Y180" s="307" t="n"/>
      <c r="Z180" s="307" t="n"/>
      <c r="AA180" s="307" t="n"/>
      <c r="AB180" s="307" t="n"/>
      <c r="AC180" s="307" t="n"/>
      <c r="AD180" s="307" t="n"/>
    </row>
    <row r="181" ht="15.75" customHeight="1" s="349">
      <c r="A181" s="307" t="n"/>
      <c r="B181" s="307" t="n"/>
      <c r="C181" s="307" t="n"/>
      <c r="D181" s="307" t="n"/>
      <c r="E181" s="307" t="n"/>
      <c r="F181" s="307" t="n"/>
      <c r="G181" s="307" t="n"/>
      <c r="H181" s="31" t="n"/>
      <c r="I181" s="31" t="n"/>
      <c r="J181" s="31" t="n"/>
      <c r="K181" s="31" t="n"/>
      <c r="L181" s="31" t="n"/>
      <c r="M181" s="31" t="n"/>
      <c r="N181" s="307" t="n"/>
      <c r="O181" s="307" t="n"/>
      <c r="P181" s="307" t="n"/>
      <c r="Q181" s="307" t="n"/>
      <c r="R181" s="307" t="n"/>
      <c r="S181" s="307" t="n"/>
      <c r="T181" s="307" t="n"/>
      <c r="U181" s="307" t="n"/>
      <c r="V181" s="307" t="n"/>
      <c r="W181" s="307" t="n"/>
      <c r="X181" s="307" t="n"/>
      <c r="Y181" s="307" t="n"/>
      <c r="Z181" s="307" t="n"/>
      <c r="AA181" s="307" t="n"/>
      <c r="AB181" s="307" t="n"/>
      <c r="AC181" s="307" t="n"/>
      <c r="AD181" s="307" t="n"/>
    </row>
    <row r="182" ht="15.75" customHeight="1" s="349">
      <c r="A182" s="307" t="n"/>
      <c r="B182" s="307" t="n"/>
      <c r="C182" s="307" t="n"/>
      <c r="D182" s="307" t="n"/>
      <c r="E182" s="307" t="n"/>
      <c r="F182" s="307" t="n"/>
      <c r="G182" s="307" t="n"/>
      <c r="H182" s="31" t="n"/>
      <c r="I182" s="31" t="n"/>
      <c r="J182" s="31" t="n"/>
      <c r="K182" s="31" t="n"/>
      <c r="L182" s="31" t="n"/>
      <c r="M182" s="31" t="n"/>
      <c r="N182" s="307" t="n"/>
      <c r="O182" s="307" t="n"/>
      <c r="P182" s="307" t="n"/>
      <c r="Q182" s="307" t="n"/>
      <c r="R182" s="307" t="n"/>
      <c r="S182" s="307" t="n"/>
      <c r="T182" s="307" t="n"/>
      <c r="U182" s="307" t="n"/>
      <c r="V182" s="307" t="n"/>
      <c r="W182" s="307" t="n"/>
      <c r="X182" s="307" t="n"/>
      <c r="Y182" s="307" t="n"/>
      <c r="Z182" s="307" t="n"/>
      <c r="AA182" s="307" t="n"/>
      <c r="AB182" s="307" t="n"/>
      <c r="AC182" s="307" t="n"/>
      <c r="AD182" s="307" t="n"/>
    </row>
    <row r="183" ht="15.75" customHeight="1" s="349">
      <c r="A183" s="307" t="n"/>
      <c r="B183" s="307" t="n"/>
      <c r="C183" s="307" t="n"/>
      <c r="D183" s="307" t="n"/>
      <c r="E183" s="307" t="n"/>
      <c r="F183" s="307" t="n"/>
      <c r="G183" s="307" t="n"/>
      <c r="H183" s="31" t="n"/>
      <c r="I183" s="31" t="n"/>
      <c r="J183" s="31" t="n"/>
      <c r="K183" s="31" t="n"/>
      <c r="L183" s="31" t="n"/>
      <c r="M183" s="31" t="n"/>
      <c r="N183" s="307" t="n"/>
      <c r="O183" s="307" t="n"/>
      <c r="P183" s="307" t="n"/>
      <c r="Q183" s="307" t="n"/>
      <c r="R183" s="307" t="n"/>
      <c r="S183" s="307" t="n"/>
      <c r="T183" s="307" t="n"/>
      <c r="U183" s="307" t="n"/>
      <c r="V183" s="307" t="n"/>
      <c r="W183" s="307" t="n"/>
      <c r="X183" s="307" t="n"/>
      <c r="Y183" s="307" t="n"/>
      <c r="Z183" s="307" t="n"/>
      <c r="AA183" s="307" t="n"/>
      <c r="AB183" s="307" t="n"/>
      <c r="AC183" s="307" t="n"/>
      <c r="AD183" s="307" t="n"/>
    </row>
    <row r="184" ht="15.75" customHeight="1" s="349">
      <c r="A184" s="307" t="n"/>
      <c r="B184" s="307" t="n"/>
      <c r="C184" s="307" t="n"/>
      <c r="D184" s="307" t="n"/>
      <c r="E184" s="307" t="n"/>
      <c r="F184" s="307" t="n"/>
      <c r="G184" s="307" t="n"/>
      <c r="H184" s="31" t="n"/>
      <c r="I184" s="31" t="n"/>
      <c r="J184" s="31" t="n"/>
      <c r="K184" s="31" t="n"/>
      <c r="L184" s="31" t="n"/>
      <c r="M184" s="31" t="n"/>
      <c r="N184" s="307" t="n"/>
      <c r="O184" s="307" t="n"/>
      <c r="P184" s="307" t="n"/>
      <c r="Q184" s="307" t="n"/>
      <c r="R184" s="307" t="n"/>
      <c r="S184" s="307" t="n"/>
      <c r="T184" s="307" t="n"/>
      <c r="U184" s="307" t="n"/>
      <c r="V184" s="307" t="n"/>
      <c r="W184" s="307" t="n"/>
      <c r="X184" s="307" t="n"/>
      <c r="Y184" s="307" t="n"/>
      <c r="Z184" s="307" t="n"/>
      <c r="AA184" s="307" t="n"/>
      <c r="AB184" s="307" t="n"/>
      <c r="AC184" s="307" t="n"/>
      <c r="AD184" s="307" t="n"/>
    </row>
    <row r="185" ht="15.75" customHeight="1" s="349">
      <c r="A185" s="307" t="n"/>
      <c r="B185" s="307" t="n"/>
      <c r="C185" s="307" t="n"/>
      <c r="D185" s="307" t="n"/>
      <c r="E185" s="307" t="n"/>
      <c r="F185" s="307" t="n"/>
      <c r="G185" s="307" t="n"/>
      <c r="H185" s="31" t="n"/>
      <c r="I185" s="31" t="n"/>
      <c r="J185" s="31" t="n"/>
      <c r="K185" s="31" t="n"/>
      <c r="L185" s="31" t="n"/>
      <c r="M185" s="31" t="n"/>
      <c r="N185" s="307" t="n"/>
      <c r="O185" s="307" t="n"/>
      <c r="P185" s="307" t="n"/>
      <c r="Q185" s="307" t="n"/>
      <c r="R185" s="307" t="n"/>
      <c r="S185" s="307" t="n"/>
      <c r="T185" s="307" t="n"/>
      <c r="U185" s="307" t="n"/>
      <c r="V185" s="307" t="n"/>
      <c r="W185" s="307" t="n"/>
      <c r="X185" s="307" t="n"/>
      <c r="Y185" s="307" t="n"/>
      <c r="Z185" s="307" t="n"/>
      <c r="AA185" s="307" t="n"/>
      <c r="AB185" s="307" t="n"/>
      <c r="AC185" s="307" t="n"/>
      <c r="AD185" s="307" t="n"/>
    </row>
    <row r="186" ht="15.75" customHeight="1" s="349">
      <c r="A186" s="307" t="n"/>
      <c r="B186" s="307" t="n"/>
      <c r="C186" s="307" t="n"/>
      <c r="D186" s="307" t="n"/>
      <c r="E186" s="307" t="n"/>
      <c r="F186" s="307" t="n"/>
      <c r="G186" s="307" t="n"/>
      <c r="H186" s="31" t="n"/>
      <c r="I186" s="31" t="n"/>
      <c r="J186" s="31" t="n"/>
      <c r="K186" s="31" t="n"/>
      <c r="L186" s="31" t="n"/>
      <c r="M186" s="31" t="n"/>
      <c r="N186" s="307" t="n"/>
      <c r="O186" s="307" t="n"/>
      <c r="P186" s="307" t="n"/>
      <c r="Q186" s="307" t="n"/>
      <c r="R186" s="307" t="n"/>
      <c r="S186" s="307" t="n"/>
      <c r="T186" s="307" t="n"/>
      <c r="U186" s="307" t="n"/>
      <c r="V186" s="307" t="n"/>
      <c r="W186" s="307" t="n"/>
      <c r="X186" s="307" t="n"/>
      <c r="Y186" s="307" t="n"/>
      <c r="Z186" s="307" t="n"/>
      <c r="AA186" s="307" t="n"/>
      <c r="AB186" s="307" t="n"/>
      <c r="AC186" s="307" t="n"/>
      <c r="AD186" s="307" t="n"/>
    </row>
    <row r="187" ht="15.75" customHeight="1" s="349">
      <c r="A187" s="307" t="n"/>
      <c r="B187" s="307" t="n"/>
      <c r="C187" s="307" t="n"/>
      <c r="D187" s="307" t="n"/>
      <c r="E187" s="307" t="n"/>
      <c r="F187" s="307" t="n"/>
      <c r="G187" s="307" t="n"/>
      <c r="H187" s="31" t="n"/>
      <c r="I187" s="31" t="n"/>
      <c r="J187" s="31" t="n"/>
      <c r="K187" s="31" t="n"/>
      <c r="L187" s="31" t="n"/>
      <c r="M187" s="31" t="n"/>
      <c r="N187" s="307" t="n"/>
      <c r="O187" s="307" t="n"/>
      <c r="P187" s="307" t="n"/>
      <c r="Q187" s="307" t="n"/>
      <c r="R187" s="307" t="n"/>
      <c r="S187" s="307" t="n"/>
      <c r="T187" s="307" t="n"/>
      <c r="U187" s="307" t="n"/>
      <c r="V187" s="307" t="n"/>
      <c r="W187" s="307" t="n"/>
      <c r="X187" s="307" t="n"/>
      <c r="Y187" s="307" t="n"/>
      <c r="Z187" s="307" t="n"/>
      <c r="AA187" s="307" t="n"/>
      <c r="AB187" s="307" t="n"/>
      <c r="AC187" s="307" t="n"/>
      <c r="AD187" s="307" t="n"/>
    </row>
    <row r="188" ht="15.75" customHeight="1" s="349">
      <c r="A188" s="307" t="n"/>
      <c r="B188" s="307" t="n"/>
      <c r="C188" s="307" t="n"/>
      <c r="D188" s="307" t="n"/>
      <c r="E188" s="307" t="n"/>
      <c r="F188" s="307" t="n"/>
      <c r="G188" s="307" t="n"/>
      <c r="H188" s="31" t="n"/>
      <c r="I188" s="31" t="n"/>
      <c r="J188" s="31" t="n"/>
      <c r="K188" s="31" t="n"/>
      <c r="L188" s="31" t="n"/>
      <c r="M188" s="31" t="n"/>
      <c r="N188" s="307" t="n"/>
      <c r="O188" s="307" t="n"/>
      <c r="P188" s="307" t="n"/>
      <c r="Q188" s="307" t="n"/>
      <c r="R188" s="307" t="n"/>
      <c r="S188" s="307" t="n"/>
      <c r="T188" s="307" t="n"/>
      <c r="U188" s="307" t="n"/>
      <c r="V188" s="307" t="n"/>
      <c r="W188" s="307" t="n"/>
      <c r="X188" s="307" t="n"/>
      <c r="Y188" s="307" t="n"/>
      <c r="Z188" s="307" t="n"/>
      <c r="AA188" s="307" t="n"/>
      <c r="AB188" s="307" t="n"/>
      <c r="AC188" s="307" t="n"/>
      <c r="AD188" s="307" t="n"/>
    </row>
    <row r="189" ht="15.75" customHeight="1" s="349">
      <c r="A189" s="307" t="n"/>
      <c r="B189" s="307" t="n"/>
      <c r="C189" s="307" t="n"/>
      <c r="D189" s="307" t="n"/>
      <c r="E189" s="307" t="n"/>
      <c r="F189" s="307" t="n"/>
      <c r="G189" s="307" t="n"/>
      <c r="H189" s="31" t="n"/>
      <c r="I189" s="31" t="n"/>
      <c r="J189" s="31" t="n"/>
      <c r="K189" s="31" t="n"/>
      <c r="L189" s="31" t="n"/>
      <c r="M189" s="31" t="n"/>
      <c r="N189" s="307" t="n"/>
      <c r="O189" s="307" t="n"/>
      <c r="P189" s="307" t="n"/>
      <c r="Q189" s="307" t="n"/>
      <c r="R189" s="307" t="n"/>
      <c r="S189" s="307" t="n"/>
      <c r="T189" s="307" t="n"/>
      <c r="U189" s="307" t="n"/>
      <c r="V189" s="307" t="n"/>
      <c r="W189" s="307" t="n"/>
      <c r="X189" s="307" t="n"/>
      <c r="Y189" s="307" t="n"/>
      <c r="Z189" s="307" t="n"/>
      <c r="AA189" s="307" t="n"/>
      <c r="AB189" s="307" t="n"/>
      <c r="AC189" s="307" t="n"/>
      <c r="AD189" s="307" t="n"/>
    </row>
    <row r="190" ht="15.75" customHeight="1" s="349">
      <c r="A190" s="307" t="n"/>
      <c r="B190" s="307" t="n"/>
      <c r="C190" s="307" t="n"/>
      <c r="D190" s="307" t="n"/>
      <c r="E190" s="307" t="n"/>
      <c r="F190" s="307" t="n"/>
      <c r="G190" s="307" t="n"/>
      <c r="H190" s="31" t="n"/>
      <c r="I190" s="31" t="n"/>
      <c r="J190" s="31" t="n"/>
      <c r="K190" s="31" t="n"/>
      <c r="L190" s="31" t="n"/>
      <c r="M190" s="31" t="n"/>
      <c r="N190" s="307" t="n"/>
      <c r="O190" s="307" t="n"/>
      <c r="P190" s="307" t="n"/>
      <c r="Q190" s="307" t="n"/>
      <c r="R190" s="307" t="n"/>
      <c r="S190" s="307" t="n"/>
      <c r="T190" s="307" t="n"/>
      <c r="U190" s="307" t="n"/>
      <c r="V190" s="307" t="n"/>
      <c r="W190" s="307" t="n"/>
      <c r="X190" s="307" t="n"/>
      <c r="Y190" s="307" t="n"/>
      <c r="Z190" s="307" t="n"/>
      <c r="AA190" s="307" t="n"/>
      <c r="AB190" s="307" t="n"/>
      <c r="AC190" s="307" t="n"/>
      <c r="AD190" s="307" t="n"/>
    </row>
    <row r="191" ht="15.75" customHeight="1" s="349">
      <c r="A191" s="307" t="n"/>
      <c r="B191" s="307" t="n"/>
      <c r="C191" s="307" t="n"/>
      <c r="D191" s="307" t="n"/>
      <c r="E191" s="307" t="n"/>
      <c r="F191" s="307" t="n"/>
      <c r="G191" s="307" t="n"/>
      <c r="H191" s="31" t="n"/>
      <c r="I191" s="31" t="n"/>
      <c r="J191" s="31" t="n"/>
      <c r="K191" s="31" t="n"/>
      <c r="L191" s="31" t="n"/>
      <c r="M191" s="31" t="n"/>
      <c r="N191" s="307" t="n"/>
      <c r="O191" s="307" t="n"/>
      <c r="P191" s="307" t="n"/>
      <c r="Q191" s="307" t="n"/>
      <c r="R191" s="307" t="n"/>
      <c r="S191" s="307" t="n"/>
      <c r="T191" s="307" t="n"/>
      <c r="U191" s="307" t="n"/>
      <c r="V191" s="307" t="n"/>
      <c r="W191" s="307" t="n"/>
      <c r="X191" s="307" t="n"/>
      <c r="Y191" s="307" t="n"/>
      <c r="Z191" s="307" t="n"/>
      <c r="AA191" s="307" t="n"/>
      <c r="AB191" s="307" t="n"/>
      <c r="AC191" s="307" t="n"/>
      <c r="AD191" s="307" t="n"/>
    </row>
    <row r="192" ht="15.75" customHeight="1" s="349">
      <c r="A192" s="307" t="n"/>
      <c r="B192" s="307" t="n"/>
      <c r="C192" s="307" t="n"/>
      <c r="D192" s="307" t="n"/>
      <c r="E192" s="307" t="n"/>
      <c r="F192" s="307" t="n"/>
      <c r="G192" s="307" t="n"/>
      <c r="H192" s="31" t="n"/>
      <c r="I192" s="31" t="n"/>
      <c r="J192" s="31" t="n"/>
      <c r="K192" s="31" t="n"/>
      <c r="L192" s="31" t="n"/>
      <c r="M192" s="31" t="n"/>
      <c r="N192" s="307" t="n"/>
      <c r="O192" s="307" t="n"/>
      <c r="P192" s="307" t="n"/>
      <c r="Q192" s="307" t="n"/>
      <c r="R192" s="307" t="n"/>
      <c r="S192" s="307" t="n"/>
      <c r="T192" s="307" t="n"/>
      <c r="U192" s="307" t="n"/>
      <c r="V192" s="307" t="n"/>
      <c r="W192" s="307" t="n"/>
      <c r="X192" s="307" t="n"/>
      <c r="Y192" s="307" t="n"/>
      <c r="Z192" s="307" t="n"/>
      <c r="AA192" s="307" t="n"/>
      <c r="AB192" s="307" t="n"/>
      <c r="AC192" s="307" t="n"/>
      <c r="AD192" s="307" t="n"/>
    </row>
    <row r="193" ht="15.75" customHeight="1" s="349">
      <c r="A193" s="307" t="n"/>
      <c r="B193" s="307" t="n"/>
      <c r="C193" s="307" t="n"/>
      <c r="D193" s="307" t="n"/>
      <c r="E193" s="307" t="n"/>
      <c r="F193" s="307" t="n"/>
      <c r="G193" s="307" t="n"/>
      <c r="H193" s="31" t="n"/>
      <c r="I193" s="31" t="n"/>
      <c r="J193" s="31" t="n"/>
      <c r="K193" s="31" t="n"/>
      <c r="L193" s="31" t="n"/>
      <c r="M193" s="31" t="n"/>
      <c r="N193" s="307" t="n"/>
      <c r="O193" s="307" t="n"/>
      <c r="P193" s="307" t="n"/>
      <c r="Q193" s="307" t="n"/>
      <c r="R193" s="307" t="n"/>
      <c r="S193" s="307" t="n"/>
      <c r="T193" s="307" t="n"/>
      <c r="U193" s="307" t="n"/>
      <c r="V193" s="307" t="n"/>
      <c r="W193" s="307" t="n"/>
      <c r="X193" s="307" t="n"/>
      <c r="Y193" s="307" t="n"/>
      <c r="Z193" s="307" t="n"/>
      <c r="AA193" s="307" t="n"/>
      <c r="AB193" s="307" t="n"/>
      <c r="AC193" s="307" t="n"/>
      <c r="AD193" s="307" t="n"/>
    </row>
    <row r="194" ht="15.75" customHeight="1" s="349">
      <c r="A194" s="307" t="n"/>
      <c r="B194" s="307" t="n"/>
      <c r="C194" s="307" t="n"/>
      <c r="D194" s="307" t="n"/>
      <c r="E194" s="307" t="n"/>
      <c r="F194" s="307" t="n"/>
      <c r="G194" s="307" t="n"/>
      <c r="H194" s="31" t="n"/>
      <c r="I194" s="31" t="n"/>
      <c r="J194" s="31" t="n"/>
      <c r="K194" s="31" t="n"/>
      <c r="L194" s="31" t="n"/>
      <c r="M194" s="31" t="n"/>
      <c r="N194" s="307" t="n"/>
      <c r="O194" s="307" t="n"/>
      <c r="P194" s="307" t="n"/>
      <c r="Q194" s="307" t="n"/>
      <c r="R194" s="307" t="n"/>
      <c r="S194" s="307" t="n"/>
      <c r="T194" s="307" t="n"/>
      <c r="U194" s="307" t="n"/>
      <c r="V194" s="307" t="n"/>
      <c r="W194" s="307" t="n"/>
      <c r="X194" s="307" t="n"/>
      <c r="Y194" s="307" t="n"/>
      <c r="Z194" s="307" t="n"/>
      <c r="AA194" s="307" t="n"/>
      <c r="AB194" s="307" t="n"/>
      <c r="AC194" s="307" t="n"/>
      <c r="AD194" s="307" t="n"/>
    </row>
    <row r="195" ht="15.75" customHeight="1" s="349">
      <c r="A195" s="307" t="n"/>
      <c r="B195" s="307" t="n"/>
      <c r="C195" s="307" t="n"/>
      <c r="D195" s="307" t="n"/>
      <c r="E195" s="307" t="n"/>
      <c r="F195" s="307" t="n"/>
      <c r="G195" s="307" t="n"/>
      <c r="H195" s="31" t="n"/>
      <c r="I195" s="31" t="n"/>
      <c r="J195" s="31" t="n"/>
      <c r="K195" s="31" t="n"/>
      <c r="L195" s="31" t="n"/>
      <c r="M195" s="31" t="n"/>
      <c r="N195" s="307" t="n"/>
      <c r="O195" s="307" t="n"/>
      <c r="P195" s="307" t="n"/>
      <c r="Q195" s="307" t="n"/>
      <c r="R195" s="307" t="n"/>
      <c r="S195" s="307" t="n"/>
      <c r="T195" s="307" t="n"/>
      <c r="U195" s="307" t="n"/>
      <c r="V195" s="307" t="n"/>
      <c r="W195" s="307" t="n"/>
      <c r="X195" s="307" t="n"/>
      <c r="Y195" s="307" t="n"/>
      <c r="Z195" s="307" t="n"/>
      <c r="AA195" s="307" t="n"/>
      <c r="AB195" s="307" t="n"/>
      <c r="AC195" s="307" t="n"/>
      <c r="AD195" s="307" t="n"/>
    </row>
    <row r="196" ht="15.75" customHeight="1" s="349">
      <c r="A196" s="307" t="n"/>
      <c r="B196" s="307" t="n"/>
      <c r="C196" s="307" t="n"/>
      <c r="D196" s="307" t="n"/>
      <c r="E196" s="307" t="n"/>
      <c r="F196" s="307" t="n"/>
      <c r="G196" s="307" t="n"/>
      <c r="H196" s="31" t="n"/>
      <c r="I196" s="31" t="n"/>
      <c r="J196" s="31" t="n"/>
      <c r="K196" s="31" t="n"/>
      <c r="L196" s="31" t="n"/>
      <c r="M196" s="31" t="n"/>
      <c r="N196" s="307" t="n"/>
      <c r="O196" s="307" t="n"/>
      <c r="P196" s="307" t="n"/>
      <c r="Q196" s="307" t="n"/>
      <c r="R196" s="307" t="n"/>
      <c r="S196" s="307" t="n"/>
      <c r="T196" s="307" t="n"/>
      <c r="U196" s="307" t="n"/>
      <c r="V196" s="307" t="n"/>
      <c r="W196" s="307" t="n"/>
      <c r="X196" s="307" t="n"/>
      <c r="Y196" s="307" t="n"/>
      <c r="Z196" s="307" t="n"/>
      <c r="AA196" s="307" t="n"/>
      <c r="AB196" s="307" t="n"/>
      <c r="AC196" s="307" t="n"/>
      <c r="AD196" s="307" t="n"/>
    </row>
    <row r="197" ht="15.75" customHeight="1" s="349">
      <c r="A197" s="307" t="n"/>
      <c r="B197" s="307" t="n"/>
      <c r="C197" s="307" t="n"/>
      <c r="D197" s="307" t="n"/>
      <c r="E197" s="307" t="n"/>
      <c r="F197" s="307" t="n"/>
      <c r="G197" s="307" t="n"/>
      <c r="H197" s="31" t="n"/>
      <c r="I197" s="31" t="n"/>
      <c r="J197" s="31" t="n"/>
      <c r="K197" s="31" t="n"/>
      <c r="L197" s="31" t="n"/>
      <c r="M197" s="31" t="n"/>
      <c r="N197" s="307" t="n"/>
      <c r="O197" s="307" t="n"/>
      <c r="P197" s="307" t="n"/>
      <c r="Q197" s="307" t="n"/>
      <c r="R197" s="307" t="n"/>
      <c r="S197" s="307" t="n"/>
      <c r="T197" s="307" t="n"/>
      <c r="U197" s="307" t="n"/>
      <c r="V197" s="307" t="n"/>
      <c r="W197" s="307" t="n"/>
      <c r="X197" s="307" t="n"/>
      <c r="Y197" s="307" t="n"/>
      <c r="Z197" s="307" t="n"/>
      <c r="AA197" s="307" t="n"/>
      <c r="AB197" s="307" t="n"/>
      <c r="AC197" s="307" t="n"/>
      <c r="AD197" s="307" t="n"/>
    </row>
    <row r="198" ht="15.75" customHeight="1" s="349">
      <c r="A198" s="307" t="n"/>
      <c r="B198" s="307" t="n"/>
      <c r="C198" s="307" t="n"/>
      <c r="D198" s="307" t="n"/>
      <c r="E198" s="307" t="n"/>
      <c r="F198" s="307" t="n"/>
      <c r="G198" s="307" t="n"/>
      <c r="H198" s="31" t="n"/>
      <c r="I198" s="31" t="n"/>
      <c r="J198" s="31" t="n"/>
      <c r="K198" s="31" t="n"/>
      <c r="L198" s="31" t="n"/>
      <c r="M198" s="31" t="n"/>
      <c r="N198" s="307" t="n"/>
      <c r="O198" s="307" t="n"/>
      <c r="P198" s="307" t="n"/>
      <c r="Q198" s="307" t="n"/>
      <c r="R198" s="307" t="n"/>
      <c r="S198" s="307" t="n"/>
      <c r="T198" s="307" t="n"/>
      <c r="U198" s="307" t="n"/>
      <c r="V198" s="307" t="n"/>
      <c r="W198" s="307" t="n"/>
      <c r="X198" s="307" t="n"/>
      <c r="Y198" s="307" t="n"/>
      <c r="Z198" s="307" t="n"/>
      <c r="AA198" s="307" t="n"/>
      <c r="AB198" s="307" t="n"/>
      <c r="AC198" s="307" t="n"/>
      <c r="AD198" s="307" t="n"/>
    </row>
    <row r="199" ht="15.75" customHeight="1" s="349">
      <c r="A199" s="307" t="n"/>
      <c r="B199" s="307" t="n"/>
      <c r="C199" s="307" t="n"/>
      <c r="D199" s="307" t="n"/>
      <c r="E199" s="307" t="n"/>
      <c r="F199" s="307" t="n"/>
      <c r="G199" s="307" t="n"/>
      <c r="H199" s="31" t="n"/>
      <c r="I199" s="31" t="n"/>
      <c r="J199" s="31" t="n"/>
      <c r="K199" s="31" t="n"/>
      <c r="L199" s="31" t="n"/>
      <c r="M199" s="31" t="n"/>
      <c r="N199" s="307" t="n"/>
      <c r="O199" s="307" t="n"/>
      <c r="P199" s="307" t="n"/>
      <c r="Q199" s="307" t="n"/>
      <c r="R199" s="307" t="n"/>
      <c r="S199" s="307" t="n"/>
      <c r="T199" s="307" t="n"/>
      <c r="U199" s="307" t="n"/>
      <c r="V199" s="307" t="n"/>
      <c r="W199" s="307" t="n"/>
      <c r="X199" s="307" t="n"/>
      <c r="Y199" s="307" t="n"/>
      <c r="Z199" s="307" t="n"/>
      <c r="AA199" s="307" t="n"/>
      <c r="AB199" s="307" t="n"/>
      <c r="AC199" s="307" t="n"/>
      <c r="AD199" s="307" t="n"/>
    </row>
    <row r="200" ht="15.75" customHeight="1" s="349">
      <c r="A200" s="307" t="n"/>
      <c r="B200" s="307" t="n"/>
      <c r="C200" s="307" t="n"/>
      <c r="D200" s="307" t="n"/>
      <c r="E200" s="307" t="n"/>
      <c r="F200" s="307" t="n"/>
      <c r="G200" s="307" t="n"/>
      <c r="H200" s="31" t="n"/>
      <c r="I200" s="31" t="n"/>
      <c r="J200" s="31" t="n"/>
      <c r="K200" s="31" t="n"/>
      <c r="L200" s="31" t="n"/>
      <c r="M200" s="31" t="n"/>
      <c r="N200" s="307" t="n"/>
      <c r="O200" s="307" t="n"/>
      <c r="P200" s="307" t="n"/>
      <c r="Q200" s="307" t="n"/>
      <c r="R200" s="307" t="n"/>
      <c r="S200" s="307" t="n"/>
      <c r="T200" s="307" t="n"/>
      <c r="U200" s="307" t="n"/>
      <c r="V200" s="307" t="n"/>
      <c r="W200" s="307" t="n"/>
      <c r="X200" s="307" t="n"/>
      <c r="Y200" s="307" t="n"/>
      <c r="Z200" s="307" t="n"/>
      <c r="AA200" s="307" t="n"/>
      <c r="AB200" s="307" t="n"/>
      <c r="AC200" s="307" t="n"/>
      <c r="AD200" s="307" t="n"/>
    </row>
    <row r="201" ht="15.75" customHeight="1" s="349">
      <c r="A201" s="307" t="n"/>
      <c r="B201" s="307" t="n"/>
      <c r="C201" s="307" t="n"/>
      <c r="D201" s="307" t="n"/>
      <c r="E201" s="307" t="n"/>
      <c r="F201" s="307" t="n"/>
      <c r="G201" s="307" t="n"/>
      <c r="H201" s="31" t="n"/>
      <c r="I201" s="31" t="n"/>
      <c r="J201" s="31" t="n"/>
      <c r="K201" s="31" t="n"/>
      <c r="L201" s="31" t="n"/>
      <c r="M201" s="31" t="n"/>
      <c r="N201" s="307" t="n"/>
      <c r="O201" s="307" t="n"/>
      <c r="P201" s="307" t="n"/>
      <c r="Q201" s="307" t="n"/>
      <c r="R201" s="307" t="n"/>
      <c r="S201" s="307" t="n"/>
      <c r="T201" s="307" t="n"/>
      <c r="U201" s="307" t="n"/>
      <c r="V201" s="307" t="n"/>
      <c r="W201" s="307" t="n"/>
      <c r="X201" s="307" t="n"/>
      <c r="Y201" s="307" t="n"/>
      <c r="Z201" s="307" t="n"/>
      <c r="AA201" s="307" t="n"/>
      <c r="AB201" s="307" t="n"/>
      <c r="AC201" s="307" t="n"/>
      <c r="AD201" s="307" t="n"/>
    </row>
    <row r="202" ht="15.75" customHeight="1" s="349">
      <c r="A202" s="307" t="n"/>
      <c r="B202" s="307" t="n"/>
      <c r="C202" s="307" t="n"/>
      <c r="D202" s="307" t="n"/>
      <c r="E202" s="307" t="n"/>
      <c r="F202" s="307" t="n"/>
      <c r="G202" s="307" t="n"/>
      <c r="H202" s="31" t="n"/>
      <c r="I202" s="31" t="n"/>
      <c r="J202" s="31" t="n"/>
      <c r="K202" s="31" t="n"/>
      <c r="L202" s="31" t="n"/>
      <c r="M202" s="31" t="n"/>
      <c r="N202" s="307" t="n"/>
      <c r="O202" s="307" t="n"/>
      <c r="P202" s="307" t="n"/>
      <c r="Q202" s="307" t="n"/>
      <c r="R202" s="307" t="n"/>
      <c r="S202" s="307" t="n"/>
      <c r="T202" s="307" t="n"/>
      <c r="U202" s="307" t="n"/>
      <c r="V202" s="307" t="n"/>
      <c r="W202" s="307" t="n"/>
      <c r="X202" s="307" t="n"/>
      <c r="Y202" s="307" t="n"/>
      <c r="Z202" s="307" t="n"/>
      <c r="AA202" s="307" t="n"/>
      <c r="AB202" s="307" t="n"/>
      <c r="AC202" s="307" t="n"/>
      <c r="AD202" s="307" t="n"/>
    </row>
    <row r="203" ht="15.75" customHeight="1" s="349">
      <c r="A203" s="307" t="n"/>
      <c r="B203" s="307" t="n"/>
      <c r="C203" s="307" t="n"/>
      <c r="D203" s="307" t="n"/>
      <c r="E203" s="307" t="n"/>
      <c r="F203" s="307" t="n"/>
      <c r="G203" s="307" t="n"/>
      <c r="H203" s="31" t="n"/>
      <c r="I203" s="31" t="n"/>
      <c r="J203" s="31" t="n"/>
      <c r="K203" s="31" t="n"/>
      <c r="L203" s="31" t="n"/>
      <c r="M203" s="31" t="n"/>
      <c r="N203" s="307" t="n"/>
      <c r="O203" s="307" t="n"/>
      <c r="P203" s="307" t="n"/>
      <c r="Q203" s="307" t="n"/>
      <c r="R203" s="307" t="n"/>
      <c r="S203" s="307" t="n"/>
      <c r="T203" s="307" t="n"/>
      <c r="U203" s="307" t="n"/>
      <c r="V203" s="307" t="n"/>
      <c r="W203" s="307" t="n"/>
      <c r="X203" s="307" t="n"/>
      <c r="Y203" s="307" t="n"/>
      <c r="Z203" s="307" t="n"/>
      <c r="AA203" s="307" t="n"/>
      <c r="AB203" s="307" t="n"/>
      <c r="AC203" s="307" t="n"/>
      <c r="AD203" s="307" t="n"/>
    </row>
    <row r="204" ht="15.75" customHeight="1" s="349">
      <c r="A204" s="307" t="n"/>
      <c r="B204" s="307" t="n"/>
      <c r="C204" s="307" t="n"/>
      <c r="D204" s="307" t="n"/>
      <c r="E204" s="307" t="n"/>
      <c r="F204" s="307" t="n"/>
      <c r="G204" s="307" t="n"/>
      <c r="H204" s="31" t="n"/>
      <c r="I204" s="31" t="n"/>
      <c r="J204" s="31" t="n"/>
      <c r="K204" s="31" t="n"/>
      <c r="L204" s="31" t="n"/>
      <c r="M204" s="31" t="n"/>
      <c r="N204" s="307" t="n"/>
      <c r="O204" s="307" t="n"/>
      <c r="P204" s="307" t="n"/>
      <c r="Q204" s="307" t="n"/>
      <c r="R204" s="307" t="n"/>
      <c r="S204" s="307" t="n"/>
      <c r="T204" s="307" t="n"/>
      <c r="U204" s="307" t="n"/>
      <c r="V204" s="307" t="n"/>
      <c r="W204" s="307" t="n"/>
      <c r="X204" s="307" t="n"/>
      <c r="Y204" s="307" t="n"/>
      <c r="Z204" s="307" t="n"/>
      <c r="AA204" s="307" t="n"/>
      <c r="AB204" s="307" t="n"/>
      <c r="AC204" s="307" t="n"/>
      <c r="AD204" s="307" t="n"/>
    </row>
    <row r="205" ht="15.75" customHeight="1" s="349">
      <c r="A205" s="307" t="n"/>
      <c r="B205" s="307" t="n"/>
      <c r="C205" s="307" t="n"/>
      <c r="D205" s="307" t="n"/>
      <c r="E205" s="307" t="n"/>
      <c r="F205" s="307" t="n"/>
      <c r="G205" s="307" t="n"/>
      <c r="H205" s="31" t="n"/>
      <c r="I205" s="31" t="n"/>
      <c r="J205" s="31" t="n"/>
      <c r="K205" s="31" t="n"/>
      <c r="L205" s="31" t="n"/>
      <c r="M205" s="31" t="n"/>
      <c r="N205" s="307" t="n"/>
      <c r="O205" s="307" t="n"/>
      <c r="P205" s="307" t="n"/>
      <c r="Q205" s="307" t="n"/>
      <c r="R205" s="307" t="n"/>
      <c r="S205" s="307" t="n"/>
      <c r="T205" s="307" t="n"/>
      <c r="U205" s="307" t="n"/>
      <c r="V205" s="307" t="n"/>
      <c r="W205" s="307" t="n"/>
      <c r="X205" s="307" t="n"/>
      <c r="Y205" s="307" t="n"/>
      <c r="Z205" s="307" t="n"/>
      <c r="AA205" s="307" t="n"/>
      <c r="AB205" s="307" t="n"/>
      <c r="AC205" s="307" t="n"/>
      <c r="AD205" s="307" t="n"/>
    </row>
    <row r="206" ht="15.75" customHeight="1" s="349">
      <c r="A206" s="307" t="n"/>
      <c r="B206" s="307" t="n"/>
      <c r="C206" s="307" t="n"/>
      <c r="D206" s="307" t="n"/>
      <c r="E206" s="307" t="n"/>
      <c r="F206" s="307" t="n"/>
      <c r="G206" s="307" t="n"/>
      <c r="H206" s="31" t="n"/>
      <c r="I206" s="31" t="n"/>
      <c r="J206" s="31" t="n"/>
      <c r="K206" s="31" t="n"/>
      <c r="L206" s="31" t="n"/>
      <c r="M206" s="31" t="n"/>
      <c r="N206" s="307" t="n"/>
      <c r="O206" s="307" t="n"/>
      <c r="P206" s="307" t="n"/>
      <c r="Q206" s="307" t="n"/>
      <c r="R206" s="307" t="n"/>
      <c r="S206" s="307" t="n"/>
      <c r="T206" s="307" t="n"/>
      <c r="U206" s="307" t="n"/>
      <c r="V206" s="307" t="n"/>
      <c r="W206" s="307" t="n"/>
      <c r="X206" s="307" t="n"/>
      <c r="Y206" s="307" t="n"/>
      <c r="Z206" s="307" t="n"/>
      <c r="AA206" s="307" t="n"/>
      <c r="AB206" s="307" t="n"/>
      <c r="AC206" s="307" t="n"/>
      <c r="AD206" s="307" t="n"/>
    </row>
    <row r="207" ht="15.75" customHeight="1" s="349">
      <c r="A207" s="307" t="n"/>
      <c r="B207" s="307" t="n"/>
      <c r="C207" s="307" t="n"/>
      <c r="D207" s="307" t="n"/>
      <c r="E207" s="307" t="n"/>
      <c r="F207" s="307" t="n"/>
      <c r="G207" s="307" t="n"/>
      <c r="H207" s="31" t="n"/>
      <c r="I207" s="31" t="n"/>
      <c r="J207" s="31" t="n"/>
      <c r="K207" s="31" t="n"/>
      <c r="L207" s="31" t="n"/>
      <c r="M207" s="31" t="n"/>
      <c r="N207" s="307" t="n"/>
      <c r="O207" s="307" t="n"/>
      <c r="P207" s="307" t="n"/>
      <c r="Q207" s="307" t="n"/>
      <c r="R207" s="307" t="n"/>
      <c r="S207" s="307" t="n"/>
      <c r="T207" s="307" t="n"/>
      <c r="U207" s="307" t="n"/>
      <c r="V207" s="307" t="n"/>
      <c r="W207" s="307" t="n"/>
      <c r="X207" s="307" t="n"/>
      <c r="Y207" s="307" t="n"/>
      <c r="Z207" s="307" t="n"/>
      <c r="AA207" s="307" t="n"/>
      <c r="AB207" s="307" t="n"/>
      <c r="AC207" s="307" t="n"/>
      <c r="AD207" s="307" t="n"/>
    </row>
    <row r="208" ht="15.75" customHeight="1" s="349">
      <c r="A208" s="307" t="n"/>
      <c r="B208" s="307" t="n"/>
      <c r="C208" s="307" t="n"/>
      <c r="D208" s="307" t="n"/>
      <c r="E208" s="307" t="n"/>
      <c r="F208" s="307" t="n"/>
      <c r="G208" s="307" t="n"/>
      <c r="H208" s="31" t="n"/>
      <c r="I208" s="31" t="n"/>
      <c r="J208" s="31" t="n"/>
      <c r="K208" s="31" t="n"/>
      <c r="L208" s="31" t="n"/>
      <c r="M208" s="31" t="n"/>
      <c r="N208" s="307" t="n"/>
      <c r="O208" s="307" t="n"/>
      <c r="P208" s="307" t="n"/>
      <c r="Q208" s="307" t="n"/>
      <c r="R208" s="307" t="n"/>
      <c r="S208" s="307" t="n"/>
      <c r="T208" s="307" t="n"/>
      <c r="U208" s="307" t="n"/>
      <c r="V208" s="307" t="n"/>
      <c r="W208" s="307" t="n"/>
      <c r="X208" s="307" t="n"/>
      <c r="Y208" s="307" t="n"/>
      <c r="Z208" s="307" t="n"/>
      <c r="AA208" s="307" t="n"/>
      <c r="AB208" s="307" t="n"/>
      <c r="AC208" s="307" t="n"/>
      <c r="AD208" s="307" t="n"/>
    </row>
    <row r="209" ht="15.75" customHeight="1" s="349">
      <c r="A209" s="307" t="n"/>
      <c r="B209" s="307" t="n"/>
      <c r="C209" s="307" t="n"/>
      <c r="D209" s="307" t="n"/>
      <c r="E209" s="307" t="n"/>
      <c r="F209" s="307" t="n"/>
      <c r="G209" s="307" t="n"/>
      <c r="H209" s="31" t="n"/>
      <c r="I209" s="31" t="n"/>
      <c r="J209" s="31" t="n"/>
      <c r="K209" s="31" t="n"/>
      <c r="L209" s="31" t="n"/>
      <c r="M209" s="31" t="n"/>
      <c r="N209" s="307" t="n"/>
      <c r="O209" s="307" t="n"/>
      <c r="P209" s="307" t="n"/>
      <c r="Q209" s="307" t="n"/>
      <c r="R209" s="307" t="n"/>
      <c r="S209" s="307" t="n"/>
      <c r="T209" s="307" t="n"/>
      <c r="U209" s="307" t="n"/>
      <c r="V209" s="307" t="n"/>
      <c r="W209" s="307" t="n"/>
      <c r="X209" s="307" t="n"/>
      <c r="Y209" s="307" t="n"/>
      <c r="Z209" s="307" t="n"/>
      <c r="AA209" s="307" t="n"/>
      <c r="AB209" s="307" t="n"/>
      <c r="AC209" s="307" t="n"/>
      <c r="AD209" s="307" t="n"/>
    </row>
    <row r="210" ht="15.75" customHeight="1" s="349">
      <c r="A210" s="307" t="n"/>
      <c r="B210" s="307" t="n"/>
      <c r="C210" s="307" t="n"/>
      <c r="D210" s="307" t="n"/>
      <c r="E210" s="307" t="n"/>
      <c r="F210" s="307" t="n"/>
      <c r="G210" s="307" t="n"/>
      <c r="H210" s="31" t="n"/>
      <c r="I210" s="31" t="n"/>
      <c r="J210" s="31" t="n"/>
      <c r="K210" s="31" t="n"/>
      <c r="L210" s="31" t="n"/>
      <c r="M210" s="31" t="n"/>
      <c r="N210" s="307" t="n"/>
      <c r="O210" s="307" t="n"/>
      <c r="P210" s="307" t="n"/>
      <c r="Q210" s="307" t="n"/>
      <c r="R210" s="307" t="n"/>
      <c r="S210" s="307" t="n"/>
      <c r="T210" s="307" t="n"/>
      <c r="U210" s="307" t="n"/>
      <c r="V210" s="307" t="n"/>
      <c r="W210" s="307" t="n"/>
      <c r="X210" s="307" t="n"/>
      <c r="Y210" s="307" t="n"/>
      <c r="Z210" s="307" t="n"/>
      <c r="AA210" s="307" t="n"/>
      <c r="AB210" s="307" t="n"/>
      <c r="AC210" s="307" t="n"/>
      <c r="AD210" s="307" t="n"/>
    </row>
    <row r="211" ht="15.75" customHeight="1" s="349">
      <c r="A211" s="307" t="n"/>
      <c r="B211" s="307" t="n"/>
      <c r="C211" s="307" t="n"/>
      <c r="D211" s="307" t="n"/>
      <c r="E211" s="307" t="n"/>
      <c r="F211" s="307" t="n"/>
      <c r="G211" s="307" t="n"/>
      <c r="H211" s="31" t="n"/>
      <c r="I211" s="31" t="n"/>
      <c r="J211" s="31" t="n"/>
      <c r="K211" s="31" t="n"/>
      <c r="L211" s="31" t="n"/>
      <c r="M211" s="31" t="n"/>
      <c r="N211" s="307" t="n"/>
      <c r="O211" s="307" t="n"/>
      <c r="P211" s="307" t="n"/>
      <c r="Q211" s="307" t="n"/>
      <c r="R211" s="307" t="n"/>
      <c r="S211" s="307" t="n"/>
      <c r="T211" s="307" t="n"/>
      <c r="U211" s="307" t="n"/>
      <c r="V211" s="307" t="n"/>
      <c r="W211" s="307" t="n"/>
      <c r="X211" s="307" t="n"/>
      <c r="Y211" s="307" t="n"/>
      <c r="Z211" s="307" t="n"/>
      <c r="AA211" s="307" t="n"/>
      <c r="AB211" s="307" t="n"/>
      <c r="AC211" s="307" t="n"/>
      <c r="AD211" s="307" t="n"/>
    </row>
    <row r="212" ht="15.75" customHeight="1" s="349">
      <c r="A212" s="307" t="n"/>
      <c r="B212" s="307" t="n"/>
      <c r="C212" s="307" t="n"/>
      <c r="D212" s="307" t="n"/>
      <c r="E212" s="307" t="n"/>
      <c r="F212" s="307" t="n"/>
      <c r="G212" s="307" t="n"/>
      <c r="H212" s="31" t="n"/>
      <c r="I212" s="31" t="n"/>
      <c r="J212" s="31" t="n"/>
      <c r="K212" s="31" t="n"/>
      <c r="L212" s="31" t="n"/>
      <c r="M212" s="31" t="n"/>
      <c r="N212" s="307" t="n"/>
      <c r="O212" s="307" t="n"/>
      <c r="P212" s="307" t="n"/>
      <c r="Q212" s="307" t="n"/>
      <c r="R212" s="307" t="n"/>
      <c r="S212" s="307" t="n"/>
      <c r="T212" s="307" t="n"/>
      <c r="U212" s="307" t="n"/>
      <c r="V212" s="307" t="n"/>
      <c r="W212" s="307" t="n"/>
      <c r="X212" s="307" t="n"/>
      <c r="Y212" s="307" t="n"/>
      <c r="Z212" s="307" t="n"/>
      <c r="AA212" s="307" t="n"/>
      <c r="AB212" s="307" t="n"/>
      <c r="AC212" s="307" t="n"/>
      <c r="AD212" s="307" t="n"/>
    </row>
    <row r="213" ht="15.75" customHeight="1" s="349">
      <c r="A213" s="307" t="n"/>
      <c r="B213" s="307" t="n"/>
      <c r="C213" s="307" t="n"/>
      <c r="D213" s="307" t="n"/>
      <c r="E213" s="307" t="n"/>
      <c r="F213" s="307" t="n"/>
      <c r="G213" s="307" t="n"/>
      <c r="H213" s="31" t="n"/>
      <c r="I213" s="31" t="n"/>
      <c r="J213" s="31" t="n"/>
      <c r="K213" s="31" t="n"/>
      <c r="L213" s="31" t="n"/>
      <c r="M213" s="31" t="n"/>
      <c r="N213" s="307" t="n"/>
      <c r="O213" s="307" t="n"/>
      <c r="P213" s="307" t="n"/>
      <c r="Q213" s="307" t="n"/>
      <c r="R213" s="307" t="n"/>
      <c r="S213" s="307" t="n"/>
      <c r="T213" s="307" t="n"/>
      <c r="U213" s="307" t="n"/>
      <c r="V213" s="307" t="n"/>
      <c r="W213" s="307" t="n"/>
      <c r="X213" s="307" t="n"/>
      <c r="Y213" s="307" t="n"/>
      <c r="Z213" s="307" t="n"/>
      <c r="AA213" s="307" t="n"/>
      <c r="AB213" s="307" t="n"/>
      <c r="AC213" s="307" t="n"/>
      <c r="AD213" s="307" t="n"/>
    </row>
    <row r="214" ht="15.75" customHeight="1" s="349">
      <c r="A214" s="307" t="n"/>
      <c r="B214" s="307" t="n"/>
      <c r="C214" s="307" t="n"/>
      <c r="D214" s="307" t="n"/>
      <c r="E214" s="307" t="n"/>
      <c r="F214" s="307" t="n"/>
      <c r="G214" s="307" t="n"/>
      <c r="H214" s="31" t="n"/>
      <c r="I214" s="31" t="n"/>
      <c r="J214" s="31" t="n"/>
      <c r="K214" s="31" t="n"/>
      <c r="L214" s="31" t="n"/>
      <c r="M214" s="31" t="n"/>
      <c r="N214" s="307" t="n"/>
      <c r="O214" s="307" t="n"/>
      <c r="P214" s="307" t="n"/>
      <c r="Q214" s="307" t="n"/>
      <c r="R214" s="307" t="n"/>
      <c r="S214" s="307" t="n"/>
      <c r="T214" s="307" t="n"/>
      <c r="U214" s="307" t="n"/>
      <c r="V214" s="307" t="n"/>
      <c r="W214" s="307" t="n"/>
      <c r="X214" s="307" t="n"/>
      <c r="Y214" s="307" t="n"/>
      <c r="Z214" s="307" t="n"/>
      <c r="AA214" s="307" t="n"/>
      <c r="AB214" s="307" t="n"/>
      <c r="AC214" s="307" t="n"/>
      <c r="AD214" s="307" t="n"/>
    </row>
    <row r="215" ht="15.75" customHeight="1" s="349">
      <c r="A215" s="307" t="n"/>
      <c r="B215" s="307" t="n"/>
      <c r="C215" s="307" t="n"/>
      <c r="D215" s="307" t="n"/>
      <c r="E215" s="307" t="n"/>
      <c r="F215" s="307" t="n"/>
      <c r="G215" s="307" t="n"/>
      <c r="H215" s="31" t="n"/>
      <c r="I215" s="31" t="n"/>
      <c r="J215" s="31" t="n"/>
      <c r="K215" s="31" t="n"/>
      <c r="L215" s="31" t="n"/>
      <c r="M215" s="31" t="n"/>
      <c r="N215" s="307" t="n"/>
      <c r="O215" s="307" t="n"/>
      <c r="P215" s="307" t="n"/>
      <c r="Q215" s="307" t="n"/>
      <c r="R215" s="307" t="n"/>
      <c r="S215" s="307" t="n"/>
      <c r="T215" s="307" t="n"/>
      <c r="U215" s="307" t="n"/>
      <c r="V215" s="307" t="n"/>
      <c r="W215" s="307" t="n"/>
      <c r="X215" s="307" t="n"/>
      <c r="Y215" s="307" t="n"/>
      <c r="Z215" s="307" t="n"/>
      <c r="AA215" s="307" t="n"/>
      <c r="AB215" s="307" t="n"/>
      <c r="AC215" s="307" t="n"/>
      <c r="AD215" s="307" t="n"/>
    </row>
    <row r="216" ht="15.75" customHeight="1" s="349">
      <c r="A216" s="307" t="n"/>
      <c r="B216" s="307" t="n"/>
      <c r="C216" s="307" t="n"/>
      <c r="D216" s="307" t="n"/>
      <c r="E216" s="307" t="n"/>
      <c r="F216" s="307" t="n"/>
      <c r="G216" s="307" t="n"/>
      <c r="H216" s="31" t="n"/>
      <c r="I216" s="31" t="n"/>
      <c r="J216" s="31" t="n"/>
      <c r="K216" s="31" t="n"/>
      <c r="L216" s="31" t="n"/>
      <c r="M216" s="31" t="n"/>
      <c r="N216" s="307" t="n"/>
      <c r="O216" s="307" t="n"/>
      <c r="P216" s="307" t="n"/>
      <c r="Q216" s="307" t="n"/>
      <c r="R216" s="307" t="n"/>
      <c r="S216" s="307" t="n"/>
      <c r="T216" s="307" t="n"/>
      <c r="U216" s="307" t="n"/>
      <c r="V216" s="307" t="n"/>
      <c r="W216" s="307" t="n"/>
      <c r="X216" s="307" t="n"/>
      <c r="Y216" s="307" t="n"/>
      <c r="Z216" s="307" t="n"/>
      <c r="AA216" s="307" t="n"/>
      <c r="AB216" s="307" t="n"/>
      <c r="AC216" s="307" t="n"/>
      <c r="AD216" s="307" t="n"/>
    </row>
    <row r="217" ht="15.75" customHeight="1" s="349">
      <c r="A217" s="307" t="n"/>
      <c r="B217" s="307" t="n"/>
      <c r="C217" s="307" t="n"/>
      <c r="D217" s="307" t="n"/>
      <c r="E217" s="307" t="n"/>
      <c r="F217" s="307" t="n"/>
      <c r="G217" s="307" t="n"/>
      <c r="H217" s="31" t="n"/>
      <c r="I217" s="31" t="n"/>
      <c r="J217" s="31" t="n"/>
      <c r="K217" s="31" t="n"/>
      <c r="L217" s="31" t="n"/>
      <c r="M217" s="31" t="n"/>
      <c r="N217" s="307" t="n"/>
      <c r="O217" s="307" t="n"/>
      <c r="P217" s="307" t="n"/>
      <c r="Q217" s="307" t="n"/>
      <c r="R217" s="307" t="n"/>
      <c r="S217" s="307" t="n"/>
      <c r="T217" s="307" t="n"/>
      <c r="U217" s="307" t="n"/>
      <c r="V217" s="307" t="n"/>
      <c r="W217" s="307" t="n"/>
      <c r="X217" s="307" t="n"/>
      <c r="Y217" s="307" t="n"/>
      <c r="Z217" s="307" t="n"/>
      <c r="AA217" s="307" t="n"/>
      <c r="AB217" s="307" t="n"/>
      <c r="AC217" s="307" t="n"/>
      <c r="AD217" s="307" t="n"/>
    </row>
    <row r="218" ht="15.75" customHeight="1" s="349">
      <c r="A218" s="307" t="n"/>
      <c r="B218" s="307" t="n"/>
      <c r="C218" s="307" t="n"/>
      <c r="D218" s="307" t="n"/>
      <c r="E218" s="307" t="n"/>
      <c r="F218" s="307" t="n"/>
      <c r="G218" s="307" t="n"/>
      <c r="H218" s="31" t="n"/>
      <c r="I218" s="31" t="n"/>
      <c r="J218" s="31" t="n"/>
      <c r="K218" s="31" t="n"/>
      <c r="L218" s="31" t="n"/>
      <c r="M218" s="31" t="n"/>
      <c r="N218" s="307" t="n"/>
      <c r="O218" s="307" t="n"/>
      <c r="P218" s="307" t="n"/>
      <c r="Q218" s="307" t="n"/>
      <c r="R218" s="307" t="n"/>
      <c r="S218" s="307" t="n"/>
      <c r="T218" s="307" t="n"/>
      <c r="U218" s="307" t="n"/>
      <c r="V218" s="307" t="n"/>
      <c r="W218" s="307" t="n"/>
      <c r="X218" s="307" t="n"/>
      <c r="Y218" s="307" t="n"/>
      <c r="Z218" s="307" t="n"/>
      <c r="AA218" s="307" t="n"/>
      <c r="AB218" s="307" t="n"/>
      <c r="AC218" s="307" t="n"/>
      <c r="AD218" s="307" t="n"/>
    </row>
    <row r="219" ht="15.75" customHeight="1" s="349">
      <c r="A219" s="307" t="n"/>
      <c r="B219" s="307" t="n"/>
      <c r="C219" s="307" t="n"/>
      <c r="D219" s="307" t="n"/>
      <c r="E219" s="307" t="n"/>
      <c r="F219" s="307" t="n"/>
      <c r="G219" s="307" t="n"/>
      <c r="H219" s="31" t="n"/>
      <c r="I219" s="31" t="n"/>
      <c r="J219" s="31" t="n"/>
      <c r="K219" s="31" t="n"/>
      <c r="L219" s="31" t="n"/>
      <c r="M219" s="31" t="n"/>
      <c r="N219" s="307" t="n"/>
      <c r="O219" s="307" t="n"/>
      <c r="P219" s="307" t="n"/>
      <c r="Q219" s="307" t="n"/>
      <c r="R219" s="307" t="n"/>
      <c r="S219" s="307" t="n"/>
      <c r="T219" s="307" t="n"/>
      <c r="U219" s="307" t="n"/>
      <c r="V219" s="307" t="n"/>
      <c r="W219" s="307" t="n"/>
      <c r="X219" s="307" t="n"/>
      <c r="Y219" s="307" t="n"/>
      <c r="Z219" s="307" t="n"/>
      <c r="AA219" s="307" t="n"/>
      <c r="AB219" s="307" t="n"/>
      <c r="AC219" s="307" t="n"/>
      <c r="AD219" s="307" t="n"/>
    </row>
    <row r="220" ht="15.75" customHeight="1" s="349">
      <c r="A220" s="307" t="n"/>
      <c r="B220" s="307" t="n"/>
      <c r="C220" s="307" t="n"/>
      <c r="D220" s="307" t="n"/>
      <c r="E220" s="307" t="n"/>
      <c r="F220" s="307" t="n"/>
      <c r="G220" s="307" t="n"/>
      <c r="H220" s="31" t="n"/>
      <c r="I220" s="31" t="n"/>
      <c r="J220" s="31" t="n"/>
      <c r="K220" s="31" t="n"/>
      <c r="L220" s="31" t="n"/>
      <c r="M220" s="31" t="n"/>
      <c r="N220" s="307" t="n"/>
      <c r="O220" s="307" t="n"/>
      <c r="P220" s="307" t="n"/>
      <c r="Q220" s="307" t="n"/>
      <c r="R220" s="307" t="n"/>
      <c r="S220" s="307" t="n"/>
      <c r="T220" s="307" t="n"/>
      <c r="U220" s="307" t="n"/>
      <c r="V220" s="307" t="n"/>
      <c r="W220" s="307" t="n"/>
      <c r="X220" s="307" t="n"/>
      <c r="Y220" s="307" t="n"/>
      <c r="Z220" s="307" t="n"/>
      <c r="AA220" s="307" t="n"/>
      <c r="AB220" s="307" t="n"/>
      <c r="AC220" s="307" t="n"/>
      <c r="AD220" s="307" t="n"/>
    </row>
    <row r="221" ht="15.75" customHeight="1" s="349">
      <c r="A221" s="307" t="n"/>
      <c r="B221" s="307" t="n"/>
      <c r="C221" s="307" t="n"/>
      <c r="D221" s="307" t="n"/>
      <c r="E221" s="307" t="n"/>
      <c r="F221" s="307" t="n"/>
      <c r="G221" s="307" t="n"/>
      <c r="H221" s="31" t="n"/>
      <c r="I221" s="31" t="n"/>
      <c r="J221" s="31" t="n"/>
      <c r="K221" s="31" t="n"/>
      <c r="L221" s="31" t="n"/>
      <c r="M221" s="31" t="n"/>
      <c r="N221" s="307" t="n"/>
      <c r="O221" s="307" t="n"/>
      <c r="P221" s="307" t="n"/>
      <c r="Q221" s="307" t="n"/>
      <c r="R221" s="307" t="n"/>
      <c r="S221" s="307" t="n"/>
      <c r="T221" s="307" t="n"/>
      <c r="U221" s="307" t="n"/>
      <c r="V221" s="307" t="n"/>
      <c r="W221" s="307" t="n"/>
      <c r="X221" s="307" t="n"/>
      <c r="Y221" s="307" t="n"/>
      <c r="Z221" s="307" t="n"/>
      <c r="AA221" s="307" t="n"/>
      <c r="AB221" s="307" t="n"/>
      <c r="AC221" s="307" t="n"/>
      <c r="AD221" s="307" t="n"/>
    </row>
    <row r="222" ht="15.75" customHeight="1" s="349">
      <c r="A222" s="307" t="n"/>
      <c r="B222" s="307" t="n"/>
      <c r="C222" s="307" t="n"/>
      <c r="D222" s="307" t="n"/>
      <c r="E222" s="307" t="n"/>
      <c r="F222" s="307" t="n"/>
      <c r="G222" s="307" t="n"/>
      <c r="H222" s="31" t="n"/>
      <c r="I222" s="31" t="n"/>
      <c r="J222" s="31" t="n"/>
      <c r="K222" s="31" t="n"/>
      <c r="L222" s="31" t="n"/>
      <c r="M222" s="31" t="n"/>
      <c r="N222" s="307" t="n"/>
      <c r="O222" s="307" t="n"/>
      <c r="P222" s="307" t="n"/>
      <c r="Q222" s="307" t="n"/>
      <c r="R222" s="307" t="n"/>
      <c r="S222" s="307" t="n"/>
      <c r="T222" s="307" t="n"/>
      <c r="U222" s="307" t="n"/>
      <c r="V222" s="307" t="n"/>
      <c r="W222" s="307" t="n"/>
      <c r="X222" s="307" t="n"/>
      <c r="Y222" s="307" t="n"/>
      <c r="Z222" s="307" t="n"/>
      <c r="AA222" s="307" t="n"/>
      <c r="AB222" s="307" t="n"/>
      <c r="AC222" s="307" t="n"/>
      <c r="AD222" s="307" t="n"/>
    </row>
    <row r="223" ht="15.75" customHeight="1" s="349">
      <c r="A223" s="307" t="n"/>
      <c r="B223" s="307" t="n"/>
      <c r="C223" s="307" t="n"/>
      <c r="D223" s="307" t="n"/>
      <c r="E223" s="307" t="n"/>
      <c r="F223" s="307" t="n"/>
      <c r="G223" s="307" t="n"/>
      <c r="H223" s="31" t="n"/>
      <c r="I223" s="31" t="n"/>
      <c r="J223" s="31" t="n"/>
      <c r="K223" s="31" t="n"/>
      <c r="L223" s="31" t="n"/>
      <c r="M223" s="31" t="n"/>
      <c r="N223" s="307" t="n"/>
      <c r="O223" s="307" t="n"/>
      <c r="P223" s="307" t="n"/>
      <c r="Q223" s="307" t="n"/>
      <c r="R223" s="307" t="n"/>
      <c r="S223" s="307" t="n"/>
      <c r="T223" s="307" t="n"/>
      <c r="U223" s="307" t="n"/>
      <c r="V223" s="307" t="n"/>
      <c r="W223" s="307" t="n"/>
      <c r="X223" s="307" t="n"/>
      <c r="Y223" s="307" t="n"/>
      <c r="Z223" s="307" t="n"/>
      <c r="AA223" s="307" t="n"/>
      <c r="AB223" s="307" t="n"/>
      <c r="AC223" s="307" t="n"/>
      <c r="AD223" s="307" t="n"/>
    </row>
    <row r="224" ht="15.75" customHeight="1" s="349">
      <c r="A224" s="307" t="n"/>
      <c r="B224" s="307" t="n"/>
      <c r="C224" s="307" t="n"/>
      <c r="D224" s="307" t="n"/>
      <c r="E224" s="307" t="n"/>
      <c r="F224" s="307" t="n"/>
      <c r="G224" s="307" t="n"/>
      <c r="H224" s="31" t="n"/>
      <c r="I224" s="31" t="n"/>
      <c r="J224" s="31" t="n"/>
      <c r="K224" s="31" t="n"/>
      <c r="L224" s="31" t="n"/>
      <c r="M224" s="31" t="n"/>
      <c r="N224" s="307" t="n"/>
      <c r="O224" s="307" t="n"/>
      <c r="P224" s="307" t="n"/>
      <c r="Q224" s="307" t="n"/>
      <c r="R224" s="307" t="n"/>
      <c r="S224" s="307" t="n"/>
      <c r="T224" s="307" t="n"/>
      <c r="U224" s="307" t="n"/>
      <c r="V224" s="307" t="n"/>
      <c r="W224" s="307" t="n"/>
      <c r="X224" s="307" t="n"/>
      <c r="Y224" s="307" t="n"/>
      <c r="Z224" s="307" t="n"/>
      <c r="AA224" s="307" t="n"/>
      <c r="AB224" s="307" t="n"/>
      <c r="AC224" s="307" t="n"/>
      <c r="AD224" s="307" t="n"/>
    </row>
    <row r="225" ht="15.75" customHeight="1" s="349">
      <c r="A225" s="307" t="n"/>
      <c r="B225" s="307" t="n"/>
      <c r="C225" s="307" t="n"/>
      <c r="D225" s="307" t="n"/>
      <c r="E225" s="307" t="n"/>
      <c r="F225" s="307" t="n"/>
      <c r="G225" s="307" t="n"/>
      <c r="H225" s="31" t="n"/>
      <c r="I225" s="31" t="n"/>
      <c r="J225" s="31" t="n"/>
      <c r="K225" s="31" t="n"/>
      <c r="L225" s="31" t="n"/>
      <c r="M225" s="31" t="n"/>
      <c r="N225" s="307" t="n"/>
      <c r="O225" s="307" t="n"/>
      <c r="P225" s="307" t="n"/>
      <c r="Q225" s="307" t="n"/>
      <c r="R225" s="307" t="n"/>
      <c r="S225" s="307" t="n"/>
      <c r="T225" s="307" t="n"/>
      <c r="U225" s="307" t="n"/>
      <c r="V225" s="307" t="n"/>
      <c r="W225" s="307" t="n"/>
      <c r="X225" s="307" t="n"/>
      <c r="Y225" s="307" t="n"/>
      <c r="Z225" s="307" t="n"/>
      <c r="AA225" s="307" t="n"/>
      <c r="AB225" s="307" t="n"/>
      <c r="AC225" s="307" t="n"/>
      <c r="AD225" s="307" t="n"/>
    </row>
    <row r="226" ht="15.75" customHeight="1" s="349">
      <c r="A226" s="307" t="n"/>
      <c r="B226" s="307" t="n"/>
      <c r="C226" s="307" t="n"/>
      <c r="D226" s="307" t="n"/>
      <c r="E226" s="307" t="n"/>
      <c r="F226" s="307" t="n"/>
      <c r="G226" s="307" t="n"/>
      <c r="H226" s="31" t="n"/>
      <c r="I226" s="31" t="n"/>
      <c r="J226" s="31" t="n"/>
      <c r="K226" s="31" t="n"/>
      <c r="L226" s="31" t="n"/>
      <c r="M226" s="31" t="n"/>
      <c r="N226" s="307" t="n"/>
      <c r="O226" s="307" t="n"/>
      <c r="P226" s="307" t="n"/>
      <c r="Q226" s="307" t="n"/>
      <c r="R226" s="307" t="n"/>
      <c r="S226" s="307" t="n"/>
      <c r="T226" s="307" t="n"/>
      <c r="U226" s="307" t="n"/>
      <c r="V226" s="307" t="n"/>
      <c r="W226" s="307" t="n"/>
      <c r="X226" s="307" t="n"/>
      <c r="Y226" s="307" t="n"/>
      <c r="Z226" s="307" t="n"/>
      <c r="AA226" s="307" t="n"/>
      <c r="AB226" s="307" t="n"/>
      <c r="AC226" s="307" t="n"/>
      <c r="AD226" s="307" t="n"/>
    </row>
    <row r="227" ht="15.75" customHeight="1" s="349">
      <c r="A227" s="307" t="n"/>
      <c r="B227" s="307" t="n"/>
      <c r="C227" s="307" t="n"/>
      <c r="D227" s="307" t="n"/>
      <c r="E227" s="307" t="n"/>
      <c r="F227" s="307" t="n"/>
      <c r="G227" s="307" t="n"/>
      <c r="H227" s="31" t="n"/>
      <c r="I227" s="31" t="n"/>
      <c r="J227" s="31" t="n"/>
      <c r="K227" s="31" t="n"/>
      <c r="L227" s="31" t="n"/>
      <c r="M227" s="31" t="n"/>
      <c r="N227" s="307" t="n"/>
      <c r="O227" s="307" t="n"/>
      <c r="P227" s="307" t="n"/>
      <c r="Q227" s="307" t="n"/>
      <c r="R227" s="307" t="n"/>
      <c r="S227" s="307" t="n"/>
      <c r="T227" s="307" t="n"/>
      <c r="U227" s="307" t="n"/>
      <c r="V227" s="307" t="n"/>
      <c r="W227" s="307" t="n"/>
      <c r="X227" s="307" t="n"/>
      <c r="Y227" s="307" t="n"/>
      <c r="Z227" s="307" t="n"/>
      <c r="AA227" s="307" t="n"/>
      <c r="AB227" s="307" t="n"/>
      <c r="AC227" s="307" t="n"/>
      <c r="AD227" s="307" t="n"/>
    </row>
    <row r="228" ht="15.75" customHeight="1" s="349">
      <c r="A228" s="307" t="n"/>
      <c r="B228" s="307" t="n"/>
      <c r="C228" s="307" t="n"/>
      <c r="D228" s="307" t="n"/>
      <c r="E228" s="307" t="n"/>
      <c r="F228" s="307" t="n"/>
      <c r="G228" s="307" t="n"/>
      <c r="H228" s="31" t="n"/>
      <c r="I228" s="31" t="n"/>
      <c r="J228" s="31" t="n"/>
      <c r="K228" s="31" t="n"/>
      <c r="L228" s="31" t="n"/>
      <c r="M228" s="31" t="n"/>
      <c r="N228" s="307" t="n"/>
      <c r="O228" s="307" t="n"/>
      <c r="P228" s="307" t="n"/>
      <c r="Q228" s="307" t="n"/>
      <c r="R228" s="307" t="n"/>
      <c r="S228" s="307" t="n"/>
      <c r="T228" s="307" t="n"/>
      <c r="U228" s="307" t="n"/>
      <c r="V228" s="307" t="n"/>
      <c r="W228" s="307" t="n"/>
      <c r="X228" s="307" t="n"/>
      <c r="Y228" s="307" t="n"/>
      <c r="Z228" s="307" t="n"/>
      <c r="AA228" s="307" t="n"/>
      <c r="AB228" s="307" t="n"/>
      <c r="AC228" s="307" t="n"/>
      <c r="AD228" s="307" t="n"/>
    </row>
    <row r="229" ht="15.75" customHeight="1" s="349">
      <c r="A229" s="307" t="n"/>
      <c r="B229" s="307" t="n"/>
      <c r="C229" s="307" t="n"/>
      <c r="D229" s="307" t="n"/>
      <c r="E229" s="307" t="n"/>
      <c r="F229" s="307" t="n"/>
      <c r="G229" s="307" t="n"/>
      <c r="H229" s="31" t="n"/>
      <c r="I229" s="31" t="n"/>
      <c r="J229" s="31" t="n"/>
      <c r="K229" s="31" t="n"/>
      <c r="L229" s="31" t="n"/>
      <c r="M229" s="31" t="n"/>
      <c r="N229" s="307" t="n"/>
      <c r="O229" s="307" t="n"/>
      <c r="P229" s="307" t="n"/>
      <c r="Q229" s="307" t="n"/>
      <c r="R229" s="307" t="n"/>
      <c r="S229" s="307" t="n"/>
      <c r="T229" s="307" t="n"/>
      <c r="U229" s="307" t="n"/>
      <c r="V229" s="307" t="n"/>
      <c r="W229" s="307" t="n"/>
      <c r="X229" s="307" t="n"/>
      <c r="Y229" s="307" t="n"/>
      <c r="Z229" s="307" t="n"/>
      <c r="AA229" s="307" t="n"/>
      <c r="AB229" s="307" t="n"/>
      <c r="AC229" s="307" t="n"/>
      <c r="AD229" s="307" t="n"/>
    </row>
    <row r="230" ht="15.75" customHeight="1" s="349">
      <c r="A230" s="307" t="n"/>
      <c r="B230" s="307" t="n"/>
      <c r="C230" s="307" t="n"/>
      <c r="D230" s="307" t="n"/>
      <c r="E230" s="307" t="n"/>
      <c r="F230" s="307" t="n"/>
      <c r="G230" s="307" t="n"/>
      <c r="H230" s="31" t="n"/>
      <c r="I230" s="31" t="n"/>
      <c r="J230" s="31" t="n"/>
      <c r="K230" s="31" t="n"/>
      <c r="L230" s="31" t="n"/>
      <c r="M230" s="31" t="n"/>
      <c r="N230" s="307" t="n"/>
      <c r="O230" s="307" t="n"/>
      <c r="P230" s="307" t="n"/>
      <c r="Q230" s="307" t="n"/>
      <c r="R230" s="307" t="n"/>
      <c r="S230" s="307" t="n"/>
      <c r="T230" s="307" t="n"/>
      <c r="U230" s="307" t="n"/>
      <c r="V230" s="307" t="n"/>
      <c r="W230" s="307" t="n"/>
      <c r="X230" s="307" t="n"/>
      <c r="Y230" s="307" t="n"/>
      <c r="Z230" s="307" t="n"/>
      <c r="AA230" s="307" t="n"/>
      <c r="AB230" s="307" t="n"/>
      <c r="AC230" s="307" t="n"/>
      <c r="AD230" s="307" t="n"/>
    </row>
    <row r="231" ht="15.75" customHeight="1" s="349">
      <c r="A231" s="307" t="n"/>
      <c r="B231" s="307" t="n"/>
      <c r="C231" s="307" t="n"/>
      <c r="D231" s="307" t="n"/>
      <c r="E231" s="307" t="n"/>
      <c r="F231" s="307" t="n"/>
      <c r="G231" s="307" t="n"/>
      <c r="H231" s="31" t="n"/>
      <c r="I231" s="31" t="n"/>
      <c r="J231" s="31" t="n"/>
      <c r="K231" s="31" t="n"/>
      <c r="L231" s="31" t="n"/>
      <c r="M231" s="31" t="n"/>
      <c r="N231" s="307" t="n"/>
      <c r="O231" s="307" t="n"/>
      <c r="P231" s="307" t="n"/>
      <c r="Q231" s="307" t="n"/>
      <c r="R231" s="307" t="n"/>
      <c r="S231" s="307" t="n"/>
      <c r="T231" s="307" t="n"/>
      <c r="U231" s="307" t="n"/>
      <c r="V231" s="307" t="n"/>
      <c r="W231" s="307" t="n"/>
      <c r="X231" s="307" t="n"/>
      <c r="Y231" s="307" t="n"/>
      <c r="Z231" s="307" t="n"/>
      <c r="AA231" s="307" t="n"/>
      <c r="AB231" s="307" t="n"/>
      <c r="AC231" s="307" t="n"/>
      <c r="AD231" s="307" t="n"/>
    </row>
    <row r="232" ht="15.75" customHeight="1" s="349">
      <c r="A232" s="307" t="n"/>
      <c r="B232" s="307" t="n"/>
      <c r="C232" s="307" t="n"/>
      <c r="D232" s="307" t="n"/>
      <c r="E232" s="307" t="n"/>
      <c r="F232" s="307" t="n"/>
      <c r="G232" s="307" t="n"/>
      <c r="H232" s="31" t="n"/>
      <c r="I232" s="31" t="n"/>
      <c r="J232" s="31" t="n"/>
      <c r="K232" s="31" t="n"/>
      <c r="L232" s="31" t="n"/>
      <c r="M232" s="31" t="n"/>
      <c r="N232" s="307" t="n"/>
      <c r="O232" s="307" t="n"/>
      <c r="P232" s="307" t="n"/>
      <c r="Q232" s="307" t="n"/>
      <c r="R232" s="307" t="n"/>
      <c r="S232" s="307" t="n"/>
      <c r="T232" s="307" t="n"/>
      <c r="U232" s="307" t="n"/>
      <c r="V232" s="307" t="n"/>
      <c r="W232" s="307" t="n"/>
      <c r="X232" s="307" t="n"/>
      <c r="Y232" s="307" t="n"/>
      <c r="Z232" s="307" t="n"/>
      <c r="AA232" s="307" t="n"/>
      <c r="AB232" s="307" t="n"/>
      <c r="AC232" s="307" t="n"/>
      <c r="AD232" s="307" t="n"/>
    </row>
    <row r="233" ht="15.75" customHeight="1" s="349">
      <c r="A233" s="307" t="n"/>
      <c r="B233" s="307" t="n"/>
      <c r="C233" s="307" t="n"/>
      <c r="D233" s="307" t="n"/>
      <c r="E233" s="307" t="n"/>
      <c r="F233" s="307" t="n"/>
      <c r="G233" s="307" t="n"/>
      <c r="H233" s="31" t="n"/>
      <c r="I233" s="31" t="n"/>
      <c r="J233" s="31" t="n"/>
      <c r="K233" s="31" t="n"/>
      <c r="L233" s="31" t="n"/>
      <c r="M233" s="31" t="n"/>
      <c r="N233" s="307" t="n"/>
      <c r="O233" s="307" t="n"/>
      <c r="P233" s="307" t="n"/>
      <c r="Q233" s="307" t="n"/>
      <c r="R233" s="307" t="n"/>
      <c r="S233" s="307" t="n"/>
      <c r="T233" s="307" t="n"/>
      <c r="U233" s="307" t="n"/>
      <c r="V233" s="307" t="n"/>
      <c r="W233" s="307" t="n"/>
      <c r="X233" s="307" t="n"/>
      <c r="Y233" s="307" t="n"/>
      <c r="Z233" s="307" t="n"/>
      <c r="AA233" s="307" t="n"/>
      <c r="AB233" s="307" t="n"/>
      <c r="AC233" s="307" t="n"/>
      <c r="AD233" s="307" t="n"/>
    </row>
    <row r="234" ht="15.75" customHeight="1" s="349">
      <c r="A234" s="307" t="n"/>
      <c r="B234" s="307" t="n"/>
      <c r="C234" s="307" t="n"/>
      <c r="D234" s="307" t="n"/>
      <c r="E234" s="307" t="n"/>
      <c r="F234" s="307" t="n"/>
      <c r="G234" s="307" t="n"/>
      <c r="H234" s="31" t="n"/>
      <c r="I234" s="31" t="n"/>
      <c r="J234" s="31" t="n"/>
      <c r="K234" s="31" t="n"/>
      <c r="L234" s="31" t="n"/>
      <c r="M234" s="31" t="n"/>
      <c r="N234" s="307" t="n"/>
      <c r="O234" s="307" t="n"/>
      <c r="P234" s="307" t="n"/>
      <c r="Q234" s="307" t="n"/>
      <c r="R234" s="307" t="n"/>
      <c r="S234" s="307" t="n"/>
      <c r="T234" s="307" t="n"/>
      <c r="U234" s="307" t="n"/>
      <c r="V234" s="307" t="n"/>
      <c r="W234" s="307" t="n"/>
      <c r="X234" s="307" t="n"/>
      <c r="Y234" s="307" t="n"/>
      <c r="Z234" s="307" t="n"/>
      <c r="AA234" s="307" t="n"/>
      <c r="AB234" s="307" t="n"/>
      <c r="AC234" s="307" t="n"/>
      <c r="AD234" s="307" t="n"/>
    </row>
    <row r="235" ht="15.75" customHeight="1" s="349">
      <c r="A235" s="307" t="n"/>
      <c r="B235" s="307" t="n"/>
      <c r="C235" s="307" t="n"/>
      <c r="D235" s="307" t="n"/>
      <c r="E235" s="307" t="n"/>
      <c r="F235" s="307" t="n"/>
      <c r="G235" s="307" t="n"/>
      <c r="H235" s="31" t="n"/>
      <c r="I235" s="31" t="n"/>
      <c r="J235" s="31" t="n"/>
      <c r="K235" s="31" t="n"/>
      <c r="L235" s="31" t="n"/>
      <c r="M235" s="31" t="n"/>
      <c r="N235" s="307" t="n"/>
      <c r="O235" s="307" t="n"/>
      <c r="P235" s="307" t="n"/>
      <c r="Q235" s="307" t="n"/>
      <c r="R235" s="307" t="n"/>
      <c r="S235" s="307" t="n"/>
      <c r="T235" s="307" t="n"/>
      <c r="U235" s="307" t="n"/>
      <c r="V235" s="307" t="n"/>
      <c r="W235" s="307" t="n"/>
      <c r="X235" s="307" t="n"/>
      <c r="Y235" s="307" t="n"/>
      <c r="Z235" s="307" t="n"/>
      <c r="AA235" s="307" t="n"/>
      <c r="AB235" s="307" t="n"/>
      <c r="AC235" s="307" t="n"/>
      <c r="AD235" s="307" t="n"/>
    </row>
    <row r="236" ht="15.75" customHeight="1" s="349">
      <c r="A236" s="307" t="n"/>
      <c r="B236" s="307" t="n"/>
      <c r="C236" s="307" t="n"/>
      <c r="D236" s="307" t="n"/>
      <c r="E236" s="307" t="n"/>
      <c r="F236" s="307" t="n"/>
      <c r="G236" s="307" t="n"/>
      <c r="H236" s="31" t="n"/>
      <c r="I236" s="31" t="n"/>
      <c r="J236" s="31" t="n"/>
      <c r="K236" s="31" t="n"/>
      <c r="L236" s="31" t="n"/>
      <c r="M236" s="31" t="n"/>
      <c r="N236" s="307" t="n"/>
      <c r="O236" s="307" t="n"/>
      <c r="P236" s="307" t="n"/>
      <c r="Q236" s="307" t="n"/>
      <c r="R236" s="307" t="n"/>
      <c r="S236" s="307" t="n"/>
      <c r="T236" s="307" t="n"/>
      <c r="U236" s="307" t="n"/>
      <c r="V236" s="307" t="n"/>
      <c r="W236" s="307" t="n"/>
      <c r="X236" s="307" t="n"/>
      <c r="Y236" s="307" t="n"/>
      <c r="Z236" s="307" t="n"/>
      <c r="AA236" s="307" t="n"/>
      <c r="AB236" s="307" t="n"/>
      <c r="AC236" s="307" t="n"/>
      <c r="AD236" s="307" t="n"/>
    </row>
    <row r="237" ht="15.75" customHeight="1" s="349">
      <c r="A237" s="307" t="n"/>
      <c r="B237" s="307" t="n"/>
      <c r="C237" s="307" t="n"/>
      <c r="D237" s="307" t="n"/>
      <c r="E237" s="307" t="n"/>
      <c r="F237" s="307" t="n"/>
      <c r="G237" s="307" t="n"/>
      <c r="H237" s="31" t="n"/>
      <c r="I237" s="31" t="n"/>
      <c r="J237" s="31" t="n"/>
      <c r="K237" s="31" t="n"/>
      <c r="L237" s="31" t="n"/>
      <c r="M237" s="31" t="n"/>
      <c r="N237" s="307" t="n"/>
      <c r="O237" s="307" t="n"/>
      <c r="P237" s="307" t="n"/>
      <c r="Q237" s="307" t="n"/>
      <c r="R237" s="307" t="n"/>
      <c r="S237" s="307" t="n"/>
      <c r="T237" s="307" t="n"/>
      <c r="U237" s="307" t="n"/>
      <c r="V237" s="307" t="n"/>
      <c r="W237" s="307" t="n"/>
      <c r="X237" s="307" t="n"/>
      <c r="Y237" s="307" t="n"/>
      <c r="Z237" s="307" t="n"/>
      <c r="AA237" s="307" t="n"/>
      <c r="AB237" s="307" t="n"/>
      <c r="AC237" s="307" t="n"/>
      <c r="AD237" s="307" t="n"/>
    </row>
    <row r="238" ht="15.75" customHeight="1" s="349">
      <c r="A238" s="307" t="n"/>
      <c r="B238" s="307" t="n"/>
      <c r="C238" s="307" t="n"/>
      <c r="D238" s="307" t="n"/>
      <c r="E238" s="307" t="n"/>
      <c r="F238" s="307" t="n"/>
      <c r="G238" s="307" t="n"/>
      <c r="H238" s="31" t="n"/>
      <c r="I238" s="31" t="n"/>
      <c r="J238" s="31" t="n"/>
      <c r="K238" s="31" t="n"/>
      <c r="L238" s="31" t="n"/>
      <c r="M238" s="31" t="n"/>
      <c r="N238" s="307" t="n"/>
      <c r="O238" s="307" t="n"/>
      <c r="P238" s="307" t="n"/>
      <c r="Q238" s="307" t="n"/>
      <c r="R238" s="307" t="n"/>
      <c r="S238" s="307" t="n"/>
      <c r="T238" s="307" t="n"/>
      <c r="U238" s="307" t="n"/>
      <c r="V238" s="307" t="n"/>
      <c r="W238" s="307" t="n"/>
      <c r="X238" s="307" t="n"/>
      <c r="Y238" s="307" t="n"/>
      <c r="Z238" s="307" t="n"/>
      <c r="AA238" s="307" t="n"/>
      <c r="AB238" s="307" t="n"/>
      <c r="AC238" s="307" t="n"/>
      <c r="AD238" s="307" t="n"/>
    </row>
    <row r="239" ht="15.75" customHeight="1" s="349">
      <c r="A239" s="307" t="n"/>
      <c r="B239" s="307" t="n"/>
      <c r="C239" s="307" t="n"/>
      <c r="D239" s="307" t="n"/>
      <c r="E239" s="307" t="n"/>
      <c r="F239" s="307" t="n"/>
      <c r="G239" s="307" t="n"/>
      <c r="H239" s="31" t="n"/>
      <c r="I239" s="31" t="n"/>
      <c r="J239" s="31" t="n"/>
      <c r="K239" s="31" t="n"/>
      <c r="L239" s="31" t="n"/>
      <c r="M239" s="31" t="n"/>
      <c r="N239" s="307" t="n"/>
      <c r="O239" s="307" t="n"/>
      <c r="P239" s="307" t="n"/>
      <c r="Q239" s="307" t="n"/>
      <c r="R239" s="307" t="n"/>
      <c r="S239" s="307" t="n"/>
      <c r="T239" s="307" t="n"/>
      <c r="U239" s="307" t="n"/>
      <c r="V239" s="307" t="n"/>
      <c r="W239" s="307" t="n"/>
      <c r="X239" s="307" t="n"/>
      <c r="Y239" s="307" t="n"/>
      <c r="Z239" s="307" t="n"/>
      <c r="AA239" s="307" t="n"/>
      <c r="AB239" s="307" t="n"/>
      <c r="AC239" s="307" t="n"/>
      <c r="AD239" s="307" t="n"/>
    </row>
    <row r="240" ht="15.75" customHeight="1" s="349">
      <c r="A240" s="307" t="n"/>
      <c r="B240" s="307" t="n"/>
      <c r="C240" s="307" t="n"/>
      <c r="D240" s="307" t="n"/>
      <c r="E240" s="307" t="n"/>
      <c r="F240" s="307" t="n"/>
      <c r="G240" s="307" t="n"/>
      <c r="H240" s="31" t="n"/>
      <c r="I240" s="31" t="n"/>
      <c r="J240" s="31" t="n"/>
      <c r="K240" s="31" t="n"/>
      <c r="L240" s="31" t="n"/>
      <c r="M240" s="31" t="n"/>
      <c r="N240" s="307" t="n"/>
      <c r="O240" s="307" t="n"/>
      <c r="P240" s="307" t="n"/>
      <c r="Q240" s="307" t="n"/>
      <c r="R240" s="307" t="n"/>
      <c r="S240" s="307" t="n"/>
      <c r="T240" s="307" t="n"/>
      <c r="U240" s="307" t="n"/>
      <c r="V240" s="307" t="n"/>
      <c r="W240" s="307" t="n"/>
      <c r="X240" s="307" t="n"/>
      <c r="Y240" s="307" t="n"/>
      <c r="Z240" s="307" t="n"/>
      <c r="AA240" s="307" t="n"/>
      <c r="AB240" s="307" t="n"/>
      <c r="AC240" s="307" t="n"/>
      <c r="AD240" s="307" t="n"/>
    </row>
    <row r="241" ht="15.75" customHeight="1" s="349">
      <c r="A241" s="307" t="n"/>
      <c r="B241" s="307" t="n"/>
      <c r="C241" s="307" t="n"/>
      <c r="D241" s="307" t="n"/>
      <c r="E241" s="307" t="n"/>
      <c r="F241" s="307" t="n"/>
      <c r="G241" s="307" t="n"/>
      <c r="H241" s="31" t="n"/>
      <c r="I241" s="31" t="n"/>
      <c r="J241" s="31" t="n"/>
      <c r="K241" s="31" t="n"/>
      <c r="L241" s="31" t="n"/>
      <c r="M241" s="31" t="n"/>
      <c r="N241" s="307" t="n"/>
      <c r="O241" s="307" t="n"/>
      <c r="P241" s="307" t="n"/>
      <c r="Q241" s="307" t="n"/>
      <c r="R241" s="307" t="n"/>
      <c r="S241" s="307" t="n"/>
      <c r="T241" s="307" t="n"/>
      <c r="U241" s="307" t="n"/>
      <c r="V241" s="307" t="n"/>
      <c r="W241" s="307" t="n"/>
      <c r="X241" s="307" t="n"/>
      <c r="Y241" s="307" t="n"/>
      <c r="Z241" s="307" t="n"/>
      <c r="AA241" s="307" t="n"/>
      <c r="AB241" s="307" t="n"/>
      <c r="AC241" s="307" t="n"/>
      <c r="AD241" s="307" t="n"/>
    </row>
    <row r="242" ht="15.75" customHeight="1" s="349">
      <c r="A242" s="307" t="n"/>
      <c r="B242" s="307" t="n"/>
      <c r="C242" s="307" t="n"/>
      <c r="D242" s="307" t="n"/>
      <c r="E242" s="307" t="n"/>
      <c r="F242" s="307" t="n"/>
      <c r="G242" s="307" t="n"/>
      <c r="H242" s="31" t="n"/>
      <c r="I242" s="31" t="n"/>
      <c r="J242" s="31" t="n"/>
      <c r="K242" s="31" t="n"/>
      <c r="L242" s="31" t="n"/>
      <c r="M242" s="31" t="n"/>
      <c r="N242" s="307" t="n"/>
      <c r="O242" s="307" t="n"/>
      <c r="P242" s="307" t="n"/>
      <c r="Q242" s="307" t="n"/>
      <c r="R242" s="307" t="n"/>
      <c r="S242" s="307" t="n"/>
      <c r="T242" s="307" t="n"/>
      <c r="U242" s="307" t="n"/>
      <c r="V242" s="307" t="n"/>
      <c r="W242" s="307" t="n"/>
      <c r="X242" s="307" t="n"/>
      <c r="Y242" s="307" t="n"/>
      <c r="Z242" s="307" t="n"/>
      <c r="AA242" s="307" t="n"/>
      <c r="AB242" s="307" t="n"/>
      <c r="AC242" s="307" t="n"/>
      <c r="AD242" s="307" t="n"/>
    </row>
    <row r="243" ht="15.75" customHeight="1" s="349">
      <c r="A243" s="307" t="n"/>
      <c r="B243" s="307" t="n"/>
      <c r="C243" s="307" t="n"/>
      <c r="D243" s="307" t="n"/>
      <c r="E243" s="307" t="n"/>
      <c r="F243" s="307" t="n"/>
      <c r="G243" s="307" t="n"/>
      <c r="H243" s="31" t="n"/>
      <c r="I243" s="31" t="n"/>
      <c r="J243" s="31" t="n"/>
      <c r="K243" s="31" t="n"/>
      <c r="L243" s="31" t="n"/>
      <c r="M243" s="31" t="n"/>
      <c r="N243" s="307" t="n"/>
      <c r="O243" s="307" t="n"/>
      <c r="P243" s="307" t="n"/>
      <c r="Q243" s="307" t="n"/>
      <c r="R243" s="307" t="n"/>
      <c r="S243" s="307" t="n"/>
      <c r="T243" s="307" t="n"/>
      <c r="U243" s="307" t="n"/>
      <c r="V243" s="307" t="n"/>
      <c r="W243" s="307" t="n"/>
      <c r="X243" s="307" t="n"/>
      <c r="Y243" s="307" t="n"/>
      <c r="Z243" s="307" t="n"/>
      <c r="AA243" s="307" t="n"/>
      <c r="AB243" s="307" t="n"/>
      <c r="AC243" s="307" t="n"/>
      <c r="AD243" s="307" t="n"/>
    </row>
    <row r="244" ht="15.75" customHeight="1" s="349">
      <c r="A244" s="307" t="n"/>
      <c r="B244" s="307" t="n"/>
      <c r="C244" s="307" t="n"/>
      <c r="D244" s="307" t="n"/>
      <c r="E244" s="307" t="n"/>
      <c r="F244" s="307" t="n"/>
      <c r="G244" s="307" t="n"/>
      <c r="H244" s="31" t="n"/>
      <c r="I244" s="31" t="n"/>
      <c r="J244" s="31" t="n"/>
      <c r="K244" s="31" t="n"/>
      <c r="L244" s="31" t="n"/>
      <c r="M244" s="31" t="n"/>
      <c r="N244" s="307" t="n"/>
      <c r="O244" s="307" t="n"/>
      <c r="P244" s="307" t="n"/>
      <c r="Q244" s="307" t="n"/>
      <c r="R244" s="307" t="n"/>
      <c r="S244" s="307" t="n"/>
      <c r="T244" s="307" t="n"/>
      <c r="U244" s="307" t="n"/>
      <c r="V244" s="307" t="n"/>
      <c r="W244" s="307" t="n"/>
      <c r="X244" s="307" t="n"/>
      <c r="Y244" s="307" t="n"/>
      <c r="Z244" s="307" t="n"/>
      <c r="AA244" s="307" t="n"/>
      <c r="AB244" s="307" t="n"/>
      <c r="AC244" s="307" t="n"/>
      <c r="AD244" s="307" t="n"/>
    </row>
    <row r="245" ht="15.75" customHeight="1" s="349">
      <c r="A245" s="307" t="n"/>
      <c r="B245" s="307" t="n"/>
      <c r="C245" s="307" t="n"/>
      <c r="D245" s="307" t="n"/>
      <c r="E245" s="307" t="n"/>
      <c r="F245" s="307" t="n"/>
      <c r="G245" s="307" t="n"/>
      <c r="H245" s="31" t="n"/>
      <c r="I245" s="31" t="n"/>
      <c r="J245" s="31" t="n"/>
      <c r="K245" s="31" t="n"/>
      <c r="L245" s="31" t="n"/>
      <c r="M245" s="31" t="n"/>
      <c r="N245" s="307" t="n"/>
      <c r="O245" s="307" t="n"/>
      <c r="P245" s="307" t="n"/>
      <c r="Q245" s="307" t="n"/>
      <c r="R245" s="307" t="n"/>
      <c r="S245" s="307" t="n"/>
      <c r="T245" s="307" t="n"/>
      <c r="U245" s="307" t="n"/>
      <c r="V245" s="307" t="n"/>
      <c r="W245" s="307" t="n"/>
      <c r="X245" s="307" t="n"/>
      <c r="Y245" s="307" t="n"/>
      <c r="Z245" s="307" t="n"/>
      <c r="AA245" s="307" t="n"/>
      <c r="AB245" s="307" t="n"/>
      <c r="AC245" s="307" t="n"/>
      <c r="AD245" s="307" t="n"/>
    </row>
    <row r="246" ht="15.75" customHeight="1" s="349">
      <c r="A246" s="307" t="n"/>
      <c r="B246" s="307" t="n"/>
      <c r="C246" s="307" t="n"/>
      <c r="D246" s="307" t="n"/>
      <c r="E246" s="307" t="n"/>
      <c r="F246" s="307" t="n"/>
      <c r="G246" s="307" t="n"/>
      <c r="H246" s="31" t="n"/>
      <c r="I246" s="31" t="n"/>
      <c r="J246" s="31" t="n"/>
      <c r="K246" s="31" t="n"/>
      <c r="L246" s="31" t="n"/>
      <c r="M246" s="31" t="n"/>
      <c r="N246" s="307" t="n"/>
      <c r="O246" s="307" t="n"/>
      <c r="P246" s="307" t="n"/>
      <c r="Q246" s="307" t="n"/>
      <c r="R246" s="307" t="n"/>
      <c r="S246" s="307" t="n"/>
      <c r="T246" s="307" t="n"/>
      <c r="U246" s="307" t="n"/>
      <c r="V246" s="307" t="n"/>
      <c r="W246" s="307" t="n"/>
      <c r="X246" s="307" t="n"/>
      <c r="Y246" s="307" t="n"/>
      <c r="Z246" s="307" t="n"/>
      <c r="AA246" s="307" t="n"/>
      <c r="AB246" s="307" t="n"/>
      <c r="AC246" s="307" t="n"/>
      <c r="AD246" s="307" t="n"/>
    </row>
    <row r="247" ht="15.75" customHeight="1" s="349">
      <c r="A247" s="307" t="n"/>
      <c r="B247" s="307" t="n"/>
      <c r="C247" s="307" t="n"/>
      <c r="D247" s="307" t="n"/>
      <c r="E247" s="307" t="n"/>
      <c r="F247" s="307" t="n"/>
      <c r="G247" s="307" t="n"/>
      <c r="H247" s="31" t="n"/>
      <c r="I247" s="31" t="n"/>
      <c r="J247" s="31" t="n"/>
      <c r="K247" s="31" t="n"/>
      <c r="L247" s="31" t="n"/>
      <c r="M247" s="31" t="n"/>
      <c r="N247" s="307" t="n"/>
      <c r="O247" s="307" t="n"/>
      <c r="P247" s="307" t="n"/>
      <c r="Q247" s="307" t="n"/>
      <c r="R247" s="307" t="n"/>
      <c r="S247" s="307" t="n"/>
      <c r="T247" s="307" t="n"/>
      <c r="U247" s="307" t="n"/>
      <c r="V247" s="307" t="n"/>
      <c r="W247" s="307" t="n"/>
      <c r="X247" s="307" t="n"/>
      <c r="Y247" s="307" t="n"/>
      <c r="Z247" s="307" t="n"/>
      <c r="AA247" s="307" t="n"/>
      <c r="AB247" s="307" t="n"/>
      <c r="AC247" s="307" t="n"/>
      <c r="AD247" s="307" t="n"/>
    </row>
    <row r="248" ht="15.75" customHeight="1" s="349">
      <c r="A248" s="307" t="n"/>
      <c r="B248" s="307" t="n"/>
      <c r="C248" s="307" t="n"/>
      <c r="D248" s="307" t="n"/>
      <c r="E248" s="307" t="n"/>
      <c r="F248" s="307" t="n"/>
      <c r="G248" s="307" t="n"/>
      <c r="H248" s="31" t="n"/>
      <c r="I248" s="31" t="n"/>
      <c r="J248" s="31" t="n"/>
      <c r="K248" s="31" t="n"/>
      <c r="L248" s="31" t="n"/>
      <c r="M248" s="31" t="n"/>
      <c r="N248" s="307" t="n"/>
      <c r="O248" s="307" t="n"/>
      <c r="P248" s="307" t="n"/>
      <c r="Q248" s="307" t="n"/>
      <c r="R248" s="307" t="n"/>
      <c r="S248" s="307" t="n"/>
      <c r="T248" s="307" t="n"/>
      <c r="U248" s="307" t="n"/>
      <c r="V248" s="307" t="n"/>
      <c r="W248" s="307" t="n"/>
      <c r="X248" s="307" t="n"/>
      <c r="Y248" s="307" t="n"/>
      <c r="Z248" s="307" t="n"/>
      <c r="AA248" s="307" t="n"/>
      <c r="AB248" s="307" t="n"/>
      <c r="AC248" s="307" t="n"/>
      <c r="AD248" s="307" t="n"/>
    </row>
    <row r="249" ht="15.75" customHeight="1" s="349">
      <c r="A249" s="307" t="n"/>
      <c r="B249" s="307" t="n"/>
      <c r="C249" s="307" t="n"/>
      <c r="D249" s="307" t="n"/>
      <c r="E249" s="307" t="n"/>
      <c r="F249" s="307" t="n"/>
      <c r="G249" s="307" t="n"/>
      <c r="H249" s="31" t="n"/>
      <c r="I249" s="31" t="n"/>
      <c r="J249" s="31" t="n"/>
      <c r="K249" s="31" t="n"/>
      <c r="L249" s="31" t="n"/>
      <c r="M249" s="31" t="n"/>
      <c r="N249" s="307" t="n"/>
      <c r="O249" s="307" t="n"/>
      <c r="P249" s="307" t="n"/>
      <c r="Q249" s="307" t="n"/>
      <c r="R249" s="307" t="n"/>
      <c r="S249" s="307" t="n"/>
      <c r="T249" s="307" t="n"/>
      <c r="U249" s="307" t="n"/>
      <c r="V249" s="307" t="n"/>
      <c r="W249" s="307" t="n"/>
      <c r="X249" s="307" t="n"/>
      <c r="Y249" s="307" t="n"/>
      <c r="Z249" s="307" t="n"/>
      <c r="AA249" s="307" t="n"/>
      <c r="AB249" s="307" t="n"/>
      <c r="AC249" s="307" t="n"/>
      <c r="AD249" s="307" t="n"/>
    </row>
    <row r="250" ht="15.75" customHeight="1" s="349">
      <c r="A250" s="307" t="n"/>
      <c r="B250" s="307" t="n"/>
      <c r="C250" s="307" t="n"/>
      <c r="D250" s="307" t="n"/>
      <c r="E250" s="307" t="n"/>
      <c r="F250" s="307" t="n"/>
      <c r="G250" s="307" t="n"/>
      <c r="H250" s="31" t="n"/>
      <c r="I250" s="31" t="n"/>
      <c r="J250" s="31" t="n"/>
      <c r="K250" s="31" t="n"/>
      <c r="L250" s="31" t="n"/>
      <c r="M250" s="31" t="n"/>
      <c r="N250" s="307" t="n"/>
      <c r="O250" s="307" t="n"/>
      <c r="P250" s="307" t="n"/>
      <c r="Q250" s="307" t="n"/>
      <c r="R250" s="307" t="n"/>
      <c r="S250" s="307" t="n"/>
      <c r="T250" s="307" t="n"/>
      <c r="U250" s="307" t="n"/>
      <c r="V250" s="307" t="n"/>
      <c r="W250" s="307" t="n"/>
      <c r="X250" s="307" t="n"/>
      <c r="Y250" s="307" t="n"/>
      <c r="Z250" s="307" t="n"/>
      <c r="AA250" s="307" t="n"/>
      <c r="AB250" s="307" t="n"/>
      <c r="AC250" s="307" t="n"/>
      <c r="AD250" s="307" t="n"/>
    </row>
    <row r="251" ht="15.75" customHeight="1" s="349">
      <c r="A251" s="307" t="n"/>
      <c r="B251" s="307" t="n"/>
      <c r="C251" s="307" t="n"/>
      <c r="D251" s="307" t="n"/>
      <c r="E251" s="307" t="n"/>
      <c r="F251" s="307" t="n"/>
      <c r="G251" s="307" t="n"/>
      <c r="H251" s="31" t="n"/>
      <c r="I251" s="31" t="n"/>
      <c r="J251" s="31" t="n"/>
      <c r="K251" s="31" t="n"/>
      <c r="L251" s="31" t="n"/>
      <c r="M251" s="31" t="n"/>
      <c r="N251" s="307" t="n"/>
      <c r="O251" s="307" t="n"/>
      <c r="P251" s="307" t="n"/>
      <c r="Q251" s="307" t="n"/>
      <c r="R251" s="307" t="n"/>
      <c r="S251" s="307" t="n"/>
      <c r="T251" s="307" t="n"/>
      <c r="U251" s="307" t="n"/>
      <c r="V251" s="307" t="n"/>
      <c r="W251" s="307" t="n"/>
      <c r="X251" s="307" t="n"/>
      <c r="Y251" s="307" t="n"/>
      <c r="Z251" s="307" t="n"/>
      <c r="AA251" s="307" t="n"/>
      <c r="AB251" s="307" t="n"/>
      <c r="AC251" s="307" t="n"/>
      <c r="AD251" s="307" t="n"/>
    </row>
    <row r="252" ht="15.75" customHeight="1" s="349">
      <c r="A252" s="307" t="n"/>
      <c r="B252" s="307" t="n"/>
      <c r="C252" s="307" t="n"/>
      <c r="D252" s="307" t="n"/>
      <c r="E252" s="307" t="n"/>
      <c r="F252" s="307" t="n"/>
      <c r="G252" s="307" t="n"/>
      <c r="H252" s="31" t="n"/>
      <c r="I252" s="31" t="n"/>
      <c r="J252" s="31" t="n"/>
      <c r="K252" s="31" t="n"/>
      <c r="L252" s="31" t="n"/>
      <c r="M252" s="31" t="n"/>
      <c r="N252" s="307" t="n"/>
      <c r="O252" s="307" t="n"/>
      <c r="P252" s="307" t="n"/>
      <c r="Q252" s="307" t="n"/>
      <c r="R252" s="307" t="n"/>
      <c r="S252" s="307" t="n"/>
      <c r="T252" s="307" t="n"/>
      <c r="U252" s="307" t="n"/>
      <c r="V252" s="307" t="n"/>
      <c r="W252" s="307" t="n"/>
      <c r="X252" s="307" t="n"/>
      <c r="Y252" s="307" t="n"/>
      <c r="Z252" s="307" t="n"/>
      <c r="AA252" s="307" t="n"/>
      <c r="AB252" s="307" t="n"/>
      <c r="AC252" s="307" t="n"/>
      <c r="AD252" s="307" t="n"/>
    </row>
    <row r="253" ht="15.75" customHeight="1" s="349">
      <c r="A253" s="307" t="n"/>
      <c r="B253" s="307" t="n"/>
      <c r="C253" s="307" t="n"/>
      <c r="D253" s="307" t="n"/>
      <c r="E253" s="307" t="n"/>
      <c r="F253" s="307" t="n"/>
      <c r="G253" s="307" t="n"/>
      <c r="H253" s="31" t="n"/>
      <c r="I253" s="31" t="n"/>
      <c r="J253" s="31" t="n"/>
      <c r="K253" s="31" t="n"/>
      <c r="L253" s="31" t="n"/>
      <c r="M253" s="31" t="n"/>
      <c r="N253" s="307" t="n"/>
      <c r="O253" s="307" t="n"/>
      <c r="P253" s="307" t="n"/>
      <c r="Q253" s="307" t="n"/>
      <c r="R253" s="307" t="n"/>
      <c r="S253" s="307" t="n"/>
      <c r="T253" s="307" t="n"/>
      <c r="U253" s="307" t="n"/>
      <c r="V253" s="307" t="n"/>
      <c r="W253" s="307" t="n"/>
      <c r="X253" s="307" t="n"/>
      <c r="Y253" s="307" t="n"/>
      <c r="Z253" s="307" t="n"/>
      <c r="AA253" s="307" t="n"/>
      <c r="AB253" s="307" t="n"/>
      <c r="AC253" s="307" t="n"/>
      <c r="AD253" s="307" t="n"/>
    </row>
    <row r="254" ht="15.75" customHeight="1" s="349">
      <c r="A254" s="307" t="n"/>
      <c r="B254" s="307" t="n"/>
      <c r="C254" s="307" t="n"/>
      <c r="D254" s="307" t="n"/>
      <c r="E254" s="307" t="n"/>
      <c r="F254" s="307" t="n"/>
      <c r="G254" s="307" t="n"/>
      <c r="H254" s="31" t="n"/>
      <c r="I254" s="31" t="n"/>
      <c r="J254" s="31" t="n"/>
      <c r="K254" s="31" t="n"/>
      <c r="L254" s="31" t="n"/>
      <c r="M254" s="31" t="n"/>
      <c r="N254" s="307" t="n"/>
      <c r="O254" s="307" t="n"/>
      <c r="P254" s="307" t="n"/>
      <c r="Q254" s="307" t="n"/>
      <c r="R254" s="307" t="n"/>
      <c r="S254" s="307" t="n"/>
      <c r="T254" s="307" t="n"/>
      <c r="U254" s="307" t="n"/>
      <c r="V254" s="307" t="n"/>
      <c r="W254" s="307" t="n"/>
      <c r="X254" s="307" t="n"/>
      <c r="Y254" s="307" t="n"/>
      <c r="Z254" s="307" t="n"/>
      <c r="AA254" s="307" t="n"/>
      <c r="AB254" s="307" t="n"/>
      <c r="AC254" s="307" t="n"/>
      <c r="AD254" s="307" t="n"/>
    </row>
    <row r="255" ht="15.75" customHeight="1" s="349">
      <c r="A255" s="307" t="n"/>
      <c r="B255" s="307" t="n"/>
      <c r="C255" s="307" t="n"/>
      <c r="D255" s="307" t="n"/>
      <c r="E255" s="307" t="n"/>
      <c r="F255" s="307" t="n"/>
      <c r="G255" s="307" t="n"/>
      <c r="H255" s="31" t="n"/>
      <c r="I255" s="31" t="n"/>
      <c r="J255" s="31" t="n"/>
      <c r="K255" s="31" t="n"/>
      <c r="L255" s="31" t="n"/>
      <c r="M255" s="31" t="n"/>
      <c r="N255" s="307" t="n"/>
      <c r="O255" s="307" t="n"/>
      <c r="P255" s="307" t="n"/>
      <c r="Q255" s="307" t="n"/>
      <c r="R255" s="307" t="n"/>
      <c r="S255" s="307" t="n"/>
      <c r="T255" s="307" t="n"/>
      <c r="U255" s="307" t="n"/>
      <c r="V255" s="307" t="n"/>
      <c r="W255" s="307" t="n"/>
      <c r="X255" s="307" t="n"/>
      <c r="Y255" s="307" t="n"/>
      <c r="Z255" s="307" t="n"/>
      <c r="AA255" s="307" t="n"/>
      <c r="AB255" s="307" t="n"/>
      <c r="AC255" s="307" t="n"/>
      <c r="AD255" s="307" t="n"/>
    </row>
    <row r="256" ht="15.75" customHeight="1" s="349">
      <c r="A256" s="307" t="n"/>
      <c r="B256" s="307" t="n"/>
      <c r="C256" s="307" t="n"/>
      <c r="D256" s="307" t="n"/>
      <c r="E256" s="307" t="n"/>
      <c r="F256" s="307" t="n"/>
      <c r="G256" s="307" t="n"/>
      <c r="H256" s="31" t="n"/>
      <c r="I256" s="31" t="n"/>
      <c r="J256" s="31" t="n"/>
      <c r="K256" s="31" t="n"/>
      <c r="L256" s="31" t="n"/>
      <c r="M256" s="31" t="n"/>
      <c r="N256" s="307" t="n"/>
      <c r="O256" s="307" t="n"/>
      <c r="P256" s="307" t="n"/>
      <c r="Q256" s="307" t="n"/>
      <c r="R256" s="307" t="n"/>
      <c r="S256" s="307" t="n"/>
      <c r="T256" s="307" t="n"/>
      <c r="U256" s="307" t="n"/>
      <c r="V256" s="307" t="n"/>
      <c r="W256" s="307" t="n"/>
      <c r="X256" s="307" t="n"/>
      <c r="Y256" s="307" t="n"/>
      <c r="Z256" s="307" t="n"/>
      <c r="AA256" s="307" t="n"/>
      <c r="AB256" s="307" t="n"/>
      <c r="AC256" s="307" t="n"/>
      <c r="AD256" s="307" t="n"/>
    </row>
    <row r="257" ht="15.75" customHeight="1" s="349">
      <c r="A257" s="307" t="n"/>
      <c r="B257" s="307" t="n"/>
      <c r="C257" s="307" t="n"/>
      <c r="D257" s="307" t="n"/>
      <c r="E257" s="307" t="n"/>
      <c r="F257" s="307" t="n"/>
      <c r="G257" s="307" t="n"/>
      <c r="H257" s="31" t="n"/>
      <c r="I257" s="31" t="n"/>
      <c r="J257" s="31" t="n"/>
      <c r="K257" s="31" t="n"/>
      <c r="L257" s="31" t="n"/>
      <c r="M257" s="31" t="n"/>
      <c r="N257" s="307" t="n"/>
      <c r="O257" s="307" t="n"/>
      <c r="P257" s="307" t="n"/>
      <c r="Q257" s="307" t="n"/>
      <c r="R257" s="307" t="n"/>
      <c r="S257" s="307" t="n"/>
      <c r="T257" s="307" t="n"/>
      <c r="U257" s="307" t="n"/>
      <c r="V257" s="307" t="n"/>
      <c r="W257" s="307" t="n"/>
      <c r="X257" s="307" t="n"/>
      <c r="Y257" s="307" t="n"/>
      <c r="Z257" s="307" t="n"/>
      <c r="AA257" s="307" t="n"/>
      <c r="AB257" s="307" t="n"/>
      <c r="AC257" s="307" t="n"/>
      <c r="AD257" s="307" t="n"/>
    </row>
    <row r="258" ht="15.75" customHeight="1" s="349">
      <c r="A258" s="307" t="n"/>
      <c r="B258" s="307" t="n"/>
      <c r="C258" s="307" t="n"/>
      <c r="D258" s="307" t="n"/>
      <c r="E258" s="307" t="n"/>
      <c r="F258" s="307" t="n"/>
      <c r="G258" s="307" t="n"/>
      <c r="H258" s="31" t="n"/>
      <c r="I258" s="31" t="n"/>
      <c r="J258" s="31" t="n"/>
      <c r="K258" s="31" t="n"/>
      <c r="L258" s="31" t="n"/>
      <c r="M258" s="31" t="n"/>
      <c r="N258" s="307" t="n"/>
      <c r="O258" s="307" t="n"/>
      <c r="P258" s="307" t="n"/>
      <c r="Q258" s="307" t="n"/>
      <c r="R258" s="307" t="n"/>
      <c r="S258" s="307" t="n"/>
      <c r="T258" s="307" t="n"/>
      <c r="U258" s="307" t="n"/>
      <c r="V258" s="307" t="n"/>
      <c r="W258" s="307" t="n"/>
      <c r="X258" s="307" t="n"/>
      <c r="Y258" s="307" t="n"/>
      <c r="Z258" s="307" t="n"/>
      <c r="AA258" s="307" t="n"/>
      <c r="AB258" s="307" t="n"/>
      <c r="AC258" s="307" t="n"/>
      <c r="AD258" s="307" t="n"/>
    </row>
    <row r="259" ht="15.75" customHeight="1" s="349">
      <c r="A259" s="307" t="n"/>
      <c r="B259" s="307" t="n"/>
      <c r="C259" s="307" t="n"/>
      <c r="D259" s="307" t="n"/>
      <c r="E259" s="307" t="n"/>
      <c r="F259" s="307" t="n"/>
      <c r="G259" s="307" t="n"/>
      <c r="H259" s="31" t="n"/>
      <c r="I259" s="31" t="n"/>
      <c r="J259" s="31" t="n"/>
      <c r="K259" s="31" t="n"/>
      <c r="L259" s="31" t="n"/>
      <c r="M259" s="31" t="n"/>
      <c r="N259" s="307" t="n"/>
      <c r="O259" s="307" t="n"/>
      <c r="P259" s="307" t="n"/>
      <c r="Q259" s="307" t="n"/>
      <c r="R259" s="307" t="n"/>
      <c r="S259" s="307" t="n"/>
      <c r="T259" s="307" t="n"/>
      <c r="U259" s="307" t="n"/>
      <c r="V259" s="307" t="n"/>
      <c r="W259" s="307" t="n"/>
      <c r="X259" s="307" t="n"/>
      <c r="Y259" s="307" t="n"/>
      <c r="Z259" s="307" t="n"/>
      <c r="AA259" s="307" t="n"/>
      <c r="AB259" s="307" t="n"/>
      <c r="AC259" s="307" t="n"/>
      <c r="AD259" s="307" t="n"/>
    </row>
    <row r="260" ht="15.75" customHeight="1" s="349">
      <c r="A260" s="307" t="n"/>
      <c r="B260" s="307" t="n"/>
      <c r="C260" s="307" t="n"/>
      <c r="D260" s="307" t="n"/>
      <c r="E260" s="307" t="n"/>
      <c r="F260" s="307" t="n"/>
      <c r="G260" s="307" t="n"/>
      <c r="H260" s="31" t="n"/>
      <c r="I260" s="31" t="n"/>
      <c r="J260" s="31" t="n"/>
      <c r="K260" s="31" t="n"/>
      <c r="L260" s="31" t="n"/>
      <c r="M260" s="31" t="n"/>
      <c r="N260" s="307" t="n"/>
      <c r="O260" s="307" t="n"/>
      <c r="P260" s="307" t="n"/>
      <c r="Q260" s="307" t="n"/>
      <c r="R260" s="307" t="n"/>
      <c r="S260" s="307" t="n"/>
      <c r="T260" s="307" t="n"/>
      <c r="U260" s="307" t="n"/>
      <c r="V260" s="307" t="n"/>
      <c r="W260" s="307" t="n"/>
      <c r="X260" s="307" t="n"/>
      <c r="Y260" s="307" t="n"/>
      <c r="Z260" s="307" t="n"/>
      <c r="AA260" s="307" t="n"/>
      <c r="AB260" s="307" t="n"/>
      <c r="AC260" s="307" t="n"/>
      <c r="AD260" s="307" t="n"/>
    </row>
    <row r="261" ht="15.75" customHeight="1" s="349">
      <c r="A261" s="307" t="n"/>
      <c r="B261" s="307" t="n"/>
      <c r="C261" s="307" t="n"/>
      <c r="D261" s="307" t="n"/>
      <c r="E261" s="307" t="n"/>
      <c r="F261" s="307" t="n"/>
      <c r="G261" s="307" t="n"/>
      <c r="H261" s="31" t="n"/>
      <c r="I261" s="31" t="n"/>
      <c r="J261" s="31" t="n"/>
      <c r="K261" s="31" t="n"/>
      <c r="L261" s="31" t="n"/>
      <c r="M261" s="31" t="n"/>
      <c r="N261" s="307" t="n"/>
      <c r="O261" s="307" t="n"/>
      <c r="P261" s="307" t="n"/>
      <c r="Q261" s="307" t="n"/>
      <c r="R261" s="307" t="n"/>
      <c r="S261" s="307" t="n"/>
      <c r="T261" s="307" t="n"/>
      <c r="U261" s="307" t="n"/>
      <c r="V261" s="307" t="n"/>
      <c r="W261" s="307" t="n"/>
      <c r="X261" s="307" t="n"/>
      <c r="Y261" s="307" t="n"/>
      <c r="Z261" s="307" t="n"/>
      <c r="AA261" s="307" t="n"/>
      <c r="AB261" s="307" t="n"/>
      <c r="AC261" s="307" t="n"/>
      <c r="AD261" s="307" t="n"/>
    </row>
    <row r="262" ht="15.75" customHeight="1" s="349">
      <c r="A262" s="307" t="n"/>
      <c r="B262" s="307" t="n"/>
      <c r="C262" s="307" t="n"/>
      <c r="D262" s="307" t="n"/>
      <c r="E262" s="307" t="n"/>
      <c r="F262" s="307" t="n"/>
      <c r="G262" s="307" t="n"/>
      <c r="H262" s="31" t="n"/>
      <c r="I262" s="31" t="n"/>
      <c r="J262" s="31" t="n"/>
      <c r="K262" s="31" t="n"/>
      <c r="L262" s="31" t="n"/>
      <c r="M262" s="31" t="n"/>
      <c r="N262" s="307" t="n"/>
      <c r="O262" s="307" t="n"/>
      <c r="P262" s="307" t="n"/>
      <c r="Q262" s="307" t="n"/>
      <c r="R262" s="307" t="n"/>
      <c r="S262" s="307" t="n"/>
      <c r="T262" s="307" t="n"/>
      <c r="U262" s="307" t="n"/>
      <c r="V262" s="307" t="n"/>
      <c r="W262" s="307" t="n"/>
      <c r="X262" s="307" t="n"/>
      <c r="Y262" s="307" t="n"/>
      <c r="Z262" s="307" t="n"/>
      <c r="AA262" s="307" t="n"/>
      <c r="AB262" s="307" t="n"/>
      <c r="AC262" s="307" t="n"/>
      <c r="AD262" s="307" t="n"/>
    </row>
    <row r="263" ht="15.75" customHeight="1" s="349">
      <c r="A263" s="307" t="n"/>
      <c r="B263" s="307" t="n"/>
      <c r="C263" s="307" t="n"/>
      <c r="D263" s="307" t="n"/>
      <c r="E263" s="307" t="n"/>
      <c r="F263" s="307" t="n"/>
      <c r="G263" s="307" t="n"/>
      <c r="H263" s="31" t="n"/>
      <c r="I263" s="31" t="n"/>
      <c r="J263" s="31" t="n"/>
      <c r="K263" s="31" t="n"/>
      <c r="L263" s="31" t="n"/>
      <c r="M263" s="31" t="n"/>
      <c r="N263" s="307" t="n"/>
      <c r="O263" s="307" t="n"/>
      <c r="P263" s="307" t="n"/>
      <c r="Q263" s="307" t="n"/>
      <c r="R263" s="307" t="n"/>
      <c r="S263" s="307" t="n"/>
      <c r="T263" s="307" t="n"/>
      <c r="U263" s="307" t="n"/>
      <c r="V263" s="307" t="n"/>
      <c r="W263" s="307" t="n"/>
      <c r="X263" s="307" t="n"/>
      <c r="Y263" s="307" t="n"/>
      <c r="Z263" s="307" t="n"/>
      <c r="AA263" s="307" t="n"/>
      <c r="AB263" s="307" t="n"/>
      <c r="AC263" s="307" t="n"/>
      <c r="AD263" s="307" t="n"/>
    </row>
    <row r="264" ht="15.75" customHeight="1" s="349">
      <c r="A264" s="307" t="n"/>
      <c r="B264" s="307" t="n"/>
      <c r="C264" s="307" t="n"/>
      <c r="D264" s="307" t="n"/>
      <c r="E264" s="307" t="n"/>
      <c r="F264" s="307" t="n"/>
      <c r="G264" s="307" t="n"/>
      <c r="H264" s="31" t="n"/>
      <c r="I264" s="31" t="n"/>
      <c r="J264" s="31" t="n"/>
      <c r="K264" s="31" t="n"/>
      <c r="L264" s="31" t="n"/>
      <c r="M264" s="31" t="n"/>
      <c r="N264" s="307" t="n"/>
      <c r="O264" s="307" t="n"/>
      <c r="P264" s="307" t="n"/>
      <c r="Q264" s="307" t="n"/>
      <c r="R264" s="307" t="n"/>
      <c r="S264" s="307" t="n"/>
      <c r="T264" s="307" t="n"/>
      <c r="U264" s="307" t="n"/>
      <c r="V264" s="307" t="n"/>
      <c r="W264" s="307" t="n"/>
      <c r="X264" s="307" t="n"/>
      <c r="Y264" s="307" t="n"/>
      <c r="Z264" s="307" t="n"/>
      <c r="AA264" s="307" t="n"/>
      <c r="AB264" s="307" t="n"/>
      <c r="AC264" s="307" t="n"/>
      <c r="AD264" s="307" t="n"/>
    </row>
    <row r="265" ht="15.75" customHeight="1" s="349">
      <c r="A265" s="307" t="n"/>
      <c r="B265" s="307" t="n"/>
      <c r="C265" s="307" t="n"/>
      <c r="D265" s="307" t="n"/>
      <c r="E265" s="307" t="n"/>
      <c r="F265" s="307" t="n"/>
      <c r="G265" s="307" t="n"/>
      <c r="H265" s="31" t="n"/>
      <c r="I265" s="31" t="n"/>
      <c r="J265" s="31" t="n"/>
      <c r="K265" s="31" t="n"/>
      <c r="L265" s="31" t="n"/>
      <c r="M265" s="31" t="n"/>
      <c r="N265" s="307" t="n"/>
      <c r="O265" s="307" t="n"/>
      <c r="P265" s="307" t="n"/>
      <c r="Q265" s="307" t="n"/>
      <c r="R265" s="307" t="n"/>
      <c r="S265" s="307" t="n"/>
      <c r="T265" s="307" t="n"/>
      <c r="U265" s="307" t="n"/>
      <c r="V265" s="307" t="n"/>
      <c r="W265" s="307" t="n"/>
      <c r="X265" s="307" t="n"/>
      <c r="Y265" s="307" t="n"/>
      <c r="Z265" s="307" t="n"/>
      <c r="AA265" s="307" t="n"/>
      <c r="AB265" s="307" t="n"/>
      <c r="AC265" s="307" t="n"/>
      <c r="AD265" s="307" t="n"/>
    </row>
    <row r="266" ht="15.75" customHeight="1" s="349">
      <c r="A266" s="307" t="n"/>
      <c r="B266" s="307" t="n"/>
      <c r="C266" s="307" t="n"/>
      <c r="D266" s="307" t="n"/>
      <c r="E266" s="307" t="n"/>
      <c r="F266" s="307" t="n"/>
      <c r="G266" s="307" t="n"/>
      <c r="H266" s="31" t="n"/>
      <c r="I266" s="31" t="n"/>
      <c r="J266" s="31" t="n"/>
      <c r="K266" s="31" t="n"/>
      <c r="L266" s="31" t="n"/>
      <c r="M266" s="31" t="n"/>
      <c r="N266" s="307" t="n"/>
      <c r="O266" s="307" t="n"/>
      <c r="P266" s="307" t="n"/>
      <c r="Q266" s="307" t="n"/>
      <c r="R266" s="307" t="n"/>
      <c r="S266" s="307" t="n"/>
      <c r="T266" s="307" t="n"/>
      <c r="U266" s="307" t="n"/>
      <c r="V266" s="307" t="n"/>
      <c r="W266" s="307" t="n"/>
      <c r="X266" s="307" t="n"/>
      <c r="Y266" s="307" t="n"/>
      <c r="Z266" s="307" t="n"/>
      <c r="AA266" s="307" t="n"/>
      <c r="AB266" s="307" t="n"/>
      <c r="AC266" s="307" t="n"/>
      <c r="AD266" s="307" t="n"/>
    </row>
    <row r="267" ht="15.75" customHeight="1" s="349">
      <c r="A267" s="307" t="n"/>
      <c r="B267" s="307" t="n"/>
      <c r="C267" s="307" t="n"/>
      <c r="D267" s="307" t="n"/>
      <c r="E267" s="307" t="n"/>
      <c r="F267" s="307" t="n"/>
      <c r="G267" s="307" t="n"/>
      <c r="H267" s="31" t="n"/>
      <c r="I267" s="31" t="n"/>
      <c r="J267" s="31" t="n"/>
      <c r="K267" s="31" t="n"/>
      <c r="L267" s="31" t="n"/>
      <c r="M267" s="31" t="n"/>
      <c r="N267" s="307" t="n"/>
      <c r="O267" s="307" t="n"/>
      <c r="P267" s="307" t="n"/>
      <c r="Q267" s="307" t="n"/>
      <c r="R267" s="307" t="n"/>
      <c r="S267" s="307" t="n"/>
      <c r="T267" s="307" t="n"/>
      <c r="U267" s="307" t="n"/>
      <c r="V267" s="307" t="n"/>
      <c r="W267" s="307" t="n"/>
      <c r="X267" s="307" t="n"/>
      <c r="Y267" s="307" t="n"/>
      <c r="Z267" s="307" t="n"/>
      <c r="AA267" s="307" t="n"/>
      <c r="AB267" s="307" t="n"/>
      <c r="AC267" s="307" t="n"/>
      <c r="AD267" s="307" t="n"/>
    </row>
    <row r="268" ht="15.75" customHeight="1" s="349">
      <c r="A268" s="307" t="n"/>
      <c r="B268" s="307" t="n"/>
      <c r="C268" s="307" t="n"/>
      <c r="D268" s="307" t="n"/>
      <c r="E268" s="307" t="n"/>
      <c r="F268" s="307" t="n"/>
      <c r="G268" s="307" t="n"/>
      <c r="H268" s="31" t="n"/>
      <c r="I268" s="31" t="n"/>
      <c r="J268" s="31" t="n"/>
      <c r="K268" s="31" t="n"/>
      <c r="L268" s="31" t="n"/>
      <c r="M268" s="31" t="n"/>
      <c r="N268" s="307" t="n"/>
      <c r="O268" s="307" t="n"/>
      <c r="P268" s="307" t="n"/>
      <c r="Q268" s="307" t="n"/>
      <c r="R268" s="307" t="n"/>
      <c r="S268" s="307" t="n"/>
      <c r="T268" s="307" t="n"/>
      <c r="U268" s="307" t="n"/>
      <c r="V268" s="307" t="n"/>
      <c r="W268" s="307" t="n"/>
      <c r="X268" s="307" t="n"/>
      <c r="Y268" s="307" t="n"/>
      <c r="Z268" s="307" t="n"/>
      <c r="AA268" s="307" t="n"/>
      <c r="AB268" s="307" t="n"/>
      <c r="AC268" s="307" t="n"/>
      <c r="AD268" s="307" t="n"/>
    </row>
    <row r="269" ht="15.75" customHeight="1" s="349">
      <c r="A269" s="307" t="n"/>
      <c r="B269" s="307" t="n"/>
      <c r="C269" s="307" t="n"/>
      <c r="D269" s="307" t="n"/>
      <c r="E269" s="307" t="n"/>
      <c r="F269" s="307" t="n"/>
      <c r="G269" s="307" t="n"/>
      <c r="H269" s="31" t="n"/>
      <c r="I269" s="31" t="n"/>
      <c r="J269" s="31" t="n"/>
      <c r="K269" s="31" t="n"/>
      <c r="L269" s="31" t="n"/>
      <c r="M269" s="31" t="n"/>
      <c r="N269" s="307" t="n"/>
      <c r="O269" s="307" t="n"/>
      <c r="P269" s="307" t="n"/>
      <c r="Q269" s="307" t="n"/>
      <c r="R269" s="307" t="n"/>
      <c r="S269" s="307" t="n"/>
      <c r="T269" s="307" t="n"/>
      <c r="U269" s="307" t="n"/>
      <c r="V269" s="307" t="n"/>
      <c r="W269" s="307" t="n"/>
      <c r="X269" s="307" t="n"/>
      <c r="Y269" s="307" t="n"/>
      <c r="Z269" s="307" t="n"/>
      <c r="AA269" s="307" t="n"/>
      <c r="AB269" s="307" t="n"/>
      <c r="AC269" s="307" t="n"/>
      <c r="AD269" s="307" t="n"/>
    </row>
    <row r="270" ht="15.75" customHeight="1" s="349">
      <c r="A270" s="307" t="n"/>
      <c r="B270" s="307" t="n"/>
      <c r="C270" s="307" t="n"/>
      <c r="D270" s="307" t="n"/>
      <c r="E270" s="307" t="n"/>
      <c r="F270" s="307" t="n"/>
      <c r="G270" s="307" t="n"/>
      <c r="H270" s="31" t="n"/>
      <c r="I270" s="31" t="n"/>
      <c r="J270" s="31" t="n"/>
      <c r="K270" s="31" t="n"/>
      <c r="L270" s="31" t="n"/>
      <c r="M270" s="31" t="n"/>
      <c r="N270" s="307" t="n"/>
      <c r="O270" s="307" t="n"/>
      <c r="P270" s="307" t="n"/>
      <c r="Q270" s="307" t="n"/>
      <c r="R270" s="307" t="n"/>
      <c r="S270" s="307" t="n"/>
      <c r="T270" s="307" t="n"/>
      <c r="U270" s="307" t="n"/>
      <c r="V270" s="307" t="n"/>
      <c r="W270" s="307" t="n"/>
      <c r="X270" s="307" t="n"/>
      <c r="Y270" s="307" t="n"/>
      <c r="Z270" s="307" t="n"/>
      <c r="AA270" s="307" t="n"/>
      <c r="AB270" s="307" t="n"/>
      <c r="AC270" s="307" t="n"/>
      <c r="AD270" s="307" t="n"/>
    </row>
    <row r="271" ht="15.75" customHeight="1" s="349">
      <c r="A271" s="307" t="n"/>
      <c r="B271" s="307" t="n"/>
      <c r="C271" s="307" t="n"/>
      <c r="D271" s="307" t="n"/>
      <c r="E271" s="307" t="n"/>
      <c r="F271" s="307" t="n"/>
      <c r="G271" s="307" t="n"/>
      <c r="H271" s="31" t="n"/>
      <c r="I271" s="31" t="n"/>
      <c r="J271" s="31" t="n"/>
      <c r="K271" s="31" t="n"/>
      <c r="L271" s="31" t="n"/>
      <c r="M271" s="31" t="n"/>
      <c r="N271" s="307" t="n"/>
      <c r="O271" s="307" t="n"/>
      <c r="P271" s="307" t="n"/>
      <c r="Q271" s="307" t="n"/>
      <c r="R271" s="307" t="n"/>
      <c r="S271" s="307" t="n"/>
      <c r="T271" s="307" t="n"/>
      <c r="U271" s="307" t="n"/>
      <c r="V271" s="307" t="n"/>
      <c r="W271" s="307" t="n"/>
      <c r="X271" s="307" t="n"/>
      <c r="Y271" s="307" t="n"/>
      <c r="Z271" s="307" t="n"/>
      <c r="AA271" s="307" t="n"/>
      <c r="AB271" s="307" t="n"/>
      <c r="AC271" s="307" t="n"/>
      <c r="AD271" s="307" t="n"/>
    </row>
    <row r="272" ht="15.75" customHeight="1" s="349">
      <c r="A272" s="307" t="n"/>
      <c r="B272" s="307" t="n"/>
      <c r="C272" s="307" t="n"/>
      <c r="D272" s="307" t="n"/>
      <c r="E272" s="307" t="n"/>
      <c r="F272" s="307" t="n"/>
      <c r="G272" s="307" t="n"/>
      <c r="H272" s="31" t="n"/>
      <c r="I272" s="31" t="n"/>
      <c r="J272" s="31" t="n"/>
      <c r="K272" s="31" t="n"/>
      <c r="L272" s="31" t="n"/>
      <c r="M272" s="31" t="n"/>
      <c r="N272" s="307" t="n"/>
      <c r="O272" s="307" t="n"/>
      <c r="P272" s="307" t="n"/>
      <c r="Q272" s="307" t="n"/>
      <c r="R272" s="307" t="n"/>
      <c r="S272" s="307" t="n"/>
      <c r="T272" s="307" t="n"/>
      <c r="U272" s="307" t="n"/>
      <c r="V272" s="307" t="n"/>
      <c r="W272" s="307" t="n"/>
      <c r="X272" s="307" t="n"/>
      <c r="Y272" s="307" t="n"/>
      <c r="Z272" s="307" t="n"/>
      <c r="AA272" s="307" t="n"/>
      <c r="AB272" s="307" t="n"/>
      <c r="AC272" s="307" t="n"/>
      <c r="AD272" s="307" t="n"/>
    </row>
    <row r="273" ht="15.75" customHeight="1" s="349">
      <c r="A273" s="307" t="n"/>
      <c r="B273" s="307" t="n"/>
      <c r="C273" s="307" t="n"/>
      <c r="D273" s="307" t="n"/>
      <c r="E273" s="307" t="n"/>
      <c r="F273" s="307" t="n"/>
      <c r="G273" s="307" t="n"/>
      <c r="H273" s="31" t="n"/>
      <c r="I273" s="31" t="n"/>
      <c r="J273" s="31" t="n"/>
      <c r="K273" s="31" t="n"/>
      <c r="L273" s="31" t="n"/>
      <c r="M273" s="31" t="n"/>
      <c r="N273" s="307" t="n"/>
      <c r="O273" s="307" t="n"/>
      <c r="P273" s="307" t="n"/>
      <c r="Q273" s="307" t="n"/>
      <c r="R273" s="307" t="n"/>
      <c r="S273" s="307" t="n"/>
      <c r="T273" s="307" t="n"/>
      <c r="U273" s="307" t="n"/>
      <c r="V273" s="307" t="n"/>
      <c r="W273" s="307" t="n"/>
      <c r="X273" s="307" t="n"/>
      <c r="Y273" s="307" t="n"/>
      <c r="Z273" s="307" t="n"/>
      <c r="AA273" s="307" t="n"/>
      <c r="AB273" s="307" t="n"/>
      <c r="AC273" s="307" t="n"/>
      <c r="AD273" s="307" t="n"/>
    </row>
    <row r="274" ht="15.75" customHeight="1" s="349">
      <c r="A274" s="307" t="n"/>
      <c r="B274" s="307" t="n"/>
      <c r="C274" s="307" t="n"/>
      <c r="D274" s="307" t="n"/>
      <c r="E274" s="307" t="n"/>
      <c r="F274" s="307" t="n"/>
      <c r="G274" s="307" t="n"/>
      <c r="H274" s="31" t="n"/>
      <c r="I274" s="31" t="n"/>
      <c r="J274" s="31" t="n"/>
      <c r="K274" s="31" t="n"/>
      <c r="L274" s="31" t="n"/>
      <c r="M274" s="31" t="n"/>
      <c r="N274" s="307" t="n"/>
      <c r="O274" s="307" t="n"/>
      <c r="P274" s="307" t="n"/>
      <c r="Q274" s="307" t="n"/>
      <c r="R274" s="307" t="n"/>
      <c r="S274" s="307" t="n"/>
      <c r="T274" s="307" t="n"/>
      <c r="U274" s="307" t="n"/>
      <c r="V274" s="307" t="n"/>
      <c r="W274" s="307" t="n"/>
      <c r="X274" s="307" t="n"/>
      <c r="Y274" s="307" t="n"/>
      <c r="Z274" s="307" t="n"/>
      <c r="AA274" s="307" t="n"/>
      <c r="AB274" s="307" t="n"/>
      <c r="AC274" s="307" t="n"/>
      <c r="AD274" s="307" t="n"/>
    </row>
    <row r="275" ht="15.75" customHeight="1" s="349">
      <c r="A275" s="307" t="n"/>
      <c r="B275" s="307" t="n"/>
      <c r="C275" s="307" t="n"/>
      <c r="D275" s="307" t="n"/>
      <c r="E275" s="307" t="n"/>
      <c r="F275" s="307" t="n"/>
      <c r="G275" s="307" t="n"/>
      <c r="H275" s="31" t="n"/>
      <c r="I275" s="31" t="n"/>
      <c r="J275" s="31" t="n"/>
      <c r="K275" s="31" t="n"/>
      <c r="L275" s="31" t="n"/>
      <c r="M275" s="31" t="n"/>
      <c r="N275" s="307" t="n"/>
      <c r="O275" s="307" t="n"/>
      <c r="P275" s="307" t="n"/>
      <c r="Q275" s="307" t="n"/>
      <c r="R275" s="307" t="n"/>
      <c r="S275" s="307" t="n"/>
      <c r="T275" s="307" t="n"/>
      <c r="U275" s="307" t="n"/>
      <c r="V275" s="307" t="n"/>
      <c r="W275" s="307" t="n"/>
      <c r="X275" s="307" t="n"/>
      <c r="Y275" s="307" t="n"/>
      <c r="Z275" s="307" t="n"/>
      <c r="AA275" s="307" t="n"/>
      <c r="AB275" s="307" t="n"/>
      <c r="AC275" s="307" t="n"/>
      <c r="AD275" s="307" t="n"/>
    </row>
    <row r="276" ht="15.75" customHeight="1" s="349">
      <c r="A276" s="307" t="n"/>
      <c r="B276" s="307" t="n"/>
      <c r="C276" s="307" t="n"/>
      <c r="D276" s="307" t="n"/>
      <c r="E276" s="307" t="n"/>
      <c r="F276" s="307" t="n"/>
      <c r="G276" s="307" t="n"/>
      <c r="H276" s="31" t="n"/>
      <c r="I276" s="31" t="n"/>
      <c r="J276" s="31" t="n"/>
      <c r="K276" s="31" t="n"/>
      <c r="L276" s="31" t="n"/>
      <c r="M276" s="31" t="n"/>
      <c r="N276" s="307" t="n"/>
      <c r="O276" s="307" t="n"/>
      <c r="P276" s="307" t="n"/>
      <c r="Q276" s="307" t="n"/>
      <c r="R276" s="307" t="n"/>
      <c r="S276" s="307" t="n"/>
      <c r="T276" s="307" t="n"/>
      <c r="U276" s="307" t="n"/>
      <c r="V276" s="307" t="n"/>
      <c r="W276" s="307" t="n"/>
      <c r="X276" s="307" t="n"/>
      <c r="Y276" s="307" t="n"/>
      <c r="Z276" s="307" t="n"/>
      <c r="AA276" s="307" t="n"/>
      <c r="AB276" s="307" t="n"/>
      <c r="AC276" s="307" t="n"/>
      <c r="AD276" s="307" t="n"/>
    </row>
    <row r="277" ht="15.75" customHeight="1" s="349">
      <c r="A277" s="307" t="n"/>
      <c r="B277" s="307" t="n"/>
      <c r="C277" s="307" t="n"/>
      <c r="D277" s="307" t="n"/>
      <c r="E277" s="307" t="n"/>
      <c r="F277" s="307" t="n"/>
      <c r="G277" s="307" t="n"/>
      <c r="H277" s="31" t="n"/>
      <c r="I277" s="31" t="n"/>
      <c r="J277" s="31" t="n"/>
      <c r="K277" s="31" t="n"/>
      <c r="L277" s="31" t="n"/>
      <c r="M277" s="31" t="n"/>
      <c r="N277" s="307" t="n"/>
      <c r="O277" s="307" t="n"/>
      <c r="P277" s="307" t="n"/>
      <c r="Q277" s="307" t="n"/>
      <c r="R277" s="307" t="n"/>
      <c r="S277" s="307" t="n"/>
      <c r="T277" s="307" t="n"/>
      <c r="U277" s="307" t="n"/>
      <c r="V277" s="307" t="n"/>
      <c r="W277" s="307" t="n"/>
      <c r="X277" s="307" t="n"/>
      <c r="Y277" s="307" t="n"/>
      <c r="Z277" s="307" t="n"/>
      <c r="AA277" s="307" t="n"/>
      <c r="AB277" s="307" t="n"/>
      <c r="AC277" s="307" t="n"/>
      <c r="AD277" s="307" t="n"/>
    </row>
    <row r="278" ht="15.75" customHeight="1" s="349">
      <c r="A278" s="307" t="n"/>
      <c r="B278" s="307" t="n"/>
      <c r="C278" s="307" t="n"/>
      <c r="D278" s="307" t="n"/>
      <c r="E278" s="307" t="n"/>
      <c r="F278" s="307" t="n"/>
      <c r="G278" s="307" t="n"/>
      <c r="H278" s="31" t="n"/>
      <c r="I278" s="31" t="n"/>
      <c r="J278" s="31" t="n"/>
      <c r="K278" s="31" t="n"/>
      <c r="L278" s="31" t="n"/>
      <c r="M278" s="31" t="n"/>
      <c r="N278" s="307" t="n"/>
      <c r="O278" s="307" t="n"/>
      <c r="P278" s="307" t="n"/>
      <c r="Q278" s="307" t="n"/>
      <c r="R278" s="307" t="n"/>
      <c r="S278" s="307" t="n"/>
      <c r="T278" s="307" t="n"/>
      <c r="U278" s="307" t="n"/>
      <c r="V278" s="307" t="n"/>
      <c r="W278" s="307" t="n"/>
      <c r="X278" s="307" t="n"/>
      <c r="Y278" s="307" t="n"/>
      <c r="Z278" s="307" t="n"/>
      <c r="AA278" s="307" t="n"/>
      <c r="AB278" s="307" t="n"/>
      <c r="AC278" s="307" t="n"/>
      <c r="AD278" s="307" t="n"/>
    </row>
    <row r="279" ht="15.75" customHeight="1" s="349">
      <c r="A279" s="307" t="n"/>
      <c r="B279" s="307" t="n"/>
      <c r="C279" s="307" t="n"/>
      <c r="D279" s="307" t="n"/>
      <c r="E279" s="307" t="n"/>
      <c r="F279" s="307" t="n"/>
      <c r="G279" s="307" t="n"/>
      <c r="H279" s="31" t="n"/>
      <c r="I279" s="31" t="n"/>
      <c r="J279" s="31" t="n"/>
      <c r="K279" s="31" t="n"/>
      <c r="L279" s="31" t="n"/>
      <c r="M279" s="31" t="n"/>
      <c r="N279" s="307" t="n"/>
      <c r="O279" s="307" t="n"/>
      <c r="P279" s="307" t="n"/>
      <c r="Q279" s="307" t="n"/>
      <c r="R279" s="307" t="n"/>
      <c r="S279" s="307" t="n"/>
      <c r="T279" s="307" t="n"/>
      <c r="U279" s="307" t="n"/>
      <c r="V279" s="307" t="n"/>
      <c r="W279" s="307" t="n"/>
      <c r="X279" s="307" t="n"/>
      <c r="Y279" s="307" t="n"/>
      <c r="Z279" s="307" t="n"/>
      <c r="AA279" s="307" t="n"/>
      <c r="AB279" s="307" t="n"/>
      <c r="AC279" s="307" t="n"/>
      <c r="AD279" s="307" t="n"/>
    </row>
    <row r="280" ht="15.75" customHeight="1" s="349">
      <c r="A280" s="307" t="n"/>
      <c r="B280" s="307" t="n"/>
      <c r="C280" s="307" t="n"/>
      <c r="D280" s="307" t="n"/>
      <c r="E280" s="307" t="n"/>
      <c r="F280" s="307" t="n"/>
      <c r="G280" s="307" t="n"/>
      <c r="H280" s="31" t="n"/>
      <c r="I280" s="31" t="n"/>
      <c r="J280" s="31" t="n"/>
      <c r="K280" s="31" t="n"/>
      <c r="L280" s="31" t="n"/>
      <c r="M280" s="31" t="n"/>
      <c r="N280" s="307" t="n"/>
      <c r="O280" s="307" t="n"/>
      <c r="P280" s="307" t="n"/>
      <c r="Q280" s="307" t="n"/>
      <c r="R280" s="307" t="n"/>
      <c r="S280" s="307" t="n"/>
      <c r="T280" s="307" t="n"/>
      <c r="U280" s="307" t="n"/>
      <c r="V280" s="307" t="n"/>
      <c r="W280" s="307" t="n"/>
      <c r="X280" s="307" t="n"/>
      <c r="Y280" s="307" t="n"/>
      <c r="Z280" s="307" t="n"/>
      <c r="AA280" s="307" t="n"/>
      <c r="AB280" s="307" t="n"/>
      <c r="AC280" s="307" t="n"/>
      <c r="AD280" s="307" t="n"/>
    </row>
    <row r="281" ht="15.75" customHeight="1" s="349">
      <c r="A281" s="307" t="n"/>
      <c r="B281" s="307" t="n"/>
      <c r="C281" s="307" t="n"/>
      <c r="D281" s="307" t="n"/>
      <c r="E281" s="307" t="n"/>
      <c r="F281" s="307" t="n"/>
      <c r="G281" s="307" t="n"/>
      <c r="H281" s="31" t="n"/>
      <c r="I281" s="31" t="n"/>
      <c r="J281" s="31" t="n"/>
      <c r="K281" s="31" t="n"/>
      <c r="L281" s="31" t="n"/>
      <c r="M281" s="31" t="n"/>
      <c r="N281" s="307" t="n"/>
      <c r="O281" s="307" t="n"/>
      <c r="P281" s="307" t="n"/>
      <c r="Q281" s="307" t="n"/>
      <c r="R281" s="307" t="n"/>
      <c r="S281" s="307" t="n"/>
      <c r="T281" s="307" t="n"/>
      <c r="U281" s="307" t="n"/>
      <c r="V281" s="307" t="n"/>
      <c r="W281" s="307" t="n"/>
      <c r="X281" s="307" t="n"/>
      <c r="Y281" s="307" t="n"/>
      <c r="Z281" s="307" t="n"/>
      <c r="AA281" s="307" t="n"/>
      <c r="AB281" s="307" t="n"/>
      <c r="AC281" s="307" t="n"/>
      <c r="AD281" s="307" t="n"/>
    </row>
    <row r="282" ht="15.75" customHeight="1" s="349">
      <c r="A282" s="307" t="n"/>
      <c r="B282" s="307" t="n"/>
      <c r="C282" s="307" t="n"/>
      <c r="D282" s="307" t="n"/>
      <c r="E282" s="307" t="n"/>
      <c r="F282" s="307" t="n"/>
      <c r="G282" s="307" t="n"/>
      <c r="H282" s="31" t="n"/>
      <c r="I282" s="31" t="n"/>
      <c r="J282" s="31" t="n"/>
      <c r="K282" s="31" t="n"/>
      <c r="L282" s="31" t="n"/>
      <c r="M282" s="31" t="n"/>
      <c r="N282" s="307" t="n"/>
      <c r="O282" s="307" t="n"/>
      <c r="P282" s="307" t="n"/>
      <c r="Q282" s="307" t="n"/>
      <c r="R282" s="307" t="n"/>
      <c r="S282" s="307" t="n"/>
      <c r="T282" s="307" t="n"/>
      <c r="U282" s="307" t="n"/>
      <c r="V282" s="307" t="n"/>
      <c r="W282" s="307" t="n"/>
      <c r="X282" s="307" t="n"/>
      <c r="Y282" s="307" t="n"/>
      <c r="Z282" s="307" t="n"/>
      <c r="AA282" s="307" t="n"/>
      <c r="AB282" s="307" t="n"/>
      <c r="AC282" s="307" t="n"/>
      <c r="AD282" s="307" t="n"/>
    </row>
    <row r="283" ht="15.75" customHeight="1" s="349">
      <c r="A283" s="307" t="n"/>
      <c r="B283" s="307" t="n"/>
      <c r="C283" s="307" t="n"/>
      <c r="D283" s="307" t="n"/>
      <c r="E283" s="307" t="n"/>
      <c r="F283" s="307" t="n"/>
      <c r="G283" s="307" t="n"/>
      <c r="H283" s="31" t="n"/>
      <c r="I283" s="31" t="n"/>
      <c r="J283" s="31" t="n"/>
      <c r="K283" s="31" t="n"/>
      <c r="L283" s="31" t="n"/>
      <c r="M283" s="31" t="n"/>
      <c r="N283" s="307" t="n"/>
      <c r="O283" s="307" t="n"/>
      <c r="P283" s="307" t="n"/>
      <c r="Q283" s="307" t="n"/>
      <c r="R283" s="307" t="n"/>
      <c r="S283" s="307" t="n"/>
      <c r="T283" s="307" t="n"/>
      <c r="U283" s="307" t="n"/>
      <c r="V283" s="307" t="n"/>
      <c r="W283" s="307" t="n"/>
      <c r="X283" s="307" t="n"/>
      <c r="Y283" s="307" t="n"/>
      <c r="Z283" s="307" t="n"/>
      <c r="AA283" s="307" t="n"/>
      <c r="AB283" s="307" t="n"/>
      <c r="AC283" s="307" t="n"/>
      <c r="AD283" s="307" t="n"/>
    </row>
    <row r="284" ht="15.75" customHeight="1" s="349">
      <c r="A284" s="307" t="n"/>
      <c r="B284" s="307" t="n"/>
      <c r="C284" s="307" t="n"/>
      <c r="D284" s="307" t="n"/>
      <c r="E284" s="307" t="n"/>
      <c r="F284" s="307" t="n"/>
      <c r="G284" s="307" t="n"/>
      <c r="H284" s="31" t="n"/>
      <c r="I284" s="31" t="n"/>
      <c r="J284" s="31" t="n"/>
      <c r="K284" s="31" t="n"/>
      <c r="L284" s="31" t="n"/>
      <c r="M284" s="31" t="n"/>
      <c r="N284" s="307" t="n"/>
      <c r="O284" s="307" t="n"/>
      <c r="P284" s="307" t="n"/>
      <c r="Q284" s="307" t="n"/>
      <c r="R284" s="307" t="n"/>
      <c r="S284" s="307" t="n"/>
      <c r="T284" s="307" t="n"/>
      <c r="U284" s="307" t="n"/>
      <c r="V284" s="307" t="n"/>
      <c r="W284" s="307" t="n"/>
      <c r="X284" s="307" t="n"/>
      <c r="Y284" s="307" t="n"/>
      <c r="Z284" s="307" t="n"/>
      <c r="AA284" s="307" t="n"/>
      <c r="AB284" s="307" t="n"/>
      <c r="AC284" s="307" t="n"/>
      <c r="AD284" s="307" t="n"/>
    </row>
    <row r="285" ht="15.75" customHeight="1" s="349">
      <c r="A285" s="307" t="n"/>
      <c r="B285" s="307" t="n"/>
      <c r="C285" s="307" t="n"/>
      <c r="D285" s="307" t="n"/>
      <c r="E285" s="307" t="n"/>
      <c r="F285" s="307" t="n"/>
      <c r="G285" s="307" t="n"/>
      <c r="H285" s="31" t="n"/>
      <c r="I285" s="31" t="n"/>
      <c r="J285" s="31" t="n"/>
      <c r="K285" s="31" t="n"/>
      <c r="L285" s="31" t="n"/>
      <c r="M285" s="31" t="n"/>
      <c r="N285" s="307" t="n"/>
      <c r="O285" s="307" t="n"/>
      <c r="P285" s="307" t="n"/>
      <c r="Q285" s="307" t="n"/>
      <c r="R285" s="307" t="n"/>
      <c r="S285" s="307" t="n"/>
      <c r="T285" s="307" t="n"/>
      <c r="U285" s="307" t="n"/>
      <c r="V285" s="307" t="n"/>
      <c r="W285" s="307" t="n"/>
      <c r="X285" s="307" t="n"/>
      <c r="Y285" s="307" t="n"/>
      <c r="Z285" s="307" t="n"/>
      <c r="AA285" s="307" t="n"/>
      <c r="AB285" s="307" t="n"/>
      <c r="AC285" s="307" t="n"/>
      <c r="AD285" s="307" t="n"/>
    </row>
    <row r="286" ht="15.75" customHeight="1" s="349">
      <c r="A286" s="307" t="n"/>
      <c r="B286" s="307" t="n"/>
      <c r="C286" s="307" t="n"/>
      <c r="D286" s="307" t="n"/>
      <c r="E286" s="307" t="n"/>
      <c r="F286" s="307" t="n"/>
      <c r="G286" s="307" t="n"/>
      <c r="H286" s="31" t="n"/>
      <c r="I286" s="31" t="n"/>
      <c r="J286" s="31" t="n"/>
      <c r="K286" s="31" t="n"/>
      <c r="L286" s="31" t="n"/>
      <c r="M286" s="31" t="n"/>
      <c r="N286" s="307" t="n"/>
      <c r="O286" s="307" t="n"/>
      <c r="P286" s="307" t="n"/>
      <c r="Q286" s="307" t="n"/>
      <c r="R286" s="307" t="n"/>
      <c r="S286" s="307" t="n"/>
      <c r="T286" s="307" t="n"/>
      <c r="U286" s="307" t="n"/>
      <c r="V286" s="307" t="n"/>
      <c r="W286" s="307" t="n"/>
      <c r="X286" s="307" t="n"/>
      <c r="Y286" s="307" t="n"/>
      <c r="Z286" s="307" t="n"/>
      <c r="AA286" s="307" t="n"/>
      <c r="AB286" s="307" t="n"/>
      <c r="AC286" s="307" t="n"/>
      <c r="AD286" s="307" t="n"/>
    </row>
    <row r="287" ht="15.75" customHeight="1" s="349">
      <c r="A287" s="307" t="n"/>
      <c r="B287" s="307" t="n"/>
      <c r="C287" s="307" t="n"/>
      <c r="D287" s="307" t="n"/>
      <c r="E287" s="307" t="n"/>
      <c r="F287" s="307" t="n"/>
      <c r="G287" s="307" t="n"/>
      <c r="H287" s="31" t="n"/>
      <c r="I287" s="31" t="n"/>
      <c r="J287" s="31" t="n"/>
      <c r="K287" s="31" t="n"/>
      <c r="L287" s="31" t="n"/>
      <c r="M287" s="31" t="n"/>
      <c r="N287" s="307" t="n"/>
      <c r="O287" s="307" t="n"/>
      <c r="P287" s="307" t="n"/>
      <c r="Q287" s="307" t="n"/>
      <c r="R287" s="307" t="n"/>
      <c r="S287" s="307" t="n"/>
      <c r="T287" s="307" t="n"/>
      <c r="U287" s="307" t="n"/>
      <c r="V287" s="307" t="n"/>
      <c r="W287" s="307" t="n"/>
      <c r="X287" s="307" t="n"/>
      <c r="Y287" s="307" t="n"/>
      <c r="Z287" s="307" t="n"/>
      <c r="AA287" s="307" t="n"/>
      <c r="AB287" s="307" t="n"/>
      <c r="AC287" s="307" t="n"/>
      <c r="AD287" s="307" t="n"/>
    </row>
    <row r="288" ht="15.75" customHeight="1" s="349">
      <c r="A288" s="307" t="n"/>
      <c r="B288" s="307" t="n"/>
      <c r="C288" s="307" t="n"/>
      <c r="D288" s="307" t="n"/>
      <c r="E288" s="307" t="n"/>
      <c r="F288" s="307" t="n"/>
      <c r="G288" s="307" t="n"/>
      <c r="H288" s="31" t="n"/>
      <c r="I288" s="31" t="n"/>
      <c r="J288" s="31" t="n"/>
      <c r="K288" s="31" t="n"/>
      <c r="L288" s="31" t="n"/>
      <c r="M288" s="31" t="n"/>
      <c r="N288" s="307" t="n"/>
      <c r="O288" s="307" t="n"/>
      <c r="P288" s="307" t="n"/>
      <c r="Q288" s="307" t="n"/>
      <c r="R288" s="307" t="n"/>
      <c r="S288" s="307" t="n"/>
      <c r="T288" s="307" t="n"/>
      <c r="U288" s="307" t="n"/>
      <c r="V288" s="307" t="n"/>
      <c r="W288" s="307" t="n"/>
      <c r="X288" s="307" t="n"/>
      <c r="Y288" s="307" t="n"/>
      <c r="Z288" s="307" t="n"/>
      <c r="AA288" s="307" t="n"/>
      <c r="AB288" s="307" t="n"/>
      <c r="AC288" s="307" t="n"/>
      <c r="AD288" s="307" t="n"/>
    </row>
    <row r="289" ht="15.75" customHeight="1" s="349">
      <c r="A289" s="307" t="n"/>
      <c r="B289" s="307" t="n"/>
      <c r="C289" s="307" t="n"/>
      <c r="D289" s="307" t="n"/>
      <c r="E289" s="307" t="n"/>
      <c r="F289" s="307" t="n"/>
      <c r="G289" s="307" t="n"/>
      <c r="H289" s="31" t="n"/>
      <c r="I289" s="31" t="n"/>
      <c r="J289" s="31" t="n"/>
      <c r="K289" s="31" t="n"/>
      <c r="L289" s="31" t="n"/>
      <c r="M289" s="31" t="n"/>
      <c r="N289" s="307" t="n"/>
      <c r="O289" s="307" t="n"/>
      <c r="P289" s="307" t="n"/>
      <c r="Q289" s="307" t="n"/>
      <c r="R289" s="307" t="n"/>
      <c r="S289" s="307" t="n"/>
      <c r="T289" s="307" t="n"/>
      <c r="U289" s="307" t="n"/>
      <c r="V289" s="307" t="n"/>
      <c r="W289" s="307" t="n"/>
      <c r="X289" s="307" t="n"/>
      <c r="Y289" s="307" t="n"/>
      <c r="Z289" s="307" t="n"/>
      <c r="AA289" s="307" t="n"/>
      <c r="AB289" s="307" t="n"/>
      <c r="AC289" s="307" t="n"/>
      <c r="AD289" s="307" t="n"/>
    </row>
    <row r="290" ht="15.75" customHeight="1" s="349">
      <c r="A290" s="307" t="n"/>
      <c r="B290" s="307" t="n"/>
      <c r="C290" s="307" t="n"/>
      <c r="D290" s="307" t="n"/>
      <c r="E290" s="307" t="n"/>
      <c r="F290" s="307" t="n"/>
      <c r="G290" s="307" t="n"/>
      <c r="H290" s="31" t="n"/>
      <c r="I290" s="31" t="n"/>
      <c r="J290" s="31" t="n"/>
      <c r="K290" s="31" t="n"/>
      <c r="L290" s="31" t="n"/>
      <c r="M290" s="31" t="n"/>
      <c r="N290" s="307" t="n"/>
      <c r="O290" s="307" t="n"/>
      <c r="P290" s="307" t="n"/>
      <c r="Q290" s="307" t="n"/>
      <c r="R290" s="307" t="n"/>
      <c r="S290" s="307" t="n"/>
      <c r="T290" s="307" t="n"/>
      <c r="U290" s="307" t="n"/>
      <c r="V290" s="307" t="n"/>
      <c r="W290" s="307" t="n"/>
      <c r="X290" s="307" t="n"/>
      <c r="Y290" s="307" t="n"/>
      <c r="Z290" s="307" t="n"/>
      <c r="AA290" s="307" t="n"/>
      <c r="AB290" s="307" t="n"/>
      <c r="AC290" s="307" t="n"/>
      <c r="AD290" s="307" t="n"/>
    </row>
    <row r="291" ht="15.75" customHeight="1" s="349">
      <c r="A291" s="307" t="n"/>
      <c r="B291" s="307" t="n"/>
      <c r="C291" s="307" t="n"/>
      <c r="D291" s="307" t="n"/>
      <c r="E291" s="307" t="n"/>
      <c r="F291" s="307" t="n"/>
      <c r="G291" s="307" t="n"/>
      <c r="H291" s="31" t="n"/>
      <c r="I291" s="31" t="n"/>
      <c r="J291" s="31" t="n"/>
      <c r="K291" s="31" t="n"/>
      <c r="L291" s="31" t="n"/>
      <c r="M291" s="31" t="n"/>
      <c r="N291" s="307" t="n"/>
      <c r="O291" s="307" t="n"/>
      <c r="P291" s="307" t="n"/>
      <c r="Q291" s="307" t="n"/>
      <c r="R291" s="307" t="n"/>
      <c r="S291" s="307" t="n"/>
      <c r="T291" s="307" t="n"/>
      <c r="U291" s="307" t="n"/>
      <c r="V291" s="307" t="n"/>
      <c r="W291" s="307" t="n"/>
      <c r="X291" s="307" t="n"/>
      <c r="Y291" s="307" t="n"/>
      <c r="Z291" s="307" t="n"/>
      <c r="AA291" s="307" t="n"/>
      <c r="AB291" s="307" t="n"/>
      <c r="AC291" s="307" t="n"/>
      <c r="AD291" s="307" t="n"/>
    </row>
    <row r="292" ht="15.75" customHeight="1" s="349">
      <c r="A292" s="307" t="n"/>
      <c r="B292" s="307" t="n"/>
      <c r="C292" s="307" t="n"/>
      <c r="D292" s="307" t="n"/>
      <c r="E292" s="307" t="n"/>
      <c r="F292" s="307" t="n"/>
      <c r="G292" s="307" t="n"/>
      <c r="H292" s="31" t="n"/>
      <c r="I292" s="31" t="n"/>
      <c r="J292" s="31" t="n"/>
      <c r="K292" s="31" t="n"/>
      <c r="L292" s="31" t="n"/>
      <c r="M292" s="31" t="n"/>
      <c r="N292" s="307" t="n"/>
      <c r="O292" s="307" t="n"/>
      <c r="P292" s="307" t="n"/>
      <c r="Q292" s="307" t="n"/>
      <c r="R292" s="307" t="n"/>
      <c r="S292" s="307" t="n"/>
      <c r="T292" s="307" t="n"/>
      <c r="U292" s="307" t="n"/>
      <c r="V292" s="307" t="n"/>
      <c r="W292" s="307" t="n"/>
      <c r="X292" s="307" t="n"/>
      <c r="Y292" s="307" t="n"/>
      <c r="Z292" s="307" t="n"/>
      <c r="AA292" s="307" t="n"/>
      <c r="AB292" s="307" t="n"/>
      <c r="AC292" s="307" t="n"/>
      <c r="AD292" s="307" t="n"/>
    </row>
    <row r="293" ht="15.75" customHeight="1" s="349">
      <c r="A293" s="307" t="n"/>
      <c r="B293" s="307" t="n"/>
      <c r="C293" s="307" t="n"/>
      <c r="D293" s="307" t="n"/>
      <c r="E293" s="307" t="n"/>
      <c r="F293" s="307" t="n"/>
      <c r="G293" s="307" t="n"/>
      <c r="H293" s="31" t="n"/>
      <c r="I293" s="31" t="n"/>
      <c r="J293" s="31" t="n"/>
      <c r="K293" s="31" t="n"/>
      <c r="L293" s="31" t="n"/>
      <c r="M293" s="31" t="n"/>
      <c r="N293" s="307" t="n"/>
      <c r="O293" s="307" t="n"/>
      <c r="P293" s="307" t="n"/>
      <c r="Q293" s="307" t="n"/>
      <c r="R293" s="307" t="n"/>
      <c r="S293" s="307" t="n"/>
      <c r="T293" s="307" t="n"/>
      <c r="U293" s="307" t="n"/>
      <c r="V293" s="307" t="n"/>
      <c r="W293" s="307" t="n"/>
      <c r="X293" s="307" t="n"/>
      <c r="Y293" s="307" t="n"/>
      <c r="Z293" s="307" t="n"/>
      <c r="AA293" s="307" t="n"/>
      <c r="AB293" s="307" t="n"/>
      <c r="AC293" s="307" t="n"/>
      <c r="AD293" s="307" t="n"/>
    </row>
    <row r="294" ht="15.75" customHeight="1" s="349">
      <c r="A294" s="307" t="n"/>
      <c r="B294" s="307" t="n"/>
      <c r="C294" s="307" t="n"/>
      <c r="D294" s="307" t="n"/>
      <c r="E294" s="307" t="n"/>
      <c r="F294" s="307" t="n"/>
      <c r="G294" s="307" t="n"/>
      <c r="H294" s="31" t="n"/>
      <c r="I294" s="31" t="n"/>
      <c r="J294" s="31" t="n"/>
      <c r="K294" s="31" t="n"/>
      <c r="L294" s="31" t="n"/>
      <c r="M294" s="31" t="n"/>
      <c r="N294" s="307" t="n"/>
      <c r="O294" s="307" t="n"/>
      <c r="P294" s="307" t="n"/>
      <c r="Q294" s="307" t="n"/>
      <c r="R294" s="307" t="n"/>
      <c r="S294" s="307" t="n"/>
      <c r="T294" s="307" t="n"/>
      <c r="U294" s="307" t="n"/>
      <c r="V294" s="307" t="n"/>
      <c r="W294" s="307" t="n"/>
      <c r="X294" s="307" t="n"/>
      <c r="Y294" s="307" t="n"/>
      <c r="Z294" s="307" t="n"/>
      <c r="AA294" s="307" t="n"/>
      <c r="AB294" s="307" t="n"/>
      <c r="AC294" s="307" t="n"/>
      <c r="AD294" s="307" t="n"/>
    </row>
    <row r="295" ht="15.75" customHeight="1" s="349">
      <c r="A295" s="307" t="n"/>
      <c r="B295" s="307" t="n"/>
      <c r="C295" s="307" t="n"/>
      <c r="D295" s="307" t="n"/>
      <c r="E295" s="307" t="n"/>
      <c r="F295" s="307" t="n"/>
      <c r="G295" s="307" t="n"/>
      <c r="H295" s="31" t="n"/>
      <c r="I295" s="31" t="n"/>
      <c r="J295" s="31" t="n"/>
      <c r="K295" s="31" t="n"/>
      <c r="L295" s="31" t="n"/>
      <c r="M295" s="31" t="n"/>
      <c r="N295" s="307" t="n"/>
      <c r="O295" s="307" t="n"/>
      <c r="P295" s="307" t="n"/>
      <c r="Q295" s="307" t="n"/>
      <c r="R295" s="307" t="n"/>
      <c r="S295" s="307" t="n"/>
      <c r="T295" s="307" t="n"/>
      <c r="U295" s="307" t="n"/>
      <c r="V295" s="307" t="n"/>
      <c r="W295" s="307" t="n"/>
      <c r="X295" s="307" t="n"/>
      <c r="Y295" s="307" t="n"/>
      <c r="Z295" s="307" t="n"/>
      <c r="AA295" s="307" t="n"/>
      <c r="AB295" s="307" t="n"/>
      <c r="AC295" s="307" t="n"/>
      <c r="AD295" s="307" t="n"/>
    </row>
    <row r="296" ht="15.75" customHeight="1" s="349">
      <c r="A296" s="307" t="n"/>
      <c r="B296" s="307" t="n"/>
      <c r="C296" s="307" t="n"/>
      <c r="D296" s="307" t="n"/>
      <c r="E296" s="307" t="n"/>
      <c r="F296" s="307" t="n"/>
      <c r="G296" s="307" t="n"/>
      <c r="H296" s="31" t="n"/>
      <c r="I296" s="31" t="n"/>
      <c r="J296" s="31" t="n"/>
      <c r="K296" s="31" t="n"/>
      <c r="L296" s="31" t="n"/>
      <c r="M296" s="31" t="n"/>
      <c r="N296" s="307" t="n"/>
      <c r="O296" s="307" t="n"/>
      <c r="P296" s="307" t="n"/>
      <c r="Q296" s="307" t="n"/>
      <c r="R296" s="307" t="n"/>
      <c r="S296" s="307" t="n"/>
      <c r="T296" s="307" t="n"/>
      <c r="U296" s="307" t="n"/>
      <c r="V296" s="307" t="n"/>
      <c r="W296" s="307" t="n"/>
      <c r="X296" s="307" t="n"/>
      <c r="Y296" s="307" t="n"/>
      <c r="Z296" s="307" t="n"/>
      <c r="AA296" s="307" t="n"/>
      <c r="AB296" s="307" t="n"/>
      <c r="AC296" s="307" t="n"/>
      <c r="AD296" s="307" t="n"/>
    </row>
    <row r="297" ht="15.75" customHeight="1" s="349">
      <c r="A297" s="307" t="n"/>
      <c r="B297" s="307" t="n"/>
      <c r="C297" s="307" t="n"/>
      <c r="D297" s="307" t="n"/>
      <c r="E297" s="307" t="n"/>
      <c r="F297" s="307" t="n"/>
      <c r="G297" s="307" t="n"/>
      <c r="H297" s="31" t="n"/>
      <c r="I297" s="31" t="n"/>
      <c r="J297" s="31" t="n"/>
      <c r="K297" s="31" t="n"/>
      <c r="L297" s="31" t="n"/>
      <c r="M297" s="31" t="n"/>
      <c r="N297" s="307" t="n"/>
      <c r="O297" s="307" t="n"/>
      <c r="P297" s="307" t="n"/>
      <c r="Q297" s="307" t="n"/>
      <c r="R297" s="307" t="n"/>
      <c r="S297" s="307" t="n"/>
      <c r="T297" s="307" t="n"/>
      <c r="U297" s="307" t="n"/>
      <c r="V297" s="307" t="n"/>
      <c r="W297" s="307" t="n"/>
      <c r="X297" s="307" t="n"/>
      <c r="Y297" s="307" t="n"/>
      <c r="Z297" s="307" t="n"/>
      <c r="AA297" s="307" t="n"/>
      <c r="AB297" s="307" t="n"/>
      <c r="AC297" s="307" t="n"/>
      <c r="AD297" s="307" t="n"/>
    </row>
    <row r="298" ht="15.75" customHeight="1" s="349">
      <c r="A298" s="307" t="n"/>
      <c r="B298" s="307" t="n"/>
      <c r="C298" s="307" t="n"/>
      <c r="D298" s="307" t="n"/>
      <c r="E298" s="307" t="n"/>
      <c r="F298" s="307" t="n"/>
      <c r="G298" s="307" t="n"/>
      <c r="H298" s="31" t="n"/>
      <c r="I298" s="31" t="n"/>
      <c r="J298" s="31" t="n"/>
      <c r="K298" s="31" t="n"/>
      <c r="L298" s="31" t="n"/>
      <c r="M298" s="31" t="n"/>
      <c r="N298" s="307" t="n"/>
      <c r="O298" s="307" t="n"/>
      <c r="P298" s="307" t="n"/>
      <c r="Q298" s="307" t="n"/>
      <c r="R298" s="307" t="n"/>
      <c r="S298" s="307" t="n"/>
      <c r="T298" s="307" t="n"/>
      <c r="U298" s="307" t="n"/>
      <c r="V298" s="307" t="n"/>
      <c r="W298" s="307" t="n"/>
      <c r="X298" s="307" t="n"/>
      <c r="Y298" s="307" t="n"/>
      <c r="Z298" s="307" t="n"/>
      <c r="AA298" s="307" t="n"/>
      <c r="AB298" s="307" t="n"/>
      <c r="AC298" s="307" t="n"/>
      <c r="AD298" s="307" t="n"/>
    </row>
    <row r="299" ht="15.75" customHeight="1" s="349">
      <c r="A299" s="307" t="n"/>
      <c r="B299" s="307" t="n"/>
      <c r="C299" s="307" t="n"/>
      <c r="D299" s="307" t="n"/>
      <c r="E299" s="307" t="n"/>
      <c r="F299" s="307" t="n"/>
      <c r="G299" s="307" t="n"/>
      <c r="H299" s="31" t="n"/>
      <c r="I299" s="31" t="n"/>
      <c r="J299" s="31" t="n"/>
      <c r="K299" s="31" t="n"/>
      <c r="L299" s="31" t="n"/>
      <c r="M299" s="31" t="n"/>
      <c r="N299" s="307" t="n"/>
      <c r="O299" s="307" t="n"/>
      <c r="P299" s="307" t="n"/>
      <c r="Q299" s="307" t="n"/>
      <c r="R299" s="307" t="n"/>
      <c r="S299" s="307" t="n"/>
      <c r="T299" s="307" t="n"/>
      <c r="U299" s="307" t="n"/>
      <c r="V299" s="307" t="n"/>
      <c r="W299" s="307" t="n"/>
      <c r="X299" s="307" t="n"/>
      <c r="Y299" s="307" t="n"/>
      <c r="Z299" s="307" t="n"/>
      <c r="AA299" s="307" t="n"/>
      <c r="AB299" s="307" t="n"/>
      <c r="AC299" s="307" t="n"/>
      <c r="AD299" s="307" t="n"/>
    </row>
    <row r="300" ht="15.75" customHeight="1" s="349">
      <c r="A300" s="307" t="n"/>
      <c r="B300" s="307" t="n"/>
      <c r="C300" s="307" t="n"/>
      <c r="D300" s="307" t="n"/>
      <c r="E300" s="307" t="n"/>
      <c r="F300" s="307" t="n"/>
      <c r="G300" s="307" t="n"/>
      <c r="H300" s="31" t="n"/>
      <c r="I300" s="31" t="n"/>
      <c r="J300" s="31" t="n"/>
      <c r="K300" s="31" t="n"/>
      <c r="L300" s="31" t="n"/>
      <c r="M300" s="31" t="n"/>
      <c r="N300" s="307" t="n"/>
      <c r="O300" s="307" t="n"/>
      <c r="P300" s="307" t="n"/>
      <c r="Q300" s="307" t="n"/>
      <c r="R300" s="307" t="n"/>
      <c r="S300" s="307" t="n"/>
      <c r="T300" s="307" t="n"/>
      <c r="U300" s="307" t="n"/>
      <c r="V300" s="307" t="n"/>
      <c r="W300" s="307" t="n"/>
      <c r="X300" s="307" t="n"/>
      <c r="Y300" s="307" t="n"/>
      <c r="Z300" s="307" t="n"/>
      <c r="AA300" s="307" t="n"/>
      <c r="AB300" s="307" t="n"/>
      <c r="AC300" s="307" t="n"/>
      <c r="AD300" s="307" t="n"/>
    </row>
    <row r="301" ht="15.75" customHeight="1" s="349">
      <c r="A301" s="307" t="n"/>
      <c r="B301" s="307" t="n"/>
      <c r="C301" s="307" t="n"/>
      <c r="D301" s="307" t="n"/>
      <c r="E301" s="307" t="n"/>
      <c r="F301" s="307" t="n"/>
      <c r="G301" s="307" t="n"/>
      <c r="H301" s="31" t="n"/>
      <c r="I301" s="31" t="n"/>
      <c r="J301" s="31" t="n"/>
      <c r="K301" s="31" t="n"/>
      <c r="L301" s="31" t="n"/>
      <c r="M301" s="31" t="n"/>
      <c r="N301" s="307" t="n"/>
      <c r="O301" s="307" t="n"/>
      <c r="P301" s="307" t="n"/>
      <c r="Q301" s="307" t="n"/>
      <c r="R301" s="307" t="n"/>
      <c r="S301" s="307" t="n"/>
      <c r="T301" s="307" t="n"/>
      <c r="U301" s="307" t="n"/>
      <c r="V301" s="307" t="n"/>
      <c r="W301" s="307" t="n"/>
      <c r="X301" s="307" t="n"/>
      <c r="Y301" s="307" t="n"/>
      <c r="Z301" s="307" t="n"/>
      <c r="AA301" s="307" t="n"/>
      <c r="AB301" s="307" t="n"/>
      <c r="AC301" s="307" t="n"/>
      <c r="AD301" s="307" t="n"/>
    </row>
    <row r="302" ht="15.75" customHeight="1" s="349">
      <c r="A302" s="307" t="n"/>
      <c r="B302" s="307" t="n"/>
      <c r="C302" s="307" t="n"/>
      <c r="D302" s="307" t="n"/>
      <c r="E302" s="307" t="n"/>
      <c r="F302" s="307" t="n"/>
      <c r="G302" s="307" t="n"/>
      <c r="H302" s="31" t="n"/>
      <c r="I302" s="31" t="n"/>
      <c r="J302" s="31" t="n"/>
      <c r="K302" s="31" t="n"/>
      <c r="L302" s="31" t="n"/>
      <c r="M302" s="31" t="n"/>
      <c r="N302" s="307" t="n"/>
      <c r="O302" s="307" t="n"/>
      <c r="P302" s="307" t="n"/>
      <c r="Q302" s="307" t="n"/>
      <c r="R302" s="307" t="n"/>
      <c r="S302" s="307" t="n"/>
      <c r="T302" s="307" t="n"/>
      <c r="U302" s="307" t="n"/>
      <c r="V302" s="307" t="n"/>
      <c r="W302" s="307" t="n"/>
      <c r="X302" s="307" t="n"/>
      <c r="Y302" s="307" t="n"/>
      <c r="Z302" s="307" t="n"/>
      <c r="AA302" s="307" t="n"/>
      <c r="AB302" s="307" t="n"/>
      <c r="AC302" s="307" t="n"/>
      <c r="AD302" s="307" t="n"/>
    </row>
    <row r="303" ht="15.75" customHeight="1" s="349">
      <c r="A303" s="307" t="n"/>
      <c r="B303" s="307" t="n"/>
      <c r="C303" s="307" t="n"/>
      <c r="D303" s="307" t="n"/>
      <c r="E303" s="307" t="n"/>
      <c r="F303" s="307" t="n"/>
      <c r="G303" s="307" t="n"/>
      <c r="H303" s="31" t="n"/>
      <c r="I303" s="31" t="n"/>
      <c r="J303" s="31" t="n"/>
      <c r="K303" s="31" t="n"/>
      <c r="L303" s="31" t="n"/>
      <c r="M303" s="31" t="n"/>
      <c r="N303" s="307" t="n"/>
      <c r="O303" s="307" t="n"/>
      <c r="P303" s="307" t="n"/>
      <c r="Q303" s="307" t="n"/>
      <c r="R303" s="307" t="n"/>
      <c r="S303" s="307" t="n"/>
      <c r="T303" s="307" t="n"/>
      <c r="U303" s="307" t="n"/>
      <c r="V303" s="307" t="n"/>
      <c r="W303" s="307" t="n"/>
      <c r="X303" s="307" t="n"/>
      <c r="Y303" s="307" t="n"/>
      <c r="Z303" s="307" t="n"/>
      <c r="AA303" s="307" t="n"/>
      <c r="AB303" s="307" t="n"/>
      <c r="AC303" s="307" t="n"/>
      <c r="AD303" s="307" t="n"/>
    </row>
    <row r="304" ht="15.75" customHeight="1" s="349">
      <c r="A304" s="307" t="n"/>
      <c r="B304" s="307" t="n"/>
      <c r="C304" s="307" t="n"/>
      <c r="D304" s="307" t="n"/>
      <c r="E304" s="307" t="n"/>
      <c r="F304" s="307" t="n"/>
      <c r="G304" s="307" t="n"/>
      <c r="H304" s="31" t="n"/>
      <c r="I304" s="31" t="n"/>
      <c r="J304" s="31" t="n"/>
      <c r="K304" s="31" t="n"/>
      <c r="L304" s="31" t="n"/>
      <c r="M304" s="31" t="n"/>
      <c r="N304" s="307" t="n"/>
      <c r="O304" s="307" t="n"/>
      <c r="P304" s="307" t="n"/>
      <c r="Q304" s="307" t="n"/>
      <c r="R304" s="307" t="n"/>
      <c r="S304" s="307" t="n"/>
      <c r="T304" s="307" t="n"/>
      <c r="U304" s="307" t="n"/>
      <c r="V304" s="307" t="n"/>
      <c r="W304" s="307" t="n"/>
      <c r="X304" s="307" t="n"/>
      <c r="Y304" s="307" t="n"/>
      <c r="Z304" s="307" t="n"/>
      <c r="AA304" s="307" t="n"/>
      <c r="AB304" s="307" t="n"/>
      <c r="AC304" s="307" t="n"/>
      <c r="AD304" s="307" t="n"/>
    </row>
    <row r="305" ht="15.75" customHeight="1" s="349">
      <c r="A305" s="307" t="n"/>
      <c r="B305" s="307" t="n"/>
      <c r="C305" s="307" t="n"/>
      <c r="D305" s="307" t="n"/>
      <c r="E305" s="307" t="n"/>
      <c r="F305" s="307" t="n"/>
      <c r="G305" s="307" t="n"/>
      <c r="H305" s="31" t="n"/>
      <c r="I305" s="31" t="n"/>
      <c r="J305" s="31" t="n"/>
      <c r="K305" s="31" t="n"/>
      <c r="L305" s="31" t="n"/>
      <c r="M305" s="31" t="n"/>
      <c r="N305" s="307" t="n"/>
      <c r="O305" s="307" t="n"/>
      <c r="P305" s="307" t="n"/>
      <c r="Q305" s="307" t="n"/>
      <c r="R305" s="307" t="n"/>
      <c r="S305" s="307" t="n"/>
      <c r="T305" s="307" t="n"/>
      <c r="U305" s="307" t="n"/>
      <c r="V305" s="307" t="n"/>
      <c r="W305" s="307" t="n"/>
      <c r="X305" s="307" t="n"/>
      <c r="Y305" s="307" t="n"/>
      <c r="Z305" s="307" t="n"/>
      <c r="AA305" s="307" t="n"/>
      <c r="AB305" s="307" t="n"/>
      <c r="AC305" s="307" t="n"/>
      <c r="AD305" s="307" t="n"/>
    </row>
    <row r="306" ht="15.75" customHeight="1" s="349">
      <c r="A306" s="307" t="n"/>
      <c r="B306" s="307" t="n"/>
      <c r="C306" s="307" t="n"/>
      <c r="D306" s="307" t="n"/>
      <c r="E306" s="307" t="n"/>
      <c r="F306" s="307" t="n"/>
      <c r="G306" s="307" t="n"/>
      <c r="H306" s="31" t="n"/>
      <c r="I306" s="31" t="n"/>
      <c r="J306" s="31" t="n"/>
      <c r="K306" s="31" t="n"/>
      <c r="L306" s="31" t="n"/>
      <c r="M306" s="31" t="n"/>
      <c r="N306" s="307" t="n"/>
      <c r="O306" s="307" t="n"/>
      <c r="P306" s="307" t="n"/>
      <c r="Q306" s="307" t="n"/>
      <c r="R306" s="307" t="n"/>
      <c r="S306" s="307" t="n"/>
      <c r="T306" s="307" t="n"/>
      <c r="U306" s="307" t="n"/>
      <c r="V306" s="307" t="n"/>
      <c r="W306" s="307" t="n"/>
      <c r="X306" s="307" t="n"/>
      <c r="Y306" s="307" t="n"/>
      <c r="Z306" s="307" t="n"/>
      <c r="AA306" s="307" t="n"/>
      <c r="AB306" s="307" t="n"/>
      <c r="AC306" s="307" t="n"/>
      <c r="AD306" s="307" t="n"/>
    </row>
    <row r="307" ht="15.75" customHeight="1" s="349">
      <c r="A307" s="307" t="n"/>
      <c r="B307" s="307" t="n"/>
      <c r="C307" s="307" t="n"/>
      <c r="D307" s="307" t="n"/>
      <c r="E307" s="307" t="n"/>
      <c r="F307" s="307" t="n"/>
      <c r="G307" s="307" t="n"/>
      <c r="H307" s="31" t="n"/>
      <c r="I307" s="31" t="n"/>
      <c r="J307" s="31" t="n"/>
      <c r="K307" s="31" t="n"/>
      <c r="L307" s="31" t="n"/>
      <c r="M307" s="31" t="n"/>
      <c r="N307" s="307" t="n"/>
      <c r="O307" s="307" t="n"/>
      <c r="P307" s="307" t="n"/>
      <c r="Q307" s="307" t="n"/>
      <c r="R307" s="307" t="n"/>
      <c r="S307" s="307" t="n"/>
      <c r="T307" s="307" t="n"/>
      <c r="U307" s="307" t="n"/>
      <c r="V307" s="307" t="n"/>
      <c r="W307" s="307" t="n"/>
      <c r="X307" s="307" t="n"/>
      <c r="Y307" s="307" t="n"/>
      <c r="Z307" s="307" t="n"/>
      <c r="AA307" s="307" t="n"/>
      <c r="AB307" s="307" t="n"/>
      <c r="AC307" s="307" t="n"/>
      <c r="AD307" s="307" t="n"/>
    </row>
    <row r="308" ht="15.75" customHeight="1" s="349">
      <c r="A308" s="307" t="n"/>
      <c r="B308" s="307" t="n"/>
      <c r="C308" s="307" t="n"/>
      <c r="D308" s="307" t="n"/>
      <c r="E308" s="307" t="n"/>
      <c r="F308" s="307" t="n"/>
      <c r="G308" s="307" t="n"/>
      <c r="H308" s="31" t="n"/>
      <c r="I308" s="31" t="n"/>
      <c r="J308" s="31" t="n"/>
      <c r="K308" s="31" t="n"/>
      <c r="L308" s="31" t="n"/>
      <c r="M308" s="31" t="n"/>
      <c r="N308" s="307" t="n"/>
      <c r="O308" s="307" t="n"/>
      <c r="P308" s="307" t="n"/>
      <c r="Q308" s="307" t="n"/>
      <c r="R308" s="307" t="n"/>
      <c r="S308" s="307" t="n"/>
      <c r="T308" s="307" t="n"/>
      <c r="U308" s="307" t="n"/>
      <c r="V308" s="307" t="n"/>
      <c r="W308" s="307" t="n"/>
      <c r="X308" s="307" t="n"/>
      <c r="Y308" s="307" t="n"/>
      <c r="Z308" s="307" t="n"/>
      <c r="AA308" s="307" t="n"/>
      <c r="AB308" s="307" t="n"/>
      <c r="AC308" s="307" t="n"/>
      <c r="AD308" s="307" t="n"/>
    </row>
    <row r="309" ht="15.75" customHeight="1" s="349">
      <c r="A309" s="307" t="n"/>
      <c r="B309" s="307" t="n"/>
      <c r="C309" s="307" t="n"/>
      <c r="D309" s="307" t="n"/>
      <c r="E309" s="307" t="n"/>
      <c r="F309" s="307" t="n"/>
      <c r="G309" s="307" t="n"/>
      <c r="H309" s="31" t="n"/>
      <c r="I309" s="31" t="n"/>
      <c r="J309" s="31" t="n"/>
      <c r="K309" s="31" t="n"/>
      <c r="L309" s="31" t="n"/>
      <c r="M309" s="31" t="n"/>
      <c r="N309" s="307" t="n"/>
      <c r="O309" s="307" t="n"/>
      <c r="P309" s="307" t="n"/>
      <c r="Q309" s="307" t="n"/>
      <c r="R309" s="307" t="n"/>
      <c r="S309" s="307" t="n"/>
      <c r="T309" s="307" t="n"/>
      <c r="U309" s="307" t="n"/>
      <c r="V309" s="307" t="n"/>
      <c r="W309" s="307" t="n"/>
      <c r="X309" s="307" t="n"/>
      <c r="Y309" s="307" t="n"/>
      <c r="Z309" s="307" t="n"/>
      <c r="AA309" s="307" t="n"/>
      <c r="AB309" s="307" t="n"/>
      <c r="AC309" s="307" t="n"/>
      <c r="AD309" s="307" t="n"/>
    </row>
    <row r="310" ht="15.75" customHeight="1" s="349">
      <c r="A310" s="307" t="n"/>
      <c r="B310" s="307" t="n"/>
      <c r="C310" s="307" t="n"/>
      <c r="D310" s="307" t="n"/>
      <c r="E310" s="307" t="n"/>
      <c r="F310" s="307" t="n"/>
      <c r="G310" s="307" t="n"/>
      <c r="H310" s="31" t="n"/>
      <c r="I310" s="31" t="n"/>
      <c r="J310" s="31" t="n"/>
      <c r="K310" s="31" t="n"/>
      <c r="L310" s="31" t="n"/>
      <c r="M310" s="31" t="n"/>
      <c r="N310" s="307" t="n"/>
      <c r="O310" s="307" t="n"/>
      <c r="P310" s="307" t="n"/>
      <c r="Q310" s="307" t="n"/>
      <c r="R310" s="307" t="n"/>
      <c r="S310" s="307" t="n"/>
      <c r="T310" s="307" t="n"/>
      <c r="U310" s="307" t="n"/>
      <c r="V310" s="307" t="n"/>
      <c r="W310" s="307" t="n"/>
      <c r="X310" s="307" t="n"/>
      <c r="Y310" s="307" t="n"/>
      <c r="Z310" s="307" t="n"/>
      <c r="AA310" s="307" t="n"/>
      <c r="AB310" s="307" t="n"/>
      <c r="AC310" s="307" t="n"/>
      <c r="AD310" s="307" t="n"/>
    </row>
    <row r="311" ht="15.75" customHeight="1" s="349">
      <c r="A311" s="307" t="n"/>
      <c r="B311" s="307" t="n"/>
      <c r="C311" s="307" t="n"/>
      <c r="D311" s="307" t="n"/>
      <c r="E311" s="307" t="n"/>
      <c r="F311" s="307" t="n"/>
      <c r="G311" s="307" t="n"/>
      <c r="H311" s="31" t="n"/>
      <c r="I311" s="31" t="n"/>
      <c r="J311" s="31" t="n"/>
      <c r="K311" s="31" t="n"/>
      <c r="L311" s="31" t="n"/>
      <c r="M311" s="31" t="n"/>
      <c r="N311" s="307" t="n"/>
      <c r="O311" s="307" t="n"/>
      <c r="P311" s="307" t="n"/>
      <c r="Q311" s="307" t="n"/>
      <c r="R311" s="307" t="n"/>
      <c r="S311" s="307" t="n"/>
      <c r="T311" s="307" t="n"/>
      <c r="U311" s="307" t="n"/>
      <c r="V311" s="307" t="n"/>
      <c r="W311" s="307" t="n"/>
      <c r="X311" s="307" t="n"/>
      <c r="Y311" s="307" t="n"/>
      <c r="Z311" s="307" t="n"/>
      <c r="AA311" s="307" t="n"/>
      <c r="AB311" s="307" t="n"/>
      <c r="AC311" s="307" t="n"/>
      <c r="AD311" s="307" t="n"/>
    </row>
    <row r="312" ht="15.75" customHeight="1" s="349">
      <c r="A312" s="307" t="n"/>
      <c r="B312" s="307" t="n"/>
      <c r="C312" s="307" t="n"/>
      <c r="D312" s="307" t="n"/>
      <c r="E312" s="307" t="n"/>
      <c r="F312" s="307" t="n"/>
      <c r="G312" s="307" t="n"/>
      <c r="H312" s="31" t="n"/>
      <c r="I312" s="31" t="n"/>
      <c r="J312" s="31" t="n"/>
      <c r="K312" s="31" t="n"/>
      <c r="L312" s="31" t="n"/>
      <c r="M312" s="31" t="n"/>
      <c r="N312" s="307" t="n"/>
      <c r="O312" s="307" t="n"/>
      <c r="P312" s="307" t="n"/>
      <c r="Q312" s="307" t="n"/>
      <c r="R312" s="307" t="n"/>
      <c r="S312" s="307" t="n"/>
      <c r="T312" s="307" t="n"/>
      <c r="U312" s="307" t="n"/>
      <c r="V312" s="307" t="n"/>
      <c r="W312" s="307" t="n"/>
      <c r="X312" s="307" t="n"/>
      <c r="Y312" s="307" t="n"/>
      <c r="Z312" s="307" t="n"/>
      <c r="AA312" s="307" t="n"/>
      <c r="AB312" s="307" t="n"/>
      <c r="AC312" s="307" t="n"/>
      <c r="AD312" s="307" t="n"/>
    </row>
    <row r="313" ht="15.75" customHeight="1" s="349">
      <c r="A313" s="307" t="n"/>
      <c r="B313" s="307" t="n"/>
      <c r="C313" s="307" t="n"/>
      <c r="D313" s="307" t="n"/>
      <c r="E313" s="307" t="n"/>
      <c r="F313" s="307" t="n"/>
      <c r="G313" s="307" t="n"/>
      <c r="H313" s="31" t="n"/>
      <c r="I313" s="31" t="n"/>
      <c r="J313" s="31" t="n"/>
      <c r="K313" s="31" t="n"/>
      <c r="L313" s="31" t="n"/>
      <c r="M313" s="31" t="n"/>
      <c r="N313" s="307" t="n"/>
      <c r="O313" s="307" t="n"/>
      <c r="P313" s="307" t="n"/>
      <c r="Q313" s="307" t="n"/>
      <c r="R313" s="307" t="n"/>
      <c r="S313" s="307" t="n"/>
      <c r="T313" s="307" t="n"/>
      <c r="U313" s="307" t="n"/>
      <c r="V313" s="307" t="n"/>
      <c r="W313" s="307" t="n"/>
      <c r="X313" s="307" t="n"/>
      <c r="Y313" s="307" t="n"/>
      <c r="Z313" s="307" t="n"/>
      <c r="AA313" s="307" t="n"/>
      <c r="AB313" s="307" t="n"/>
      <c r="AC313" s="307" t="n"/>
      <c r="AD313" s="307" t="n"/>
    </row>
    <row r="314" ht="15.75" customHeight="1" s="349">
      <c r="A314" s="307" t="n"/>
      <c r="B314" s="307" t="n"/>
      <c r="C314" s="307" t="n"/>
      <c r="D314" s="307" t="n"/>
      <c r="E314" s="307" t="n"/>
      <c r="F314" s="307" t="n"/>
      <c r="G314" s="307" t="n"/>
      <c r="H314" s="31" t="n"/>
      <c r="I314" s="31" t="n"/>
      <c r="J314" s="31" t="n"/>
      <c r="K314" s="31" t="n"/>
      <c r="L314" s="31" t="n"/>
      <c r="M314" s="31" t="n"/>
      <c r="N314" s="307" t="n"/>
      <c r="O314" s="307" t="n"/>
      <c r="P314" s="307" t="n"/>
      <c r="Q314" s="307" t="n"/>
      <c r="R314" s="307" t="n"/>
      <c r="S314" s="307" t="n"/>
      <c r="T314" s="307" t="n"/>
      <c r="U314" s="307" t="n"/>
      <c r="V314" s="307" t="n"/>
      <c r="W314" s="307" t="n"/>
      <c r="X314" s="307" t="n"/>
      <c r="Y314" s="307" t="n"/>
      <c r="Z314" s="307" t="n"/>
      <c r="AA314" s="307" t="n"/>
      <c r="AB314" s="307" t="n"/>
      <c r="AC314" s="307" t="n"/>
      <c r="AD314" s="307" t="n"/>
    </row>
    <row r="315" ht="15.75" customHeight="1" s="349">
      <c r="A315" s="307" t="n"/>
      <c r="B315" s="307" t="n"/>
      <c r="C315" s="307" t="n"/>
      <c r="D315" s="307" t="n"/>
      <c r="E315" s="307" t="n"/>
      <c r="F315" s="307" t="n"/>
      <c r="G315" s="307" t="n"/>
      <c r="H315" s="31" t="n"/>
      <c r="I315" s="31" t="n"/>
      <c r="J315" s="31" t="n"/>
      <c r="K315" s="31" t="n"/>
      <c r="L315" s="31" t="n"/>
      <c r="M315" s="31" t="n"/>
      <c r="N315" s="307" t="n"/>
      <c r="O315" s="307" t="n"/>
      <c r="P315" s="307" t="n"/>
      <c r="Q315" s="307" t="n"/>
      <c r="R315" s="307" t="n"/>
      <c r="S315" s="307" t="n"/>
      <c r="T315" s="307" t="n"/>
      <c r="U315" s="307" t="n"/>
      <c r="V315" s="307" t="n"/>
      <c r="W315" s="307" t="n"/>
      <c r="X315" s="307" t="n"/>
      <c r="Y315" s="307" t="n"/>
      <c r="Z315" s="307" t="n"/>
      <c r="AA315" s="307" t="n"/>
      <c r="AB315" s="307" t="n"/>
      <c r="AC315" s="307" t="n"/>
      <c r="AD315" s="307" t="n"/>
    </row>
    <row r="316" ht="15.75" customHeight="1" s="349">
      <c r="A316" s="307" t="n"/>
      <c r="B316" s="307" t="n"/>
      <c r="C316" s="307" t="n"/>
      <c r="D316" s="307" t="n"/>
      <c r="E316" s="307" t="n"/>
      <c r="F316" s="307" t="n"/>
      <c r="G316" s="307" t="n"/>
      <c r="H316" s="31" t="n"/>
      <c r="I316" s="31" t="n"/>
      <c r="J316" s="31" t="n"/>
      <c r="K316" s="31" t="n"/>
      <c r="L316" s="31" t="n"/>
      <c r="M316" s="31" t="n"/>
      <c r="N316" s="307" t="n"/>
      <c r="O316" s="307" t="n"/>
      <c r="P316" s="307" t="n"/>
      <c r="Q316" s="307" t="n"/>
      <c r="R316" s="307" t="n"/>
      <c r="S316" s="307" t="n"/>
      <c r="T316" s="307" t="n"/>
      <c r="U316" s="307" t="n"/>
      <c r="V316" s="307" t="n"/>
      <c r="W316" s="307" t="n"/>
      <c r="X316" s="307" t="n"/>
      <c r="Y316" s="307" t="n"/>
      <c r="Z316" s="307" t="n"/>
      <c r="AA316" s="307" t="n"/>
      <c r="AB316" s="307" t="n"/>
      <c r="AC316" s="307" t="n"/>
      <c r="AD316" s="307" t="n"/>
    </row>
    <row r="317" ht="15.75" customHeight="1" s="349">
      <c r="A317" s="307" t="n"/>
      <c r="B317" s="307" t="n"/>
      <c r="C317" s="307" t="n"/>
      <c r="D317" s="307" t="n"/>
      <c r="E317" s="307" t="n"/>
      <c r="F317" s="307" t="n"/>
      <c r="G317" s="307" t="n"/>
      <c r="H317" s="31" t="n"/>
      <c r="I317" s="31" t="n"/>
      <c r="J317" s="31" t="n"/>
      <c r="K317" s="31" t="n"/>
      <c r="L317" s="31" t="n"/>
      <c r="M317" s="31" t="n"/>
      <c r="N317" s="307" t="n"/>
      <c r="O317" s="307" t="n"/>
      <c r="P317" s="307" t="n"/>
      <c r="Q317" s="307" t="n"/>
      <c r="R317" s="307" t="n"/>
      <c r="S317" s="307" t="n"/>
      <c r="T317" s="307" t="n"/>
      <c r="U317" s="307" t="n"/>
      <c r="V317" s="307" t="n"/>
      <c r="W317" s="307" t="n"/>
      <c r="X317" s="307" t="n"/>
      <c r="Y317" s="307" t="n"/>
      <c r="Z317" s="307" t="n"/>
      <c r="AA317" s="307" t="n"/>
      <c r="AB317" s="307" t="n"/>
      <c r="AC317" s="307" t="n"/>
      <c r="AD317" s="307" t="n"/>
    </row>
    <row r="318" ht="15.75" customHeight="1" s="349">
      <c r="A318" s="307" t="n"/>
      <c r="B318" s="307" t="n"/>
      <c r="C318" s="307" t="n"/>
      <c r="D318" s="307" t="n"/>
      <c r="E318" s="307" t="n"/>
      <c r="F318" s="307" t="n"/>
      <c r="G318" s="307" t="n"/>
      <c r="H318" s="31" t="n"/>
      <c r="I318" s="31" t="n"/>
      <c r="J318" s="31" t="n"/>
      <c r="K318" s="31" t="n"/>
      <c r="L318" s="31" t="n"/>
      <c r="M318" s="31" t="n"/>
      <c r="N318" s="307" t="n"/>
      <c r="O318" s="307" t="n"/>
      <c r="P318" s="307" t="n"/>
      <c r="Q318" s="307" t="n"/>
      <c r="R318" s="307" t="n"/>
      <c r="S318" s="307" t="n"/>
      <c r="T318" s="307" t="n"/>
      <c r="U318" s="307" t="n"/>
      <c r="V318" s="307" t="n"/>
      <c r="W318" s="307" t="n"/>
      <c r="X318" s="307" t="n"/>
      <c r="Y318" s="307" t="n"/>
      <c r="Z318" s="307" t="n"/>
      <c r="AA318" s="307" t="n"/>
      <c r="AB318" s="307" t="n"/>
      <c r="AC318" s="307" t="n"/>
      <c r="AD318" s="307" t="n"/>
    </row>
    <row r="319" ht="15.75" customHeight="1" s="349">
      <c r="A319" s="307" t="n"/>
      <c r="B319" s="307" t="n"/>
      <c r="C319" s="307" t="n"/>
      <c r="D319" s="307" t="n"/>
      <c r="E319" s="307" t="n"/>
      <c r="F319" s="307" t="n"/>
      <c r="G319" s="307" t="n"/>
      <c r="H319" s="31" t="n"/>
      <c r="I319" s="31" t="n"/>
      <c r="J319" s="31" t="n"/>
      <c r="K319" s="31" t="n"/>
      <c r="L319" s="31" t="n"/>
      <c r="M319" s="31" t="n"/>
      <c r="N319" s="307" t="n"/>
      <c r="O319" s="307" t="n"/>
      <c r="P319" s="307" t="n"/>
      <c r="Q319" s="307" t="n"/>
      <c r="R319" s="307" t="n"/>
      <c r="S319" s="307" t="n"/>
      <c r="T319" s="307" t="n"/>
      <c r="U319" s="307" t="n"/>
      <c r="V319" s="307" t="n"/>
      <c r="W319" s="307" t="n"/>
      <c r="X319" s="307" t="n"/>
      <c r="Y319" s="307" t="n"/>
      <c r="Z319" s="307" t="n"/>
      <c r="AA319" s="307" t="n"/>
      <c r="AB319" s="307" t="n"/>
      <c r="AC319" s="307" t="n"/>
      <c r="AD319" s="307" t="n"/>
    </row>
    <row r="320" ht="15.75" customHeight="1" s="349">
      <c r="A320" s="307" t="n"/>
      <c r="B320" s="307" t="n"/>
      <c r="C320" s="307" t="n"/>
      <c r="D320" s="307" t="n"/>
      <c r="E320" s="307" t="n"/>
      <c r="F320" s="307" t="n"/>
      <c r="G320" s="307" t="n"/>
      <c r="H320" s="31" t="n"/>
      <c r="I320" s="31" t="n"/>
      <c r="J320" s="31" t="n"/>
      <c r="K320" s="31" t="n"/>
      <c r="L320" s="31" t="n"/>
      <c r="M320" s="31" t="n"/>
      <c r="N320" s="307" t="n"/>
      <c r="O320" s="307" t="n"/>
      <c r="P320" s="307" t="n"/>
      <c r="Q320" s="307" t="n"/>
      <c r="R320" s="307" t="n"/>
      <c r="S320" s="307" t="n"/>
      <c r="T320" s="307" t="n"/>
      <c r="U320" s="307" t="n"/>
      <c r="V320" s="307" t="n"/>
      <c r="W320" s="307" t="n"/>
      <c r="X320" s="307" t="n"/>
      <c r="Y320" s="307" t="n"/>
      <c r="Z320" s="307" t="n"/>
      <c r="AA320" s="307" t="n"/>
      <c r="AB320" s="307" t="n"/>
      <c r="AC320" s="307" t="n"/>
      <c r="AD320" s="307" t="n"/>
    </row>
    <row r="321" ht="15.75" customHeight="1" s="349">
      <c r="A321" s="307" t="n"/>
      <c r="B321" s="307" t="n"/>
      <c r="C321" s="307" t="n"/>
      <c r="D321" s="307" t="n"/>
      <c r="E321" s="307" t="n"/>
      <c r="F321" s="307" t="n"/>
      <c r="G321" s="307" t="n"/>
      <c r="H321" s="31" t="n"/>
      <c r="I321" s="31" t="n"/>
      <c r="J321" s="31" t="n"/>
      <c r="K321" s="31" t="n"/>
      <c r="L321" s="31" t="n"/>
      <c r="M321" s="31" t="n"/>
      <c r="N321" s="307" t="n"/>
      <c r="O321" s="307" t="n"/>
      <c r="P321" s="307" t="n"/>
      <c r="Q321" s="307" t="n"/>
      <c r="R321" s="307" t="n"/>
      <c r="S321" s="307" t="n"/>
      <c r="T321" s="307" t="n"/>
      <c r="U321" s="307" t="n"/>
      <c r="V321" s="307" t="n"/>
      <c r="W321" s="307" t="n"/>
      <c r="X321" s="307" t="n"/>
      <c r="Y321" s="307" t="n"/>
      <c r="Z321" s="307" t="n"/>
      <c r="AA321" s="307" t="n"/>
      <c r="AB321" s="307" t="n"/>
      <c r="AC321" s="307" t="n"/>
      <c r="AD321" s="307" t="n"/>
    </row>
    <row r="322" ht="15.75" customHeight="1" s="349"/>
    <row r="323" ht="15.75" customHeight="1" s="349"/>
    <row r="324" ht="15.75" customHeight="1" s="349"/>
    <row r="325" ht="15.75" customHeight="1" s="349"/>
    <row r="326" ht="15.75" customHeight="1" s="349"/>
    <row r="327" ht="15.75" customHeight="1" s="349"/>
    <row r="328" ht="15.75" customHeight="1" s="349"/>
    <row r="329" ht="15.75" customHeight="1" s="349"/>
    <row r="330" ht="15.75" customHeight="1" s="349"/>
    <row r="331" ht="15.75" customHeight="1" s="349"/>
    <row r="332" ht="15.75" customHeight="1" s="349"/>
    <row r="333" ht="15.75" customHeight="1" s="349"/>
    <row r="334" ht="15.75" customHeight="1" s="349"/>
    <row r="335" ht="15.75" customHeight="1" s="349"/>
    <row r="336" ht="15.75" customHeight="1" s="349"/>
    <row r="337" ht="15.75" customHeight="1" s="349"/>
    <row r="338" ht="15.75" customHeight="1" s="349"/>
    <row r="339" ht="15.75" customHeight="1" s="349"/>
    <row r="340" ht="15.75" customHeight="1" s="349"/>
    <row r="341" ht="15.75" customHeight="1" s="349"/>
    <row r="342" ht="15.75" customHeight="1" s="349"/>
    <row r="343" ht="15.75" customHeight="1" s="349"/>
    <row r="344" ht="15.75" customHeight="1" s="349"/>
    <row r="345" ht="15.75" customHeight="1" s="349"/>
    <row r="346" ht="15.75" customHeight="1" s="349"/>
    <row r="347" ht="15.75" customHeight="1" s="349"/>
    <row r="348" ht="15.75" customHeight="1" s="349"/>
    <row r="349" ht="15.75" customHeight="1" s="349"/>
    <row r="350" ht="15.75" customHeight="1" s="349"/>
    <row r="351" ht="15.75" customHeight="1" s="349"/>
    <row r="352" ht="15.75" customHeight="1" s="349"/>
    <row r="353" ht="15.75" customHeight="1" s="349"/>
    <row r="354" ht="15.75" customHeight="1" s="349"/>
    <row r="355" ht="15.75" customHeight="1" s="349"/>
    <row r="356" ht="15.75" customHeight="1" s="349"/>
    <row r="357" ht="15.75" customHeight="1" s="349"/>
    <row r="358" ht="15.75" customHeight="1" s="349"/>
    <row r="359" ht="15.75" customHeight="1" s="349"/>
    <row r="360" ht="15.75" customHeight="1" s="349"/>
    <row r="361" ht="15.75" customHeight="1" s="349"/>
    <row r="362" ht="15.75" customHeight="1" s="349"/>
    <row r="363" ht="15.75" customHeight="1" s="349"/>
    <row r="364" ht="15.75" customHeight="1" s="349"/>
    <row r="365" ht="15.75" customHeight="1" s="349"/>
    <row r="366" ht="15.75" customHeight="1" s="349"/>
    <row r="367" ht="15.75" customHeight="1" s="349"/>
    <row r="368" ht="15.75" customHeight="1" s="349"/>
    <row r="369" ht="15.75" customHeight="1" s="349"/>
    <row r="370" ht="15.75" customHeight="1" s="349"/>
    <row r="371" ht="15.75" customHeight="1" s="349"/>
    <row r="372" ht="15.75" customHeight="1" s="349"/>
    <row r="373" ht="15.75" customHeight="1" s="349"/>
    <row r="374" ht="15.75" customHeight="1" s="349"/>
    <row r="375" ht="15.75" customHeight="1" s="349"/>
    <row r="376" ht="15.75" customHeight="1" s="349"/>
    <row r="377" ht="15.75" customHeight="1" s="349"/>
    <row r="378" ht="15.75" customHeight="1" s="349"/>
    <row r="379" ht="15.75" customHeight="1" s="349"/>
    <row r="380" ht="15.75" customHeight="1" s="349"/>
    <row r="381" ht="15.75" customHeight="1" s="349"/>
    <row r="382" ht="15.75" customHeight="1" s="349"/>
    <row r="383" ht="15.75" customHeight="1" s="349"/>
    <row r="384" ht="15.75" customHeight="1" s="349"/>
    <row r="385" ht="15.75" customHeight="1" s="349"/>
    <row r="386" ht="15.75" customHeight="1" s="349"/>
    <row r="387" ht="15.75" customHeight="1" s="349"/>
    <row r="388" ht="15.75" customHeight="1" s="349"/>
    <row r="389" ht="15.75" customHeight="1" s="349"/>
    <row r="390" ht="15.75" customHeight="1" s="349"/>
    <row r="391" ht="15.75" customHeight="1" s="349"/>
    <row r="392" ht="15.75" customHeight="1" s="349"/>
    <row r="393" ht="15.75" customHeight="1" s="349"/>
    <row r="394" ht="15.75" customHeight="1" s="349"/>
    <row r="395" ht="15.75" customHeight="1" s="349"/>
    <row r="396" ht="15.75" customHeight="1" s="349"/>
    <row r="397" ht="15.75" customHeight="1" s="349"/>
    <row r="398" ht="15.75" customHeight="1" s="349"/>
    <row r="399" ht="15.75" customHeight="1" s="349"/>
    <row r="400" ht="15.75" customHeight="1" s="349"/>
    <row r="401" ht="15.75" customHeight="1" s="349"/>
    <row r="402" ht="15.75" customHeight="1" s="349"/>
    <row r="403" ht="15.75" customHeight="1" s="349"/>
    <row r="404" ht="15.75" customHeight="1" s="349"/>
    <row r="405" ht="15.75" customHeight="1" s="349"/>
    <row r="406" ht="15.75" customHeight="1" s="349"/>
    <row r="407" ht="15.75" customHeight="1" s="349"/>
    <row r="408" ht="15.75" customHeight="1" s="349"/>
    <row r="409" ht="15.75" customHeight="1" s="349"/>
    <row r="410" ht="15.75" customHeight="1" s="349"/>
    <row r="411" ht="15.75" customHeight="1" s="349"/>
    <row r="412" ht="15.75" customHeight="1" s="349"/>
    <row r="413" ht="15.75" customHeight="1" s="349"/>
    <row r="414" ht="15.75" customHeight="1" s="349"/>
    <row r="415" ht="15.75" customHeight="1" s="349"/>
    <row r="416" ht="15.75" customHeight="1" s="349"/>
    <row r="417" ht="15.75" customHeight="1" s="349"/>
    <row r="418" ht="15.75" customHeight="1" s="349"/>
    <row r="419" ht="15.75" customHeight="1" s="349"/>
    <row r="420" ht="15.75" customHeight="1" s="349"/>
    <row r="421" ht="15.75" customHeight="1" s="349"/>
    <row r="422" ht="15.75" customHeight="1" s="349"/>
    <row r="423" ht="15.75" customHeight="1" s="349"/>
    <row r="424" ht="15.75" customHeight="1" s="349"/>
    <row r="425" ht="15.75" customHeight="1" s="349"/>
    <row r="426" ht="15.75" customHeight="1" s="349"/>
    <row r="427" ht="15.75" customHeight="1" s="349"/>
    <row r="428" ht="15.75" customHeight="1" s="349"/>
    <row r="429" ht="15.75" customHeight="1" s="349"/>
    <row r="430" ht="15.75" customHeight="1" s="349"/>
    <row r="431" ht="15.75" customHeight="1" s="349"/>
    <row r="432" ht="15.75" customHeight="1" s="349"/>
    <row r="433" ht="15.75" customHeight="1" s="349"/>
    <row r="434" ht="15.75" customHeight="1" s="349"/>
    <row r="435" ht="15.75" customHeight="1" s="349"/>
    <row r="436" ht="15.75" customHeight="1" s="349"/>
    <row r="437" ht="15.75" customHeight="1" s="349"/>
    <row r="438" ht="15.75" customHeight="1" s="349"/>
    <row r="439" ht="15.75" customHeight="1" s="349"/>
    <row r="440" ht="15.75" customHeight="1" s="349"/>
    <row r="441" ht="15.75" customHeight="1" s="349"/>
    <row r="442" ht="15.75" customHeight="1" s="349"/>
    <row r="443" ht="15.75" customHeight="1" s="349"/>
    <row r="444" ht="15.75" customHeight="1" s="349"/>
    <row r="445" ht="15.75" customHeight="1" s="349"/>
    <row r="446" ht="15.75" customHeight="1" s="349"/>
    <row r="447" ht="15.75" customHeight="1" s="349"/>
    <row r="448" ht="15.75" customHeight="1" s="349"/>
    <row r="449" ht="15.75" customHeight="1" s="349"/>
    <row r="450" ht="15.75" customHeight="1" s="349"/>
    <row r="451" ht="15.75" customHeight="1" s="349"/>
    <row r="452" ht="15.75" customHeight="1" s="349"/>
    <row r="453" ht="15.75" customHeight="1" s="349"/>
    <row r="454" ht="15.75" customHeight="1" s="349"/>
    <row r="455" ht="15.75" customHeight="1" s="349"/>
    <row r="456" ht="15.75" customHeight="1" s="349"/>
    <row r="457" ht="15.75" customHeight="1" s="349"/>
    <row r="458" ht="15.75" customHeight="1" s="349"/>
    <row r="459" ht="15.75" customHeight="1" s="349"/>
    <row r="460" ht="15.75" customHeight="1" s="349"/>
    <row r="461" ht="15.75" customHeight="1" s="349"/>
    <row r="462" ht="15.75" customHeight="1" s="349"/>
    <row r="463" ht="15.75" customHeight="1" s="349"/>
    <row r="464" ht="15.75" customHeight="1" s="349"/>
    <row r="465" ht="15.75" customHeight="1" s="349"/>
    <row r="466" ht="15.75" customHeight="1" s="349"/>
    <row r="467" ht="15.75" customHeight="1" s="349"/>
    <row r="468" ht="15.75" customHeight="1" s="349"/>
    <row r="469" ht="15.75" customHeight="1" s="349"/>
    <row r="470" ht="15.75" customHeight="1" s="349"/>
    <row r="471" ht="15.75" customHeight="1" s="349"/>
    <row r="472" ht="15.75" customHeight="1" s="349"/>
    <row r="473" ht="15.75" customHeight="1" s="349"/>
    <row r="474" ht="15.75" customHeight="1" s="349"/>
    <row r="475" ht="15.75" customHeight="1" s="349"/>
    <row r="476" ht="15.75" customHeight="1" s="349"/>
    <row r="477" ht="15.75" customHeight="1" s="349"/>
    <row r="478" ht="15.75" customHeight="1" s="349"/>
    <row r="479" ht="15.75" customHeight="1" s="349"/>
    <row r="480" ht="15.75" customHeight="1" s="349"/>
    <row r="481" ht="15.75" customHeight="1" s="349"/>
    <row r="482" ht="15.75" customHeight="1" s="349"/>
    <row r="483" ht="15.75" customHeight="1" s="349"/>
    <row r="484" ht="15.75" customHeight="1" s="349"/>
    <row r="485" ht="15.75" customHeight="1" s="349"/>
    <row r="486" ht="15.75" customHeight="1" s="349"/>
    <row r="487" ht="15.75" customHeight="1" s="349"/>
    <row r="488" ht="15.75" customHeight="1" s="349"/>
    <row r="489" ht="15.75" customHeight="1" s="349"/>
    <row r="490" ht="15.75" customHeight="1" s="349"/>
    <row r="491" ht="15.75" customHeight="1" s="349"/>
    <row r="492" ht="15.75" customHeight="1" s="349"/>
    <row r="493" ht="15.75" customHeight="1" s="349"/>
    <row r="494" ht="15.75" customHeight="1" s="349"/>
    <row r="495" ht="15.75" customHeight="1" s="349"/>
    <row r="496" ht="15.75" customHeight="1" s="349"/>
    <row r="497" ht="15.75" customHeight="1" s="349"/>
    <row r="498" ht="15.75" customHeight="1" s="349"/>
    <row r="499" ht="15.75" customHeight="1" s="349"/>
    <row r="500" ht="15.75" customHeight="1" s="349"/>
    <row r="501" ht="15.75" customHeight="1" s="349"/>
    <row r="502" ht="15.75" customHeight="1" s="349"/>
    <row r="503" ht="15.75" customHeight="1" s="349"/>
    <row r="504" ht="15.75" customHeight="1" s="349"/>
    <row r="505" ht="15.75" customHeight="1" s="349"/>
    <row r="506" ht="15.75" customHeight="1" s="349"/>
    <row r="507" ht="15.75" customHeight="1" s="349"/>
    <row r="508" ht="15.75" customHeight="1" s="349"/>
    <row r="509" ht="15.75" customHeight="1" s="349"/>
    <row r="510" ht="15.75" customHeight="1" s="349"/>
    <row r="511" ht="15.75" customHeight="1" s="349"/>
    <row r="512" ht="15.75" customHeight="1" s="349"/>
    <row r="513" ht="15.75" customHeight="1" s="349"/>
    <row r="514" ht="15.75" customHeight="1" s="349"/>
    <row r="515" ht="15.75" customHeight="1" s="349"/>
    <row r="516" ht="15.75" customHeight="1" s="349"/>
    <row r="517" ht="15.75" customHeight="1" s="349"/>
    <row r="518" ht="15.75" customHeight="1" s="349"/>
    <row r="519" ht="15.75" customHeight="1" s="349"/>
    <row r="520" ht="15.75" customHeight="1" s="349"/>
    <row r="521" ht="15.75" customHeight="1" s="349"/>
    <row r="522" ht="15.75" customHeight="1" s="349"/>
    <row r="523" ht="15.75" customHeight="1" s="349"/>
    <row r="524" ht="15.75" customHeight="1" s="349"/>
    <row r="525" ht="15.75" customHeight="1" s="349"/>
    <row r="526" ht="15.75" customHeight="1" s="349"/>
    <row r="527" ht="15.75" customHeight="1" s="349"/>
    <row r="528" ht="15.75" customHeight="1" s="349"/>
    <row r="529" ht="15.75" customHeight="1" s="349"/>
    <row r="530" ht="15.75" customHeight="1" s="349"/>
    <row r="531" ht="15.75" customHeight="1" s="349"/>
    <row r="532" ht="15.75" customHeight="1" s="349"/>
    <row r="533" ht="15.75" customHeight="1" s="349"/>
    <row r="534" ht="15.75" customHeight="1" s="349"/>
    <row r="535" ht="15.75" customHeight="1" s="349"/>
    <row r="536" ht="15.75" customHeight="1" s="349"/>
    <row r="537" ht="15.75" customHeight="1" s="349"/>
    <row r="538" ht="15.75" customHeight="1" s="349"/>
    <row r="539" ht="15.75" customHeight="1" s="349"/>
    <row r="540" ht="15.75" customHeight="1" s="349"/>
    <row r="541" ht="15.75" customHeight="1" s="349"/>
    <row r="542" ht="15.75" customHeight="1" s="349"/>
    <row r="543" ht="15.75" customHeight="1" s="349"/>
    <row r="544" ht="15.75" customHeight="1" s="349"/>
    <row r="545" ht="15.75" customHeight="1" s="349"/>
    <row r="546" ht="15.75" customHeight="1" s="349"/>
    <row r="547" ht="15.75" customHeight="1" s="349"/>
    <row r="548" ht="15.75" customHeight="1" s="349"/>
    <row r="549" ht="15.75" customHeight="1" s="349"/>
    <row r="550" ht="15.75" customHeight="1" s="349"/>
    <row r="551" ht="15.75" customHeight="1" s="349"/>
    <row r="552" ht="15.75" customHeight="1" s="349"/>
    <row r="553" ht="15.75" customHeight="1" s="349"/>
    <row r="554" ht="15.75" customHeight="1" s="349"/>
    <row r="555" ht="15.75" customHeight="1" s="349"/>
    <row r="556" ht="15.75" customHeight="1" s="349"/>
    <row r="557" ht="15.75" customHeight="1" s="349"/>
    <row r="558" ht="15.75" customHeight="1" s="349"/>
    <row r="559" ht="15.75" customHeight="1" s="349"/>
    <row r="560" ht="15.75" customHeight="1" s="349"/>
    <row r="561" ht="15.75" customHeight="1" s="349"/>
    <row r="562" ht="15.75" customHeight="1" s="349"/>
    <row r="563" ht="15.75" customHeight="1" s="349"/>
    <row r="564" ht="15.75" customHeight="1" s="349"/>
    <row r="565" ht="15.75" customHeight="1" s="349"/>
    <row r="566" ht="15.75" customHeight="1" s="349"/>
    <row r="567" ht="15.75" customHeight="1" s="349"/>
    <row r="568" ht="15.75" customHeight="1" s="349"/>
    <row r="569" ht="15.75" customHeight="1" s="349"/>
    <row r="570" ht="15.75" customHeight="1" s="349"/>
    <row r="571" ht="15.75" customHeight="1" s="349"/>
    <row r="572" ht="15.75" customHeight="1" s="349"/>
    <row r="573" ht="15.75" customHeight="1" s="349"/>
    <row r="574" ht="15.75" customHeight="1" s="349"/>
    <row r="575" ht="15.75" customHeight="1" s="349"/>
    <row r="576" ht="15.75" customHeight="1" s="349"/>
    <row r="577" ht="15.75" customHeight="1" s="349"/>
    <row r="578" ht="15.75" customHeight="1" s="349"/>
    <row r="579" ht="15.75" customHeight="1" s="349"/>
    <row r="580" ht="15.75" customHeight="1" s="349"/>
    <row r="581" ht="15.75" customHeight="1" s="349"/>
    <row r="582" ht="15.75" customHeight="1" s="349"/>
    <row r="583" ht="15.75" customHeight="1" s="349"/>
    <row r="584" ht="15.75" customHeight="1" s="349"/>
    <row r="585" ht="15.75" customHeight="1" s="349"/>
    <row r="586" ht="15.75" customHeight="1" s="349"/>
    <row r="587" ht="15.75" customHeight="1" s="349"/>
    <row r="588" ht="15.75" customHeight="1" s="349"/>
    <row r="589" ht="15.75" customHeight="1" s="349"/>
    <row r="590" ht="15.75" customHeight="1" s="349"/>
    <row r="591" ht="15.75" customHeight="1" s="349"/>
    <row r="592" ht="15.75" customHeight="1" s="349"/>
    <row r="593" ht="15.75" customHeight="1" s="349"/>
    <row r="594" ht="15.75" customHeight="1" s="349"/>
    <row r="595" ht="15.75" customHeight="1" s="349"/>
    <row r="596" ht="15.75" customHeight="1" s="349"/>
    <row r="597" ht="15.75" customHeight="1" s="349"/>
    <row r="598" ht="15.75" customHeight="1" s="349"/>
    <row r="599" ht="15.75" customHeight="1" s="349"/>
    <row r="600" ht="15.75" customHeight="1" s="349"/>
    <row r="601" ht="15.75" customHeight="1" s="349"/>
    <row r="602" ht="15.75" customHeight="1" s="349"/>
    <row r="603" ht="15.75" customHeight="1" s="349"/>
    <row r="604" ht="15.75" customHeight="1" s="349"/>
    <row r="605" ht="15.75" customHeight="1" s="349"/>
    <row r="606" ht="15.75" customHeight="1" s="349"/>
    <row r="607" ht="15.75" customHeight="1" s="349"/>
    <row r="608" ht="15.75" customHeight="1" s="349"/>
    <row r="609" ht="15.75" customHeight="1" s="349"/>
    <row r="610" ht="15.75" customHeight="1" s="349"/>
    <row r="611" ht="15.75" customHeight="1" s="349"/>
    <row r="612" ht="15.75" customHeight="1" s="349"/>
    <row r="613" ht="15.75" customHeight="1" s="349"/>
    <row r="614" ht="15.75" customHeight="1" s="349"/>
    <row r="615" ht="15.75" customHeight="1" s="349"/>
    <row r="616" ht="15.75" customHeight="1" s="349"/>
    <row r="617" ht="15.75" customHeight="1" s="349"/>
    <row r="618" ht="15.75" customHeight="1" s="349"/>
    <row r="619" ht="15.75" customHeight="1" s="349"/>
    <row r="620" ht="15.75" customHeight="1" s="349"/>
    <row r="621" ht="15.75" customHeight="1" s="349"/>
    <row r="622" ht="15.75" customHeight="1" s="349"/>
    <row r="623" ht="15.75" customHeight="1" s="349"/>
    <row r="624" ht="15.75" customHeight="1" s="349"/>
    <row r="625" ht="15.75" customHeight="1" s="349"/>
    <row r="626" ht="15.75" customHeight="1" s="349"/>
    <row r="627" ht="15.75" customHeight="1" s="349"/>
    <row r="628" ht="15.75" customHeight="1" s="349"/>
    <row r="629" ht="15.75" customHeight="1" s="349"/>
    <row r="630" ht="15.75" customHeight="1" s="349"/>
    <row r="631" ht="15.75" customHeight="1" s="349"/>
    <row r="632" ht="15.75" customHeight="1" s="349"/>
    <row r="633" ht="15.75" customHeight="1" s="349"/>
    <row r="634" ht="15.75" customHeight="1" s="349"/>
    <row r="635" ht="15.75" customHeight="1" s="349"/>
    <row r="636" ht="15.75" customHeight="1" s="349"/>
    <row r="637" ht="15.75" customHeight="1" s="349"/>
    <row r="638" ht="15.75" customHeight="1" s="349"/>
    <row r="639" ht="15.75" customHeight="1" s="349"/>
    <row r="640" ht="15.75" customHeight="1" s="349"/>
    <row r="641" ht="15.75" customHeight="1" s="349"/>
    <row r="642" ht="15.75" customHeight="1" s="349"/>
    <row r="643" ht="15.75" customHeight="1" s="349"/>
    <row r="644" ht="15.75" customHeight="1" s="349"/>
    <row r="645" ht="15.75" customHeight="1" s="349"/>
    <row r="646" ht="15.75" customHeight="1" s="349"/>
    <row r="647" ht="15.75" customHeight="1" s="349"/>
    <row r="648" ht="15.75" customHeight="1" s="349"/>
    <row r="649" ht="15.75" customHeight="1" s="349"/>
    <row r="650" ht="15.75" customHeight="1" s="349"/>
    <row r="651" ht="15.75" customHeight="1" s="349"/>
    <row r="652" ht="15.75" customHeight="1" s="349"/>
    <row r="653" ht="15.75" customHeight="1" s="349"/>
    <row r="654" ht="15.75" customHeight="1" s="349"/>
    <row r="655" ht="15.75" customHeight="1" s="349"/>
    <row r="656" ht="15.75" customHeight="1" s="349"/>
    <row r="657" ht="15.75" customHeight="1" s="349"/>
    <row r="658" ht="15.75" customHeight="1" s="349"/>
    <row r="659" ht="15.75" customHeight="1" s="349"/>
    <row r="660" ht="15.75" customHeight="1" s="349"/>
    <row r="661" ht="15.75" customHeight="1" s="349"/>
    <row r="662" ht="15.75" customHeight="1" s="349"/>
    <row r="663" ht="15.75" customHeight="1" s="349"/>
    <row r="664" ht="15.75" customHeight="1" s="349"/>
    <row r="665" ht="15.75" customHeight="1" s="349"/>
    <row r="666" ht="15.75" customHeight="1" s="349"/>
    <row r="667" ht="15.75" customHeight="1" s="349"/>
    <row r="668" ht="15.75" customHeight="1" s="349"/>
    <row r="669" ht="15.75" customHeight="1" s="349"/>
    <row r="670" ht="15.75" customHeight="1" s="349"/>
    <row r="671" ht="15.75" customHeight="1" s="349"/>
    <row r="672" ht="15.75" customHeight="1" s="349"/>
    <row r="673" ht="15.75" customHeight="1" s="349"/>
    <row r="674" ht="15.75" customHeight="1" s="349"/>
    <row r="675" ht="15.75" customHeight="1" s="349"/>
    <row r="676" ht="15.75" customHeight="1" s="349"/>
    <row r="677" ht="15.75" customHeight="1" s="349"/>
    <row r="678" ht="15.75" customHeight="1" s="349"/>
    <row r="679" ht="15.75" customHeight="1" s="349"/>
    <row r="680" ht="15.75" customHeight="1" s="349"/>
    <row r="681" ht="15.75" customHeight="1" s="349"/>
    <row r="682" ht="15.75" customHeight="1" s="349"/>
    <row r="683" ht="15.75" customHeight="1" s="349"/>
    <row r="684" ht="15.75" customHeight="1" s="349"/>
    <row r="685" ht="15.75" customHeight="1" s="349"/>
    <row r="686" ht="15.75" customHeight="1" s="349"/>
    <row r="687" ht="15.75" customHeight="1" s="349"/>
    <row r="688" ht="15.75" customHeight="1" s="349"/>
    <row r="689" ht="15.75" customHeight="1" s="349"/>
    <row r="690" ht="15.75" customHeight="1" s="349"/>
    <row r="691" ht="15.75" customHeight="1" s="349"/>
    <row r="692" ht="15.75" customHeight="1" s="349"/>
    <row r="693" ht="15.75" customHeight="1" s="349"/>
    <row r="694" ht="15.75" customHeight="1" s="349"/>
    <row r="695" ht="15.75" customHeight="1" s="349"/>
    <row r="696" ht="15.75" customHeight="1" s="349"/>
    <row r="697" ht="15.75" customHeight="1" s="349"/>
    <row r="698" ht="15.75" customHeight="1" s="349"/>
    <row r="699" ht="15.75" customHeight="1" s="349"/>
    <row r="700" ht="15.75" customHeight="1" s="349"/>
    <row r="701" ht="15.75" customHeight="1" s="349"/>
    <row r="702" ht="15.75" customHeight="1" s="349"/>
    <row r="703" ht="15.75" customHeight="1" s="349"/>
    <row r="704" ht="15.75" customHeight="1" s="349"/>
    <row r="705" ht="15.75" customHeight="1" s="349"/>
    <row r="706" ht="15.75" customHeight="1" s="349"/>
    <row r="707" ht="15.75" customHeight="1" s="349"/>
    <row r="708" ht="15.75" customHeight="1" s="349"/>
    <row r="709" ht="15.75" customHeight="1" s="349"/>
    <row r="710" ht="15.75" customHeight="1" s="349"/>
    <row r="711" ht="15.75" customHeight="1" s="349"/>
    <row r="712" ht="15.75" customHeight="1" s="349"/>
    <row r="713" ht="15.75" customHeight="1" s="349"/>
    <row r="714" ht="15.75" customHeight="1" s="349"/>
    <row r="715" ht="15.75" customHeight="1" s="349"/>
    <row r="716" ht="15.75" customHeight="1" s="349"/>
    <row r="717" ht="15.75" customHeight="1" s="349"/>
    <row r="718" ht="15.75" customHeight="1" s="349"/>
    <row r="719" ht="15.75" customHeight="1" s="349"/>
    <row r="720" ht="15.75" customHeight="1" s="349"/>
    <row r="721" ht="15.75" customHeight="1" s="349"/>
    <row r="722" ht="15.75" customHeight="1" s="349"/>
    <row r="723" ht="15.75" customHeight="1" s="349"/>
    <row r="724" ht="15.75" customHeight="1" s="349"/>
    <row r="725" ht="15.75" customHeight="1" s="349"/>
    <row r="726" ht="15.75" customHeight="1" s="349"/>
    <row r="727" ht="15.75" customHeight="1" s="349"/>
    <row r="728" ht="15.75" customHeight="1" s="349"/>
    <row r="729" ht="15.75" customHeight="1" s="349"/>
    <row r="730" ht="15.75" customHeight="1" s="349"/>
    <row r="731" ht="15.75" customHeight="1" s="349"/>
    <row r="732" ht="15.75" customHeight="1" s="349"/>
    <row r="733" ht="15.75" customHeight="1" s="349"/>
    <row r="734" ht="15.75" customHeight="1" s="349"/>
    <row r="735" ht="15.75" customHeight="1" s="349"/>
    <row r="736" ht="15.75" customHeight="1" s="349"/>
    <row r="737" ht="15.75" customHeight="1" s="349"/>
    <row r="738" ht="15.75" customHeight="1" s="349"/>
    <row r="739" ht="15.75" customHeight="1" s="349"/>
    <row r="740" ht="15.75" customHeight="1" s="349"/>
    <row r="741" ht="15.75" customHeight="1" s="349"/>
    <row r="742" ht="15.75" customHeight="1" s="349"/>
    <row r="743" ht="15.75" customHeight="1" s="349"/>
    <row r="744" ht="15.75" customHeight="1" s="349"/>
    <row r="745" ht="15.75" customHeight="1" s="349"/>
    <row r="746" ht="15.75" customHeight="1" s="349"/>
    <row r="747" ht="15.75" customHeight="1" s="349"/>
    <row r="748" ht="15.75" customHeight="1" s="349"/>
    <row r="749" ht="15.75" customHeight="1" s="349"/>
    <row r="750" ht="15.75" customHeight="1" s="349"/>
    <row r="751" ht="15.75" customHeight="1" s="349"/>
    <row r="752" ht="15.75" customHeight="1" s="349"/>
    <row r="753" ht="15.75" customHeight="1" s="349"/>
    <row r="754" ht="15.75" customHeight="1" s="349"/>
    <row r="755" ht="15.75" customHeight="1" s="349"/>
    <row r="756" ht="15.75" customHeight="1" s="349"/>
    <row r="757" ht="15.75" customHeight="1" s="349"/>
    <row r="758" ht="15.75" customHeight="1" s="349"/>
    <row r="759" ht="15.75" customHeight="1" s="349"/>
    <row r="760" ht="15.75" customHeight="1" s="349"/>
    <row r="761" ht="15.75" customHeight="1" s="349"/>
    <row r="762" ht="15.75" customHeight="1" s="349"/>
    <row r="763" ht="15.75" customHeight="1" s="349"/>
    <row r="764" ht="15.75" customHeight="1" s="349"/>
    <row r="765" ht="15.75" customHeight="1" s="349"/>
    <row r="766" ht="15.75" customHeight="1" s="349"/>
    <row r="767" ht="15.75" customHeight="1" s="349"/>
    <row r="768" ht="15.75" customHeight="1" s="349"/>
    <row r="769" ht="15.75" customHeight="1" s="349"/>
    <row r="770" ht="15.75" customHeight="1" s="349"/>
    <row r="771" ht="15.75" customHeight="1" s="349"/>
    <row r="772" ht="15.75" customHeight="1" s="349"/>
    <row r="773" ht="15.75" customHeight="1" s="349"/>
    <row r="774" ht="15.75" customHeight="1" s="349"/>
    <row r="775" ht="15.75" customHeight="1" s="349"/>
    <row r="776" ht="15.75" customHeight="1" s="349"/>
    <row r="777" ht="15.75" customHeight="1" s="349"/>
    <row r="778" ht="15.75" customHeight="1" s="349"/>
    <row r="779" ht="15.75" customHeight="1" s="349"/>
    <row r="780" ht="15.75" customHeight="1" s="349"/>
    <row r="781" ht="15.75" customHeight="1" s="349"/>
    <row r="782" ht="15.75" customHeight="1" s="349"/>
    <row r="783" ht="15.75" customHeight="1" s="349"/>
    <row r="784" ht="15.75" customHeight="1" s="349"/>
    <row r="785" ht="15.75" customHeight="1" s="349"/>
    <row r="786" ht="15.75" customHeight="1" s="349"/>
    <row r="787" ht="15.75" customHeight="1" s="349"/>
    <row r="788" ht="15.75" customHeight="1" s="349"/>
    <row r="789" ht="15.75" customHeight="1" s="349"/>
    <row r="790" ht="15.75" customHeight="1" s="349"/>
    <row r="791" ht="15.75" customHeight="1" s="349"/>
    <row r="792" ht="15.75" customHeight="1" s="349"/>
    <row r="793" ht="15.75" customHeight="1" s="349"/>
    <row r="794" ht="15.75" customHeight="1" s="349"/>
    <row r="795" ht="15.75" customHeight="1" s="349"/>
    <row r="796" ht="15.75" customHeight="1" s="349"/>
    <row r="797" ht="15.75" customHeight="1" s="349"/>
    <row r="798" ht="15.75" customHeight="1" s="349"/>
    <row r="799" ht="15.75" customHeight="1" s="349"/>
    <row r="800" ht="15.75" customHeight="1" s="349"/>
    <row r="801" ht="15.75" customHeight="1" s="349"/>
    <row r="802" ht="15.75" customHeight="1" s="349"/>
    <row r="803" ht="15.75" customHeight="1" s="349"/>
    <row r="804" ht="15.75" customHeight="1" s="349"/>
    <row r="805" ht="15.75" customHeight="1" s="349"/>
    <row r="806" ht="15.75" customHeight="1" s="349"/>
    <row r="807" ht="15.75" customHeight="1" s="349"/>
    <row r="808" ht="15.75" customHeight="1" s="349"/>
    <row r="809" ht="15.75" customHeight="1" s="349"/>
    <row r="810" ht="15.75" customHeight="1" s="349"/>
    <row r="811" ht="15.75" customHeight="1" s="349"/>
    <row r="812" ht="15.75" customHeight="1" s="349"/>
    <row r="813" ht="15.75" customHeight="1" s="349"/>
    <row r="814" ht="15.75" customHeight="1" s="349"/>
    <row r="815" ht="15.75" customHeight="1" s="349"/>
    <row r="816" ht="15.75" customHeight="1" s="349"/>
    <row r="817" ht="15.75" customHeight="1" s="349"/>
    <row r="818" ht="15.75" customHeight="1" s="349"/>
    <row r="819" ht="15.75" customHeight="1" s="349"/>
    <row r="820" ht="15.75" customHeight="1" s="349"/>
    <row r="821" ht="15.75" customHeight="1" s="349"/>
    <row r="822" ht="15.75" customHeight="1" s="349"/>
    <row r="823" ht="15.75" customHeight="1" s="349"/>
    <row r="824" ht="15.75" customHeight="1" s="349"/>
    <row r="825" ht="15.75" customHeight="1" s="349"/>
    <row r="826" ht="15.75" customHeight="1" s="349"/>
    <row r="827" ht="15.75" customHeight="1" s="349"/>
    <row r="828" ht="15.75" customHeight="1" s="349"/>
    <row r="829" ht="15.75" customHeight="1" s="349"/>
    <row r="830" ht="15.75" customHeight="1" s="349"/>
    <row r="831" ht="15.75" customHeight="1" s="349"/>
    <row r="832" ht="15.75" customHeight="1" s="349"/>
    <row r="833" ht="15.75" customHeight="1" s="349"/>
    <row r="834" ht="15.75" customHeight="1" s="349"/>
    <row r="835" ht="15.75" customHeight="1" s="349"/>
    <row r="836" ht="15.75" customHeight="1" s="349"/>
    <row r="837" ht="15.75" customHeight="1" s="349"/>
    <row r="838" ht="15.75" customHeight="1" s="349"/>
    <row r="839" ht="15.75" customHeight="1" s="349"/>
    <row r="840" ht="15.75" customHeight="1" s="349"/>
    <row r="841" ht="15.75" customHeight="1" s="349"/>
    <row r="842" ht="15.75" customHeight="1" s="349"/>
    <row r="843" ht="15.75" customHeight="1" s="349"/>
    <row r="844" ht="15.75" customHeight="1" s="349"/>
    <row r="845" ht="15.75" customHeight="1" s="349"/>
    <row r="846" ht="15.75" customHeight="1" s="349"/>
    <row r="847" ht="15.75" customHeight="1" s="349"/>
    <row r="848" ht="15.75" customHeight="1" s="349"/>
    <row r="849" ht="15.75" customHeight="1" s="349"/>
    <row r="850" ht="15.75" customHeight="1" s="349"/>
    <row r="851" ht="15.75" customHeight="1" s="349"/>
    <row r="852" ht="15.75" customHeight="1" s="349"/>
    <row r="853" ht="15.75" customHeight="1" s="349"/>
    <row r="854" ht="15.75" customHeight="1" s="349"/>
    <row r="855" ht="15.75" customHeight="1" s="349"/>
    <row r="856" ht="15.75" customHeight="1" s="349"/>
    <row r="857" ht="15.75" customHeight="1" s="349"/>
    <row r="858" ht="15.75" customHeight="1" s="349"/>
    <row r="859" ht="15.75" customHeight="1" s="349"/>
    <row r="860" ht="15.75" customHeight="1" s="349"/>
    <row r="861" ht="15.75" customHeight="1" s="349"/>
    <row r="862" ht="15.75" customHeight="1" s="349"/>
    <row r="863" ht="15.75" customHeight="1" s="349"/>
    <row r="864" ht="15.75" customHeight="1" s="349"/>
    <row r="865" ht="15.75" customHeight="1" s="349"/>
    <row r="866" ht="15.75" customHeight="1" s="349"/>
    <row r="867" ht="15.75" customHeight="1" s="349"/>
    <row r="868" ht="15.75" customHeight="1" s="349"/>
    <row r="869" ht="15.75" customHeight="1" s="349"/>
    <row r="870" ht="15.75" customHeight="1" s="349"/>
    <row r="871" ht="15.75" customHeight="1" s="349"/>
    <row r="872" ht="15.75" customHeight="1" s="349"/>
    <row r="873" ht="15.75" customHeight="1" s="349"/>
    <row r="874" ht="15.75" customHeight="1" s="349"/>
    <row r="875" ht="15.75" customHeight="1" s="349"/>
    <row r="876" ht="15.75" customHeight="1" s="349"/>
    <row r="877" ht="15.75" customHeight="1" s="349"/>
    <row r="878" ht="15.75" customHeight="1" s="349"/>
    <row r="879" ht="15.75" customHeight="1" s="349"/>
    <row r="880" ht="15.75" customHeight="1" s="349"/>
    <row r="881" ht="15.75" customHeight="1" s="349"/>
    <row r="882" ht="15.75" customHeight="1" s="349"/>
    <row r="883" ht="15.75" customHeight="1" s="349"/>
    <row r="884" ht="15.75" customHeight="1" s="349"/>
    <row r="885" ht="15.75" customHeight="1" s="349"/>
    <row r="886" ht="15.75" customHeight="1" s="349"/>
    <row r="887" ht="15.75" customHeight="1" s="349"/>
    <row r="888" ht="15.75" customHeight="1" s="349"/>
    <row r="889" ht="15.75" customHeight="1" s="349"/>
    <row r="890" ht="15.75" customHeight="1" s="349"/>
    <row r="891" ht="15.75" customHeight="1" s="349"/>
    <row r="892" ht="15.75" customHeight="1" s="349"/>
    <row r="893" ht="15.75" customHeight="1" s="349"/>
    <row r="894" ht="15.75" customHeight="1" s="349"/>
    <row r="895" ht="15.75" customHeight="1" s="349"/>
    <row r="896" ht="15.75" customHeight="1" s="349"/>
    <row r="897" ht="15.75" customHeight="1" s="349"/>
    <row r="898" ht="15.75" customHeight="1" s="349"/>
    <row r="899" ht="15.75" customHeight="1" s="349"/>
    <row r="900" ht="15.75" customHeight="1" s="349"/>
    <row r="901" ht="15.75" customHeight="1" s="349"/>
    <row r="902" ht="15.75" customHeight="1" s="349"/>
    <row r="903" ht="15.75" customHeight="1" s="349"/>
    <row r="904" ht="15.75" customHeight="1" s="349"/>
    <row r="905" ht="15.75" customHeight="1" s="349"/>
    <row r="906" ht="15.75" customHeight="1" s="349"/>
    <row r="907" ht="15.75" customHeight="1" s="349"/>
    <row r="908" ht="15.75" customHeight="1" s="349"/>
    <row r="909" ht="15.75" customHeight="1" s="349"/>
    <row r="910" ht="15.75" customHeight="1" s="349"/>
    <row r="911" ht="15.75" customHeight="1" s="349"/>
    <row r="912" ht="15.75" customHeight="1" s="349"/>
    <row r="913" ht="15.75" customHeight="1" s="349"/>
    <row r="914" ht="15.75" customHeight="1" s="349"/>
    <row r="915" ht="15.75" customHeight="1" s="349"/>
    <row r="916" ht="15.75" customHeight="1" s="349"/>
    <row r="917" ht="15.75" customHeight="1" s="349"/>
    <row r="918" ht="15.75" customHeight="1" s="349"/>
    <row r="919" ht="15.75" customHeight="1" s="349"/>
    <row r="920" ht="15.75" customHeight="1" s="349"/>
    <row r="921" ht="15.75" customHeight="1" s="349"/>
    <row r="922" ht="15.75" customHeight="1" s="349"/>
    <row r="923" ht="15.75" customHeight="1" s="349"/>
    <row r="924" ht="15.75" customHeight="1" s="349"/>
    <row r="925" ht="15.75" customHeight="1" s="349"/>
    <row r="926" ht="15.75" customHeight="1" s="349"/>
    <row r="927" ht="15.75" customHeight="1" s="349"/>
    <row r="928" ht="15.75" customHeight="1" s="349"/>
    <row r="929" ht="15.75" customHeight="1" s="349"/>
    <row r="930" ht="15.75" customHeight="1" s="349"/>
    <row r="931" ht="15.75" customHeight="1" s="349"/>
    <row r="932" ht="15.75" customHeight="1" s="349"/>
    <row r="933" ht="15.75" customHeight="1" s="349"/>
    <row r="934" ht="15.75" customHeight="1" s="349"/>
    <row r="935" ht="15.75" customHeight="1" s="349"/>
    <row r="936" ht="15.75" customHeight="1" s="349"/>
    <row r="937" ht="15.75" customHeight="1" s="349"/>
    <row r="938" ht="15.75" customHeight="1" s="349"/>
    <row r="939" ht="15.75" customHeight="1" s="349"/>
    <row r="940" ht="15.75" customHeight="1" s="349"/>
    <row r="941" ht="15.75" customHeight="1" s="349"/>
    <row r="942" ht="15.75" customHeight="1" s="349"/>
    <row r="943" ht="15.75" customHeight="1" s="349"/>
    <row r="944" ht="15.75" customHeight="1" s="349"/>
    <row r="945" ht="15.75" customHeight="1" s="349"/>
    <row r="946" ht="15.75" customHeight="1" s="349"/>
    <row r="947" ht="15.75" customHeight="1" s="349"/>
    <row r="948" ht="15.75" customHeight="1" s="349"/>
    <row r="949" ht="15.75" customHeight="1" s="349"/>
    <row r="950" ht="15.75" customHeight="1" s="349"/>
    <row r="951" ht="15.75" customHeight="1" s="349"/>
    <row r="952" ht="15.75" customHeight="1" s="349"/>
    <row r="953" ht="15.75" customHeight="1" s="349"/>
    <row r="954" ht="15.75" customHeight="1" s="349"/>
    <row r="955" ht="15.75" customHeight="1" s="349"/>
    <row r="956" ht="15.75" customHeight="1" s="349"/>
    <row r="957" ht="15.75" customHeight="1" s="349"/>
    <row r="958" ht="15.75" customHeight="1" s="349"/>
    <row r="959" ht="15.75" customHeight="1" s="349"/>
    <row r="960" ht="15.75" customHeight="1" s="349"/>
    <row r="961" ht="15.75" customHeight="1" s="349"/>
    <row r="962" ht="15.75" customHeight="1" s="349"/>
    <row r="963" ht="15.75" customHeight="1" s="349"/>
    <row r="964" ht="15.75" customHeight="1" s="349"/>
    <row r="965" ht="15.75" customHeight="1" s="349"/>
    <row r="966" ht="15.75" customHeight="1" s="349"/>
    <row r="967" ht="15.75" customHeight="1" s="349"/>
    <row r="968" ht="15.75" customHeight="1" s="349"/>
    <row r="969" ht="15.75" customHeight="1" s="349"/>
    <row r="970" ht="15.75" customHeight="1" s="349"/>
    <row r="971" ht="15.75" customHeight="1" s="349"/>
    <row r="972" ht="15.75" customHeight="1" s="349"/>
    <row r="973" ht="15.75" customHeight="1" s="349"/>
    <row r="974" ht="15.75" customHeight="1" s="349"/>
    <row r="975" ht="15.75" customHeight="1" s="349"/>
    <row r="976" ht="15.75" customHeight="1" s="349"/>
    <row r="977" ht="15.75" customHeight="1" s="349"/>
    <row r="978" ht="15.75" customHeight="1" s="349"/>
    <row r="979" ht="15.75" customHeight="1" s="349"/>
    <row r="980" ht="15.75" customHeight="1" s="349"/>
    <row r="981" ht="15.75" customHeight="1" s="349"/>
    <row r="982" ht="15.75" customHeight="1" s="349"/>
    <row r="983" ht="15.75" customHeight="1" s="349"/>
    <row r="984" ht="15.75" customHeight="1" s="349"/>
    <row r="985" ht="15.75" customHeight="1" s="349"/>
    <row r="986" ht="15.75" customHeight="1" s="349"/>
    <row r="987" ht="15.75" customHeight="1" s="349"/>
    <row r="988" ht="15.75" customHeight="1" s="349"/>
    <row r="989" ht="15.75" customHeight="1" s="349"/>
    <row r="990" ht="15.75" customHeight="1" s="349"/>
    <row r="991" ht="15.75" customHeight="1" s="349"/>
  </sheetData>
  <mergeCells count="16">
    <mergeCell ref="B3:D3"/>
    <mergeCell ref="B5:D5"/>
    <mergeCell ref="E5:G5"/>
    <mergeCell ref="K5:M5"/>
    <mergeCell ref="H5:J5"/>
    <mergeCell ref="B35:D35"/>
    <mergeCell ref="B71:G71"/>
    <mergeCell ref="B65:G65"/>
    <mergeCell ref="E35:G35"/>
    <mergeCell ref="B77:K77"/>
    <mergeCell ref="H35:J35"/>
    <mergeCell ref="B115:C115"/>
    <mergeCell ref="B13:D13"/>
    <mergeCell ref="K35:M35"/>
    <mergeCell ref="B86:D86"/>
    <mergeCell ref="K86:M86"/>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BJ291"/>
  <sheetViews>
    <sheetView showGridLines="0" workbookViewId="0">
      <pane xSplit="4" ySplit="3" topLeftCell="E4" activePane="bottomRight" state="frozen"/>
      <selection pane="topRight" activeCell="E1" sqref="E1"/>
      <selection pane="bottomLeft" activeCell="A4" sqref="A4"/>
      <selection pane="bottomRight" activeCell="E4" sqref="E4"/>
    </sheetView>
  </sheetViews>
  <sheetFormatPr baseColWidth="8" defaultColWidth="14.43" defaultRowHeight="15" customHeight="1"/>
  <cols>
    <col width="5.29" customWidth="1" style="349" min="1" max="1"/>
    <col width="10.86" customWidth="1" style="349" min="2" max="2"/>
    <col width="34.71" customWidth="1" style="349" min="3" max="3"/>
    <col width="10.86" customWidth="1" style="349" min="4" max="4"/>
    <col outlineLevel="1" width="9.710000000000001" customWidth="1" style="349" min="5" max="5"/>
    <col outlineLevel="1" width="9.57" customWidth="1" style="349" min="6" max="6"/>
    <col outlineLevel="1" width="9.859999999999999" customWidth="1" style="349" min="7" max="7"/>
    <col outlineLevel="1" width="9.43" customWidth="1" style="349" min="8" max="8"/>
    <col outlineLevel="1" width="10" customWidth="1" style="349" min="9" max="9"/>
    <col outlineLevel="1" width="9.710000000000001" customWidth="1" style="349" min="10" max="10"/>
    <col outlineLevel="1" width="9.140000000000001" customWidth="1" style="349" min="11" max="11"/>
    <col outlineLevel="1" width="9.859999999999999" customWidth="1" style="349" min="12" max="12"/>
    <col outlineLevel="1" width="10" customWidth="1" style="349" min="13" max="13"/>
    <col outlineLevel="1" width="10.14" customWidth="1" style="349" min="14" max="15"/>
    <col outlineLevel="1" width="9.859999999999999" customWidth="1" style="349" min="16" max="16"/>
    <col width="9.710000000000001" customWidth="1" style="349" min="17" max="17"/>
    <col width="9.57" customWidth="1" style="349" min="18" max="18"/>
    <col width="9.710000000000001" customWidth="1" style="349" min="19" max="19"/>
    <col width="9.43" customWidth="1" style="349" min="20" max="20"/>
    <col width="10" customWidth="1" style="349" min="21" max="21"/>
    <col width="10.43" customWidth="1" style="349" min="22" max="22"/>
    <col width="9.43" customWidth="1" style="349" min="23" max="23"/>
    <col width="10" customWidth="1" style="349" min="24" max="24"/>
    <col width="11.14" customWidth="1" style="349" min="25" max="25"/>
    <col width="11.29" customWidth="1" style="349" min="26" max="26"/>
    <col width="10.57" customWidth="1" style="349" min="27" max="28"/>
    <col width="11" customWidth="1" style="349" min="29" max="29"/>
    <col width="10.57" customWidth="1" style="349" min="30" max="30"/>
    <col width="10.71" customWidth="1" style="349" min="31" max="31"/>
    <col width="10.57" customWidth="1" style="349" min="32" max="32"/>
    <col width="10.86" customWidth="1" style="349" min="33" max="34"/>
    <col width="10.57" customWidth="1" style="349" min="35" max="35"/>
    <col width="10.86" customWidth="1" style="349" min="36" max="36"/>
    <col width="11.14" customWidth="1" style="349" min="37" max="37"/>
    <col width="11" customWidth="1" style="349" min="38" max="39"/>
    <col width="10.86" customWidth="1" style="349" min="40" max="40"/>
    <col width="10.57" customWidth="1" style="349" min="41" max="42"/>
    <col width="10.86" customWidth="1" style="349" min="43" max="44"/>
    <col width="11" customWidth="1" style="349" min="45" max="45"/>
    <col width="10.86" customWidth="1" style="349" min="46" max="46"/>
    <col width="11" customWidth="1" style="349" min="47" max="47"/>
    <col width="10.86" customWidth="1" style="349" min="48" max="48"/>
    <col width="10.57" customWidth="1" style="349" min="49" max="49"/>
    <col width="11" customWidth="1" style="349" min="50" max="50"/>
    <col width="11.57" customWidth="1" style="349" min="51" max="51"/>
    <col width="11.29" customWidth="1" style="349" min="52" max="52"/>
    <col width="10.86" customWidth="1" style="349" min="53" max="54"/>
    <col width="11.29" customWidth="1" style="349" min="55" max="55"/>
    <col width="12.14" customWidth="1" style="349" min="56" max="56"/>
    <col width="11.57" customWidth="1" style="349" min="57" max="57"/>
    <col hidden="1" outlineLevel="1" width="12.57" customWidth="1" style="349" min="58" max="58"/>
    <col collapsed="1" width="10.86" customWidth="1" style="349" min="59" max="59"/>
    <col width="43" customWidth="1" style="349" min="60" max="60"/>
    <col width="10.86" customWidth="1" style="349" min="61" max="62"/>
  </cols>
  <sheetData>
    <row r="1" ht="15.75" customHeight="1" s="349">
      <c r="A1" s="7" t="inlineStr"/>
      <c r="B1" s="8" t="inlineStr">
        <is>
          <t>Tarnoc B.V. — Financial Statements (€)</t>
        </is>
      </c>
      <c r="C1" s="9" t="n"/>
      <c r="D1" s="10" t="n"/>
      <c r="E1" s="13" t="n"/>
      <c r="F1" s="13" t="n"/>
      <c r="G1" s="13" t="n"/>
      <c r="H1" s="13" t="n"/>
      <c r="I1" s="13" t="n"/>
      <c r="J1" s="13" t="n"/>
      <c r="K1" s="13" t="n"/>
      <c r="L1" s="13" t="n"/>
      <c r="M1" s="13" t="n"/>
      <c r="N1" s="13" t="n"/>
      <c r="O1" s="13" t="n"/>
      <c r="P1" s="13" t="n"/>
      <c r="Q1" s="13" t="n"/>
      <c r="R1" s="17" t="n"/>
      <c r="S1" s="18" t="n"/>
      <c r="T1" s="19" t="n"/>
      <c r="U1" s="13" t="n"/>
      <c r="V1" s="13" t="n"/>
      <c r="W1" s="13" t="n"/>
      <c r="X1" s="13" t="n"/>
      <c r="Y1" s="13" t="n"/>
      <c r="Z1" s="13" t="n"/>
      <c r="AA1" s="13" t="n"/>
      <c r="AB1" s="13" t="n"/>
      <c r="AC1" s="13" t="n"/>
      <c r="AD1" s="13" t="n"/>
      <c r="AE1" s="13" t="n"/>
      <c r="AF1" s="13" t="n"/>
      <c r="AG1" s="13" t="n"/>
      <c r="AH1" s="13" t="n"/>
      <c r="AI1" s="13" t="n"/>
      <c r="AJ1" s="13" t="n"/>
      <c r="AK1" s="13" t="n"/>
      <c r="AL1" s="13" t="n"/>
      <c r="AM1" s="13" t="n"/>
      <c r="AN1" s="13" t="n"/>
      <c r="AO1" s="13" t="n"/>
      <c r="AP1" s="13" t="n"/>
      <c r="AQ1" s="13" t="n"/>
      <c r="AR1" s="13" t="n"/>
      <c r="AS1" s="13" t="n"/>
      <c r="AT1" s="13" t="n"/>
      <c r="AU1" s="13" t="n"/>
      <c r="AV1" s="13" t="n"/>
      <c r="AW1" s="13" t="n"/>
      <c r="AX1" s="13" t="n"/>
      <c r="AY1" s="13" t="n"/>
      <c r="AZ1" s="17" t="n"/>
      <c r="BA1" s="31" t="n"/>
      <c r="BB1" s="17" t="n"/>
      <c r="BC1" s="17" t="n"/>
      <c r="BD1" s="17" t="n"/>
      <c r="BE1" s="17" t="n"/>
      <c r="BF1" s="17" t="n"/>
      <c r="BG1" s="35" t="n"/>
      <c r="BH1" s="35" t="n"/>
      <c r="BI1" s="35" t="n"/>
      <c r="BJ1" s="35" t="n"/>
    </row>
    <row r="2" ht="13.5" customHeight="1" s="349">
      <c r="A2" s="36" t="n"/>
      <c r="B2" s="37" t="n"/>
      <c r="C2" s="37" t="n"/>
      <c r="D2" s="37" t="n"/>
      <c r="E2" s="38" t="inlineStr">
        <is>
          <t>2025</t>
        </is>
      </c>
      <c r="F2" s="38" t="n"/>
      <c r="G2" s="38" t="n"/>
      <c r="H2" s="38" t="n"/>
      <c r="I2" s="38" t="n"/>
      <c r="J2" s="38" t="n"/>
      <c r="K2" s="38" t="n"/>
      <c r="L2" s="38" t="n"/>
      <c r="M2" s="38" t="n"/>
      <c r="N2" s="38" t="n"/>
      <c r="O2" s="38" t="n"/>
      <c r="P2" s="38" t="n"/>
      <c r="Q2" s="38" t="inlineStr">
        <is>
          <t>2026</t>
        </is>
      </c>
      <c r="R2" s="42" t="n"/>
      <c r="S2" s="44" t="n"/>
      <c r="T2" s="45" t="n"/>
      <c r="U2" s="38" t="n"/>
      <c r="V2" s="38" t="n"/>
      <c r="W2" s="38" t="n"/>
      <c r="X2" s="38" t="n"/>
      <c r="Y2" s="38" t="n"/>
      <c r="Z2" s="38" t="n"/>
      <c r="AA2" s="38" t="n"/>
      <c r="AB2" s="38" t="n"/>
      <c r="AC2" s="38" t="inlineStr">
        <is>
          <t>2027</t>
        </is>
      </c>
      <c r="AD2" s="38" t="n"/>
      <c r="AE2" s="38" t="n"/>
      <c r="AF2" s="38" t="n"/>
      <c r="AG2" s="38" t="n"/>
      <c r="AH2" s="38" t="n"/>
      <c r="AI2" s="38" t="n"/>
      <c r="AJ2" s="38" t="n"/>
      <c r="AK2" s="38" t="n"/>
      <c r="AL2" s="38" t="n"/>
      <c r="AM2" s="38" t="n"/>
      <c r="AN2" s="38" t="n"/>
      <c r="AO2" s="48" t="inlineStr">
        <is>
          <t>2028</t>
        </is>
      </c>
      <c r="AP2" s="48" t="n"/>
      <c r="AQ2" s="48" t="n"/>
      <c r="AR2" s="48" t="n"/>
      <c r="AS2" s="48" t="n"/>
      <c r="AT2" s="48" t="n"/>
      <c r="AU2" s="48" t="n"/>
      <c r="AV2" s="48" t="n"/>
      <c r="AW2" s="48" t="n"/>
      <c r="AX2" s="48" t="n"/>
      <c r="AY2" s="48" t="n"/>
      <c r="AZ2" s="51" t="n"/>
      <c r="BA2" s="52" t="n"/>
      <c r="BB2" s="51" t="n"/>
      <c r="BC2" s="51" t="n"/>
      <c r="BD2" s="51" t="n"/>
      <c r="BE2" s="51" t="n"/>
      <c r="BF2" s="51" t="n"/>
      <c r="BG2" s="53" t="n"/>
      <c r="BH2" s="53" t="n"/>
      <c r="BI2" s="53" t="n"/>
      <c r="BJ2" s="53" t="n"/>
    </row>
    <row r="3" ht="13.5" customHeight="1" s="349">
      <c r="A3" s="36" t="n"/>
      <c r="B3" s="37" t="n"/>
      <c r="C3" s="37" t="n"/>
      <c r="D3" s="37" t="n"/>
      <c r="E3" s="55" t="n">
        <v>45658</v>
      </c>
      <c r="F3" s="55" t="n">
        <v>45689</v>
      </c>
      <c r="G3" s="55" t="n">
        <v>45717</v>
      </c>
      <c r="H3" s="55" t="n">
        <v>45748</v>
      </c>
      <c r="I3" s="55" t="n">
        <v>45778</v>
      </c>
      <c r="J3" s="55" t="n">
        <v>45809</v>
      </c>
      <c r="K3" s="55" t="n">
        <v>45839</v>
      </c>
      <c r="L3" s="55" t="n">
        <v>45870</v>
      </c>
      <c r="M3" s="55" t="n">
        <v>45901</v>
      </c>
      <c r="N3" s="55" t="n">
        <v>45931</v>
      </c>
      <c r="O3" s="55" t="n">
        <v>45962</v>
      </c>
      <c r="P3" s="55" t="n">
        <v>45992</v>
      </c>
      <c r="Q3" s="55" t="n">
        <v>46023</v>
      </c>
      <c r="R3" s="55" t="n">
        <v>46054</v>
      </c>
      <c r="S3" s="55" t="n">
        <v>46082</v>
      </c>
      <c r="T3" s="55" t="n">
        <v>46113</v>
      </c>
      <c r="U3" s="55" t="n">
        <v>46143</v>
      </c>
      <c r="V3" s="55" t="n">
        <v>46174</v>
      </c>
      <c r="W3" s="55" t="n">
        <v>46204</v>
      </c>
      <c r="X3" s="55" t="n">
        <v>46235</v>
      </c>
      <c r="Y3" s="55" t="n">
        <v>46266</v>
      </c>
      <c r="Z3" s="55" t="n">
        <v>46296</v>
      </c>
      <c r="AA3" s="55" t="n">
        <v>46327</v>
      </c>
      <c r="AB3" s="55" t="n">
        <v>46357</v>
      </c>
      <c r="AC3" s="55" t="n">
        <v>46388</v>
      </c>
      <c r="AD3" s="55" t="n">
        <v>46419</v>
      </c>
      <c r="AE3" s="55" t="n">
        <v>46447</v>
      </c>
      <c r="AF3" s="55" t="n">
        <v>46478</v>
      </c>
      <c r="AG3" s="55" t="n">
        <v>46508</v>
      </c>
      <c r="AH3" s="55" t="n">
        <v>46539</v>
      </c>
      <c r="AI3" s="55" t="n">
        <v>46569</v>
      </c>
      <c r="AJ3" s="55" t="n">
        <v>46600</v>
      </c>
      <c r="AK3" s="55" t="n">
        <v>46631</v>
      </c>
      <c r="AL3" s="55" t="n">
        <v>46661</v>
      </c>
      <c r="AM3" s="55" t="n">
        <v>46692</v>
      </c>
      <c r="AN3" s="55" t="n">
        <v>46722</v>
      </c>
      <c r="AO3" s="55" t="n">
        <v>46753</v>
      </c>
      <c r="AP3" s="55" t="n">
        <v>46784</v>
      </c>
      <c r="AQ3" s="55" t="n">
        <v>46813</v>
      </c>
      <c r="AR3" s="55" t="n">
        <v>46844</v>
      </c>
      <c r="AS3" s="55" t="n">
        <v>46874</v>
      </c>
      <c r="AT3" s="55" t="n">
        <v>46905</v>
      </c>
      <c r="AU3" s="55" t="n">
        <v>46935</v>
      </c>
      <c r="AV3" s="55" t="n">
        <v>46966</v>
      </c>
      <c r="AW3" s="55" t="n">
        <v>46997</v>
      </c>
      <c r="AX3" s="55" t="n">
        <v>47027</v>
      </c>
      <c r="AY3" s="55" t="n">
        <v>47058</v>
      </c>
      <c r="AZ3" s="55" t="n">
        <v>47088</v>
      </c>
      <c r="BA3" s="52" t="n"/>
      <c r="BB3" s="65" t="n">
        <v>2025</v>
      </c>
      <c r="BC3" s="65" t="n">
        <v>2026</v>
      </c>
      <c r="BD3" s="65" t="n">
        <v>2027</v>
      </c>
      <c r="BE3" s="65" t="n">
        <v>2028</v>
      </c>
      <c r="BF3" s="65" t="n">
        <v>2029</v>
      </c>
      <c r="BG3" s="67" t="n"/>
      <c r="BH3" s="40" t="inlineStr">
        <is>
          <t>what this row does</t>
        </is>
      </c>
      <c r="BI3" s="67" t="n"/>
      <c r="BJ3" s="67" t="n"/>
    </row>
    <row r="4">
      <c r="A4" s="226" t="n"/>
      <c r="B4" s="233" t="n"/>
      <c r="C4" s="233" t="n"/>
      <c r="D4" s="233" t="n"/>
      <c r="E4" s="233" t="n"/>
      <c r="F4" s="233" t="n"/>
      <c r="G4" s="233" t="n"/>
      <c r="H4" s="233" t="n"/>
      <c r="I4" s="233" t="n"/>
      <c r="J4" s="233" t="n"/>
      <c r="K4" s="233" t="n"/>
      <c r="L4" s="233" t="n"/>
      <c r="M4" s="233" t="n"/>
      <c r="N4" s="233" t="n"/>
      <c r="O4" s="233" t="n"/>
      <c r="P4" s="233" t="n"/>
      <c r="Q4" s="233" t="n"/>
      <c r="R4" s="233" t="n"/>
      <c r="S4" s="233" t="n"/>
      <c r="T4" s="233" t="n"/>
      <c r="U4" s="233" t="n"/>
      <c r="V4" s="233" t="n"/>
      <c r="W4" s="233" t="n"/>
      <c r="X4" s="233" t="n"/>
      <c r="Y4" s="233" t="n"/>
      <c r="Z4" s="233" t="n"/>
      <c r="AA4" s="233" t="n"/>
      <c r="AB4" s="233" t="n"/>
      <c r="AC4" s="233" t="n"/>
      <c r="AD4" s="233" t="n"/>
      <c r="AE4" s="233" t="n"/>
      <c r="AF4" s="233" t="n"/>
      <c r="AG4" s="233" t="n"/>
      <c r="AH4" s="233" t="n"/>
      <c r="AI4" s="233" t="n"/>
      <c r="AJ4" s="233" t="n"/>
      <c r="AK4" s="233" t="n"/>
      <c r="AL4" s="233" t="n"/>
      <c r="AM4" s="233" t="n"/>
      <c r="AN4" s="233" t="n"/>
      <c r="AO4" s="233" t="n"/>
      <c r="AP4" s="233" t="n"/>
      <c r="AQ4" s="233" t="n"/>
      <c r="AR4" s="233" t="n"/>
      <c r="AS4" s="233" t="n"/>
      <c r="AT4" s="233" t="n"/>
      <c r="AU4" s="233" t="n"/>
      <c r="AV4" s="233" t="n"/>
      <c r="AW4" s="233" t="n"/>
      <c r="AX4" s="233" t="n"/>
      <c r="AY4" s="233" t="n"/>
      <c r="AZ4" s="233" t="n"/>
      <c r="BA4" s="226" t="n"/>
      <c r="BB4" s="233" t="n"/>
      <c r="BC4" s="233" t="n"/>
      <c r="BD4" s="233" t="n"/>
      <c r="BE4" s="233" t="n"/>
      <c r="BF4" s="233" t="n"/>
      <c r="BG4" s="226" t="n"/>
      <c r="BH4" s="40" t="n"/>
      <c r="BI4" s="226" t="n"/>
      <c r="BJ4" s="226" t="n"/>
    </row>
    <row r="5" ht="15.75" customHeight="1" s="349">
      <c r="A5" s="241" t="n"/>
      <c r="B5" s="73" t="inlineStr">
        <is>
          <t>PROFIT &amp; LOSS STATEMENT</t>
        </is>
      </c>
      <c r="C5" s="241" t="n"/>
      <c r="D5" s="241" t="n"/>
      <c r="E5" s="241" t="n"/>
      <c r="F5" s="241" t="n"/>
      <c r="G5" s="241" t="n"/>
      <c r="H5" s="241" t="n"/>
      <c r="I5" s="241" t="n"/>
      <c r="J5" s="241" t="n"/>
      <c r="K5" s="241" t="n"/>
      <c r="L5" s="241" t="n"/>
      <c r="M5" s="241" t="n"/>
      <c r="N5" s="241" t="n"/>
      <c r="O5" s="241" t="n"/>
      <c r="P5" s="241" t="n"/>
      <c r="Q5" s="241" t="n"/>
      <c r="R5" s="241" t="n"/>
      <c r="S5" s="241" t="n"/>
      <c r="T5" s="241" t="n"/>
      <c r="U5" s="241" t="n"/>
      <c r="V5" s="241" t="n"/>
      <c r="W5" s="241" t="n"/>
      <c r="X5" s="241" t="n"/>
      <c r="Y5" s="241" t="n"/>
      <c r="Z5" s="241" t="n"/>
      <c r="AA5" s="241" t="n"/>
      <c r="AB5" s="241" t="n"/>
      <c r="AC5" s="241" t="n"/>
      <c r="AD5" s="241" t="n"/>
      <c r="AE5" s="241" t="n"/>
      <c r="AF5" s="241" t="n"/>
      <c r="AG5" s="241" t="n"/>
      <c r="AH5" s="241" t="n"/>
      <c r="AI5" s="241" t="n"/>
      <c r="AJ5" s="241" t="n"/>
      <c r="AK5" s="241" t="n"/>
      <c r="AL5" s="241" t="n"/>
      <c r="AM5" s="241" t="n"/>
      <c r="AN5" s="241" t="n"/>
      <c r="AO5" s="241" t="n"/>
      <c r="AP5" s="241" t="n"/>
      <c r="AQ5" s="241" t="n"/>
      <c r="AR5" s="241" t="n"/>
      <c r="AS5" s="241" t="n"/>
      <c r="AT5" s="241" t="n"/>
      <c r="AU5" s="241" t="n"/>
      <c r="AV5" s="241" t="n"/>
      <c r="AW5" s="241" t="n"/>
      <c r="AX5" s="241" t="n"/>
      <c r="AY5" s="241" t="n"/>
      <c r="AZ5" s="241" t="n"/>
      <c r="BA5" s="241" t="n"/>
      <c r="BB5" s="241" t="n"/>
      <c r="BC5" s="241" t="n"/>
      <c r="BD5" s="241" t="n"/>
      <c r="BE5" s="241" t="n"/>
      <c r="BF5" s="241" t="n"/>
      <c r="BG5" s="241" t="n"/>
      <c r="BH5" s="83" t="n"/>
      <c r="BI5" s="241" t="n"/>
      <c r="BJ5" s="241" t="n"/>
    </row>
    <row r="6" ht="13.5" customHeight="1" s="349">
      <c r="A6" s="77" t="n"/>
      <c r="B6" s="79" t="inlineStr">
        <is>
          <t>Revenues</t>
        </is>
      </c>
      <c r="C6" s="80" t="n"/>
      <c r="D6" s="80" t="n"/>
      <c r="E6" s="80" t="n"/>
      <c r="F6" s="80" t="n"/>
      <c r="G6" s="80" t="n"/>
      <c r="H6" s="80" t="n"/>
      <c r="I6" s="80" t="n"/>
      <c r="J6" s="80" t="n"/>
      <c r="K6" s="80" t="n"/>
      <c r="L6" s="80" t="n"/>
      <c r="M6" s="80" t="n"/>
      <c r="N6" s="80" t="n"/>
      <c r="O6" s="80" t="n"/>
      <c r="P6" s="80" t="n"/>
      <c r="Q6" s="80" t="n"/>
      <c r="R6" s="84" t="n"/>
      <c r="S6" s="85" t="n"/>
      <c r="T6" s="86" t="n"/>
      <c r="U6" s="80" t="n"/>
      <c r="V6" s="80" t="n"/>
      <c r="W6" s="80" t="n"/>
      <c r="X6" s="80" t="n"/>
      <c r="Y6" s="80" t="n"/>
      <c r="Z6" s="80" t="n"/>
      <c r="AA6" s="80" t="n"/>
      <c r="AB6" s="80" t="n"/>
      <c r="AC6" s="80" t="n"/>
      <c r="AD6" s="80" t="n"/>
      <c r="AE6" s="80" t="n"/>
      <c r="AF6" s="80" t="n"/>
      <c r="AG6" s="80" t="n"/>
      <c r="AH6" s="80" t="n"/>
      <c r="AI6" s="80" t="n"/>
      <c r="AJ6" s="80" t="n"/>
      <c r="AK6" s="80" t="n"/>
      <c r="AL6" s="80" t="n"/>
      <c r="AM6" s="80" t="n"/>
      <c r="AN6" s="80" t="n"/>
      <c r="AO6" s="80" t="n"/>
      <c r="AP6" s="80" t="n"/>
      <c r="AQ6" s="80" t="n"/>
      <c r="AR6" s="80" t="n"/>
      <c r="AS6" s="80" t="n"/>
      <c r="AT6" s="80" t="n"/>
      <c r="AU6" s="80" t="n"/>
      <c r="AV6" s="80" t="n"/>
      <c r="AW6" s="80" t="n"/>
      <c r="AX6" s="80" t="n"/>
      <c r="AY6" s="80" t="n"/>
      <c r="AZ6" s="84" t="n"/>
      <c r="BA6" s="226" t="n"/>
      <c r="BB6" s="84" t="n"/>
      <c r="BC6" s="84" t="n"/>
      <c r="BD6" s="84" t="n"/>
      <c r="BE6" s="84" t="n"/>
      <c r="BF6" s="84" t="n"/>
      <c r="BG6" s="226" t="n"/>
      <c r="BH6" s="40" t="n"/>
      <c r="BI6" s="226" t="n"/>
      <c r="BJ6" s="226" t="n"/>
    </row>
    <row r="7" ht="15" customHeight="1" s="349">
      <c r="A7" s="226" t="n"/>
      <c r="B7" s="233" t="inlineStr">
        <is>
          <t xml:space="preserve">TTK </t>
        </is>
      </c>
      <c r="C7" s="233" t="n"/>
      <c r="D7" s="233" t="inlineStr">
        <is>
          <t>€</t>
        </is>
      </c>
      <c r="E7" s="241" t="n"/>
      <c r="F7" s="241" t="n"/>
      <c r="G7" s="241" t="n"/>
      <c r="H7" s="241" t="n"/>
      <c r="I7" s="241" t="n"/>
      <c r="J7" s="241" t="n"/>
      <c r="K7" s="241" t="n"/>
      <c r="L7" s="241" t="n"/>
      <c r="M7" s="241">
        <f>'Revenue Forecast'!M9</f>
        <v/>
      </c>
      <c r="N7" s="241">
        <f>'Revenue Forecast'!N9</f>
        <v/>
      </c>
      <c r="O7" s="241">
        <f>'Revenue Forecast'!O9</f>
        <v/>
      </c>
      <c r="P7" s="241">
        <f>'Revenue Forecast'!P9</f>
        <v/>
      </c>
      <c r="Q7" s="241">
        <f>'Revenue Forecast'!Q9</f>
        <v/>
      </c>
      <c r="R7" s="241">
        <f>'Revenue Forecast'!R9</f>
        <v/>
      </c>
      <c r="S7" s="241">
        <f>'Revenue Forecast'!S9</f>
        <v/>
      </c>
      <c r="T7" s="241">
        <f>'Revenue Forecast'!T9</f>
        <v/>
      </c>
      <c r="U7" s="241">
        <f>'Revenue Forecast'!U9</f>
        <v/>
      </c>
      <c r="V7" s="241">
        <f>'Revenue Forecast'!V9</f>
        <v/>
      </c>
      <c r="W7" s="241">
        <f>'Revenue Forecast'!W9</f>
        <v/>
      </c>
      <c r="X7" s="241">
        <f>'Revenue Forecast'!X9</f>
        <v/>
      </c>
      <c r="Y7" s="241">
        <f>'Revenue Forecast'!Y9</f>
        <v/>
      </c>
      <c r="Z7" s="241">
        <f>'Revenue Forecast'!Z9</f>
        <v/>
      </c>
      <c r="AA7" s="241">
        <f>'Revenue Forecast'!AA9</f>
        <v/>
      </c>
      <c r="AB7" s="241">
        <f>'Revenue Forecast'!AB9</f>
        <v/>
      </c>
      <c r="AC7" s="241">
        <f>'Revenue Forecast'!AC9</f>
        <v/>
      </c>
      <c r="AD7" s="241">
        <f>'Revenue Forecast'!AD9</f>
        <v/>
      </c>
      <c r="AE7" s="241">
        <f>'Revenue Forecast'!AE9</f>
        <v/>
      </c>
      <c r="AF7" s="241">
        <f>'Revenue Forecast'!AF9</f>
        <v/>
      </c>
      <c r="AG7" s="241">
        <f>'Revenue Forecast'!AG9</f>
        <v/>
      </c>
      <c r="AH7" s="241">
        <f>'Revenue Forecast'!AH9</f>
        <v/>
      </c>
      <c r="AI7" s="241">
        <f>'Revenue Forecast'!AI9</f>
        <v/>
      </c>
      <c r="AJ7" s="241">
        <f>'Revenue Forecast'!AJ9</f>
        <v/>
      </c>
      <c r="AK7" s="241">
        <f>'Revenue Forecast'!AK9</f>
        <v/>
      </c>
      <c r="AL7" s="241">
        <f>'Revenue Forecast'!AL9</f>
        <v/>
      </c>
      <c r="AM7" s="241">
        <f>'Revenue Forecast'!AM9</f>
        <v/>
      </c>
      <c r="AN7" s="241">
        <f>'Revenue Forecast'!AN9</f>
        <v/>
      </c>
      <c r="AO7" s="241">
        <f>'Revenue Forecast'!AO9</f>
        <v/>
      </c>
      <c r="AP7" s="241">
        <f>'Revenue Forecast'!AP9</f>
        <v/>
      </c>
      <c r="AQ7" s="241">
        <f>'Revenue Forecast'!AQ9</f>
        <v/>
      </c>
      <c r="AR7" s="241">
        <f>'Revenue Forecast'!AR9</f>
        <v/>
      </c>
      <c r="AS7" s="241">
        <f>'Revenue Forecast'!AS9</f>
        <v/>
      </c>
      <c r="AT7" s="241">
        <f>'Revenue Forecast'!AT9</f>
        <v/>
      </c>
      <c r="AU7" s="241">
        <f>'Revenue Forecast'!AU9</f>
        <v/>
      </c>
      <c r="AV7" s="241">
        <f>'Revenue Forecast'!AV9</f>
        <v/>
      </c>
      <c r="AW7" s="241">
        <f>'Revenue Forecast'!AW9</f>
        <v/>
      </c>
      <c r="AX7" s="241">
        <f>'Revenue Forecast'!AX9</f>
        <v/>
      </c>
      <c r="AY7" s="241">
        <f>'Revenue Forecast'!AY9</f>
        <v/>
      </c>
      <c r="AZ7" s="241">
        <f>'Revenue Forecast'!AZ9</f>
        <v/>
      </c>
      <c r="BA7" s="226" t="n"/>
      <c r="BB7" s="241">
        <f>sum(E7:P7)</f>
        <v/>
      </c>
      <c r="BC7" s="241">
        <f>sum(Q7:AB7)</f>
        <v/>
      </c>
      <c r="BD7" s="241">
        <f>sum(AC7:AN7)</f>
        <v/>
      </c>
      <c r="BE7" s="241">
        <f>sum(AO7:AZ7)</f>
        <v/>
      </c>
      <c r="BF7" s="241">
        <f>'Revenue Forecast'!BF9</f>
        <v/>
      </c>
      <c r="BG7" s="66" t="n"/>
      <c r="BH7" s="40" t="inlineStr">
        <is>
          <t>TTK revenue, pulled from the Revenue Forecast</t>
        </is>
      </c>
      <c r="BI7" s="66" t="n"/>
      <c r="BJ7" s="66" t="n"/>
    </row>
    <row r="8" ht="15" customHeight="1" s="349">
      <c r="A8" s="226" t="n"/>
      <c r="B8" s="233" t="inlineStr">
        <is>
          <t>Combi+</t>
        </is>
      </c>
      <c r="C8" s="233" t="n"/>
      <c r="D8" s="233" t="inlineStr">
        <is>
          <t>€</t>
        </is>
      </c>
      <c r="E8" s="241" t="n"/>
      <c r="F8" s="241" t="n"/>
      <c r="G8" s="241" t="n"/>
      <c r="H8" s="241" t="n"/>
      <c r="I8" s="241" t="n"/>
      <c r="J8" s="241" t="n"/>
      <c r="K8" s="241" t="n"/>
      <c r="L8" s="241" t="n"/>
      <c r="M8" s="241" t="n"/>
      <c r="N8" s="241" t="n"/>
      <c r="O8" s="241" t="n"/>
      <c r="P8" s="241" t="n"/>
      <c r="Q8" s="241">
        <f>'Revenue Forecast'!Q15</f>
        <v/>
      </c>
      <c r="R8" s="241">
        <f>'Revenue Forecast'!R15</f>
        <v/>
      </c>
      <c r="S8" s="241">
        <f>'Revenue Forecast'!S15</f>
        <v/>
      </c>
      <c r="T8" s="241">
        <f>'Revenue Forecast'!T15</f>
        <v/>
      </c>
      <c r="U8" s="241">
        <f>'Revenue Forecast'!U15</f>
        <v/>
      </c>
      <c r="V8" s="241">
        <f>'Revenue Forecast'!V15</f>
        <v/>
      </c>
      <c r="W8" s="241">
        <f>'Revenue Forecast'!W15</f>
        <v/>
      </c>
      <c r="X8" s="241">
        <f>'Revenue Forecast'!X15</f>
        <v/>
      </c>
      <c r="Y8" s="241">
        <f>'Revenue Forecast'!Y15</f>
        <v/>
      </c>
      <c r="Z8" s="241">
        <f>'Revenue Forecast'!Z15</f>
        <v/>
      </c>
      <c r="AA8" s="241">
        <f>'Revenue Forecast'!AA15</f>
        <v/>
      </c>
      <c r="AB8" s="241">
        <f>'Revenue Forecast'!AB15</f>
        <v/>
      </c>
      <c r="AC8" s="241">
        <f>'Revenue Forecast'!AC15</f>
        <v/>
      </c>
      <c r="AD8" s="241">
        <f>'Revenue Forecast'!AD15</f>
        <v/>
      </c>
      <c r="AE8" s="241">
        <f>'Revenue Forecast'!AE15</f>
        <v/>
      </c>
      <c r="AF8" s="241">
        <f>'Revenue Forecast'!AF15</f>
        <v/>
      </c>
      <c r="AG8" s="241">
        <f>'Revenue Forecast'!AG15</f>
        <v/>
      </c>
      <c r="AH8" s="241">
        <f>'Revenue Forecast'!AH15</f>
        <v/>
      </c>
      <c r="AI8" s="241">
        <f>'Revenue Forecast'!AI15</f>
        <v/>
      </c>
      <c r="AJ8" s="241">
        <f>'Revenue Forecast'!AJ15</f>
        <v/>
      </c>
      <c r="AK8" s="241">
        <f>'Revenue Forecast'!AK15</f>
        <v/>
      </c>
      <c r="AL8" s="241">
        <f>'Revenue Forecast'!AL15</f>
        <v/>
      </c>
      <c r="AM8" s="241">
        <f>'Revenue Forecast'!AM15</f>
        <v/>
      </c>
      <c r="AN8" s="241">
        <f>'Revenue Forecast'!AN15</f>
        <v/>
      </c>
      <c r="AO8" s="241">
        <f>'Revenue Forecast'!AO15</f>
        <v/>
      </c>
      <c r="AP8" s="241">
        <f>'Revenue Forecast'!AP15</f>
        <v/>
      </c>
      <c r="AQ8" s="241">
        <f>'Revenue Forecast'!AQ15</f>
        <v/>
      </c>
      <c r="AR8" s="241">
        <f>'Revenue Forecast'!AR15</f>
        <v/>
      </c>
      <c r="AS8" s="241">
        <f>'Revenue Forecast'!AS15</f>
        <v/>
      </c>
      <c r="AT8" s="241">
        <f>'Revenue Forecast'!AT15</f>
        <v/>
      </c>
      <c r="AU8" s="241">
        <f>'Revenue Forecast'!AU15</f>
        <v/>
      </c>
      <c r="AV8" s="241">
        <f>'Revenue Forecast'!AV15</f>
        <v/>
      </c>
      <c r="AW8" s="241">
        <f>'Revenue Forecast'!AW15</f>
        <v/>
      </c>
      <c r="AX8" s="241">
        <f>'Revenue Forecast'!AX15</f>
        <v/>
      </c>
      <c r="AY8" s="241">
        <f>'Revenue Forecast'!AY15</f>
        <v/>
      </c>
      <c r="AZ8" s="241">
        <f>'Revenue Forecast'!AZ15</f>
        <v/>
      </c>
      <c r="BA8" s="226" t="n"/>
      <c r="BB8" s="241">
        <f>'Revenue Forecast'!BB15</f>
        <v/>
      </c>
      <c r="BC8" s="241">
        <f>'Revenue Forecast'!BC15</f>
        <v/>
      </c>
      <c r="BD8" s="241">
        <f>'Revenue Forecast'!BD15</f>
        <v/>
      </c>
      <c r="BE8" s="241">
        <f>'Revenue Forecast'!BE15</f>
        <v/>
      </c>
      <c r="BF8" s="241">
        <f>'Revenue Forecast'!BF15</f>
        <v/>
      </c>
      <c r="BG8" s="66" t="n"/>
      <c r="BH8" s="40" t="inlineStr">
        <is>
          <t>Combi+ revenue, pulled from the Revenue Forecast</t>
        </is>
      </c>
      <c r="BI8" s="66" t="n"/>
      <c r="BJ8" s="66" t="n"/>
    </row>
    <row r="9" ht="15" customHeight="1" s="349">
      <c r="A9" s="226" t="n"/>
      <c r="B9" s="233" t="inlineStr">
        <is>
          <t>Other</t>
        </is>
      </c>
      <c r="C9" s="233" t="n"/>
      <c r="D9" s="233" t="inlineStr">
        <is>
          <t>€</t>
        </is>
      </c>
      <c r="E9" s="241" t="n"/>
      <c r="F9" s="241" t="n"/>
      <c r="G9" s="241" t="n"/>
      <c r="H9" s="241" t="n"/>
      <c r="I9" s="241" t="n"/>
      <c r="J9" s="241" t="n"/>
      <c r="K9" s="241" t="n"/>
      <c r="L9" s="241" t="n"/>
      <c r="M9" s="241">
        <f>'Revenue Forecast'!M19+'Revenue Forecast'!M24</f>
        <v/>
      </c>
      <c r="N9" s="241">
        <f>'Revenue Forecast'!N19+'Revenue Forecast'!N24</f>
        <v/>
      </c>
      <c r="O9" s="241">
        <f>'Revenue Forecast'!O19+'Revenue Forecast'!O24</f>
        <v/>
      </c>
      <c r="P9" s="241">
        <f>'Revenue Forecast'!P19+'Revenue Forecast'!P24</f>
        <v/>
      </c>
      <c r="Q9" s="241">
        <f>'Revenue Forecast'!Q19+'Revenue Forecast'!Q24</f>
        <v/>
      </c>
      <c r="R9" s="241">
        <f>'Revenue Forecast'!R19+'Revenue Forecast'!R24</f>
        <v/>
      </c>
      <c r="S9" s="241">
        <f>'Revenue Forecast'!S19+'Revenue Forecast'!S24</f>
        <v/>
      </c>
      <c r="T9" s="241">
        <f>'Revenue Forecast'!T19+'Revenue Forecast'!T24</f>
        <v/>
      </c>
      <c r="U9" s="241">
        <f>'Revenue Forecast'!U19+'Revenue Forecast'!U24</f>
        <v/>
      </c>
      <c r="V9" s="241">
        <f>'Revenue Forecast'!V19+'Revenue Forecast'!V24</f>
        <v/>
      </c>
      <c r="W9" s="241">
        <f>'Revenue Forecast'!W19+'Revenue Forecast'!W24</f>
        <v/>
      </c>
      <c r="X9" s="241">
        <f>'Revenue Forecast'!X19+'Revenue Forecast'!X24</f>
        <v/>
      </c>
      <c r="Y9" s="241">
        <f>'Revenue Forecast'!Y19+'Revenue Forecast'!Y24</f>
        <v/>
      </c>
      <c r="Z9" s="241">
        <f>'Revenue Forecast'!Z19+'Revenue Forecast'!Z24</f>
        <v/>
      </c>
      <c r="AA9" s="241">
        <f>'Revenue Forecast'!AA19+'Revenue Forecast'!AA24</f>
        <v/>
      </c>
      <c r="AB9" s="241">
        <f>'Revenue Forecast'!AB19+'Revenue Forecast'!AB24</f>
        <v/>
      </c>
      <c r="AC9" s="241">
        <f>'Revenue Forecast'!AC19+'Revenue Forecast'!AC24</f>
        <v/>
      </c>
      <c r="AD9" s="241">
        <f>'Revenue Forecast'!AD19+'Revenue Forecast'!AD24</f>
        <v/>
      </c>
      <c r="AE9" s="241">
        <f>'Revenue Forecast'!AE19+'Revenue Forecast'!AE24</f>
        <v/>
      </c>
      <c r="AF9" s="241">
        <f>'Revenue Forecast'!AF19+'Revenue Forecast'!AF24</f>
        <v/>
      </c>
      <c r="AG9" s="241">
        <f>'Revenue Forecast'!AG19+'Revenue Forecast'!AG24</f>
        <v/>
      </c>
      <c r="AH9" s="241">
        <f>'Revenue Forecast'!AH19+'Revenue Forecast'!AH24</f>
        <v/>
      </c>
      <c r="AI9" s="241">
        <f>'Revenue Forecast'!AI19+'Revenue Forecast'!AI24</f>
        <v/>
      </c>
      <c r="AJ9" s="241">
        <f>'Revenue Forecast'!AJ19+'Revenue Forecast'!AJ24</f>
        <v/>
      </c>
      <c r="AK9" s="241">
        <f>'Revenue Forecast'!AK19+'Revenue Forecast'!AK24</f>
        <v/>
      </c>
      <c r="AL9" s="241">
        <f>'Revenue Forecast'!AL19+'Revenue Forecast'!AL24</f>
        <v/>
      </c>
      <c r="AM9" s="241">
        <f>'Revenue Forecast'!AM19+'Revenue Forecast'!AM24</f>
        <v/>
      </c>
      <c r="AN9" s="241">
        <f>'Revenue Forecast'!AN19+'Revenue Forecast'!AN24</f>
        <v/>
      </c>
      <c r="AO9" s="241">
        <f>'Revenue Forecast'!AO19+'Revenue Forecast'!AO24</f>
        <v/>
      </c>
      <c r="AP9" s="241">
        <f>'Revenue Forecast'!AP19+'Revenue Forecast'!AP24</f>
        <v/>
      </c>
      <c r="AQ9" s="241">
        <f>'Revenue Forecast'!AQ19+'Revenue Forecast'!AQ24</f>
        <v/>
      </c>
      <c r="AR9" s="241">
        <f>'Revenue Forecast'!AR19+'Revenue Forecast'!AR24</f>
        <v/>
      </c>
      <c r="AS9" s="241">
        <f>'Revenue Forecast'!AS19+'Revenue Forecast'!AS24</f>
        <v/>
      </c>
      <c r="AT9" s="241">
        <f>'Revenue Forecast'!AT19+'Revenue Forecast'!AT24</f>
        <v/>
      </c>
      <c r="AU9" s="241">
        <f>'Revenue Forecast'!AU19+'Revenue Forecast'!AU24</f>
        <v/>
      </c>
      <c r="AV9" s="241">
        <f>'Revenue Forecast'!AV19+'Revenue Forecast'!AV24</f>
        <v/>
      </c>
      <c r="AW9" s="241">
        <f>'Revenue Forecast'!AW19+'Revenue Forecast'!AW24</f>
        <v/>
      </c>
      <c r="AX9" s="241">
        <f>'Revenue Forecast'!AX19+'Revenue Forecast'!AX24</f>
        <v/>
      </c>
      <c r="AY9" s="241">
        <f>'Revenue Forecast'!AY19+'Revenue Forecast'!AY24</f>
        <v/>
      </c>
      <c r="AZ9" s="241">
        <f>'Revenue Forecast'!AZ19+'Revenue Forecast'!AZ24</f>
        <v/>
      </c>
      <c r="BA9" s="226" t="n"/>
      <c r="BB9" s="241">
        <f>sum(E9:P9)</f>
        <v/>
      </c>
      <c r="BC9" s="241">
        <f>sum(Q9:AB9)</f>
        <v/>
      </c>
      <c r="BD9" s="241">
        <f>sum(AC9:AN9)</f>
        <v/>
      </c>
      <c r="BE9" s="241">
        <f>sum(AO9:AZ9)</f>
        <v/>
      </c>
      <c r="BF9" s="241">
        <f>'Revenue Forecast'!BF19+'Revenue Forecast'!BF24</f>
        <v/>
      </c>
      <c r="BG9" s="66" t="n"/>
      <c r="BH9" s="40" t="inlineStr">
        <is>
          <t>installation + service revenue from the Revenue Forecast</t>
        </is>
      </c>
      <c r="BI9" s="66" t="n"/>
      <c r="BJ9" s="66" t="n"/>
    </row>
    <row r="10" ht="15" customHeight="1" s="349">
      <c r="A10" s="226" t="n"/>
      <c r="B10" s="241" t="inlineStr">
        <is>
          <t>Subsidies &amp; grants</t>
        </is>
      </c>
      <c r="C10" s="233" t="n"/>
      <c r="D10" s="233" t="inlineStr">
        <is>
          <t>€</t>
        </is>
      </c>
      <c r="E10" s="241" t="n"/>
      <c r="F10" s="241" t="n"/>
      <c r="G10" s="241" t="n"/>
      <c r="H10" s="241" t="n"/>
      <c r="I10" s="241" t="n"/>
      <c r="J10" s="241" t="n"/>
      <c r="K10" s="241" t="n"/>
      <c r="L10" s="241" t="n"/>
      <c r="M10" s="241">
        <f>'Revenue Forecast'!M28</f>
        <v/>
      </c>
      <c r="N10" s="241">
        <f>'Revenue Forecast'!N28</f>
        <v/>
      </c>
      <c r="O10" s="241">
        <f>'Revenue Forecast'!O28</f>
        <v/>
      </c>
      <c r="P10" s="241">
        <f>'Revenue Forecast'!P28</f>
        <v/>
      </c>
      <c r="Q10" s="241">
        <f>'Revenue Forecast'!Q28</f>
        <v/>
      </c>
      <c r="R10" s="241">
        <f>'Revenue Forecast'!R28</f>
        <v/>
      </c>
      <c r="S10" s="241">
        <f>'Revenue Forecast'!S28</f>
        <v/>
      </c>
      <c r="T10" s="241" t="n">
        <v>0</v>
      </c>
      <c r="U10" s="241">
        <f>'Revenue Forecast'!U28</f>
        <v/>
      </c>
      <c r="V10" s="241">
        <f>'Revenue Forecast'!V28</f>
        <v/>
      </c>
      <c r="W10" s="241">
        <f>'Revenue Forecast'!W28</f>
        <v/>
      </c>
      <c r="X10" s="241">
        <f>'Revenue Forecast'!X28</f>
        <v/>
      </c>
      <c r="Y10" s="241">
        <f>'Revenue Forecast'!Y28</f>
        <v/>
      </c>
      <c r="Z10" s="241">
        <f>'Revenue Forecast'!Z28</f>
        <v/>
      </c>
      <c r="AA10" s="241">
        <f>'Revenue Forecast'!AA28</f>
        <v/>
      </c>
      <c r="AB10" s="241">
        <f>'Revenue Forecast'!AB28</f>
        <v/>
      </c>
      <c r="AC10" s="241">
        <f>'Revenue Forecast'!AC28</f>
        <v/>
      </c>
      <c r="AD10" s="241">
        <f>'Revenue Forecast'!AD28</f>
        <v/>
      </c>
      <c r="AE10" s="241">
        <f>'Revenue Forecast'!AE28</f>
        <v/>
      </c>
      <c r="AF10" s="241">
        <f>'Revenue Forecast'!AF28</f>
        <v/>
      </c>
      <c r="AG10" s="241">
        <f>'Revenue Forecast'!AG28</f>
        <v/>
      </c>
      <c r="AH10" s="241">
        <f>'Revenue Forecast'!AH28</f>
        <v/>
      </c>
      <c r="AI10" s="241">
        <f>'Revenue Forecast'!AI28</f>
        <v/>
      </c>
      <c r="AJ10" s="241">
        <f>'Revenue Forecast'!AJ28</f>
        <v/>
      </c>
      <c r="AK10" s="241">
        <f>'Revenue Forecast'!AK28</f>
        <v/>
      </c>
      <c r="AL10" s="241">
        <f>'Revenue Forecast'!AL28</f>
        <v/>
      </c>
      <c r="AM10" s="241">
        <f>'Revenue Forecast'!AM28</f>
        <v/>
      </c>
      <c r="AN10" s="241">
        <f>'Revenue Forecast'!AN28</f>
        <v/>
      </c>
      <c r="AO10" s="241">
        <f>'Revenue Forecast'!AO28</f>
        <v/>
      </c>
      <c r="AP10" s="241">
        <f>'Revenue Forecast'!AP28</f>
        <v/>
      </c>
      <c r="AQ10" s="241">
        <f>'Revenue Forecast'!AQ28</f>
        <v/>
      </c>
      <c r="AR10" s="241">
        <f>'Revenue Forecast'!AR28</f>
        <v/>
      </c>
      <c r="AS10" s="241">
        <f>'Revenue Forecast'!AS28</f>
        <v/>
      </c>
      <c r="AT10" s="241">
        <f>'Revenue Forecast'!AT28</f>
        <v/>
      </c>
      <c r="AU10" s="241">
        <f>'Revenue Forecast'!AU28</f>
        <v/>
      </c>
      <c r="AV10" s="241">
        <f>'Revenue Forecast'!AV28</f>
        <v/>
      </c>
      <c r="AW10" s="241">
        <f>'Revenue Forecast'!AW28</f>
        <v/>
      </c>
      <c r="AX10" s="241">
        <f>'Revenue Forecast'!AX28</f>
        <v/>
      </c>
      <c r="AY10" s="241">
        <f>'Revenue Forecast'!AY28</f>
        <v/>
      </c>
      <c r="AZ10" s="241">
        <f>'Revenue Forecast'!AZ28</f>
        <v/>
      </c>
      <c r="BA10" s="226" t="n"/>
      <c r="BB10" s="241">
        <f>sum(E10:P10)</f>
        <v/>
      </c>
      <c r="BC10" s="241">
        <f>sum(Q10:AB10)</f>
        <v/>
      </c>
      <c r="BD10" s="124" t="inlineStr">
        <is>
          <t>pm</t>
        </is>
      </c>
      <c r="BE10" s="124" t="inlineStr">
        <is>
          <t>pm</t>
        </is>
      </c>
      <c r="BF10" s="124" t="inlineStr">
        <is>
          <t>pm</t>
        </is>
      </c>
      <c r="BG10" s="66" t="n"/>
      <c r="BH10" s="40" t="inlineStr">
        <is>
          <t>subsidies from the Revenue Forecast. nothing budgeted</t>
        </is>
      </c>
      <c r="BI10" s="66" t="n"/>
      <c r="BJ10" s="66" t="n"/>
    </row>
    <row r="11" ht="12.75" customHeight="1" s="349">
      <c r="A11" s="125" t="n"/>
      <c r="B11" s="126" t="inlineStr">
        <is>
          <t>Total Revenue</t>
        </is>
      </c>
      <c r="C11" s="127" t="n"/>
      <c r="D11" s="126" t="inlineStr">
        <is>
          <t>€</t>
        </is>
      </c>
      <c r="E11" s="126" t="n"/>
      <c r="F11" s="126" t="n"/>
      <c r="G11" s="126" t="n"/>
      <c r="H11" s="126" t="n"/>
      <c r="I11" s="126" t="n"/>
      <c r="J11" s="126" t="n"/>
      <c r="K11" s="126" t="n"/>
      <c r="L11" s="126" t="n"/>
      <c r="M11" s="126">
        <f>'Revenue Forecast'!M30</f>
        <v/>
      </c>
      <c r="N11" s="126">
        <f>'Revenue Forecast'!N30</f>
        <v/>
      </c>
      <c r="O11" s="126">
        <f>'Revenue Forecast'!O30</f>
        <v/>
      </c>
      <c r="P11" s="126">
        <f>'Revenue Forecast'!P30</f>
        <v/>
      </c>
      <c r="Q11" s="126">
        <f>'Revenue Forecast'!Q30</f>
        <v/>
      </c>
      <c r="R11" s="126">
        <f>'Revenue Forecast'!R30</f>
        <v/>
      </c>
      <c r="S11" s="126">
        <f>'Revenue Forecast'!S30</f>
        <v/>
      </c>
      <c r="T11" s="126">
        <f>'Revenue Forecast'!T30</f>
        <v/>
      </c>
      <c r="U11" s="126">
        <f>'Revenue Forecast'!U30</f>
        <v/>
      </c>
      <c r="V11" s="126">
        <f>'Revenue Forecast'!V30</f>
        <v/>
      </c>
      <c r="W11" s="126">
        <f>'Revenue Forecast'!W30</f>
        <v/>
      </c>
      <c r="X11" s="126">
        <f>'Revenue Forecast'!X30</f>
        <v/>
      </c>
      <c r="Y11" s="126">
        <f>'Revenue Forecast'!Y30</f>
        <v/>
      </c>
      <c r="Z11" s="126">
        <f>'Revenue Forecast'!Z30</f>
        <v/>
      </c>
      <c r="AA11" s="126">
        <f>'Revenue Forecast'!AA30</f>
        <v/>
      </c>
      <c r="AB11" s="126">
        <f>'Revenue Forecast'!AB30</f>
        <v/>
      </c>
      <c r="AC11" s="126">
        <f>'Revenue Forecast'!AC30</f>
        <v/>
      </c>
      <c r="AD11" s="126">
        <f>'Revenue Forecast'!AD30</f>
        <v/>
      </c>
      <c r="AE11" s="126">
        <f>'Revenue Forecast'!AE30</f>
        <v/>
      </c>
      <c r="AF11" s="126">
        <f>'Revenue Forecast'!AF30</f>
        <v/>
      </c>
      <c r="AG11" s="126">
        <f>'Revenue Forecast'!AG30</f>
        <v/>
      </c>
      <c r="AH11" s="126">
        <f>'Revenue Forecast'!AH30</f>
        <v/>
      </c>
      <c r="AI11" s="126">
        <f>'Revenue Forecast'!AI30</f>
        <v/>
      </c>
      <c r="AJ11" s="126">
        <f>'Revenue Forecast'!AJ30</f>
        <v/>
      </c>
      <c r="AK11" s="126">
        <f>'Revenue Forecast'!AK30</f>
        <v/>
      </c>
      <c r="AL11" s="126">
        <f>'Revenue Forecast'!AL30</f>
        <v/>
      </c>
      <c r="AM11" s="126">
        <f>'Revenue Forecast'!AM30</f>
        <v/>
      </c>
      <c r="AN11" s="126">
        <f>'Revenue Forecast'!AN30</f>
        <v/>
      </c>
      <c r="AO11" s="126">
        <f>'Revenue Forecast'!AO30</f>
        <v/>
      </c>
      <c r="AP11" s="126">
        <f>'Revenue Forecast'!AP30</f>
        <v/>
      </c>
      <c r="AQ11" s="126">
        <f>'Revenue Forecast'!AQ30</f>
        <v/>
      </c>
      <c r="AR11" s="126">
        <f>'Revenue Forecast'!AR30</f>
        <v/>
      </c>
      <c r="AS11" s="126">
        <f>'Revenue Forecast'!AS30</f>
        <v/>
      </c>
      <c r="AT11" s="126">
        <f>'Revenue Forecast'!AT30</f>
        <v/>
      </c>
      <c r="AU11" s="126">
        <f>'Revenue Forecast'!AU30</f>
        <v/>
      </c>
      <c r="AV11" s="126">
        <f>'Revenue Forecast'!AV30</f>
        <v/>
      </c>
      <c r="AW11" s="126">
        <f>'Revenue Forecast'!AW30</f>
        <v/>
      </c>
      <c r="AX11" s="126">
        <f>'Revenue Forecast'!AX30</f>
        <v/>
      </c>
      <c r="AY11" s="126">
        <f>'Revenue Forecast'!AY30</f>
        <v/>
      </c>
      <c r="AZ11" s="126">
        <f>'Revenue Forecast'!AZ30</f>
        <v/>
      </c>
      <c r="BA11" s="133" t="n"/>
      <c r="BB11" s="134">
        <f>sum(E11:P11)</f>
        <v/>
      </c>
      <c r="BC11" s="134">
        <f>sum(Q11:AB11)</f>
        <v/>
      </c>
      <c r="BD11" s="134">
        <f>sum(AC11:AN11)</f>
        <v/>
      </c>
      <c r="BE11" s="134">
        <f>sum(AO11:AZ11)</f>
        <v/>
      </c>
      <c r="BF11" s="134">
        <f>sum(BF7:BF10)</f>
        <v/>
      </c>
      <c r="BG11" s="137" t="n"/>
      <c r="BH11" s="40" t="inlineStr">
        <is>
          <t>all the revenue lines added</t>
        </is>
      </c>
      <c r="BI11" s="137" t="n"/>
      <c r="BJ11" s="137" t="n"/>
    </row>
    <row r="12" ht="15" customHeight="1" s="349">
      <c r="A12" s="226" t="n"/>
      <c r="B12" s="138" t="n"/>
      <c r="C12" s="233" t="n"/>
      <c r="D12" s="138" t="n"/>
      <c r="E12" s="233" t="n"/>
      <c r="F12" s="233" t="n"/>
      <c r="G12" s="233" t="n"/>
      <c r="H12" s="233" t="n"/>
      <c r="I12" s="233" t="n"/>
      <c r="J12" s="233" t="n"/>
      <c r="K12" s="233" t="n"/>
      <c r="L12" s="233" t="n"/>
      <c r="M12" s="233" t="n"/>
      <c r="N12" s="233" t="n"/>
      <c r="O12" s="233" t="n"/>
      <c r="P12" s="233" t="n"/>
      <c r="Q12" s="233" t="n"/>
      <c r="R12" s="233" t="n"/>
      <c r="S12" s="233" t="n"/>
      <c r="T12" s="233" t="n"/>
      <c r="U12" s="233" t="n"/>
      <c r="V12" s="233" t="n"/>
      <c r="W12" s="233" t="n"/>
      <c r="X12" s="233" t="n"/>
      <c r="Y12" s="233" t="n"/>
      <c r="Z12" s="233" t="n"/>
      <c r="AA12" s="233" t="n"/>
      <c r="AB12" s="233" t="n"/>
      <c r="AC12" s="233" t="n"/>
      <c r="AD12" s="233" t="n"/>
      <c r="AE12" s="233" t="n"/>
      <c r="AF12" s="233" t="n"/>
      <c r="AG12" s="233" t="n"/>
      <c r="AH12" s="233" t="n"/>
      <c r="AI12" s="233" t="n"/>
      <c r="AJ12" s="233" t="n"/>
      <c r="AK12" s="233" t="n"/>
      <c r="AL12" s="233" t="n"/>
      <c r="AM12" s="233" t="n"/>
      <c r="AN12" s="233" t="n"/>
      <c r="AO12" s="233" t="n"/>
      <c r="AP12" s="233" t="n"/>
      <c r="AQ12" s="233" t="n"/>
      <c r="AR12" s="233" t="n"/>
      <c r="AS12" s="233" t="n"/>
      <c r="AT12" s="233" t="n"/>
      <c r="AU12" s="233" t="n"/>
      <c r="AV12" s="233" t="n"/>
      <c r="AW12" s="233" t="n"/>
      <c r="AX12" s="233" t="n"/>
      <c r="AY12" s="233" t="n"/>
      <c r="AZ12" s="233" t="n"/>
      <c r="BA12" s="226" t="n"/>
      <c r="BB12" s="233" t="n"/>
      <c r="BC12" s="233" t="n"/>
      <c r="BD12" s="233" t="n"/>
      <c r="BE12" s="233" t="n"/>
      <c r="BF12" s="233" t="n"/>
      <c r="BG12" s="226" t="n"/>
      <c r="BH12" s="40" t="n"/>
      <c r="BI12" s="226" t="n"/>
      <c r="BJ12" s="226" t="n"/>
    </row>
    <row r="13" ht="13.5" customHeight="1" s="349">
      <c r="A13" s="77" t="n"/>
      <c r="B13" s="79" t="inlineStr">
        <is>
          <t>Cost of goods sold</t>
        </is>
      </c>
      <c r="C13" s="80" t="n"/>
      <c r="D13" s="80" t="n"/>
      <c r="E13" s="80" t="n"/>
      <c r="F13" s="80" t="n"/>
      <c r="G13" s="80" t="n"/>
      <c r="H13" s="80" t="n"/>
      <c r="I13" s="80" t="n"/>
      <c r="J13" s="80" t="n"/>
      <c r="K13" s="80" t="n"/>
      <c r="L13" s="80" t="n"/>
      <c r="M13" s="80" t="n"/>
      <c r="N13" s="80" t="n"/>
      <c r="O13" s="80" t="n"/>
      <c r="P13" s="80" t="n"/>
      <c r="Q13" s="80" t="n"/>
      <c r="R13" s="84" t="n"/>
      <c r="S13" s="85" t="n"/>
      <c r="T13" s="86" t="n"/>
      <c r="U13" s="80" t="n"/>
      <c r="V13" s="80" t="n"/>
      <c r="W13" s="80" t="n"/>
      <c r="X13" s="80" t="n"/>
      <c r="Y13" s="80" t="n"/>
      <c r="Z13" s="80" t="n"/>
      <c r="AA13" s="80" t="n"/>
      <c r="AB13" s="80" t="n"/>
      <c r="AC13" s="80" t="n"/>
      <c r="AD13" s="80" t="n"/>
      <c r="AE13" s="80" t="n"/>
      <c r="AF13" s="80" t="n"/>
      <c r="AG13" s="80" t="n"/>
      <c r="AH13" s="80" t="n"/>
      <c r="AI13" s="80" t="n"/>
      <c r="AJ13" s="80" t="n"/>
      <c r="AK13" s="80" t="n"/>
      <c r="AL13" s="80" t="n"/>
      <c r="AM13" s="80" t="n"/>
      <c r="AN13" s="80" t="n"/>
      <c r="AO13" s="80" t="n"/>
      <c r="AP13" s="80" t="n"/>
      <c r="AQ13" s="80" t="n"/>
      <c r="AR13" s="80" t="n"/>
      <c r="AS13" s="80" t="n"/>
      <c r="AT13" s="80" t="n"/>
      <c r="AU13" s="80" t="n"/>
      <c r="AV13" s="80" t="n"/>
      <c r="AW13" s="80" t="n"/>
      <c r="AX13" s="80" t="n"/>
      <c r="AY13" s="80" t="n"/>
      <c r="AZ13" s="84" t="n"/>
      <c r="BA13" s="226" t="n"/>
      <c r="BB13" s="84" t="n"/>
      <c r="BC13" s="84" t="n"/>
      <c r="BD13" s="84" t="n"/>
      <c r="BE13" s="84" t="n"/>
      <c r="BF13" s="84" t="n"/>
      <c r="BG13" s="226" t="n"/>
      <c r="BH13" s="40" t="n"/>
      <c r="BI13" s="226" t="n"/>
      <c r="BJ13" s="226" t="n"/>
    </row>
    <row r="14" ht="15" customHeight="1" s="349">
      <c r="A14" s="226" t="n"/>
      <c r="B14" s="241" t="inlineStr">
        <is>
          <t>TTK</t>
        </is>
      </c>
      <c r="C14" s="233" t="n"/>
      <c r="D14" s="233" t="inlineStr">
        <is>
          <t>€</t>
        </is>
      </c>
      <c r="E14" s="241">
        <f>COGS!E9</f>
        <v/>
      </c>
      <c r="F14" s="241">
        <f>COGS!F9</f>
        <v/>
      </c>
      <c r="G14" s="241">
        <f>COGS!G9</f>
        <v/>
      </c>
      <c r="H14" s="241">
        <f>COGS!H9</f>
        <v/>
      </c>
      <c r="I14" s="241">
        <f>COGS!I9</f>
        <v/>
      </c>
      <c r="J14" s="241">
        <f>COGS!J9</f>
        <v/>
      </c>
      <c r="K14" s="241">
        <f>COGS!K9</f>
        <v/>
      </c>
      <c r="L14" s="241">
        <f>COGS!L9</f>
        <v/>
      </c>
      <c r="M14" s="241">
        <f>COGS!M9</f>
        <v/>
      </c>
      <c r="N14" s="241">
        <f>COGS!N9</f>
        <v/>
      </c>
      <c r="O14" s="241">
        <f>COGS!O9</f>
        <v/>
      </c>
      <c r="P14" s="241">
        <f>COGS!P9</f>
        <v/>
      </c>
      <c r="Q14" s="241">
        <f>COGS!Q9</f>
        <v/>
      </c>
      <c r="R14" s="241">
        <f>COGS!R9</f>
        <v/>
      </c>
      <c r="S14" s="241">
        <f>COGS!S9</f>
        <v/>
      </c>
      <c r="T14" s="241">
        <f>COGS!T9</f>
        <v/>
      </c>
      <c r="U14" s="241">
        <f>COGS!U9</f>
        <v/>
      </c>
      <c r="V14" s="241">
        <f>COGS!V9</f>
        <v/>
      </c>
      <c r="W14" s="241">
        <f>COGS!W9</f>
        <v/>
      </c>
      <c r="X14" s="241">
        <f>COGS!X9</f>
        <v/>
      </c>
      <c r="Y14" s="241">
        <f>COGS!Y9</f>
        <v/>
      </c>
      <c r="Z14" s="241">
        <f>COGS!Z9</f>
        <v/>
      </c>
      <c r="AA14" s="241">
        <f>COGS!AA9</f>
        <v/>
      </c>
      <c r="AB14" s="241">
        <f>COGS!AB9</f>
        <v/>
      </c>
      <c r="AC14" s="241">
        <f>COGS!AC9</f>
        <v/>
      </c>
      <c r="AD14" s="241">
        <f>COGS!AD9</f>
        <v/>
      </c>
      <c r="AE14" s="241">
        <f>COGS!AE9</f>
        <v/>
      </c>
      <c r="AF14" s="241">
        <f>COGS!AF9</f>
        <v/>
      </c>
      <c r="AG14" s="241">
        <f>COGS!AG9</f>
        <v/>
      </c>
      <c r="AH14" s="241">
        <f>COGS!AH9</f>
        <v/>
      </c>
      <c r="AI14" s="241">
        <f>COGS!AI9</f>
        <v/>
      </c>
      <c r="AJ14" s="241">
        <f>COGS!AJ9</f>
        <v/>
      </c>
      <c r="AK14" s="241">
        <f>COGS!AK9</f>
        <v/>
      </c>
      <c r="AL14" s="241">
        <f>COGS!AL9</f>
        <v/>
      </c>
      <c r="AM14" s="241">
        <f>COGS!AM9</f>
        <v/>
      </c>
      <c r="AN14" s="241">
        <f>COGS!AN9</f>
        <v/>
      </c>
      <c r="AO14" s="241">
        <f>COGS!AO9</f>
        <v/>
      </c>
      <c r="AP14" s="241">
        <f>COGS!AP9</f>
        <v/>
      </c>
      <c r="AQ14" s="241">
        <f>COGS!AQ9</f>
        <v/>
      </c>
      <c r="AR14" s="241">
        <f>COGS!AR9</f>
        <v/>
      </c>
      <c r="AS14" s="241">
        <f>COGS!AS9</f>
        <v/>
      </c>
      <c r="AT14" s="241">
        <f>COGS!AT9</f>
        <v/>
      </c>
      <c r="AU14" s="241">
        <f>COGS!AU9</f>
        <v/>
      </c>
      <c r="AV14" s="241">
        <f>COGS!AV9</f>
        <v/>
      </c>
      <c r="AW14" s="241">
        <f>COGS!AW9</f>
        <v/>
      </c>
      <c r="AX14" s="241">
        <f>COGS!AX9</f>
        <v/>
      </c>
      <c r="AY14" s="241">
        <f>COGS!AY9</f>
        <v/>
      </c>
      <c r="AZ14" s="241">
        <f>COGS!AZ9</f>
        <v/>
      </c>
      <c r="BA14" s="226" t="n"/>
      <c r="BB14" s="241">
        <f>sum(E14:P14)</f>
        <v/>
      </c>
      <c r="BC14" s="241">
        <f>sum(Q14:AB14)</f>
        <v/>
      </c>
      <c r="BD14" s="241">
        <f>sum(AC14:AN14)</f>
        <v/>
      </c>
      <c r="BE14" s="241">
        <f>sum(AO14:AZ14)</f>
        <v/>
      </c>
      <c r="BF14" s="241">
        <f>COGS!BF9</f>
        <v/>
      </c>
      <c r="BG14" s="66" t="n"/>
      <c r="BH14" s="40" t="inlineStr">
        <is>
          <t>TTK cost of sales, from the COGS tab</t>
        </is>
      </c>
      <c r="BI14" s="66" t="n"/>
      <c r="BJ14" s="66" t="n"/>
    </row>
    <row r="15" ht="15" customHeight="1" s="349">
      <c r="A15" s="226" t="n"/>
      <c r="B15" s="241" t="inlineStr">
        <is>
          <t>Combi+</t>
        </is>
      </c>
      <c r="C15" s="233" t="n"/>
      <c r="D15" s="233" t="inlineStr">
        <is>
          <t>€</t>
        </is>
      </c>
      <c r="E15" s="241" t="n"/>
      <c r="F15" s="241" t="n"/>
      <c r="G15" s="241" t="n"/>
      <c r="H15" s="241" t="n"/>
      <c r="I15" s="241" t="n"/>
      <c r="J15" s="241" t="n"/>
      <c r="K15" s="241" t="n"/>
      <c r="L15" s="241" t="n"/>
      <c r="M15" s="241" t="n"/>
      <c r="N15" s="241" t="n"/>
      <c r="O15" s="241" t="n"/>
      <c r="P15" s="241" t="n"/>
      <c r="Q15" s="241">
        <f>COGS!Q14</f>
        <v/>
      </c>
      <c r="R15" s="241">
        <f>COGS!R14</f>
        <v/>
      </c>
      <c r="S15" s="241">
        <f>COGS!S14</f>
        <v/>
      </c>
      <c r="T15" s="241">
        <f>COGS!T14</f>
        <v/>
      </c>
      <c r="U15" s="241">
        <f>COGS!U14</f>
        <v/>
      </c>
      <c r="V15" s="241">
        <f>COGS!V14</f>
        <v/>
      </c>
      <c r="W15" s="241">
        <f>COGS!W14</f>
        <v/>
      </c>
      <c r="X15" s="241">
        <f>COGS!X14</f>
        <v/>
      </c>
      <c r="Y15" s="241">
        <f>COGS!Y14</f>
        <v/>
      </c>
      <c r="Z15" s="241">
        <f>COGS!Z14</f>
        <v/>
      </c>
      <c r="AA15" s="241">
        <f>COGS!AA14</f>
        <v/>
      </c>
      <c r="AB15" s="241">
        <f>COGS!AB14</f>
        <v/>
      </c>
      <c r="AC15" s="241">
        <f>COGS!AC14</f>
        <v/>
      </c>
      <c r="AD15" s="241">
        <f>COGS!AD14</f>
        <v/>
      </c>
      <c r="AE15" s="241">
        <f>COGS!AE14</f>
        <v/>
      </c>
      <c r="AF15" s="241">
        <f>COGS!AF14</f>
        <v/>
      </c>
      <c r="AG15" s="241">
        <f>COGS!AG14</f>
        <v/>
      </c>
      <c r="AH15" s="241">
        <f>COGS!AH14</f>
        <v/>
      </c>
      <c r="AI15" s="241">
        <f>COGS!AI14</f>
        <v/>
      </c>
      <c r="AJ15" s="241">
        <f>COGS!AJ14</f>
        <v/>
      </c>
      <c r="AK15" s="241">
        <f>COGS!AK14</f>
        <v/>
      </c>
      <c r="AL15" s="241">
        <f>COGS!AL14</f>
        <v/>
      </c>
      <c r="AM15" s="241">
        <f>COGS!AM14</f>
        <v/>
      </c>
      <c r="AN15" s="241">
        <f>COGS!AN14</f>
        <v/>
      </c>
      <c r="AO15" s="241">
        <f>COGS!AO14</f>
        <v/>
      </c>
      <c r="AP15" s="241">
        <f>COGS!AP14</f>
        <v/>
      </c>
      <c r="AQ15" s="241">
        <f>COGS!AQ14</f>
        <v/>
      </c>
      <c r="AR15" s="241">
        <f>COGS!AR14</f>
        <v/>
      </c>
      <c r="AS15" s="241">
        <f>COGS!AS14</f>
        <v/>
      </c>
      <c r="AT15" s="241">
        <f>COGS!AT14</f>
        <v/>
      </c>
      <c r="AU15" s="241">
        <f>COGS!AU14</f>
        <v/>
      </c>
      <c r="AV15" s="241">
        <f>COGS!AV14</f>
        <v/>
      </c>
      <c r="AW15" s="241">
        <f>COGS!AW14</f>
        <v/>
      </c>
      <c r="AX15" s="241">
        <f>COGS!AX14</f>
        <v/>
      </c>
      <c r="AY15" s="241">
        <f>COGS!AY14</f>
        <v/>
      </c>
      <c r="AZ15" s="241">
        <f>COGS!AZ14</f>
        <v/>
      </c>
      <c r="BA15" s="226" t="n"/>
      <c r="BB15" s="241">
        <f>COGS!BB14</f>
        <v/>
      </c>
      <c r="BC15" s="241">
        <f>COGS!BC14</f>
        <v/>
      </c>
      <c r="BD15" s="241">
        <f>COGS!BD14</f>
        <v/>
      </c>
      <c r="BE15" s="241">
        <f>COGS!BE14</f>
        <v/>
      </c>
      <c r="BF15" s="241">
        <f>COGS!BF14</f>
        <v/>
      </c>
      <c r="BG15" s="66" t="n"/>
      <c r="BH15" s="40" t="inlineStr">
        <is>
          <t>Combi+ cost of sales, from COGS</t>
        </is>
      </c>
      <c r="BI15" s="66" t="n"/>
      <c r="BJ15" s="66" t="n"/>
    </row>
    <row r="16" ht="15" customHeight="1" s="349">
      <c r="A16" s="226" t="n"/>
      <c r="B16" s="241" t="inlineStr">
        <is>
          <t xml:space="preserve">Other </t>
        </is>
      </c>
      <c r="C16" s="233" t="n"/>
      <c r="D16" s="233" t="inlineStr">
        <is>
          <t>€</t>
        </is>
      </c>
      <c r="E16" s="241">
        <f>COGS!E17</f>
        <v/>
      </c>
      <c r="F16" s="241">
        <f>COGS!F17</f>
        <v/>
      </c>
      <c r="G16" s="241">
        <f>COGS!G17</f>
        <v/>
      </c>
      <c r="H16" s="241">
        <f>COGS!H17</f>
        <v/>
      </c>
      <c r="I16" s="241">
        <f>COGS!I17</f>
        <v/>
      </c>
      <c r="J16" s="241">
        <f>COGS!J17</f>
        <v/>
      </c>
      <c r="K16" s="241">
        <f>COGS!K17</f>
        <v/>
      </c>
      <c r="L16" s="241">
        <f>COGS!L17</f>
        <v/>
      </c>
      <c r="M16" s="241">
        <f>COGS!M17</f>
        <v/>
      </c>
      <c r="N16" s="241">
        <f>COGS!N17</f>
        <v/>
      </c>
      <c r="O16" s="241">
        <f>COGS!O17</f>
        <v/>
      </c>
      <c r="P16" s="241">
        <f>COGS!P17</f>
        <v/>
      </c>
      <c r="Q16" s="241">
        <f>COGS!Q17+COGS!Q20</f>
        <v/>
      </c>
      <c r="R16" s="241">
        <f>COGS!R17+COGS!R20</f>
        <v/>
      </c>
      <c r="S16" s="241">
        <f>COGS!S17+COGS!S20</f>
        <v/>
      </c>
      <c r="T16" s="241">
        <f>COGS!T17+COGS!T20</f>
        <v/>
      </c>
      <c r="U16" s="241">
        <f>COGS!U17+COGS!U20</f>
        <v/>
      </c>
      <c r="V16" s="241">
        <f>COGS!V17+COGS!V20</f>
        <v/>
      </c>
      <c r="W16" s="241">
        <f>COGS!W17+COGS!W20</f>
        <v/>
      </c>
      <c r="X16" s="241">
        <f>COGS!X17+COGS!X20</f>
        <v/>
      </c>
      <c r="Y16" s="241">
        <f>COGS!Y17+COGS!Y20</f>
        <v/>
      </c>
      <c r="Z16" s="241">
        <f>COGS!Z17+COGS!Z20</f>
        <v/>
      </c>
      <c r="AA16" s="241">
        <f>COGS!AA17+COGS!AA20</f>
        <v/>
      </c>
      <c r="AB16" s="241">
        <f>COGS!AB17+COGS!AB20</f>
        <v/>
      </c>
      <c r="AC16" s="241">
        <f>COGS!AC17+COGS!AC20</f>
        <v/>
      </c>
      <c r="AD16" s="241">
        <f>COGS!AD17+COGS!AD20</f>
        <v/>
      </c>
      <c r="AE16" s="241">
        <f>COGS!AE17+COGS!AE20</f>
        <v/>
      </c>
      <c r="AF16" s="241">
        <f>COGS!AF17+COGS!AF20</f>
        <v/>
      </c>
      <c r="AG16" s="241">
        <f>COGS!AG17+COGS!AG20</f>
        <v/>
      </c>
      <c r="AH16" s="241">
        <f>COGS!AH17+COGS!AH20</f>
        <v/>
      </c>
      <c r="AI16" s="241">
        <f>COGS!AI17+COGS!AI20</f>
        <v/>
      </c>
      <c r="AJ16" s="241">
        <f>COGS!AJ17+COGS!AJ20</f>
        <v/>
      </c>
      <c r="AK16" s="241">
        <f>COGS!AK17+COGS!AK20</f>
        <v/>
      </c>
      <c r="AL16" s="241">
        <f>COGS!AL17+COGS!AL20</f>
        <v/>
      </c>
      <c r="AM16" s="241">
        <f>COGS!AM17+COGS!AM20</f>
        <v/>
      </c>
      <c r="AN16" s="241">
        <f>COGS!AN17+COGS!AN20</f>
        <v/>
      </c>
      <c r="AO16" s="241">
        <f>COGS!AO17+COGS!AO20</f>
        <v/>
      </c>
      <c r="AP16" s="241">
        <f>COGS!AP17+COGS!AP20</f>
        <v/>
      </c>
      <c r="AQ16" s="241">
        <f>COGS!AQ17+COGS!AQ20</f>
        <v/>
      </c>
      <c r="AR16" s="241">
        <f>COGS!AR17+COGS!AR20</f>
        <v/>
      </c>
      <c r="AS16" s="241">
        <f>COGS!AS17+COGS!AS20</f>
        <v/>
      </c>
      <c r="AT16" s="241">
        <f>COGS!AT17+COGS!AT20</f>
        <v/>
      </c>
      <c r="AU16" s="241">
        <f>COGS!AU17+COGS!AU20</f>
        <v/>
      </c>
      <c r="AV16" s="241">
        <f>COGS!AV17+COGS!AV20</f>
        <v/>
      </c>
      <c r="AW16" s="241">
        <f>COGS!AW17+COGS!AW20</f>
        <v/>
      </c>
      <c r="AX16" s="241">
        <f>COGS!AX17+COGS!AX20</f>
        <v/>
      </c>
      <c r="AY16" s="241">
        <f>COGS!AY17+COGS!AY20</f>
        <v/>
      </c>
      <c r="AZ16" s="241">
        <f>COGS!AZ17+COGS!AZ20</f>
        <v/>
      </c>
      <c r="BA16" s="226" t="n"/>
      <c r="BB16" s="241">
        <f>sum(E16:P16)</f>
        <v/>
      </c>
      <c r="BC16" s="241">
        <f>sum(Q16:AB16)</f>
        <v/>
      </c>
      <c r="BD16" s="241">
        <f>sum(AC16:AN16)</f>
        <v/>
      </c>
      <c r="BE16" s="241">
        <f>sum(AO16:AZ16)</f>
        <v/>
      </c>
      <c r="BF16" s="241">
        <f>COGS!BF17+COGS!BF20</f>
        <v/>
      </c>
      <c r="BG16" s="66" t="n"/>
      <c r="BH16" s="40" t="inlineStr">
        <is>
          <t>installation + service costs, from COGS</t>
        </is>
      </c>
      <c r="BI16" s="66" t="n"/>
      <c r="BJ16" s="66" t="n"/>
    </row>
    <row r="17" ht="12.75" customHeight="1" s="349">
      <c r="A17" s="125" t="n"/>
      <c r="B17" s="126" t="inlineStr">
        <is>
          <t>Total COGS</t>
        </is>
      </c>
      <c r="C17" s="127" t="n"/>
      <c r="D17" s="126" t="inlineStr">
        <is>
          <t>€</t>
        </is>
      </c>
      <c r="E17" s="126" t="n"/>
      <c r="F17" s="126" t="n"/>
      <c r="G17" s="126" t="n"/>
      <c r="H17" s="126" t="n"/>
      <c r="I17" s="126" t="n"/>
      <c r="J17" s="126" t="n"/>
      <c r="K17" s="126" t="n"/>
      <c r="L17" s="126" t="n"/>
      <c r="M17" s="126">
        <f>COGS!M22</f>
        <v/>
      </c>
      <c r="N17" s="126">
        <f>COGS!N22</f>
        <v/>
      </c>
      <c r="O17" s="126">
        <f>COGS!O22</f>
        <v/>
      </c>
      <c r="P17" s="126">
        <f>COGS!P22</f>
        <v/>
      </c>
      <c r="Q17" s="126">
        <f>COGS!Q22</f>
        <v/>
      </c>
      <c r="R17" s="126">
        <f>COGS!R22</f>
        <v/>
      </c>
      <c r="S17" s="126">
        <f>COGS!S22</f>
        <v/>
      </c>
      <c r="T17" s="126">
        <f>COGS!T22</f>
        <v/>
      </c>
      <c r="U17" s="126">
        <f>COGS!U22</f>
        <v/>
      </c>
      <c r="V17" s="126">
        <f>COGS!V22</f>
        <v/>
      </c>
      <c r="W17" s="126">
        <f>COGS!W22</f>
        <v/>
      </c>
      <c r="X17" s="126">
        <f>COGS!X22</f>
        <v/>
      </c>
      <c r="Y17" s="126">
        <f>COGS!Y22</f>
        <v/>
      </c>
      <c r="Z17" s="126">
        <f>COGS!Z22</f>
        <v/>
      </c>
      <c r="AA17" s="126">
        <f>COGS!AA22</f>
        <v/>
      </c>
      <c r="AB17" s="126">
        <f>COGS!AB22</f>
        <v/>
      </c>
      <c r="AC17" s="126">
        <f>COGS!AC22</f>
        <v/>
      </c>
      <c r="AD17" s="126">
        <f>COGS!AD22</f>
        <v/>
      </c>
      <c r="AE17" s="126">
        <f>COGS!AE22</f>
        <v/>
      </c>
      <c r="AF17" s="126">
        <f>COGS!AF22</f>
        <v/>
      </c>
      <c r="AG17" s="126">
        <f>COGS!AG22</f>
        <v/>
      </c>
      <c r="AH17" s="126">
        <f>COGS!AH22</f>
        <v/>
      </c>
      <c r="AI17" s="126">
        <f>COGS!AI22</f>
        <v/>
      </c>
      <c r="AJ17" s="126">
        <f>COGS!AJ22</f>
        <v/>
      </c>
      <c r="AK17" s="126">
        <f>COGS!AK22</f>
        <v/>
      </c>
      <c r="AL17" s="126">
        <f>COGS!AL22</f>
        <v/>
      </c>
      <c r="AM17" s="126">
        <f>COGS!AM22</f>
        <v/>
      </c>
      <c r="AN17" s="126">
        <f>COGS!AN22</f>
        <v/>
      </c>
      <c r="AO17" s="126">
        <f>COGS!AO22</f>
        <v/>
      </c>
      <c r="AP17" s="126">
        <f>COGS!AP22</f>
        <v/>
      </c>
      <c r="AQ17" s="126">
        <f>COGS!AQ22</f>
        <v/>
      </c>
      <c r="AR17" s="126">
        <f>COGS!AR22</f>
        <v/>
      </c>
      <c r="AS17" s="126">
        <f>COGS!AS22</f>
        <v/>
      </c>
      <c r="AT17" s="126">
        <f>COGS!AT22</f>
        <v/>
      </c>
      <c r="AU17" s="126">
        <f>COGS!AU22</f>
        <v/>
      </c>
      <c r="AV17" s="126">
        <f>COGS!AV22</f>
        <v/>
      </c>
      <c r="AW17" s="126">
        <f>COGS!AW22</f>
        <v/>
      </c>
      <c r="AX17" s="126">
        <f>COGS!AX22</f>
        <v/>
      </c>
      <c r="AY17" s="126">
        <f>COGS!AY22</f>
        <v/>
      </c>
      <c r="AZ17" s="126">
        <f>COGS!AZ22</f>
        <v/>
      </c>
      <c r="BA17" s="133" t="n"/>
      <c r="BB17" s="134">
        <f>sum(E17:P17)</f>
        <v/>
      </c>
      <c r="BC17" s="134">
        <f>sum(Q17:AB17)</f>
        <v/>
      </c>
      <c r="BD17" s="134">
        <f>sum(AC17:AN17)</f>
        <v/>
      </c>
      <c r="BE17" s="134">
        <f>sum(AO17:AZ17)</f>
        <v/>
      </c>
      <c r="BF17" s="134">
        <f>sum(BF14:BF16)</f>
        <v/>
      </c>
      <c r="BG17" s="137" t="n"/>
      <c r="BH17" s="40" t="inlineStr">
        <is>
          <t>all the cost lines added</t>
        </is>
      </c>
      <c r="BI17" s="137" t="n"/>
      <c r="BJ17" s="137" t="n"/>
    </row>
    <row r="18" ht="12.75" customHeight="1" s="349">
      <c r="A18" s="77" t="n"/>
      <c r="B18" s="241" t="n"/>
      <c r="C18" s="233" t="n"/>
      <c r="D18" s="233" t="n"/>
      <c r="E18" s="203" t="n"/>
      <c r="F18" s="203" t="n"/>
      <c r="G18" s="203" t="n"/>
      <c r="H18" s="203" t="n"/>
      <c r="I18" s="203" t="n"/>
      <c r="J18" s="203" t="n"/>
      <c r="K18" s="203" t="n"/>
      <c r="L18" s="203" t="n"/>
      <c r="M18" s="203" t="n"/>
      <c r="N18" s="203" t="n"/>
      <c r="O18" s="203" t="n"/>
      <c r="P18" s="203" t="n"/>
      <c r="Q18" s="203" t="n"/>
      <c r="R18" s="203" t="n"/>
      <c r="S18" s="203" t="n"/>
      <c r="T18" s="203" t="n"/>
      <c r="U18" s="203" t="n"/>
      <c r="V18" s="203" t="n"/>
      <c r="W18" s="203" t="n"/>
      <c r="X18" s="203" t="n"/>
      <c r="Y18" s="203" t="n"/>
      <c r="Z18" s="203" t="n"/>
      <c r="AA18" s="203" t="n"/>
      <c r="AB18" s="203" t="n"/>
      <c r="AC18" s="203" t="n"/>
      <c r="AD18" s="203" t="n"/>
      <c r="AE18" s="203" t="n"/>
      <c r="AF18" s="203" t="n"/>
      <c r="AG18" s="203" t="n"/>
      <c r="AH18" s="203" t="n"/>
      <c r="AI18" s="203" t="n"/>
      <c r="AJ18" s="203" t="n"/>
      <c r="AK18" s="203" t="n"/>
      <c r="AL18" s="203" t="n"/>
      <c r="AM18" s="203" t="n"/>
      <c r="AN18" s="203" t="n"/>
      <c r="AO18" s="203" t="n"/>
      <c r="AP18" s="203" t="n"/>
      <c r="AQ18" s="203" t="n"/>
      <c r="AR18" s="203" t="n"/>
      <c r="AS18" s="203" t="n"/>
      <c r="AT18" s="203" t="n"/>
      <c r="AU18" s="203" t="n"/>
      <c r="AV18" s="203" t="n"/>
      <c r="AW18" s="203" t="n"/>
      <c r="AX18" s="203" t="n"/>
      <c r="AY18" s="203" t="n"/>
      <c r="AZ18" s="203" t="n"/>
      <c r="BA18" s="226" t="n"/>
      <c r="BB18" s="203" t="n"/>
      <c r="BC18" s="203" t="n"/>
      <c r="BD18" s="203" t="n"/>
      <c r="BE18" s="203" t="n"/>
      <c r="BF18" s="203" t="n"/>
      <c r="BG18" s="205" t="n"/>
      <c r="BH18" s="40" t="n"/>
      <c r="BI18" s="205" t="n"/>
      <c r="BJ18" s="205" t="n"/>
    </row>
    <row r="19" ht="12.75" customHeight="1" s="349">
      <c r="A19" s="206" t="n"/>
      <c r="B19" s="207" t="inlineStr">
        <is>
          <t>Gross Profit</t>
        </is>
      </c>
      <c r="C19" s="208" t="n"/>
      <c r="D19" s="208" t="n"/>
      <c r="E19" s="208" t="n"/>
      <c r="F19" s="208" t="n"/>
      <c r="G19" s="208" t="n"/>
      <c r="H19" s="208" t="n"/>
      <c r="I19" s="208" t="n"/>
      <c r="J19" s="208" t="n"/>
      <c r="K19" s="208" t="n"/>
      <c r="L19" s="208" t="n"/>
      <c r="M19" s="208" t="n"/>
      <c r="N19" s="208" t="n"/>
      <c r="O19" s="208" t="n"/>
      <c r="P19" s="208" t="n"/>
      <c r="Q19" s="208" t="n"/>
      <c r="R19" s="209" t="n"/>
      <c r="S19" s="210" t="n"/>
      <c r="T19" s="211" t="n"/>
      <c r="U19" s="208" t="n"/>
      <c r="V19" s="208" t="n"/>
      <c r="W19" s="208" t="n"/>
      <c r="X19" s="208" t="n"/>
      <c r="Y19" s="208" t="n"/>
      <c r="Z19" s="208" t="n"/>
      <c r="AA19" s="208" t="n"/>
      <c r="AB19" s="208" t="n"/>
      <c r="AC19" s="208" t="n"/>
      <c r="AD19" s="208" t="n"/>
      <c r="AE19" s="208" t="n"/>
      <c r="AF19" s="208" t="n"/>
      <c r="AG19" s="208" t="n"/>
      <c r="AH19" s="208" t="n"/>
      <c r="AI19" s="208" t="n"/>
      <c r="AJ19" s="208" t="n"/>
      <c r="AK19" s="208" t="n"/>
      <c r="AL19" s="208" t="n"/>
      <c r="AM19" s="208" t="n"/>
      <c r="AN19" s="208" t="n"/>
      <c r="AO19" s="208" t="n"/>
      <c r="AP19" s="208" t="n"/>
      <c r="AQ19" s="208" t="n"/>
      <c r="AR19" s="208" t="n"/>
      <c r="AS19" s="208" t="n"/>
      <c r="AT19" s="208" t="n"/>
      <c r="AU19" s="208" t="n"/>
      <c r="AV19" s="208" t="n"/>
      <c r="AW19" s="208" t="n"/>
      <c r="AX19" s="208" t="n"/>
      <c r="AY19" s="208" t="n"/>
      <c r="AZ19" s="209" t="n"/>
      <c r="BA19" s="212" t="n"/>
      <c r="BB19" s="209" t="n"/>
      <c r="BC19" s="209" t="n"/>
      <c r="BD19" s="209" t="n"/>
      <c r="BE19" s="209" t="n"/>
      <c r="BF19" s="209" t="n"/>
      <c r="BG19" s="212" t="n"/>
      <c r="BH19" s="40" t="n"/>
      <c r="BI19" s="212" t="n"/>
      <c r="BJ19" s="212" t="n"/>
    </row>
    <row r="20" ht="15" customHeight="1" s="349">
      <c r="A20" s="226" t="n"/>
      <c r="B20" s="241" t="inlineStr">
        <is>
          <t>TTK</t>
        </is>
      </c>
      <c r="C20" s="233" t="n"/>
      <c r="D20" s="233" t="inlineStr">
        <is>
          <t>€</t>
        </is>
      </c>
      <c r="E20" s="241" t="n"/>
      <c r="F20" s="241" t="n"/>
      <c r="G20" s="241" t="n"/>
      <c r="H20" s="241" t="n"/>
      <c r="I20" s="241" t="n"/>
      <c r="J20" s="241" t="n"/>
      <c r="K20" s="241" t="n"/>
      <c r="L20" s="241" t="n"/>
      <c r="M20" s="241" t="n"/>
      <c r="N20" s="241" t="n"/>
      <c r="O20" s="241" t="n"/>
      <c r="P20" s="241" t="n"/>
      <c r="Q20" s="241">
        <f>Q7-Q14</f>
        <v/>
      </c>
      <c r="R20" s="241">
        <f>R7-R14</f>
        <v/>
      </c>
      <c r="S20" s="241">
        <f>S7-S14</f>
        <v/>
      </c>
      <c r="T20" s="241">
        <f>T7-T14</f>
        <v/>
      </c>
      <c r="U20" s="241">
        <f>U7-U14</f>
        <v/>
      </c>
      <c r="V20" s="241">
        <f>V7-V14</f>
        <v/>
      </c>
      <c r="W20" s="241">
        <f>W7-W14</f>
        <v/>
      </c>
      <c r="X20" s="241">
        <f>X7-X14</f>
        <v/>
      </c>
      <c r="Y20" s="241">
        <f>Y7-Y14</f>
        <v/>
      </c>
      <c r="Z20" s="241">
        <f>Z7-Z14</f>
        <v/>
      </c>
      <c r="AA20" s="241">
        <f>AA7-AA14</f>
        <v/>
      </c>
      <c r="AB20" s="241">
        <f>AB7-AB14</f>
        <v/>
      </c>
      <c r="AC20" s="241">
        <f>AC7-AC14</f>
        <v/>
      </c>
      <c r="AD20" s="241">
        <f>AD7-AD14</f>
        <v/>
      </c>
      <c r="AE20" s="241">
        <f>AE7-AE14</f>
        <v/>
      </c>
      <c r="AF20" s="241">
        <f>AF7-AF14</f>
        <v/>
      </c>
      <c r="AG20" s="241">
        <f>AG7-AG14</f>
        <v/>
      </c>
      <c r="AH20" s="241">
        <f>AH7-AH14</f>
        <v/>
      </c>
      <c r="AI20" s="241">
        <f>AI7-AI14</f>
        <v/>
      </c>
      <c r="AJ20" s="241">
        <f>AJ7-AJ14</f>
        <v/>
      </c>
      <c r="AK20" s="241">
        <f>AK7-AK14</f>
        <v/>
      </c>
      <c r="AL20" s="241">
        <f>AL7-AL14</f>
        <v/>
      </c>
      <c r="AM20" s="241">
        <f>AM7-AM14</f>
        <v/>
      </c>
      <c r="AN20" s="241">
        <f>AN7-AN14</f>
        <v/>
      </c>
      <c r="AO20" s="241">
        <f>AO7-AO14</f>
        <v/>
      </c>
      <c r="AP20" s="241">
        <f>AP7-AP14</f>
        <v/>
      </c>
      <c r="AQ20" s="241">
        <f>AQ7-AQ14</f>
        <v/>
      </c>
      <c r="AR20" s="241">
        <f>AR7-AR14</f>
        <v/>
      </c>
      <c r="AS20" s="241">
        <f>AS7-AS14</f>
        <v/>
      </c>
      <c r="AT20" s="241">
        <f>AT7-AT14</f>
        <v/>
      </c>
      <c r="AU20" s="241">
        <f>AU7-AU14</f>
        <v/>
      </c>
      <c r="AV20" s="241">
        <f>AV7-AV14</f>
        <v/>
      </c>
      <c r="AW20" s="241">
        <f>AW7-AW14</f>
        <v/>
      </c>
      <c r="AX20" s="241">
        <f>AX7-AX14</f>
        <v/>
      </c>
      <c r="AY20" s="241">
        <f>AY7-AY14</f>
        <v/>
      </c>
      <c r="AZ20" s="241">
        <f>AZ7-AZ14</f>
        <v/>
      </c>
      <c r="BA20" s="226" t="n"/>
      <c r="BB20" s="241" t="n"/>
      <c r="BC20" s="241">
        <f>BC7-BC14</f>
        <v/>
      </c>
      <c r="BD20" s="241">
        <f>BD7-BD14</f>
        <v/>
      </c>
      <c r="BE20" s="241">
        <f>BE7-BE14</f>
        <v/>
      </c>
      <c r="BF20" s="241">
        <f>BF7-BF14</f>
        <v/>
      </c>
      <c r="BG20" s="66" t="n"/>
      <c r="BH20" s="40" t="inlineStr">
        <is>
          <t>TTK revenue minus TTK cost</t>
        </is>
      </c>
      <c r="BI20" s="66" t="n"/>
      <c r="BJ20" s="66" t="n"/>
    </row>
    <row r="21" ht="15" customHeight="1" s="349">
      <c r="A21" s="226" t="n"/>
      <c r="B21" s="241" t="inlineStr">
        <is>
          <t>Combi+</t>
        </is>
      </c>
      <c r="C21" s="233" t="n"/>
      <c r="D21" s="233" t="inlineStr">
        <is>
          <t>€</t>
        </is>
      </c>
      <c r="E21" s="241" t="n"/>
      <c r="F21" s="241" t="n"/>
      <c r="G21" s="241" t="n"/>
      <c r="H21" s="241" t="n"/>
      <c r="I21" s="241" t="n"/>
      <c r="J21" s="241" t="n"/>
      <c r="K21" s="241" t="n"/>
      <c r="L21" s="241" t="n"/>
      <c r="M21" s="241" t="n"/>
      <c r="N21" s="241" t="n"/>
      <c r="O21" s="241" t="n"/>
      <c r="P21" s="241" t="n"/>
      <c r="Q21" s="241">
        <f>Q8-Q15</f>
        <v/>
      </c>
      <c r="R21" s="241">
        <f>R8-R15</f>
        <v/>
      </c>
      <c r="S21" s="241">
        <f>S8-S15</f>
        <v/>
      </c>
      <c r="T21" s="241">
        <f>T8-T15</f>
        <v/>
      </c>
      <c r="U21" s="241">
        <f>U8-U15</f>
        <v/>
      </c>
      <c r="V21" s="241">
        <f>V8-V15</f>
        <v/>
      </c>
      <c r="W21" s="241">
        <f>W8-W15</f>
        <v/>
      </c>
      <c r="X21" s="241">
        <f>X8-X15</f>
        <v/>
      </c>
      <c r="Y21" s="241">
        <f>Y8-Y15</f>
        <v/>
      </c>
      <c r="Z21" s="241">
        <f>Z8-Z15</f>
        <v/>
      </c>
      <c r="AA21" s="241">
        <f>AA8-AA15</f>
        <v/>
      </c>
      <c r="AB21" s="241">
        <f>AB8-AB15</f>
        <v/>
      </c>
      <c r="AC21" s="241">
        <f>AC8-AC15</f>
        <v/>
      </c>
      <c r="AD21" s="241">
        <f>AD8-AD15</f>
        <v/>
      </c>
      <c r="AE21" s="241">
        <f>AE8-AE15</f>
        <v/>
      </c>
      <c r="AF21" s="241">
        <f>AF8-AF15</f>
        <v/>
      </c>
      <c r="AG21" s="241">
        <f>AG8-AG15</f>
        <v/>
      </c>
      <c r="AH21" s="241">
        <f>AH8-AH15</f>
        <v/>
      </c>
      <c r="AI21" s="241">
        <f>AI8-AI15</f>
        <v/>
      </c>
      <c r="AJ21" s="241">
        <f>AJ8-AJ15</f>
        <v/>
      </c>
      <c r="AK21" s="241">
        <f>AK8-AK15</f>
        <v/>
      </c>
      <c r="AL21" s="241">
        <f>AL8-AL15</f>
        <v/>
      </c>
      <c r="AM21" s="241">
        <f>AM8-AM15</f>
        <v/>
      </c>
      <c r="AN21" s="241">
        <f>AN8-AN15</f>
        <v/>
      </c>
      <c r="AO21" s="241">
        <f>AO8-AO15</f>
        <v/>
      </c>
      <c r="AP21" s="241">
        <f>AP8-AP15</f>
        <v/>
      </c>
      <c r="AQ21" s="241">
        <f>AQ8-AQ15</f>
        <v/>
      </c>
      <c r="AR21" s="241">
        <f>AR8-AR15</f>
        <v/>
      </c>
      <c r="AS21" s="241">
        <f>AS8-AS15</f>
        <v/>
      </c>
      <c r="AT21" s="241">
        <f>AT8-AT15</f>
        <v/>
      </c>
      <c r="AU21" s="241">
        <f>AU8-AU15</f>
        <v/>
      </c>
      <c r="AV21" s="241">
        <f>AV8-AV15</f>
        <v/>
      </c>
      <c r="AW21" s="241">
        <f>AW8-AW15</f>
        <v/>
      </c>
      <c r="AX21" s="241">
        <f>AX8-AX15</f>
        <v/>
      </c>
      <c r="AY21" s="241">
        <f>AY8-AY15</f>
        <v/>
      </c>
      <c r="AZ21" s="241">
        <f>AZ8-AZ15</f>
        <v/>
      </c>
      <c r="BA21" s="226" t="n"/>
      <c r="BB21" s="241" t="n"/>
      <c r="BC21" s="241">
        <f>BC8-BC15</f>
        <v/>
      </c>
      <c r="BD21" s="241">
        <f>BD8-BD15</f>
        <v/>
      </c>
      <c r="BE21" s="241">
        <f>BE8-BE15</f>
        <v/>
      </c>
      <c r="BF21" s="241">
        <f>BF8-BF15</f>
        <v/>
      </c>
      <c r="BG21" s="66" t="n"/>
      <c r="BH21" s="40" t="inlineStr">
        <is>
          <t>Combi+ revenue minus Combi+ cost</t>
        </is>
      </c>
      <c r="BI21" s="66" t="n"/>
      <c r="BJ21" s="66" t="n"/>
    </row>
    <row r="22" ht="15" customHeight="1" s="349">
      <c r="A22" s="226" t="n"/>
      <c r="B22" s="241" t="inlineStr">
        <is>
          <t xml:space="preserve">Other </t>
        </is>
      </c>
      <c r="C22" s="233" t="n"/>
      <c r="D22" s="233" t="inlineStr">
        <is>
          <t>€</t>
        </is>
      </c>
      <c r="E22" s="241" t="n"/>
      <c r="F22" s="241" t="n"/>
      <c r="G22" s="241" t="n"/>
      <c r="H22" s="241" t="n"/>
      <c r="I22" s="241" t="n"/>
      <c r="J22" s="241" t="n"/>
      <c r="K22" s="241" t="n"/>
      <c r="L22" s="241" t="n"/>
      <c r="M22" s="241" t="n"/>
      <c r="N22" s="241" t="n"/>
      <c r="O22" s="241" t="n"/>
      <c r="P22" s="241" t="n"/>
      <c r="Q22" s="241">
        <f>Q9-Q16</f>
        <v/>
      </c>
      <c r="R22" s="241">
        <f>R9-R16</f>
        <v/>
      </c>
      <c r="S22" s="241">
        <f>S9-S16</f>
        <v/>
      </c>
      <c r="T22" s="241">
        <f>T9-T16</f>
        <v/>
      </c>
      <c r="U22" s="241">
        <f>U9-U16</f>
        <v/>
      </c>
      <c r="V22" s="241">
        <f>V9-V16</f>
        <v/>
      </c>
      <c r="W22" s="241">
        <f>W9-W16</f>
        <v/>
      </c>
      <c r="X22" s="241">
        <f>X9-X16</f>
        <v/>
      </c>
      <c r="Y22" s="241">
        <f>Y9-Y16</f>
        <v/>
      </c>
      <c r="Z22" s="241">
        <f>Z9-Z16</f>
        <v/>
      </c>
      <c r="AA22" s="241">
        <f>AA9-AA16</f>
        <v/>
      </c>
      <c r="AB22" s="241">
        <f>AB9-AB16</f>
        <v/>
      </c>
      <c r="AC22" s="241">
        <f>AC9-AC16</f>
        <v/>
      </c>
      <c r="AD22" s="241">
        <f>AD9-AD16</f>
        <v/>
      </c>
      <c r="AE22" s="241">
        <f>AE9-AE16</f>
        <v/>
      </c>
      <c r="AF22" s="241">
        <f>AF9-AF16</f>
        <v/>
      </c>
      <c r="AG22" s="241">
        <f>AG9-AG16</f>
        <v/>
      </c>
      <c r="AH22" s="241">
        <f>AH9-AH16</f>
        <v/>
      </c>
      <c r="AI22" s="241">
        <f>AI9-AI16</f>
        <v/>
      </c>
      <c r="AJ22" s="241">
        <f>AJ9-AJ16</f>
        <v/>
      </c>
      <c r="AK22" s="241">
        <f>AK9-AK16</f>
        <v/>
      </c>
      <c r="AL22" s="241">
        <f>AL9-AL16</f>
        <v/>
      </c>
      <c r="AM22" s="241">
        <f>AM9-AM16</f>
        <v/>
      </c>
      <c r="AN22" s="241">
        <f>AN9-AN16</f>
        <v/>
      </c>
      <c r="AO22" s="241">
        <f>AO9-AO16</f>
        <v/>
      </c>
      <c r="AP22" s="241">
        <f>AP9-AP16</f>
        <v/>
      </c>
      <c r="AQ22" s="241">
        <f>AQ9-AQ16</f>
        <v/>
      </c>
      <c r="AR22" s="241">
        <f>AR9-AR16</f>
        <v/>
      </c>
      <c r="AS22" s="241">
        <f>AS9-AS16</f>
        <v/>
      </c>
      <c r="AT22" s="241">
        <f>AT9-AT16</f>
        <v/>
      </c>
      <c r="AU22" s="241">
        <f>AU9-AU16</f>
        <v/>
      </c>
      <c r="AV22" s="241">
        <f>AV9-AV16</f>
        <v/>
      </c>
      <c r="AW22" s="241">
        <f>AW9-AW16</f>
        <v/>
      </c>
      <c r="AX22" s="241">
        <f>AX9-AX16</f>
        <v/>
      </c>
      <c r="AY22" s="241">
        <f>AY9-AY16</f>
        <v/>
      </c>
      <c r="AZ22" s="241">
        <f>AZ9-AZ16</f>
        <v/>
      </c>
      <c r="BA22" s="226" t="n"/>
      <c r="BB22" s="241" t="n"/>
      <c r="BC22" s="241">
        <f>BC9-BC16</f>
        <v/>
      </c>
      <c r="BD22" s="241">
        <f>BD9-BD16</f>
        <v/>
      </c>
      <c r="BE22" s="241">
        <f>BE9-BE16</f>
        <v/>
      </c>
      <c r="BF22" s="241">
        <f>BF9-BF16</f>
        <v/>
      </c>
      <c r="BG22" s="66" t="n"/>
      <c r="BH22" s="40" t="inlineStr">
        <is>
          <t>installation + service revenue minus their cost</t>
        </is>
      </c>
      <c r="BI22" s="66" t="n"/>
      <c r="BJ22" s="66" t="n"/>
    </row>
    <row r="23" ht="12.75" customHeight="1" s="349">
      <c r="A23" s="125" t="n"/>
      <c r="B23" s="126" t="inlineStr">
        <is>
          <t>Gross Profit</t>
        </is>
      </c>
      <c r="C23" s="127" t="n"/>
      <c r="D23" s="126" t="inlineStr">
        <is>
          <t>€</t>
        </is>
      </c>
      <c r="E23" s="126" t="n"/>
      <c r="F23" s="126" t="n"/>
      <c r="G23" s="126" t="n"/>
      <c r="H23" s="126" t="n"/>
      <c r="I23" s="126" t="n"/>
      <c r="J23" s="126" t="n"/>
      <c r="K23" s="126" t="n"/>
      <c r="L23" s="126" t="n"/>
      <c r="M23" s="126">
        <f>M11-M17</f>
        <v/>
      </c>
      <c r="N23" s="126">
        <f>N11-N17</f>
        <v/>
      </c>
      <c r="O23" s="126">
        <f>O11-O17</f>
        <v/>
      </c>
      <c r="P23" s="126">
        <f>P11-P17</f>
        <v/>
      </c>
      <c r="Q23" s="126">
        <f>Q11-Q17</f>
        <v/>
      </c>
      <c r="R23" s="126">
        <f>R11-R17</f>
        <v/>
      </c>
      <c r="S23" s="126">
        <f>S11-S17</f>
        <v/>
      </c>
      <c r="T23" s="126">
        <f>T11-T17</f>
        <v/>
      </c>
      <c r="U23" s="126">
        <f>U11-U17</f>
        <v/>
      </c>
      <c r="V23" s="126">
        <f>V11-V17</f>
        <v/>
      </c>
      <c r="W23" s="126">
        <f>W11-W17</f>
        <v/>
      </c>
      <c r="X23" s="126">
        <f>X11-X17</f>
        <v/>
      </c>
      <c r="Y23" s="126">
        <f>Y11-Y17</f>
        <v/>
      </c>
      <c r="Z23" s="126">
        <f>Z11-Z17</f>
        <v/>
      </c>
      <c r="AA23" s="126">
        <f>AA11-AA17</f>
        <v/>
      </c>
      <c r="AB23" s="126">
        <f>AB11-AB17</f>
        <v/>
      </c>
      <c r="AC23" s="126">
        <f>AC11-AC17</f>
        <v/>
      </c>
      <c r="AD23" s="126">
        <f>AD11-AD17</f>
        <v/>
      </c>
      <c r="AE23" s="126">
        <f>AE11-AE17</f>
        <v/>
      </c>
      <c r="AF23" s="126">
        <f>AF11-AF17</f>
        <v/>
      </c>
      <c r="AG23" s="126">
        <f>AG11-AG17</f>
        <v/>
      </c>
      <c r="AH23" s="126">
        <f>AH11-AH17</f>
        <v/>
      </c>
      <c r="AI23" s="126">
        <f>AI11-AI17</f>
        <v/>
      </c>
      <c r="AJ23" s="126">
        <f>AJ11-AJ17</f>
        <v/>
      </c>
      <c r="AK23" s="126">
        <f>AK11-AK17</f>
        <v/>
      </c>
      <c r="AL23" s="126">
        <f>AL11-AL17</f>
        <v/>
      </c>
      <c r="AM23" s="126">
        <f>AM11-AM17</f>
        <v/>
      </c>
      <c r="AN23" s="126">
        <f>AN11-AN17</f>
        <v/>
      </c>
      <c r="AO23" s="126">
        <f>AO11-AO17</f>
        <v/>
      </c>
      <c r="AP23" s="126">
        <f>AP11-AP17</f>
        <v/>
      </c>
      <c r="AQ23" s="126">
        <f>AQ11-AQ17</f>
        <v/>
      </c>
      <c r="AR23" s="126">
        <f>AR11-AR17</f>
        <v/>
      </c>
      <c r="AS23" s="126">
        <f>AS11-AS17</f>
        <v/>
      </c>
      <c r="AT23" s="126">
        <f>AT11-AT17</f>
        <v/>
      </c>
      <c r="AU23" s="126">
        <f>AU11-AU17</f>
        <v/>
      </c>
      <c r="AV23" s="126">
        <f>AV11-AV17</f>
        <v/>
      </c>
      <c r="AW23" s="126">
        <f>AW11-AW17</f>
        <v/>
      </c>
      <c r="AX23" s="126">
        <f>AX11-AX17</f>
        <v/>
      </c>
      <c r="AY23" s="126">
        <f>AY11-AY17</f>
        <v/>
      </c>
      <c r="AZ23" s="134">
        <f>AZ11-AZ17</f>
        <v/>
      </c>
      <c r="BA23" s="133" t="n"/>
      <c r="BB23" s="134">
        <f>sum(E23:P23)</f>
        <v/>
      </c>
      <c r="BC23" s="134">
        <f>sum(Q23:AB23)</f>
        <v/>
      </c>
      <c r="BD23" s="134">
        <f>sum(AC23:AN23)</f>
        <v/>
      </c>
      <c r="BE23" s="134">
        <f>sum(AO23:AZ23)</f>
        <v/>
      </c>
      <c r="BF23" s="134">
        <f>BF11-BF17</f>
        <v/>
      </c>
      <c r="BG23" s="137" t="n"/>
      <c r="BH23" s="40" t="inlineStr">
        <is>
          <t>revenue minus cost of sales</t>
        </is>
      </c>
      <c r="BI23" s="137" t="n"/>
      <c r="BJ23" s="137" t="n"/>
    </row>
    <row r="24" ht="15" customHeight="1" s="349">
      <c r="A24" s="215" t="n"/>
      <c r="B24" s="216" t="inlineStr">
        <is>
          <t>Gross margin %</t>
        </is>
      </c>
      <c r="C24" s="217" t="n"/>
      <c r="D24" s="216" t="inlineStr">
        <is>
          <t>%</t>
        </is>
      </c>
      <c r="E24" s="216" t="n"/>
      <c r="F24" s="216" t="n"/>
      <c r="G24" s="216" t="n"/>
      <c r="H24" s="216" t="n"/>
      <c r="I24" s="216" t="n"/>
      <c r="J24" s="216" t="n"/>
      <c r="K24" s="216" t="n"/>
      <c r="L24" s="216" t="n"/>
      <c r="M24" s="216" t="n"/>
      <c r="N24" s="216" t="n"/>
      <c r="O24" s="216" t="n"/>
      <c r="P24" s="216" t="n"/>
      <c r="Q24" s="216" t="n"/>
      <c r="R24" s="216" t="n"/>
      <c r="S24" s="216" t="n"/>
      <c r="T24" s="216" t="n"/>
      <c r="U24" s="216" t="n"/>
      <c r="V24" s="216" t="n"/>
      <c r="W24" s="216" t="n"/>
      <c r="X24" s="216" t="n"/>
      <c r="Y24" s="216" t="n"/>
      <c r="Z24" s="216" t="n"/>
      <c r="AA24" s="216" t="n"/>
      <c r="AB24" s="216" t="n"/>
      <c r="AC24" s="216" t="n"/>
      <c r="AD24" s="216" t="n"/>
      <c r="AE24" s="216" t="n"/>
      <c r="AF24" s="216" t="n"/>
      <c r="AG24" s="216" t="n"/>
      <c r="AH24" s="216" t="n"/>
      <c r="AI24" s="216" t="n"/>
      <c r="AJ24" s="216" t="n"/>
      <c r="AK24" s="216" t="n"/>
      <c r="AL24" s="216" t="n"/>
      <c r="AM24" s="216" t="n"/>
      <c r="AN24" s="216" t="n"/>
      <c r="AO24" s="216" t="n"/>
      <c r="AP24" s="216" t="n"/>
      <c r="AQ24" s="216" t="n"/>
      <c r="AR24" s="216" t="n"/>
      <c r="AS24" s="216" t="n"/>
      <c r="AT24" s="216" t="n"/>
      <c r="AU24" s="216" t="n"/>
      <c r="AV24" s="216" t="n"/>
      <c r="AW24" s="216" t="n"/>
      <c r="AX24" s="216" t="n"/>
      <c r="AY24" s="216" t="n"/>
      <c r="AZ24" s="216" t="n"/>
      <c r="BA24" s="216" t="n"/>
      <c r="BB24" s="216" t="n"/>
      <c r="BC24" s="216" t="n"/>
      <c r="BD24" s="216">
        <f>BD23/BD11</f>
        <v/>
      </c>
      <c r="BE24" s="216">
        <f>BE23/BE11</f>
        <v/>
      </c>
      <c r="BF24" s="216">
        <f>BF23/BF11</f>
        <v/>
      </c>
      <c r="BG24" s="218" t="n"/>
      <c r="BH24" s="40" t="inlineStr">
        <is>
          <t>gross profit as a % of revenue (year columns only)</t>
        </is>
      </c>
      <c r="BI24" s="218" t="n"/>
      <c r="BJ24" s="218" t="n"/>
    </row>
    <row r="25" ht="15.75" customHeight="1" s="349">
      <c r="A25" s="226" t="n"/>
      <c r="B25" s="233" t="n"/>
      <c r="C25" s="233" t="n"/>
      <c r="D25" s="233" t="n"/>
      <c r="E25" s="233" t="n"/>
      <c r="F25" s="233" t="n"/>
      <c r="G25" s="233" t="n"/>
      <c r="H25" s="233" t="n"/>
      <c r="I25" s="233" t="n"/>
      <c r="J25" s="233" t="n"/>
      <c r="K25" s="233" t="n"/>
      <c r="L25" s="233" t="n"/>
      <c r="M25" s="233" t="n"/>
      <c r="N25" s="233" t="n"/>
      <c r="O25" s="233" t="n"/>
      <c r="P25" s="233" t="n"/>
      <c r="Q25" s="233" t="n"/>
      <c r="R25" s="233" t="n"/>
      <c r="S25" s="233" t="n"/>
      <c r="T25" s="233" t="n"/>
      <c r="U25" s="233" t="n"/>
      <c r="V25" s="233" t="n"/>
      <c r="W25" s="233" t="n"/>
      <c r="X25" s="233" t="n"/>
      <c r="Y25" s="233" t="n"/>
      <c r="Z25" s="233" t="n"/>
      <c r="AA25" s="233" t="n"/>
      <c r="AB25" s="233" t="n"/>
      <c r="AC25" s="233" t="n"/>
      <c r="AD25" s="233" t="n"/>
      <c r="AE25" s="233" t="n"/>
      <c r="AF25" s="233" t="n"/>
      <c r="AG25" s="233" t="n"/>
      <c r="AH25" s="233" t="n"/>
      <c r="AI25" s="233" t="n"/>
      <c r="AJ25" s="233" t="n"/>
      <c r="AK25" s="233" t="n"/>
      <c r="AL25" s="233" t="n"/>
      <c r="AM25" s="233" t="n"/>
      <c r="AN25" s="233" t="n"/>
      <c r="AO25" s="233" t="n"/>
      <c r="AP25" s="233" t="n"/>
      <c r="AQ25" s="233" t="n"/>
      <c r="AR25" s="233" t="n"/>
      <c r="AS25" s="233" t="n"/>
      <c r="AT25" s="233" t="n"/>
      <c r="AU25" s="233" t="n"/>
      <c r="AV25" s="233" t="n"/>
      <c r="AW25" s="233" t="n"/>
      <c r="AX25" s="233" t="n"/>
      <c r="AY25" s="233" t="n"/>
      <c r="AZ25" s="233" t="n"/>
      <c r="BA25" s="226" t="n"/>
      <c r="BB25" s="233" t="n"/>
      <c r="BC25" s="233" t="n"/>
      <c r="BD25" s="233" t="n"/>
      <c r="BE25" s="233" t="n"/>
      <c r="BF25" s="233" t="n"/>
      <c r="BG25" s="226" t="n"/>
      <c r="BH25" s="40" t="n"/>
      <c r="BI25" s="226" t="n"/>
      <c r="BJ25" s="226" t="n"/>
    </row>
    <row r="26" ht="13.5" customHeight="1" s="349">
      <c r="A26" s="77" t="n"/>
      <c r="B26" s="79" t="inlineStr">
        <is>
          <t>Operational expenses</t>
        </is>
      </c>
      <c r="C26" s="80" t="n"/>
      <c r="D26" s="80" t="n"/>
      <c r="E26" s="80" t="n"/>
      <c r="F26" s="80" t="n"/>
      <c r="G26" s="80" t="n"/>
      <c r="H26" s="80" t="n"/>
      <c r="I26" s="80" t="n"/>
      <c r="J26" s="80" t="n"/>
      <c r="K26" s="80" t="n"/>
      <c r="L26" s="80" t="n"/>
      <c r="M26" s="80" t="n"/>
      <c r="N26" s="80" t="n"/>
      <c r="O26" s="80" t="n"/>
      <c r="P26" s="80" t="n"/>
      <c r="Q26" s="80" t="n"/>
      <c r="R26" s="84" t="n"/>
      <c r="S26" s="85" t="n"/>
      <c r="T26" s="86" t="n"/>
      <c r="U26" s="80" t="n"/>
      <c r="V26" s="80" t="n"/>
      <c r="W26" s="80" t="n"/>
      <c r="X26" s="80" t="n"/>
      <c r="Y26" s="80" t="n"/>
      <c r="Z26" s="80" t="n"/>
      <c r="AA26" s="80" t="n"/>
      <c r="AB26" s="80" t="n"/>
      <c r="AC26" s="80" t="n"/>
      <c r="AD26" s="80" t="n"/>
      <c r="AE26" s="80" t="n"/>
      <c r="AF26" s="80" t="n"/>
      <c r="AG26" s="80" t="n"/>
      <c r="AH26" s="80" t="n"/>
      <c r="AI26" s="80" t="n"/>
      <c r="AJ26" s="80" t="n"/>
      <c r="AK26" s="80" t="n"/>
      <c r="AL26" s="80" t="n"/>
      <c r="AM26" s="80" t="n"/>
      <c r="AN26" s="80" t="n"/>
      <c r="AO26" s="80" t="n"/>
      <c r="AP26" s="80" t="n"/>
      <c r="AQ26" s="80" t="n"/>
      <c r="AR26" s="80" t="n"/>
      <c r="AS26" s="80" t="n"/>
      <c r="AT26" s="80" t="n"/>
      <c r="AU26" s="80" t="n"/>
      <c r="AV26" s="80" t="n"/>
      <c r="AW26" s="80" t="n"/>
      <c r="AX26" s="80" t="n"/>
      <c r="AY26" s="80" t="n"/>
      <c r="AZ26" s="84" t="n"/>
      <c r="BA26" s="226" t="n"/>
      <c r="BB26" s="84" t="n"/>
      <c r="BC26" s="84" t="n"/>
      <c r="BD26" s="84" t="n"/>
      <c r="BE26" s="84" t="n"/>
      <c r="BF26" s="84" t="n"/>
      <c r="BG26" s="226" t="n"/>
      <c r="BH26" s="40" t="n"/>
      <c r="BI26" s="226" t="n"/>
      <c r="BJ26" s="226" t="n"/>
    </row>
    <row r="27" ht="15" customHeight="1" s="349">
      <c r="A27" s="226" t="n"/>
      <c r="B27" s="241" t="inlineStr">
        <is>
          <t>R&amp;D</t>
        </is>
      </c>
      <c r="C27" s="233" t="n"/>
      <c r="D27" s="233" t="inlineStr">
        <is>
          <t>€</t>
        </is>
      </c>
      <c r="E27" s="241" t="n"/>
      <c r="F27" s="241" t="n"/>
      <c r="G27" s="241" t="n"/>
      <c r="H27" s="241" t="n"/>
      <c r="I27" s="241" t="n"/>
      <c r="J27" s="241" t="n"/>
      <c r="K27" s="241" t="n"/>
      <c r="L27" s="241" t="n"/>
      <c r="M27" s="241">
        <f>OPEX!O38</f>
        <v/>
      </c>
      <c r="N27" s="241">
        <f>OPEX!P38</f>
        <v/>
      </c>
      <c r="O27" s="241">
        <f>OPEX!Q38</f>
        <v/>
      </c>
      <c r="P27" s="241">
        <f>OPEX!R38</f>
        <v/>
      </c>
      <c r="Q27" s="241">
        <f>OPEX!S38</f>
        <v/>
      </c>
      <c r="R27" s="241">
        <f>OPEX!T38</f>
        <v/>
      </c>
      <c r="S27" s="241">
        <f>OPEX!U38</f>
        <v/>
      </c>
      <c r="T27" s="241">
        <f>OPEX!V38</f>
        <v/>
      </c>
      <c r="U27" s="241">
        <f>OPEX!W38</f>
        <v/>
      </c>
      <c r="V27" s="241">
        <f>OPEX!X38</f>
        <v/>
      </c>
      <c r="W27" s="241">
        <f>OPEX!Y38</f>
        <v/>
      </c>
      <c r="X27" s="241">
        <f>OPEX!Z38</f>
        <v/>
      </c>
      <c r="Y27" s="241">
        <f>OPEX!AA38</f>
        <v/>
      </c>
      <c r="Z27" s="241">
        <f>OPEX!AB38</f>
        <v/>
      </c>
      <c r="AA27" s="241">
        <f>OPEX!AC38</f>
        <v/>
      </c>
      <c r="AB27" s="241">
        <f>OPEX!AD38</f>
        <v/>
      </c>
      <c r="AC27" s="241">
        <f>OPEX!AE38</f>
        <v/>
      </c>
      <c r="AD27" s="241">
        <f>OPEX!AF38</f>
        <v/>
      </c>
      <c r="AE27" s="241">
        <f>OPEX!AG38</f>
        <v/>
      </c>
      <c r="AF27" s="241">
        <f>OPEX!AH38</f>
        <v/>
      </c>
      <c r="AG27" s="241">
        <f>OPEX!AI38</f>
        <v/>
      </c>
      <c r="AH27" s="241">
        <f>OPEX!AJ38</f>
        <v/>
      </c>
      <c r="AI27" s="241">
        <f>OPEX!AK38</f>
        <v/>
      </c>
      <c r="AJ27" s="241">
        <f>OPEX!AL38</f>
        <v/>
      </c>
      <c r="AK27" s="241">
        <f>OPEX!AM38</f>
        <v/>
      </c>
      <c r="AL27" s="241">
        <f>OPEX!AN38</f>
        <v/>
      </c>
      <c r="AM27" s="241">
        <f>OPEX!AO38</f>
        <v/>
      </c>
      <c r="AN27" s="241">
        <f>OPEX!AP38</f>
        <v/>
      </c>
      <c r="AO27" s="241">
        <f>OPEX!AQ38</f>
        <v/>
      </c>
      <c r="AP27" s="241">
        <f>OPEX!AR38</f>
        <v/>
      </c>
      <c r="AQ27" s="241">
        <f>OPEX!AS38</f>
        <v/>
      </c>
      <c r="AR27" s="241">
        <f>OPEX!AT38</f>
        <v/>
      </c>
      <c r="AS27" s="241">
        <f>OPEX!AU38</f>
        <v/>
      </c>
      <c r="AT27" s="241">
        <f>OPEX!AV38</f>
        <v/>
      </c>
      <c r="AU27" s="241">
        <f>OPEX!AW38</f>
        <v/>
      </c>
      <c r="AV27" s="241">
        <f>OPEX!AX38</f>
        <v/>
      </c>
      <c r="AW27" s="241">
        <f>OPEX!AY38</f>
        <v/>
      </c>
      <c r="AX27" s="241">
        <f>OPEX!AZ38</f>
        <v/>
      </c>
      <c r="AY27" s="241">
        <f>OPEX!BA38</f>
        <v/>
      </c>
      <c r="AZ27" s="241">
        <f>OPEX!BB38</f>
        <v/>
      </c>
      <c r="BA27" s="226" t="n"/>
      <c r="BB27" s="241">
        <f>sum(E27:P27)</f>
        <v/>
      </c>
      <c r="BC27" s="241">
        <f>sum(Q27:AB27)</f>
        <v/>
      </c>
      <c r="BD27" s="241">
        <f>sum(AC27:AN27)</f>
        <v/>
      </c>
      <c r="BE27" s="241">
        <f>sum(AO27:AZ27)</f>
        <v/>
      </c>
      <c r="BF27" s="241">
        <f>OPEX!BH38</f>
        <v/>
      </c>
      <c r="BG27" s="66" t="n"/>
      <c r="BH27" s="40" t="inlineStr">
        <is>
          <t>R&amp;D spend, people and other, from OPEX</t>
        </is>
      </c>
      <c r="BI27" s="66" t="n"/>
      <c r="BJ27" s="66" t="n"/>
    </row>
    <row r="28" ht="15.75" customHeight="1" s="349">
      <c r="A28" s="226" t="n"/>
      <c r="B28" s="241" t="inlineStr">
        <is>
          <t>S&amp;M</t>
        </is>
      </c>
      <c r="C28" s="233" t="n"/>
      <c r="D28" s="233" t="inlineStr">
        <is>
          <t>€</t>
        </is>
      </c>
      <c r="E28" s="241" t="n"/>
      <c r="F28" s="241" t="n"/>
      <c r="G28" s="241" t="n"/>
      <c r="H28" s="241" t="n"/>
      <c r="I28" s="241" t="n"/>
      <c r="J28" s="241" t="n"/>
      <c r="K28" s="241" t="n"/>
      <c r="L28" s="241" t="n"/>
      <c r="M28" s="241">
        <f>OPEX!O39</f>
        <v/>
      </c>
      <c r="N28" s="241">
        <f>OPEX!P39</f>
        <v/>
      </c>
      <c r="O28" s="241">
        <f>OPEX!Q39</f>
        <v/>
      </c>
      <c r="P28" s="241">
        <f>OPEX!R39</f>
        <v/>
      </c>
      <c r="Q28" s="241">
        <f>OPEX!S39</f>
        <v/>
      </c>
      <c r="R28" s="241">
        <f>OPEX!T39</f>
        <v/>
      </c>
      <c r="S28" s="241">
        <f>OPEX!U39</f>
        <v/>
      </c>
      <c r="T28" s="241">
        <f>OPEX!V39</f>
        <v/>
      </c>
      <c r="U28" s="241">
        <f>OPEX!W39</f>
        <v/>
      </c>
      <c r="V28" s="241">
        <f>OPEX!X39</f>
        <v/>
      </c>
      <c r="W28" s="241">
        <f>OPEX!Y39</f>
        <v/>
      </c>
      <c r="X28" s="241">
        <f>OPEX!Z39</f>
        <v/>
      </c>
      <c r="Y28" s="241">
        <f>OPEX!AA39</f>
        <v/>
      </c>
      <c r="Z28" s="241">
        <f>OPEX!AB39</f>
        <v/>
      </c>
      <c r="AA28" s="241">
        <f>OPEX!AC39</f>
        <v/>
      </c>
      <c r="AB28" s="241">
        <f>OPEX!AD39</f>
        <v/>
      </c>
      <c r="AC28" s="241">
        <f>OPEX!AE39</f>
        <v/>
      </c>
      <c r="AD28" s="241">
        <f>OPEX!AF39</f>
        <v/>
      </c>
      <c r="AE28" s="241">
        <f>OPEX!AG39</f>
        <v/>
      </c>
      <c r="AF28" s="241">
        <f>OPEX!AH39</f>
        <v/>
      </c>
      <c r="AG28" s="241">
        <f>OPEX!AI39</f>
        <v/>
      </c>
      <c r="AH28" s="241">
        <f>OPEX!AJ39</f>
        <v/>
      </c>
      <c r="AI28" s="241">
        <f>OPEX!AK39</f>
        <v/>
      </c>
      <c r="AJ28" s="241">
        <f>OPEX!AL39</f>
        <v/>
      </c>
      <c r="AK28" s="241">
        <f>OPEX!AM39</f>
        <v/>
      </c>
      <c r="AL28" s="241">
        <f>OPEX!AN39</f>
        <v/>
      </c>
      <c r="AM28" s="241">
        <f>OPEX!AO39</f>
        <v/>
      </c>
      <c r="AN28" s="241">
        <f>OPEX!AP39</f>
        <v/>
      </c>
      <c r="AO28" s="241">
        <f>OPEX!AQ39</f>
        <v/>
      </c>
      <c r="AP28" s="241">
        <f>OPEX!AR39</f>
        <v/>
      </c>
      <c r="AQ28" s="241">
        <f>OPEX!AS39</f>
        <v/>
      </c>
      <c r="AR28" s="241">
        <f>OPEX!AT39</f>
        <v/>
      </c>
      <c r="AS28" s="241">
        <f>OPEX!AU39</f>
        <v/>
      </c>
      <c r="AT28" s="241">
        <f>OPEX!AV39</f>
        <v/>
      </c>
      <c r="AU28" s="241">
        <f>OPEX!AW39</f>
        <v/>
      </c>
      <c r="AV28" s="241">
        <f>OPEX!AX39</f>
        <v/>
      </c>
      <c r="AW28" s="241">
        <f>OPEX!AY39</f>
        <v/>
      </c>
      <c r="AX28" s="241">
        <f>OPEX!AZ39</f>
        <v/>
      </c>
      <c r="AY28" s="241">
        <f>OPEX!BA39</f>
        <v/>
      </c>
      <c r="AZ28" s="241">
        <f>OPEX!BB39</f>
        <v/>
      </c>
      <c r="BA28" s="226" t="n"/>
      <c r="BB28" s="241">
        <f>sum(E28:P28)</f>
        <v/>
      </c>
      <c r="BC28" s="241">
        <f>sum(Q28:AB28)</f>
        <v/>
      </c>
      <c r="BD28" s="241">
        <f>sum(AC28:AN28)</f>
        <v/>
      </c>
      <c r="BE28" s="241">
        <f>sum(AO28:AZ28)</f>
        <v/>
      </c>
      <c r="BF28" s="241">
        <f>OPEX!BH39</f>
        <v/>
      </c>
      <c r="BG28" s="66" t="n"/>
      <c r="BH28" s="40" t="inlineStr">
        <is>
          <t>S&amp;M spend from OPEX</t>
        </is>
      </c>
      <c r="BI28" s="66" t="n"/>
      <c r="BJ28" s="66" t="n"/>
    </row>
    <row r="29" ht="15.75" customHeight="1" s="349">
      <c r="A29" s="226" t="n"/>
      <c r="B29" s="241" t="inlineStr">
        <is>
          <t>G&amp;A</t>
        </is>
      </c>
      <c r="C29" s="233" t="n"/>
      <c r="D29" s="233" t="inlineStr">
        <is>
          <t>€</t>
        </is>
      </c>
      <c r="E29" s="241" t="n"/>
      <c r="F29" s="241" t="n"/>
      <c r="G29" s="241" t="n"/>
      <c r="H29" s="241" t="n"/>
      <c r="I29" s="241" t="n"/>
      <c r="J29" s="241" t="n"/>
      <c r="K29" s="241" t="n"/>
      <c r="L29" s="241" t="n"/>
      <c r="M29" s="241">
        <f>OPEX!O40</f>
        <v/>
      </c>
      <c r="N29" s="241">
        <f>OPEX!P40</f>
        <v/>
      </c>
      <c r="O29" s="241">
        <f>OPEX!Q40</f>
        <v/>
      </c>
      <c r="P29" s="241">
        <f>OPEX!R40</f>
        <v/>
      </c>
      <c r="Q29" s="241">
        <f>OPEX!S40</f>
        <v/>
      </c>
      <c r="R29" s="241">
        <f>OPEX!T40</f>
        <v/>
      </c>
      <c r="S29" s="241">
        <f>OPEX!U40</f>
        <v/>
      </c>
      <c r="T29" s="241">
        <f>OPEX!V40</f>
        <v/>
      </c>
      <c r="U29" s="241">
        <f>OPEX!W40</f>
        <v/>
      </c>
      <c r="V29" s="241">
        <f>OPEX!X40</f>
        <v/>
      </c>
      <c r="W29" s="241">
        <f>OPEX!Y40</f>
        <v/>
      </c>
      <c r="X29" s="241">
        <f>OPEX!Z40</f>
        <v/>
      </c>
      <c r="Y29" s="241">
        <f>OPEX!AA40</f>
        <v/>
      </c>
      <c r="Z29" s="241">
        <f>OPEX!AB40</f>
        <v/>
      </c>
      <c r="AA29" s="241">
        <f>OPEX!AC40</f>
        <v/>
      </c>
      <c r="AB29" s="241">
        <f>OPEX!AD40</f>
        <v/>
      </c>
      <c r="AC29" s="241">
        <f>OPEX!AE40</f>
        <v/>
      </c>
      <c r="AD29" s="241">
        <f>OPEX!AF40</f>
        <v/>
      </c>
      <c r="AE29" s="241">
        <f>OPEX!AG40</f>
        <v/>
      </c>
      <c r="AF29" s="241">
        <f>OPEX!AH40</f>
        <v/>
      </c>
      <c r="AG29" s="241">
        <f>OPEX!AI40</f>
        <v/>
      </c>
      <c r="AH29" s="241">
        <f>OPEX!AJ40</f>
        <v/>
      </c>
      <c r="AI29" s="241">
        <f>OPEX!AK40</f>
        <v/>
      </c>
      <c r="AJ29" s="241">
        <f>OPEX!AL40</f>
        <v/>
      </c>
      <c r="AK29" s="241">
        <f>OPEX!AM40</f>
        <v/>
      </c>
      <c r="AL29" s="241">
        <f>OPEX!AN40</f>
        <v/>
      </c>
      <c r="AM29" s="241">
        <f>OPEX!AO40</f>
        <v/>
      </c>
      <c r="AN29" s="241">
        <f>OPEX!AP40</f>
        <v/>
      </c>
      <c r="AO29" s="241">
        <f>OPEX!AQ40</f>
        <v/>
      </c>
      <c r="AP29" s="241">
        <f>OPEX!AR40</f>
        <v/>
      </c>
      <c r="AQ29" s="241">
        <f>OPEX!AS40</f>
        <v/>
      </c>
      <c r="AR29" s="241">
        <f>OPEX!AT40</f>
        <v/>
      </c>
      <c r="AS29" s="241">
        <f>OPEX!AU40</f>
        <v/>
      </c>
      <c r="AT29" s="241">
        <f>OPEX!AV40</f>
        <v/>
      </c>
      <c r="AU29" s="241">
        <f>OPEX!AW40</f>
        <v/>
      </c>
      <c r="AV29" s="241">
        <f>OPEX!AX40</f>
        <v/>
      </c>
      <c r="AW29" s="241">
        <f>OPEX!AY40</f>
        <v/>
      </c>
      <c r="AX29" s="241">
        <f>OPEX!AZ40</f>
        <v/>
      </c>
      <c r="AY29" s="241">
        <f>OPEX!BA40</f>
        <v/>
      </c>
      <c r="AZ29" s="241">
        <f>OPEX!BB40</f>
        <v/>
      </c>
      <c r="BA29" s="226" t="n"/>
      <c r="BB29" s="241">
        <f>sum(E29:P29)</f>
        <v/>
      </c>
      <c r="BC29" s="241">
        <f>sum(Q29:AB29)</f>
        <v/>
      </c>
      <c r="BD29" s="241">
        <f>sum(AC29:AN29)</f>
        <v/>
      </c>
      <c r="BE29" s="241">
        <f>sum(AO29:AZ29)</f>
        <v/>
      </c>
      <c r="BF29" s="241">
        <f>OPEX!BH40</f>
        <v/>
      </c>
      <c r="BG29" s="66" t="n"/>
      <c r="BH29" s="40" t="inlineStr">
        <is>
          <t>G&amp;A spend from OPEX</t>
        </is>
      </c>
      <c r="BI29" s="66" t="n"/>
      <c r="BJ29" s="66" t="n"/>
    </row>
    <row r="30" ht="12.75" customHeight="1" s="349">
      <c r="A30" s="77" t="n"/>
      <c r="B30" s="227" t="inlineStr">
        <is>
          <t>Total OPEX</t>
        </is>
      </c>
      <c r="C30" s="228" t="n"/>
      <c r="D30" s="229" t="inlineStr">
        <is>
          <t>€</t>
        </is>
      </c>
      <c r="E30" s="227" t="n"/>
      <c r="F30" s="227" t="n"/>
      <c r="G30" s="227" t="n"/>
      <c r="H30" s="227" t="n"/>
      <c r="I30" s="227" t="n"/>
      <c r="J30" s="227" t="n"/>
      <c r="K30" s="227" t="n"/>
      <c r="L30" s="227" t="n"/>
      <c r="M30" s="227">
        <f>(M29+M28+M27)</f>
        <v/>
      </c>
      <c r="N30" s="227">
        <f>(N29+N28+N27)</f>
        <v/>
      </c>
      <c r="O30" s="227">
        <f>(O29+O28+O27)</f>
        <v/>
      </c>
      <c r="P30" s="227">
        <f>(P29+P28+P27)</f>
        <v/>
      </c>
      <c r="Q30" s="227">
        <f>(Q29+Q28+Q27)</f>
        <v/>
      </c>
      <c r="R30" s="230">
        <f>(R29+R28+R27)</f>
        <v/>
      </c>
      <c r="S30" s="231">
        <f>(S29+S28+S27)</f>
        <v/>
      </c>
      <c r="T30" s="232">
        <f>(T29+T28+T27)</f>
        <v/>
      </c>
      <c r="U30" s="227">
        <f>(U29+U28+U27)</f>
        <v/>
      </c>
      <c r="V30" s="227">
        <f>(V29+V28+V27)</f>
        <v/>
      </c>
      <c r="W30" s="227">
        <f>(W29+W28+W27)</f>
        <v/>
      </c>
      <c r="X30" s="227">
        <f>(X29+X28+X27)</f>
        <v/>
      </c>
      <c r="Y30" s="227">
        <f>(Y29+Y28+Y27)</f>
        <v/>
      </c>
      <c r="Z30" s="227">
        <f>(Z29+Z28+Z27)</f>
        <v/>
      </c>
      <c r="AA30" s="227">
        <f>(AA29+AA28+AA27)</f>
        <v/>
      </c>
      <c r="AB30" s="227">
        <f>(AB29+AB28+AB27)</f>
        <v/>
      </c>
      <c r="AC30" s="227">
        <f>(AC29+AC28+AC27)</f>
        <v/>
      </c>
      <c r="AD30" s="227">
        <f>(AD29+AD28+AD27)</f>
        <v/>
      </c>
      <c r="AE30" s="227">
        <f>(AE29+AE28+AE27)</f>
        <v/>
      </c>
      <c r="AF30" s="227">
        <f>(AF29+AF28+AF27)</f>
        <v/>
      </c>
      <c r="AG30" s="227">
        <f>(AG29+AG28+AG27)</f>
        <v/>
      </c>
      <c r="AH30" s="227">
        <f>(AH29+AH28+AH27)</f>
        <v/>
      </c>
      <c r="AI30" s="227">
        <f>(AI29+AI28+AI27)</f>
        <v/>
      </c>
      <c r="AJ30" s="227">
        <f>(AJ29+AJ28+AJ27)</f>
        <v/>
      </c>
      <c r="AK30" s="227">
        <f>(AK29+AK28+AK27)</f>
        <v/>
      </c>
      <c r="AL30" s="227">
        <f>(AL29+AL28+AL27)</f>
        <v/>
      </c>
      <c r="AM30" s="227">
        <f>(AM29+AM28+AM27)</f>
        <v/>
      </c>
      <c r="AN30" s="227">
        <f>(AN29+AN28+AN27)</f>
        <v/>
      </c>
      <c r="AO30" s="227">
        <f>(AO29+AO28+AO27)</f>
        <v/>
      </c>
      <c r="AP30" s="227">
        <f>(AP29+AP28+AP27)</f>
        <v/>
      </c>
      <c r="AQ30" s="227">
        <f>(AQ29+AQ28+AQ27)</f>
        <v/>
      </c>
      <c r="AR30" s="227">
        <f>(AR29+AR28+AR27)</f>
        <v/>
      </c>
      <c r="AS30" s="227">
        <f>(AS29+AS28+AS27)</f>
        <v/>
      </c>
      <c r="AT30" s="227">
        <f>(AT29+AT28+AT27)</f>
        <v/>
      </c>
      <c r="AU30" s="227">
        <f>(AU29+AU28+AU27)</f>
        <v/>
      </c>
      <c r="AV30" s="227">
        <f>(AV29+AV28+AV27)</f>
        <v/>
      </c>
      <c r="AW30" s="227">
        <f>(AW29+AW28+AW27)</f>
        <v/>
      </c>
      <c r="AX30" s="227">
        <f>(AX29+AX28+AX27)</f>
        <v/>
      </c>
      <c r="AY30" s="227">
        <f>(AY29+AY28+AY27)</f>
        <v/>
      </c>
      <c r="AZ30" s="230">
        <f>(AZ29+AZ28+AZ27)</f>
        <v/>
      </c>
      <c r="BA30" s="226" t="n"/>
      <c r="BB30" s="230">
        <f>sum(E30:P30)</f>
        <v/>
      </c>
      <c r="BC30" s="230">
        <f>sum(Q30:AB30)</f>
        <v/>
      </c>
      <c r="BD30" s="230">
        <f>sum(AC30:AN30)</f>
        <v/>
      </c>
      <c r="BE30" s="230">
        <f>sum(AO30:AZ30)</f>
        <v/>
      </c>
      <c r="BF30" s="230">
        <f>sum(BF27:BF29)</f>
        <v/>
      </c>
      <c r="BG30" s="205" t="n"/>
      <c r="BH30" s="40" t="inlineStr">
        <is>
          <t>the three OPEX lines added</t>
        </is>
      </c>
      <c r="BI30" s="205" t="n"/>
      <c r="BJ30" s="205" t="n"/>
    </row>
    <row r="31" ht="15.75" customHeight="1" s="349">
      <c r="A31" s="226" t="n"/>
      <c r="B31" s="233" t="n"/>
      <c r="C31" s="233" t="n"/>
      <c r="D31" s="233" t="n"/>
      <c r="E31" s="233" t="n"/>
      <c r="F31" s="233" t="n"/>
      <c r="G31" s="233" t="n"/>
      <c r="H31" s="233" t="n"/>
      <c r="I31" s="233" t="n"/>
      <c r="J31" s="233" t="n"/>
      <c r="K31" s="233" t="n"/>
      <c r="L31" s="233" t="n"/>
      <c r="M31" s="233" t="n"/>
      <c r="N31" s="233" t="n"/>
      <c r="O31" s="233" t="n"/>
      <c r="P31" s="233" t="n"/>
      <c r="Q31" s="233" t="n"/>
      <c r="R31" s="233" t="n"/>
      <c r="S31" s="233" t="n"/>
      <c r="T31" s="233" t="n"/>
      <c r="U31" s="233" t="n"/>
      <c r="V31" s="233" t="n"/>
      <c r="W31" s="233" t="n"/>
      <c r="X31" s="233" t="n"/>
      <c r="Y31" s="233" t="n"/>
      <c r="Z31" s="233" t="n"/>
      <c r="AA31" s="233" t="n"/>
      <c r="AB31" s="233" t="n"/>
      <c r="AC31" s="233" t="n"/>
      <c r="AD31" s="233" t="n"/>
      <c r="AE31" s="233" t="n"/>
      <c r="AF31" s="233" t="n"/>
      <c r="AG31" s="233" t="n"/>
      <c r="AH31" s="233" t="n"/>
      <c r="AI31" s="233" t="n"/>
      <c r="AJ31" s="233" t="n"/>
      <c r="AK31" s="233" t="n"/>
      <c r="AL31" s="233" t="n"/>
      <c r="AM31" s="233" t="n"/>
      <c r="AN31" s="233" t="n"/>
      <c r="AO31" s="233" t="n"/>
      <c r="AP31" s="233" t="n"/>
      <c r="AQ31" s="233" t="n"/>
      <c r="AR31" s="233" t="n"/>
      <c r="AS31" s="233" t="n"/>
      <c r="AT31" s="233" t="n"/>
      <c r="AU31" s="233" t="n"/>
      <c r="AV31" s="233" t="n"/>
      <c r="AW31" s="233" t="n"/>
      <c r="AX31" s="233" t="n"/>
      <c r="AY31" s="233" t="n"/>
      <c r="AZ31" s="233" t="n"/>
      <c r="BA31" s="226" t="n"/>
      <c r="BB31" s="233" t="n"/>
      <c r="BC31" s="233" t="n"/>
      <c r="BD31" s="233" t="n"/>
      <c r="BE31" s="233" t="n"/>
      <c r="BF31" s="233" t="n"/>
      <c r="BG31" s="226" t="n"/>
      <c r="BH31" s="40" t="n"/>
      <c r="BI31" s="226" t="n"/>
      <c r="BJ31" s="226" t="n"/>
    </row>
    <row r="32" ht="12.75" customHeight="1" s="349">
      <c r="A32" s="125" t="n"/>
      <c r="B32" s="126" t="inlineStr">
        <is>
          <t>EBITDA</t>
        </is>
      </c>
      <c r="C32" s="127" t="n"/>
      <c r="D32" s="126" t="inlineStr">
        <is>
          <t>€</t>
        </is>
      </c>
      <c r="E32" s="126" t="n"/>
      <c r="F32" s="126" t="n"/>
      <c r="G32" s="126" t="n"/>
      <c r="H32" s="126" t="n"/>
      <c r="I32" s="126" t="n"/>
      <c r="J32" s="126" t="n"/>
      <c r="K32" s="126" t="n"/>
      <c r="L32" s="126" t="n"/>
      <c r="M32" s="126">
        <f>M23-M30</f>
        <v/>
      </c>
      <c r="N32" s="126">
        <f>N23-N30</f>
        <v/>
      </c>
      <c r="O32" s="126">
        <f>O23-O30</f>
        <v/>
      </c>
      <c r="P32" s="126">
        <f>P23-P30</f>
        <v/>
      </c>
      <c r="Q32" s="126">
        <f>Q23-Q30</f>
        <v/>
      </c>
      <c r="R32" s="126">
        <f>R23-R30</f>
        <v/>
      </c>
      <c r="S32" s="126">
        <f>S23-S30</f>
        <v/>
      </c>
      <c r="T32" s="126">
        <f>T23-T30</f>
        <v/>
      </c>
      <c r="U32" s="126">
        <f>U23-U30</f>
        <v/>
      </c>
      <c r="V32" s="126">
        <f>V23-V30</f>
        <v/>
      </c>
      <c r="W32" s="126">
        <f>W23-W30</f>
        <v/>
      </c>
      <c r="X32" s="126">
        <f>X23-X30</f>
        <v/>
      </c>
      <c r="Y32" s="126">
        <f>Y23-Y30</f>
        <v/>
      </c>
      <c r="Z32" s="126">
        <f>Z23-Z30</f>
        <v/>
      </c>
      <c r="AA32" s="126">
        <f>AA23-AA30</f>
        <v/>
      </c>
      <c r="AB32" s="126">
        <f>AB23-AB30</f>
        <v/>
      </c>
      <c r="AC32" s="126">
        <f>AC23-AC30</f>
        <v/>
      </c>
      <c r="AD32" s="126">
        <f>AD23-AD30</f>
        <v/>
      </c>
      <c r="AE32" s="126">
        <f>AE23-AE30</f>
        <v/>
      </c>
      <c r="AF32" s="126">
        <f>AF23-AF30</f>
        <v/>
      </c>
      <c r="AG32" s="126">
        <f>AG23-AG30</f>
        <v/>
      </c>
      <c r="AH32" s="126">
        <f>AH23-AH30</f>
        <v/>
      </c>
      <c r="AI32" s="126">
        <f>AI23-AI30</f>
        <v/>
      </c>
      <c r="AJ32" s="126">
        <f>AJ23-AJ30</f>
        <v/>
      </c>
      <c r="AK32" s="126">
        <f>AK23-AK30</f>
        <v/>
      </c>
      <c r="AL32" s="126">
        <f>AL23-AL30</f>
        <v/>
      </c>
      <c r="AM32" s="126">
        <f>AM23-AM30</f>
        <v/>
      </c>
      <c r="AN32" s="126">
        <f>AN23-AN30</f>
        <v/>
      </c>
      <c r="AO32" s="126">
        <f>AO23-AO30</f>
        <v/>
      </c>
      <c r="AP32" s="126">
        <f>AP23-AP30</f>
        <v/>
      </c>
      <c r="AQ32" s="126">
        <f>AQ23-AQ30</f>
        <v/>
      </c>
      <c r="AR32" s="126">
        <f>AR23-AR30</f>
        <v/>
      </c>
      <c r="AS32" s="126">
        <f>AS23-AS30</f>
        <v/>
      </c>
      <c r="AT32" s="126">
        <f>AT23-AT30</f>
        <v/>
      </c>
      <c r="AU32" s="126">
        <f>AU23-AU30</f>
        <v/>
      </c>
      <c r="AV32" s="126">
        <f>AV23-AV30</f>
        <v/>
      </c>
      <c r="AW32" s="126">
        <f>AW23-AW30</f>
        <v/>
      </c>
      <c r="AX32" s="126">
        <f>AX23-AX30</f>
        <v/>
      </c>
      <c r="AY32" s="126">
        <f>AY23-AY30</f>
        <v/>
      </c>
      <c r="AZ32" s="134">
        <f>AZ23-AZ30</f>
        <v/>
      </c>
      <c r="BA32" s="133" t="n"/>
      <c r="BB32" s="134">
        <f>sum(E32:P32)</f>
        <v/>
      </c>
      <c r="BC32" s="134">
        <f>sum(Q32:AB32)</f>
        <v/>
      </c>
      <c r="BD32" s="134">
        <f>sum(AC32:AN32)</f>
        <v/>
      </c>
      <c r="BE32" s="134">
        <f>sum(AO32:AZ32)</f>
        <v/>
      </c>
      <c r="BF32" s="134">
        <f>BF23-BF30</f>
        <v/>
      </c>
      <c r="BG32" s="137" t="n"/>
      <c r="BH32" s="40" t="inlineStr">
        <is>
          <t>gross profit minus operating costs</t>
        </is>
      </c>
      <c r="BI32" s="137" t="n"/>
      <c r="BJ32" s="137" t="n"/>
    </row>
    <row r="33" ht="15.75" customHeight="1" s="349">
      <c r="A33" s="215" t="n"/>
      <c r="B33" s="216" t="inlineStr">
        <is>
          <t>EBITDA margin %</t>
        </is>
      </c>
      <c r="C33" s="217" t="n"/>
      <c r="D33" s="216" t="inlineStr">
        <is>
          <t>%</t>
        </is>
      </c>
      <c r="E33" s="216" t="n"/>
      <c r="F33" s="216" t="n"/>
      <c r="G33" s="216" t="n"/>
      <c r="H33" s="216" t="n"/>
      <c r="I33" s="216" t="n"/>
      <c r="J33" s="216" t="n"/>
      <c r="K33" s="216" t="n"/>
      <c r="L33" s="216" t="n"/>
      <c r="M33" s="216" t="n"/>
      <c r="N33" s="216" t="n"/>
      <c r="O33" s="216" t="n"/>
      <c r="P33" s="216" t="n"/>
      <c r="Q33" s="216" t="n"/>
      <c r="R33" s="216" t="n"/>
      <c r="S33" s="216" t="n"/>
      <c r="T33" s="216" t="n"/>
      <c r="U33" s="216" t="n"/>
      <c r="V33" s="216" t="n"/>
      <c r="W33" s="216" t="n"/>
      <c r="X33" s="216" t="n"/>
      <c r="Y33" s="216" t="n"/>
      <c r="Z33" s="216" t="n"/>
      <c r="AA33" s="216" t="n"/>
      <c r="AB33" s="216" t="n"/>
      <c r="AC33" s="216" t="n"/>
      <c r="AD33" s="216" t="n"/>
      <c r="AE33" s="216" t="n"/>
      <c r="AF33" s="216" t="n"/>
      <c r="AG33" s="216" t="n"/>
      <c r="AH33" s="216" t="n"/>
      <c r="AI33" s="216" t="n"/>
      <c r="AJ33" s="216" t="n"/>
      <c r="AK33" s="216" t="n"/>
      <c r="AL33" s="216" t="n"/>
      <c r="AM33" s="216" t="n"/>
      <c r="AN33" s="216" t="n"/>
      <c r="AO33" s="216" t="n"/>
      <c r="AP33" s="216" t="n"/>
      <c r="AQ33" s="216" t="n"/>
      <c r="AR33" s="216" t="n"/>
      <c r="AS33" s="216" t="n"/>
      <c r="AT33" s="216" t="n"/>
      <c r="AU33" s="216" t="n"/>
      <c r="AV33" s="216" t="n"/>
      <c r="AW33" s="216" t="n"/>
      <c r="AX33" s="216" t="n"/>
      <c r="AY33" s="216" t="n"/>
      <c r="AZ33" s="216" t="n"/>
      <c r="BA33" s="215" t="n"/>
      <c r="BB33" s="216" t="n"/>
      <c r="BC33" s="216" t="n"/>
      <c r="BD33" s="216" t="n"/>
      <c r="BE33" s="216">
        <f>BE32/BE11</f>
        <v/>
      </c>
      <c r="BF33" s="216">
        <f>BF32/BF11</f>
        <v/>
      </c>
      <c r="BG33" s="218" t="n"/>
      <c r="BH33" s="40" t="inlineStr">
        <is>
          <t>EBITDA as a % of revenue</t>
        </is>
      </c>
      <c r="BI33" s="218" t="n"/>
      <c r="BJ33" s="218" t="n"/>
    </row>
    <row r="34" ht="15.75" customHeight="1" s="349">
      <c r="A34" s="238" t="n"/>
      <c r="B34" s="239" t="n"/>
      <c r="C34" s="240" t="n"/>
      <c r="D34" s="239" t="n"/>
      <c r="E34" s="239" t="n"/>
      <c r="F34" s="239" t="n"/>
      <c r="G34" s="239" t="n"/>
      <c r="H34" s="239" t="n"/>
      <c r="I34" s="239" t="n"/>
      <c r="J34" s="239" t="n"/>
      <c r="K34" s="239" t="n"/>
      <c r="L34" s="239" t="n"/>
      <c r="M34" s="239" t="n"/>
      <c r="N34" s="239" t="n"/>
      <c r="O34" s="239" t="n"/>
      <c r="P34" s="239" t="n"/>
      <c r="Q34" s="239" t="n"/>
      <c r="R34" s="239" t="n"/>
      <c r="S34" s="239" t="n"/>
      <c r="T34" s="239" t="n"/>
      <c r="U34" s="239" t="n"/>
      <c r="V34" s="239" t="n"/>
      <c r="W34" s="239" t="n"/>
      <c r="X34" s="239" t="n"/>
      <c r="Y34" s="239" t="n"/>
      <c r="Z34" s="239" t="n"/>
      <c r="AA34" s="239" t="n"/>
      <c r="AB34" s="239" t="n"/>
      <c r="AC34" s="239" t="n"/>
      <c r="AD34" s="239" t="n"/>
      <c r="AE34" s="239" t="n"/>
      <c r="AF34" s="239" t="n"/>
      <c r="AG34" s="239" t="n"/>
      <c r="AH34" s="239" t="n"/>
      <c r="AI34" s="239" t="n"/>
      <c r="AJ34" s="239" t="n"/>
      <c r="AK34" s="239" t="n"/>
      <c r="AL34" s="239" t="n"/>
      <c r="AM34" s="239" t="n"/>
      <c r="AN34" s="239" t="n"/>
      <c r="AO34" s="239" t="n"/>
      <c r="AP34" s="239" t="n"/>
      <c r="AQ34" s="239" t="n"/>
      <c r="AR34" s="239" t="n"/>
      <c r="AS34" s="239" t="n"/>
      <c r="AT34" s="239" t="n"/>
      <c r="AU34" s="239" t="n"/>
      <c r="AV34" s="239" t="n"/>
      <c r="AW34" s="239" t="n"/>
      <c r="AX34" s="239" t="n"/>
      <c r="AY34" s="239" t="n"/>
      <c r="AZ34" s="239" t="n"/>
      <c r="BA34" s="238" t="n"/>
      <c r="BB34" s="239" t="n"/>
      <c r="BC34" s="239" t="n"/>
      <c r="BD34" s="239" t="n"/>
      <c r="BE34" s="239" t="n"/>
      <c r="BF34" s="239" t="n"/>
      <c r="BG34" s="242" t="n"/>
      <c r="BH34" s="40" t="n"/>
      <c r="BI34" s="242" t="n"/>
      <c r="BJ34" s="242" t="n"/>
    </row>
    <row r="35" ht="15.75" customHeight="1" s="349">
      <c r="A35" s="226" t="n"/>
      <c r="B35" s="241" t="inlineStr">
        <is>
          <t>Depreciation &amp; Amortisation</t>
        </is>
      </c>
      <c r="C35" s="233" t="n"/>
      <c r="D35" s="233" t="inlineStr">
        <is>
          <t>€</t>
        </is>
      </c>
      <c r="E35" s="241">
        <f>-SUM($E$53:E53)/(Assumptions!$D$128*12)</f>
        <v/>
      </c>
      <c r="F35" s="241">
        <f>-SUM($E$53:F53)/(Assumptions!$D$128*12)</f>
        <v/>
      </c>
      <c r="G35" s="241">
        <f>-SUM($E$53:G53)/(Assumptions!$D$128*12)</f>
        <v/>
      </c>
      <c r="H35" s="241">
        <f>-SUM($E$53:H53)/(Assumptions!$D$128*12)</f>
        <v/>
      </c>
      <c r="I35" s="241">
        <f>-SUM($E$53:I53)/(Assumptions!$D$128*12)</f>
        <v/>
      </c>
      <c r="J35" s="241">
        <f>-SUM($E$53:J53)/(Assumptions!$D$128*12)</f>
        <v/>
      </c>
      <c r="K35" s="241">
        <f>-SUM($E$53:K53)/(Assumptions!$D$128*12)</f>
        <v/>
      </c>
      <c r="L35" s="241">
        <f>-SUM($E$53:L53)/(Assumptions!$D$128*12)</f>
        <v/>
      </c>
      <c r="M35" s="241">
        <f>-SUM($E$53:M53)/(Assumptions!$D$128*12)</f>
        <v/>
      </c>
      <c r="N35" s="241">
        <f>-SUM($E$53:N53)/(Assumptions!$D$128*12)</f>
        <v/>
      </c>
      <c r="O35" s="241">
        <f>-SUM($E$53:O53)/(Assumptions!$D$128*12)</f>
        <v/>
      </c>
      <c r="P35" s="241">
        <f>-SUM($E$53:P53)/(Assumptions!$D$128*12)</f>
        <v/>
      </c>
      <c r="Q35" s="241">
        <f>-SUM($E$53:Q53)/(Assumptions!$D$128*12)</f>
        <v/>
      </c>
      <c r="R35" s="241">
        <f>-SUM($E$53:R53)/(Assumptions!$D$128*12)</f>
        <v/>
      </c>
      <c r="S35" s="241">
        <f>-SUM($E$53:S53)/(Assumptions!$D$128*12)</f>
        <v/>
      </c>
      <c r="T35" s="241">
        <f>-SUM($E$53:T53)/(Assumptions!$D$128*12)</f>
        <v/>
      </c>
      <c r="U35" s="241">
        <f>-SUM($E$53:U53)/(Assumptions!$D$128*12)</f>
        <v/>
      </c>
      <c r="V35" s="241">
        <f>-SUM($E$53:V53)/(Assumptions!$D$128*12)</f>
        <v/>
      </c>
      <c r="W35" s="241">
        <f>-SUM($E$53:W53)/(Assumptions!$D$128*12)</f>
        <v/>
      </c>
      <c r="X35" s="241">
        <f>-SUM($E$53:X53)/(Assumptions!$D$128*12)</f>
        <v/>
      </c>
      <c r="Y35" s="241">
        <f>-SUM($E$53:Y53)/(Assumptions!$D$128*12)</f>
        <v/>
      </c>
      <c r="Z35" s="241">
        <f>-SUM($E$53:Z53)/(Assumptions!$D$128*12)</f>
        <v/>
      </c>
      <c r="AA35" s="241">
        <f>-SUM($E$53:AA53)/(Assumptions!$D$128*12)</f>
        <v/>
      </c>
      <c r="AB35" s="241">
        <f>-SUM($E$53:AB53)/(Assumptions!$D$128*12)</f>
        <v/>
      </c>
      <c r="AC35" s="241">
        <f>-SUM($E$53:AC53)/(Assumptions!$D$128*12)</f>
        <v/>
      </c>
      <c r="AD35" s="241">
        <f>-SUM($E$53:AD53)/(Assumptions!$D$128*12)</f>
        <v/>
      </c>
      <c r="AE35" s="241">
        <f>-SUM($E$53:AE53)/(Assumptions!$D$128*12)</f>
        <v/>
      </c>
      <c r="AF35" s="241">
        <f>-SUM($E$53:AF53)/(Assumptions!$D$128*12)</f>
        <v/>
      </c>
      <c r="AG35" s="241">
        <f>-SUM($E$53:AG53)/(Assumptions!$D$128*12)</f>
        <v/>
      </c>
      <c r="AH35" s="241">
        <f>-SUM($E$53:AH53)/(Assumptions!$D$128*12)</f>
        <v/>
      </c>
      <c r="AI35" s="241">
        <f>-SUM($E$53:AI53)/(Assumptions!$D$128*12)</f>
        <v/>
      </c>
      <c r="AJ35" s="241">
        <f>-SUM($E$53:AJ53)/(Assumptions!$D$128*12)</f>
        <v/>
      </c>
      <c r="AK35" s="241">
        <f>-SUM($E$53:AK53)/(Assumptions!$D$128*12)</f>
        <v/>
      </c>
      <c r="AL35" s="241">
        <f>-SUM($E$53:AL53)/(Assumptions!$D$128*12)</f>
        <v/>
      </c>
      <c r="AM35" s="241">
        <f>-SUM($E$53:AM53)/(Assumptions!$D$128*12)</f>
        <v/>
      </c>
      <c r="AN35" s="241">
        <f>-SUM($E$53:AN53)/(Assumptions!$D$128*12)</f>
        <v/>
      </c>
      <c r="AO35" s="241">
        <f>-SUM($E$53:AO53)/(Assumptions!$D$128*12)</f>
        <v/>
      </c>
      <c r="AP35" s="241">
        <f>-SUM($E$53:AP53)/(Assumptions!$D$128*12)</f>
        <v/>
      </c>
      <c r="AQ35" s="241">
        <f>-SUM($E$53:AQ53)/(Assumptions!$D$128*12)</f>
        <v/>
      </c>
      <c r="AR35" s="241">
        <f>-SUM($E$53:AR53)/(Assumptions!$D$128*12)</f>
        <v/>
      </c>
      <c r="AS35" s="241">
        <f>-SUM($E$53:AS53)/(Assumptions!$D$128*12)</f>
        <v/>
      </c>
      <c r="AT35" s="241">
        <f>-SUM($E$53:AT53)/(Assumptions!$D$128*12)</f>
        <v/>
      </c>
      <c r="AU35" s="241">
        <f>-SUM($E$53:AU53)/(Assumptions!$D$128*12)</f>
        <v/>
      </c>
      <c r="AV35" s="241">
        <f>-SUM($E$53:AV53)/(Assumptions!$D$128*12)</f>
        <v/>
      </c>
      <c r="AW35" s="241">
        <f>-SUM($E$53:AW53)/(Assumptions!$D$128*12)</f>
        <v/>
      </c>
      <c r="AX35" s="241">
        <f>-SUM($E$53:AX53)/(Assumptions!$D$128*12)</f>
        <v/>
      </c>
      <c r="AY35" s="241">
        <f>-SUM($E$53:AY53)/(Assumptions!$D$128*12)</f>
        <v/>
      </c>
      <c r="AZ35" s="241">
        <f>-SUM($E$53:AZ53)/(Assumptions!$D$128*12)</f>
        <v/>
      </c>
      <c r="BA35" s="226" t="n"/>
      <c r="BB35" s="241">
        <f>sum(E35:P35)</f>
        <v/>
      </c>
      <c r="BC35" s="241">
        <f>sum(Q35:AB35)</f>
        <v/>
      </c>
      <c r="BD35" s="241">
        <f>sum(AC35:AN35)</f>
        <v/>
      </c>
      <c r="BE35" s="241">
        <f>sum(AO35:AZ35)</f>
        <v/>
      </c>
      <c r="BF35" s="241">
        <f>(-SUM($E$53:$AZ$53)+(-BF53)/2)/Assumptions!$D$128</f>
        <v/>
      </c>
      <c r="BG35" s="66" t="n"/>
      <c r="BH35" s="40" t="inlineStr">
        <is>
          <t>straight line on cumulative capex, blended life from Assumptions D128</t>
        </is>
      </c>
      <c r="BI35" s="66" t="n"/>
      <c r="BJ35" s="66" t="n"/>
    </row>
    <row r="36" ht="15.75" customHeight="1" s="349">
      <c r="A36" s="226" t="n"/>
      <c r="B36" s="241" t="inlineStr">
        <is>
          <t>Interest payments</t>
        </is>
      </c>
      <c r="C36" s="233" t="n"/>
      <c r="D36" s="233" t="inlineStr">
        <is>
          <t>€</t>
        </is>
      </c>
      <c r="E36" s="241" t="n"/>
      <c r="F36" s="241" t="n"/>
      <c r="G36" s="241" t="n"/>
      <c r="H36" s="241" t="n"/>
      <c r="I36" s="241" t="n"/>
      <c r="J36" s="241" t="n"/>
      <c r="K36" s="241" t="n"/>
      <c r="L36" s="241" t="n"/>
      <c r="M36" s="241" t="n">
        <v>0</v>
      </c>
      <c r="N36" s="241" t="n">
        <v>0</v>
      </c>
      <c r="O36" s="241" t="n">
        <v>0</v>
      </c>
      <c r="P36" s="241" t="n">
        <v>0</v>
      </c>
      <c r="Q36" s="241">
        <f>P82*Assumptions!$C$11/12</f>
        <v/>
      </c>
      <c r="R36" s="241">
        <f>Q82*Assumptions!$C$11/12</f>
        <v/>
      </c>
      <c r="S36" s="241">
        <f>R82*Assumptions!$C$11/12</f>
        <v/>
      </c>
      <c r="T36" s="241">
        <f>S82*Assumptions!$C$11/12</f>
        <v/>
      </c>
      <c r="U36" s="241">
        <f>T82*Assumptions!$C$11/12</f>
        <v/>
      </c>
      <c r="V36" s="241">
        <f>U82*Assumptions!$C$11/12</f>
        <v/>
      </c>
      <c r="W36" s="241">
        <f>V82*Assumptions!$C$11/12</f>
        <v/>
      </c>
      <c r="X36" s="241">
        <f>W82*Assumptions!$C$11/12</f>
        <v/>
      </c>
      <c r="Y36" s="241">
        <f>X82*Assumptions!$C$11/12</f>
        <v/>
      </c>
      <c r="Z36" s="241">
        <f>Y82*Assumptions!$C$11/12</f>
        <v/>
      </c>
      <c r="AA36" s="241">
        <f>Z82*Assumptions!$C$11/12</f>
        <v/>
      </c>
      <c r="AB36" s="241">
        <f>AA82*Assumptions!$C$11/12</f>
        <v/>
      </c>
      <c r="AC36" s="241">
        <f>AB82*Assumptions!$C$11/12</f>
        <v/>
      </c>
      <c r="AD36" s="241">
        <f>AC82*Assumptions!$C$11/12</f>
        <v/>
      </c>
      <c r="AE36" s="241">
        <f>AD82*Assumptions!$C$11/12</f>
        <v/>
      </c>
      <c r="AF36" s="241">
        <f>AE82*Assumptions!$C$11/12</f>
        <v/>
      </c>
      <c r="AG36" s="241">
        <f>AF82*Assumptions!$C$11/12</f>
        <v/>
      </c>
      <c r="AH36" s="241">
        <f>AG82*Assumptions!$C$11/12</f>
        <v/>
      </c>
      <c r="AI36" s="241">
        <f>AH82*Assumptions!$C$11/12</f>
        <v/>
      </c>
      <c r="AJ36" s="241">
        <f>AI82*Assumptions!$C$11/12</f>
        <v/>
      </c>
      <c r="AK36" s="241">
        <f>AJ82*Assumptions!$C$11/12</f>
        <v/>
      </c>
      <c r="AL36" s="241">
        <f>AK82*Assumptions!$C$11/12</f>
        <v/>
      </c>
      <c r="AM36" s="241">
        <f>AL82*Assumptions!$C$11/12</f>
        <v/>
      </c>
      <c r="AN36" s="241">
        <f>AM82*Assumptions!$C$11/12</f>
        <v/>
      </c>
      <c r="AO36" s="241">
        <f>AN82*Assumptions!$C$11/12</f>
        <v/>
      </c>
      <c r="AP36" s="241">
        <f>AO82*Assumptions!$C$11/12</f>
        <v/>
      </c>
      <c r="AQ36" s="241">
        <f>AP82*Assumptions!$C$11/12</f>
        <v/>
      </c>
      <c r="AR36" s="241">
        <f>AQ82*Assumptions!$C$11/12</f>
        <v/>
      </c>
      <c r="AS36" s="241">
        <f>AR82*Assumptions!$C$11/12</f>
        <v/>
      </c>
      <c r="AT36" s="241">
        <f>AS82*Assumptions!$C$11/12</f>
        <v/>
      </c>
      <c r="AU36" s="241">
        <f>AT82*Assumptions!$C$11/12</f>
        <v/>
      </c>
      <c r="AV36" s="241">
        <f>AU82*Assumptions!$C$11/12</f>
        <v/>
      </c>
      <c r="AW36" s="241">
        <f>AV82*Assumptions!$C$11/12</f>
        <v/>
      </c>
      <c r="AX36" s="241">
        <f>AW82*Assumptions!$C$11/12</f>
        <v/>
      </c>
      <c r="AY36" s="241">
        <f>AX82*Assumptions!$C$11/12</f>
        <v/>
      </c>
      <c r="AZ36" s="241">
        <f>AY82*Assumptions!$C$11/12</f>
        <v/>
      </c>
      <c r="BA36" s="226" t="n"/>
      <c r="BB36" s="233">
        <f>sum(E36:P36)</f>
        <v/>
      </c>
      <c r="BC36" s="233">
        <f>sum(Q36:AB36)</f>
        <v/>
      </c>
      <c r="BD36" s="233">
        <f>sum(AC36:AN36)</f>
        <v/>
      </c>
      <c r="BE36" s="233">
        <f>sum(AO36:AZ36)</f>
        <v/>
      </c>
      <c r="BF36" s="233">
        <f>BE82*Assumptions!$C$11/12</f>
        <v/>
      </c>
      <c r="BG36" s="226" t="n"/>
      <c r="BH36" s="40" t="inlineStr">
        <is>
          <t>interest on last month's loan balance, yearly rate divided by 12</t>
        </is>
      </c>
      <c r="BI36" s="226" t="n"/>
      <c r="BJ36" s="226" t="n"/>
    </row>
    <row r="37" ht="12.75" customHeight="1" s="349">
      <c r="A37" s="125" t="n"/>
      <c r="B37" s="126" t="inlineStr">
        <is>
          <t>EBT</t>
        </is>
      </c>
      <c r="C37" s="127" t="n"/>
      <c r="D37" s="126" t="inlineStr">
        <is>
          <t>€</t>
        </is>
      </c>
      <c r="E37" s="134" t="n"/>
      <c r="F37" s="134" t="n"/>
      <c r="G37" s="134" t="n"/>
      <c r="H37" s="134" t="n"/>
      <c r="I37" s="134" t="n"/>
      <c r="J37" s="134" t="n"/>
      <c r="K37" s="134" t="n"/>
      <c r="L37" s="134" t="n"/>
      <c r="M37" s="134">
        <f>M32-sum(M35:M36)</f>
        <v/>
      </c>
      <c r="N37" s="134">
        <f>N32-sum(N35:N36)</f>
        <v/>
      </c>
      <c r="O37" s="134">
        <f>O32-sum(O35:O36)</f>
        <v/>
      </c>
      <c r="P37" s="134">
        <f>P32-sum(P35:P36)</f>
        <v/>
      </c>
      <c r="Q37" s="134">
        <f>Q32-sum(Q35:Q36)</f>
        <v/>
      </c>
      <c r="R37" s="134">
        <f>R32-sum(R35:R36)</f>
        <v/>
      </c>
      <c r="S37" s="134">
        <f>S32-sum(S35:S36)</f>
        <v/>
      </c>
      <c r="T37" s="134">
        <f>T32-sum(T35:T36)</f>
        <v/>
      </c>
      <c r="U37" s="134">
        <f>U32-sum(U35:U36)</f>
        <v/>
      </c>
      <c r="V37" s="134">
        <f>V32-sum(V35:V36)</f>
        <v/>
      </c>
      <c r="W37" s="134">
        <f>W32-sum(W35:W36)</f>
        <v/>
      </c>
      <c r="X37" s="134">
        <f>X32-sum(X35:X36)</f>
        <v/>
      </c>
      <c r="Y37" s="134">
        <f>Y32-sum(Y35:Y36)</f>
        <v/>
      </c>
      <c r="Z37" s="134">
        <f>Z32-sum(Z35:Z36)</f>
        <v/>
      </c>
      <c r="AA37" s="134">
        <f>AA32-sum(AA35:AA36)</f>
        <v/>
      </c>
      <c r="AB37" s="134">
        <f>AB32-sum(AB35:AB36)</f>
        <v/>
      </c>
      <c r="AC37" s="134">
        <f>AC32-sum(AC35:AC36)</f>
        <v/>
      </c>
      <c r="AD37" s="134">
        <f>AD32-sum(AD35:AD36)</f>
        <v/>
      </c>
      <c r="AE37" s="134">
        <f>AE32-sum(AE35:AE36)</f>
        <v/>
      </c>
      <c r="AF37" s="134">
        <f>AF32-sum(AF35:AF36)</f>
        <v/>
      </c>
      <c r="AG37" s="134">
        <f>AG32-sum(AG35:AG36)</f>
        <v/>
      </c>
      <c r="AH37" s="134">
        <f>AH32-sum(AH35:AH36)</f>
        <v/>
      </c>
      <c r="AI37" s="134">
        <f>AI32-sum(AI35:AI36)</f>
        <v/>
      </c>
      <c r="AJ37" s="134">
        <f>AJ32-sum(AJ35:AJ36)</f>
        <v/>
      </c>
      <c r="AK37" s="134">
        <f>AK32-sum(AK35:AK36)</f>
        <v/>
      </c>
      <c r="AL37" s="134">
        <f>AL32-sum(AL35:AL36)</f>
        <v/>
      </c>
      <c r="AM37" s="134">
        <f>AM32-sum(AM35:AM36)</f>
        <v/>
      </c>
      <c r="AN37" s="134">
        <f>AN32-sum(AN35:AN36)</f>
        <v/>
      </c>
      <c r="AO37" s="134">
        <f>AO32-sum(AO35:AO36)</f>
        <v/>
      </c>
      <c r="AP37" s="134">
        <f>AP32-sum(AP35:AP36)</f>
        <v/>
      </c>
      <c r="AQ37" s="134">
        <f>AQ32-sum(AQ35:AQ36)</f>
        <v/>
      </c>
      <c r="AR37" s="134">
        <f>AR32-sum(AR35:AR36)</f>
        <v/>
      </c>
      <c r="AS37" s="134">
        <f>AS32-sum(AS35:AS36)</f>
        <v/>
      </c>
      <c r="AT37" s="134">
        <f>AT32-sum(AT35:AT36)</f>
        <v/>
      </c>
      <c r="AU37" s="134">
        <f>AU32-sum(AU35:AU36)</f>
        <v/>
      </c>
      <c r="AV37" s="134">
        <f>AV32-sum(AV35:AV36)</f>
        <v/>
      </c>
      <c r="AW37" s="134">
        <f>AW32-sum(AW35:AW36)</f>
        <v/>
      </c>
      <c r="AX37" s="134">
        <f>AX32-sum(AX35:AX36)</f>
        <v/>
      </c>
      <c r="AY37" s="134">
        <f>AY32-sum(AY35:AY36)</f>
        <v/>
      </c>
      <c r="AZ37" s="134">
        <f>AZ32-sum(AZ35:AZ36)</f>
        <v/>
      </c>
      <c r="BA37" s="133" t="n"/>
      <c r="BB37" s="134">
        <f>sum(E37:P37)</f>
        <v/>
      </c>
      <c r="BC37" s="134">
        <f>sum(Q37:AB37)</f>
        <v/>
      </c>
      <c r="BD37" s="134">
        <f>sum(AC37:AN37)</f>
        <v/>
      </c>
      <c r="BE37" s="134">
        <f>sum(AO37:AZ37)</f>
        <v/>
      </c>
      <c r="BF37" s="134">
        <f>BF32-sum(BF35:BF36)</f>
        <v/>
      </c>
      <c r="BG37" s="137" t="n"/>
      <c r="BH37" s="40" t="inlineStr">
        <is>
          <t>EBITDA minus depreciation and interest</t>
        </is>
      </c>
      <c r="BI37" s="137" t="n"/>
      <c r="BJ37" s="137" t="n"/>
    </row>
    <row r="38" ht="15.75" customHeight="1" s="349">
      <c r="A38" s="226" t="n"/>
      <c r="B38" s="241" t="n"/>
      <c r="C38" s="233" t="n"/>
      <c r="D38" s="138" t="n"/>
      <c r="E38" s="241" t="n"/>
      <c r="F38" s="241" t="n"/>
      <c r="G38" s="241" t="n"/>
      <c r="H38" s="241" t="n"/>
      <c r="I38" s="241" t="n"/>
      <c r="J38" s="241" t="n"/>
      <c r="K38" s="241" t="n"/>
      <c r="L38" s="241" t="n"/>
      <c r="M38" s="241" t="n"/>
      <c r="N38" s="241" t="n"/>
      <c r="O38" s="241" t="n"/>
      <c r="P38" s="241" t="n"/>
      <c r="Q38" s="241" t="n"/>
      <c r="R38" s="241" t="n"/>
      <c r="S38" s="241" t="n"/>
      <c r="T38" s="241" t="n"/>
      <c r="U38" s="241" t="n"/>
      <c r="V38" s="241" t="n"/>
      <c r="W38" s="241" t="n"/>
      <c r="X38" s="241" t="n"/>
      <c r="Y38" s="241" t="n"/>
      <c r="Z38" s="241" t="n"/>
      <c r="AA38" s="241" t="n"/>
      <c r="AB38" s="241" t="n"/>
      <c r="AC38" s="241" t="n"/>
      <c r="AD38" s="241" t="n"/>
      <c r="AE38" s="241" t="n"/>
      <c r="AF38" s="241" t="n"/>
      <c r="AG38" s="241" t="n"/>
      <c r="AH38" s="241" t="n"/>
      <c r="AI38" s="241" t="n"/>
      <c r="AJ38" s="241" t="n"/>
      <c r="AK38" s="241" t="n"/>
      <c r="AL38" s="241" t="n"/>
      <c r="AM38" s="241" t="n"/>
      <c r="AN38" s="241" t="n"/>
      <c r="AO38" s="241" t="n"/>
      <c r="AP38" s="241" t="n"/>
      <c r="AQ38" s="241" t="n"/>
      <c r="AR38" s="241" t="n"/>
      <c r="AS38" s="241" t="n"/>
      <c r="AT38" s="241" t="n"/>
      <c r="AU38" s="241" t="n"/>
      <c r="AV38" s="241" t="n"/>
      <c r="AW38" s="241" t="n"/>
      <c r="AX38" s="241" t="n"/>
      <c r="AY38" s="241" t="n"/>
      <c r="AZ38" s="241" t="n"/>
      <c r="BA38" s="226" t="n"/>
      <c r="BB38" s="216" t="n"/>
      <c r="BC38" s="216" t="n"/>
      <c r="BD38" s="216" t="n"/>
      <c r="BE38" s="216">
        <f>BE37/BE11</f>
        <v/>
      </c>
      <c r="BF38" s="216">
        <f>BF37/BF11</f>
        <v/>
      </c>
      <c r="BG38" s="66" t="n"/>
      <c r="BH38" s="40" t="inlineStr">
        <is>
          <t>profit before tax as a % of revenue</t>
        </is>
      </c>
      <c r="BI38" s="66" t="n"/>
      <c r="BJ38" s="66" t="n"/>
    </row>
    <row r="39" ht="15.75" customHeight="1" s="349">
      <c r="A39" s="226" t="n"/>
      <c r="B39" s="241" t="n"/>
      <c r="C39" s="233" t="n"/>
      <c r="D39" s="138" t="n"/>
      <c r="E39" s="241" t="n"/>
      <c r="F39" s="241" t="n"/>
      <c r="G39" s="241" t="n"/>
      <c r="H39" s="241" t="n"/>
      <c r="I39" s="241" t="n"/>
      <c r="J39" s="241" t="n"/>
      <c r="K39" s="241" t="n"/>
      <c r="L39" s="241" t="n"/>
      <c r="M39" s="241" t="n"/>
      <c r="N39" s="241" t="n"/>
      <c r="O39" s="241" t="n"/>
      <c r="P39" s="241" t="n"/>
      <c r="Q39" s="241" t="n"/>
      <c r="R39" s="241" t="n"/>
      <c r="S39" s="241" t="n"/>
      <c r="T39" s="241" t="n"/>
      <c r="U39" s="241" t="n"/>
      <c r="V39" s="241" t="n"/>
      <c r="W39" s="241" t="n"/>
      <c r="X39" s="241" t="n"/>
      <c r="Y39" s="241" t="n"/>
      <c r="Z39" s="241" t="n"/>
      <c r="AA39" s="241" t="n"/>
      <c r="AB39" s="241" t="n"/>
      <c r="AC39" s="241" t="n"/>
      <c r="AD39" s="241" t="n"/>
      <c r="AE39" s="241" t="n"/>
      <c r="AF39" s="241" t="n"/>
      <c r="AG39" s="241" t="n"/>
      <c r="AH39" s="241" t="n"/>
      <c r="AI39" s="241" t="n"/>
      <c r="AJ39" s="241" t="n"/>
      <c r="AK39" s="241" t="n"/>
      <c r="AL39" s="241" t="n"/>
      <c r="AM39" s="241" t="n"/>
      <c r="AN39" s="241" t="n"/>
      <c r="AO39" s="241" t="n"/>
      <c r="AP39" s="241" t="n"/>
      <c r="AQ39" s="241" t="n"/>
      <c r="AR39" s="241" t="n"/>
      <c r="AS39" s="241" t="n"/>
      <c r="AT39" s="241" t="n"/>
      <c r="AU39" s="241" t="n"/>
      <c r="AV39" s="241" t="n"/>
      <c r="AW39" s="241" t="n"/>
      <c r="AX39" s="241" t="n"/>
      <c r="AY39" s="241" t="n"/>
      <c r="AZ39" s="241" t="n"/>
      <c r="BA39" s="226" t="n"/>
      <c r="BB39" s="216" t="n"/>
      <c r="BC39" s="216" t="n"/>
      <c r="BD39" s="216" t="n"/>
      <c r="BE39" s="216" t="n"/>
      <c r="BF39" s="216" t="n"/>
      <c r="BG39" s="66" t="n"/>
      <c r="BH39" s="40" t="n"/>
      <c r="BI39" s="66" t="n"/>
      <c r="BJ39" s="66" t="n"/>
    </row>
    <row r="40" ht="15.75" customHeight="1" s="349">
      <c r="A40" s="226" t="n"/>
      <c r="B40" s="241" t="inlineStr">
        <is>
          <t>Income tax</t>
        </is>
      </c>
      <c r="C40" s="233" t="n"/>
      <c r="D40" s="233" t="inlineStr">
        <is>
          <t>€</t>
        </is>
      </c>
      <c r="E40" s="241" t="n"/>
      <c r="F40" s="241" t="n"/>
      <c r="G40" s="241" t="n"/>
      <c r="H40" s="241" t="n"/>
      <c r="I40" s="241" t="n"/>
      <c r="J40" s="241" t="n"/>
      <c r="K40" s="241" t="n"/>
      <c r="L40" s="241" t="n"/>
      <c r="M40" s="241" t="n">
        <v>0</v>
      </c>
      <c r="N40" s="241" t="n">
        <v>0</v>
      </c>
      <c r="O40" s="241" t="n">
        <v>0</v>
      </c>
      <c r="P40" s="241" t="n">
        <v>0</v>
      </c>
      <c r="Q40" s="241" t="n">
        <v>0</v>
      </c>
      <c r="R40" s="241" t="n">
        <v>0</v>
      </c>
      <c r="S40" s="241" t="n">
        <v>0</v>
      </c>
      <c r="T40" s="241" t="n">
        <v>0</v>
      </c>
      <c r="U40" s="241" t="n">
        <v>0</v>
      </c>
      <c r="V40" s="241" t="n">
        <v>0</v>
      </c>
      <c r="W40" s="241" t="n">
        <v>0</v>
      </c>
      <c r="X40" s="241" t="n">
        <v>0</v>
      </c>
      <c r="Y40" s="241" t="n">
        <v>0</v>
      </c>
      <c r="Z40" s="241" t="n">
        <v>0</v>
      </c>
      <c r="AA40" s="241" t="n">
        <v>0</v>
      </c>
      <c r="AB40" s="241" t="n">
        <v>0</v>
      </c>
      <c r="AC40" s="241" t="n">
        <v>0</v>
      </c>
      <c r="AD40" s="241" t="n">
        <v>0</v>
      </c>
      <c r="AE40" s="241" t="n">
        <v>0</v>
      </c>
      <c r="AF40" s="241" t="n">
        <v>0</v>
      </c>
      <c r="AG40" s="241" t="n">
        <v>0</v>
      </c>
      <c r="AH40" s="241" t="n">
        <v>0</v>
      </c>
      <c r="AI40" s="241" t="n">
        <v>0</v>
      </c>
      <c r="AJ40" s="241" t="n">
        <v>0</v>
      </c>
      <c r="AK40" s="241" t="n">
        <v>0</v>
      </c>
      <c r="AL40" s="241" t="n">
        <v>0</v>
      </c>
      <c r="AM40" s="241" t="n">
        <v>0</v>
      </c>
      <c r="AN40" s="241" t="n">
        <v>0</v>
      </c>
      <c r="AO40" s="241" t="n">
        <v>0</v>
      </c>
      <c r="AP40" s="241" t="n">
        <v>0</v>
      </c>
      <c r="AQ40" s="241" t="n">
        <v>0</v>
      </c>
      <c r="AR40" s="241" t="n">
        <v>0</v>
      </c>
      <c r="AS40" s="241" t="n">
        <v>0</v>
      </c>
      <c r="AT40" s="241" t="n">
        <v>0</v>
      </c>
      <c r="AU40" s="241" t="n">
        <v>0</v>
      </c>
      <c r="AV40" s="241" t="n">
        <v>0</v>
      </c>
      <c r="AW40" s="241" t="n">
        <v>0</v>
      </c>
      <c r="AX40" s="241" t="n">
        <v>0</v>
      </c>
      <c r="AY40" s="241" t="n">
        <v>0</v>
      </c>
      <c r="AZ40" s="241" t="n">
        <v>0</v>
      </c>
      <c r="BA40" s="226" t="n"/>
      <c r="BB40" s="241">
        <f>sum(E40:P40)</f>
        <v/>
      </c>
      <c r="BC40" s="241">
        <f>sum(Q40:AB40)</f>
        <v/>
      </c>
      <c r="BD40" s="241">
        <f>sum(AC40:AN40)</f>
        <v/>
      </c>
      <c r="BE40" s="241">
        <f>sum(AO40:AZ40)</f>
        <v/>
      </c>
      <c r="BF40" s="241">
        <f>(BF37-AZ44)*Assumptions!$C$10</f>
        <v/>
      </c>
      <c r="BG40" s="66" t="n"/>
      <c r="BH40" s="40" t="inlineStr">
        <is>
          <t>tax on profit, but only once the old losses below are used up</t>
        </is>
      </c>
      <c r="BI40" s="66" t="n"/>
      <c r="BJ40" s="66" t="n"/>
    </row>
    <row r="41" ht="12.75" customHeight="1" s="349">
      <c r="A41" s="125" t="n"/>
      <c r="B41" s="126" t="inlineStr">
        <is>
          <t>NET INCOME</t>
        </is>
      </c>
      <c r="C41" s="127" t="n"/>
      <c r="D41" s="126" t="inlineStr">
        <is>
          <t>€</t>
        </is>
      </c>
      <c r="E41" s="134" t="n"/>
      <c r="F41" s="134" t="n"/>
      <c r="G41" s="134" t="n"/>
      <c r="H41" s="134" t="n"/>
      <c r="I41" s="134" t="n"/>
      <c r="J41" s="134" t="n"/>
      <c r="K41" s="134" t="n"/>
      <c r="L41" s="134" t="n"/>
      <c r="M41" s="134">
        <f>M37-M40</f>
        <v/>
      </c>
      <c r="N41" s="134">
        <f>N37-N40</f>
        <v/>
      </c>
      <c r="O41" s="134">
        <f>O37-O40</f>
        <v/>
      </c>
      <c r="P41" s="134">
        <f>P37-P40</f>
        <v/>
      </c>
      <c r="Q41" s="134">
        <f>Q37-Q40</f>
        <v/>
      </c>
      <c r="R41" s="134">
        <f>R37-R40</f>
        <v/>
      </c>
      <c r="S41" s="134">
        <f>S37-S40</f>
        <v/>
      </c>
      <c r="T41" s="134">
        <f>T37-T40</f>
        <v/>
      </c>
      <c r="U41" s="134">
        <f>U37-U40</f>
        <v/>
      </c>
      <c r="V41" s="134">
        <f>V37-V40</f>
        <v/>
      </c>
      <c r="W41" s="134">
        <f>W37-W40</f>
        <v/>
      </c>
      <c r="X41" s="134">
        <f>X37-X40</f>
        <v/>
      </c>
      <c r="Y41" s="134">
        <f>Y37-Y40</f>
        <v/>
      </c>
      <c r="Z41" s="134">
        <f>Z37-Z40</f>
        <v/>
      </c>
      <c r="AA41" s="134">
        <f>AA37-AA40</f>
        <v/>
      </c>
      <c r="AB41" s="134">
        <f>AB37-AB40</f>
        <v/>
      </c>
      <c r="AC41" s="134">
        <f>AC37-AC40</f>
        <v/>
      </c>
      <c r="AD41" s="134">
        <f>AD37-AD40</f>
        <v/>
      </c>
      <c r="AE41" s="134">
        <f>AE37-AE40</f>
        <v/>
      </c>
      <c r="AF41" s="134">
        <f>AF37-AF40</f>
        <v/>
      </c>
      <c r="AG41" s="134">
        <f>AG37-AG40</f>
        <v/>
      </c>
      <c r="AH41" s="134">
        <f>AH37-AH40</f>
        <v/>
      </c>
      <c r="AI41" s="134">
        <f>AI37-AI40</f>
        <v/>
      </c>
      <c r="AJ41" s="134">
        <f>AJ37-AJ40</f>
        <v/>
      </c>
      <c r="AK41" s="134">
        <f>AK37-AK40</f>
        <v/>
      </c>
      <c r="AL41" s="134">
        <f>AL37-AL40</f>
        <v/>
      </c>
      <c r="AM41" s="134">
        <f>AM37-AM40</f>
        <v/>
      </c>
      <c r="AN41" s="134">
        <f>AN37-AN40</f>
        <v/>
      </c>
      <c r="AO41" s="134">
        <f>AO37-AO40</f>
        <v/>
      </c>
      <c r="AP41" s="134">
        <f>AP37-AP40</f>
        <v/>
      </c>
      <c r="AQ41" s="134">
        <f>AQ37-AQ40</f>
        <v/>
      </c>
      <c r="AR41" s="134">
        <f>AR37-AR40</f>
        <v/>
      </c>
      <c r="AS41" s="134">
        <f>AS37-AS40</f>
        <v/>
      </c>
      <c r="AT41" s="134">
        <f>AT37-AT40</f>
        <v/>
      </c>
      <c r="AU41" s="134">
        <f>AU37-AU40</f>
        <v/>
      </c>
      <c r="AV41" s="134">
        <f>AV37-AV40</f>
        <v/>
      </c>
      <c r="AW41" s="134">
        <f>AW37-AW40</f>
        <v/>
      </c>
      <c r="AX41" s="134">
        <f>AX37-AX40</f>
        <v/>
      </c>
      <c r="AY41" s="134">
        <f>AY37-AY40</f>
        <v/>
      </c>
      <c r="AZ41" s="134">
        <f>AZ37-AZ40</f>
        <v/>
      </c>
      <c r="BA41" s="133" t="n"/>
      <c r="BB41" s="134">
        <f>sum(E41:P41)</f>
        <v/>
      </c>
      <c r="BC41" s="134">
        <f>sum(Q41:AB41)</f>
        <v/>
      </c>
      <c r="BD41" s="134">
        <f>sum(AC41:AN41)</f>
        <v/>
      </c>
      <c r="BE41" s="134">
        <f>sum(AO41:AZ41)</f>
        <v/>
      </c>
      <c r="BF41" s="134">
        <f>BF37-BF40</f>
        <v/>
      </c>
      <c r="BG41" s="137" t="n"/>
      <c r="BH41" s="40" t="inlineStr">
        <is>
          <t>profit after tax</t>
        </is>
      </c>
      <c r="BI41" s="137" t="n"/>
      <c r="BJ41" s="137" t="n"/>
    </row>
    <row r="42" ht="15.75" customHeight="1" s="349">
      <c r="A42" s="226" t="n"/>
      <c r="B42" s="223" t="inlineStr">
        <is>
          <t>Profit margin %</t>
        </is>
      </c>
      <c r="C42" s="233" t="n"/>
      <c r="D42" s="233" t="n"/>
      <c r="E42" s="233" t="n"/>
      <c r="F42" s="233" t="n"/>
      <c r="G42" s="233" t="n"/>
      <c r="H42" s="233" t="n"/>
      <c r="I42" s="233" t="n"/>
      <c r="J42" s="233" t="n"/>
      <c r="K42" s="233" t="n"/>
      <c r="L42" s="233" t="n"/>
      <c r="M42" s="233" t="n"/>
      <c r="N42" s="233" t="n"/>
      <c r="O42" s="233" t="n"/>
      <c r="P42" s="233" t="n"/>
      <c r="Q42" s="233" t="n"/>
      <c r="R42" s="233" t="n"/>
      <c r="S42" s="233" t="n"/>
      <c r="T42" s="233" t="n"/>
      <c r="U42" s="233" t="n"/>
      <c r="V42" s="233" t="n"/>
      <c r="W42" s="233" t="n"/>
      <c r="X42" s="233" t="n"/>
      <c r="Y42" s="233" t="n"/>
      <c r="Z42" s="233" t="n"/>
      <c r="AA42" s="233" t="n"/>
      <c r="AB42" s="233" t="n"/>
      <c r="AC42" s="233" t="n"/>
      <c r="AD42" s="233" t="n"/>
      <c r="AE42" s="233" t="n"/>
      <c r="AF42" s="233" t="n"/>
      <c r="AG42" s="233" t="n"/>
      <c r="AH42" s="233" t="n"/>
      <c r="AI42" s="233" t="n"/>
      <c r="AJ42" s="233" t="n"/>
      <c r="AK42" s="233" t="n"/>
      <c r="AL42" s="233" t="n"/>
      <c r="AM42" s="233" t="n"/>
      <c r="AN42" s="233" t="n"/>
      <c r="AO42" s="233" t="n"/>
      <c r="AP42" s="233" t="n"/>
      <c r="AQ42" s="233" t="n"/>
      <c r="AR42" s="233" t="n"/>
      <c r="AS42" s="233" t="n"/>
      <c r="AT42" s="233" t="n"/>
      <c r="AU42" s="233" t="n"/>
      <c r="AV42" s="233" t="n"/>
      <c r="AW42" s="233" t="n"/>
      <c r="AX42" s="233" t="n"/>
      <c r="AY42" s="233" t="n"/>
      <c r="AZ42" s="233" t="n"/>
      <c r="BA42" s="226" t="n"/>
      <c r="BB42" s="233" t="n"/>
      <c r="BC42" s="233" t="n"/>
      <c r="BD42" s="217" t="n"/>
      <c r="BE42" s="216">
        <f>BE41/BE11</f>
        <v/>
      </c>
      <c r="BF42" s="216">
        <f>BF41/BF11</f>
        <v/>
      </c>
      <c r="BG42" s="226" t="n"/>
      <c r="BH42" s="40" t="inlineStr">
        <is>
          <t>net profit as a % of revenue</t>
        </is>
      </c>
      <c r="BI42" s="226" t="n"/>
      <c r="BJ42" s="226" t="n"/>
    </row>
    <row r="43" ht="15.75" customHeight="1" s="349">
      <c r="A43" s="226" t="n"/>
      <c r="B43" s="233" t="n"/>
      <c r="C43" s="233" t="n"/>
      <c r="D43" s="233" t="n"/>
      <c r="E43" s="233" t="n"/>
      <c r="F43" s="233" t="n"/>
      <c r="G43" s="233" t="n"/>
      <c r="H43" s="233" t="n"/>
      <c r="I43" s="233" t="n"/>
      <c r="J43" s="233" t="n"/>
      <c r="K43" s="233" t="n"/>
      <c r="L43" s="233" t="n"/>
      <c r="M43" s="233" t="n"/>
      <c r="N43" s="233" t="n"/>
      <c r="O43" s="233" t="n"/>
      <c r="P43" s="233" t="n"/>
      <c r="Q43" s="233" t="n"/>
      <c r="R43" s="233" t="n"/>
      <c r="S43" s="233" t="n"/>
      <c r="T43" s="233" t="n"/>
      <c r="U43" s="233" t="n"/>
      <c r="V43" s="233" t="n"/>
      <c r="W43" s="233" t="n"/>
      <c r="X43" s="233" t="n"/>
      <c r="Y43" s="233" t="n"/>
      <c r="Z43" s="233" t="n"/>
      <c r="AA43" s="233" t="n"/>
      <c r="AB43" s="233" t="n"/>
      <c r="AC43" s="233" t="n"/>
      <c r="AD43" s="233" t="n"/>
      <c r="AE43" s="233" t="n"/>
      <c r="AF43" s="233" t="n"/>
      <c r="AG43" s="233" t="n"/>
      <c r="AH43" s="233" t="n"/>
      <c r="AI43" s="233" t="n"/>
      <c r="AJ43" s="233" t="n"/>
      <c r="AK43" s="233" t="n"/>
      <c r="AL43" s="233" t="n"/>
      <c r="AM43" s="233" t="n"/>
      <c r="AN43" s="233" t="n"/>
      <c r="AO43" s="233" t="n"/>
      <c r="AP43" s="233" t="n"/>
      <c r="AQ43" s="233" t="n"/>
      <c r="AR43" s="233" t="n"/>
      <c r="AS43" s="233" t="n"/>
      <c r="AT43" s="233" t="n"/>
      <c r="AU43" s="233" t="n"/>
      <c r="AV43" s="233" t="n"/>
      <c r="AW43" s="233" t="n"/>
      <c r="AX43" s="233" t="n"/>
      <c r="AY43" s="233" t="n"/>
      <c r="AZ43" s="233" t="n"/>
      <c r="BA43" s="226" t="n"/>
      <c r="BB43" s="233" t="n"/>
      <c r="BC43" s="233" t="n"/>
      <c r="BD43" s="233" t="n"/>
      <c r="BE43" s="233" t="n"/>
      <c r="BF43" s="233" t="n"/>
      <c r="BG43" s="226" t="n"/>
      <c r="BH43" s="40" t="n"/>
      <c r="BI43" s="226" t="n"/>
      <c r="BJ43" s="226" t="n"/>
    </row>
    <row r="44" ht="15.75" customHeight="1" s="349">
      <c r="A44" s="249" t="n"/>
      <c r="B44" s="249" t="inlineStr">
        <is>
          <t xml:space="preserve">Tax carry over to be applied </t>
        </is>
      </c>
      <c r="C44" s="249" t="n"/>
      <c r="D44" s="249" t="n"/>
      <c r="E44" s="249" t="n"/>
      <c r="F44" s="249" t="n"/>
      <c r="G44" s="249" t="n"/>
      <c r="H44" s="249" t="n"/>
      <c r="I44" s="249" t="n"/>
      <c r="J44" s="249" t="n"/>
      <c r="K44" s="249" t="n"/>
      <c r="L44" s="249" t="n"/>
      <c r="M44" s="250" t="n">
        <v>108239</v>
      </c>
      <c r="N44" s="250">
        <f>M44+(-N41*Assumptions!$C$10)</f>
        <v/>
      </c>
      <c r="O44" s="250">
        <f>N44+(-O41*Assumptions!$C$10)</f>
        <v/>
      </c>
      <c r="P44" s="250">
        <f>O44+(-P41*Assumptions!$C$10)</f>
        <v/>
      </c>
      <c r="Q44" s="250">
        <f>P44+(-Q41*Assumptions!$C$10)</f>
        <v/>
      </c>
      <c r="R44" s="250">
        <f>Q44+(-R41*Assumptions!$C$10)</f>
        <v/>
      </c>
      <c r="S44" s="250">
        <f>R44+(-S41*Assumptions!$C$10)</f>
        <v/>
      </c>
      <c r="T44" s="250">
        <f>S44+(-T41*Assumptions!$C$10)</f>
        <v/>
      </c>
      <c r="U44" s="250">
        <f>T44+(-U41*Assumptions!$C$10)</f>
        <v/>
      </c>
      <c r="V44" s="250">
        <f>U44+(-V41*Assumptions!$C$10)</f>
        <v/>
      </c>
      <c r="W44" s="250">
        <f>V44+(-W41*Assumptions!$C$10)</f>
        <v/>
      </c>
      <c r="X44" s="250">
        <f>W44+(-X41*Assumptions!$C$10)</f>
        <v/>
      </c>
      <c r="Y44" s="250">
        <f>X44+(-Y41*Assumptions!$C$10)</f>
        <v/>
      </c>
      <c r="Z44" s="250">
        <f>Y44+(-Z41*Assumptions!$C$10)</f>
        <v/>
      </c>
      <c r="AA44" s="250">
        <f>Z44+(-AA41*Assumptions!$C$10)</f>
        <v/>
      </c>
      <c r="AB44" s="250">
        <f>AA44+(-AB41*Assumptions!$C$10)</f>
        <v/>
      </c>
      <c r="AC44" s="250">
        <f>AB44+(-AC41*Assumptions!$C$10)</f>
        <v/>
      </c>
      <c r="AD44" s="250">
        <f>AC44+(-AD41*Assumptions!$C$10)</f>
        <v/>
      </c>
      <c r="AE44" s="250">
        <f>AD44+(-AE41*Assumptions!$C$10)</f>
        <v/>
      </c>
      <c r="AF44" s="250">
        <f>AE44+(-AF41*Assumptions!$C$10)</f>
        <v/>
      </c>
      <c r="AG44" s="250">
        <f>AF44+(-AG41*Assumptions!$C$10)</f>
        <v/>
      </c>
      <c r="AH44" s="250">
        <f>AG44+(-AH41*Assumptions!$C$10)</f>
        <v/>
      </c>
      <c r="AI44" s="250">
        <f>AH44+(-AI41*Assumptions!$C$10)</f>
        <v/>
      </c>
      <c r="AJ44" s="250">
        <f>AI44+(-AJ41*Assumptions!$C$10)</f>
        <v/>
      </c>
      <c r="AK44" s="250">
        <f>AJ44+(-AK41*Assumptions!$C$10)</f>
        <v/>
      </c>
      <c r="AL44" s="250">
        <f>AK44+(-AL41*Assumptions!$C$10)</f>
        <v/>
      </c>
      <c r="AM44" s="250">
        <f>AL44+(-AM41*Assumptions!$C$10)</f>
        <v/>
      </c>
      <c r="AN44" s="250">
        <f>AM44+(-AN41*Assumptions!$C$10)</f>
        <v/>
      </c>
      <c r="AO44" s="250">
        <f>AN44+(-AO41*Assumptions!$C$10)</f>
        <v/>
      </c>
      <c r="AP44" s="250">
        <f>AO44+(-AP41*Assumptions!$C$10)</f>
        <v/>
      </c>
      <c r="AQ44" s="250">
        <f>AP44+(-AQ41*Assumptions!$C$10)</f>
        <v/>
      </c>
      <c r="AR44" s="250">
        <f>AQ44+(-AR41*Assumptions!$C$10)</f>
        <v/>
      </c>
      <c r="AS44" s="250">
        <f>AR44+(-AS41*Assumptions!$C$10)</f>
        <v/>
      </c>
      <c r="AT44" s="250">
        <f>AS44+(-AT41*Assumptions!$C$10)</f>
        <v/>
      </c>
      <c r="AU44" s="250">
        <f>AT44+(-AU41*Assumptions!$C$10)</f>
        <v/>
      </c>
      <c r="AV44" s="250">
        <f>AU44+(-AV41*Assumptions!$C$10)</f>
        <v/>
      </c>
      <c r="AW44" s="250">
        <f>AV44+(-AW41*Assumptions!$C$10)</f>
        <v/>
      </c>
      <c r="AX44" s="250">
        <f>AW44+(-AX41*Assumptions!$C$10)</f>
        <v/>
      </c>
      <c r="AY44" s="250">
        <f>AX44+(-AY41*Assumptions!$C$10)</f>
        <v/>
      </c>
      <c r="AZ44" s="250">
        <f>AY44+(-AZ41*Assumptions!$C$10)</f>
        <v/>
      </c>
      <c r="BA44" s="249" t="n"/>
      <c r="BB44" s="250" t="n"/>
      <c r="BC44" s="250" t="n"/>
      <c r="BD44" s="250" t="n"/>
      <c r="BE44" s="250" t="n"/>
      <c r="BF44" s="250" t="n"/>
      <c r="BG44" s="249" t="n"/>
      <c r="BH44" s="83" t="inlineStr">
        <is>
          <t>running pot of unused tax losses: grows in loss months, gets eaten when profitable</t>
        </is>
      </c>
      <c r="BI44" s="249" t="n"/>
      <c r="BJ44" s="249" t="n"/>
    </row>
    <row r="45" ht="15.75" customHeight="1" s="349">
      <c r="A45" s="226" t="n"/>
      <c r="B45" s="233" t="n"/>
      <c r="C45" s="233" t="n"/>
      <c r="D45" s="233" t="n"/>
      <c r="E45" s="233" t="n"/>
      <c r="F45" s="233" t="n"/>
      <c r="G45" s="233" t="n"/>
      <c r="H45" s="233" t="n"/>
      <c r="I45" s="233" t="n"/>
      <c r="J45" s="233" t="n"/>
      <c r="K45" s="233" t="n"/>
      <c r="L45" s="233" t="n"/>
      <c r="M45" s="233" t="n"/>
      <c r="N45" s="233" t="n"/>
      <c r="O45" s="233" t="n"/>
      <c r="P45" s="233" t="n"/>
      <c r="Q45" s="233" t="n"/>
      <c r="R45" s="233" t="n"/>
      <c r="S45" s="233" t="n"/>
      <c r="T45" s="233" t="n"/>
      <c r="U45" s="233" t="n"/>
      <c r="V45" s="233" t="n"/>
      <c r="W45" s="233" t="n"/>
      <c r="X45" s="233" t="n"/>
      <c r="Y45" s="233" t="n"/>
      <c r="Z45" s="233" t="n"/>
      <c r="AA45" s="233" t="n"/>
      <c r="AB45" s="233" t="n"/>
      <c r="AC45" s="233" t="n"/>
      <c r="AD45" s="233" t="n"/>
      <c r="AE45" s="233" t="n"/>
      <c r="AF45" s="233" t="n"/>
      <c r="AG45" s="233" t="n"/>
      <c r="AH45" s="233" t="n"/>
      <c r="AI45" s="233" t="n"/>
      <c r="AJ45" s="233" t="n"/>
      <c r="AK45" s="233" t="n"/>
      <c r="AL45" s="233" t="n"/>
      <c r="AM45" s="233" t="n"/>
      <c r="AN45" s="233" t="n"/>
      <c r="AO45" s="233" t="n"/>
      <c r="AP45" s="233" t="n"/>
      <c r="AQ45" s="233" t="n"/>
      <c r="AR45" s="233" t="n"/>
      <c r="AS45" s="233" t="n"/>
      <c r="AT45" s="233" t="n"/>
      <c r="AU45" s="233" t="n"/>
      <c r="AV45" s="233" t="n"/>
      <c r="AW45" s="233" t="n"/>
      <c r="AX45" s="233" t="n"/>
      <c r="AY45" s="233" t="n"/>
      <c r="AZ45" s="233" t="n"/>
      <c r="BA45" s="226" t="n"/>
      <c r="BB45" s="233" t="n"/>
      <c r="BC45" s="233" t="n"/>
      <c r="BD45" s="233" t="n"/>
      <c r="BE45" s="233" t="n"/>
      <c r="BF45" s="233" t="n"/>
      <c r="BG45" s="226" t="n"/>
      <c r="BH45" s="40" t="n"/>
      <c r="BI45" s="226" t="n"/>
      <c r="BJ45" s="226" t="n"/>
    </row>
    <row r="46" ht="15.75" customHeight="1" s="349">
      <c r="A46" s="241" t="n"/>
      <c r="B46" s="203" t="inlineStr">
        <is>
          <t>CASH FLOW STATEMENT</t>
        </is>
      </c>
      <c r="C46" s="241" t="n"/>
      <c r="D46" s="241" t="n"/>
      <c r="E46" s="203" t="n"/>
      <c r="F46" s="203" t="n"/>
      <c r="G46" s="203" t="n"/>
      <c r="H46" s="203" t="n"/>
      <c r="I46" s="203" t="n"/>
      <c r="J46" s="203" t="n"/>
      <c r="K46" s="203" t="n"/>
      <c r="L46" s="203" t="n"/>
      <c r="M46" s="203" t="n"/>
      <c r="N46" s="203" t="n"/>
      <c r="O46" s="203" t="n"/>
      <c r="P46" s="203" t="n"/>
      <c r="Q46" s="203" t="n"/>
      <c r="R46" s="203" t="n"/>
      <c r="S46" s="203" t="n"/>
      <c r="T46" s="203" t="n"/>
      <c r="U46" s="203" t="n"/>
      <c r="V46" s="203" t="n"/>
      <c r="W46" s="203" t="n"/>
      <c r="X46" s="203" t="n"/>
      <c r="Y46" s="203" t="n"/>
      <c r="Z46" s="203" t="n"/>
      <c r="AA46" s="203" t="n"/>
      <c r="AB46" s="203" t="n"/>
      <c r="AC46" s="203" t="n"/>
      <c r="AD46" s="203" t="n"/>
      <c r="AE46" s="203" t="n"/>
      <c r="AF46" s="203" t="n"/>
      <c r="AG46" s="203" t="n"/>
      <c r="AH46" s="203" t="n"/>
      <c r="AI46" s="203" t="n"/>
      <c r="AJ46" s="203" t="n"/>
      <c r="AK46" s="203" t="n"/>
      <c r="AL46" s="203" t="n"/>
      <c r="AM46" s="203" t="n"/>
      <c r="AN46" s="203" t="n"/>
      <c r="AO46" s="203" t="n"/>
      <c r="AP46" s="203" t="n"/>
      <c r="AQ46" s="203" t="n"/>
      <c r="AR46" s="203" t="n"/>
      <c r="AS46" s="203" t="n"/>
      <c r="AT46" s="203" t="n"/>
      <c r="AU46" s="203" t="n"/>
      <c r="AV46" s="203" t="n"/>
      <c r="AW46" s="203" t="n"/>
      <c r="AX46" s="203" t="n"/>
      <c r="AY46" s="203" t="n"/>
      <c r="AZ46" s="203" t="n"/>
      <c r="BA46" s="241" t="n"/>
      <c r="BB46" s="203" t="n"/>
      <c r="BC46" s="203" t="n"/>
      <c r="BD46" s="203" t="n"/>
      <c r="BE46" s="203" t="n"/>
      <c r="BF46" s="203" t="n"/>
      <c r="BG46" s="203" t="n"/>
      <c r="BH46" s="83" t="n"/>
      <c r="BI46" s="203" t="n"/>
      <c r="BJ46" s="203" t="n"/>
    </row>
    <row r="47" ht="15.75" customHeight="1" s="349">
      <c r="A47" s="226" t="n"/>
      <c r="B47" s="241" t="inlineStr">
        <is>
          <t>Net income</t>
        </is>
      </c>
      <c r="C47" s="233" t="n"/>
      <c r="D47" s="233" t="inlineStr">
        <is>
          <t>€</t>
        </is>
      </c>
      <c r="E47" s="251" t="n"/>
      <c r="F47" s="251" t="n"/>
      <c r="G47" s="251" t="n"/>
      <c r="H47" s="251" t="n"/>
      <c r="I47" s="251" t="n"/>
      <c r="J47" s="251" t="n"/>
      <c r="K47" s="251" t="n"/>
      <c r="L47" s="251" t="n"/>
      <c r="M47" s="241">
        <f>M41</f>
        <v/>
      </c>
      <c r="N47" s="241">
        <f>N41</f>
        <v/>
      </c>
      <c r="O47" s="241">
        <f>O41</f>
        <v/>
      </c>
      <c r="P47" s="241">
        <f>P41</f>
        <v/>
      </c>
      <c r="Q47" s="241">
        <f>Q41</f>
        <v/>
      </c>
      <c r="R47" s="241">
        <f>R41</f>
        <v/>
      </c>
      <c r="S47" s="241">
        <f>S41</f>
        <v/>
      </c>
      <c r="T47" s="241">
        <f>T41</f>
        <v/>
      </c>
      <c r="U47" s="241">
        <f>U41</f>
        <v/>
      </c>
      <c r="V47" s="241">
        <f>V41</f>
        <v/>
      </c>
      <c r="W47" s="241">
        <f>W41</f>
        <v/>
      </c>
      <c r="X47" s="241">
        <f>X41</f>
        <v/>
      </c>
      <c r="Y47" s="241">
        <f>Y41</f>
        <v/>
      </c>
      <c r="Z47" s="241">
        <f>Z41</f>
        <v/>
      </c>
      <c r="AA47" s="241">
        <f>AA41</f>
        <v/>
      </c>
      <c r="AB47" s="241">
        <f>AB41</f>
        <v/>
      </c>
      <c r="AC47" s="241">
        <f>AC41</f>
        <v/>
      </c>
      <c r="AD47" s="241">
        <f>AD41</f>
        <v/>
      </c>
      <c r="AE47" s="241">
        <f>AE41</f>
        <v/>
      </c>
      <c r="AF47" s="241">
        <f>AF41</f>
        <v/>
      </c>
      <c r="AG47" s="241">
        <f>AG41</f>
        <v/>
      </c>
      <c r="AH47" s="241">
        <f>AH41</f>
        <v/>
      </c>
      <c r="AI47" s="241">
        <f>AI41</f>
        <v/>
      </c>
      <c r="AJ47" s="241">
        <f>AJ41</f>
        <v/>
      </c>
      <c r="AK47" s="241">
        <f>AK41</f>
        <v/>
      </c>
      <c r="AL47" s="241">
        <f>AL41</f>
        <v/>
      </c>
      <c r="AM47" s="241">
        <f>AM41</f>
        <v/>
      </c>
      <c r="AN47" s="241">
        <f>AN41</f>
        <v/>
      </c>
      <c r="AO47" s="241">
        <f>AO41</f>
        <v/>
      </c>
      <c r="AP47" s="241">
        <f>AP41</f>
        <v/>
      </c>
      <c r="AQ47" s="241">
        <f>AQ41</f>
        <v/>
      </c>
      <c r="AR47" s="241">
        <f>AR41</f>
        <v/>
      </c>
      <c r="AS47" s="241">
        <f>AS41</f>
        <v/>
      </c>
      <c r="AT47" s="241">
        <f>AT41</f>
        <v/>
      </c>
      <c r="AU47" s="241">
        <f>AU41</f>
        <v/>
      </c>
      <c r="AV47" s="241">
        <f>AV41</f>
        <v/>
      </c>
      <c r="AW47" s="241">
        <f>AW41</f>
        <v/>
      </c>
      <c r="AX47" s="241">
        <f>AX41</f>
        <v/>
      </c>
      <c r="AY47" s="241">
        <f>AY41</f>
        <v/>
      </c>
      <c r="AZ47" s="241">
        <f>AZ41</f>
        <v/>
      </c>
      <c r="BA47" s="226" t="n"/>
      <c r="BB47" s="241">
        <f>sum(E47:P47)</f>
        <v/>
      </c>
      <c r="BC47" s="241">
        <f>sum(Q47:AB47)</f>
        <v/>
      </c>
      <c r="BD47" s="241">
        <f>sum(AC47:AN47)</f>
        <v/>
      </c>
      <c r="BE47" s="241">
        <f>sum(AO47:AZ47)</f>
        <v/>
      </c>
      <c r="BF47" s="241">
        <f>BF41</f>
        <v/>
      </c>
      <c r="BG47" s="66" t="n"/>
      <c r="BH47" s="40" t="inlineStr">
        <is>
          <t>cash flow starts from net income</t>
        </is>
      </c>
      <c r="BI47" s="66" t="n"/>
      <c r="BJ47" s="66" t="n"/>
    </row>
    <row r="48" ht="15.75" customHeight="1" s="349">
      <c r="A48" s="226" t="n"/>
      <c r="B48" s="241" t="inlineStr">
        <is>
          <t>Depreciation &amp; amortisation</t>
        </is>
      </c>
      <c r="C48" s="233" t="n"/>
      <c r="D48" s="233" t="inlineStr">
        <is>
          <t>€</t>
        </is>
      </c>
      <c r="E48" s="251">
        <f>E35</f>
        <v/>
      </c>
      <c r="F48" s="251">
        <f>F35</f>
        <v/>
      </c>
      <c r="G48" s="251">
        <f>G35</f>
        <v/>
      </c>
      <c r="H48" s="251">
        <f>H35</f>
        <v/>
      </c>
      <c r="I48" s="251">
        <f>I35</f>
        <v/>
      </c>
      <c r="J48" s="251">
        <f>J35</f>
        <v/>
      </c>
      <c r="K48" s="251">
        <f>K35</f>
        <v/>
      </c>
      <c r="L48" s="251">
        <f>L35</f>
        <v/>
      </c>
      <c r="M48" s="241">
        <f>M35</f>
        <v/>
      </c>
      <c r="N48" s="241">
        <f>N35</f>
        <v/>
      </c>
      <c r="O48" s="241">
        <f>O35</f>
        <v/>
      </c>
      <c r="P48" s="241">
        <f>P35</f>
        <v/>
      </c>
      <c r="Q48" s="241">
        <f>Q35</f>
        <v/>
      </c>
      <c r="R48" s="241">
        <f>R35</f>
        <v/>
      </c>
      <c r="S48" s="241">
        <f>S35</f>
        <v/>
      </c>
      <c r="T48" s="241">
        <f>T35</f>
        <v/>
      </c>
      <c r="U48" s="241">
        <f>U35</f>
        <v/>
      </c>
      <c r="V48" s="241">
        <f>V35</f>
        <v/>
      </c>
      <c r="W48" s="241">
        <f>W35</f>
        <v/>
      </c>
      <c r="X48" s="241">
        <f>X35</f>
        <v/>
      </c>
      <c r="Y48" s="241">
        <f>Y35</f>
        <v/>
      </c>
      <c r="Z48" s="241">
        <f>Z35</f>
        <v/>
      </c>
      <c r="AA48" s="241">
        <f>AA35</f>
        <v/>
      </c>
      <c r="AB48" s="241">
        <f>AB35</f>
        <v/>
      </c>
      <c r="AC48" s="241">
        <f>AC35</f>
        <v/>
      </c>
      <c r="AD48" s="241">
        <f>AD35</f>
        <v/>
      </c>
      <c r="AE48" s="241">
        <f>AE35</f>
        <v/>
      </c>
      <c r="AF48" s="241">
        <f>AF35</f>
        <v/>
      </c>
      <c r="AG48" s="241">
        <f>AG35</f>
        <v/>
      </c>
      <c r="AH48" s="241">
        <f>AH35</f>
        <v/>
      </c>
      <c r="AI48" s="241">
        <f>AI35</f>
        <v/>
      </c>
      <c r="AJ48" s="241">
        <f>AJ35</f>
        <v/>
      </c>
      <c r="AK48" s="241">
        <f>AK35</f>
        <v/>
      </c>
      <c r="AL48" s="241">
        <f>AL35</f>
        <v/>
      </c>
      <c r="AM48" s="241">
        <f>AM35</f>
        <v/>
      </c>
      <c r="AN48" s="241">
        <f>AN35</f>
        <v/>
      </c>
      <c r="AO48" s="241">
        <f>AO35</f>
        <v/>
      </c>
      <c r="AP48" s="241">
        <f>AP35</f>
        <v/>
      </c>
      <c r="AQ48" s="241">
        <f>AQ35</f>
        <v/>
      </c>
      <c r="AR48" s="241">
        <f>AR35</f>
        <v/>
      </c>
      <c r="AS48" s="241">
        <f>AS35</f>
        <v/>
      </c>
      <c r="AT48" s="241">
        <f>AT35</f>
        <v/>
      </c>
      <c r="AU48" s="241">
        <f>AU35</f>
        <v/>
      </c>
      <c r="AV48" s="241">
        <f>AV35</f>
        <v/>
      </c>
      <c r="AW48" s="241">
        <f>AW35</f>
        <v/>
      </c>
      <c r="AX48" s="241">
        <f>AX35</f>
        <v/>
      </c>
      <c r="AY48" s="241">
        <f>AY35</f>
        <v/>
      </c>
      <c r="AZ48" s="241">
        <f>AZ35</f>
        <v/>
      </c>
      <c r="BA48" s="226" t="n"/>
      <c r="BB48" s="241">
        <f>sum(E48:P48)</f>
        <v/>
      </c>
      <c r="BC48" s="241">
        <f>sum(Q48:AB48)</f>
        <v/>
      </c>
      <c r="BD48" s="241">
        <f>sum(AC48:AN48)</f>
        <v/>
      </c>
      <c r="BE48" s="241">
        <f>sum(AO48:AZ48)</f>
        <v/>
      </c>
      <c r="BF48" s="241">
        <f>BF35</f>
        <v/>
      </c>
      <c r="BG48" s="66" t="n"/>
      <c r="BH48" s="40" t="inlineStr">
        <is>
          <t>adds depreciation back, it isn't cash</t>
        </is>
      </c>
      <c r="BI48" s="66" t="n"/>
      <c r="BJ48" s="66" t="n"/>
    </row>
    <row r="49" ht="15.75" customHeight="1" s="349">
      <c r="A49" s="226" t="n"/>
      <c r="B49" s="241" t="inlineStr">
        <is>
          <t>Increase in accounts receivable (delta DSO)</t>
        </is>
      </c>
      <c r="C49" s="241" t="n"/>
      <c r="D49" s="233" t="inlineStr">
        <is>
          <t>€</t>
        </is>
      </c>
      <c r="E49" s="241" t="n"/>
      <c r="F49" s="241" t="n"/>
      <c r="G49" s="241" t="n"/>
      <c r="H49" s="241" t="n"/>
      <c r="I49" s="241" t="n"/>
      <c r="J49" s="241" t="n"/>
      <c r="K49" s="241" t="n"/>
      <c r="L49" s="241" t="n"/>
      <c r="M49" s="241" t="n">
        <v>0</v>
      </c>
      <c r="N49" s="241">
        <f>-(N68-M68)</f>
        <v/>
      </c>
      <c r="O49" s="241">
        <f>-(O68-N68)</f>
        <v/>
      </c>
      <c r="P49" s="241">
        <f>-(P68-O68)</f>
        <v/>
      </c>
      <c r="Q49" s="241">
        <f>-(Q68-P68)</f>
        <v/>
      </c>
      <c r="R49" s="241">
        <f>-(R68-Q68)</f>
        <v/>
      </c>
      <c r="S49" s="241">
        <f>-(S68-R68)</f>
        <v/>
      </c>
      <c r="T49" s="241">
        <f>-(T68-S68)</f>
        <v/>
      </c>
      <c r="U49" s="241">
        <f>-(U68-T68)</f>
        <v/>
      </c>
      <c r="V49" s="241">
        <f>-(V68-U68)</f>
        <v/>
      </c>
      <c r="W49" s="241">
        <f>-(W68-V68)</f>
        <v/>
      </c>
      <c r="X49" s="241">
        <f>-(X68-W68)</f>
        <v/>
      </c>
      <c r="Y49" s="241">
        <f>-(Y68-X68)</f>
        <v/>
      </c>
      <c r="Z49" s="241">
        <f>-(Z68-Y68)</f>
        <v/>
      </c>
      <c r="AA49" s="241">
        <f>-(AA68-Z68)</f>
        <v/>
      </c>
      <c r="AB49" s="241">
        <f>-(AB68-AA68)</f>
        <v/>
      </c>
      <c r="AC49" s="241">
        <f>-(AC68-AB68)</f>
        <v/>
      </c>
      <c r="AD49" s="241">
        <f>-(AD68-AC68)</f>
        <v/>
      </c>
      <c r="AE49" s="241">
        <f>-(AE68-AD68)</f>
        <v/>
      </c>
      <c r="AF49" s="241">
        <f>-(AF68-AE68)</f>
        <v/>
      </c>
      <c r="AG49" s="241">
        <f>-(AG68-AF68)</f>
        <v/>
      </c>
      <c r="AH49" s="241">
        <f>-(AH68-AG68)</f>
        <v/>
      </c>
      <c r="AI49" s="241">
        <f>-(AI68-AH68)</f>
        <v/>
      </c>
      <c r="AJ49" s="241">
        <f>-(AJ68-AI68)</f>
        <v/>
      </c>
      <c r="AK49" s="241">
        <f>-(AK68-AJ68)</f>
        <v/>
      </c>
      <c r="AL49" s="241">
        <f>-(AL68-AK68)</f>
        <v/>
      </c>
      <c r="AM49" s="241">
        <f>-(AM68-AL68)</f>
        <v/>
      </c>
      <c r="AN49" s="241">
        <f>-(AN68-AM68)</f>
        <v/>
      </c>
      <c r="AO49" s="241">
        <f>-(AO68-AN68)</f>
        <v/>
      </c>
      <c r="AP49" s="241">
        <f>-(AP68-AO68)</f>
        <v/>
      </c>
      <c r="AQ49" s="241">
        <f>-(AQ68-AP68)</f>
        <v/>
      </c>
      <c r="AR49" s="241">
        <f>-(AR68-AQ68)</f>
        <v/>
      </c>
      <c r="AS49" s="241">
        <f>-(AS68-AR68)</f>
        <v/>
      </c>
      <c r="AT49" s="241">
        <f>-(AT68-AS68)</f>
        <v/>
      </c>
      <c r="AU49" s="241">
        <f>-(AU68-AT68)</f>
        <v/>
      </c>
      <c r="AV49" s="241">
        <f>-(AV68-AU68)</f>
        <v/>
      </c>
      <c r="AW49" s="241">
        <f>-(AW68-AV68)</f>
        <v/>
      </c>
      <c r="AX49" s="241">
        <f>-(AX68-AW68)</f>
        <v/>
      </c>
      <c r="AY49" s="241">
        <f>-(AY68-AX68)</f>
        <v/>
      </c>
      <c r="AZ49" s="241">
        <f>-(AZ68-AY68)</f>
        <v/>
      </c>
      <c r="BA49" s="226" t="n"/>
      <c r="BB49" s="241">
        <f>sum(E49:P49)</f>
        <v/>
      </c>
      <c r="BC49" s="241">
        <f>sum(Q49:AB49)</f>
        <v/>
      </c>
      <c r="BD49" s="241">
        <f>sum(AC49:AN49)</f>
        <v/>
      </c>
      <c r="BE49" s="241">
        <f>sum(AO49:AZ49)</f>
        <v/>
      </c>
      <c r="BF49" s="241">
        <f>-(BF68-BE68)</f>
        <v/>
      </c>
      <c r="BG49" s="66" t="n"/>
      <c r="BH49" s="40" t="inlineStr">
        <is>
          <t>cash tied up when receivables grow, freed when they shrink</t>
        </is>
      </c>
      <c r="BI49" s="66" t="n"/>
      <c r="BJ49" s="66" t="n"/>
    </row>
    <row r="50" ht="15.75" customHeight="1" s="349">
      <c r="A50" s="226" t="n"/>
      <c r="B50" s="241" t="inlineStr">
        <is>
          <t>Increase in accounts payable (delta DPO)</t>
        </is>
      </c>
      <c r="C50" s="233" t="n"/>
      <c r="D50" s="233" t="inlineStr">
        <is>
          <t>€</t>
        </is>
      </c>
      <c r="E50" s="241" t="n"/>
      <c r="F50" s="241" t="n"/>
      <c r="G50" s="241" t="n"/>
      <c r="H50" s="241" t="n"/>
      <c r="I50" s="241" t="n"/>
      <c r="J50" s="241" t="n"/>
      <c r="K50" s="241" t="n"/>
      <c r="L50" s="241" t="n"/>
      <c r="M50" s="241" t="n">
        <v>0</v>
      </c>
      <c r="N50" s="241">
        <f>(N77-M77)</f>
        <v/>
      </c>
      <c r="O50" s="241">
        <f>(O77-N77)</f>
        <v/>
      </c>
      <c r="P50" s="241">
        <f>(P77-O77)</f>
        <v/>
      </c>
      <c r="Q50" s="241">
        <f>(Q77-P77)</f>
        <v/>
      </c>
      <c r="R50" s="241">
        <f>(R77-Q77)</f>
        <v/>
      </c>
      <c r="S50" s="241">
        <f>(S77-R77)</f>
        <v/>
      </c>
      <c r="T50" s="241">
        <f>(T77-S77)</f>
        <v/>
      </c>
      <c r="U50" s="241">
        <f>(U77-T77)</f>
        <v/>
      </c>
      <c r="V50" s="241">
        <f>(V77-U77)</f>
        <v/>
      </c>
      <c r="W50" s="241">
        <f>(W77-V77)</f>
        <v/>
      </c>
      <c r="X50" s="241">
        <f>(X77-W77)</f>
        <v/>
      </c>
      <c r="Y50" s="241">
        <f>(Y77-X77)</f>
        <v/>
      </c>
      <c r="Z50" s="241">
        <f>(Z77-Y77)</f>
        <v/>
      </c>
      <c r="AA50" s="241">
        <f>(AA77-Z77)</f>
        <v/>
      </c>
      <c r="AB50" s="241">
        <f>(AB77-AA77)</f>
        <v/>
      </c>
      <c r="AC50" s="241">
        <f>(AC77-AB77)</f>
        <v/>
      </c>
      <c r="AD50" s="241">
        <f>(AD77-AC77)</f>
        <v/>
      </c>
      <c r="AE50" s="241">
        <f>(AE77-AD77)</f>
        <v/>
      </c>
      <c r="AF50" s="241">
        <f>(AF77-AE77)</f>
        <v/>
      </c>
      <c r="AG50" s="241">
        <f>(AG77-AF77)</f>
        <v/>
      </c>
      <c r="AH50" s="241">
        <f>(AH77-AG77)</f>
        <v/>
      </c>
      <c r="AI50" s="241">
        <f>(AI77-AH77)</f>
        <v/>
      </c>
      <c r="AJ50" s="241">
        <f>(AJ77-AI77)</f>
        <v/>
      </c>
      <c r="AK50" s="241">
        <f>(AK77-AJ77)</f>
        <v/>
      </c>
      <c r="AL50" s="241">
        <f>(AL77-AK77)</f>
        <v/>
      </c>
      <c r="AM50" s="241">
        <f>(AM77-AL77)</f>
        <v/>
      </c>
      <c r="AN50" s="241">
        <f>(AN77-AM77)</f>
        <v/>
      </c>
      <c r="AO50" s="241">
        <f>(AO77-AN77)</f>
        <v/>
      </c>
      <c r="AP50" s="241">
        <f>(AP77-AO77)</f>
        <v/>
      </c>
      <c r="AQ50" s="241">
        <f>(AQ77-AP77)</f>
        <v/>
      </c>
      <c r="AR50" s="241">
        <f>(AR77-AQ77)</f>
        <v/>
      </c>
      <c r="AS50" s="241">
        <f>(AS77-AR77)</f>
        <v/>
      </c>
      <c r="AT50" s="241">
        <f>(AT77-AS77)</f>
        <v/>
      </c>
      <c r="AU50" s="241">
        <f>(AU77-AT77)</f>
        <v/>
      </c>
      <c r="AV50" s="241">
        <f>(AV77-AU77)</f>
        <v/>
      </c>
      <c r="AW50" s="241">
        <f>(AW77-AV77)</f>
        <v/>
      </c>
      <c r="AX50" s="241">
        <f>(AX77-AW77)</f>
        <v/>
      </c>
      <c r="AY50" s="241">
        <f>(AY77-AX77)</f>
        <v/>
      </c>
      <c r="AZ50" s="241">
        <f>(AZ77-AY77)</f>
        <v/>
      </c>
      <c r="BA50" s="66" t="n"/>
      <c r="BB50" s="241">
        <f>sum(E50:P50)</f>
        <v/>
      </c>
      <c r="BC50" s="241">
        <f>sum(Q50:AB50)</f>
        <v/>
      </c>
      <c r="BD50" s="241">
        <f>sum(AC50:AN50)</f>
        <v/>
      </c>
      <c r="BE50" s="241">
        <f>sum(AO50:AZ50)</f>
        <v/>
      </c>
      <c r="BF50" s="241">
        <f>BF77-BE77</f>
        <v/>
      </c>
      <c r="BG50" s="66" t="n"/>
      <c r="BH50" s="40" t="inlineStr">
        <is>
          <t>cash gained by paying suppliers later, used up when payables fall</t>
        </is>
      </c>
      <c r="BI50" s="66" t="n"/>
      <c r="BJ50" s="66" t="n"/>
    </row>
    <row r="51" ht="15.75" customHeight="1" s="349">
      <c r="A51" s="226" t="n"/>
      <c r="B51" s="241" t="inlineStr">
        <is>
          <t>Change in inventory (delta DIO)</t>
        </is>
      </c>
      <c r="C51" s="233" t="n"/>
      <c r="D51" s="233" t="inlineStr">
        <is>
          <t>€</t>
        </is>
      </c>
      <c r="E51" s="241" t="n"/>
      <c r="F51" s="241" t="n"/>
      <c r="G51" s="241" t="n"/>
      <c r="H51" s="241" t="n"/>
      <c r="I51" s="241" t="n"/>
      <c r="J51" s="241" t="n"/>
      <c r="K51" s="241" t="n"/>
      <c r="L51" s="241" t="n"/>
      <c r="M51" s="241" t="n">
        <v>0</v>
      </c>
      <c r="N51" s="241">
        <f>-(N69-M69)</f>
        <v/>
      </c>
      <c r="O51" s="241">
        <f>-(O69-N69)</f>
        <v/>
      </c>
      <c r="P51" s="241">
        <f>-(P69-O69)</f>
        <v/>
      </c>
      <c r="Q51" s="241">
        <f>-(Q69-P69)</f>
        <v/>
      </c>
      <c r="R51" s="241">
        <f>-(R69-Q69)</f>
        <v/>
      </c>
      <c r="S51" s="241">
        <f>-(S69-R69)</f>
        <v/>
      </c>
      <c r="T51" s="241">
        <f>-(T69-S69)</f>
        <v/>
      </c>
      <c r="U51" s="241">
        <f>-(U69-T69)</f>
        <v/>
      </c>
      <c r="V51" s="241">
        <f>-(V69-U69)</f>
        <v/>
      </c>
      <c r="W51" s="241">
        <f>-(W69-V69)</f>
        <v/>
      </c>
      <c r="X51" s="241">
        <f>-(X69-W69)</f>
        <v/>
      </c>
      <c r="Y51" s="241">
        <f>-(Y69-X69)</f>
        <v/>
      </c>
      <c r="Z51" s="241">
        <f>-(Z69-Y69)</f>
        <v/>
      </c>
      <c r="AA51" s="241">
        <f>-(AA69-Z69)</f>
        <v/>
      </c>
      <c r="AB51" s="241">
        <f>-(AB69-AA69)</f>
        <v/>
      </c>
      <c r="AC51" s="241">
        <f>-(AC69-AB69)</f>
        <v/>
      </c>
      <c r="AD51" s="241">
        <f>-(AD69-AC69)</f>
        <v/>
      </c>
      <c r="AE51" s="241">
        <f>-(AE69-AD69)</f>
        <v/>
      </c>
      <c r="AF51" s="241">
        <f>-(AF69-AE69)</f>
        <v/>
      </c>
      <c r="AG51" s="241">
        <f>-(AG69-AF69)</f>
        <v/>
      </c>
      <c r="AH51" s="241">
        <f>-(AH69-AG69)</f>
        <v/>
      </c>
      <c r="AI51" s="241">
        <f>-(AI69-AH69)</f>
        <v/>
      </c>
      <c r="AJ51" s="241">
        <f>-(AJ69-AI69)</f>
        <v/>
      </c>
      <c r="AK51" s="241">
        <f>-(AK69-AJ69)</f>
        <v/>
      </c>
      <c r="AL51" s="241">
        <f>-(AL69-AK69)</f>
        <v/>
      </c>
      <c r="AM51" s="241">
        <f>-(AM69-AL69)</f>
        <v/>
      </c>
      <c r="AN51" s="241">
        <f>-(AN69-AM69)</f>
        <v/>
      </c>
      <c r="AO51" s="241">
        <f>-(AO69-AN69)</f>
        <v/>
      </c>
      <c r="AP51" s="241">
        <f>-(AP69-AO69)</f>
        <v/>
      </c>
      <c r="AQ51" s="241">
        <f>-(AQ69-AP69)</f>
        <v/>
      </c>
      <c r="AR51" s="241">
        <f>-(AR69-AQ69)</f>
        <v/>
      </c>
      <c r="AS51" s="241">
        <f>-(AS69-AR69)</f>
        <v/>
      </c>
      <c r="AT51" s="241">
        <f>-(AT69-AS69)</f>
        <v/>
      </c>
      <c r="AU51" s="241">
        <f>-(AU69-AT69)</f>
        <v/>
      </c>
      <c r="AV51" s="241">
        <f>-(AV69-AU69)</f>
        <v/>
      </c>
      <c r="AW51" s="241">
        <f>-(AW69-AV69)</f>
        <v/>
      </c>
      <c r="AX51" s="241">
        <f>-(AX69-AW69)</f>
        <v/>
      </c>
      <c r="AY51" s="241">
        <f>-(AY69-AX69)</f>
        <v/>
      </c>
      <c r="AZ51" s="241">
        <f>-(AZ69-AY69)</f>
        <v/>
      </c>
      <c r="BA51" s="226" t="n"/>
      <c r="BB51" s="241">
        <f>sum(E51:P51)</f>
        <v/>
      </c>
      <c r="BC51" s="241">
        <f>sum(Q51:AB51)</f>
        <v/>
      </c>
      <c r="BD51" s="241">
        <f>sum(AC51:AN51)</f>
        <v/>
      </c>
      <c r="BE51" s="241">
        <f>sum(AO51:AZ51)</f>
        <v/>
      </c>
      <c r="BF51" s="241">
        <f>-(BF69-BE69)</f>
        <v/>
      </c>
      <c r="BG51" s="66" t="n"/>
      <c r="BH51" s="40" t="inlineStr">
        <is>
          <t>cash tied up in stock. days of stock is 0, so nothing moves</t>
        </is>
      </c>
      <c r="BI51" s="66" t="n"/>
      <c r="BJ51" s="66" t="n"/>
    </row>
    <row r="52" ht="12.75" customHeight="1" s="349">
      <c r="A52" s="77" t="n"/>
      <c r="B52" s="227" t="inlineStr">
        <is>
          <t>Cash from Operations</t>
        </is>
      </c>
      <c r="C52" s="228" t="n"/>
      <c r="D52" s="229" t="inlineStr">
        <is>
          <t>€</t>
        </is>
      </c>
      <c r="E52" s="227" t="n"/>
      <c r="F52" s="227" t="n"/>
      <c r="G52" s="227" t="n"/>
      <c r="H52" s="227" t="n"/>
      <c r="I52" s="227" t="n"/>
      <c r="J52" s="227" t="n"/>
      <c r="K52" s="227" t="n"/>
      <c r="L52" s="227" t="n"/>
      <c r="M52" s="227">
        <f>sum(M47:M51)</f>
        <v/>
      </c>
      <c r="N52" s="227">
        <f>sum(N47:N51)</f>
        <v/>
      </c>
      <c r="O52" s="227">
        <f>sum(O47:O51)</f>
        <v/>
      </c>
      <c r="P52" s="227">
        <f>sum(P47:P51)</f>
        <v/>
      </c>
      <c r="Q52" s="227">
        <f>sum(Q47:Q51)</f>
        <v/>
      </c>
      <c r="R52" s="227">
        <f>sum(R47:R51)</f>
        <v/>
      </c>
      <c r="S52" s="227">
        <f>sum(S47:S51)</f>
        <v/>
      </c>
      <c r="T52" s="227">
        <f>sum(T47:T51)</f>
        <v/>
      </c>
      <c r="U52" s="227">
        <f>sum(U47:U51)</f>
        <v/>
      </c>
      <c r="V52" s="227">
        <f>sum(V47:V51)</f>
        <v/>
      </c>
      <c r="W52" s="227">
        <f>sum(W47:W51)</f>
        <v/>
      </c>
      <c r="X52" s="227">
        <f>sum(X47:X51)</f>
        <v/>
      </c>
      <c r="Y52" s="227">
        <f>sum(Y47:Y51)</f>
        <v/>
      </c>
      <c r="Z52" s="227">
        <f>sum(Z47:Z51)</f>
        <v/>
      </c>
      <c r="AA52" s="227">
        <f>sum(AA47:AA51)</f>
        <v/>
      </c>
      <c r="AB52" s="227">
        <f>sum(AB47:AB51)</f>
        <v/>
      </c>
      <c r="AC52" s="227">
        <f>sum(AC47:AC51)</f>
        <v/>
      </c>
      <c r="AD52" s="227">
        <f>sum(AD47:AD51)</f>
        <v/>
      </c>
      <c r="AE52" s="227">
        <f>sum(AE47:AE51)</f>
        <v/>
      </c>
      <c r="AF52" s="227">
        <f>sum(AF47:AF51)</f>
        <v/>
      </c>
      <c r="AG52" s="227">
        <f>sum(AG47:AG51)</f>
        <v/>
      </c>
      <c r="AH52" s="227">
        <f>sum(AH47:AH51)</f>
        <v/>
      </c>
      <c r="AI52" s="227">
        <f>sum(AI47:AI51)</f>
        <v/>
      </c>
      <c r="AJ52" s="227">
        <f>sum(AJ47:AJ51)</f>
        <v/>
      </c>
      <c r="AK52" s="227">
        <f>sum(AK47:AK51)</f>
        <v/>
      </c>
      <c r="AL52" s="227">
        <f>sum(AL47:AL51)</f>
        <v/>
      </c>
      <c r="AM52" s="227">
        <f>sum(AM47:AM51)</f>
        <v/>
      </c>
      <c r="AN52" s="227">
        <f>sum(AN47:AN51)</f>
        <v/>
      </c>
      <c r="AO52" s="227">
        <f>sum(AO47:AO51)</f>
        <v/>
      </c>
      <c r="AP52" s="227">
        <f>sum(AP47:AP51)</f>
        <v/>
      </c>
      <c r="AQ52" s="227">
        <f>sum(AQ47:AQ51)</f>
        <v/>
      </c>
      <c r="AR52" s="227">
        <f>sum(AR47:AR51)</f>
        <v/>
      </c>
      <c r="AS52" s="227">
        <f>sum(AS47:AS51)</f>
        <v/>
      </c>
      <c r="AT52" s="227">
        <f>sum(AT47:AT51)</f>
        <v/>
      </c>
      <c r="AU52" s="227">
        <f>sum(AU47:AU51)</f>
        <v/>
      </c>
      <c r="AV52" s="227">
        <f>sum(AV47:AV51)</f>
        <v/>
      </c>
      <c r="AW52" s="227">
        <f>sum(AW47:AW51)</f>
        <v/>
      </c>
      <c r="AX52" s="227">
        <f>sum(AX47:AX51)</f>
        <v/>
      </c>
      <c r="AY52" s="227">
        <f>sum(AY47:AY51)</f>
        <v/>
      </c>
      <c r="AZ52" s="227">
        <f>sum(AZ47:AZ51)</f>
        <v/>
      </c>
      <c r="BA52" s="226" t="n"/>
      <c r="BB52" s="230">
        <f>sum(E52:P52)</f>
        <v/>
      </c>
      <c r="BC52" s="230">
        <f>sum(Q52:AB52)</f>
        <v/>
      </c>
      <c r="BD52" s="230">
        <f>sum(AC52:AN52)</f>
        <v/>
      </c>
      <c r="BE52" s="230">
        <f>sum(AO52:AZ52)</f>
        <v/>
      </c>
      <c r="BF52" s="230">
        <f>sum(BF47:BF51)</f>
        <v/>
      </c>
      <c r="BG52" s="205" t="n"/>
      <c r="BH52" s="40" t="inlineStr">
        <is>
          <t>net income plus all the working-capital swings</t>
        </is>
      </c>
      <c r="BI52" s="205" t="n"/>
      <c r="BJ52" s="205" t="n"/>
    </row>
    <row r="53" ht="15.75" customHeight="1" s="349">
      <c r="A53" s="226" t="n"/>
      <c r="B53" s="233" t="inlineStr">
        <is>
          <t>CAPEX</t>
        </is>
      </c>
      <c r="C53" s="241" t="n"/>
      <c r="D53" s="233" t="inlineStr">
        <is>
          <t>€</t>
        </is>
      </c>
      <c r="E53" s="251">
        <f>IFERROR(-HLOOKUP(YEAR(E$3),Assumptions!$D$124:$G$127,4,FALSE)/12,0)</f>
        <v/>
      </c>
      <c r="F53" s="251">
        <f>IFERROR(-HLOOKUP(YEAR(F$3),Assumptions!$D$124:$G$127,4,FALSE)/12,0)</f>
        <v/>
      </c>
      <c r="G53" s="251">
        <f>IFERROR(-HLOOKUP(YEAR(G$3),Assumptions!$D$124:$G$127,4,FALSE)/12,0)</f>
        <v/>
      </c>
      <c r="H53" s="251">
        <f>IFERROR(-HLOOKUP(YEAR(H$3),Assumptions!$D$124:$G$127,4,FALSE)/12,0)</f>
        <v/>
      </c>
      <c r="I53" s="251">
        <f>IFERROR(-HLOOKUP(YEAR(I$3),Assumptions!$D$124:$G$127,4,FALSE)/12,0)</f>
        <v/>
      </c>
      <c r="J53" s="251">
        <f>IFERROR(-HLOOKUP(YEAR(J$3),Assumptions!$D$124:$G$127,4,FALSE)/12,0)</f>
        <v/>
      </c>
      <c r="K53" s="251">
        <f>IFERROR(-HLOOKUP(YEAR(K$3),Assumptions!$D$124:$G$127,4,FALSE)/12,0)</f>
        <v/>
      </c>
      <c r="L53" s="251">
        <f>IFERROR(-HLOOKUP(YEAR(L$3),Assumptions!$D$124:$G$127,4,FALSE)/12,0)</f>
        <v/>
      </c>
      <c r="M53" s="241">
        <f>IFERROR(-HLOOKUP(YEAR(M$3),Assumptions!$D$124:$G$127,4,FALSE)/12,0)</f>
        <v/>
      </c>
      <c r="N53" s="241">
        <f>IFERROR(-HLOOKUP(YEAR(N$3),Assumptions!$D$124:$G$127,4,FALSE)/12,0)</f>
        <v/>
      </c>
      <c r="O53" s="241">
        <f>IFERROR(-HLOOKUP(YEAR(O$3),Assumptions!$D$124:$G$127,4,FALSE)/12,0)</f>
        <v/>
      </c>
      <c r="P53" s="241">
        <f>IFERROR(-HLOOKUP(YEAR(P$3),Assumptions!$D$124:$G$127,4,FALSE)/12,0)</f>
        <v/>
      </c>
      <c r="Q53" s="241">
        <f>IFERROR(-HLOOKUP(YEAR(Q$3),Assumptions!$D$124:$G$127,4,FALSE)/12,0)</f>
        <v/>
      </c>
      <c r="R53" s="241">
        <f>IFERROR(-HLOOKUP(YEAR(R$3),Assumptions!$D$124:$G$127,4,FALSE)/12,0)</f>
        <v/>
      </c>
      <c r="S53" s="241">
        <f>IFERROR(-HLOOKUP(YEAR(S$3),Assumptions!$D$124:$G$127,4,FALSE)/12,0)</f>
        <v/>
      </c>
      <c r="T53" s="241">
        <f>IFERROR(-HLOOKUP(YEAR(T$3),Assumptions!$D$124:$G$127,4,FALSE)/12,0)</f>
        <v/>
      </c>
      <c r="U53" s="241">
        <f>IFERROR(-HLOOKUP(YEAR(U$3),Assumptions!$D$124:$G$127,4,FALSE)/12,0)</f>
        <v/>
      </c>
      <c r="V53" s="241">
        <f>IFERROR(-HLOOKUP(YEAR(V$3),Assumptions!$D$124:$G$127,4,FALSE)/12,0)</f>
        <v/>
      </c>
      <c r="W53" s="241">
        <f>IFERROR(-HLOOKUP(YEAR(W$3),Assumptions!$D$124:$G$127,4,FALSE)/12,0)</f>
        <v/>
      </c>
      <c r="X53" s="241">
        <f>IFERROR(-HLOOKUP(YEAR(X$3),Assumptions!$D$124:$G$127,4,FALSE)/12,0)</f>
        <v/>
      </c>
      <c r="Y53" s="241">
        <f>IFERROR(-HLOOKUP(YEAR(Y$3),Assumptions!$D$124:$G$127,4,FALSE)/12,0)</f>
        <v/>
      </c>
      <c r="Z53" s="241">
        <f>IFERROR(-HLOOKUP(YEAR(Z$3),Assumptions!$D$124:$G$127,4,FALSE)/12,0)</f>
        <v/>
      </c>
      <c r="AA53" s="241">
        <f>IFERROR(-HLOOKUP(YEAR(AA$3),Assumptions!$D$124:$G$127,4,FALSE)/12,0)</f>
        <v/>
      </c>
      <c r="AB53" s="241">
        <f>IFERROR(-HLOOKUP(YEAR(AB$3),Assumptions!$D$124:$G$127,4,FALSE)/12,0)</f>
        <v/>
      </c>
      <c r="AC53" s="241">
        <f>IFERROR(-HLOOKUP(YEAR(AC$3),Assumptions!$D$124:$G$127,4,FALSE)/12,0)</f>
        <v/>
      </c>
      <c r="AD53" s="241">
        <f>IFERROR(-HLOOKUP(YEAR(AD$3),Assumptions!$D$124:$G$127,4,FALSE)/12,0)</f>
        <v/>
      </c>
      <c r="AE53" s="241">
        <f>IFERROR(-HLOOKUP(YEAR(AE$3),Assumptions!$D$124:$G$127,4,FALSE)/12,0)</f>
        <v/>
      </c>
      <c r="AF53" s="241">
        <f>IFERROR(-HLOOKUP(YEAR(AF$3),Assumptions!$D$124:$G$127,4,FALSE)/12,0)</f>
        <v/>
      </c>
      <c r="AG53" s="241">
        <f>IFERROR(-HLOOKUP(YEAR(AG$3),Assumptions!$D$124:$G$127,4,FALSE)/12,0)</f>
        <v/>
      </c>
      <c r="AH53" s="241">
        <f>IFERROR(-HLOOKUP(YEAR(AH$3),Assumptions!$D$124:$G$127,4,FALSE)/12,0)</f>
        <v/>
      </c>
      <c r="AI53" s="241">
        <f>IFERROR(-HLOOKUP(YEAR(AI$3),Assumptions!$D$124:$G$127,4,FALSE)/12,0)</f>
        <v/>
      </c>
      <c r="AJ53" s="241">
        <f>IFERROR(-HLOOKUP(YEAR(AJ$3),Assumptions!$D$124:$G$127,4,FALSE)/12,0)</f>
        <v/>
      </c>
      <c r="AK53" s="241">
        <f>IFERROR(-HLOOKUP(YEAR(AK$3),Assumptions!$D$124:$G$127,4,FALSE)/12,0)</f>
        <v/>
      </c>
      <c r="AL53" s="241">
        <f>IFERROR(-HLOOKUP(YEAR(AL$3),Assumptions!$D$124:$G$127,4,FALSE)/12,0)</f>
        <v/>
      </c>
      <c r="AM53" s="241">
        <f>IFERROR(-HLOOKUP(YEAR(AM$3),Assumptions!$D$124:$G$127,4,FALSE)/12,0)</f>
        <v/>
      </c>
      <c r="AN53" s="241">
        <f>IFERROR(-HLOOKUP(YEAR(AN$3),Assumptions!$D$124:$G$127,4,FALSE)/12,0)</f>
        <v/>
      </c>
      <c r="AO53" s="241">
        <f>IFERROR(-HLOOKUP(YEAR(AO$3),Assumptions!$D$124:$G$127,4,FALSE)/12,0)</f>
        <v/>
      </c>
      <c r="AP53" s="241">
        <f>IFERROR(-HLOOKUP(YEAR(AP$3),Assumptions!$D$124:$G$127,4,FALSE)/12,0)</f>
        <v/>
      </c>
      <c r="AQ53" s="241">
        <f>IFERROR(-HLOOKUP(YEAR(AQ$3),Assumptions!$D$124:$G$127,4,FALSE)/12,0)</f>
        <v/>
      </c>
      <c r="AR53" s="241">
        <f>IFERROR(-HLOOKUP(YEAR(AR$3),Assumptions!$D$124:$G$127,4,FALSE)/12,0)</f>
        <v/>
      </c>
      <c r="AS53" s="241">
        <f>IFERROR(-HLOOKUP(YEAR(AS$3),Assumptions!$D$124:$G$127,4,FALSE)/12,0)</f>
        <v/>
      </c>
      <c r="AT53" s="241">
        <f>IFERROR(-HLOOKUP(YEAR(AT$3),Assumptions!$D$124:$G$127,4,FALSE)/12,0)</f>
        <v/>
      </c>
      <c r="AU53" s="241">
        <f>IFERROR(-HLOOKUP(YEAR(AU$3),Assumptions!$D$124:$G$127,4,FALSE)/12,0)</f>
        <v/>
      </c>
      <c r="AV53" s="241">
        <f>IFERROR(-HLOOKUP(YEAR(AV$3),Assumptions!$D$124:$G$127,4,FALSE)/12,0)</f>
        <v/>
      </c>
      <c r="AW53" s="241">
        <f>IFERROR(-HLOOKUP(YEAR(AW$3),Assumptions!$D$124:$G$127,4,FALSE)/12,0)</f>
        <v/>
      </c>
      <c r="AX53" s="241">
        <f>IFERROR(-HLOOKUP(YEAR(AX$3),Assumptions!$D$124:$G$127,4,FALSE)/12,0)</f>
        <v/>
      </c>
      <c r="AY53" s="241">
        <f>IFERROR(-HLOOKUP(YEAR(AY$3),Assumptions!$D$124:$G$127,4,FALSE)/12,0)</f>
        <v/>
      </c>
      <c r="AZ53" s="241">
        <f>IFERROR(-HLOOKUP(YEAR(AZ$3),Assumptions!$D$124:$G$127,4,FALSE)/12,0)</f>
        <v/>
      </c>
      <c r="BA53" s="226" t="n"/>
      <c r="BB53" s="241">
        <f>sum(E53:P53)</f>
        <v/>
      </c>
      <c r="BC53" s="241">
        <f>sum(Q53:AB53)</f>
        <v/>
      </c>
      <c r="BD53" s="241">
        <f>sum(AC53:AN53)</f>
        <v/>
      </c>
      <c r="BE53" s="241">
        <f>sum(AO53:AZ53)</f>
        <v/>
      </c>
      <c r="BF53" s="241">
        <f>-Assumptions!$F$127</f>
        <v/>
      </c>
      <c r="BG53" s="66" t="n"/>
      <c r="BH53" s="40" t="inlineStr">
        <is>
          <t>staged capex from Assumptions rows 125-127, spread evenly over each year</t>
        </is>
      </c>
      <c r="BI53" s="66" t="n"/>
      <c r="BJ53" s="66" t="n"/>
    </row>
    <row r="54" ht="12.75" customHeight="1" s="349">
      <c r="A54" s="77" t="n"/>
      <c r="B54" s="227" t="inlineStr">
        <is>
          <t>Cash from Investing</t>
        </is>
      </c>
      <c r="C54" s="228" t="n"/>
      <c r="D54" s="228" t="n"/>
      <c r="E54" s="227" t="n"/>
      <c r="F54" s="227" t="n"/>
      <c r="G54" s="227" t="n"/>
      <c r="H54" s="227" t="n"/>
      <c r="I54" s="227" t="n"/>
      <c r="J54" s="227" t="n"/>
      <c r="K54" s="227" t="n"/>
      <c r="L54" s="227" t="n"/>
      <c r="M54" s="227">
        <f>M53</f>
        <v/>
      </c>
      <c r="N54" s="227">
        <f>N53</f>
        <v/>
      </c>
      <c r="O54" s="227">
        <f>O53</f>
        <v/>
      </c>
      <c r="P54" s="227">
        <f>P53</f>
        <v/>
      </c>
      <c r="Q54" s="227">
        <f>Q53</f>
        <v/>
      </c>
      <c r="R54" s="230">
        <f>R53</f>
        <v/>
      </c>
      <c r="S54" s="231">
        <f>S53</f>
        <v/>
      </c>
      <c r="T54" s="232">
        <f>T53</f>
        <v/>
      </c>
      <c r="U54" s="227">
        <f>U53</f>
        <v/>
      </c>
      <c r="V54" s="227">
        <f>V53</f>
        <v/>
      </c>
      <c r="W54" s="227">
        <f>W53</f>
        <v/>
      </c>
      <c r="X54" s="227">
        <f>X53</f>
        <v/>
      </c>
      <c r="Y54" s="227">
        <f>Y53</f>
        <v/>
      </c>
      <c r="Z54" s="227">
        <f>Z53</f>
        <v/>
      </c>
      <c r="AA54" s="227">
        <f>AA53</f>
        <v/>
      </c>
      <c r="AB54" s="227">
        <f>AB53</f>
        <v/>
      </c>
      <c r="AC54" s="227">
        <f>AC53</f>
        <v/>
      </c>
      <c r="AD54" s="227">
        <f>AD53</f>
        <v/>
      </c>
      <c r="AE54" s="227">
        <f>AE53</f>
        <v/>
      </c>
      <c r="AF54" s="227">
        <f>AF53</f>
        <v/>
      </c>
      <c r="AG54" s="227">
        <f>AG53</f>
        <v/>
      </c>
      <c r="AH54" s="227">
        <f>AH53</f>
        <v/>
      </c>
      <c r="AI54" s="227">
        <f>AI53</f>
        <v/>
      </c>
      <c r="AJ54" s="227">
        <f>AJ53</f>
        <v/>
      </c>
      <c r="AK54" s="227">
        <f>AK53</f>
        <v/>
      </c>
      <c r="AL54" s="227">
        <f>AL53</f>
        <v/>
      </c>
      <c r="AM54" s="227">
        <f>AM53</f>
        <v/>
      </c>
      <c r="AN54" s="227">
        <f>AN53</f>
        <v/>
      </c>
      <c r="AO54" s="227">
        <f>AO53</f>
        <v/>
      </c>
      <c r="AP54" s="227">
        <f>AP53</f>
        <v/>
      </c>
      <c r="AQ54" s="227">
        <f>AQ53</f>
        <v/>
      </c>
      <c r="AR54" s="227">
        <f>AR53</f>
        <v/>
      </c>
      <c r="AS54" s="227">
        <f>AS53</f>
        <v/>
      </c>
      <c r="AT54" s="227">
        <f>AT53</f>
        <v/>
      </c>
      <c r="AU54" s="227">
        <f>AU53</f>
        <v/>
      </c>
      <c r="AV54" s="227">
        <f>AV53</f>
        <v/>
      </c>
      <c r="AW54" s="227">
        <f>AW53</f>
        <v/>
      </c>
      <c r="AX54" s="227">
        <f>AX53</f>
        <v/>
      </c>
      <c r="AY54" s="227">
        <f>AY53</f>
        <v/>
      </c>
      <c r="AZ54" s="230">
        <f>AZ53</f>
        <v/>
      </c>
      <c r="BA54" s="226" t="n"/>
      <c r="BB54" s="230">
        <f>sum(E54:P54)</f>
        <v/>
      </c>
      <c r="BC54" s="230">
        <f>sum(Q54:AB54)</f>
        <v/>
      </c>
      <c r="BD54" s="230">
        <f>sum(AC54:AN54)</f>
        <v/>
      </c>
      <c r="BE54" s="230">
        <f>sum(AO54:AZ54)</f>
        <v/>
      </c>
      <c r="BF54" s="230">
        <f>BF53</f>
        <v/>
      </c>
      <c r="BG54" s="205" t="n"/>
      <c r="BH54" s="40" t="inlineStr">
        <is>
          <t>same as capex</t>
        </is>
      </c>
      <c r="BI54" s="205" t="n"/>
      <c r="BJ54" s="205" t="n"/>
    </row>
    <row r="55" ht="15.75" customHeight="1" s="349">
      <c r="A55" s="226" t="n"/>
      <c r="B55" s="241" t="inlineStr">
        <is>
          <t>Equity injection</t>
        </is>
      </c>
      <c r="C55" s="241" t="n"/>
      <c r="D55" s="241" t="inlineStr">
        <is>
          <t>€</t>
        </is>
      </c>
      <c r="E55" s="253" t="n"/>
      <c r="F55" s="253" t="n"/>
      <c r="G55" s="253" t="n"/>
      <c r="H55" s="253" t="n"/>
      <c r="I55" s="253" t="n"/>
      <c r="J55" s="253" t="n"/>
      <c r="K55" s="253" t="n"/>
      <c r="L55" s="253" t="n"/>
      <c r="M55" s="253" t="n"/>
      <c r="N55" s="253" t="n"/>
      <c r="O55" s="253" t="n"/>
      <c r="P55" s="253" t="n"/>
      <c r="Q55" s="253" t="n"/>
      <c r="R55" s="253" t="n"/>
      <c r="S55" s="253" t="n">
        <v>0</v>
      </c>
      <c r="T55" s="253" t="n"/>
      <c r="U55" s="253" t="n">
        <v>300000</v>
      </c>
      <c r="V55" s="253" t="n"/>
      <c r="W55" s="253" t="n"/>
      <c r="X55" s="253" t="n"/>
      <c r="Y55" s="253" t="n"/>
      <c r="Z55" s="253" t="n"/>
      <c r="AA55" s="253">
        <f>IF(Assumptions!$D$82=2,10000000,3000000)</f>
        <v/>
      </c>
      <c r="AB55" s="253" t="n"/>
      <c r="AC55" s="253" t="n"/>
      <c r="AD55" s="253" t="n"/>
      <c r="AE55" s="253" t="n"/>
      <c r="AF55" s="253" t="n"/>
      <c r="AG55" s="253" t="n"/>
      <c r="AH55" s="253" t="n"/>
      <c r="AI55" s="253" t="n"/>
      <c r="AJ55" s="253" t="n"/>
      <c r="AK55" s="253" t="n"/>
      <c r="AL55" s="253" t="n"/>
      <c r="AM55" s="253" t="n"/>
      <c r="AN55" s="253" t="n"/>
      <c r="AO55" s="253" t="n"/>
      <c r="AP55" s="253" t="n"/>
      <c r="AQ55" s="253" t="n"/>
      <c r="AR55" s="253" t="n"/>
      <c r="AS55" s="253" t="n"/>
      <c r="AT55" s="253" t="n"/>
      <c r="AU55" s="253" t="n"/>
      <c r="AV55" s="253" t="n"/>
      <c r="AW55" s="253" t="n"/>
      <c r="AX55" s="253" t="n"/>
      <c r="AY55" s="253" t="n"/>
      <c r="AZ55" s="253" t="n"/>
      <c r="BA55" s="226" t="n"/>
      <c r="BB55" s="241">
        <f>sum(E55:P55)</f>
        <v/>
      </c>
      <c r="BC55" s="241">
        <f>sum(Q55:AB55)</f>
        <v/>
      </c>
      <c r="BD55" s="241">
        <f>sum(AC55:AN55)</f>
        <v/>
      </c>
      <c r="BE55" s="241">
        <f>sum(AO55:AZ55)</f>
        <v/>
      </c>
      <c r="BF55" s="241" t="n">
        <v>0</v>
      </c>
      <c r="BG55" s="66" t="n"/>
      <c r="BH55" s="40" t="inlineStr">
        <is>
          <t>money in from shares: 300k May-26, then 3.0m (Base) or 10.0m (Aggressive) Nov-26</t>
        </is>
      </c>
      <c r="BI55" s="66" t="n"/>
      <c r="BJ55" s="66" t="n"/>
    </row>
    <row r="56" ht="15.75" customHeight="1" s="349">
      <c r="A56" s="226" t="n"/>
      <c r="B56" s="241" t="inlineStr">
        <is>
          <t>Loan (CLA)</t>
        </is>
      </c>
      <c r="C56" s="241" t="n"/>
      <c r="D56" s="241" t="inlineStr">
        <is>
          <t>€</t>
        </is>
      </c>
      <c r="E56" s="253" t="n"/>
      <c r="F56" s="253" t="n"/>
      <c r="G56" s="253" t="n"/>
      <c r="H56" s="253" t="n"/>
      <c r="I56" s="253" t="n"/>
      <c r="J56" s="253" t="n"/>
      <c r="K56" s="253" t="n"/>
      <c r="L56" s="253" t="n"/>
      <c r="M56" s="253" t="n"/>
      <c r="N56" s="253" t="n"/>
      <c r="O56" s="253" t="n"/>
      <c r="P56" s="253" t="n"/>
      <c r="Q56" s="253" t="n"/>
      <c r="R56" s="253" t="n"/>
      <c r="S56" s="253" t="n"/>
      <c r="T56" s="253" t="n"/>
      <c r="U56" s="253" t="n"/>
      <c r="V56" s="253" t="n"/>
      <c r="W56" s="253" t="n">
        <v>300000</v>
      </c>
      <c r="X56" s="253" t="n"/>
      <c r="Y56" s="253" t="n"/>
      <c r="Z56" s="253" t="n"/>
      <c r="AA56" s="253" t="n"/>
      <c r="AB56" s="253" t="n"/>
      <c r="AC56" s="258" t="n"/>
      <c r="AD56" s="253" t="n"/>
      <c r="AE56" s="253" t="n"/>
      <c r="AF56" s="253" t="n"/>
      <c r="AG56" s="253" t="n"/>
      <c r="AH56" s="253" t="n"/>
      <c r="AI56" s="253" t="n"/>
      <c r="AJ56" s="253" t="n"/>
      <c r="AK56" s="253" t="n"/>
      <c r="AL56" s="253" t="n"/>
      <c r="AM56" s="253" t="n"/>
      <c r="AN56" s="253" t="n"/>
      <c r="AO56" s="253" t="n"/>
      <c r="AP56" s="253" t="n"/>
      <c r="AQ56" s="253" t="n"/>
      <c r="AR56" s="253" t="n"/>
      <c r="AS56" s="253" t="n"/>
      <c r="AT56" s="253" t="n"/>
      <c r="AU56" s="253" t="n"/>
      <c r="AV56" s="253" t="n"/>
      <c r="AW56" s="253" t="n"/>
      <c r="AX56" s="253" t="n"/>
      <c r="AY56" s="253" t="n"/>
      <c r="AZ56" s="253" t="n"/>
      <c r="BA56" s="226" t="n"/>
      <c r="BB56" s="241">
        <f>sum(E56:P56)</f>
        <v/>
      </c>
      <c r="BC56" s="241">
        <f>sum(Q56:AB56)</f>
        <v/>
      </c>
      <c r="BD56" s="241">
        <f>sum(AC56:AN56)</f>
        <v/>
      </c>
      <c r="BE56" s="241">
        <f>sum(AO56:AZ56)</f>
        <v/>
      </c>
      <c r="BF56" s="241" t="n">
        <v>0</v>
      </c>
      <c r="BG56" s="66" t="n"/>
      <c r="BH56" s="40" t="inlineStr">
        <is>
          <t>CLA loan drawn, 300k in Jul-26</t>
        </is>
      </c>
      <c r="BI56" s="66" t="n"/>
      <c r="BJ56" s="66" t="n"/>
    </row>
    <row r="57" ht="15.75" customHeight="1" s="349">
      <c r="A57" s="226" t="n"/>
      <c r="B57" s="241" t="n"/>
      <c r="C57" s="241" t="n"/>
      <c r="D57" s="241" t="n"/>
      <c r="E57" s="253" t="n"/>
      <c r="F57" s="253" t="n"/>
      <c r="G57" s="253" t="n"/>
      <c r="H57" s="253" t="n"/>
      <c r="I57" s="253" t="n"/>
      <c r="J57" s="253" t="n"/>
      <c r="K57" s="253" t="n"/>
      <c r="L57" s="253" t="n"/>
      <c r="M57" s="253" t="n"/>
      <c r="N57" s="253" t="n"/>
      <c r="O57" s="253" t="n"/>
      <c r="P57" s="253" t="n"/>
      <c r="Q57" s="253" t="n"/>
      <c r="R57" s="253" t="n"/>
      <c r="S57" s="253" t="n"/>
      <c r="T57" s="253" t="n"/>
      <c r="U57" s="253" t="n"/>
      <c r="V57" s="253" t="n"/>
      <c r="W57" s="253" t="n"/>
      <c r="X57" s="253" t="n"/>
      <c r="Y57" s="253" t="n"/>
      <c r="Z57" s="253" t="n"/>
      <c r="AA57" s="253" t="n"/>
      <c r="AB57" s="253" t="n"/>
      <c r="AC57" s="258" t="n"/>
      <c r="AD57" s="253" t="n"/>
      <c r="AE57" s="253" t="n"/>
      <c r="AF57" s="253" t="n"/>
      <c r="AG57" s="253" t="n"/>
      <c r="AH57" s="253" t="n"/>
      <c r="AI57" s="253" t="n"/>
      <c r="AJ57" s="253" t="n"/>
      <c r="AK57" s="253" t="n"/>
      <c r="AL57" s="253" t="n"/>
      <c r="AM57" s="253" t="n"/>
      <c r="AN57" s="253" t="n"/>
      <c r="AO57" s="253" t="n"/>
      <c r="AP57" s="253" t="n"/>
      <c r="AQ57" s="253" t="n"/>
      <c r="AR57" s="253" t="n"/>
      <c r="AS57" s="253" t="n"/>
      <c r="AT57" s="253" t="n"/>
      <c r="AU57" s="253" t="n"/>
      <c r="AV57" s="253" t="n"/>
      <c r="AW57" s="253" t="n"/>
      <c r="AX57" s="253" t="n"/>
      <c r="AY57" s="253" t="n"/>
      <c r="AZ57" s="253" t="n"/>
      <c r="BA57" s="226" t="n"/>
      <c r="BB57" s="241" t="n"/>
      <c r="BC57" s="241" t="n"/>
      <c r="BD57" s="241" t="n"/>
      <c r="BE57" s="241" t="n"/>
      <c r="BF57" s="241" t="n"/>
      <c r="BG57" s="66" t="n"/>
      <c r="BH57" s="40" t="n"/>
      <c r="BI57" s="66" t="n"/>
      <c r="BJ57" s="66" t="n"/>
    </row>
    <row r="58" ht="12.75" customHeight="1" s="349">
      <c r="A58" s="77" t="n"/>
      <c r="B58" s="227" t="inlineStr">
        <is>
          <t>Cash from Financing</t>
        </is>
      </c>
      <c r="C58" s="228" t="n"/>
      <c r="D58" s="229" t="inlineStr">
        <is>
          <t>€</t>
        </is>
      </c>
      <c r="E58" s="227">
        <f>E55+E56+E57</f>
        <v/>
      </c>
      <c r="F58" s="227">
        <f>F55+F56+F57</f>
        <v/>
      </c>
      <c r="G58" s="227">
        <f>G55+G56+G57</f>
        <v/>
      </c>
      <c r="H58" s="227">
        <f>H55+H56+H57</f>
        <v/>
      </c>
      <c r="I58" s="227">
        <f>I55+I56+I57</f>
        <v/>
      </c>
      <c r="J58" s="227">
        <f>J55+J56+J57</f>
        <v/>
      </c>
      <c r="K58" s="227">
        <f>K55+K56+K57</f>
        <v/>
      </c>
      <c r="L58" s="227">
        <f>L55+L56+L57</f>
        <v/>
      </c>
      <c r="M58" s="227">
        <f>M55+M56+M57</f>
        <v/>
      </c>
      <c r="N58" s="227">
        <f>N55+N56+N57</f>
        <v/>
      </c>
      <c r="O58" s="227">
        <f>O55+O56+O57</f>
        <v/>
      </c>
      <c r="P58" s="227">
        <f>P55+P56+P57</f>
        <v/>
      </c>
      <c r="Q58" s="227">
        <f>Q55+Q56+Q57</f>
        <v/>
      </c>
      <c r="R58" s="230">
        <f>R55+R56+R57</f>
        <v/>
      </c>
      <c r="S58" s="231">
        <f>S55+S56+S57</f>
        <v/>
      </c>
      <c r="T58" s="232">
        <f>T55+T56+T57</f>
        <v/>
      </c>
      <c r="U58" s="227">
        <f>U55+U56+U57</f>
        <v/>
      </c>
      <c r="V58" s="227">
        <f>V55+V56+V57</f>
        <v/>
      </c>
      <c r="W58" s="227">
        <f>W55+W56+W57</f>
        <v/>
      </c>
      <c r="X58" s="227">
        <f>X55+X56+X57</f>
        <v/>
      </c>
      <c r="Y58" s="227">
        <f>Y55+Y56+Y57</f>
        <v/>
      </c>
      <c r="Z58" s="227">
        <f>Z55+Z56+Z57</f>
        <v/>
      </c>
      <c r="AA58" s="227">
        <f>AA55+AA56+AA57</f>
        <v/>
      </c>
      <c r="AB58" s="227">
        <f>AB55+AB56+AB57</f>
        <v/>
      </c>
      <c r="AC58" s="227">
        <f>AC55+AC56+AC57</f>
        <v/>
      </c>
      <c r="AD58" s="227">
        <f>AD55+AD56+AD57</f>
        <v/>
      </c>
      <c r="AE58" s="227">
        <f>AE55+AE56+AE57</f>
        <v/>
      </c>
      <c r="AF58" s="227">
        <f>AF55+AF56+AF57</f>
        <v/>
      </c>
      <c r="AG58" s="227">
        <f>AG55+AG56+AG57</f>
        <v/>
      </c>
      <c r="AH58" s="227">
        <f>AH55+AH56+AH57</f>
        <v/>
      </c>
      <c r="AI58" s="227">
        <f>AI55+AI56+AI57</f>
        <v/>
      </c>
      <c r="AJ58" s="227">
        <f>AJ55+AJ56+AJ57</f>
        <v/>
      </c>
      <c r="AK58" s="227">
        <f>AK55+AK56+AK57</f>
        <v/>
      </c>
      <c r="AL58" s="227">
        <f>AL55+AL56+AL57</f>
        <v/>
      </c>
      <c r="AM58" s="227">
        <f>AM55+AM56+AM57</f>
        <v/>
      </c>
      <c r="AN58" s="227">
        <f>AN55+AN56+AN57</f>
        <v/>
      </c>
      <c r="AO58" s="227">
        <f>AO55+AO56+AO57</f>
        <v/>
      </c>
      <c r="AP58" s="227">
        <f>AP55+AP56+AP57</f>
        <v/>
      </c>
      <c r="AQ58" s="227">
        <f>AQ55+AQ56+AQ57</f>
        <v/>
      </c>
      <c r="AR58" s="227">
        <f>AR55+AR56+AR57</f>
        <v/>
      </c>
      <c r="AS58" s="227">
        <f>AS55+AS56+AS57</f>
        <v/>
      </c>
      <c r="AT58" s="227">
        <f>AT55+AT56+AT57</f>
        <v/>
      </c>
      <c r="AU58" s="227">
        <f>AU55+AU56+AU57</f>
        <v/>
      </c>
      <c r="AV58" s="227">
        <f>AV55+AV56+AV57</f>
        <v/>
      </c>
      <c r="AW58" s="227">
        <f>AW55+AW56+AW57</f>
        <v/>
      </c>
      <c r="AX58" s="227">
        <f>AX55+AX56+AX57</f>
        <v/>
      </c>
      <c r="AY58" s="227">
        <f>AY55+AY56+AY57</f>
        <v/>
      </c>
      <c r="AZ58" s="230">
        <f>AZ55+AZ56+AZ57</f>
        <v/>
      </c>
      <c r="BA58" s="226" t="n"/>
      <c r="BB58" s="230">
        <f>sum(E58:P58)</f>
        <v/>
      </c>
      <c r="BC58" s="230">
        <f>sum(Q58:AB58)</f>
        <v/>
      </c>
      <c r="BD58" s="230">
        <f>sum(AC58:AN58)</f>
        <v/>
      </c>
      <c r="BE58" s="230">
        <f>sum(AO58:AZ58)</f>
        <v/>
      </c>
      <c r="BF58" s="230">
        <f>BF55+BF56+BF57</f>
        <v/>
      </c>
      <c r="BG58" s="205" t="n"/>
      <c r="BH58" s="40" t="inlineStr">
        <is>
          <t>equity plus loans in the month</t>
        </is>
      </c>
      <c r="BI58" s="205" t="n"/>
      <c r="BJ58" s="205" t="n"/>
    </row>
    <row r="59" ht="15.75" customHeight="1" s="349">
      <c r="A59" s="226" t="n"/>
      <c r="B59" s="233" t="n"/>
      <c r="C59" s="233" t="n"/>
      <c r="D59" s="233" t="n"/>
      <c r="E59" s="233" t="n"/>
      <c r="F59" s="233" t="n"/>
      <c r="G59" s="233" t="n"/>
      <c r="H59" s="233" t="n"/>
      <c r="I59" s="233" t="n"/>
      <c r="J59" s="233" t="n"/>
      <c r="K59" s="233" t="n"/>
      <c r="L59" s="233" t="n"/>
      <c r="M59" s="233" t="n"/>
      <c r="N59" s="233" t="n"/>
      <c r="O59" s="233" t="n"/>
      <c r="P59" s="233" t="n"/>
      <c r="Q59" s="233" t="n"/>
      <c r="R59" s="233" t="n"/>
      <c r="S59" s="233" t="n"/>
      <c r="T59" s="233" t="n"/>
      <c r="U59" s="233" t="n"/>
      <c r="V59" s="233" t="n"/>
      <c r="W59" s="233" t="n"/>
      <c r="X59" s="233" t="n"/>
      <c r="Y59" s="233" t="n"/>
      <c r="Z59" s="233" t="n"/>
      <c r="AA59" s="233" t="n"/>
      <c r="AB59" s="233" t="n"/>
      <c r="AC59" s="233" t="n"/>
      <c r="AD59" s="233" t="n"/>
      <c r="AE59" s="233" t="n"/>
      <c r="AF59" s="233" t="n"/>
      <c r="AG59" s="233" t="n"/>
      <c r="AH59" s="233" t="n"/>
      <c r="AI59" s="233" t="n"/>
      <c r="AJ59" s="233" t="n"/>
      <c r="AK59" s="233" t="n"/>
      <c r="AL59" s="233" t="n"/>
      <c r="AM59" s="233" t="n"/>
      <c r="AN59" s="233" t="n"/>
      <c r="AO59" s="233" t="n"/>
      <c r="AP59" s="233" t="n"/>
      <c r="AQ59" s="233" t="n"/>
      <c r="AR59" s="233" t="n"/>
      <c r="AS59" s="233" t="n"/>
      <c r="AT59" s="233" t="n"/>
      <c r="AU59" s="233" t="n"/>
      <c r="AV59" s="233" t="n"/>
      <c r="AW59" s="233" t="n"/>
      <c r="AX59" s="233" t="n"/>
      <c r="AY59" s="233" t="n"/>
      <c r="AZ59" s="233" t="n"/>
      <c r="BA59" s="226" t="n"/>
      <c r="BB59" s="233" t="n"/>
      <c r="BC59" s="233" t="n"/>
      <c r="BD59" s="233" t="n"/>
      <c r="BE59" s="233" t="n"/>
      <c r="BF59" s="233" t="n"/>
      <c r="BG59" s="226" t="n"/>
      <c r="BH59" s="40" t="n"/>
      <c r="BI59" s="226" t="n"/>
      <c r="BJ59" s="226" t="n"/>
    </row>
    <row r="60" ht="12.75" customHeight="1" s="349">
      <c r="A60" s="77" t="n"/>
      <c r="B60" s="227" t="inlineStr">
        <is>
          <t>Total Change in Cash</t>
        </is>
      </c>
      <c r="C60" s="228" t="n"/>
      <c r="D60" s="229" t="inlineStr">
        <is>
          <t>€</t>
        </is>
      </c>
      <c r="E60" s="227" t="n"/>
      <c r="F60" s="227" t="n"/>
      <c r="G60" s="227" t="n"/>
      <c r="H60" s="227" t="n"/>
      <c r="I60" s="227" t="n"/>
      <c r="J60" s="227" t="n"/>
      <c r="K60" s="227" t="n"/>
      <c r="L60" s="227" t="n"/>
      <c r="M60" s="227">
        <f>M52+M54+M58</f>
        <v/>
      </c>
      <c r="N60" s="227">
        <f>N52+N54+N58</f>
        <v/>
      </c>
      <c r="O60" s="227">
        <f>O52+O54+O58</f>
        <v/>
      </c>
      <c r="P60" s="227">
        <f>P52+P54+P58</f>
        <v/>
      </c>
      <c r="Q60" s="227">
        <f>Q52+Q54+Q58</f>
        <v/>
      </c>
      <c r="R60" s="230">
        <f>R52+R54+R58</f>
        <v/>
      </c>
      <c r="S60" s="231">
        <f>S52+S54+S58</f>
        <v/>
      </c>
      <c r="T60" s="232">
        <f>T52+T54+T58</f>
        <v/>
      </c>
      <c r="U60" s="227">
        <f>U52+U54+U58</f>
        <v/>
      </c>
      <c r="V60" s="227">
        <f>V52+V54+V58</f>
        <v/>
      </c>
      <c r="W60" s="227">
        <f>W52+W54+W58</f>
        <v/>
      </c>
      <c r="X60" s="227">
        <f>X52+X54+X58</f>
        <v/>
      </c>
      <c r="Y60" s="227">
        <f>Y52+Y54+Y58</f>
        <v/>
      </c>
      <c r="Z60" s="227">
        <f>Z52+Z54+Z58</f>
        <v/>
      </c>
      <c r="AA60" s="227">
        <f>AA52+AA54+AA58</f>
        <v/>
      </c>
      <c r="AB60" s="227">
        <f>AB52+AB54+AB58</f>
        <v/>
      </c>
      <c r="AC60" s="227">
        <f>AC52+AC54+AC58</f>
        <v/>
      </c>
      <c r="AD60" s="227">
        <f>AD52+AD54+AD58</f>
        <v/>
      </c>
      <c r="AE60" s="227">
        <f>AE52+AE54+AE58</f>
        <v/>
      </c>
      <c r="AF60" s="227">
        <f>AF52+AF54+AF58</f>
        <v/>
      </c>
      <c r="AG60" s="227">
        <f>AG52+AG54+AG58</f>
        <v/>
      </c>
      <c r="AH60" s="227">
        <f>AH52+AH54+AH58</f>
        <v/>
      </c>
      <c r="AI60" s="227">
        <f>AI52+AI54+AI58</f>
        <v/>
      </c>
      <c r="AJ60" s="227">
        <f>AJ52+AJ54+AJ58</f>
        <v/>
      </c>
      <c r="AK60" s="227">
        <f>AK52+AK54+AK58</f>
        <v/>
      </c>
      <c r="AL60" s="227">
        <f>AL52+AL54+AL58</f>
        <v/>
      </c>
      <c r="AM60" s="227">
        <f>AM52+AM54+AM58</f>
        <v/>
      </c>
      <c r="AN60" s="227">
        <f>AN52+AN54+AN58</f>
        <v/>
      </c>
      <c r="AO60" s="227">
        <f>AO52+AO54+AO58</f>
        <v/>
      </c>
      <c r="AP60" s="227">
        <f>AP52+AP54+AP58</f>
        <v/>
      </c>
      <c r="AQ60" s="227">
        <f>AQ52+AQ54+AQ58</f>
        <v/>
      </c>
      <c r="AR60" s="227">
        <f>AR52+AR54+AR58</f>
        <v/>
      </c>
      <c r="AS60" s="227">
        <f>AS52+AS54+AS58</f>
        <v/>
      </c>
      <c r="AT60" s="227">
        <f>AT52+AT54+AT58</f>
        <v/>
      </c>
      <c r="AU60" s="227">
        <f>AU52+AU54+AU58</f>
        <v/>
      </c>
      <c r="AV60" s="227">
        <f>AV52+AV54+AV58</f>
        <v/>
      </c>
      <c r="AW60" s="227">
        <f>AW52+AW54+AW58</f>
        <v/>
      </c>
      <c r="AX60" s="227">
        <f>AX52+AX54+AX58</f>
        <v/>
      </c>
      <c r="AY60" s="227">
        <f>AY52+AY54+AY58</f>
        <v/>
      </c>
      <c r="AZ60" s="230">
        <f>AZ52+AZ54+AZ58</f>
        <v/>
      </c>
      <c r="BA60" s="226" t="n"/>
      <c r="BB60" s="230">
        <f>BB58+BB54+BB52</f>
        <v/>
      </c>
      <c r="BC60" s="230">
        <f>BC58+BC54+BC52</f>
        <v/>
      </c>
      <c r="BD60" s="230">
        <f>BD58+BD54+BD52</f>
        <v/>
      </c>
      <c r="BE60" s="230">
        <f>BE58+BE54+BE52</f>
        <v/>
      </c>
      <c r="BF60" s="230">
        <f>BF58+BF54+BF52</f>
        <v/>
      </c>
      <c r="BG60" s="205" t="n"/>
      <c r="BH60" s="40" t="inlineStr">
        <is>
          <t>operating + investing + financing</t>
        </is>
      </c>
      <c r="BI60" s="205" t="n"/>
      <c r="BJ60" s="205" t="n"/>
    </row>
    <row r="61" ht="15.75" customHeight="1" s="349">
      <c r="A61" s="226" t="n"/>
      <c r="B61" s="241" t="inlineStr">
        <is>
          <t>Beginning cash balance</t>
        </is>
      </c>
      <c r="C61" s="233" t="n"/>
      <c r="D61" s="241" t="inlineStr">
        <is>
          <t>€</t>
        </is>
      </c>
      <c r="E61" s="251" t="n"/>
      <c r="F61" s="251" t="n"/>
      <c r="G61" s="251" t="n"/>
      <c r="H61" s="251" t="n"/>
      <c r="I61" s="251" t="n"/>
      <c r="J61" s="251" t="n"/>
      <c r="K61" s="251" t="n"/>
      <c r="L61" s="251" t="n"/>
      <c r="M61" s="251">
        <f>1111108+69465</f>
        <v/>
      </c>
      <c r="N61" s="241">
        <f>M62</f>
        <v/>
      </c>
      <c r="O61" s="241">
        <f>N62</f>
        <v/>
      </c>
      <c r="P61" s="241">
        <f>O62</f>
        <v/>
      </c>
      <c r="Q61" s="241">
        <f>P62</f>
        <v/>
      </c>
      <c r="R61" s="241">
        <f>Q62</f>
        <v/>
      </c>
      <c r="S61" s="241">
        <f>R62</f>
        <v/>
      </c>
      <c r="T61" s="241">
        <f>S62</f>
        <v/>
      </c>
      <c r="U61" s="241">
        <f>T62</f>
        <v/>
      </c>
      <c r="V61" s="241">
        <f>U62</f>
        <v/>
      </c>
      <c r="W61" s="241">
        <f>V62</f>
        <v/>
      </c>
      <c r="X61" s="241">
        <f>W62</f>
        <v/>
      </c>
      <c r="Y61" s="241">
        <f>X62</f>
        <v/>
      </c>
      <c r="Z61" s="241">
        <f>Y62</f>
        <v/>
      </c>
      <c r="AA61" s="241">
        <f>Z62</f>
        <v/>
      </c>
      <c r="AB61" s="241">
        <f>AA62</f>
        <v/>
      </c>
      <c r="AC61" s="241">
        <f>AB62</f>
        <v/>
      </c>
      <c r="AD61" s="241">
        <f>AC62</f>
        <v/>
      </c>
      <c r="AE61" s="241">
        <f>AD62</f>
        <v/>
      </c>
      <c r="AF61" s="241">
        <f>AE62</f>
        <v/>
      </c>
      <c r="AG61" s="241">
        <f>AF62</f>
        <v/>
      </c>
      <c r="AH61" s="241">
        <f>AG62</f>
        <v/>
      </c>
      <c r="AI61" s="241">
        <f>AH62</f>
        <v/>
      </c>
      <c r="AJ61" s="241">
        <f>AI62</f>
        <v/>
      </c>
      <c r="AK61" s="241">
        <f>AJ62</f>
        <v/>
      </c>
      <c r="AL61" s="241">
        <f>AK62</f>
        <v/>
      </c>
      <c r="AM61" s="241">
        <f>AL62</f>
        <v/>
      </c>
      <c r="AN61" s="241">
        <f>AM62</f>
        <v/>
      </c>
      <c r="AO61" s="241">
        <f>AN62</f>
        <v/>
      </c>
      <c r="AP61" s="241">
        <f>AO62</f>
        <v/>
      </c>
      <c r="AQ61" s="241">
        <f>AP62</f>
        <v/>
      </c>
      <c r="AR61" s="241">
        <f>AQ62</f>
        <v/>
      </c>
      <c r="AS61" s="241">
        <f>AR62</f>
        <v/>
      </c>
      <c r="AT61" s="241">
        <f>AS62</f>
        <v/>
      </c>
      <c r="AU61" s="241">
        <f>AT62</f>
        <v/>
      </c>
      <c r="AV61" s="241">
        <f>AU62</f>
        <v/>
      </c>
      <c r="AW61" s="241">
        <f>AV62</f>
        <v/>
      </c>
      <c r="AX61" s="241">
        <f>AW62</f>
        <v/>
      </c>
      <c r="AY61" s="241">
        <f>AX62</f>
        <v/>
      </c>
      <c r="AZ61" s="241">
        <f>AY62</f>
        <v/>
      </c>
      <c r="BA61" s="226" t="n"/>
      <c r="BB61" s="241">
        <f>BB60+BB62</f>
        <v/>
      </c>
      <c r="BC61" s="241">
        <f>Q61</f>
        <v/>
      </c>
      <c r="BD61" s="241">
        <f>AC61</f>
        <v/>
      </c>
      <c r="BE61" s="241">
        <f>AO61</f>
        <v/>
      </c>
      <c r="BF61" s="241">
        <f>AZ62</f>
        <v/>
      </c>
      <c r="BG61" s="66" t="n"/>
      <c r="BH61" s="40" t="inlineStr">
        <is>
          <t>last month's closing cash</t>
        </is>
      </c>
      <c r="BI61" s="66" t="n"/>
      <c r="BJ61" s="66" t="n"/>
    </row>
    <row r="62" ht="15.75" customHeight="1" s="349">
      <c r="A62" s="125" t="n"/>
      <c r="B62" s="126" t="inlineStr">
        <is>
          <t>Ending Cash Balance</t>
        </is>
      </c>
      <c r="C62" s="127" t="n"/>
      <c r="D62" s="126" t="inlineStr">
        <is>
          <t>€</t>
        </is>
      </c>
      <c r="E62" s="126" t="n"/>
      <c r="F62" s="126" t="n"/>
      <c r="G62" s="126" t="n"/>
      <c r="H62" s="126" t="n"/>
      <c r="I62" s="126" t="n"/>
      <c r="J62" s="126" t="n"/>
      <c r="K62" s="126" t="n"/>
      <c r="L62" s="126" t="n"/>
      <c r="M62" s="126">
        <f>M60+M61</f>
        <v/>
      </c>
      <c r="N62" s="126">
        <f>N61+N60</f>
        <v/>
      </c>
      <c r="O62" s="126">
        <f>O61+O60</f>
        <v/>
      </c>
      <c r="P62" s="126">
        <f>P61+P60</f>
        <v/>
      </c>
      <c r="Q62" s="126">
        <f>Q61+Q60</f>
        <v/>
      </c>
      <c r="R62" s="126">
        <f>R61+R60</f>
        <v/>
      </c>
      <c r="S62" s="126">
        <f>S61+S60</f>
        <v/>
      </c>
      <c r="T62" s="126">
        <f>T61+T60</f>
        <v/>
      </c>
      <c r="U62" s="126">
        <f>U61+U60</f>
        <v/>
      </c>
      <c r="V62" s="126">
        <f>V61+V60</f>
        <v/>
      </c>
      <c r="W62" s="126">
        <f>V62+W60</f>
        <v/>
      </c>
      <c r="X62" s="126">
        <f>X61+X60</f>
        <v/>
      </c>
      <c r="Y62" s="126">
        <f>Y61+Y60</f>
        <v/>
      </c>
      <c r="Z62" s="267">
        <f>Z61+Z60</f>
        <v/>
      </c>
      <c r="AA62" s="126">
        <f>AA61+AA60</f>
        <v/>
      </c>
      <c r="AB62" s="126">
        <f>AB61+AB60</f>
        <v/>
      </c>
      <c r="AC62" s="126">
        <f>AC61+AC60</f>
        <v/>
      </c>
      <c r="AD62" s="126">
        <f>AD61+AD60</f>
        <v/>
      </c>
      <c r="AE62" s="126">
        <f>AE61+AE60</f>
        <v/>
      </c>
      <c r="AF62" s="126">
        <f>AF61+AF60</f>
        <v/>
      </c>
      <c r="AG62" s="126">
        <f>AG61+AG60</f>
        <v/>
      </c>
      <c r="AH62" s="126">
        <f>AH61+AH60</f>
        <v/>
      </c>
      <c r="AI62" s="126">
        <f>AI61+AI60</f>
        <v/>
      </c>
      <c r="AJ62" s="126">
        <f>AJ61+AJ60</f>
        <v/>
      </c>
      <c r="AK62" s="126">
        <f>AK61+AK60</f>
        <v/>
      </c>
      <c r="AL62" s="126">
        <f>AL61+AL60</f>
        <v/>
      </c>
      <c r="AM62" s="126">
        <f>AM61+AM60</f>
        <v/>
      </c>
      <c r="AN62" s="126">
        <f>AN61+AN60</f>
        <v/>
      </c>
      <c r="AO62" s="126">
        <f>AO61+AO60</f>
        <v/>
      </c>
      <c r="AP62" s="126">
        <f>AP61+AP60</f>
        <v/>
      </c>
      <c r="AQ62" s="126">
        <f>AQ61+AQ60</f>
        <v/>
      </c>
      <c r="AR62" s="126">
        <f>AR61+AR60</f>
        <v/>
      </c>
      <c r="AS62" s="126">
        <f>AS61+AS60</f>
        <v/>
      </c>
      <c r="AT62" s="126">
        <f>AT61+AT60</f>
        <v/>
      </c>
      <c r="AU62" s="126">
        <f>AU61+AU60</f>
        <v/>
      </c>
      <c r="AV62" s="126">
        <f>AV61+AV60</f>
        <v/>
      </c>
      <c r="AW62" s="126">
        <f>AW61+AW60</f>
        <v/>
      </c>
      <c r="AX62" s="126">
        <f>AX61+AX60</f>
        <v/>
      </c>
      <c r="AY62" s="126">
        <f>AY61+AY60</f>
        <v/>
      </c>
      <c r="AZ62" s="134">
        <f>AZ61+AZ60</f>
        <v/>
      </c>
      <c r="BA62" s="133" t="n"/>
      <c r="BB62" s="134">
        <f>P62</f>
        <v/>
      </c>
      <c r="BC62" s="134">
        <f>BC60+BC61</f>
        <v/>
      </c>
      <c r="BD62" s="134">
        <f>BD60+BD61</f>
        <v/>
      </c>
      <c r="BE62" s="134">
        <f>BE60+BE61</f>
        <v/>
      </c>
      <c r="BF62" s="134">
        <f>BF60+BF61</f>
        <v/>
      </c>
      <c r="BG62" s="137" t="n"/>
      <c r="BH62" s="40" t="inlineStr">
        <is>
          <t>cash in minus cash out. this is the runway line to watch</t>
        </is>
      </c>
      <c r="BI62" s="137" t="n"/>
      <c r="BJ62" s="137" t="n"/>
    </row>
    <row r="63" ht="15.75" customHeight="1" s="349">
      <c r="A63" s="226" t="n"/>
      <c r="B63" s="233" t="n"/>
      <c r="C63" s="233" t="n"/>
      <c r="D63" s="233" t="n"/>
      <c r="E63" s="233" t="n"/>
      <c r="F63" s="233" t="n"/>
      <c r="G63" s="233" t="n"/>
      <c r="H63" s="233" t="n"/>
      <c r="I63" s="233" t="n"/>
      <c r="J63" s="233" t="n"/>
      <c r="K63" s="233" t="n"/>
      <c r="L63" s="233" t="n"/>
      <c r="M63" s="233" t="n"/>
      <c r="N63" s="233" t="n"/>
      <c r="O63" s="233" t="n"/>
      <c r="P63" s="233" t="n"/>
      <c r="Q63" s="233" t="n"/>
      <c r="R63" s="233" t="n"/>
      <c r="S63" s="233" t="n"/>
      <c r="T63" s="233" t="n"/>
      <c r="U63" s="233" t="n"/>
      <c r="V63" s="233" t="n"/>
      <c r="W63" s="233" t="n"/>
      <c r="X63" s="233" t="n"/>
      <c r="Y63" s="233" t="n"/>
      <c r="Z63" s="233" t="n"/>
      <c r="AA63" s="233" t="n"/>
      <c r="AB63" s="233" t="n"/>
      <c r="AC63" s="233" t="n"/>
      <c r="AD63" s="233" t="n"/>
      <c r="AE63" s="233" t="n"/>
      <c r="AF63" s="233" t="n"/>
      <c r="AG63" s="233" t="n"/>
      <c r="AH63" s="233" t="n"/>
      <c r="AI63" s="233" t="n"/>
      <c r="AJ63" s="233" t="n"/>
      <c r="AK63" s="233" t="n"/>
      <c r="AL63" s="233" t="n"/>
      <c r="AM63" s="233" t="n"/>
      <c r="AN63" s="233" t="n"/>
      <c r="AO63" s="233" t="n"/>
      <c r="AP63" s="233" t="n"/>
      <c r="AQ63" s="233" t="n"/>
      <c r="AR63" s="233" t="n"/>
      <c r="AS63" s="233" t="n"/>
      <c r="AT63" s="233" t="n"/>
      <c r="AU63" s="233" t="n"/>
      <c r="AV63" s="233" t="n"/>
      <c r="AW63" s="233" t="n"/>
      <c r="AX63" s="233" t="n"/>
      <c r="AY63" s="233" t="n"/>
      <c r="AZ63" s="233" t="n"/>
      <c r="BA63" s="226" t="n"/>
      <c r="BB63" s="233" t="n"/>
      <c r="BC63" s="233" t="n"/>
      <c r="BD63" s="233" t="n"/>
      <c r="BE63" s="233" t="n"/>
      <c r="BF63" s="233" t="n"/>
      <c r="BG63" s="226" t="n"/>
      <c r="BH63" s="40" t="n"/>
      <c r="BI63" s="226" t="n"/>
      <c r="BJ63" s="226" t="n"/>
    </row>
    <row r="64" ht="15.75" customHeight="1" s="349">
      <c r="A64" s="241" t="n"/>
      <c r="B64" s="203" t="inlineStr">
        <is>
          <t>BALANCE SHEET</t>
        </is>
      </c>
      <c r="C64" s="241" t="n"/>
      <c r="D64" s="241" t="n"/>
      <c r="E64" s="203" t="n"/>
      <c r="F64" s="203" t="n"/>
      <c r="G64" s="203" t="n"/>
      <c r="H64" s="203" t="n"/>
      <c r="I64" s="203" t="n"/>
      <c r="J64" s="203" t="n"/>
      <c r="K64" s="203" t="n"/>
      <c r="L64" s="203" t="n"/>
      <c r="M64" s="203" t="n"/>
      <c r="N64" s="203" t="n"/>
      <c r="O64" s="203" t="n"/>
      <c r="P64" s="203" t="n"/>
      <c r="Q64" s="203" t="n"/>
      <c r="R64" s="203" t="n"/>
      <c r="S64" s="203" t="n"/>
      <c r="T64" s="203" t="n"/>
      <c r="U64" s="233" t="n"/>
      <c r="V64" s="203" t="n"/>
      <c r="W64" s="203" t="n"/>
      <c r="X64" s="203" t="n"/>
      <c r="Y64" s="203" t="n"/>
      <c r="Z64" s="203" t="n"/>
      <c r="AA64" s="203" t="n"/>
      <c r="AB64" s="203" t="n"/>
      <c r="AC64" s="203" t="n"/>
      <c r="AD64" s="203" t="n"/>
      <c r="AE64" s="203" t="n"/>
      <c r="AF64" s="203" t="n"/>
      <c r="AG64" s="203" t="n"/>
      <c r="AH64" s="203" t="n"/>
      <c r="AI64" s="203" t="n"/>
      <c r="AJ64" s="203" t="n"/>
      <c r="AK64" s="203" t="n"/>
      <c r="AL64" s="203" t="n"/>
      <c r="AM64" s="203" t="n"/>
      <c r="AN64" s="203" t="n"/>
      <c r="AO64" s="203" t="n"/>
      <c r="AP64" s="203" t="n"/>
      <c r="AQ64" s="203" t="n"/>
      <c r="AR64" s="203" t="n"/>
      <c r="AS64" s="203" t="n"/>
      <c r="AT64" s="203" t="n"/>
      <c r="AU64" s="203" t="n"/>
      <c r="AV64" s="203" t="n"/>
      <c r="AW64" s="203" t="n"/>
      <c r="AX64" s="203" t="n"/>
      <c r="AY64" s="203" t="n"/>
      <c r="AZ64" s="203" t="n"/>
      <c r="BA64" s="241" t="n"/>
      <c r="BB64" s="203" t="n"/>
      <c r="BC64" s="203" t="n"/>
      <c r="BD64" s="203" t="n"/>
      <c r="BE64" s="203" t="n"/>
      <c r="BF64" s="203" t="n"/>
      <c r="BG64" s="203" t="n"/>
      <c r="BH64" s="83" t="n"/>
      <c r="BI64" s="203" t="n"/>
      <c r="BJ64" s="203" t="n"/>
    </row>
    <row r="65" ht="13.5" customHeight="1" s="349">
      <c r="A65" s="77" t="n"/>
      <c r="B65" s="79" t="inlineStr">
        <is>
          <t>ASSETS</t>
        </is>
      </c>
      <c r="C65" s="80" t="n"/>
      <c r="D65" s="80" t="n"/>
      <c r="E65" s="80" t="n"/>
      <c r="F65" s="80" t="n"/>
      <c r="G65" s="80" t="n"/>
      <c r="H65" s="80" t="n"/>
      <c r="I65" s="80" t="n"/>
      <c r="J65" s="80" t="n"/>
      <c r="K65" s="80" t="n"/>
      <c r="L65" s="80" t="n"/>
      <c r="M65" s="80" t="n"/>
      <c r="N65" s="80" t="n"/>
      <c r="O65" s="80" t="n"/>
      <c r="P65" s="80" t="n"/>
      <c r="Q65" s="80" t="n"/>
      <c r="R65" s="84" t="n"/>
      <c r="S65" s="85" t="n"/>
      <c r="T65" s="86" t="n"/>
      <c r="U65" s="80" t="n"/>
      <c r="V65" s="80" t="n"/>
      <c r="W65" s="80" t="n"/>
      <c r="X65" s="80" t="n"/>
      <c r="Y65" s="80" t="n"/>
      <c r="Z65" s="80" t="n"/>
      <c r="AA65" s="80" t="n"/>
      <c r="AB65" s="80" t="n"/>
      <c r="AC65" s="80" t="n"/>
      <c r="AD65" s="80" t="n"/>
      <c r="AE65" s="80" t="n"/>
      <c r="AF65" s="80" t="n"/>
      <c r="AG65" s="80" t="n"/>
      <c r="AH65" s="80" t="n"/>
      <c r="AI65" s="80" t="n"/>
      <c r="AJ65" s="80" t="n"/>
      <c r="AK65" s="80" t="n"/>
      <c r="AL65" s="80" t="n"/>
      <c r="AM65" s="80" t="n"/>
      <c r="AN65" s="80" t="n"/>
      <c r="AO65" s="80" t="n"/>
      <c r="AP65" s="80" t="n"/>
      <c r="AQ65" s="80" t="n"/>
      <c r="AR65" s="80" t="n"/>
      <c r="AS65" s="80" t="n"/>
      <c r="AT65" s="80" t="n"/>
      <c r="AU65" s="80" t="n"/>
      <c r="AV65" s="80" t="n"/>
      <c r="AW65" s="80" t="n"/>
      <c r="AX65" s="80" t="n"/>
      <c r="AY65" s="80" t="n"/>
      <c r="AZ65" s="84" t="n"/>
      <c r="BA65" s="226" t="n"/>
      <c r="BB65" s="84" t="n"/>
      <c r="BC65" s="84" t="n"/>
      <c r="BD65" s="84" t="n"/>
      <c r="BE65" s="84" t="n"/>
      <c r="BF65" s="84" t="n"/>
      <c r="BG65" s="226" t="n"/>
      <c r="BH65" s="40" t="n"/>
      <c r="BI65" s="226" t="n"/>
      <c r="BJ65" s="226" t="n"/>
    </row>
    <row r="66" ht="15.75" customHeight="1" s="349">
      <c r="A66" s="226" t="n"/>
      <c r="B66" s="241" t="inlineStr">
        <is>
          <t>Cash and cash equivalents</t>
        </is>
      </c>
      <c r="C66" s="233" t="n"/>
      <c r="D66" s="241" t="inlineStr">
        <is>
          <t>€</t>
        </is>
      </c>
      <c r="E66" s="241" t="n"/>
      <c r="F66" s="241" t="n"/>
      <c r="G66" s="241" t="n"/>
      <c r="H66" s="241" t="n"/>
      <c r="I66" s="241" t="n"/>
      <c r="J66" s="241" t="n"/>
      <c r="K66" s="241" t="n"/>
      <c r="L66" s="241" t="n"/>
      <c r="M66" s="241">
        <f>M62</f>
        <v/>
      </c>
      <c r="N66" s="241">
        <f>N62</f>
        <v/>
      </c>
      <c r="O66" s="241">
        <f>O62</f>
        <v/>
      </c>
      <c r="P66" s="241">
        <f>P62</f>
        <v/>
      </c>
      <c r="Q66" s="241">
        <f>Q62</f>
        <v/>
      </c>
      <c r="R66" s="241">
        <f>R62</f>
        <v/>
      </c>
      <c r="S66" s="241">
        <f>S62</f>
        <v/>
      </c>
      <c r="T66" s="241">
        <f>T62</f>
        <v/>
      </c>
      <c r="U66" s="241">
        <f>U62</f>
        <v/>
      </c>
      <c r="V66" s="241">
        <f>V62</f>
        <v/>
      </c>
      <c r="W66" s="241">
        <f>W62</f>
        <v/>
      </c>
      <c r="X66" s="241">
        <f>X62</f>
        <v/>
      </c>
      <c r="Y66" s="241">
        <f>Y62</f>
        <v/>
      </c>
      <c r="Z66" s="241">
        <f>Z62</f>
        <v/>
      </c>
      <c r="AA66" s="241">
        <f>AA62</f>
        <v/>
      </c>
      <c r="AB66" s="241">
        <f>AB62</f>
        <v/>
      </c>
      <c r="AC66" s="241">
        <f>AC62</f>
        <v/>
      </c>
      <c r="AD66" s="241">
        <f>AD62</f>
        <v/>
      </c>
      <c r="AE66" s="241">
        <f>AE62</f>
        <v/>
      </c>
      <c r="AF66" s="241">
        <f>AF62</f>
        <v/>
      </c>
      <c r="AG66" s="241">
        <f>AG62</f>
        <v/>
      </c>
      <c r="AH66" s="241">
        <f>AH62</f>
        <v/>
      </c>
      <c r="AI66" s="241">
        <f>AI62</f>
        <v/>
      </c>
      <c r="AJ66" s="241">
        <f>AJ62</f>
        <v/>
      </c>
      <c r="AK66" s="241">
        <f>AK62</f>
        <v/>
      </c>
      <c r="AL66" s="241">
        <f>AL62</f>
        <v/>
      </c>
      <c r="AM66" s="241">
        <f>AM62</f>
        <v/>
      </c>
      <c r="AN66" s="241">
        <f>AN62</f>
        <v/>
      </c>
      <c r="AO66" s="241">
        <f>AO62</f>
        <v/>
      </c>
      <c r="AP66" s="241">
        <f>AP62</f>
        <v/>
      </c>
      <c r="AQ66" s="241">
        <f>AQ62</f>
        <v/>
      </c>
      <c r="AR66" s="241">
        <f>AR62</f>
        <v/>
      </c>
      <c r="AS66" s="241">
        <f>AS62</f>
        <v/>
      </c>
      <c r="AT66" s="241">
        <f>AT62</f>
        <v/>
      </c>
      <c r="AU66" s="241">
        <f>AU62</f>
        <v/>
      </c>
      <c r="AV66" s="241">
        <f>AV62</f>
        <v/>
      </c>
      <c r="AW66" s="241">
        <f>AW62</f>
        <v/>
      </c>
      <c r="AX66" s="241">
        <f>AX62</f>
        <v/>
      </c>
      <c r="AY66" s="241">
        <f>AY62</f>
        <v/>
      </c>
      <c r="AZ66" s="241">
        <f>AZ62</f>
        <v/>
      </c>
      <c r="BA66" s="226" t="n"/>
      <c r="BB66" s="241">
        <f>P66</f>
        <v/>
      </c>
      <c r="BC66" s="241">
        <f>AB66</f>
        <v/>
      </c>
      <c r="BD66" s="241">
        <f>AN66</f>
        <v/>
      </c>
      <c r="BE66" s="241">
        <f>AZ66</f>
        <v/>
      </c>
      <c r="BF66" s="241">
        <f>BF62</f>
        <v/>
      </c>
      <c r="BG66" s="66" t="n"/>
      <c r="BH66" s="40" t="inlineStr">
        <is>
          <t>the closing cash from the cash flow above</t>
        </is>
      </c>
      <c r="BI66" s="66" t="n"/>
      <c r="BJ66" s="66" t="n"/>
    </row>
    <row r="67" ht="15.75" customHeight="1" s="349">
      <c r="A67" s="226" t="n"/>
      <c r="B67" s="241" t="inlineStr">
        <is>
          <t>Deferred tax assest ("carry forward")</t>
        </is>
      </c>
      <c r="C67" s="233" t="n"/>
      <c r="D67" s="241" t="inlineStr">
        <is>
          <t>€</t>
        </is>
      </c>
      <c r="E67" s="241" t="n"/>
      <c r="F67" s="241" t="n"/>
      <c r="G67" s="241" t="n"/>
      <c r="H67" s="241" t="n"/>
      <c r="I67" s="241" t="n"/>
      <c r="J67" s="241" t="n"/>
      <c r="K67" s="241" t="n"/>
      <c r="L67" s="241" t="n"/>
      <c r="M67" s="241">
        <f>M44</f>
        <v/>
      </c>
      <c r="N67" s="241">
        <f>N44</f>
        <v/>
      </c>
      <c r="O67" s="241">
        <f>O44</f>
        <v/>
      </c>
      <c r="P67" s="241">
        <f>P44</f>
        <v/>
      </c>
      <c r="Q67" s="241">
        <f>Q44</f>
        <v/>
      </c>
      <c r="R67" s="241">
        <f>R44</f>
        <v/>
      </c>
      <c r="S67" s="241">
        <f>S44</f>
        <v/>
      </c>
      <c r="T67" s="241">
        <f>T44</f>
        <v/>
      </c>
      <c r="U67" s="241">
        <f>U44</f>
        <v/>
      </c>
      <c r="V67" s="241">
        <f>V44</f>
        <v/>
      </c>
      <c r="W67" s="241">
        <f>W44</f>
        <v/>
      </c>
      <c r="X67" s="241">
        <f>X44</f>
        <v/>
      </c>
      <c r="Y67" s="241">
        <f>Y44</f>
        <v/>
      </c>
      <c r="Z67" s="241">
        <f>Z44</f>
        <v/>
      </c>
      <c r="AA67" s="241">
        <f>AA44</f>
        <v/>
      </c>
      <c r="AB67" s="241">
        <f>AB44</f>
        <v/>
      </c>
      <c r="AC67" s="241">
        <f>AC44</f>
        <v/>
      </c>
      <c r="AD67" s="241">
        <f>AD44</f>
        <v/>
      </c>
      <c r="AE67" s="241">
        <f>AE44</f>
        <v/>
      </c>
      <c r="AF67" s="241">
        <f>AF44</f>
        <v/>
      </c>
      <c r="AG67" s="241">
        <f>AG44</f>
        <v/>
      </c>
      <c r="AH67" s="241">
        <f>AH44</f>
        <v/>
      </c>
      <c r="AI67" s="241">
        <f>AI44</f>
        <v/>
      </c>
      <c r="AJ67" s="241">
        <f>AJ44</f>
        <v/>
      </c>
      <c r="AK67" s="241">
        <f>AK44</f>
        <v/>
      </c>
      <c r="AL67" s="241">
        <f>AL44</f>
        <v/>
      </c>
      <c r="AM67" s="241">
        <f>AM44</f>
        <v/>
      </c>
      <c r="AN67" s="241">
        <f>AN44</f>
        <v/>
      </c>
      <c r="AO67" s="241">
        <f>AO44</f>
        <v/>
      </c>
      <c r="AP67" s="241">
        <f>AP44</f>
        <v/>
      </c>
      <c r="AQ67" s="241">
        <f>AQ44</f>
        <v/>
      </c>
      <c r="AR67" s="241">
        <f>AR44</f>
        <v/>
      </c>
      <c r="AS67" s="241">
        <f>AS44</f>
        <v/>
      </c>
      <c r="AT67" s="241">
        <f>AT44</f>
        <v/>
      </c>
      <c r="AU67" s="241">
        <f>AU44</f>
        <v/>
      </c>
      <c r="AV67" s="241">
        <f>AV44</f>
        <v/>
      </c>
      <c r="AW67" s="241">
        <f>AW44</f>
        <v/>
      </c>
      <c r="AX67" s="241">
        <f>AX44</f>
        <v/>
      </c>
      <c r="AY67" s="241">
        <f>AY44</f>
        <v/>
      </c>
      <c r="AZ67" s="241">
        <f>AZ44</f>
        <v/>
      </c>
      <c r="BA67" s="226" t="n"/>
      <c r="BB67" s="241">
        <f>P67</f>
        <v/>
      </c>
      <c r="BC67" s="241">
        <f>AB67</f>
        <v/>
      </c>
      <c r="BD67" s="241">
        <f>AN67</f>
        <v/>
      </c>
      <c r="BE67" s="241">
        <f>AZ67</f>
        <v/>
      </c>
      <c r="BF67" s="241" t="n">
        <v>0</v>
      </c>
      <c r="BG67" s="66" t="n"/>
      <c r="BH67" s="40" t="inlineStr">
        <is>
          <t>unused tax losses, parked as an asset</t>
        </is>
      </c>
      <c r="BI67" s="66" t="n"/>
      <c r="BJ67" s="66" t="n"/>
    </row>
    <row r="68" ht="15.75" customHeight="1" s="349">
      <c r="A68" s="226" t="n"/>
      <c r="B68" s="241" t="inlineStr">
        <is>
          <t>Accounts receivable (DSO-based)</t>
        </is>
      </c>
      <c r="C68" s="233" t="n"/>
      <c r="D68" s="241" t="inlineStr">
        <is>
          <t>€</t>
        </is>
      </c>
      <c r="E68" s="241" t="n"/>
      <c r="F68" s="241" t="n"/>
      <c r="G68" s="241" t="n"/>
      <c r="H68" s="241" t="n"/>
      <c r="I68" s="241" t="n"/>
      <c r="J68" s="241" t="n"/>
      <c r="K68" s="241" t="n"/>
      <c r="L68" s="241" t="n"/>
      <c r="M68" s="241">
        <f>ABS(Assumptions!$D$15*(M11/30))</f>
        <v/>
      </c>
      <c r="N68" s="241">
        <f>ABS(Assumptions!$D$15*(N11/30))</f>
        <v/>
      </c>
      <c r="O68" s="241">
        <f>ABS(Assumptions!$D$15*(O11/30))</f>
        <v/>
      </c>
      <c r="P68" s="241">
        <f>ABS(Assumptions!$D$15*(P11/30))</f>
        <v/>
      </c>
      <c r="Q68" s="241">
        <f>ABS(Assumptions!$D$15*(Q11/30))</f>
        <v/>
      </c>
      <c r="R68" s="241">
        <f>ABS(Assumptions!$D$15*(R11/30))</f>
        <v/>
      </c>
      <c r="S68" s="241">
        <f>ABS(Assumptions!$D$15*(S11/30))</f>
        <v/>
      </c>
      <c r="T68" s="241">
        <f>ABS(Assumptions!$D$15*(T11/30))</f>
        <v/>
      </c>
      <c r="U68" s="241">
        <f>ABS(Assumptions!$D$15*(U11/30))</f>
        <v/>
      </c>
      <c r="V68" s="241">
        <f>ABS(Assumptions!$D$15*(V11/30))</f>
        <v/>
      </c>
      <c r="W68" s="241">
        <f>ABS(Assumptions!$D$15*(W11/30))</f>
        <v/>
      </c>
      <c r="X68" s="241">
        <f>ABS(Assumptions!$D$15*(X11/30))</f>
        <v/>
      </c>
      <c r="Y68" s="241">
        <f>ABS(Assumptions!$D$15*(Y11/30))</f>
        <v/>
      </c>
      <c r="Z68" s="241">
        <f>ABS(Assumptions!$D$15*(Z11/30))</f>
        <v/>
      </c>
      <c r="AA68" s="241">
        <f>ABS(Assumptions!$D$15*(AA11/30))</f>
        <v/>
      </c>
      <c r="AB68" s="241">
        <f>ABS(Assumptions!$D$15*(AB11/30))</f>
        <v/>
      </c>
      <c r="AC68" s="241">
        <f>ABS(Assumptions!$D$15*(AC11/30))</f>
        <v/>
      </c>
      <c r="AD68" s="241">
        <f>ABS(Assumptions!$D$15*(AD11/30))</f>
        <v/>
      </c>
      <c r="AE68" s="241">
        <f>ABS(Assumptions!$D$15*(AE11/30))</f>
        <v/>
      </c>
      <c r="AF68" s="241">
        <f>ABS(Assumptions!$D$15*(AF11/30))</f>
        <v/>
      </c>
      <c r="AG68" s="241">
        <f>ABS(Assumptions!$D$15*(AG11/30))</f>
        <v/>
      </c>
      <c r="AH68" s="241">
        <f>ABS(Assumptions!$D$15*(AH11/30))</f>
        <v/>
      </c>
      <c r="AI68" s="241">
        <f>ABS(Assumptions!$D$15*(AI11/30))</f>
        <v/>
      </c>
      <c r="AJ68" s="241">
        <f>ABS(Assumptions!$D$15*(AJ11/30))</f>
        <v/>
      </c>
      <c r="AK68" s="241">
        <f>ABS(Assumptions!$D$15*(AK11/30))</f>
        <v/>
      </c>
      <c r="AL68" s="241">
        <f>ABS(Assumptions!$D$15*(AL11/30))</f>
        <v/>
      </c>
      <c r="AM68" s="241">
        <f>ABS(Assumptions!$D$15*(AM11/30))</f>
        <v/>
      </c>
      <c r="AN68" s="241">
        <f>ABS(Assumptions!$D$15*(AN11/30))</f>
        <v/>
      </c>
      <c r="AO68" s="241">
        <f>ABS(Assumptions!$D$15*(AO11/30))</f>
        <v/>
      </c>
      <c r="AP68" s="241">
        <f>ABS(Assumptions!$D$15*(AP11/30))</f>
        <v/>
      </c>
      <c r="AQ68" s="241">
        <f>ABS(Assumptions!$D$15*(AQ11/30))</f>
        <v/>
      </c>
      <c r="AR68" s="241">
        <f>ABS(Assumptions!$D$15*(AR11/30))</f>
        <v/>
      </c>
      <c r="AS68" s="241">
        <f>ABS(Assumptions!$D$15*(AS11/30))</f>
        <v/>
      </c>
      <c r="AT68" s="241">
        <f>ABS(Assumptions!$D$15*(AT11/30))</f>
        <v/>
      </c>
      <c r="AU68" s="241">
        <f>ABS(Assumptions!$D$15*(AU11/30))</f>
        <v/>
      </c>
      <c r="AV68" s="241">
        <f>ABS(Assumptions!$D$15*(AV11/30))</f>
        <v/>
      </c>
      <c r="AW68" s="241">
        <f>ABS(Assumptions!$D$15*(AW11/30))</f>
        <v/>
      </c>
      <c r="AX68" s="241">
        <f>ABS(Assumptions!$D$15*(AX11/30))</f>
        <v/>
      </c>
      <c r="AY68" s="241">
        <f>ABS(Assumptions!$D$15*(AY11/30))</f>
        <v/>
      </c>
      <c r="AZ68" s="241">
        <f>ABS(Assumptions!$D$15*(AZ11/30))</f>
        <v/>
      </c>
      <c r="BA68" s="226" t="n"/>
      <c r="BB68" s="241">
        <f>P68</f>
        <v/>
      </c>
      <c r="BC68" s="241">
        <f>AB68</f>
        <v/>
      </c>
      <c r="BD68" s="241">
        <f>AN68</f>
        <v/>
      </c>
      <c r="BE68" s="241">
        <f>AZ68</f>
        <v/>
      </c>
      <c r="BF68" s="241">
        <f>Assumptions!$D$15/365*BF11</f>
        <v/>
      </c>
      <c r="BG68" s="66" t="n"/>
      <c r="BH68" s="40" t="inlineStr">
        <is>
          <t>receivables: DSO days' worth of revenue not collected yet</t>
        </is>
      </c>
      <c r="BI68" s="66" t="n"/>
      <c r="BJ68" s="66" t="n"/>
    </row>
    <row r="69" ht="15.75" customHeight="1" s="349">
      <c r="A69" s="226" t="n"/>
      <c r="B69" s="241" t="inlineStr">
        <is>
          <t>Inventory (DIO-based)</t>
        </is>
      </c>
      <c r="C69" s="233" t="n"/>
      <c r="D69" s="241" t="inlineStr">
        <is>
          <t>€</t>
        </is>
      </c>
      <c r="E69" s="241" t="n"/>
      <c r="F69" s="241" t="n"/>
      <c r="G69" s="241" t="n"/>
      <c r="H69" s="241" t="n"/>
      <c r="I69" s="241" t="n"/>
      <c r="J69" s="241" t="n"/>
      <c r="K69" s="241" t="n"/>
      <c r="L69" s="241" t="n"/>
      <c r="M69" s="241">
        <f>ABS(Assumptions!$D$17*(M17/30))</f>
        <v/>
      </c>
      <c r="N69" s="241">
        <f>ABS(Assumptions!$D$17*(N17/30))</f>
        <v/>
      </c>
      <c r="O69" s="241">
        <f>ABS(Assumptions!$D$17*(O17/30))</f>
        <v/>
      </c>
      <c r="P69" s="241">
        <f>ABS(Assumptions!$D$17*(P17/30))</f>
        <v/>
      </c>
      <c r="Q69" s="241">
        <f>ABS(Assumptions!$D$17*(Q17/30))</f>
        <v/>
      </c>
      <c r="R69" s="241">
        <f>ABS(Assumptions!$D$17*(R17/30))</f>
        <v/>
      </c>
      <c r="S69" s="241">
        <f>ABS(Assumptions!$D$17*(S17/30))</f>
        <v/>
      </c>
      <c r="T69" s="241">
        <f>ABS(Assumptions!$D$17*(T17/30))</f>
        <v/>
      </c>
      <c r="U69" s="241">
        <f>ABS(Assumptions!$D$17*(U17/30))</f>
        <v/>
      </c>
      <c r="V69" s="241">
        <f>ABS(Assumptions!$D$17*(V17/30))</f>
        <v/>
      </c>
      <c r="W69" s="241">
        <f>ABS(Assumptions!$D$17*(W17/30))</f>
        <v/>
      </c>
      <c r="X69" s="241">
        <f>ABS(Assumptions!$D$17*(X17/30))</f>
        <v/>
      </c>
      <c r="Y69" s="241">
        <f>ABS(Assumptions!$D$17*(Y17/30))</f>
        <v/>
      </c>
      <c r="Z69" s="241">
        <f>ABS(Assumptions!$D$17*(Z17/30))</f>
        <v/>
      </c>
      <c r="AA69" s="241">
        <f>ABS(Assumptions!$D$17*(AA17/30))</f>
        <v/>
      </c>
      <c r="AB69" s="241">
        <f>ABS(Assumptions!$D$17*(AB17/30))</f>
        <v/>
      </c>
      <c r="AC69" s="241">
        <f>ABS(Assumptions!$D$17*(AC17/30))</f>
        <v/>
      </c>
      <c r="AD69" s="241">
        <f>ABS(Assumptions!$D$17*(AD17/30))</f>
        <v/>
      </c>
      <c r="AE69" s="241">
        <f>ABS(Assumptions!$D$17*(AE17/30))</f>
        <v/>
      </c>
      <c r="AF69" s="241">
        <f>ABS(Assumptions!$D$17*(AF17/30))</f>
        <v/>
      </c>
      <c r="AG69" s="241">
        <f>ABS(Assumptions!$D$17*(AG17/30))</f>
        <v/>
      </c>
      <c r="AH69" s="241">
        <f>ABS(Assumptions!$D$17*(AH17/30))</f>
        <v/>
      </c>
      <c r="AI69" s="241">
        <f>ABS(Assumptions!$D$17*(AI17/30))</f>
        <v/>
      </c>
      <c r="AJ69" s="241">
        <f>ABS(Assumptions!$D$17*(AJ17/30))</f>
        <v/>
      </c>
      <c r="AK69" s="241">
        <f>ABS(Assumptions!$D$17*(AK17/30))</f>
        <v/>
      </c>
      <c r="AL69" s="241">
        <f>ABS(Assumptions!$D$17*(AL17/30))</f>
        <v/>
      </c>
      <c r="AM69" s="241">
        <f>ABS(Assumptions!$D$17*(AM17/30))</f>
        <v/>
      </c>
      <c r="AN69" s="241">
        <f>ABS(Assumptions!$D$17*(AN17/30))</f>
        <v/>
      </c>
      <c r="AO69" s="241">
        <f>ABS(Assumptions!$D$17*(AO17/30))</f>
        <v/>
      </c>
      <c r="AP69" s="241">
        <f>ABS(Assumptions!$D$17*(AP17/30))</f>
        <v/>
      </c>
      <c r="AQ69" s="241">
        <f>ABS(Assumptions!$D$17*(AQ17/30))</f>
        <v/>
      </c>
      <c r="AR69" s="241">
        <f>ABS(Assumptions!$D$17*(AR17/30))</f>
        <v/>
      </c>
      <c r="AS69" s="241">
        <f>ABS(Assumptions!$D$17*(AS17/30))</f>
        <v/>
      </c>
      <c r="AT69" s="241">
        <f>ABS(Assumptions!$D$17*(AT17/30))</f>
        <v/>
      </c>
      <c r="AU69" s="241">
        <f>ABS(Assumptions!$D$17*(AU17/30))</f>
        <v/>
      </c>
      <c r="AV69" s="241">
        <f>ABS(Assumptions!$D$17*(AV17/30))</f>
        <v/>
      </c>
      <c r="AW69" s="241">
        <f>ABS(Assumptions!$D$17*(AW17/30))</f>
        <v/>
      </c>
      <c r="AX69" s="241">
        <f>ABS(Assumptions!$D$17*(AX17/30))</f>
        <v/>
      </c>
      <c r="AY69" s="241">
        <f>ABS(Assumptions!$D$17*(AY17/30))</f>
        <v/>
      </c>
      <c r="AZ69" s="241">
        <f>ABS(Assumptions!$D$17*(AZ17/30))</f>
        <v/>
      </c>
      <c r="BA69" s="226" t="n"/>
      <c r="BB69" s="241">
        <f>P69</f>
        <v/>
      </c>
      <c r="BC69" s="241">
        <f>AB69</f>
        <v/>
      </c>
      <c r="BD69" s="241">
        <f>AN69</f>
        <v/>
      </c>
      <c r="BE69" s="241">
        <f>AZ69</f>
        <v/>
      </c>
      <c r="BF69" s="241">
        <f>Assumptions!$D$17/365*BF17</f>
        <v/>
      </c>
      <c r="BG69" s="66" t="n"/>
      <c r="BH69" s="40" t="inlineStr">
        <is>
          <t>inventory: days of stock x cost of sales. 0 days, so zero</t>
        </is>
      </c>
      <c r="BI69" s="66" t="n"/>
      <c r="BJ69" s="66" t="n"/>
    </row>
    <row r="70" ht="12.75" customHeight="1" s="349">
      <c r="A70" s="77" t="n"/>
      <c r="B70" s="227" t="inlineStr">
        <is>
          <t>Total Current Assets</t>
        </is>
      </c>
      <c r="C70" s="228" t="n"/>
      <c r="D70" s="229" t="inlineStr">
        <is>
          <t>€</t>
        </is>
      </c>
      <c r="E70" s="227" t="n"/>
      <c r="F70" s="227" t="n"/>
      <c r="G70" s="227" t="n"/>
      <c r="H70" s="227" t="n"/>
      <c r="I70" s="227" t="n"/>
      <c r="J70" s="227" t="n"/>
      <c r="K70" s="227" t="n"/>
      <c r="L70" s="227" t="n"/>
      <c r="M70" s="227">
        <f>sum(M66:M69)</f>
        <v/>
      </c>
      <c r="N70" s="227">
        <f>sum(N66:N69)</f>
        <v/>
      </c>
      <c r="O70" s="227">
        <f>sum(O66:O69)</f>
        <v/>
      </c>
      <c r="P70" s="227">
        <f>sum(P66:P69)</f>
        <v/>
      </c>
      <c r="Q70" s="227">
        <f>sum(Q66:Q69)</f>
        <v/>
      </c>
      <c r="R70" s="227">
        <f>sum(R66:R69)</f>
        <v/>
      </c>
      <c r="S70" s="227">
        <f>sum(S66:S69)</f>
        <v/>
      </c>
      <c r="T70" s="227">
        <f>sum(T66:T69)</f>
        <v/>
      </c>
      <c r="U70" s="227">
        <f>sum(U66:U69)</f>
        <v/>
      </c>
      <c r="V70" s="227">
        <f>sum(V66:V69)</f>
        <v/>
      </c>
      <c r="W70" s="227">
        <f>sum(W66:W69)</f>
        <v/>
      </c>
      <c r="X70" s="227">
        <f>sum(X66:X69)</f>
        <v/>
      </c>
      <c r="Y70" s="227">
        <f>sum(Y66:Y69)</f>
        <v/>
      </c>
      <c r="Z70" s="227">
        <f>sum(Z66:Z69)</f>
        <v/>
      </c>
      <c r="AA70" s="227">
        <f>sum(AA66:AA69)</f>
        <v/>
      </c>
      <c r="AB70" s="227">
        <f>sum(AB66:AB69)</f>
        <v/>
      </c>
      <c r="AC70" s="227">
        <f>sum(AC66:AC69)</f>
        <v/>
      </c>
      <c r="AD70" s="227">
        <f>sum(AD66:AD69)</f>
        <v/>
      </c>
      <c r="AE70" s="227">
        <f>sum(AE66:AE69)</f>
        <v/>
      </c>
      <c r="AF70" s="227">
        <f>sum(AF66:AF69)</f>
        <v/>
      </c>
      <c r="AG70" s="227">
        <f>sum(AG66:AG69)</f>
        <v/>
      </c>
      <c r="AH70" s="227">
        <f>sum(AH66:AH69)</f>
        <v/>
      </c>
      <c r="AI70" s="227">
        <f>sum(AI66:AI69)</f>
        <v/>
      </c>
      <c r="AJ70" s="227">
        <f>sum(AJ66:AJ69)</f>
        <v/>
      </c>
      <c r="AK70" s="227">
        <f>sum(AK66:AK69)</f>
        <v/>
      </c>
      <c r="AL70" s="227">
        <f>sum(AL66:AL69)</f>
        <v/>
      </c>
      <c r="AM70" s="227">
        <f>sum(AM66:AM69)</f>
        <v/>
      </c>
      <c r="AN70" s="227">
        <f>sum(AN66:AN69)</f>
        <v/>
      </c>
      <c r="AO70" s="227">
        <f>sum(AO66:AO69)</f>
        <v/>
      </c>
      <c r="AP70" s="227">
        <f>sum(AP66:AP69)</f>
        <v/>
      </c>
      <c r="AQ70" s="227">
        <f>sum(AQ66:AQ69)</f>
        <v/>
      </c>
      <c r="AR70" s="227">
        <f>sum(AR66:AR69)</f>
        <v/>
      </c>
      <c r="AS70" s="227">
        <f>sum(AS66:AS69)</f>
        <v/>
      </c>
      <c r="AT70" s="227">
        <f>sum(AT66:AT69)</f>
        <v/>
      </c>
      <c r="AU70" s="227">
        <f>sum(AU66:AU69)</f>
        <v/>
      </c>
      <c r="AV70" s="227">
        <f>sum(AV66:AV69)</f>
        <v/>
      </c>
      <c r="AW70" s="227">
        <f>sum(AW66:AW69)</f>
        <v/>
      </c>
      <c r="AX70" s="227">
        <f>sum(AX66:AX69)</f>
        <v/>
      </c>
      <c r="AY70" s="227">
        <f>sum(AY66:AY69)</f>
        <v/>
      </c>
      <c r="AZ70" s="227">
        <f>sum(AZ66:AZ69)</f>
        <v/>
      </c>
      <c r="BA70" s="226" t="n"/>
      <c r="BB70" s="230">
        <f>P70</f>
        <v/>
      </c>
      <c r="BC70" s="230">
        <f>AB70</f>
        <v/>
      </c>
      <c r="BD70" s="230">
        <f>AN70</f>
        <v/>
      </c>
      <c r="BE70" s="230">
        <f>AZ70</f>
        <v/>
      </c>
      <c r="BF70" s="230">
        <f>BF66+BF68+BF69</f>
        <v/>
      </c>
      <c r="BG70" s="205" t="n"/>
      <c r="BH70" s="40" t="inlineStr">
        <is>
          <t>cash + receivables + inventory</t>
        </is>
      </c>
      <c r="BI70" s="205" t="n"/>
      <c r="BJ70" s="205" t="n"/>
    </row>
    <row r="71" ht="15.75" customHeight="1" s="349">
      <c r="A71" s="226" t="n"/>
      <c r="B71" s="233" t="n"/>
      <c r="C71" s="233" t="n"/>
      <c r="D71" s="233" t="n"/>
      <c r="E71" s="233" t="n"/>
      <c r="F71" s="233" t="n"/>
      <c r="G71" s="233" t="n"/>
      <c r="H71" s="233" t="n"/>
      <c r="I71" s="233" t="n"/>
      <c r="J71" s="233" t="n"/>
      <c r="K71" s="233" t="n"/>
      <c r="L71" s="233" t="n"/>
      <c r="M71" s="233" t="n"/>
      <c r="N71" s="233" t="n"/>
      <c r="O71" s="233" t="n"/>
      <c r="P71" s="233" t="n"/>
      <c r="Q71" s="233" t="n"/>
      <c r="R71" s="233" t="n"/>
      <c r="S71" s="233" t="n"/>
      <c r="T71" s="233" t="n"/>
      <c r="U71" s="233" t="n"/>
      <c r="V71" s="233" t="n"/>
      <c r="W71" s="233" t="n"/>
      <c r="X71" s="233" t="n"/>
      <c r="Y71" s="233" t="n"/>
      <c r="Z71" s="233" t="n"/>
      <c r="AA71" s="233" t="n"/>
      <c r="AB71" s="233" t="n"/>
      <c r="AC71" s="233" t="n"/>
      <c r="AD71" s="233" t="n"/>
      <c r="AE71" s="233" t="n"/>
      <c r="AF71" s="233" t="n"/>
      <c r="AG71" s="233" t="n"/>
      <c r="AH71" s="233" t="n"/>
      <c r="AI71" s="233" t="n"/>
      <c r="AJ71" s="233" t="n"/>
      <c r="AK71" s="233" t="n"/>
      <c r="AL71" s="233" t="n"/>
      <c r="AM71" s="233" t="n"/>
      <c r="AN71" s="233" t="n"/>
      <c r="AO71" s="233" t="n"/>
      <c r="AP71" s="233" t="n"/>
      <c r="AQ71" s="233" t="n"/>
      <c r="AR71" s="233" t="n"/>
      <c r="AS71" s="233" t="n"/>
      <c r="AT71" s="233" t="n"/>
      <c r="AU71" s="233" t="n"/>
      <c r="AV71" s="233" t="n"/>
      <c r="AW71" s="233" t="n"/>
      <c r="AX71" s="233" t="n"/>
      <c r="AY71" s="233" t="n"/>
      <c r="AZ71" s="233" t="n"/>
      <c r="BA71" s="226" t="n"/>
      <c r="BB71" s="233" t="n"/>
      <c r="BC71" s="233" t="n"/>
      <c r="BD71" s="233" t="n"/>
      <c r="BE71" s="233" t="n"/>
      <c r="BF71" s="233" t="n"/>
      <c r="BG71" s="226" t="n"/>
      <c r="BH71" s="40" t="n"/>
      <c r="BI71" s="226" t="n"/>
      <c r="BJ71" s="226" t="n"/>
    </row>
    <row r="72" ht="15.75" customHeight="1" s="349">
      <c r="A72" s="226" t="n"/>
      <c r="B72" s="241" t="inlineStr">
        <is>
          <t xml:space="preserve">Net PP&amp;E </t>
        </is>
      </c>
      <c r="C72" s="233" t="n"/>
      <c r="D72" s="241" t="inlineStr">
        <is>
          <t>€</t>
        </is>
      </c>
      <c r="E72" s="241">
        <f>-SUM($E$53:E53)-SUM($E$35:E35)</f>
        <v/>
      </c>
      <c r="F72" s="241">
        <f>-SUM($E$53:F53)-SUM($E$35:F35)</f>
        <v/>
      </c>
      <c r="G72" s="241">
        <f>-SUM($E$53:G53)-SUM($E$35:G35)</f>
        <v/>
      </c>
      <c r="H72" s="241">
        <f>-SUM($E$53:H53)-SUM($E$35:H35)</f>
        <v/>
      </c>
      <c r="I72" s="241">
        <f>-SUM($E$53:I53)-SUM($E$35:I35)</f>
        <v/>
      </c>
      <c r="J72" s="241">
        <f>-SUM($E$53:J53)-SUM($E$35:J35)</f>
        <v/>
      </c>
      <c r="K72" s="241">
        <f>-SUM($E$53:K53)-SUM($E$35:K35)</f>
        <v/>
      </c>
      <c r="L72" s="241">
        <f>-SUM($E$53:L53)-SUM($E$35:L35)</f>
        <v/>
      </c>
      <c r="M72" s="241">
        <f>-SUM($E$53:M53)-SUM($E$35:M35)</f>
        <v/>
      </c>
      <c r="N72" s="241">
        <f>-SUM($E$53:N53)-SUM($E$35:N35)</f>
        <v/>
      </c>
      <c r="O72" s="241">
        <f>-SUM($E$53:O53)-SUM($E$35:O35)</f>
        <v/>
      </c>
      <c r="P72" s="241">
        <f>-SUM($E$53:P53)-SUM($E$35:P35)</f>
        <v/>
      </c>
      <c r="Q72" s="241">
        <f>-SUM($E$53:Q53)-SUM($E$35:Q35)</f>
        <v/>
      </c>
      <c r="R72" s="241">
        <f>-SUM($E$53:R53)-SUM($E$35:R35)</f>
        <v/>
      </c>
      <c r="S72" s="241">
        <f>-SUM($E$53:S53)-SUM($E$35:S35)</f>
        <v/>
      </c>
      <c r="T72" s="241">
        <f>-SUM($E$53:T53)-SUM($E$35:T35)</f>
        <v/>
      </c>
      <c r="U72" s="241">
        <f>-SUM($E$53:U53)-SUM($E$35:U35)</f>
        <v/>
      </c>
      <c r="V72" s="241">
        <f>-SUM($E$53:V53)-SUM($E$35:V35)</f>
        <v/>
      </c>
      <c r="W72" s="241">
        <f>-SUM($E$53:W53)-SUM($E$35:W35)</f>
        <v/>
      </c>
      <c r="X72" s="241">
        <f>-SUM($E$53:X53)-SUM($E$35:X35)</f>
        <v/>
      </c>
      <c r="Y72" s="241">
        <f>-SUM($E$53:Y53)-SUM($E$35:Y35)</f>
        <v/>
      </c>
      <c r="Z72" s="241">
        <f>-SUM($E$53:Z53)-SUM($E$35:Z35)</f>
        <v/>
      </c>
      <c r="AA72" s="241">
        <f>-SUM($E$53:AA53)-SUM($E$35:AA35)</f>
        <v/>
      </c>
      <c r="AB72" s="241">
        <f>-SUM($E$53:AB53)-SUM($E$35:AB35)</f>
        <v/>
      </c>
      <c r="AC72" s="241">
        <f>-SUM($E$53:AC53)-SUM($E$35:AC35)</f>
        <v/>
      </c>
      <c r="AD72" s="241">
        <f>-SUM($E$53:AD53)-SUM($E$35:AD35)</f>
        <v/>
      </c>
      <c r="AE72" s="241">
        <f>-SUM($E$53:AE53)-SUM($E$35:AE35)</f>
        <v/>
      </c>
      <c r="AF72" s="241">
        <f>-SUM($E$53:AF53)-SUM($E$35:AF35)</f>
        <v/>
      </c>
      <c r="AG72" s="241">
        <f>-SUM($E$53:AG53)-SUM($E$35:AG35)</f>
        <v/>
      </c>
      <c r="AH72" s="241">
        <f>-SUM($E$53:AH53)-SUM($E$35:AH35)</f>
        <v/>
      </c>
      <c r="AI72" s="241">
        <f>-SUM($E$53:AI53)-SUM($E$35:AI35)</f>
        <v/>
      </c>
      <c r="AJ72" s="241">
        <f>-SUM($E$53:AJ53)-SUM($E$35:AJ35)</f>
        <v/>
      </c>
      <c r="AK72" s="241">
        <f>-SUM($E$53:AK53)-SUM($E$35:AK35)</f>
        <v/>
      </c>
      <c r="AL72" s="241">
        <f>-SUM($E$53:AL53)-SUM($E$35:AL35)</f>
        <v/>
      </c>
      <c r="AM72" s="241">
        <f>-SUM($E$53:AM53)-SUM($E$35:AM35)</f>
        <v/>
      </c>
      <c r="AN72" s="241">
        <f>-SUM($E$53:AN53)-SUM($E$35:AN35)</f>
        <v/>
      </c>
      <c r="AO72" s="241">
        <f>-SUM($E$53:AO53)-SUM($E$35:AO35)</f>
        <v/>
      </c>
      <c r="AP72" s="241">
        <f>-SUM($E$53:AP53)-SUM($E$35:AP35)</f>
        <v/>
      </c>
      <c r="AQ72" s="241">
        <f>-SUM($E$53:AQ53)-SUM($E$35:AQ35)</f>
        <v/>
      </c>
      <c r="AR72" s="241">
        <f>-SUM($E$53:AR53)-SUM($E$35:AR35)</f>
        <v/>
      </c>
      <c r="AS72" s="241">
        <f>-SUM($E$53:AS53)-SUM($E$35:AS35)</f>
        <v/>
      </c>
      <c r="AT72" s="241">
        <f>-SUM($E$53:AT53)-SUM($E$35:AT35)</f>
        <v/>
      </c>
      <c r="AU72" s="241">
        <f>-SUM($E$53:AU53)-SUM($E$35:AU35)</f>
        <v/>
      </c>
      <c r="AV72" s="241">
        <f>-SUM($E$53:AV53)-SUM($E$35:AV35)</f>
        <v/>
      </c>
      <c r="AW72" s="241">
        <f>-SUM($E$53:AW53)-SUM($E$35:AW35)</f>
        <v/>
      </c>
      <c r="AX72" s="241">
        <f>-SUM($E$53:AX53)-SUM($E$35:AX35)</f>
        <v/>
      </c>
      <c r="AY72" s="241">
        <f>-SUM($E$53:AY53)-SUM($E$35:AY35)</f>
        <v/>
      </c>
      <c r="AZ72" s="241">
        <f>-SUM($E$53:AZ53)-SUM($E$35:AZ35)</f>
        <v/>
      </c>
      <c r="BA72" s="226" t="n"/>
      <c r="BB72" s="241">
        <f>P72</f>
        <v/>
      </c>
      <c r="BC72" s="241">
        <f>AB72</f>
        <v/>
      </c>
      <c r="BD72" s="241">
        <f>AN72</f>
        <v/>
      </c>
      <c r="BE72" s="241">
        <f>AZ72</f>
        <v/>
      </c>
      <c r="BF72" s="241">
        <f>BE72+(-BF53)-BF35</f>
        <v/>
      </c>
      <c r="BG72" s="66" t="n"/>
      <c r="BH72" s="40" t="inlineStr">
        <is>
          <t>cumulative capex less accumulated depreciation</t>
        </is>
      </c>
      <c r="BI72" s="66" t="n"/>
      <c r="BJ72" s="66" t="n"/>
    </row>
    <row r="73" ht="12.75" customHeight="1" s="349">
      <c r="A73" s="77" t="n"/>
      <c r="B73" s="227" t="inlineStr">
        <is>
          <t>Total Fixed Assets</t>
        </is>
      </c>
      <c r="C73" s="228" t="n"/>
      <c r="D73" s="229" t="inlineStr">
        <is>
          <t>€</t>
        </is>
      </c>
      <c r="E73" s="227" t="n"/>
      <c r="F73" s="227" t="n"/>
      <c r="G73" s="227" t="n"/>
      <c r="H73" s="227" t="n"/>
      <c r="I73" s="227" t="n"/>
      <c r="J73" s="227" t="n"/>
      <c r="K73" s="227" t="n"/>
      <c r="L73" s="227" t="n"/>
      <c r="M73" s="227">
        <f>M72</f>
        <v/>
      </c>
      <c r="N73" s="227">
        <f>N72</f>
        <v/>
      </c>
      <c r="O73" s="227">
        <f>O72</f>
        <v/>
      </c>
      <c r="P73" s="227">
        <f>P72</f>
        <v/>
      </c>
      <c r="Q73" s="227">
        <f>Q72</f>
        <v/>
      </c>
      <c r="R73" s="230">
        <f>R72</f>
        <v/>
      </c>
      <c r="S73" s="231">
        <f>S72</f>
        <v/>
      </c>
      <c r="T73" s="232">
        <f>T72</f>
        <v/>
      </c>
      <c r="U73" s="227">
        <f>U72</f>
        <v/>
      </c>
      <c r="V73" s="227">
        <f>V72</f>
        <v/>
      </c>
      <c r="W73" s="227">
        <f>W72</f>
        <v/>
      </c>
      <c r="X73" s="227">
        <f>X72</f>
        <v/>
      </c>
      <c r="Y73" s="227">
        <f>Y72</f>
        <v/>
      </c>
      <c r="Z73" s="227">
        <f>Z72</f>
        <v/>
      </c>
      <c r="AA73" s="227">
        <f>AA72</f>
        <v/>
      </c>
      <c r="AB73" s="227">
        <f>AB72</f>
        <v/>
      </c>
      <c r="AC73" s="227">
        <f>AC72</f>
        <v/>
      </c>
      <c r="AD73" s="227">
        <f>AD72</f>
        <v/>
      </c>
      <c r="AE73" s="227">
        <f>AE72</f>
        <v/>
      </c>
      <c r="AF73" s="227">
        <f>AF72</f>
        <v/>
      </c>
      <c r="AG73" s="227">
        <f>AG72</f>
        <v/>
      </c>
      <c r="AH73" s="227">
        <f>AH72</f>
        <v/>
      </c>
      <c r="AI73" s="227">
        <f>AI72</f>
        <v/>
      </c>
      <c r="AJ73" s="227">
        <f>AJ72</f>
        <v/>
      </c>
      <c r="AK73" s="227">
        <f>AK72</f>
        <v/>
      </c>
      <c r="AL73" s="227">
        <f>AL72</f>
        <v/>
      </c>
      <c r="AM73" s="227">
        <f>AM72</f>
        <v/>
      </c>
      <c r="AN73" s="227">
        <f>AN72</f>
        <v/>
      </c>
      <c r="AO73" s="227">
        <f>AO72</f>
        <v/>
      </c>
      <c r="AP73" s="227">
        <f>AP72</f>
        <v/>
      </c>
      <c r="AQ73" s="227">
        <f>AQ72</f>
        <v/>
      </c>
      <c r="AR73" s="227">
        <f>AR72</f>
        <v/>
      </c>
      <c r="AS73" s="227">
        <f>AS72</f>
        <v/>
      </c>
      <c r="AT73" s="227">
        <f>AT72</f>
        <v/>
      </c>
      <c r="AU73" s="227">
        <f>AU72</f>
        <v/>
      </c>
      <c r="AV73" s="227">
        <f>AV72</f>
        <v/>
      </c>
      <c r="AW73" s="227">
        <f>AW72</f>
        <v/>
      </c>
      <c r="AX73" s="227">
        <f>AX72</f>
        <v/>
      </c>
      <c r="AY73" s="227">
        <f>AY72</f>
        <v/>
      </c>
      <c r="AZ73" s="230">
        <f>AZ72</f>
        <v/>
      </c>
      <c r="BA73" s="226" t="n"/>
      <c r="BB73" s="230">
        <f>P73</f>
        <v/>
      </c>
      <c r="BC73" s="230">
        <f>AB73</f>
        <v/>
      </c>
      <c r="BD73" s="230">
        <f>AN73</f>
        <v/>
      </c>
      <c r="BE73" s="230">
        <f>AZ73</f>
        <v/>
      </c>
      <c r="BF73" s="230">
        <f>BF72</f>
        <v/>
      </c>
      <c r="BG73" s="205" t="n"/>
      <c r="BH73" s="40" t="inlineStr">
        <is>
          <t>same as net PP&amp;E</t>
        </is>
      </c>
      <c r="BI73" s="205" t="n"/>
      <c r="BJ73" s="205" t="n"/>
    </row>
    <row r="74" ht="15.75" customHeight="1" s="349">
      <c r="A74" s="125" t="n"/>
      <c r="B74" s="126" t="inlineStr">
        <is>
          <t>TOTAL ASSETS</t>
        </is>
      </c>
      <c r="C74" s="127" t="n"/>
      <c r="D74" s="126" t="inlineStr">
        <is>
          <t>€</t>
        </is>
      </c>
      <c r="E74" s="126" t="n"/>
      <c r="F74" s="126" t="n"/>
      <c r="G74" s="126" t="n"/>
      <c r="H74" s="126" t="n"/>
      <c r="I74" s="126" t="n"/>
      <c r="J74" s="126" t="n"/>
      <c r="K74" s="126" t="n"/>
      <c r="L74" s="126" t="n"/>
      <c r="M74" s="126">
        <f>M70+M73</f>
        <v/>
      </c>
      <c r="N74" s="126">
        <f>N70+N73</f>
        <v/>
      </c>
      <c r="O74" s="126">
        <f>O70+O73</f>
        <v/>
      </c>
      <c r="P74" s="126">
        <f>P70+P73</f>
        <v/>
      </c>
      <c r="Q74" s="126">
        <f>Q70+Q73</f>
        <v/>
      </c>
      <c r="R74" s="126">
        <f>R70+R73</f>
        <v/>
      </c>
      <c r="S74" s="126">
        <f>S70+S73</f>
        <v/>
      </c>
      <c r="T74" s="126">
        <f>T70+T73</f>
        <v/>
      </c>
      <c r="U74" s="126">
        <f>U70+U73</f>
        <v/>
      </c>
      <c r="V74" s="126">
        <f>V70+V73</f>
        <v/>
      </c>
      <c r="W74" s="126">
        <f>W70+W73</f>
        <v/>
      </c>
      <c r="X74" s="126">
        <f>X70+X73</f>
        <v/>
      </c>
      <c r="Y74" s="126">
        <f>Y70+Y73</f>
        <v/>
      </c>
      <c r="Z74" s="126">
        <f>Z70+Z73</f>
        <v/>
      </c>
      <c r="AA74" s="126">
        <f>AA70+AA73</f>
        <v/>
      </c>
      <c r="AB74" s="126">
        <f>AB70+AB73</f>
        <v/>
      </c>
      <c r="AC74" s="126">
        <f>AC70+AC73</f>
        <v/>
      </c>
      <c r="AD74" s="126">
        <f>AD70+AD73</f>
        <v/>
      </c>
      <c r="AE74" s="126">
        <f>AE70+AE73</f>
        <v/>
      </c>
      <c r="AF74" s="126">
        <f>AF70+AF73</f>
        <v/>
      </c>
      <c r="AG74" s="126">
        <f>AG70+AG73</f>
        <v/>
      </c>
      <c r="AH74" s="126">
        <f>AH70+AH73</f>
        <v/>
      </c>
      <c r="AI74" s="126">
        <f>AI70+AI73</f>
        <v/>
      </c>
      <c r="AJ74" s="126">
        <f>AJ70+AJ73</f>
        <v/>
      </c>
      <c r="AK74" s="126">
        <f>AK70+AK73</f>
        <v/>
      </c>
      <c r="AL74" s="126">
        <f>AL70+AL73</f>
        <v/>
      </c>
      <c r="AM74" s="126">
        <f>AM70+AM73</f>
        <v/>
      </c>
      <c r="AN74" s="126">
        <f>AN70+AN73</f>
        <v/>
      </c>
      <c r="AO74" s="126">
        <f>AO70+AO73</f>
        <v/>
      </c>
      <c r="AP74" s="126">
        <f>AP70+AP73</f>
        <v/>
      </c>
      <c r="AQ74" s="126">
        <f>AQ70+AQ73</f>
        <v/>
      </c>
      <c r="AR74" s="126">
        <f>AR70+AR73</f>
        <v/>
      </c>
      <c r="AS74" s="126">
        <f>AS70+AS73</f>
        <v/>
      </c>
      <c r="AT74" s="126">
        <f>AT70+AT73</f>
        <v/>
      </c>
      <c r="AU74" s="126">
        <f>AU70+AU73</f>
        <v/>
      </c>
      <c r="AV74" s="126">
        <f>AV70+AV73</f>
        <v/>
      </c>
      <c r="AW74" s="126">
        <f>AW70+AW73</f>
        <v/>
      </c>
      <c r="AX74" s="126">
        <f>AX70+AX73</f>
        <v/>
      </c>
      <c r="AY74" s="126">
        <f>AY70+AY73</f>
        <v/>
      </c>
      <c r="AZ74" s="134">
        <f>AZ70+AZ73</f>
        <v/>
      </c>
      <c r="BA74" s="133" t="n"/>
      <c r="BB74" s="134">
        <f>P74</f>
        <v/>
      </c>
      <c r="BC74" s="134">
        <f>AB74</f>
        <v/>
      </c>
      <c r="BD74" s="134">
        <f>AN74</f>
        <v/>
      </c>
      <c r="BE74" s="134">
        <f>AZ74</f>
        <v/>
      </c>
      <c r="BF74" s="134">
        <f>BF70+BF73</f>
        <v/>
      </c>
      <c r="BG74" s="137" t="n"/>
      <c r="BH74" s="40" t="inlineStr">
        <is>
          <t>current assets + fixed assets</t>
        </is>
      </c>
      <c r="BI74" s="137" t="n"/>
      <c r="BJ74" s="137" t="n"/>
    </row>
    <row r="75" ht="15.75" customHeight="1" s="349">
      <c r="A75" s="226" t="n"/>
      <c r="B75" s="233" t="n"/>
      <c r="C75" s="233" t="n"/>
      <c r="D75" s="233" t="n"/>
      <c r="E75" s="233" t="n"/>
      <c r="F75" s="233" t="n"/>
      <c r="G75" s="233" t="n"/>
      <c r="H75" s="233" t="n"/>
      <c r="I75" s="233" t="n"/>
      <c r="J75" s="233" t="n"/>
      <c r="K75" s="233" t="n"/>
      <c r="L75" s="233" t="n"/>
      <c r="M75" s="233" t="n"/>
      <c r="N75" s="233" t="n"/>
      <c r="O75" s="233" t="n"/>
      <c r="P75" s="233" t="n"/>
      <c r="Q75" s="233" t="n"/>
      <c r="R75" s="233" t="n"/>
      <c r="S75" s="233" t="n"/>
      <c r="T75" s="233" t="n"/>
      <c r="U75" s="233" t="n"/>
      <c r="V75" s="233" t="n"/>
      <c r="W75" s="233" t="n"/>
      <c r="X75" s="233" t="n"/>
      <c r="Y75" s="233" t="n"/>
      <c r="Z75" s="233" t="n"/>
      <c r="AA75" s="233" t="n"/>
      <c r="AB75" s="233" t="n"/>
      <c r="AC75" s="233" t="n"/>
      <c r="AD75" s="233" t="n"/>
      <c r="AE75" s="233" t="n"/>
      <c r="AF75" s="233" t="n"/>
      <c r="AG75" s="233" t="n"/>
      <c r="AH75" s="233" t="n"/>
      <c r="AI75" s="233" t="n"/>
      <c r="AJ75" s="233" t="n"/>
      <c r="AK75" s="233" t="n"/>
      <c r="AL75" s="233" t="n"/>
      <c r="AM75" s="233" t="n"/>
      <c r="AN75" s="233" t="n"/>
      <c r="AO75" s="233" t="n"/>
      <c r="AP75" s="233" t="n"/>
      <c r="AQ75" s="233" t="n"/>
      <c r="AR75" s="233" t="n"/>
      <c r="AS75" s="233" t="n"/>
      <c r="AT75" s="233" t="n"/>
      <c r="AU75" s="233" t="n"/>
      <c r="AV75" s="233" t="n"/>
      <c r="AW75" s="233" t="n"/>
      <c r="AX75" s="233" t="n"/>
      <c r="AY75" s="233" t="n"/>
      <c r="AZ75" s="233" t="n"/>
      <c r="BA75" s="226" t="n"/>
      <c r="BB75" s="233" t="n"/>
      <c r="BC75" s="233" t="n"/>
      <c r="BD75" s="233" t="n"/>
      <c r="BE75" s="233" t="n"/>
      <c r="BF75" s="233" t="n"/>
      <c r="BG75" s="226" t="n"/>
      <c r="BH75" s="40" t="n"/>
      <c r="BI75" s="226" t="n"/>
      <c r="BJ75" s="226" t="n"/>
    </row>
    <row r="76" ht="13.5" customHeight="1" s="349">
      <c r="A76" s="77" t="n"/>
      <c r="B76" s="79" t="inlineStr">
        <is>
          <t>EQUITY &amp; LIABILITIES</t>
        </is>
      </c>
      <c r="C76" s="80" t="n"/>
      <c r="D76" s="80" t="n"/>
      <c r="E76" s="80" t="n"/>
      <c r="F76" s="80" t="n"/>
      <c r="G76" s="80" t="n"/>
      <c r="H76" s="80" t="n"/>
      <c r="I76" s="80" t="n"/>
      <c r="J76" s="80" t="n"/>
      <c r="K76" s="80" t="n"/>
      <c r="L76" s="80" t="n"/>
      <c r="M76" s="80" t="n"/>
      <c r="N76" s="80" t="n"/>
      <c r="O76" s="80" t="n"/>
      <c r="P76" s="80" t="n"/>
      <c r="Q76" s="80" t="n"/>
      <c r="R76" s="84" t="n"/>
      <c r="S76" s="85" t="n"/>
      <c r="T76" s="86" t="n"/>
      <c r="U76" s="80" t="n"/>
      <c r="V76" s="80" t="n"/>
      <c r="W76" s="80" t="n"/>
      <c r="X76" s="80" t="n"/>
      <c r="Y76" s="80" t="n"/>
      <c r="Z76" s="80" t="n"/>
      <c r="AA76" s="80" t="n"/>
      <c r="AB76" s="80" t="n"/>
      <c r="AC76" s="80" t="n"/>
      <c r="AD76" s="80" t="n"/>
      <c r="AE76" s="80" t="n"/>
      <c r="AF76" s="80" t="n"/>
      <c r="AG76" s="80" t="n"/>
      <c r="AH76" s="80" t="n"/>
      <c r="AI76" s="80" t="n"/>
      <c r="AJ76" s="80" t="n"/>
      <c r="AK76" s="80" t="n"/>
      <c r="AL76" s="80" t="n"/>
      <c r="AM76" s="80" t="n"/>
      <c r="AN76" s="80" t="n"/>
      <c r="AO76" s="80" t="n"/>
      <c r="AP76" s="80" t="n"/>
      <c r="AQ76" s="80" t="n"/>
      <c r="AR76" s="80" t="n"/>
      <c r="AS76" s="80" t="n"/>
      <c r="AT76" s="80" t="n"/>
      <c r="AU76" s="80" t="n"/>
      <c r="AV76" s="80" t="n"/>
      <c r="AW76" s="80" t="n"/>
      <c r="AX76" s="80" t="n"/>
      <c r="AY76" s="80" t="n"/>
      <c r="AZ76" s="84" t="n"/>
      <c r="BA76" s="226" t="n"/>
      <c r="BB76" s="84" t="n"/>
      <c r="BC76" s="84" t="n"/>
      <c r="BD76" s="84" t="n"/>
      <c r="BE76" s="84" t="n"/>
      <c r="BF76" s="84" t="n"/>
      <c r="BG76" s="226" t="n"/>
      <c r="BH76" s="40" t="n"/>
      <c r="BI76" s="226" t="n"/>
      <c r="BJ76" s="226" t="n"/>
    </row>
    <row r="77" ht="15.75" customHeight="1" s="349">
      <c r="A77" s="226" t="n"/>
      <c r="B77" s="241" t="inlineStr">
        <is>
          <t>Accounts payable (DPO-based)</t>
        </is>
      </c>
      <c r="C77" s="233" t="n"/>
      <c r="D77" s="241" t="inlineStr">
        <is>
          <t>€</t>
        </is>
      </c>
      <c r="E77" s="241" t="n"/>
      <c r="F77" s="241" t="n"/>
      <c r="G77" s="241" t="n"/>
      <c r="H77" s="241" t="n"/>
      <c r="I77" s="241" t="n"/>
      <c r="J77" s="241" t="n"/>
      <c r="K77" s="241" t="n"/>
      <c r="L77" s="241" t="n"/>
      <c r="M77" s="241">
        <f>ABS(Assumptions!$D$16*(M17/30))</f>
        <v/>
      </c>
      <c r="N77" s="241">
        <f>ABS(Assumptions!$D$16*(N17/30))</f>
        <v/>
      </c>
      <c r="O77" s="241">
        <f>ABS(Assumptions!$D$16*(O17/30))</f>
        <v/>
      </c>
      <c r="P77" s="241">
        <f>ABS(Assumptions!$D$16*(P17/30))</f>
        <v/>
      </c>
      <c r="Q77" s="241">
        <f>ABS(Assumptions!$D$16*(Q17/30))</f>
        <v/>
      </c>
      <c r="R77" s="241">
        <f>ABS(Assumptions!$D$16*(R17/30))</f>
        <v/>
      </c>
      <c r="S77" s="241">
        <f>ABS(Assumptions!$D$16*(S17/30))</f>
        <v/>
      </c>
      <c r="T77" s="241">
        <f>ABS(Assumptions!$D$16*(T17/30))</f>
        <v/>
      </c>
      <c r="U77" s="241">
        <f>ABS(Assumptions!$D$16*(U17/30))</f>
        <v/>
      </c>
      <c r="V77" s="241">
        <f>ABS(Assumptions!$D$16*(V17/30))</f>
        <v/>
      </c>
      <c r="W77" s="241">
        <f>ABS(Assumptions!$D$16*(W17/30))</f>
        <v/>
      </c>
      <c r="X77" s="241">
        <f>ABS(Assumptions!$D$16*(X17/30))</f>
        <v/>
      </c>
      <c r="Y77" s="241">
        <f>ABS(Assumptions!$D$16*(Y17/30))</f>
        <v/>
      </c>
      <c r="Z77" s="241">
        <f>ABS(Assumptions!$D$16*(Z17/30))</f>
        <v/>
      </c>
      <c r="AA77" s="241">
        <f>ABS(Assumptions!$D$16*(AA17/30))</f>
        <v/>
      </c>
      <c r="AB77" s="241">
        <f>ABS(Assumptions!$D$16*(AB17/30))</f>
        <v/>
      </c>
      <c r="AC77" s="241">
        <f>ABS(Assumptions!$D$16*(AC17/30))</f>
        <v/>
      </c>
      <c r="AD77" s="241">
        <f>ABS(Assumptions!$D$16*(AD17/30))</f>
        <v/>
      </c>
      <c r="AE77" s="241">
        <f>ABS(Assumptions!$D$16*(AE17/30))</f>
        <v/>
      </c>
      <c r="AF77" s="241">
        <f>ABS(Assumptions!$D$16*(AF17/30))</f>
        <v/>
      </c>
      <c r="AG77" s="241">
        <f>ABS(Assumptions!$D$16*(AG17/30))</f>
        <v/>
      </c>
      <c r="AH77" s="241">
        <f>ABS(Assumptions!$D$16*(AH17/30))</f>
        <v/>
      </c>
      <c r="AI77" s="241">
        <f>ABS(Assumptions!$D$16*(AI17/30))</f>
        <v/>
      </c>
      <c r="AJ77" s="241">
        <f>ABS(Assumptions!$D$16*(AJ17/30))</f>
        <v/>
      </c>
      <c r="AK77" s="241">
        <f>ABS(Assumptions!$D$16*(AK17/30))</f>
        <v/>
      </c>
      <c r="AL77" s="241">
        <f>ABS(Assumptions!$D$16*(AL17/30))</f>
        <v/>
      </c>
      <c r="AM77" s="241">
        <f>ABS(Assumptions!$D$16*(AM17/30))</f>
        <v/>
      </c>
      <c r="AN77" s="241">
        <f>ABS(Assumptions!$D$16*(AN17/30))</f>
        <v/>
      </c>
      <c r="AO77" s="241">
        <f>ABS(Assumptions!$D$16*(AO17/30))</f>
        <v/>
      </c>
      <c r="AP77" s="241">
        <f>ABS(Assumptions!$D$16*(AP17/30))</f>
        <v/>
      </c>
      <c r="AQ77" s="241">
        <f>ABS(Assumptions!$D$16*(AQ17/30))</f>
        <v/>
      </c>
      <c r="AR77" s="241">
        <f>ABS(Assumptions!$D$16*(AR17/30))</f>
        <v/>
      </c>
      <c r="AS77" s="241">
        <f>ABS(Assumptions!$D$16*(AS17/30))</f>
        <v/>
      </c>
      <c r="AT77" s="241">
        <f>ABS(Assumptions!$D$16*(AT17/30))</f>
        <v/>
      </c>
      <c r="AU77" s="241">
        <f>ABS(Assumptions!$D$16*(AU17/30))</f>
        <v/>
      </c>
      <c r="AV77" s="241">
        <f>ABS(Assumptions!$D$16*(AV17/30))</f>
        <v/>
      </c>
      <c r="AW77" s="241">
        <f>ABS(Assumptions!$D$16*(AW17/30))</f>
        <v/>
      </c>
      <c r="AX77" s="241">
        <f>ABS(Assumptions!$D$16*(AX17/30))</f>
        <v/>
      </c>
      <c r="AY77" s="241">
        <f>ABS(Assumptions!$D$16*(AY17/30))</f>
        <v/>
      </c>
      <c r="AZ77" s="241">
        <f>ABS(Assumptions!$D$16*(AZ17/30))</f>
        <v/>
      </c>
      <c r="BA77" s="226" t="n"/>
      <c r="BB77" s="241">
        <f>P77</f>
        <v/>
      </c>
      <c r="BC77" s="241">
        <f>AB77</f>
        <v/>
      </c>
      <c r="BD77" s="241">
        <f>AN77</f>
        <v/>
      </c>
      <c r="BE77" s="241">
        <f>AZ77</f>
        <v/>
      </c>
      <c r="BF77" s="241">
        <f>Assumptions!$D$16/365*BF17</f>
        <v/>
      </c>
      <c r="BG77" s="66" t="n"/>
      <c r="BH77" s="40" t="inlineStr">
        <is>
          <t>payables: DPO days' worth of cost of sales not paid yet</t>
        </is>
      </c>
      <c r="BI77" s="66" t="n"/>
      <c r="BJ77" s="66" t="n"/>
    </row>
    <row r="78" ht="12.75" customHeight="1" s="349">
      <c r="A78" s="77" t="n"/>
      <c r="B78" s="227" t="inlineStr">
        <is>
          <t>Total Current Liabilities</t>
        </is>
      </c>
      <c r="C78" s="228" t="n"/>
      <c r="D78" s="229" t="inlineStr">
        <is>
          <t>€</t>
        </is>
      </c>
      <c r="E78" s="227" t="n"/>
      <c r="F78" s="227" t="n"/>
      <c r="G78" s="227" t="n"/>
      <c r="H78" s="227" t="n"/>
      <c r="I78" s="227" t="n"/>
      <c r="J78" s="227" t="n"/>
      <c r="K78" s="227" t="n"/>
      <c r="L78" s="227" t="n"/>
      <c r="M78" s="227">
        <f>sum(M77)</f>
        <v/>
      </c>
      <c r="N78" s="227">
        <f>sum(N77)</f>
        <v/>
      </c>
      <c r="O78" s="227">
        <f>sum(O77)</f>
        <v/>
      </c>
      <c r="P78" s="227">
        <f>sum(P77)</f>
        <v/>
      </c>
      <c r="Q78" s="227">
        <f>sum(Q77)</f>
        <v/>
      </c>
      <c r="R78" s="227">
        <f>sum(R77)</f>
        <v/>
      </c>
      <c r="S78" s="227">
        <f>sum(S77)</f>
        <v/>
      </c>
      <c r="T78" s="227">
        <f>sum(T77)</f>
        <v/>
      </c>
      <c r="U78" s="227">
        <f>sum(U77)</f>
        <v/>
      </c>
      <c r="V78" s="227">
        <f>sum(V77)</f>
        <v/>
      </c>
      <c r="W78" s="227">
        <f>sum(W77)</f>
        <v/>
      </c>
      <c r="X78" s="227">
        <f>sum(X77)</f>
        <v/>
      </c>
      <c r="Y78" s="227">
        <f>sum(Y77)</f>
        <v/>
      </c>
      <c r="Z78" s="227">
        <f>sum(Z77)</f>
        <v/>
      </c>
      <c r="AA78" s="227">
        <f>sum(AA77)</f>
        <v/>
      </c>
      <c r="AB78" s="227">
        <f>sum(AB77)</f>
        <v/>
      </c>
      <c r="AC78" s="227">
        <f>sum(AC77)</f>
        <v/>
      </c>
      <c r="AD78" s="227">
        <f>sum(AD77)</f>
        <v/>
      </c>
      <c r="AE78" s="227">
        <f>sum(AE77)</f>
        <v/>
      </c>
      <c r="AF78" s="227">
        <f>sum(AF77)</f>
        <v/>
      </c>
      <c r="AG78" s="227">
        <f>sum(AG77)</f>
        <v/>
      </c>
      <c r="AH78" s="227">
        <f>sum(AH77)</f>
        <v/>
      </c>
      <c r="AI78" s="227">
        <f>sum(AI77)</f>
        <v/>
      </c>
      <c r="AJ78" s="227">
        <f>sum(AJ77)</f>
        <v/>
      </c>
      <c r="AK78" s="227">
        <f>sum(AK77)</f>
        <v/>
      </c>
      <c r="AL78" s="227">
        <f>sum(AL77)</f>
        <v/>
      </c>
      <c r="AM78" s="227">
        <f>sum(AM77)</f>
        <v/>
      </c>
      <c r="AN78" s="227">
        <f>sum(AN77)</f>
        <v/>
      </c>
      <c r="AO78" s="227">
        <f>sum(AO77)</f>
        <v/>
      </c>
      <c r="AP78" s="227">
        <f>sum(AP77)</f>
        <v/>
      </c>
      <c r="AQ78" s="227">
        <f>sum(AQ77)</f>
        <v/>
      </c>
      <c r="AR78" s="227">
        <f>sum(AR77)</f>
        <v/>
      </c>
      <c r="AS78" s="227">
        <f>sum(AS77)</f>
        <v/>
      </c>
      <c r="AT78" s="227">
        <f>sum(AT77)</f>
        <v/>
      </c>
      <c r="AU78" s="227">
        <f>sum(AU77)</f>
        <v/>
      </c>
      <c r="AV78" s="227">
        <f>sum(AV77)</f>
        <v/>
      </c>
      <c r="AW78" s="227">
        <f>sum(AW77)</f>
        <v/>
      </c>
      <c r="AX78" s="227">
        <f>sum(AX77)</f>
        <v/>
      </c>
      <c r="AY78" s="227">
        <f>sum(AY77)</f>
        <v/>
      </c>
      <c r="AZ78" s="227">
        <f>sum(AZ77)</f>
        <v/>
      </c>
      <c r="BA78" s="226" t="n"/>
      <c r="BB78" s="230">
        <f>P78</f>
        <v/>
      </c>
      <c r="BC78" s="230">
        <f>AB78</f>
        <v/>
      </c>
      <c r="BD78" s="230">
        <f>AN78</f>
        <v/>
      </c>
      <c r="BE78" s="230">
        <f>AZ78</f>
        <v/>
      </c>
      <c r="BF78" s="230">
        <f>BF77</f>
        <v/>
      </c>
      <c r="BG78" s="205" t="n"/>
      <c r="BH78" s="40" t="inlineStr">
        <is>
          <t>same as payables</t>
        </is>
      </c>
      <c r="BI78" s="205" t="n"/>
      <c r="BJ78" s="205" t="n"/>
    </row>
    <row r="79" ht="15.75" customHeight="1" s="349">
      <c r="A79" s="226" t="n"/>
      <c r="B79" s="233" t="n"/>
      <c r="C79" s="233" t="n"/>
      <c r="D79" s="233" t="n"/>
      <c r="E79" s="233" t="n"/>
      <c r="F79" s="233" t="n"/>
      <c r="G79" s="233" t="n"/>
      <c r="H79" s="233" t="n"/>
      <c r="I79" s="233" t="n"/>
      <c r="J79" s="233" t="n"/>
      <c r="K79" s="233" t="n"/>
      <c r="L79" s="233" t="n"/>
      <c r="M79" s="233" t="n"/>
      <c r="N79" s="233" t="n"/>
      <c r="O79" s="233" t="n"/>
      <c r="P79" s="233" t="n"/>
      <c r="Q79" s="233" t="n"/>
      <c r="R79" s="233" t="n"/>
      <c r="S79" s="233" t="n"/>
      <c r="T79" s="233" t="n"/>
      <c r="U79" s="233" t="n"/>
      <c r="V79" s="233" t="n"/>
      <c r="W79" s="233" t="n"/>
      <c r="X79" s="233" t="n"/>
      <c r="Y79" s="233" t="n"/>
      <c r="Z79" s="233" t="n"/>
      <c r="AA79" s="233" t="n"/>
      <c r="AB79" s="233" t="n"/>
      <c r="AC79" s="233" t="n"/>
      <c r="AD79" s="233" t="n"/>
      <c r="AE79" s="233" t="n"/>
      <c r="AF79" s="233" t="n"/>
      <c r="AG79" s="233" t="n"/>
      <c r="AH79" s="233" t="n"/>
      <c r="AI79" s="233" t="n"/>
      <c r="AJ79" s="233" t="n"/>
      <c r="AK79" s="233" t="n"/>
      <c r="AL79" s="233" t="n"/>
      <c r="AM79" s="233" t="n"/>
      <c r="AN79" s="233" t="n"/>
      <c r="AO79" s="233" t="n"/>
      <c r="AP79" s="233" t="n"/>
      <c r="AQ79" s="233" t="n"/>
      <c r="AR79" s="233" t="n"/>
      <c r="AS79" s="233" t="n"/>
      <c r="AT79" s="233" t="n"/>
      <c r="AU79" s="233" t="n"/>
      <c r="AV79" s="233" t="n"/>
      <c r="AW79" s="233" t="n"/>
      <c r="AX79" s="233" t="n"/>
      <c r="AY79" s="233" t="n"/>
      <c r="AZ79" s="233" t="n"/>
      <c r="BA79" s="226" t="n"/>
      <c r="BB79" s="233" t="n"/>
      <c r="BC79" s="233" t="n"/>
      <c r="BD79" s="233" t="n"/>
      <c r="BE79" s="233" t="n"/>
      <c r="BF79" s="233" t="n"/>
      <c r="BG79" s="226" t="n"/>
      <c r="BH79" s="40" t="n"/>
      <c r="BI79" s="226" t="n"/>
      <c r="BJ79" s="226" t="n"/>
    </row>
    <row r="80" ht="15.75" customHeight="1" s="349">
      <c r="A80" s="226" t="n"/>
      <c r="B80" s="241" t="n"/>
      <c r="C80" s="233" t="n"/>
      <c r="D80" s="241" t="n"/>
      <c r="E80" s="241" t="n"/>
      <c r="F80" s="241" t="n"/>
      <c r="G80" s="241" t="n"/>
      <c r="H80" s="241" t="n"/>
      <c r="I80" s="241" t="n"/>
      <c r="J80" s="241" t="n"/>
      <c r="K80" s="241" t="n"/>
      <c r="L80" s="241" t="n"/>
      <c r="M80" s="241" t="n"/>
      <c r="N80" s="241" t="n"/>
      <c r="O80" s="241" t="n"/>
      <c r="P80" s="241" t="n"/>
      <c r="Q80" s="241" t="n"/>
      <c r="R80" s="241" t="n"/>
      <c r="S80" s="241" t="n"/>
      <c r="T80" s="241" t="n"/>
      <c r="U80" s="241" t="n"/>
      <c r="V80" s="241" t="n"/>
      <c r="W80" s="241" t="n"/>
      <c r="X80" s="241" t="n"/>
      <c r="Y80" s="241" t="n"/>
      <c r="Z80" s="241" t="n"/>
      <c r="AA80" s="241" t="n"/>
      <c r="AB80" s="241" t="n"/>
      <c r="AC80" s="241" t="n"/>
      <c r="AD80" s="241" t="n"/>
      <c r="AE80" s="241" t="n"/>
      <c r="AF80" s="241" t="n"/>
      <c r="AG80" s="241" t="n"/>
      <c r="AH80" s="241" t="n"/>
      <c r="AI80" s="241" t="n"/>
      <c r="AJ80" s="241" t="n"/>
      <c r="AK80" s="241" t="n"/>
      <c r="AL80" s="241" t="n"/>
      <c r="AM80" s="241" t="n"/>
      <c r="AN80" s="241" t="n"/>
      <c r="AO80" s="241" t="n"/>
      <c r="AP80" s="241" t="n"/>
      <c r="AQ80" s="241" t="n"/>
      <c r="AR80" s="241" t="n"/>
      <c r="AS80" s="241" t="n"/>
      <c r="AT80" s="241" t="n"/>
      <c r="AU80" s="241" t="n"/>
      <c r="AV80" s="241" t="n"/>
      <c r="AW80" s="241" t="n"/>
      <c r="AX80" s="241" t="n"/>
      <c r="AY80" s="241" t="n"/>
      <c r="AZ80" s="241" t="n"/>
      <c r="BA80" s="241" t="n"/>
      <c r="BB80" s="241" t="n"/>
      <c r="BC80" s="241" t="n"/>
      <c r="BD80" s="241" t="n"/>
      <c r="BE80" s="241" t="n"/>
      <c r="BF80" s="241" t="n"/>
      <c r="BG80" s="66" t="n"/>
      <c r="BH80" s="40" t="n"/>
      <c r="BI80" s="66" t="n"/>
      <c r="BJ80" s="66" t="n"/>
    </row>
    <row r="81" ht="15.75" customHeight="1" s="349">
      <c r="A81" s="226" t="n"/>
      <c r="B81" s="241" t="inlineStr">
        <is>
          <t>Loan (CLA)</t>
        </is>
      </c>
      <c r="C81" s="233" t="n"/>
      <c r="D81" s="241" t="inlineStr">
        <is>
          <t>€</t>
        </is>
      </c>
      <c r="E81" s="241" t="n"/>
      <c r="F81" s="241" t="n"/>
      <c r="G81" s="241" t="n"/>
      <c r="H81" s="241" t="n"/>
      <c r="I81" s="241" t="n"/>
      <c r="J81" s="241" t="n"/>
      <c r="K81" s="241" t="n"/>
      <c r="L81" s="241" t="n"/>
      <c r="M81" s="241" t="n"/>
      <c r="N81" s="241" t="n"/>
      <c r="O81" s="241" t="n"/>
      <c r="P81" s="241" t="n"/>
      <c r="Q81" s="241" t="n">
        <v>0</v>
      </c>
      <c r="R81" s="241" t="n">
        <v>0</v>
      </c>
      <c r="S81" s="241" t="n">
        <v>0</v>
      </c>
      <c r="T81" s="241" t="n">
        <v>0</v>
      </c>
      <c r="U81" s="241" t="n">
        <v>0</v>
      </c>
      <c r="V81" s="241">
        <f>V56</f>
        <v/>
      </c>
      <c r="W81" s="241">
        <f>V81+W56</f>
        <v/>
      </c>
      <c r="X81" s="241">
        <f>W81</f>
        <v/>
      </c>
      <c r="Y81" s="241">
        <f>X81</f>
        <v/>
      </c>
      <c r="Z81" s="241" t="n">
        <v>0</v>
      </c>
      <c r="AA81" s="241" t="n">
        <v>0</v>
      </c>
      <c r="AB81" s="241" t="n">
        <v>0</v>
      </c>
      <c r="AC81" s="241" t="n">
        <v>0</v>
      </c>
      <c r="AD81" s="241" t="n">
        <v>0</v>
      </c>
      <c r="AE81" s="241" t="n">
        <v>0</v>
      </c>
      <c r="AF81" s="241" t="n">
        <v>0</v>
      </c>
      <c r="AG81" s="241" t="n">
        <v>0</v>
      </c>
      <c r="AH81" s="241" t="n">
        <v>0</v>
      </c>
      <c r="AI81" s="241" t="n">
        <v>0</v>
      </c>
      <c r="AJ81" s="241" t="n">
        <v>0</v>
      </c>
      <c r="AK81" s="241" t="n">
        <v>0</v>
      </c>
      <c r="AL81" s="241" t="n">
        <v>0</v>
      </c>
      <c r="AM81" s="241" t="n">
        <v>0</v>
      </c>
      <c r="AN81" s="241" t="n">
        <v>0</v>
      </c>
      <c r="AO81" s="241" t="n">
        <v>0</v>
      </c>
      <c r="AP81" s="241" t="n">
        <v>0</v>
      </c>
      <c r="AQ81" s="241" t="n">
        <v>0</v>
      </c>
      <c r="AR81" s="241" t="n">
        <v>0</v>
      </c>
      <c r="AS81" s="241" t="n">
        <v>0</v>
      </c>
      <c r="AT81" s="241" t="n">
        <v>0</v>
      </c>
      <c r="AU81" s="241" t="n">
        <v>0</v>
      </c>
      <c r="AV81" s="241" t="n">
        <v>0</v>
      </c>
      <c r="AW81" s="241" t="n">
        <v>0</v>
      </c>
      <c r="AX81" s="241" t="n">
        <v>0</v>
      </c>
      <c r="AY81" s="241" t="n">
        <v>0</v>
      </c>
      <c r="AZ81" s="241" t="n">
        <v>0</v>
      </c>
      <c r="BA81" s="226" t="n"/>
      <c r="BB81" s="241" t="n">
        <v>0</v>
      </c>
      <c r="BC81" s="241">
        <f>AB81</f>
        <v/>
      </c>
      <c r="BD81" s="241">
        <f>AN81</f>
        <v/>
      </c>
      <c r="BE81" s="241">
        <f>AZ81</f>
        <v/>
      </c>
      <c r="BF81" s="241" t="n">
        <v>0</v>
      </c>
      <c r="BG81" s="66" t="n"/>
      <c r="BH81" s="40" t="inlineStr">
        <is>
          <t>CLA balance: a liability Jul-Sep 26, then it converts to shares</t>
        </is>
      </c>
      <c r="BI81" s="66" t="n"/>
      <c r="BJ81" s="66" t="n"/>
    </row>
    <row r="82" ht="15.75" customHeight="1" s="349">
      <c r="A82" s="226" t="n"/>
      <c r="B82" s="241" t="n"/>
      <c r="C82" s="233" t="n"/>
      <c r="D82" s="241" t="n"/>
      <c r="E82" s="241" t="n"/>
      <c r="F82" s="241" t="n"/>
      <c r="G82" s="241" t="n"/>
      <c r="H82" s="241" t="n"/>
      <c r="I82" s="241" t="n"/>
      <c r="J82" s="241" t="n"/>
      <c r="K82" s="241" t="n"/>
      <c r="L82" s="241" t="n"/>
      <c r="M82" s="241" t="n"/>
      <c r="N82" s="241" t="n"/>
      <c r="O82" s="241" t="n"/>
      <c r="P82" s="241" t="n"/>
      <c r="Q82" s="241" t="n"/>
      <c r="R82" s="241" t="n"/>
      <c r="S82" s="241" t="n"/>
      <c r="T82" s="241" t="n"/>
      <c r="U82" s="241" t="n"/>
      <c r="V82" s="241" t="n"/>
      <c r="W82" s="241" t="n"/>
      <c r="X82" s="241" t="n"/>
      <c r="Y82" s="241" t="n"/>
      <c r="Z82" s="241" t="n"/>
      <c r="AA82" s="241" t="n"/>
      <c r="AB82" s="241" t="n"/>
      <c r="AC82" s="241" t="n"/>
      <c r="AD82" s="241" t="n"/>
      <c r="AE82" s="241" t="n"/>
      <c r="AF82" s="241" t="n"/>
      <c r="AG82" s="241" t="n"/>
      <c r="AH82" s="241" t="n"/>
      <c r="AI82" s="241" t="n"/>
      <c r="AJ82" s="241" t="n"/>
      <c r="AK82" s="241" t="n"/>
      <c r="AL82" s="241" t="n"/>
      <c r="AM82" s="241" t="n"/>
      <c r="AN82" s="241" t="n"/>
      <c r="AO82" s="241" t="n"/>
      <c r="AP82" s="241" t="n"/>
      <c r="AQ82" s="241" t="n"/>
      <c r="AR82" s="241" t="n"/>
      <c r="AS82" s="241" t="n"/>
      <c r="AT82" s="241" t="n"/>
      <c r="AU82" s="241" t="n"/>
      <c r="AV82" s="241" t="n"/>
      <c r="AW82" s="241" t="n"/>
      <c r="AX82" s="241" t="n"/>
      <c r="AY82" s="241" t="n"/>
      <c r="AZ82" s="241" t="n"/>
      <c r="BA82" s="226" t="n"/>
      <c r="BB82" s="241" t="n"/>
      <c r="BC82" s="241" t="n"/>
      <c r="BD82" s="241" t="n"/>
      <c r="BE82" s="241" t="n"/>
      <c r="BF82" s="241" t="n"/>
      <c r="BG82" s="66" t="n"/>
      <c r="BH82" s="40" t="n"/>
      <c r="BI82" s="66" t="n"/>
      <c r="BJ82" s="66" t="n"/>
    </row>
    <row r="83" ht="12.75" customHeight="1" s="349">
      <c r="A83" s="77" t="n"/>
      <c r="B83" s="227" t="inlineStr">
        <is>
          <t>Total Long-Term Liabilities</t>
        </is>
      </c>
      <c r="C83" s="228" t="n"/>
      <c r="D83" s="229" t="inlineStr">
        <is>
          <t>€</t>
        </is>
      </c>
      <c r="E83" s="227">
        <f>E80+E81+E82</f>
        <v/>
      </c>
      <c r="F83" s="227">
        <f>F80+F81+F82</f>
        <v/>
      </c>
      <c r="G83" s="227">
        <f>G80+G81+G82</f>
        <v/>
      </c>
      <c r="H83" s="227">
        <f>H80+H81+H82</f>
        <v/>
      </c>
      <c r="I83" s="227">
        <f>I80+I81+I82</f>
        <v/>
      </c>
      <c r="J83" s="227">
        <f>J80+J81+J82</f>
        <v/>
      </c>
      <c r="K83" s="227">
        <f>K80+K81+K82</f>
        <v/>
      </c>
      <c r="L83" s="227">
        <f>L80+L81+L82</f>
        <v/>
      </c>
      <c r="M83" s="227">
        <f>M80+M81+M82</f>
        <v/>
      </c>
      <c r="N83" s="227">
        <f>N80+N81+N82</f>
        <v/>
      </c>
      <c r="O83" s="227">
        <f>O80+O81+O82</f>
        <v/>
      </c>
      <c r="P83" s="227">
        <f>P80+P81+P82</f>
        <v/>
      </c>
      <c r="Q83" s="227">
        <f>Q80+Q81+Q82</f>
        <v/>
      </c>
      <c r="R83" s="227">
        <f>R80+R81+R82</f>
        <v/>
      </c>
      <c r="S83" s="227">
        <f>S80+S81+S82</f>
        <v/>
      </c>
      <c r="T83" s="227">
        <f>T80+T81+T82</f>
        <v/>
      </c>
      <c r="U83" s="227">
        <f>U80+U81+U82</f>
        <v/>
      </c>
      <c r="V83" s="227">
        <f>V80+V81+V82</f>
        <v/>
      </c>
      <c r="W83" s="227">
        <f>W80+W81+W82</f>
        <v/>
      </c>
      <c r="X83" s="227">
        <f>X80+X81+X82</f>
        <v/>
      </c>
      <c r="Y83" s="227">
        <f>Y80+Y81+Y82</f>
        <v/>
      </c>
      <c r="Z83" s="227">
        <f>Z80+Z81+Z82</f>
        <v/>
      </c>
      <c r="AA83" s="227">
        <f>AA80+AA81+AA82</f>
        <v/>
      </c>
      <c r="AB83" s="227">
        <f>AB80+AB81+AB82</f>
        <v/>
      </c>
      <c r="AC83" s="227">
        <f>AC80+AC81+AC82</f>
        <v/>
      </c>
      <c r="AD83" s="227">
        <f>AD80+AD81+AD82</f>
        <v/>
      </c>
      <c r="AE83" s="227">
        <f>AE80+AE81+AE82</f>
        <v/>
      </c>
      <c r="AF83" s="227">
        <f>AF80+AF81+AF82</f>
        <v/>
      </c>
      <c r="AG83" s="227">
        <f>AG80+AG81+AG82</f>
        <v/>
      </c>
      <c r="AH83" s="227">
        <f>AH80+AH81+AH82</f>
        <v/>
      </c>
      <c r="AI83" s="227">
        <f>AI80+AI81+AI82</f>
        <v/>
      </c>
      <c r="AJ83" s="227">
        <f>AJ80+AJ81+AJ82</f>
        <v/>
      </c>
      <c r="AK83" s="227">
        <f>AK80+AK81+AK82</f>
        <v/>
      </c>
      <c r="AL83" s="227">
        <f>AL80+AL81+AL82</f>
        <v/>
      </c>
      <c r="AM83" s="227">
        <f>AM80+AM81+AM82</f>
        <v/>
      </c>
      <c r="AN83" s="227">
        <f>AN80+AN81+AN82</f>
        <v/>
      </c>
      <c r="AO83" s="227">
        <f>AO80+AO81+AO82</f>
        <v/>
      </c>
      <c r="AP83" s="227">
        <f>AP80+AP81+AP82</f>
        <v/>
      </c>
      <c r="AQ83" s="227">
        <f>AQ80+AQ81+AQ82</f>
        <v/>
      </c>
      <c r="AR83" s="227">
        <f>AR80+AR81+AR82</f>
        <v/>
      </c>
      <c r="AS83" s="227">
        <f>AS80+AS81+AS82</f>
        <v/>
      </c>
      <c r="AT83" s="227">
        <f>AT80+AT81+AT82</f>
        <v/>
      </c>
      <c r="AU83" s="227">
        <f>AU80+AU81+AU82</f>
        <v/>
      </c>
      <c r="AV83" s="227">
        <f>AV80+AV81+AV82</f>
        <v/>
      </c>
      <c r="AW83" s="227">
        <f>AW80+AW81+AW82</f>
        <v/>
      </c>
      <c r="AX83" s="227">
        <f>AX80+AX81+AX82</f>
        <v/>
      </c>
      <c r="AY83" s="227">
        <f>AY80+AY81+AY82</f>
        <v/>
      </c>
      <c r="AZ83" s="227">
        <f>AZ80+AZ81+AZ82</f>
        <v/>
      </c>
      <c r="BA83" s="226" t="n"/>
      <c r="BB83" s="230">
        <f>P83</f>
        <v/>
      </c>
      <c r="BC83" s="230">
        <f>AB83</f>
        <v/>
      </c>
      <c r="BD83" s="230">
        <f>AN83</f>
        <v/>
      </c>
      <c r="BE83" s="230">
        <f>AZ83</f>
        <v/>
      </c>
      <c r="BF83" s="230">
        <f>sum(BF80:BF82)</f>
        <v/>
      </c>
      <c r="BG83" s="205" t="n"/>
      <c r="BH83" s="40" t="inlineStr">
        <is>
          <t>all the long-term debt lines added</t>
        </is>
      </c>
      <c r="BI83" s="205" t="n"/>
      <c r="BJ83" s="205" t="n"/>
    </row>
    <row r="84" ht="15.75" customHeight="1" s="349">
      <c r="A84" s="226" t="n"/>
      <c r="B84" s="233" t="n"/>
      <c r="C84" s="233" t="n"/>
      <c r="D84" s="233" t="n"/>
      <c r="E84" s="233" t="n"/>
      <c r="F84" s="233" t="n"/>
      <c r="G84" s="233" t="n"/>
      <c r="H84" s="233" t="n"/>
      <c r="I84" s="233" t="n"/>
      <c r="J84" s="233" t="n"/>
      <c r="K84" s="233" t="n"/>
      <c r="L84" s="233" t="n"/>
      <c r="M84" s="233" t="n"/>
      <c r="N84" s="233" t="n"/>
      <c r="O84" s="233" t="n"/>
      <c r="P84" s="233" t="n"/>
      <c r="Q84" s="233" t="n"/>
      <c r="R84" s="233" t="n"/>
      <c r="S84" s="233" t="n"/>
      <c r="T84" s="233" t="n"/>
      <c r="U84" s="233" t="n"/>
      <c r="V84" s="233" t="n"/>
      <c r="W84" s="233" t="n"/>
      <c r="X84" s="233" t="n"/>
      <c r="Y84" s="233" t="n"/>
      <c r="Z84" s="233" t="n"/>
      <c r="AA84" s="233" t="n"/>
      <c r="AB84" s="233" t="n"/>
      <c r="AC84" s="233" t="n"/>
      <c r="AD84" s="233" t="n"/>
      <c r="AE84" s="233" t="n"/>
      <c r="AF84" s="233" t="n"/>
      <c r="AG84" s="233" t="n"/>
      <c r="AH84" s="233" t="n"/>
      <c r="AI84" s="233" t="n"/>
      <c r="AJ84" s="233" t="n"/>
      <c r="AK84" s="233" t="n"/>
      <c r="AL84" s="233" t="n"/>
      <c r="AM84" s="233" t="n"/>
      <c r="AN84" s="233" t="n"/>
      <c r="AO84" s="233" t="n"/>
      <c r="AP84" s="233" t="n"/>
      <c r="AQ84" s="233" t="n"/>
      <c r="AR84" s="233" t="n"/>
      <c r="AS84" s="233" t="n"/>
      <c r="AT84" s="233" t="n"/>
      <c r="AU84" s="233" t="n"/>
      <c r="AV84" s="233" t="n"/>
      <c r="AW84" s="233" t="n"/>
      <c r="AX84" s="233" t="n"/>
      <c r="AY84" s="233" t="n"/>
      <c r="AZ84" s="233" t="n"/>
      <c r="BA84" s="226" t="n"/>
      <c r="BB84" s="233" t="n"/>
      <c r="BC84" s="233" t="n"/>
      <c r="BD84" s="233" t="n"/>
      <c r="BE84" s="233" t="n"/>
      <c r="BF84" s="233" t="n"/>
      <c r="BG84" s="226" t="n"/>
      <c r="BH84" s="40" t="n"/>
      <c r="BI84" s="226" t="n"/>
      <c r="BJ84" s="226" t="n"/>
    </row>
    <row r="85" ht="15.75" customHeight="1" s="349">
      <c r="A85" s="226" t="n"/>
      <c r="B85" s="241" t="inlineStr">
        <is>
          <t>Share capital + premium</t>
        </is>
      </c>
      <c r="C85" s="233" t="n"/>
      <c r="D85" s="241" t="inlineStr">
        <is>
          <t>€</t>
        </is>
      </c>
      <c r="E85" s="241" t="n"/>
      <c r="F85" s="241" t="n"/>
      <c r="G85" s="241" t="n"/>
      <c r="H85" s="241" t="n"/>
      <c r="I85" s="241" t="n"/>
      <c r="J85" s="241" t="n"/>
      <c r="K85" s="241" t="n"/>
      <c r="L85" s="241" t="n"/>
      <c r="M85" s="241">
        <f>M61</f>
        <v/>
      </c>
      <c r="N85" s="241">
        <f>M85</f>
        <v/>
      </c>
      <c r="O85" s="241">
        <f>N85</f>
        <v/>
      </c>
      <c r="P85" s="241">
        <f>O85</f>
        <v/>
      </c>
      <c r="Q85" s="241">
        <f>P85</f>
        <v/>
      </c>
      <c r="R85" s="241">
        <f>Q85</f>
        <v/>
      </c>
      <c r="S85" s="241">
        <f>R85</f>
        <v/>
      </c>
      <c r="T85" s="241">
        <f>S85</f>
        <v/>
      </c>
      <c r="U85" s="241">
        <f>T85</f>
        <v/>
      </c>
      <c r="V85" s="241">
        <f>U85</f>
        <v/>
      </c>
      <c r="W85" s="241">
        <f>V85</f>
        <v/>
      </c>
      <c r="X85" s="241">
        <f>W85</f>
        <v/>
      </c>
      <c r="Y85" s="241">
        <f>X85</f>
        <v/>
      </c>
      <c r="Z85" s="241">
        <f>Y85+Y81</f>
        <v/>
      </c>
      <c r="AA85" s="241">
        <f>Z85</f>
        <v/>
      </c>
      <c r="AB85" s="241">
        <f>AA85</f>
        <v/>
      </c>
      <c r="AC85" s="241">
        <f>AB85</f>
        <v/>
      </c>
      <c r="AD85" s="241">
        <f>AC85</f>
        <v/>
      </c>
      <c r="AE85" s="241">
        <f>AD85</f>
        <v/>
      </c>
      <c r="AF85" s="241">
        <f>AE85</f>
        <v/>
      </c>
      <c r="AG85" s="241">
        <f>AF85</f>
        <v/>
      </c>
      <c r="AH85" s="241">
        <f>AG85</f>
        <v/>
      </c>
      <c r="AI85" s="241">
        <f>AH85</f>
        <v/>
      </c>
      <c r="AJ85" s="241">
        <f>AI85</f>
        <v/>
      </c>
      <c r="AK85" s="241">
        <f>AJ85</f>
        <v/>
      </c>
      <c r="AL85" s="241">
        <f>AK85</f>
        <v/>
      </c>
      <c r="AM85" s="241">
        <f>AL85</f>
        <v/>
      </c>
      <c r="AN85" s="241">
        <f>AM85</f>
        <v/>
      </c>
      <c r="AO85" s="241">
        <f>AN85</f>
        <v/>
      </c>
      <c r="AP85" s="241">
        <f>AO85</f>
        <v/>
      </c>
      <c r="AQ85" s="241">
        <f>AP85</f>
        <v/>
      </c>
      <c r="AR85" s="241">
        <f>AQ85</f>
        <v/>
      </c>
      <c r="AS85" s="241">
        <f>AR85</f>
        <v/>
      </c>
      <c r="AT85" s="241">
        <f>AS85</f>
        <v/>
      </c>
      <c r="AU85" s="241">
        <f>AT85</f>
        <v/>
      </c>
      <c r="AV85" s="241">
        <f>AU85</f>
        <v/>
      </c>
      <c r="AW85" s="241">
        <f>AV85</f>
        <v/>
      </c>
      <c r="AX85" s="241">
        <f>AW85</f>
        <v/>
      </c>
      <c r="AY85" s="241">
        <f>AX85</f>
        <v/>
      </c>
      <c r="AZ85" s="241">
        <f>AY85</f>
        <v/>
      </c>
      <c r="BA85" s="226" t="n"/>
      <c r="BB85" s="241">
        <f>P85</f>
        <v/>
      </c>
      <c r="BC85" s="241">
        <f>AB85</f>
        <v/>
      </c>
      <c r="BD85" s="241">
        <f>AN85</f>
        <v/>
      </c>
      <c r="BE85" s="241">
        <f>AZ85</f>
        <v/>
      </c>
      <c r="BF85" s="241">
        <f>BE85</f>
        <v/>
      </c>
      <c r="BG85" s="66" t="n"/>
      <c r="BH85" s="40" t="inlineStr">
        <is>
          <t>share capital, steps up when the CLA converts to shares</t>
        </is>
      </c>
      <c r="BI85" s="66" t="n"/>
      <c r="BJ85" s="66" t="n"/>
    </row>
    <row r="86" ht="15.75" customHeight="1" s="349">
      <c r="A86" s="226" t="n"/>
      <c r="B86" s="241" t="inlineStr">
        <is>
          <t>Cumulative equity injections</t>
        </is>
      </c>
      <c r="C86" s="233" t="n"/>
      <c r="D86" s="241" t="inlineStr">
        <is>
          <t>€</t>
        </is>
      </c>
      <c r="E86" s="241" t="n"/>
      <c r="F86" s="241" t="n"/>
      <c r="G86" s="241" t="n"/>
      <c r="H86" s="241" t="n"/>
      <c r="I86" s="241" t="n"/>
      <c r="J86" s="241" t="n"/>
      <c r="K86" s="241" t="n"/>
      <c r="L86" s="241" t="n"/>
      <c r="M86" s="241">
        <f>M55+M55</f>
        <v/>
      </c>
      <c r="N86" s="241">
        <f>M86+N55</f>
        <v/>
      </c>
      <c r="O86" s="241">
        <f>N86+O55</f>
        <v/>
      </c>
      <c r="P86" s="241">
        <f>O86+P55</f>
        <v/>
      </c>
      <c r="Q86" s="241">
        <f>P86+Q55</f>
        <v/>
      </c>
      <c r="R86" s="241">
        <f>Q86+R55</f>
        <v/>
      </c>
      <c r="S86" s="241">
        <f>R86+S55</f>
        <v/>
      </c>
      <c r="T86" s="241">
        <f>S86+T55</f>
        <v/>
      </c>
      <c r="U86" s="241">
        <f>T86+U55</f>
        <v/>
      </c>
      <c r="V86" s="241">
        <f>U86+V55</f>
        <v/>
      </c>
      <c r="W86" s="241">
        <f>V86+W55</f>
        <v/>
      </c>
      <c r="X86" s="241">
        <f>W86+X55</f>
        <v/>
      </c>
      <c r="Y86" s="241">
        <f>X86+Y55</f>
        <v/>
      </c>
      <c r="Z86" s="241">
        <f>Y86+Z55</f>
        <v/>
      </c>
      <c r="AA86" s="241">
        <f>Z86+AA55</f>
        <v/>
      </c>
      <c r="AB86" s="241">
        <f>AA86+AB55</f>
        <v/>
      </c>
      <c r="AC86" s="241">
        <f>AB86+AC55</f>
        <v/>
      </c>
      <c r="AD86" s="241">
        <f>AC86+AD55</f>
        <v/>
      </c>
      <c r="AE86" s="241">
        <f>AD86+AE55</f>
        <v/>
      </c>
      <c r="AF86" s="241">
        <f>AE86+AF55</f>
        <v/>
      </c>
      <c r="AG86" s="241">
        <f>AF86+AG55</f>
        <v/>
      </c>
      <c r="AH86" s="241">
        <f>AG86+AH55</f>
        <v/>
      </c>
      <c r="AI86" s="241">
        <f>AH86+AI55</f>
        <v/>
      </c>
      <c r="AJ86" s="241">
        <f>AI86+AJ55</f>
        <v/>
      </c>
      <c r="AK86" s="241">
        <f>AJ86+AK55</f>
        <v/>
      </c>
      <c r="AL86" s="241">
        <f>AK86+AL55</f>
        <v/>
      </c>
      <c r="AM86" s="241">
        <f>AL86+AM55</f>
        <v/>
      </c>
      <c r="AN86" s="241">
        <f>AM86+AN55</f>
        <v/>
      </c>
      <c r="AO86" s="241">
        <f>AN86+AO55</f>
        <v/>
      </c>
      <c r="AP86" s="241">
        <f>AO86+AP55</f>
        <v/>
      </c>
      <c r="AQ86" s="241">
        <f>AP86+AQ55</f>
        <v/>
      </c>
      <c r="AR86" s="241">
        <f>AQ86+AR55</f>
        <v/>
      </c>
      <c r="AS86" s="241">
        <f>AR86+AS55</f>
        <v/>
      </c>
      <c r="AT86" s="241">
        <f>AS86+AT55</f>
        <v/>
      </c>
      <c r="AU86" s="241">
        <f>AT86+AU55</f>
        <v/>
      </c>
      <c r="AV86" s="241">
        <f>AU86+AV55</f>
        <v/>
      </c>
      <c r="AW86" s="241">
        <f>AV86+AW55</f>
        <v/>
      </c>
      <c r="AX86" s="241">
        <f>AW86+AX55</f>
        <v/>
      </c>
      <c r="AY86" s="241">
        <f>AX86+AY55</f>
        <v/>
      </c>
      <c r="AZ86" s="241">
        <f>AY86+AZ55</f>
        <v/>
      </c>
      <c r="BA86" s="226" t="n"/>
      <c r="BB86" s="241">
        <f>P86</f>
        <v/>
      </c>
      <c r="BC86" s="241">
        <f>AB86</f>
        <v/>
      </c>
      <c r="BD86" s="241">
        <f>AN86</f>
        <v/>
      </c>
      <c r="BE86" s="241">
        <f>AZ86</f>
        <v/>
      </c>
      <c r="BF86" s="241">
        <f>BE86</f>
        <v/>
      </c>
      <c r="BG86" s="66" t="n"/>
      <c r="BH86" s="40" t="inlineStr">
        <is>
          <t>running total of cash put in by shareholders</t>
        </is>
      </c>
      <c r="BI86" s="66" t="n"/>
      <c r="BJ86" s="66" t="n"/>
    </row>
    <row r="87" ht="15.75" customHeight="1" s="349">
      <c r="A87" s="226" t="n"/>
      <c r="B87" s="241" t="inlineStr">
        <is>
          <t>Retained earnings (cumulative net income)</t>
        </is>
      </c>
      <c r="C87" s="233" t="n"/>
      <c r="D87" s="241" t="inlineStr">
        <is>
          <t>€</t>
        </is>
      </c>
      <c r="E87" s="241" t="n"/>
      <c r="F87" s="241" t="n"/>
      <c r="G87" s="241" t="n"/>
      <c r="H87" s="241" t="n"/>
      <c r="I87" s="241" t="n"/>
      <c r="J87" s="241" t="n"/>
      <c r="K87" s="241" t="n"/>
      <c r="L87" s="241" t="n"/>
      <c r="M87" s="241">
        <f>M47</f>
        <v/>
      </c>
      <c r="N87" s="241">
        <f>M87+N41</f>
        <v/>
      </c>
      <c r="O87" s="241">
        <f>N87+O41</f>
        <v/>
      </c>
      <c r="P87" s="241">
        <f>O87+P41</f>
        <v/>
      </c>
      <c r="Q87" s="241">
        <f>P87+Q41</f>
        <v/>
      </c>
      <c r="R87" s="241">
        <f>Q87+R41</f>
        <v/>
      </c>
      <c r="S87" s="241">
        <f>R87+S41</f>
        <v/>
      </c>
      <c r="T87" s="241">
        <f>S87+T41</f>
        <v/>
      </c>
      <c r="U87" s="241">
        <f>T87+U41</f>
        <v/>
      </c>
      <c r="V87" s="241">
        <f>U87+V41</f>
        <v/>
      </c>
      <c r="W87" s="241">
        <f>V87+W41</f>
        <v/>
      </c>
      <c r="X87" s="241">
        <f>W87+X41</f>
        <v/>
      </c>
      <c r="Y87" s="241">
        <f>X87+Y41</f>
        <v/>
      </c>
      <c r="Z87" s="241">
        <f>Y87+Z41</f>
        <v/>
      </c>
      <c r="AA87" s="241">
        <f>Z87+AA41</f>
        <v/>
      </c>
      <c r="AB87" s="241">
        <f>AA87+AB41</f>
        <v/>
      </c>
      <c r="AC87" s="241">
        <f>AB87+AC41</f>
        <v/>
      </c>
      <c r="AD87" s="241">
        <f>AC87+AD41</f>
        <v/>
      </c>
      <c r="AE87" s="241">
        <f>AD87+AE41</f>
        <v/>
      </c>
      <c r="AF87" s="241">
        <f>AE87+AF41</f>
        <v/>
      </c>
      <c r="AG87" s="241">
        <f>AF87+AG41</f>
        <v/>
      </c>
      <c r="AH87" s="241">
        <f>AG87+AH41</f>
        <v/>
      </c>
      <c r="AI87" s="241">
        <f>AH87+AI41</f>
        <v/>
      </c>
      <c r="AJ87" s="241">
        <f>AI87+AJ41</f>
        <v/>
      </c>
      <c r="AK87" s="241">
        <f>AJ87+AK41</f>
        <v/>
      </c>
      <c r="AL87" s="241">
        <f>AK87+AL41</f>
        <v/>
      </c>
      <c r="AM87" s="241">
        <f>AL87+AM41</f>
        <v/>
      </c>
      <c r="AN87" s="241">
        <f>AM87+AN41</f>
        <v/>
      </c>
      <c r="AO87" s="241">
        <f>AN87+AO41</f>
        <v/>
      </c>
      <c r="AP87" s="241">
        <f>AO87+AP41</f>
        <v/>
      </c>
      <c r="AQ87" s="241">
        <f>AP87+AQ41</f>
        <v/>
      </c>
      <c r="AR87" s="241">
        <f>AQ87+AR41</f>
        <v/>
      </c>
      <c r="AS87" s="241">
        <f>AR87+AS41</f>
        <v/>
      </c>
      <c r="AT87" s="241">
        <f>AS87+AT41</f>
        <v/>
      </c>
      <c r="AU87" s="241">
        <f>AT87+AU41</f>
        <v/>
      </c>
      <c r="AV87" s="241">
        <f>AU87+AV41</f>
        <v/>
      </c>
      <c r="AW87" s="241">
        <f>AV87+AW41</f>
        <v/>
      </c>
      <c r="AX87" s="241">
        <f>AW87+AX41</f>
        <v/>
      </c>
      <c r="AY87" s="241">
        <f>AX87+AY41</f>
        <v/>
      </c>
      <c r="AZ87" s="241">
        <f>AY87+AZ41</f>
        <v/>
      </c>
      <c r="BA87" s="226" t="n"/>
      <c r="BB87" s="241">
        <f>P87</f>
        <v/>
      </c>
      <c r="BC87" s="241">
        <f>AB87</f>
        <v/>
      </c>
      <c r="BD87" s="241">
        <f>AN87</f>
        <v/>
      </c>
      <c r="BE87" s="241">
        <f>AZ87</f>
        <v/>
      </c>
      <c r="BF87" s="241">
        <f>BE87+BF41</f>
        <v/>
      </c>
      <c r="BG87" s="66" t="n"/>
      <c r="BH87" s="40" t="inlineStr">
        <is>
          <t>retained earnings: last month's plus this month's profit</t>
        </is>
      </c>
      <c r="BI87" s="66" t="n"/>
      <c r="BJ87" s="66" t="n"/>
    </row>
    <row r="88" ht="12.75" customHeight="1" s="349">
      <c r="A88" s="77" t="n"/>
      <c r="B88" s="227" t="inlineStr">
        <is>
          <t>Total Equity</t>
        </is>
      </c>
      <c r="C88" s="228" t="n"/>
      <c r="D88" s="229" t="inlineStr">
        <is>
          <t>€</t>
        </is>
      </c>
      <c r="E88" s="227" t="n"/>
      <c r="F88" s="227" t="n"/>
      <c r="G88" s="227" t="n"/>
      <c r="H88" s="227" t="n"/>
      <c r="I88" s="227" t="n"/>
      <c r="J88" s="227" t="n"/>
      <c r="K88" s="227" t="n"/>
      <c r="L88" s="227" t="n"/>
      <c r="M88" s="227">
        <f>M85+M86+M87+M44</f>
        <v/>
      </c>
      <c r="N88" s="227">
        <f>N85+N86+N87+N44</f>
        <v/>
      </c>
      <c r="O88" s="227">
        <f>O85+O86+O87+O44</f>
        <v/>
      </c>
      <c r="P88" s="227">
        <f>P85+P86+P87+P44</f>
        <v/>
      </c>
      <c r="Q88" s="227">
        <f>Q85+Q86+Q87+Q44</f>
        <v/>
      </c>
      <c r="R88" s="227">
        <f>R85+R86+R87+R44</f>
        <v/>
      </c>
      <c r="S88" s="227">
        <f>S85+S86+S87+S44</f>
        <v/>
      </c>
      <c r="T88" s="227">
        <f>T85+T86+T87+T44</f>
        <v/>
      </c>
      <c r="U88" s="227">
        <f>U85+U86+U87+U44</f>
        <v/>
      </c>
      <c r="V88" s="227">
        <f>V85+V86+V87+V44</f>
        <v/>
      </c>
      <c r="W88" s="227">
        <f>W85+W86+W87+W44</f>
        <v/>
      </c>
      <c r="X88" s="227">
        <f>X85+X86+X87+X44</f>
        <v/>
      </c>
      <c r="Y88" s="227">
        <f>Y85+Y86+Y87+Y44</f>
        <v/>
      </c>
      <c r="Z88" s="227">
        <f>Z85+Z86+Z87+Z44</f>
        <v/>
      </c>
      <c r="AA88" s="227">
        <f>AA85+AA86+AA87+AA44</f>
        <v/>
      </c>
      <c r="AB88" s="227">
        <f>AB85+AB86+AB87+AB44</f>
        <v/>
      </c>
      <c r="AC88" s="227">
        <f>AC85+AC86+AC87+AC44</f>
        <v/>
      </c>
      <c r="AD88" s="227">
        <f>AD85+AD86+AD87+AD44</f>
        <v/>
      </c>
      <c r="AE88" s="227">
        <f>AE85+AE86+AE87+AE44</f>
        <v/>
      </c>
      <c r="AF88" s="227">
        <f>AF85+AF86+AF87+AF44</f>
        <v/>
      </c>
      <c r="AG88" s="227">
        <f>AG85+AG86+AG87+AG44</f>
        <v/>
      </c>
      <c r="AH88" s="227">
        <f>AH85+AH86+AH87+AH44</f>
        <v/>
      </c>
      <c r="AI88" s="227">
        <f>AI85+AI86+AI87+AI44</f>
        <v/>
      </c>
      <c r="AJ88" s="227">
        <f>AJ85+AJ86+AJ87+AJ44</f>
        <v/>
      </c>
      <c r="AK88" s="227">
        <f>AK85+AK86+AK87+AK44</f>
        <v/>
      </c>
      <c r="AL88" s="227">
        <f>AL85+AL86+AL87+AL44</f>
        <v/>
      </c>
      <c r="AM88" s="227">
        <f>AM85+AM86+AM87+AM44</f>
        <v/>
      </c>
      <c r="AN88" s="227">
        <f>AN85+AN86+AN87+AN44</f>
        <v/>
      </c>
      <c r="AO88" s="227">
        <f>AO85+AO86+AO87+AO44</f>
        <v/>
      </c>
      <c r="AP88" s="227">
        <f>AP85+AP86+AP87+AP44</f>
        <v/>
      </c>
      <c r="AQ88" s="227">
        <f>AQ85+AQ86+AQ87+AQ44</f>
        <v/>
      </c>
      <c r="AR88" s="227">
        <f>AR85+AR86+AR87+AR44</f>
        <v/>
      </c>
      <c r="AS88" s="227">
        <f>AS85+AS86+AS87+AS44</f>
        <v/>
      </c>
      <c r="AT88" s="227">
        <f>AT85+AT86+AT87+AT44</f>
        <v/>
      </c>
      <c r="AU88" s="227">
        <f>AU85+AU86+AU87+AU44</f>
        <v/>
      </c>
      <c r="AV88" s="227">
        <f>AV85+AV86+AV87+AV44</f>
        <v/>
      </c>
      <c r="AW88" s="227">
        <f>AW85+AW86+AW87+AW44</f>
        <v/>
      </c>
      <c r="AX88" s="227">
        <f>AX85+AX86+AX87+AX44</f>
        <v/>
      </c>
      <c r="AY88" s="227">
        <f>AY85+AY86+AY87+AY44</f>
        <v/>
      </c>
      <c r="AZ88" s="227">
        <f>AZ85+AZ86+AZ87+AZ44</f>
        <v/>
      </c>
      <c r="BA88" s="226" t="n"/>
      <c r="BB88" s="230">
        <f>P88</f>
        <v/>
      </c>
      <c r="BC88" s="230">
        <f>AB88</f>
        <v/>
      </c>
      <c r="BD88" s="230">
        <f>AN88</f>
        <v/>
      </c>
      <c r="BE88" s="230">
        <f>AZ88</f>
        <v/>
      </c>
      <c r="BF88" s="230">
        <f>sum(BF85:BF87)</f>
        <v/>
      </c>
      <c r="BG88" s="205" t="n"/>
      <c r="BH88" s="40" t="inlineStr">
        <is>
          <t>share capital + injections + retained earnings</t>
        </is>
      </c>
      <c r="BI88" s="205" t="n"/>
      <c r="BJ88" s="205" t="n"/>
    </row>
    <row r="89" ht="15.75" customHeight="1" s="349">
      <c r="A89" s="125" t="n"/>
      <c r="B89" s="126" t="inlineStr">
        <is>
          <t>TOTAL EQUITY &amp; LIABILITIES</t>
        </is>
      </c>
      <c r="C89" s="127" t="n"/>
      <c r="D89" s="126" t="inlineStr">
        <is>
          <t>€</t>
        </is>
      </c>
      <c r="E89" s="126" t="n"/>
      <c r="F89" s="126" t="n"/>
      <c r="G89" s="126" t="n"/>
      <c r="H89" s="126" t="n"/>
      <c r="I89" s="126" t="n"/>
      <c r="J89" s="126" t="n"/>
      <c r="K89" s="126" t="n"/>
      <c r="L89" s="126" t="n"/>
      <c r="M89" s="126">
        <f>M78+M83+M88</f>
        <v/>
      </c>
      <c r="N89" s="126">
        <f>N78+N83+N88</f>
        <v/>
      </c>
      <c r="O89" s="126">
        <f>O78+O83+O88</f>
        <v/>
      </c>
      <c r="P89" s="126">
        <f>P78+P83+P88</f>
        <v/>
      </c>
      <c r="Q89" s="126">
        <f>Q78+Q83+Q88</f>
        <v/>
      </c>
      <c r="R89" s="126">
        <f>R78+R83+R88</f>
        <v/>
      </c>
      <c r="S89" s="126">
        <f>S78+S83+S88</f>
        <v/>
      </c>
      <c r="T89" s="126">
        <f>T78+T83+T88</f>
        <v/>
      </c>
      <c r="U89" s="126">
        <f>U78+U83+U88</f>
        <v/>
      </c>
      <c r="V89" s="126">
        <f>V78+V83+V88</f>
        <v/>
      </c>
      <c r="W89" s="126">
        <f>W78+W83+W88</f>
        <v/>
      </c>
      <c r="X89" s="126">
        <f>X78+X83+X88</f>
        <v/>
      </c>
      <c r="Y89" s="126">
        <f>Y78+Y83+Y88</f>
        <v/>
      </c>
      <c r="Z89" s="126">
        <f>Z78+Z83+Z88</f>
        <v/>
      </c>
      <c r="AA89" s="126">
        <f>AA78+AA83+AA88</f>
        <v/>
      </c>
      <c r="AB89" s="126">
        <f>AB78+AB83+AB88</f>
        <v/>
      </c>
      <c r="AC89" s="126">
        <f>AC78+AC83+AC88</f>
        <v/>
      </c>
      <c r="AD89" s="126">
        <f>AD78+AD83+AD88</f>
        <v/>
      </c>
      <c r="AE89" s="126">
        <f>AE78+AE83+AE88</f>
        <v/>
      </c>
      <c r="AF89" s="126">
        <f>AF78+AF83+AF88</f>
        <v/>
      </c>
      <c r="AG89" s="126">
        <f>AG78+AG83+AG88</f>
        <v/>
      </c>
      <c r="AH89" s="126">
        <f>AH78+AH83+AH88</f>
        <v/>
      </c>
      <c r="AI89" s="126">
        <f>AI78+AI83+AI88</f>
        <v/>
      </c>
      <c r="AJ89" s="126">
        <f>AJ78+AJ83+AJ88</f>
        <v/>
      </c>
      <c r="AK89" s="126">
        <f>AK78+AK83+AK88</f>
        <v/>
      </c>
      <c r="AL89" s="126">
        <f>AL78+AL83+AL88</f>
        <v/>
      </c>
      <c r="AM89" s="126">
        <f>AM78+AM83+AM88</f>
        <v/>
      </c>
      <c r="AN89" s="126">
        <f>AN78+AN83+AN88</f>
        <v/>
      </c>
      <c r="AO89" s="126">
        <f>AO78+AO83+AO88</f>
        <v/>
      </c>
      <c r="AP89" s="126">
        <f>AP78+AP83+AP88</f>
        <v/>
      </c>
      <c r="AQ89" s="126">
        <f>AQ78+AQ83+AQ88</f>
        <v/>
      </c>
      <c r="AR89" s="126">
        <f>AR78+AR83+AR88</f>
        <v/>
      </c>
      <c r="AS89" s="126">
        <f>AS78+AS83+AS88</f>
        <v/>
      </c>
      <c r="AT89" s="126">
        <f>AT78+AT83+AT88</f>
        <v/>
      </c>
      <c r="AU89" s="126">
        <f>AU78+AU83+AU88</f>
        <v/>
      </c>
      <c r="AV89" s="126">
        <f>AV78+AV83+AV88</f>
        <v/>
      </c>
      <c r="AW89" s="126">
        <f>AW78+AW83+AW88</f>
        <v/>
      </c>
      <c r="AX89" s="126">
        <f>AX78+AX83+AX88</f>
        <v/>
      </c>
      <c r="AY89" s="126">
        <f>AY78+AY83+AY88</f>
        <v/>
      </c>
      <c r="AZ89" s="134">
        <f>AZ78+AZ83+AZ88</f>
        <v/>
      </c>
      <c r="BA89" s="133" t="n"/>
      <c r="BB89" s="134">
        <f>P89</f>
        <v/>
      </c>
      <c r="BC89" s="134">
        <f>AB89</f>
        <v/>
      </c>
      <c r="BD89" s="134">
        <f>AN89</f>
        <v/>
      </c>
      <c r="BE89" s="134">
        <f>AZ89</f>
        <v/>
      </c>
      <c r="BF89" s="134">
        <f>BF78+BF83+BF88</f>
        <v/>
      </c>
      <c r="BG89" s="137" t="n"/>
      <c r="BH89" s="40" t="inlineStr">
        <is>
          <t>liabilities plus equity</t>
        </is>
      </c>
      <c r="BI89" s="137" t="n"/>
      <c r="BJ89" s="137" t="n"/>
    </row>
    <row r="90" ht="15.75" customHeight="1" s="349">
      <c r="A90" s="226" t="n"/>
      <c r="B90" s="233" t="n"/>
      <c r="C90" s="233" t="n"/>
      <c r="D90" s="233" t="n"/>
      <c r="E90" s="233" t="n"/>
      <c r="F90" s="233" t="n"/>
      <c r="G90" s="233" t="n"/>
      <c r="H90" s="233" t="n"/>
      <c r="I90" s="233" t="n"/>
      <c r="J90" s="233" t="n"/>
      <c r="K90" s="233" t="n"/>
      <c r="L90" s="233" t="n"/>
      <c r="M90" s="233" t="n"/>
      <c r="N90" s="233" t="n"/>
      <c r="O90" s="233" t="n"/>
      <c r="P90" s="233" t="n"/>
      <c r="Q90" s="233" t="n"/>
      <c r="R90" s="233" t="n"/>
      <c r="S90" s="233" t="n"/>
      <c r="T90" s="233" t="n"/>
      <c r="U90" s="233" t="n"/>
      <c r="V90" s="233" t="n"/>
      <c r="W90" s="233" t="n"/>
      <c r="X90" s="233" t="n"/>
      <c r="Y90" s="233" t="n"/>
      <c r="Z90" s="233" t="n"/>
      <c r="AA90" s="233" t="n"/>
      <c r="AB90" s="233" t="n"/>
      <c r="AC90" s="233" t="n"/>
      <c r="AD90" s="233" t="n"/>
      <c r="AE90" s="233" t="n"/>
      <c r="AF90" s="233" t="n"/>
      <c r="AG90" s="233" t="n"/>
      <c r="AH90" s="233" t="n"/>
      <c r="AI90" s="233" t="n"/>
      <c r="AJ90" s="233" t="n"/>
      <c r="AK90" s="233" t="n"/>
      <c r="AL90" s="233" t="n"/>
      <c r="AM90" s="233" t="n"/>
      <c r="AN90" s="233" t="n"/>
      <c r="AO90" s="233" t="n"/>
      <c r="AP90" s="233" t="n"/>
      <c r="AQ90" s="233" t="n"/>
      <c r="AR90" s="233" t="n"/>
      <c r="AS90" s="233" t="n"/>
      <c r="AT90" s="233" t="n"/>
      <c r="AU90" s="233" t="n"/>
      <c r="AV90" s="233" t="n"/>
      <c r="AW90" s="233" t="n"/>
      <c r="AX90" s="233" t="n"/>
      <c r="AY90" s="233" t="n"/>
      <c r="AZ90" s="233" t="n"/>
      <c r="BA90" s="226" t="n"/>
      <c r="BB90" s="233" t="n"/>
      <c r="BC90" s="233" t="n"/>
      <c r="BD90" s="233" t="n"/>
      <c r="BE90" s="233" t="n"/>
      <c r="BF90" s="233" t="n"/>
      <c r="BG90" s="226" t="n"/>
      <c r="BH90" s="40" t="n"/>
      <c r="BI90" s="226" t="n"/>
      <c r="BJ90" s="226" t="n"/>
    </row>
    <row r="91" ht="15.75" customHeight="1" s="349">
      <c r="A91" s="226" t="n"/>
      <c r="B91" s="279" t="inlineStr">
        <is>
          <t>CHECK  (Total Assets − Total E&amp;L  =  0)</t>
        </is>
      </c>
      <c r="C91" s="233" t="n"/>
      <c r="D91" s="233" t="n"/>
      <c r="E91" s="279" t="n"/>
      <c r="F91" s="279" t="n"/>
      <c r="G91" s="279" t="n"/>
      <c r="H91" s="279" t="n"/>
      <c r="I91" s="279" t="n"/>
      <c r="J91" s="279" t="n"/>
      <c r="K91" s="279" t="n"/>
      <c r="L91" s="279" t="n"/>
      <c r="M91" s="279">
        <f>M74-M89</f>
        <v/>
      </c>
      <c r="N91" s="279">
        <f>N74-N89</f>
        <v/>
      </c>
      <c r="O91" s="279">
        <f>O74-O89</f>
        <v/>
      </c>
      <c r="P91" s="279">
        <f>P74-P89</f>
        <v/>
      </c>
      <c r="Q91" s="279">
        <f>Q74-Q89</f>
        <v/>
      </c>
      <c r="R91" s="279">
        <f>R74-R89</f>
        <v/>
      </c>
      <c r="S91" s="279">
        <f>S74-S89</f>
        <v/>
      </c>
      <c r="T91" s="279">
        <f>T74-T89</f>
        <v/>
      </c>
      <c r="U91" s="279">
        <f>U74-U89</f>
        <v/>
      </c>
      <c r="V91" s="279">
        <f>V74-V89</f>
        <v/>
      </c>
      <c r="W91" s="279">
        <f>W74-W89</f>
        <v/>
      </c>
      <c r="X91" s="279">
        <f>X74-X89</f>
        <v/>
      </c>
      <c r="Y91" s="279">
        <f>Y74-Y89</f>
        <v/>
      </c>
      <c r="Z91" s="279">
        <f>Z74-Z89</f>
        <v/>
      </c>
      <c r="AA91" s="279">
        <f>AA74-AA89</f>
        <v/>
      </c>
      <c r="AB91" s="279">
        <f>AB74-AB89</f>
        <v/>
      </c>
      <c r="AC91" s="279">
        <f>AC74-AC89</f>
        <v/>
      </c>
      <c r="AD91" s="279">
        <f>AD74-AD89</f>
        <v/>
      </c>
      <c r="AE91" s="279">
        <f>AE74-AE89</f>
        <v/>
      </c>
      <c r="AF91" s="279">
        <f>AF74-AF89</f>
        <v/>
      </c>
      <c r="AG91" s="279">
        <f>AG74-AG89</f>
        <v/>
      </c>
      <c r="AH91" s="279">
        <f>AH74-AH89</f>
        <v/>
      </c>
      <c r="AI91" s="279">
        <f>AI74-AI89</f>
        <v/>
      </c>
      <c r="AJ91" s="279">
        <f>AJ74-AJ89</f>
        <v/>
      </c>
      <c r="AK91" s="279">
        <f>AK74-AK89</f>
        <v/>
      </c>
      <c r="AL91" s="279">
        <f>AL74-AL89</f>
        <v/>
      </c>
      <c r="AM91" s="279">
        <f>AM74-AM89</f>
        <v/>
      </c>
      <c r="AN91" s="279">
        <f>AN74-AN89</f>
        <v/>
      </c>
      <c r="AO91" s="279">
        <f>AO74-AO89</f>
        <v/>
      </c>
      <c r="AP91" s="279">
        <f>AP74-AP89</f>
        <v/>
      </c>
      <c r="AQ91" s="279">
        <f>AQ74-AQ89</f>
        <v/>
      </c>
      <c r="AR91" s="279">
        <f>AR74-AR89</f>
        <v/>
      </c>
      <c r="AS91" s="279">
        <f>AS74-AS89</f>
        <v/>
      </c>
      <c r="AT91" s="279">
        <f>AT74-AT89</f>
        <v/>
      </c>
      <c r="AU91" s="279">
        <f>AU74-AU89</f>
        <v/>
      </c>
      <c r="AV91" s="279">
        <f>AV74-AV89</f>
        <v/>
      </c>
      <c r="AW91" s="279">
        <f>AW74-AW89</f>
        <v/>
      </c>
      <c r="AX91" s="279">
        <f>AX74-AX89</f>
        <v/>
      </c>
      <c r="AY91" s="279">
        <f>AY74-AY89</f>
        <v/>
      </c>
      <c r="AZ91" s="279">
        <f>AZ74-AZ89</f>
        <v/>
      </c>
      <c r="BA91" s="279" t="n"/>
      <c r="BB91" s="279">
        <f>BB74-BB89</f>
        <v/>
      </c>
      <c r="BC91" s="279">
        <f>BC74-BC89</f>
        <v/>
      </c>
      <c r="BD91" s="279">
        <f>BD74-BD89</f>
        <v/>
      </c>
      <c r="BE91" s="279">
        <f>BE74-BE89</f>
        <v/>
      </c>
      <c r="BF91" s="279">
        <f>BF74-BF89</f>
        <v/>
      </c>
      <c r="BG91" s="280" t="n"/>
      <c r="BH91" s="40" t="inlineStr">
        <is>
          <t>checks assets = liabilities + equity, must be 0</t>
        </is>
      </c>
      <c r="BI91" s="280" t="n"/>
      <c r="BJ91" s="280" t="n"/>
    </row>
    <row r="92" ht="15.75" customHeight="1" s="349">
      <c r="A92" s="226" t="n"/>
      <c r="B92" s="233" t="n"/>
      <c r="C92" s="233" t="n"/>
      <c r="D92" s="233" t="n"/>
      <c r="E92" s="233" t="n"/>
      <c r="F92" s="233" t="n"/>
      <c r="G92" s="233" t="n"/>
      <c r="H92" s="233" t="n"/>
      <c r="I92" s="233" t="n"/>
      <c r="J92" s="233" t="n"/>
      <c r="K92" s="233" t="n"/>
      <c r="L92" s="233" t="n"/>
      <c r="M92" s="233" t="n"/>
      <c r="N92" s="233" t="n"/>
      <c r="O92" s="233" t="n"/>
      <c r="P92" s="233" t="n"/>
      <c r="Q92" s="233" t="n"/>
      <c r="R92" s="233" t="n"/>
      <c r="S92" s="233" t="n"/>
      <c r="T92" s="233" t="n"/>
      <c r="U92" s="233" t="n"/>
      <c r="V92" s="233" t="n"/>
      <c r="W92" s="233" t="n"/>
      <c r="X92" s="233" t="n"/>
      <c r="Y92" s="233" t="n"/>
      <c r="Z92" s="233" t="n"/>
      <c r="AA92" s="233" t="n"/>
      <c r="AB92" s="233" t="n"/>
      <c r="AC92" s="233" t="n"/>
      <c r="AD92" s="233" t="n"/>
      <c r="AE92" s="233" t="n"/>
      <c r="AF92" s="233" t="n"/>
      <c r="AG92" s="233" t="n"/>
      <c r="AH92" s="233" t="n"/>
      <c r="AI92" s="233" t="n"/>
      <c r="AJ92" s="233" t="n"/>
      <c r="AK92" s="233" t="n"/>
      <c r="AL92" s="233" t="n"/>
      <c r="AM92" s="233" t="n"/>
      <c r="AN92" s="233" t="n"/>
      <c r="AO92" s="233" t="n"/>
      <c r="AP92" s="233" t="n"/>
      <c r="AQ92" s="233" t="n"/>
      <c r="AR92" s="233" t="n"/>
      <c r="AS92" s="233" t="n"/>
      <c r="AT92" s="233" t="n"/>
      <c r="AU92" s="233" t="n"/>
      <c r="AV92" s="233" t="n"/>
      <c r="AW92" s="233" t="n"/>
      <c r="AX92" s="233" t="n"/>
      <c r="AY92" s="233" t="n"/>
      <c r="AZ92" s="233" t="n"/>
      <c r="BA92" s="226" t="n"/>
      <c r="BB92" s="233" t="n"/>
      <c r="BC92" s="233" t="n"/>
      <c r="BD92" s="233" t="n"/>
      <c r="BE92" s="233" t="n"/>
      <c r="BF92" s="233" t="n"/>
      <c r="BG92" s="226" t="n"/>
      <c r="BH92" s="40" t="n"/>
      <c r="BI92" s="226" t="n"/>
      <c r="BJ92" s="226" t="n"/>
    </row>
    <row r="93" ht="15.75" customHeight="1" s="349">
      <c r="A93" s="226" t="n"/>
      <c r="B93" s="233" t="inlineStr">
        <is>
          <t>Cumulative turbineketels (helper)</t>
        </is>
      </c>
      <c r="C93" s="233" t="n"/>
      <c r="D93" s="233" t="n"/>
      <c r="E93" s="233">
        <f>'Revenue Forecast'!E34</f>
        <v/>
      </c>
      <c r="F93" s="233">
        <f>E93+'Revenue Forecast'!F34</f>
        <v/>
      </c>
      <c r="G93" s="233">
        <f>F93+'Revenue Forecast'!G34</f>
        <v/>
      </c>
      <c r="H93" s="233">
        <f>G93+'Revenue Forecast'!H34</f>
        <v/>
      </c>
      <c r="I93" s="233">
        <f>H93+'Revenue Forecast'!I34</f>
        <v/>
      </c>
      <c r="J93" s="233">
        <f>I93+'Revenue Forecast'!J34</f>
        <v/>
      </c>
      <c r="K93" s="233">
        <f>J93+'Revenue Forecast'!K34</f>
        <v/>
      </c>
      <c r="L93" s="233">
        <f>K93+'Revenue Forecast'!L34</f>
        <v/>
      </c>
      <c r="M93" s="233">
        <f>L93+'Revenue Forecast'!M34</f>
        <v/>
      </c>
      <c r="N93" s="233">
        <f>M93+'Revenue Forecast'!N34</f>
        <v/>
      </c>
      <c r="O93" s="233">
        <f>N93+'Revenue Forecast'!O34</f>
        <v/>
      </c>
      <c r="P93" s="233">
        <f>O93+'Revenue Forecast'!P34</f>
        <v/>
      </c>
      <c r="Q93" s="233">
        <f>P93+'Revenue Forecast'!Q34</f>
        <v/>
      </c>
      <c r="R93" s="233">
        <f>Q93+'Revenue Forecast'!R34</f>
        <v/>
      </c>
      <c r="S93" s="233">
        <f>R93+'Revenue Forecast'!S34</f>
        <v/>
      </c>
      <c r="T93" s="233">
        <f>S93+'Revenue Forecast'!T34</f>
        <v/>
      </c>
      <c r="U93" s="233">
        <f>T93+'Revenue Forecast'!U34</f>
        <v/>
      </c>
      <c r="V93" s="233">
        <f>U93+'Revenue Forecast'!V34</f>
        <v/>
      </c>
      <c r="W93" s="233">
        <f>V93+'Revenue Forecast'!W34</f>
        <v/>
      </c>
      <c r="X93" s="233">
        <f>W93+'Revenue Forecast'!X34</f>
        <v/>
      </c>
      <c r="Y93" s="233">
        <f>X93+'Revenue Forecast'!Y34</f>
        <v/>
      </c>
      <c r="Z93" s="233">
        <f>Y93+'Revenue Forecast'!Z34</f>
        <v/>
      </c>
      <c r="AA93" s="233">
        <f>Z93+'Revenue Forecast'!AA34</f>
        <v/>
      </c>
      <c r="AB93" s="233">
        <f>AA93+'Revenue Forecast'!AB34</f>
        <v/>
      </c>
      <c r="AC93" s="233">
        <f>AB93+'Revenue Forecast'!AC34</f>
        <v/>
      </c>
      <c r="AD93" s="233">
        <f>AC93+'Revenue Forecast'!AD34</f>
        <v/>
      </c>
      <c r="AE93" s="233">
        <f>AD93+'Revenue Forecast'!AE34</f>
        <v/>
      </c>
      <c r="AF93" s="233">
        <f>AE93+'Revenue Forecast'!AF34</f>
        <v/>
      </c>
      <c r="AG93" s="233">
        <f>AF93+'Revenue Forecast'!AG34</f>
        <v/>
      </c>
      <c r="AH93" s="233">
        <f>AG93+'Revenue Forecast'!AH34</f>
        <v/>
      </c>
      <c r="AI93" s="233">
        <f>AH93+'Revenue Forecast'!AI34</f>
        <v/>
      </c>
      <c r="AJ93" s="233">
        <f>AI93+'Revenue Forecast'!AJ34</f>
        <v/>
      </c>
      <c r="AK93" s="233">
        <f>AJ93+'Revenue Forecast'!AK34</f>
        <v/>
      </c>
      <c r="AL93" s="233">
        <f>AK93+'Revenue Forecast'!AL34</f>
        <v/>
      </c>
      <c r="AM93" s="233">
        <f>AL93+'Revenue Forecast'!AM34</f>
        <v/>
      </c>
      <c r="AN93" s="233">
        <f>AM93+'Revenue Forecast'!AN34</f>
        <v/>
      </c>
      <c r="AO93" s="233">
        <f>AN93+'Revenue Forecast'!AO34</f>
        <v/>
      </c>
      <c r="AP93" s="233">
        <f>AO93+'Revenue Forecast'!AP34</f>
        <v/>
      </c>
      <c r="AQ93" s="233">
        <f>AP93+'Revenue Forecast'!AQ34</f>
        <v/>
      </c>
      <c r="AR93" s="233">
        <f>AQ93+'Revenue Forecast'!AR34</f>
        <v/>
      </c>
      <c r="AS93" s="233">
        <f>AR93+'Revenue Forecast'!AS34</f>
        <v/>
      </c>
      <c r="AT93" s="233">
        <f>AS93+'Revenue Forecast'!AT34</f>
        <v/>
      </c>
      <c r="AU93" s="233">
        <f>AT93+'Revenue Forecast'!AU34</f>
        <v/>
      </c>
      <c r="AV93" s="233">
        <f>AU93+'Revenue Forecast'!AV34</f>
        <v/>
      </c>
      <c r="AW93" s="233">
        <f>AV93+'Revenue Forecast'!AW34</f>
        <v/>
      </c>
      <c r="AX93" s="233">
        <f>AW93+'Revenue Forecast'!AX34</f>
        <v/>
      </c>
      <c r="AY93" s="233">
        <f>AX93+'Revenue Forecast'!AY34</f>
        <v/>
      </c>
      <c r="AZ93" s="233">
        <f>AY93+'Revenue Forecast'!AZ34</f>
        <v/>
      </c>
      <c r="BA93" s="226" t="n"/>
      <c r="BB93" s="233" t="n"/>
      <c r="BC93" s="233" t="n"/>
      <c r="BD93" s="233" t="n"/>
      <c r="BE93" s="233" t="n"/>
      <c r="BF93" s="233" t="n"/>
      <c r="BG93" s="226" t="n"/>
      <c r="BH93" s="40" t="inlineStr">
        <is>
          <t>running count of ketels ever sold. feeds the COGS volume tiers</t>
        </is>
      </c>
      <c r="BI93" s="226" t="n"/>
      <c r="BJ93" s="226" t="n"/>
    </row>
    <row r="94" ht="15.75" customHeight="1" s="349">
      <c r="A94" s="226" t="n"/>
      <c r="B94" s="233" t="n"/>
      <c r="C94" s="233" t="n"/>
      <c r="D94" s="233" t="n"/>
      <c r="E94" s="233" t="n"/>
      <c r="F94" s="233" t="n"/>
      <c r="G94" s="233" t="n"/>
      <c r="H94" s="233" t="n"/>
      <c r="I94" s="233" t="n"/>
      <c r="J94" s="233" t="n"/>
      <c r="K94" s="233" t="n"/>
      <c r="L94" s="233" t="n"/>
      <c r="M94" s="233" t="n"/>
      <c r="N94" s="233" t="n"/>
      <c r="O94" s="233" t="n"/>
      <c r="P94" s="233" t="n"/>
      <c r="Q94" s="233" t="n"/>
      <c r="R94" s="233" t="n"/>
      <c r="S94" s="233" t="n"/>
      <c r="T94" s="233" t="n"/>
      <c r="U94" s="233" t="n"/>
      <c r="V94" s="233" t="n"/>
      <c r="W94" s="233" t="n"/>
      <c r="X94" s="233" t="n"/>
      <c r="Y94" s="233" t="n"/>
      <c r="Z94" s="233" t="n"/>
      <c r="AA94" s="233" t="n"/>
      <c r="AB94" s="233" t="n"/>
      <c r="AC94" s="233" t="n"/>
      <c r="AD94" s="233" t="n"/>
      <c r="AE94" s="233" t="n"/>
      <c r="AF94" s="233" t="n"/>
      <c r="AG94" s="233" t="n"/>
      <c r="AH94" s="233" t="n"/>
      <c r="AI94" s="233" t="n"/>
      <c r="AJ94" s="233" t="n"/>
      <c r="AK94" s="233" t="n"/>
      <c r="AL94" s="233" t="n"/>
      <c r="AM94" s="233" t="n"/>
      <c r="AN94" s="233" t="n"/>
      <c r="AO94" s="233" t="n"/>
      <c r="AP94" s="233" t="n"/>
      <c r="AQ94" s="233" t="n"/>
      <c r="AR94" s="233" t="n"/>
      <c r="AS94" s="233" t="n"/>
      <c r="AT94" s="233" t="n"/>
      <c r="AU94" s="233" t="n"/>
      <c r="AV94" s="233" t="n"/>
      <c r="AW94" s="233" t="n"/>
      <c r="AX94" s="233" t="n"/>
      <c r="AY94" s="233" t="n"/>
      <c r="AZ94" s="233" t="n"/>
      <c r="BA94" s="226" t="n"/>
      <c r="BB94" s="233" t="n"/>
      <c r="BC94" s="233" t="n"/>
      <c r="BD94" s="233" t="n"/>
      <c r="BE94" s="233" t="n"/>
      <c r="BF94" s="233" t="n"/>
      <c r="BG94" s="226" t="n"/>
      <c r="BH94" s="226" t="n"/>
      <c r="BI94" s="226" t="n"/>
      <c r="BJ94" s="226" t="n"/>
    </row>
    <row r="95" ht="15.75" customHeight="1" s="349">
      <c r="A95" s="31" t="n"/>
      <c r="B95" s="307" t="n"/>
      <c r="C95" s="307" t="n"/>
      <c r="D95" s="307" t="n"/>
      <c r="E95" s="307" t="n"/>
      <c r="F95" s="307" t="n"/>
      <c r="G95" s="307" t="n"/>
      <c r="H95" s="307" t="n"/>
      <c r="I95" s="307" t="n"/>
      <c r="J95" s="307" t="n"/>
      <c r="K95" s="307" t="n"/>
      <c r="L95" s="307" t="n"/>
      <c r="M95" s="307" t="n"/>
      <c r="N95" s="307" t="n"/>
      <c r="O95" s="307" t="n"/>
      <c r="P95" s="307" t="n"/>
      <c r="Q95" s="307" t="n"/>
      <c r="R95" s="307" t="n"/>
      <c r="S95" s="307" t="n"/>
      <c r="T95" s="307" t="n"/>
      <c r="U95" s="307" t="n"/>
      <c r="V95" s="307" t="n"/>
      <c r="W95" s="307" t="n"/>
      <c r="X95" s="307" t="n"/>
      <c r="Y95" s="307" t="n"/>
      <c r="Z95" s="307" t="n"/>
      <c r="AA95" s="307" t="n"/>
      <c r="AB95" s="307" t="n"/>
      <c r="AC95" s="307" t="n"/>
      <c r="AD95" s="307" t="n"/>
      <c r="AE95" s="307" t="n"/>
      <c r="AF95" s="307" t="n"/>
      <c r="AG95" s="307" t="n"/>
      <c r="AH95" s="307" t="n"/>
      <c r="AI95" s="307" t="n"/>
      <c r="AJ95" s="307" t="n"/>
      <c r="AK95" s="307" t="n"/>
      <c r="AL95" s="307" t="n"/>
      <c r="AM95" s="307" t="n"/>
      <c r="AN95" s="307" t="n"/>
      <c r="AO95" s="307" t="n"/>
      <c r="AP95" s="307" t="n"/>
      <c r="AQ95" s="307" t="n"/>
      <c r="AR95" s="307" t="n"/>
      <c r="AS95" s="307" t="n"/>
      <c r="AT95" s="307" t="n"/>
      <c r="AU95" s="307" t="n"/>
      <c r="AV95" s="307" t="n"/>
      <c r="AW95" s="307" t="n"/>
      <c r="AX95" s="307" t="n"/>
      <c r="AY95" s="307" t="n"/>
      <c r="AZ95" s="307" t="n"/>
      <c r="BA95" s="31" t="n"/>
      <c r="BB95" s="307" t="n"/>
      <c r="BC95" s="307" t="n"/>
      <c r="BD95" s="307" t="n"/>
      <c r="BE95" s="307" t="n"/>
      <c r="BF95" s="307" t="n"/>
      <c r="BG95" s="31" t="n"/>
      <c r="BH95" s="31" t="n"/>
      <c r="BI95" s="31" t="n"/>
      <c r="BJ95" s="31" t="n"/>
    </row>
    <row r="96" ht="15.75" customHeight="1" s="349">
      <c r="A96" s="31" t="n"/>
      <c r="B96" s="307" t="n"/>
      <c r="C96" s="307" t="n"/>
      <c r="D96" s="307" t="n"/>
      <c r="E96" s="307" t="n"/>
      <c r="F96" s="307" t="n"/>
      <c r="G96" s="307" t="n"/>
      <c r="H96" s="307" t="n"/>
      <c r="I96" s="307" t="n"/>
      <c r="J96" s="307" t="n"/>
      <c r="K96" s="307" t="n"/>
      <c r="L96" s="307" t="n"/>
      <c r="M96" s="307" t="n"/>
      <c r="N96" s="307" t="n"/>
      <c r="O96" s="307" t="n"/>
      <c r="P96" s="307" t="n"/>
      <c r="Q96" s="307" t="n"/>
      <c r="R96" s="307" t="n"/>
      <c r="S96" s="307" t="n"/>
      <c r="T96" s="307" t="n"/>
      <c r="U96" s="307" t="n"/>
      <c r="V96" s="307" t="n"/>
      <c r="W96" s="307" t="n"/>
      <c r="X96" s="307" t="n"/>
      <c r="Y96" s="307" t="n"/>
      <c r="Z96" s="307" t="n"/>
      <c r="AA96" s="307" t="n"/>
      <c r="AB96" s="307" t="n"/>
      <c r="AC96" s="307" t="n"/>
      <c r="AD96" s="307" t="n"/>
      <c r="AE96" s="307" t="n"/>
      <c r="AF96" s="307" t="n"/>
      <c r="AG96" s="307" t="n"/>
      <c r="AH96" s="307" t="n"/>
      <c r="AI96" s="307" t="n"/>
      <c r="AJ96" s="307" t="n"/>
      <c r="AK96" s="307" t="n"/>
      <c r="AL96" s="307" t="n"/>
      <c r="AM96" s="307" t="n"/>
      <c r="AN96" s="307" t="n"/>
      <c r="AO96" s="307" t="n"/>
      <c r="AP96" s="307" t="n"/>
      <c r="AQ96" s="307" t="n"/>
      <c r="AR96" s="307" t="n"/>
      <c r="AS96" s="307" t="n"/>
      <c r="AT96" s="307" t="n"/>
      <c r="AU96" s="307" t="n"/>
      <c r="AV96" s="307" t="n"/>
      <c r="AW96" s="307" t="n"/>
      <c r="AX96" s="307" t="n"/>
      <c r="AY96" s="307" t="n"/>
      <c r="AZ96" s="307" t="n"/>
      <c r="BA96" s="31" t="n"/>
      <c r="BB96" s="307" t="n"/>
      <c r="BC96" s="307" t="n"/>
      <c r="BD96" s="307" t="n"/>
      <c r="BE96" s="307" t="n"/>
      <c r="BF96" s="307" t="n"/>
      <c r="BG96" s="31" t="n"/>
      <c r="BH96" s="31" t="n"/>
      <c r="BI96" s="31" t="n"/>
      <c r="BJ96" s="31" t="n"/>
    </row>
    <row r="97" ht="15.75" customHeight="1" s="349">
      <c r="A97" s="31" t="n"/>
      <c r="B97" s="307" t="n"/>
      <c r="C97" s="307" t="n"/>
      <c r="D97" s="307" t="n"/>
      <c r="E97" s="307" t="n"/>
      <c r="F97" s="307" t="n"/>
      <c r="G97" s="307" t="n"/>
      <c r="H97" s="307" t="n"/>
      <c r="I97" s="307" t="n"/>
      <c r="J97" s="307" t="n"/>
      <c r="K97" s="307" t="n"/>
      <c r="L97" s="307" t="n"/>
      <c r="M97" s="307" t="n"/>
      <c r="N97" s="307" t="n"/>
      <c r="O97" s="307" t="n"/>
      <c r="P97" s="307" t="n"/>
      <c r="Q97" s="307" t="n"/>
      <c r="R97" s="307" t="n"/>
      <c r="S97" s="307" t="n"/>
      <c r="T97" s="307" t="n"/>
      <c r="U97" s="307" t="n"/>
      <c r="V97" s="307" t="n"/>
      <c r="W97" s="307" t="n"/>
      <c r="X97" s="307" t="n"/>
      <c r="Y97" s="307" t="n"/>
      <c r="Z97" s="307" t="n"/>
      <c r="AA97" s="307" t="n"/>
      <c r="AB97" s="307" t="n"/>
      <c r="AC97" s="307" t="n"/>
      <c r="AD97" s="307" t="n"/>
      <c r="AE97" s="307" t="n"/>
      <c r="AF97" s="307" t="n"/>
      <c r="AG97" s="307" t="n"/>
      <c r="AH97" s="307" t="n"/>
      <c r="AI97" s="307" t="n"/>
      <c r="AJ97" s="307" t="n"/>
      <c r="AK97" s="307" t="n"/>
      <c r="AL97" s="307" t="n"/>
      <c r="AM97" s="307" t="n"/>
      <c r="AN97" s="307" t="n"/>
      <c r="AO97" s="307" t="n"/>
      <c r="AP97" s="307" t="n"/>
      <c r="AQ97" s="307" t="n"/>
      <c r="AR97" s="307" t="n"/>
      <c r="AS97" s="307" t="n"/>
      <c r="AT97" s="307" t="n"/>
      <c r="AU97" s="307" t="n"/>
      <c r="AV97" s="307" t="n"/>
      <c r="AW97" s="307" t="n"/>
      <c r="AX97" s="307" t="n"/>
      <c r="AY97" s="307" t="n"/>
      <c r="AZ97" s="307" t="n"/>
      <c r="BA97" s="31" t="n"/>
      <c r="BB97" s="307" t="n"/>
      <c r="BC97" s="307" t="n"/>
      <c r="BD97" s="307" t="n"/>
      <c r="BE97" s="307" t="n"/>
      <c r="BF97" s="307" t="n"/>
      <c r="BG97" s="31" t="n"/>
      <c r="BH97" s="31" t="n"/>
      <c r="BI97" s="31" t="n"/>
      <c r="BJ97" s="31" t="n"/>
    </row>
    <row r="98" ht="15.75" customHeight="1" s="349">
      <c r="A98" s="31" t="n"/>
      <c r="B98" s="307" t="n"/>
      <c r="C98" s="307" t="n"/>
      <c r="D98" s="307" t="n"/>
      <c r="E98" s="307" t="n"/>
      <c r="F98" s="307" t="n"/>
      <c r="G98" s="307" t="n"/>
      <c r="H98" s="307" t="n"/>
      <c r="I98" s="307" t="n"/>
      <c r="J98" s="307" t="n"/>
      <c r="K98" s="307" t="n"/>
      <c r="L98" s="307" t="n"/>
      <c r="M98" s="307" t="n"/>
      <c r="N98" s="307" t="n"/>
      <c r="O98" s="307" t="n"/>
      <c r="P98" s="307" t="n"/>
      <c r="Q98" s="307" t="n"/>
      <c r="R98" s="307" t="n"/>
      <c r="S98" s="307" t="n"/>
      <c r="T98" s="307" t="n"/>
      <c r="U98" s="307" t="n"/>
      <c r="V98" s="307" t="n"/>
      <c r="W98" s="307" t="n"/>
      <c r="X98" s="307" t="n"/>
      <c r="Y98" s="307" t="n"/>
      <c r="Z98" s="307" t="n"/>
      <c r="AA98" s="307" t="n"/>
      <c r="AB98" s="307" t="n"/>
      <c r="AC98" s="307" t="n"/>
      <c r="AD98" s="307" t="n"/>
      <c r="AE98" s="307" t="n"/>
      <c r="AF98" s="307" t="n"/>
      <c r="AG98" s="307" t="n"/>
      <c r="AH98" s="307" t="n"/>
      <c r="AI98" s="307" t="n"/>
      <c r="AJ98" s="307" t="n"/>
      <c r="AK98" s="307" t="n"/>
      <c r="AL98" s="307" t="n"/>
      <c r="AM98" s="307" t="n"/>
      <c r="AN98" s="307" t="n"/>
      <c r="AO98" s="307" t="n"/>
      <c r="AP98" s="307" t="n"/>
      <c r="AQ98" s="307" t="n"/>
      <c r="AR98" s="307" t="n"/>
      <c r="AS98" s="307" t="n"/>
      <c r="AT98" s="307" t="n"/>
      <c r="AU98" s="307" t="n"/>
      <c r="AV98" s="307" t="n"/>
      <c r="AW98" s="307" t="n"/>
      <c r="AX98" s="307" t="n"/>
      <c r="AY98" s="307" t="n"/>
      <c r="AZ98" s="307" t="n"/>
      <c r="BA98" s="31" t="n"/>
      <c r="BB98" s="307" t="n"/>
      <c r="BC98" s="307" t="n"/>
      <c r="BD98" s="307" t="n"/>
      <c r="BE98" s="307" t="n"/>
      <c r="BF98" s="307" t="n"/>
      <c r="BG98" s="31" t="n"/>
      <c r="BH98" s="31" t="n"/>
      <c r="BI98" s="31" t="n"/>
      <c r="BJ98" s="31" t="n"/>
    </row>
    <row r="99" ht="15.75" customHeight="1" s="349">
      <c r="A99" s="31" t="n"/>
      <c r="B99" s="307" t="n"/>
      <c r="C99" s="307" t="n"/>
      <c r="D99" s="307" t="n"/>
      <c r="E99" s="307" t="n"/>
      <c r="F99" s="307" t="n"/>
      <c r="G99" s="307" t="n"/>
      <c r="H99" s="307" t="n"/>
      <c r="I99" s="307" t="n"/>
      <c r="J99" s="307" t="n"/>
      <c r="K99" s="307" t="n"/>
      <c r="L99" s="307" t="n"/>
      <c r="M99" s="307" t="n"/>
      <c r="N99" s="307" t="n"/>
      <c r="O99" s="307" t="n"/>
      <c r="P99" s="307" t="n"/>
      <c r="Q99" s="307" t="n"/>
      <c r="R99" s="307" t="n"/>
      <c r="S99" s="307" t="n"/>
      <c r="T99" s="307" t="n"/>
      <c r="U99" s="307" t="n"/>
      <c r="V99" s="307" t="n"/>
      <c r="W99" s="307" t="n"/>
      <c r="X99" s="307" t="n"/>
      <c r="Y99" s="307" t="n"/>
      <c r="Z99" s="307" t="n"/>
      <c r="AA99" s="307" t="n"/>
      <c r="AB99" s="307" t="n"/>
      <c r="AC99" s="307" t="n"/>
      <c r="AD99" s="307" t="n"/>
      <c r="AE99" s="307" t="n"/>
      <c r="AF99" s="307" t="n"/>
      <c r="AG99" s="307" t="n"/>
      <c r="AH99" s="307" t="n"/>
      <c r="AI99" s="307" t="n"/>
      <c r="AJ99" s="307" t="n"/>
      <c r="AK99" s="307" t="n"/>
      <c r="AL99" s="307" t="n"/>
      <c r="AM99" s="307" t="n"/>
      <c r="AN99" s="307" t="n"/>
      <c r="AO99" s="307" t="n"/>
      <c r="AP99" s="307" t="n"/>
      <c r="AQ99" s="307" t="n"/>
      <c r="AR99" s="307" t="n"/>
      <c r="AS99" s="307" t="n"/>
      <c r="AT99" s="307" t="n"/>
      <c r="AU99" s="307" t="n"/>
      <c r="AV99" s="307" t="n"/>
      <c r="AW99" s="307" t="n"/>
      <c r="AX99" s="307" t="n"/>
      <c r="AY99" s="307" t="n"/>
      <c r="AZ99" s="307" t="n"/>
      <c r="BA99" s="31" t="n"/>
      <c r="BB99" s="307" t="n"/>
      <c r="BC99" s="307" t="n"/>
      <c r="BD99" s="307" t="n"/>
      <c r="BE99" s="307" t="n"/>
      <c r="BF99" s="307" t="n"/>
      <c r="BG99" s="31" t="n"/>
      <c r="BH99" s="31" t="n"/>
      <c r="BI99" s="31" t="n"/>
      <c r="BJ99" s="31" t="n"/>
    </row>
    <row r="100" ht="15.75" customHeight="1" s="349">
      <c r="A100" s="31" t="n"/>
      <c r="B100" s="307" t="n"/>
      <c r="C100" s="307" t="n"/>
      <c r="D100" s="307" t="n"/>
      <c r="E100" s="307" t="n"/>
      <c r="F100" s="307" t="n"/>
      <c r="G100" s="307" t="n"/>
      <c r="H100" s="307" t="n"/>
      <c r="I100" s="307" t="n"/>
      <c r="J100" s="307" t="n"/>
      <c r="K100" s="307" t="n"/>
      <c r="L100" s="307" t="n"/>
      <c r="M100" s="307" t="n"/>
      <c r="N100" s="307" t="n"/>
      <c r="O100" s="307" t="n"/>
      <c r="P100" s="307" t="n"/>
      <c r="Q100" s="307" t="n"/>
      <c r="R100" s="307" t="n"/>
      <c r="S100" s="307" t="n"/>
      <c r="T100" s="307" t="n"/>
      <c r="U100" s="307" t="n"/>
      <c r="V100" s="307" t="n"/>
      <c r="W100" s="307" t="n"/>
      <c r="X100" s="307" t="n"/>
      <c r="Y100" s="307" t="n"/>
      <c r="Z100" s="307" t="n"/>
      <c r="AA100" s="307" t="n"/>
      <c r="AB100" s="307" t="n"/>
      <c r="AC100" s="307" t="n"/>
      <c r="AD100" s="307" t="n"/>
      <c r="AE100" s="307" t="n"/>
      <c r="AF100" s="307" t="n"/>
      <c r="AG100" s="307" t="n"/>
      <c r="AH100" s="307" t="n"/>
      <c r="AI100" s="307" t="n"/>
      <c r="AJ100" s="307" t="n"/>
      <c r="AK100" s="307" t="n"/>
      <c r="AL100" s="307" t="n"/>
      <c r="AM100" s="307" t="n"/>
      <c r="AN100" s="307" t="n"/>
      <c r="AO100" s="307" t="n"/>
      <c r="AP100" s="307" t="n"/>
      <c r="AQ100" s="307" t="n"/>
      <c r="AR100" s="307" t="n"/>
      <c r="AS100" s="307" t="n"/>
      <c r="AT100" s="307" t="n"/>
      <c r="AU100" s="307" t="n"/>
      <c r="AV100" s="307" t="n"/>
      <c r="AW100" s="307" t="n"/>
      <c r="AX100" s="307" t="n"/>
      <c r="AY100" s="307" t="n"/>
      <c r="AZ100" s="307" t="n"/>
      <c r="BA100" s="31" t="n"/>
      <c r="BB100" s="307" t="n"/>
      <c r="BC100" s="307" t="n"/>
      <c r="BD100" s="307" t="n"/>
      <c r="BE100" s="307" t="n"/>
      <c r="BF100" s="307" t="n"/>
      <c r="BG100" s="31" t="n"/>
      <c r="BH100" s="31" t="n"/>
      <c r="BI100" s="31" t="n"/>
      <c r="BJ100" s="31" t="n"/>
    </row>
    <row r="101" ht="15.75" customHeight="1" s="349">
      <c r="A101" s="31" t="n"/>
      <c r="B101" s="307" t="n"/>
      <c r="C101" s="307" t="n"/>
      <c r="D101" s="307" t="n"/>
      <c r="E101" s="307" t="n"/>
      <c r="F101" s="307" t="n"/>
      <c r="G101" s="307" t="n"/>
      <c r="H101" s="307" t="n"/>
      <c r="I101" s="307" t="n"/>
      <c r="J101" s="307" t="n"/>
      <c r="K101" s="307" t="n"/>
      <c r="L101" s="307" t="n"/>
      <c r="M101" s="307" t="n"/>
      <c r="N101" s="307" t="n"/>
      <c r="O101" s="307" t="n"/>
      <c r="P101" s="307" t="n"/>
      <c r="Q101" s="307" t="n"/>
      <c r="R101" s="307" t="n"/>
      <c r="S101" s="307" t="n"/>
      <c r="T101" s="307" t="n"/>
      <c r="U101" s="307" t="n"/>
      <c r="V101" s="307" t="n"/>
      <c r="W101" s="307" t="n"/>
      <c r="X101" s="307" t="n"/>
      <c r="Y101" s="307" t="n"/>
      <c r="Z101" s="307" t="n"/>
      <c r="AA101" s="307" t="n"/>
      <c r="AB101" s="307" t="n"/>
      <c r="AC101" s="307" t="n"/>
      <c r="AD101" s="307" t="n"/>
      <c r="AE101" s="307" t="n"/>
      <c r="AF101" s="307" t="n"/>
      <c r="AG101" s="307" t="n"/>
      <c r="AH101" s="307" t="n"/>
      <c r="AI101" s="307" t="n"/>
      <c r="AJ101" s="307" t="n"/>
      <c r="AK101" s="307" t="n"/>
      <c r="AL101" s="307" t="n"/>
      <c r="AM101" s="307" t="n"/>
      <c r="AN101" s="307" t="n"/>
      <c r="AO101" s="307" t="n"/>
      <c r="AP101" s="307" t="n"/>
      <c r="AQ101" s="307" t="n"/>
      <c r="AR101" s="307" t="n"/>
      <c r="AS101" s="307" t="n"/>
      <c r="AT101" s="307" t="n"/>
      <c r="AU101" s="307" t="n"/>
      <c r="AV101" s="307" t="n"/>
      <c r="AW101" s="307" t="n"/>
      <c r="AX101" s="307" t="n"/>
      <c r="AY101" s="307" t="n"/>
      <c r="AZ101" s="307" t="n"/>
      <c r="BA101" s="31" t="n"/>
      <c r="BB101" s="307" t="n"/>
      <c r="BC101" s="307" t="n"/>
      <c r="BD101" s="307" t="n"/>
      <c r="BE101" s="307" t="n"/>
      <c r="BF101" s="307" t="n"/>
      <c r="BG101" s="31" t="n"/>
      <c r="BH101" s="31" t="n"/>
      <c r="BI101" s="31" t="n"/>
      <c r="BJ101" s="31" t="n"/>
    </row>
    <row r="102" ht="15.75" customHeight="1" s="349">
      <c r="A102" s="31" t="n"/>
      <c r="B102" s="307" t="n"/>
      <c r="C102" s="307" t="n"/>
      <c r="D102" s="307" t="n"/>
      <c r="E102" s="307" t="n"/>
      <c r="F102" s="307" t="n"/>
      <c r="G102" s="307" t="n"/>
      <c r="H102" s="307" t="n"/>
      <c r="I102" s="307" t="n"/>
      <c r="J102" s="307" t="n"/>
      <c r="K102" s="307" t="n"/>
      <c r="L102" s="307" t="n"/>
      <c r="M102" s="307" t="n"/>
      <c r="N102" s="307" t="n"/>
      <c r="O102" s="307" t="n"/>
      <c r="P102" s="307" t="n"/>
      <c r="Q102" s="307" t="n"/>
      <c r="R102" s="307" t="n"/>
      <c r="S102" s="307" t="n"/>
      <c r="T102" s="307" t="n"/>
      <c r="U102" s="307" t="n"/>
      <c r="V102" s="307" t="n"/>
      <c r="W102" s="307" t="n"/>
      <c r="X102" s="307" t="n"/>
      <c r="Y102" s="307" t="n"/>
      <c r="Z102" s="307" t="n"/>
      <c r="AA102" s="307" t="n"/>
      <c r="AB102" s="307" t="n"/>
      <c r="AC102" s="307" t="n"/>
      <c r="AD102" s="307" t="n"/>
      <c r="AE102" s="307" t="n"/>
      <c r="AF102" s="307" t="n"/>
      <c r="AG102" s="307" t="n"/>
      <c r="AH102" s="307" t="n"/>
      <c r="AI102" s="307" t="n"/>
      <c r="AJ102" s="307" t="n"/>
      <c r="AK102" s="307" t="n"/>
      <c r="AL102" s="307" t="n"/>
      <c r="AM102" s="307" t="n"/>
      <c r="AN102" s="307" t="n"/>
      <c r="AO102" s="307" t="n"/>
      <c r="AP102" s="307" t="n"/>
      <c r="AQ102" s="307" t="n"/>
      <c r="AR102" s="307" t="n"/>
      <c r="AS102" s="307" t="n"/>
      <c r="AT102" s="307" t="n"/>
      <c r="AU102" s="307" t="n"/>
      <c r="AV102" s="307" t="n"/>
      <c r="AW102" s="307" t="n"/>
      <c r="AX102" s="307" t="n"/>
      <c r="AY102" s="307" t="n"/>
      <c r="AZ102" s="307" t="n"/>
      <c r="BA102" s="31" t="n"/>
      <c r="BB102" s="307" t="n"/>
      <c r="BC102" s="307" t="n"/>
      <c r="BD102" s="307" t="n"/>
      <c r="BE102" s="307" t="n"/>
      <c r="BF102" s="307" t="n"/>
      <c r="BG102" s="31" t="n"/>
      <c r="BH102" s="31" t="n"/>
      <c r="BI102" s="31" t="n"/>
      <c r="BJ102" s="31" t="n"/>
    </row>
    <row r="103" ht="15.75" customHeight="1" s="349">
      <c r="A103" s="31" t="n"/>
      <c r="B103" s="307" t="n"/>
      <c r="C103" s="307" t="n"/>
      <c r="D103" s="307" t="n"/>
      <c r="E103" s="307" t="n"/>
      <c r="F103" s="307" t="n"/>
      <c r="G103" s="307" t="n"/>
      <c r="H103" s="307" t="n"/>
      <c r="I103" s="307" t="n"/>
      <c r="J103" s="307" t="n"/>
      <c r="K103" s="307" t="n"/>
      <c r="L103" s="307" t="n"/>
      <c r="M103" s="307" t="n"/>
      <c r="N103" s="307" t="n"/>
      <c r="O103" s="307" t="n"/>
      <c r="P103" s="307" t="n"/>
      <c r="Q103" s="307" t="n"/>
      <c r="R103" s="307" t="n"/>
      <c r="S103" s="307" t="n"/>
      <c r="T103" s="307" t="n"/>
      <c r="U103" s="307" t="n"/>
      <c r="V103" s="307" t="n"/>
      <c r="W103" s="307" t="n"/>
      <c r="X103" s="307" t="n"/>
      <c r="Y103" s="307" t="n"/>
      <c r="Z103" s="307" t="n"/>
      <c r="AA103" s="307" t="n"/>
      <c r="AB103" s="307" t="n"/>
      <c r="AC103" s="307" t="n"/>
      <c r="AD103" s="307" t="n"/>
      <c r="AE103" s="307" t="n"/>
      <c r="AF103" s="307" t="n"/>
      <c r="AG103" s="307" t="n"/>
      <c r="AH103" s="307" t="n"/>
      <c r="AI103" s="307" t="n"/>
      <c r="AJ103" s="307" t="n"/>
      <c r="AK103" s="307" t="n"/>
      <c r="AL103" s="307" t="n"/>
      <c r="AM103" s="307" t="n"/>
      <c r="AN103" s="307" t="n"/>
      <c r="AO103" s="307" t="n"/>
      <c r="AP103" s="307" t="n"/>
      <c r="AQ103" s="307" t="n"/>
      <c r="AR103" s="307" t="n"/>
      <c r="AS103" s="307" t="n"/>
      <c r="AT103" s="307" t="n"/>
      <c r="AU103" s="307" t="n"/>
      <c r="AV103" s="307" t="n"/>
      <c r="AW103" s="307" t="n"/>
      <c r="AX103" s="307" t="n"/>
      <c r="AY103" s="307" t="n"/>
      <c r="AZ103" s="307" t="n"/>
      <c r="BA103" s="31" t="n"/>
      <c r="BB103" s="307" t="n"/>
      <c r="BC103" s="307" t="n"/>
      <c r="BD103" s="307" t="n"/>
      <c r="BE103" s="307" t="n"/>
      <c r="BF103" s="307" t="n"/>
      <c r="BG103" s="31" t="n"/>
      <c r="BH103" s="31" t="n"/>
      <c r="BI103" s="31" t="n"/>
      <c r="BJ103" s="31" t="n"/>
    </row>
    <row r="104" ht="15.75" customHeight="1" s="349">
      <c r="A104" s="31" t="n"/>
      <c r="B104" s="307" t="n"/>
      <c r="C104" s="307" t="n"/>
      <c r="D104" s="307" t="n"/>
      <c r="E104" s="307" t="n"/>
      <c r="F104" s="307" t="n"/>
      <c r="G104" s="307" t="n"/>
      <c r="H104" s="307" t="n"/>
      <c r="I104" s="307" t="n"/>
      <c r="J104" s="307" t="n"/>
      <c r="K104" s="307" t="n"/>
      <c r="L104" s="307" t="n"/>
      <c r="M104" s="307" t="n"/>
      <c r="N104" s="307" t="n"/>
      <c r="O104" s="307" t="n"/>
      <c r="P104" s="307" t="n"/>
      <c r="Q104" s="307" t="n"/>
      <c r="R104" s="307" t="n"/>
      <c r="S104" s="307" t="n"/>
      <c r="T104" s="307" t="n"/>
      <c r="U104" s="307" t="n"/>
      <c r="V104" s="307" t="n"/>
      <c r="W104" s="307" t="n"/>
      <c r="X104" s="307" t="n"/>
      <c r="Y104" s="307" t="n"/>
      <c r="Z104" s="307" t="n"/>
      <c r="AA104" s="307" t="n"/>
      <c r="AB104" s="307" t="n"/>
      <c r="AC104" s="307" t="n"/>
      <c r="AD104" s="307" t="n"/>
      <c r="AE104" s="307" t="n"/>
      <c r="AF104" s="307" t="n"/>
      <c r="AG104" s="307" t="n"/>
      <c r="AH104" s="307" t="n"/>
      <c r="AI104" s="307" t="n"/>
      <c r="AJ104" s="307" t="n"/>
      <c r="AK104" s="307" t="n"/>
      <c r="AL104" s="307" t="n"/>
      <c r="AM104" s="307" t="n"/>
      <c r="AN104" s="307" t="n"/>
      <c r="AO104" s="307" t="n"/>
      <c r="AP104" s="307" t="n"/>
      <c r="AQ104" s="307" t="n"/>
      <c r="AR104" s="307" t="n"/>
      <c r="AS104" s="307" t="n"/>
      <c r="AT104" s="307" t="n"/>
      <c r="AU104" s="307" t="n"/>
      <c r="AV104" s="307" t="n"/>
      <c r="AW104" s="307" t="n"/>
      <c r="AX104" s="307" t="n"/>
      <c r="AY104" s="307" t="n"/>
      <c r="AZ104" s="307" t="n"/>
      <c r="BA104" s="31" t="n"/>
      <c r="BB104" s="307" t="n"/>
      <c r="BC104" s="307" t="n"/>
      <c r="BD104" s="307" t="n"/>
      <c r="BE104" s="307" t="n"/>
      <c r="BF104" s="307" t="n"/>
      <c r="BG104" s="31" t="n"/>
      <c r="BH104" s="31" t="n"/>
      <c r="BI104" s="31" t="n"/>
      <c r="BJ104" s="31" t="n"/>
    </row>
    <row r="105" ht="15.75" customHeight="1" s="349">
      <c r="A105" s="31" t="n"/>
      <c r="B105" s="307" t="n"/>
      <c r="C105" s="307" t="n"/>
      <c r="D105" s="307" t="n"/>
      <c r="E105" s="307" t="n"/>
      <c r="F105" s="307" t="n"/>
      <c r="G105" s="307" t="n"/>
      <c r="H105" s="307" t="n"/>
      <c r="I105" s="307" t="n"/>
      <c r="J105" s="307" t="n"/>
      <c r="K105" s="307" t="n"/>
      <c r="L105" s="307" t="n"/>
      <c r="M105" s="307" t="n"/>
      <c r="N105" s="307" t="n"/>
      <c r="O105" s="307" t="n"/>
      <c r="P105" s="307" t="n"/>
      <c r="Q105" s="307" t="n"/>
      <c r="R105" s="307" t="n"/>
      <c r="S105" s="307" t="n"/>
      <c r="T105" s="307" t="n"/>
      <c r="U105" s="307" t="n"/>
      <c r="V105" s="307" t="n"/>
      <c r="W105" s="307" t="n"/>
      <c r="X105" s="307" t="n"/>
      <c r="Y105" s="307" t="n"/>
      <c r="Z105" s="307" t="n"/>
      <c r="AA105" s="307" t="n"/>
      <c r="AB105" s="307" t="n"/>
      <c r="AC105" s="307" t="n"/>
      <c r="AD105" s="307" t="n"/>
      <c r="AE105" s="307" t="n"/>
      <c r="AF105" s="307" t="n"/>
      <c r="AG105" s="307" t="n"/>
      <c r="AH105" s="307" t="n"/>
      <c r="AI105" s="307" t="n"/>
      <c r="AJ105" s="307" t="n"/>
      <c r="AK105" s="307" t="n"/>
      <c r="AL105" s="307" t="n"/>
      <c r="AM105" s="307" t="n"/>
      <c r="AN105" s="307" t="n"/>
      <c r="AO105" s="307" t="n"/>
      <c r="AP105" s="307" t="n"/>
      <c r="AQ105" s="307" t="n"/>
      <c r="AR105" s="307" t="n"/>
      <c r="AS105" s="307" t="n"/>
      <c r="AT105" s="307" t="n"/>
      <c r="AU105" s="307" t="n"/>
      <c r="AV105" s="307" t="n"/>
      <c r="AW105" s="307" t="n"/>
      <c r="AX105" s="307" t="n"/>
      <c r="AY105" s="307" t="n"/>
      <c r="AZ105" s="307" t="n"/>
      <c r="BA105" s="31" t="n"/>
      <c r="BB105" s="307" t="n"/>
      <c r="BC105" s="307" t="n"/>
      <c r="BD105" s="307" t="n"/>
      <c r="BE105" s="307" t="n"/>
      <c r="BF105" s="307" t="n"/>
      <c r="BG105" s="31" t="n"/>
      <c r="BH105" s="31" t="n"/>
      <c r="BI105" s="31" t="n"/>
      <c r="BJ105" s="31" t="n"/>
    </row>
    <row r="106" ht="15.75" customHeight="1" s="349">
      <c r="A106" s="31" t="n"/>
      <c r="B106" s="307" t="n"/>
      <c r="C106" s="307" t="n"/>
      <c r="D106" s="307" t="n"/>
      <c r="E106" s="307" t="n"/>
      <c r="F106" s="307" t="n"/>
      <c r="G106" s="307" t="n"/>
      <c r="H106" s="307" t="n"/>
      <c r="I106" s="307" t="n"/>
      <c r="J106" s="307" t="n"/>
      <c r="K106" s="307" t="n"/>
      <c r="L106" s="307" t="n"/>
      <c r="M106" s="307" t="n"/>
      <c r="N106" s="307" t="n"/>
      <c r="O106" s="307" t="n"/>
      <c r="P106" s="307" t="n"/>
      <c r="Q106" s="307" t="n"/>
      <c r="R106" s="307" t="n"/>
      <c r="S106" s="307" t="n"/>
      <c r="T106" s="307" t="n"/>
      <c r="U106" s="307" t="n"/>
      <c r="V106" s="307" t="n"/>
      <c r="W106" s="307" t="n"/>
      <c r="X106" s="307" t="n"/>
      <c r="Y106" s="307" t="n"/>
      <c r="Z106" s="307" t="n"/>
      <c r="AA106" s="307" t="n"/>
      <c r="AB106" s="307" t="n"/>
      <c r="AC106" s="307" t="n"/>
      <c r="AD106" s="307" t="n"/>
      <c r="AE106" s="307" t="n"/>
      <c r="AF106" s="307" t="n"/>
      <c r="AG106" s="307" t="n"/>
      <c r="AH106" s="307" t="n"/>
      <c r="AI106" s="307" t="n"/>
      <c r="AJ106" s="307" t="n"/>
      <c r="AK106" s="307" t="n"/>
      <c r="AL106" s="307" t="n"/>
      <c r="AM106" s="307" t="n"/>
      <c r="AN106" s="307" t="n"/>
      <c r="AO106" s="307" t="n"/>
      <c r="AP106" s="307" t="n"/>
      <c r="AQ106" s="307" t="n"/>
      <c r="AR106" s="307" t="n"/>
      <c r="AS106" s="307" t="n"/>
      <c r="AT106" s="307" t="n"/>
      <c r="AU106" s="307" t="n"/>
      <c r="AV106" s="307" t="n"/>
      <c r="AW106" s="307" t="n"/>
      <c r="AX106" s="307" t="n"/>
      <c r="AY106" s="307" t="n"/>
      <c r="AZ106" s="307" t="n"/>
      <c r="BA106" s="31" t="n"/>
      <c r="BB106" s="307" t="n"/>
      <c r="BC106" s="307" t="n"/>
      <c r="BD106" s="307" t="n"/>
      <c r="BE106" s="307" t="n"/>
      <c r="BF106" s="307" t="n"/>
      <c r="BG106" s="31" t="n"/>
      <c r="BH106" s="31" t="n"/>
      <c r="BI106" s="31" t="n"/>
      <c r="BJ106" s="31" t="n"/>
    </row>
    <row r="107" ht="15.75" customHeight="1" s="349">
      <c r="A107" s="31" t="n"/>
      <c r="B107" s="307" t="n"/>
      <c r="C107" s="307" t="n"/>
      <c r="D107" s="307" t="n"/>
      <c r="E107" s="307" t="n"/>
      <c r="F107" s="307" t="n"/>
      <c r="G107" s="307" t="n"/>
      <c r="H107" s="307" t="n"/>
      <c r="I107" s="307" t="n"/>
      <c r="J107" s="307" t="n"/>
      <c r="K107" s="307" t="n"/>
      <c r="L107" s="307" t="n"/>
      <c r="M107" s="307" t="n"/>
      <c r="N107" s="307" t="n"/>
      <c r="O107" s="307" t="n"/>
      <c r="P107" s="307" t="n"/>
      <c r="Q107" s="307" t="n"/>
      <c r="R107" s="307" t="n"/>
      <c r="S107" s="307" t="n"/>
      <c r="T107" s="307" t="n"/>
      <c r="U107" s="307" t="n"/>
      <c r="V107" s="307" t="n"/>
      <c r="W107" s="307" t="n"/>
      <c r="X107" s="307" t="n"/>
      <c r="Y107" s="307" t="n"/>
      <c r="Z107" s="307" t="n"/>
      <c r="AA107" s="307" t="n"/>
      <c r="AB107" s="307" t="n"/>
      <c r="AC107" s="307" t="n"/>
      <c r="AD107" s="307" t="n"/>
      <c r="AE107" s="307" t="n"/>
      <c r="AF107" s="307" t="n"/>
      <c r="AG107" s="307" t="n"/>
      <c r="AH107" s="307" t="n"/>
      <c r="AI107" s="307" t="n"/>
      <c r="AJ107" s="307" t="n"/>
      <c r="AK107" s="307" t="n"/>
      <c r="AL107" s="307" t="n"/>
      <c r="AM107" s="307" t="n"/>
      <c r="AN107" s="307" t="n"/>
      <c r="AO107" s="307" t="n"/>
      <c r="AP107" s="307" t="n"/>
      <c r="AQ107" s="307" t="n"/>
      <c r="AR107" s="307" t="n"/>
      <c r="AS107" s="307" t="n"/>
      <c r="AT107" s="307" t="n"/>
      <c r="AU107" s="307" t="n"/>
      <c r="AV107" s="307" t="n"/>
      <c r="AW107" s="307" t="n"/>
      <c r="AX107" s="307" t="n"/>
      <c r="AY107" s="307" t="n"/>
      <c r="AZ107" s="307" t="n"/>
      <c r="BA107" s="31" t="n"/>
      <c r="BB107" s="307" t="n"/>
      <c r="BC107" s="307" t="n"/>
      <c r="BD107" s="307" t="n"/>
      <c r="BE107" s="307" t="n"/>
      <c r="BF107" s="307" t="n"/>
      <c r="BG107" s="31" t="n"/>
      <c r="BH107" s="31" t="n"/>
      <c r="BI107" s="31" t="n"/>
      <c r="BJ107" s="31" t="n"/>
    </row>
    <row r="108" ht="15.75" customHeight="1" s="349">
      <c r="A108" s="31" t="n"/>
      <c r="B108" s="307" t="n"/>
      <c r="C108" s="307" t="n"/>
      <c r="D108" s="307" t="n"/>
      <c r="E108" s="307" t="n"/>
      <c r="F108" s="307" t="n"/>
      <c r="G108" s="307" t="n"/>
      <c r="H108" s="307" t="n"/>
      <c r="I108" s="307" t="n"/>
      <c r="J108" s="307" t="n"/>
      <c r="K108" s="307" t="n"/>
      <c r="L108" s="307" t="n"/>
      <c r="M108" s="307" t="n"/>
      <c r="N108" s="307" t="n"/>
      <c r="O108" s="307" t="n"/>
      <c r="P108" s="307" t="n"/>
      <c r="Q108" s="307" t="n"/>
      <c r="R108" s="307" t="n"/>
      <c r="S108" s="307" t="n"/>
      <c r="T108" s="307" t="n"/>
      <c r="U108" s="307" t="n"/>
      <c r="V108" s="307" t="n"/>
      <c r="W108" s="307" t="n"/>
      <c r="X108" s="307" t="n"/>
      <c r="Y108" s="307" t="n"/>
      <c r="Z108" s="307" t="n"/>
      <c r="AA108" s="307" t="n"/>
      <c r="AB108" s="307" t="n"/>
      <c r="AC108" s="307" t="n"/>
      <c r="AD108" s="307" t="n"/>
      <c r="AE108" s="307" t="n"/>
      <c r="AF108" s="307" t="n"/>
      <c r="AG108" s="307" t="n"/>
      <c r="AH108" s="307" t="n"/>
      <c r="AI108" s="307" t="n"/>
      <c r="AJ108" s="307" t="n"/>
      <c r="AK108" s="307" t="n"/>
      <c r="AL108" s="307" t="n"/>
      <c r="AM108" s="307" t="n"/>
      <c r="AN108" s="307" t="n"/>
      <c r="AO108" s="307" t="n"/>
      <c r="AP108" s="307" t="n"/>
      <c r="AQ108" s="307" t="n"/>
      <c r="AR108" s="307" t="n"/>
      <c r="AS108" s="307" t="n"/>
      <c r="AT108" s="307" t="n"/>
      <c r="AU108" s="307" t="n"/>
      <c r="AV108" s="307" t="n"/>
      <c r="AW108" s="307" t="n"/>
      <c r="AX108" s="307" t="n"/>
      <c r="AY108" s="307" t="n"/>
      <c r="AZ108" s="307" t="n"/>
      <c r="BA108" s="31" t="n"/>
      <c r="BB108" s="307" t="n"/>
      <c r="BC108" s="307" t="n"/>
      <c r="BD108" s="307" t="n"/>
      <c r="BE108" s="307" t="n"/>
      <c r="BF108" s="307" t="n"/>
      <c r="BG108" s="31" t="n"/>
      <c r="BH108" s="31" t="n"/>
      <c r="BI108" s="31" t="n"/>
      <c r="BJ108" s="31" t="n"/>
    </row>
    <row r="109" ht="15.75" customHeight="1" s="349">
      <c r="A109" s="31" t="n"/>
      <c r="B109" s="307" t="n"/>
      <c r="C109" s="307" t="n"/>
      <c r="D109" s="307" t="n"/>
      <c r="E109" s="307" t="n"/>
      <c r="F109" s="307" t="n"/>
      <c r="G109" s="307" t="n"/>
      <c r="H109" s="307" t="n"/>
      <c r="I109" s="307" t="n"/>
      <c r="J109" s="307" t="n"/>
      <c r="K109" s="307" t="n"/>
      <c r="L109" s="307" t="n"/>
      <c r="M109" s="307" t="n"/>
      <c r="N109" s="307" t="n"/>
      <c r="O109" s="307" t="n"/>
      <c r="P109" s="307" t="n"/>
      <c r="Q109" s="307" t="n"/>
      <c r="R109" s="307" t="n"/>
      <c r="S109" s="307" t="n"/>
      <c r="T109" s="307" t="n"/>
      <c r="U109" s="307" t="n"/>
      <c r="V109" s="307" t="n"/>
      <c r="W109" s="307" t="n"/>
      <c r="X109" s="307" t="n"/>
      <c r="Y109" s="307" t="n"/>
      <c r="Z109" s="307" t="n"/>
      <c r="AA109" s="307" t="n"/>
      <c r="AB109" s="307" t="n"/>
      <c r="AC109" s="307" t="n"/>
      <c r="AD109" s="307" t="n"/>
      <c r="AE109" s="307" t="n"/>
      <c r="AF109" s="307" t="n"/>
      <c r="AG109" s="307" t="n"/>
      <c r="AH109" s="307" t="n"/>
      <c r="AI109" s="307" t="n"/>
      <c r="AJ109" s="307" t="n"/>
      <c r="AK109" s="307" t="n"/>
      <c r="AL109" s="307" t="n"/>
      <c r="AM109" s="307" t="n"/>
      <c r="AN109" s="307" t="n"/>
      <c r="AO109" s="307" t="n"/>
      <c r="AP109" s="307" t="n"/>
      <c r="AQ109" s="307" t="n"/>
      <c r="AR109" s="307" t="n"/>
      <c r="AS109" s="307" t="n"/>
      <c r="AT109" s="307" t="n"/>
      <c r="AU109" s="307" t="n"/>
      <c r="AV109" s="307" t="n"/>
      <c r="AW109" s="307" t="n"/>
      <c r="AX109" s="307" t="n"/>
      <c r="AY109" s="307" t="n"/>
      <c r="AZ109" s="307" t="n"/>
      <c r="BA109" s="31" t="n"/>
      <c r="BB109" s="307" t="n"/>
      <c r="BC109" s="307" t="n"/>
      <c r="BD109" s="307" t="n"/>
      <c r="BE109" s="307" t="n"/>
      <c r="BF109" s="307" t="n"/>
      <c r="BG109" s="31" t="n"/>
      <c r="BH109" s="31" t="n"/>
      <c r="BI109" s="31" t="n"/>
      <c r="BJ109" s="31" t="n"/>
    </row>
    <row r="110" ht="15.75" customHeight="1" s="349">
      <c r="A110" s="31" t="n"/>
      <c r="B110" s="307" t="n"/>
      <c r="C110" s="307" t="n"/>
      <c r="D110" s="307" t="n"/>
      <c r="E110" s="307" t="n"/>
      <c r="F110" s="307" t="n"/>
      <c r="G110" s="307" t="n"/>
      <c r="H110" s="307" t="n"/>
      <c r="I110" s="307" t="n"/>
      <c r="J110" s="307" t="n"/>
      <c r="K110" s="307" t="n"/>
      <c r="L110" s="307" t="n"/>
      <c r="M110" s="307" t="n"/>
      <c r="N110" s="307" t="n"/>
      <c r="O110" s="307" t="n"/>
      <c r="P110" s="307" t="n"/>
      <c r="Q110" s="307" t="n"/>
      <c r="R110" s="307" t="n"/>
      <c r="S110" s="307" t="n"/>
      <c r="T110" s="307" t="n"/>
      <c r="U110" s="307" t="n"/>
      <c r="V110" s="307" t="n"/>
      <c r="W110" s="307" t="n"/>
      <c r="X110" s="307" t="n"/>
      <c r="Y110" s="307" t="n"/>
      <c r="Z110" s="307" t="n"/>
      <c r="AA110" s="307" t="n"/>
      <c r="AB110" s="307" t="n"/>
      <c r="AC110" s="307" t="n"/>
      <c r="AD110" s="307" t="n"/>
      <c r="AE110" s="307" t="n"/>
      <c r="AF110" s="307" t="n"/>
      <c r="AG110" s="307" t="n"/>
      <c r="AH110" s="307" t="n"/>
      <c r="AI110" s="307" t="n"/>
      <c r="AJ110" s="307" t="n"/>
      <c r="AK110" s="307" t="n"/>
      <c r="AL110" s="307" t="n"/>
      <c r="AM110" s="307" t="n"/>
      <c r="AN110" s="307" t="n"/>
      <c r="AO110" s="307" t="n"/>
      <c r="AP110" s="307" t="n"/>
      <c r="AQ110" s="307" t="n"/>
      <c r="AR110" s="307" t="n"/>
      <c r="AS110" s="307" t="n"/>
      <c r="AT110" s="307" t="n"/>
      <c r="AU110" s="307" t="n"/>
      <c r="AV110" s="307" t="n"/>
      <c r="AW110" s="307" t="n"/>
      <c r="AX110" s="307" t="n"/>
      <c r="AY110" s="307" t="n"/>
      <c r="AZ110" s="307" t="n"/>
      <c r="BA110" s="31" t="n"/>
      <c r="BB110" s="307" t="n"/>
      <c r="BC110" s="307" t="n"/>
      <c r="BD110" s="307" t="n"/>
      <c r="BE110" s="307" t="n"/>
      <c r="BF110" s="307" t="n"/>
      <c r="BG110" s="31" t="n"/>
      <c r="BH110" s="31" t="n"/>
      <c r="BI110" s="31" t="n"/>
      <c r="BJ110" s="31" t="n"/>
    </row>
    <row r="111" ht="15.75" customHeight="1" s="349">
      <c r="A111" s="31" t="n"/>
      <c r="B111" s="307" t="n"/>
      <c r="C111" s="307" t="n"/>
      <c r="D111" s="307" t="n"/>
      <c r="E111" s="307" t="n"/>
      <c r="F111" s="307" t="n"/>
      <c r="G111" s="307" t="n"/>
      <c r="H111" s="307" t="n"/>
      <c r="I111" s="307" t="n"/>
      <c r="J111" s="307" t="n"/>
      <c r="K111" s="307" t="n"/>
      <c r="L111" s="307" t="n"/>
      <c r="M111" s="307" t="n"/>
      <c r="N111" s="307" t="n"/>
      <c r="O111" s="307" t="n"/>
      <c r="P111" s="307" t="n"/>
      <c r="Q111" s="307" t="n"/>
      <c r="R111" s="307" t="n"/>
      <c r="S111" s="307" t="n"/>
      <c r="T111" s="307" t="n"/>
      <c r="U111" s="307" t="n"/>
      <c r="V111" s="307" t="n"/>
      <c r="W111" s="307" t="n"/>
      <c r="X111" s="307" t="n"/>
      <c r="Y111" s="307" t="n"/>
      <c r="Z111" s="307" t="n"/>
      <c r="AA111" s="307" t="n"/>
      <c r="AB111" s="307" t="n"/>
      <c r="AC111" s="307" t="n"/>
      <c r="AD111" s="307" t="n"/>
      <c r="AE111" s="307" t="n"/>
      <c r="AF111" s="307" t="n"/>
      <c r="AG111" s="307" t="n"/>
      <c r="AH111" s="307" t="n"/>
      <c r="AI111" s="307" t="n"/>
      <c r="AJ111" s="307" t="n"/>
      <c r="AK111" s="307" t="n"/>
      <c r="AL111" s="307" t="n"/>
      <c r="AM111" s="307" t="n"/>
      <c r="AN111" s="307" t="n"/>
      <c r="AO111" s="307" t="n"/>
      <c r="AP111" s="307" t="n"/>
      <c r="AQ111" s="307" t="n"/>
      <c r="AR111" s="307" t="n"/>
      <c r="AS111" s="307" t="n"/>
      <c r="AT111" s="307" t="n"/>
      <c r="AU111" s="307" t="n"/>
      <c r="AV111" s="307" t="n"/>
      <c r="AW111" s="307" t="n"/>
      <c r="AX111" s="307" t="n"/>
      <c r="AY111" s="307" t="n"/>
      <c r="AZ111" s="307" t="n"/>
      <c r="BA111" s="31" t="n"/>
      <c r="BB111" s="307" t="n"/>
      <c r="BC111" s="307" t="n"/>
      <c r="BD111" s="307" t="n"/>
      <c r="BE111" s="307" t="n"/>
      <c r="BF111" s="307" t="n"/>
      <c r="BG111" s="31" t="n"/>
      <c r="BH111" s="31" t="n"/>
      <c r="BI111" s="31" t="n"/>
      <c r="BJ111" s="31" t="n"/>
    </row>
    <row r="112" ht="15.75" customHeight="1" s="349">
      <c r="A112" s="31" t="n"/>
      <c r="B112" s="307" t="n"/>
      <c r="C112" s="307" t="n"/>
      <c r="D112" s="307" t="n"/>
      <c r="E112" s="307" t="n"/>
      <c r="F112" s="307" t="n"/>
      <c r="G112" s="307" t="n"/>
      <c r="H112" s="307" t="n"/>
      <c r="I112" s="307" t="n"/>
      <c r="J112" s="307" t="n"/>
      <c r="K112" s="307" t="n"/>
      <c r="L112" s="307" t="n"/>
      <c r="M112" s="307" t="n"/>
      <c r="N112" s="307" t="n"/>
      <c r="O112" s="307" t="n"/>
      <c r="P112" s="307" t="n"/>
      <c r="Q112" s="307" t="n"/>
      <c r="R112" s="307" t="n"/>
      <c r="S112" s="307" t="n"/>
      <c r="T112" s="307" t="n"/>
      <c r="U112" s="307" t="n"/>
      <c r="V112" s="307" t="n"/>
      <c r="W112" s="307" t="n"/>
      <c r="X112" s="307" t="n"/>
      <c r="Y112" s="307" t="n"/>
      <c r="Z112" s="307" t="n"/>
      <c r="AA112" s="307" t="n"/>
      <c r="AB112" s="307" t="n"/>
      <c r="AC112" s="307" t="n"/>
      <c r="AD112" s="307" t="n"/>
      <c r="AE112" s="307" t="n"/>
      <c r="AF112" s="307" t="n"/>
      <c r="AG112" s="307" t="n"/>
      <c r="AH112" s="307" t="n"/>
      <c r="AI112" s="307" t="n"/>
      <c r="AJ112" s="307" t="n"/>
      <c r="AK112" s="307" t="n"/>
      <c r="AL112" s="307" t="n"/>
      <c r="AM112" s="307" t="n"/>
      <c r="AN112" s="307" t="n"/>
      <c r="AO112" s="307" t="n"/>
      <c r="AP112" s="307" t="n"/>
      <c r="AQ112" s="307" t="n"/>
      <c r="AR112" s="307" t="n"/>
      <c r="AS112" s="307" t="n"/>
      <c r="AT112" s="307" t="n"/>
      <c r="AU112" s="307" t="n"/>
      <c r="AV112" s="307" t="n"/>
      <c r="AW112" s="307" t="n"/>
      <c r="AX112" s="307" t="n"/>
      <c r="AY112" s="307" t="n"/>
      <c r="AZ112" s="307" t="n"/>
      <c r="BA112" s="31" t="n"/>
      <c r="BB112" s="307" t="n"/>
      <c r="BC112" s="307" t="n"/>
      <c r="BD112" s="307" t="n"/>
      <c r="BE112" s="307" t="n"/>
      <c r="BF112" s="307" t="n"/>
      <c r="BG112" s="31" t="n"/>
      <c r="BH112" s="31" t="n"/>
      <c r="BI112" s="31" t="n"/>
      <c r="BJ112" s="31" t="n"/>
    </row>
    <row r="113" ht="15.75" customHeight="1" s="349">
      <c r="A113" s="31" t="n"/>
      <c r="B113" s="307" t="n"/>
      <c r="C113" s="307" t="n"/>
      <c r="D113" s="307" t="n"/>
      <c r="E113" s="307" t="n"/>
      <c r="F113" s="307" t="n"/>
      <c r="G113" s="307" t="n"/>
      <c r="H113" s="307" t="n"/>
      <c r="I113" s="307" t="n"/>
      <c r="J113" s="307" t="n"/>
      <c r="K113" s="307" t="n"/>
      <c r="L113" s="307" t="n"/>
      <c r="M113" s="307" t="n"/>
      <c r="N113" s="307" t="n"/>
      <c r="O113" s="307" t="n"/>
      <c r="P113" s="307" t="n"/>
      <c r="Q113" s="307" t="n"/>
      <c r="R113" s="307" t="n"/>
      <c r="S113" s="307" t="n"/>
      <c r="T113" s="307" t="n"/>
      <c r="U113" s="307" t="n"/>
      <c r="V113" s="307" t="n"/>
      <c r="W113" s="307" t="n"/>
      <c r="X113" s="307" t="n"/>
      <c r="Y113" s="307" t="n"/>
      <c r="Z113" s="307" t="n"/>
      <c r="AA113" s="307" t="n"/>
      <c r="AB113" s="307" t="n"/>
      <c r="AC113" s="307" t="n"/>
      <c r="AD113" s="307" t="n"/>
      <c r="AE113" s="307" t="n"/>
      <c r="AF113" s="307" t="n"/>
      <c r="AG113" s="307" t="n"/>
      <c r="AH113" s="307" t="n"/>
      <c r="AI113" s="307" t="n"/>
      <c r="AJ113" s="307" t="n"/>
      <c r="AK113" s="307" t="n"/>
      <c r="AL113" s="307" t="n"/>
      <c r="AM113" s="307" t="n"/>
      <c r="AN113" s="307" t="n"/>
      <c r="AO113" s="307" t="n"/>
      <c r="AP113" s="307" t="n"/>
      <c r="AQ113" s="307" t="n"/>
      <c r="AR113" s="307" t="n"/>
      <c r="AS113" s="307" t="n"/>
      <c r="AT113" s="307" t="n"/>
      <c r="AU113" s="307" t="n"/>
      <c r="AV113" s="307" t="n"/>
      <c r="AW113" s="307" t="n"/>
      <c r="AX113" s="307" t="n"/>
      <c r="AY113" s="307" t="n"/>
      <c r="AZ113" s="307" t="n"/>
      <c r="BA113" s="31" t="n"/>
      <c r="BB113" s="307" t="n"/>
      <c r="BC113" s="307" t="n"/>
      <c r="BD113" s="307" t="n"/>
      <c r="BE113" s="307" t="n"/>
      <c r="BF113" s="307" t="n"/>
      <c r="BG113" s="31" t="n"/>
      <c r="BH113" s="31" t="n"/>
      <c r="BI113" s="31" t="n"/>
      <c r="BJ113" s="31" t="n"/>
    </row>
    <row r="114" ht="15.75" customHeight="1" s="349">
      <c r="A114" s="31" t="n"/>
      <c r="B114" s="307" t="n"/>
      <c r="C114" s="307" t="n"/>
      <c r="D114" s="307" t="n"/>
      <c r="E114" s="307" t="n"/>
      <c r="F114" s="307" t="n"/>
      <c r="G114" s="307" t="n"/>
      <c r="H114" s="307" t="n"/>
      <c r="I114" s="307" t="n"/>
      <c r="J114" s="307" t="n"/>
      <c r="K114" s="307" t="n"/>
      <c r="L114" s="307" t="n"/>
      <c r="M114" s="307" t="n"/>
      <c r="N114" s="307" t="n"/>
      <c r="O114" s="307" t="n"/>
      <c r="P114" s="307" t="n"/>
      <c r="Q114" s="307" t="n"/>
      <c r="R114" s="307" t="n"/>
      <c r="S114" s="307" t="n"/>
      <c r="T114" s="307" t="n"/>
      <c r="U114" s="307" t="n"/>
      <c r="V114" s="307" t="n"/>
      <c r="W114" s="307" t="n"/>
      <c r="X114" s="307" t="n"/>
      <c r="Y114" s="307" t="n"/>
      <c r="Z114" s="307" t="n"/>
      <c r="AA114" s="307" t="n"/>
      <c r="AB114" s="307" t="n"/>
      <c r="AC114" s="307" t="n"/>
      <c r="AD114" s="307" t="n"/>
      <c r="AE114" s="307" t="n"/>
      <c r="AF114" s="307" t="n"/>
      <c r="AG114" s="307" t="n"/>
      <c r="AH114" s="307" t="n"/>
      <c r="AI114" s="307" t="n"/>
      <c r="AJ114" s="307" t="n"/>
      <c r="AK114" s="307" t="n"/>
      <c r="AL114" s="307" t="n"/>
      <c r="AM114" s="307" t="n"/>
      <c r="AN114" s="307" t="n"/>
      <c r="AO114" s="307" t="n"/>
      <c r="AP114" s="307" t="n"/>
      <c r="AQ114" s="307" t="n"/>
      <c r="AR114" s="307" t="n"/>
      <c r="AS114" s="307" t="n"/>
      <c r="AT114" s="307" t="n"/>
      <c r="AU114" s="307" t="n"/>
      <c r="AV114" s="307" t="n"/>
      <c r="AW114" s="307" t="n"/>
      <c r="AX114" s="307" t="n"/>
      <c r="AY114" s="307" t="n"/>
      <c r="AZ114" s="307" t="n"/>
      <c r="BA114" s="31" t="n"/>
      <c r="BB114" s="307" t="n"/>
      <c r="BC114" s="307" t="n"/>
      <c r="BD114" s="307" t="n"/>
      <c r="BE114" s="307" t="n"/>
      <c r="BF114" s="307" t="n"/>
      <c r="BG114" s="31" t="n"/>
      <c r="BH114" s="31" t="n"/>
      <c r="BI114" s="31" t="n"/>
      <c r="BJ114" s="31" t="n"/>
    </row>
    <row r="115" ht="15.75" customHeight="1" s="349">
      <c r="A115" s="31" t="n"/>
      <c r="B115" s="307" t="n"/>
      <c r="C115" s="307" t="n"/>
      <c r="D115" s="307" t="n"/>
      <c r="E115" s="307" t="n"/>
      <c r="F115" s="307" t="n"/>
      <c r="G115" s="307" t="n"/>
      <c r="H115" s="307" t="n"/>
      <c r="I115" s="307" t="n"/>
      <c r="J115" s="307" t="n"/>
      <c r="K115" s="307" t="n"/>
      <c r="L115" s="307" t="n"/>
      <c r="M115" s="307" t="n"/>
      <c r="N115" s="307" t="n"/>
      <c r="O115" s="307" t="n"/>
      <c r="P115" s="307" t="n"/>
      <c r="Q115" s="307" t="n"/>
      <c r="R115" s="307" t="n"/>
      <c r="S115" s="307" t="n"/>
      <c r="T115" s="307" t="n"/>
      <c r="U115" s="307" t="n"/>
      <c r="V115" s="307" t="n"/>
      <c r="W115" s="307" t="n"/>
      <c r="X115" s="307" t="n"/>
      <c r="Y115" s="307" t="n"/>
      <c r="Z115" s="307" t="n"/>
      <c r="AA115" s="307" t="n"/>
      <c r="AB115" s="307" t="n"/>
      <c r="AC115" s="307" t="n"/>
      <c r="AD115" s="307" t="n"/>
      <c r="AE115" s="307" t="n"/>
      <c r="AF115" s="307" t="n"/>
      <c r="AG115" s="307" t="n"/>
      <c r="AH115" s="307" t="n"/>
      <c r="AI115" s="307" t="n"/>
      <c r="AJ115" s="307" t="n"/>
      <c r="AK115" s="307" t="n"/>
      <c r="AL115" s="307" t="n"/>
      <c r="AM115" s="307" t="n"/>
      <c r="AN115" s="307" t="n"/>
      <c r="AO115" s="307" t="n"/>
      <c r="AP115" s="307" t="n"/>
      <c r="AQ115" s="307" t="n"/>
      <c r="AR115" s="307" t="n"/>
      <c r="AS115" s="307" t="n"/>
      <c r="AT115" s="307" t="n"/>
      <c r="AU115" s="307" t="n"/>
      <c r="AV115" s="307" t="n"/>
      <c r="AW115" s="307" t="n"/>
      <c r="AX115" s="307" t="n"/>
      <c r="AY115" s="307" t="n"/>
      <c r="AZ115" s="307" t="n"/>
      <c r="BA115" s="31" t="n"/>
      <c r="BB115" s="307" t="n"/>
      <c r="BC115" s="307" t="n"/>
      <c r="BD115" s="307" t="n"/>
      <c r="BE115" s="307" t="n"/>
      <c r="BF115" s="307" t="n"/>
      <c r="BG115" s="31" t="n"/>
      <c r="BH115" s="31" t="n"/>
      <c r="BI115" s="31" t="n"/>
      <c r="BJ115" s="31" t="n"/>
    </row>
    <row r="116" ht="15.75" customHeight="1" s="349">
      <c r="A116" s="31" t="n"/>
      <c r="B116" s="307" t="n"/>
      <c r="C116" s="307" t="n"/>
      <c r="D116" s="307" t="n"/>
      <c r="E116" s="307" t="n"/>
      <c r="F116" s="307" t="n"/>
      <c r="G116" s="307" t="n"/>
      <c r="H116" s="307" t="n"/>
      <c r="I116" s="307" t="n"/>
      <c r="J116" s="307" t="n"/>
      <c r="K116" s="307" t="n"/>
      <c r="L116" s="307" t="n"/>
      <c r="M116" s="307" t="n"/>
      <c r="N116" s="307" t="n"/>
      <c r="O116" s="307" t="n"/>
      <c r="P116" s="307" t="n"/>
      <c r="Q116" s="307" t="n"/>
      <c r="R116" s="307" t="n"/>
      <c r="S116" s="307" t="n"/>
      <c r="T116" s="307" t="n"/>
      <c r="U116" s="307" t="n"/>
      <c r="V116" s="307" t="n"/>
      <c r="W116" s="307" t="n"/>
      <c r="X116" s="307" t="n"/>
      <c r="Y116" s="307" t="n"/>
      <c r="Z116" s="307" t="n"/>
      <c r="AA116" s="307" t="n"/>
      <c r="AB116" s="307" t="n"/>
      <c r="AC116" s="307" t="n"/>
      <c r="AD116" s="307" t="n"/>
      <c r="AE116" s="307" t="n"/>
      <c r="AF116" s="307" t="n"/>
      <c r="AG116" s="307" t="n"/>
      <c r="AH116" s="307" t="n"/>
      <c r="AI116" s="307" t="n"/>
      <c r="AJ116" s="307" t="n"/>
      <c r="AK116" s="307" t="n"/>
      <c r="AL116" s="307" t="n"/>
      <c r="AM116" s="307" t="n"/>
      <c r="AN116" s="307" t="n"/>
      <c r="AO116" s="307" t="n"/>
      <c r="AP116" s="307" t="n"/>
      <c r="AQ116" s="307" t="n"/>
      <c r="AR116" s="307" t="n"/>
      <c r="AS116" s="307" t="n"/>
      <c r="AT116" s="307" t="n"/>
      <c r="AU116" s="307" t="n"/>
      <c r="AV116" s="307" t="n"/>
      <c r="AW116" s="307" t="n"/>
      <c r="AX116" s="307" t="n"/>
      <c r="AY116" s="307" t="n"/>
      <c r="AZ116" s="307" t="n"/>
      <c r="BA116" s="31" t="n"/>
      <c r="BB116" s="307" t="n"/>
      <c r="BC116" s="307" t="n"/>
      <c r="BD116" s="307" t="n"/>
      <c r="BE116" s="307" t="n"/>
      <c r="BF116" s="307" t="n"/>
      <c r="BG116" s="31" t="n"/>
      <c r="BH116" s="31" t="n"/>
      <c r="BI116" s="31" t="n"/>
      <c r="BJ116" s="31" t="n"/>
    </row>
    <row r="117" ht="15.75" customHeight="1" s="349">
      <c r="A117" s="31" t="n"/>
      <c r="B117" s="307" t="n"/>
      <c r="C117" s="307" t="n"/>
      <c r="D117" s="307" t="n"/>
      <c r="E117" s="307" t="n"/>
      <c r="F117" s="307" t="n"/>
      <c r="G117" s="307" t="n"/>
      <c r="H117" s="307" t="n"/>
      <c r="I117" s="307" t="n"/>
      <c r="J117" s="307" t="n"/>
      <c r="K117" s="307" t="n"/>
      <c r="L117" s="307" t="n"/>
      <c r="M117" s="307" t="n"/>
      <c r="N117" s="307" t="n"/>
      <c r="O117" s="307" t="n"/>
      <c r="P117" s="307" t="n"/>
      <c r="Q117" s="307" t="n"/>
      <c r="R117" s="307" t="n"/>
      <c r="S117" s="307" t="n"/>
      <c r="T117" s="307" t="n"/>
      <c r="U117" s="307" t="n"/>
      <c r="V117" s="307" t="n"/>
      <c r="W117" s="307" t="n"/>
      <c r="X117" s="307" t="n"/>
      <c r="Y117" s="307" t="n"/>
      <c r="Z117" s="307" t="n"/>
      <c r="AA117" s="307" t="n"/>
      <c r="AB117" s="307" t="n"/>
      <c r="AC117" s="307" t="n"/>
      <c r="AD117" s="307" t="n"/>
      <c r="AE117" s="307" t="n"/>
      <c r="AF117" s="307" t="n"/>
      <c r="AG117" s="307" t="n"/>
      <c r="AH117" s="307" t="n"/>
      <c r="AI117" s="307" t="n"/>
      <c r="AJ117" s="307" t="n"/>
      <c r="AK117" s="307" t="n"/>
      <c r="AL117" s="307" t="n"/>
      <c r="AM117" s="307" t="n"/>
      <c r="AN117" s="307" t="n"/>
      <c r="AO117" s="307" t="n"/>
      <c r="AP117" s="307" t="n"/>
      <c r="AQ117" s="307" t="n"/>
      <c r="AR117" s="307" t="n"/>
      <c r="AS117" s="307" t="n"/>
      <c r="AT117" s="307" t="n"/>
      <c r="AU117" s="307" t="n"/>
      <c r="AV117" s="307" t="n"/>
      <c r="AW117" s="307" t="n"/>
      <c r="AX117" s="307" t="n"/>
      <c r="AY117" s="307" t="n"/>
      <c r="AZ117" s="307" t="n"/>
      <c r="BA117" s="31" t="n"/>
      <c r="BB117" s="307" t="n"/>
      <c r="BC117" s="307" t="n"/>
      <c r="BD117" s="307" t="n"/>
      <c r="BE117" s="307" t="n"/>
      <c r="BF117" s="307" t="n"/>
      <c r="BG117" s="31" t="n"/>
      <c r="BH117" s="31" t="n"/>
      <c r="BI117" s="31" t="n"/>
      <c r="BJ117" s="31" t="n"/>
    </row>
    <row r="118" ht="15.75" customHeight="1" s="349">
      <c r="A118" s="31" t="n"/>
      <c r="B118" s="307" t="n"/>
      <c r="C118" s="307" t="n"/>
      <c r="D118" s="307" t="n"/>
      <c r="E118" s="307" t="n"/>
      <c r="F118" s="307" t="n"/>
      <c r="G118" s="307" t="n"/>
      <c r="H118" s="307" t="n"/>
      <c r="I118" s="307" t="n"/>
      <c r="J118" s="307" t="n"/>
      <c r="K118" s="307" t="n"/>
      <c r="L118" s="307" t="n"/>
      <c r="M118" s="307" t="n"/>
      <c r="N118" s="307" t="n"/>
      <c r="O118" s="307" t="n"/>
      <c r="P118" s="307" t="n"/>
      <c r="Q118" s="307" t="n"/>
      <c r="R118" s="307" t="n"/>
      <c r="S118" s="307" t="n"/>
      <c r="T118" s="307" t="n"/>
      <c r="U118" s="307" t="n"/>
      <c r="V118" s="307" t="n"/>
      <c r="W118" s="307" t="n"/>
      <c r="X118" s="307" t="n"/>
      <c r="Y118" s="307" t="n"/>
      <c r="Z118" s="307" t="n"/>
      <c r="AA118" s="307" t="n"/>
      <c r="AB118" s="307" t="n"/>
      <c r="AC118" s="307" t="n"/>
      <c r="AD118" s="307" t="n"/>
      <c r="AE118" s="307" t="n"/>
      <c r="AF118" s="307" t="n"/>
      <c r="AG118" s="307" t="n"/>
      <c r="AH118" s="307" t="n"/>
      <c r="AI118" s="307" t="n"/>
      <c r="AJ118" s="307" t="n"/>
      <c r="AK118" s="307" t="n"/>
      <c r="AL118" s="307" t="n"/>
      <c r="AM118" s="307" t="n"/>
      <c r="AN118" s="307" t="n"/>
      <c r="AO118" s="307" t="n"/>
      <c r="AP118" s="307" t="n"/>
      <c r="AQ118" s="307" t="n"/>
      <c r="AR118" s="307" t="n"/>
      <c r="AS118" s="307" t="n"/>
      <c r="AT118" s="307" t="n"/>
      <c r="AU118" s="307" t="n"/>
      <c r="AV118" s="307" t="n"/>
      <c r="AW118" s="307" t="n"/>
      <c r="AX118" s="307" t="n"/>
      <c r="AY118" s="307" t="n"/>
      <c r="AZ118" s="307" t="n"/>
      <c r="BA118" s="31" t="n"/>
      <c r="BB118" s="307" t="n"/>
      <c r="BC118" s="307" t="n"/>
      <c r="BD118" s="307" t="n"/>
      <c r="BE118" s="307" t="n"/>
      <c r="BF118" s="307" t="n"/>
      <c r="BG118" s="31" t="n"/>
      <c r="BH118" s="31" t="n"/>
      <c r="BI118" s="31" t="n"/>
      <c r="BJ118" s="31" t="n"/>
    </row>
    <row r="119" ht="15.75" customHeight="1" s="349">
      <c r="A119" s="31" t="n"/>
      <c r="B119" s="307" t="n"/>
      <c r="C119" s="307" t="n"/>
      <c r="D119" s="307" t="n"/>
      <c r="E119" s="307" t="n"/>
      <c r="F119" s="307" t="n"/>
      <c r="G119" s="307" t="n"/>
      <c r="H119" s="307" t="n"/>
      <c r="I119" s="307" t="n"/>
      <c r="J119" s="307" t="n"/>
      <c r="K119" s="307" t="n"/>
      <c r="L119" s="307" t="n"/>
      <c r="M119" s="307" t="n"/>
      <c r="N119" s="307" t="n"/>
      <c r="O119" s="307" t="n"/>
      <c r="P119" s="307" t="n"/>
      <c r="Q119" s="307" t="n"/>
      <c r="R119" s="307" t="n"/>
      <c r="S119" s="307" t="n"/>
      <c r="T119" s="307" t="n"/>
      <c r="U119" s="307" t="n"/>
      <c r="V119" s="307" t="n"/>
      <c r="W119" s="307" t="n"/>
      <c r="X119" s="307" t="n"/>
      <c r="Y119" s="307" t="n"/>
      <c r="Z119" s="307" t="n"/>
      <c r="AA119" s="307" t="n"/>
      <c r="AB119" s="307" t="n"/>
      <c r="AC119" s="307" t="n"/>
      <c r="AD119" s="307" t="n"/>
      <c r="AE119" s="307" t="n"/>
      <c r="AF119" s="307" t="n"/>
      <c r="AG119" s="307" t="n"/>
      <c r="AH119" s="307" t="n"/>
      <c r="AI119" s="307" t="n"/>
      <c r="AJ119" s="307" t="n"/>
      <c r="AK119" s="307" t="n"/>
      <c r="AL119" s="307" t="n"/>
      <c r="AM119" s="307" t="n"/>
      <c r="AN119" s="307" t="n"/>
      <c r="AO119" s="307" t="n"/>
      <c r="AP119" s="307" t="n"/>
      <c r="AQ119" s="307" t="n"/>
      <c r="AR119" s="307" t="n"/>
      <c r="AS119" s="307" t="n"/>
      <c r="AT119" s="307" t="n"/>
      <c r="AU119" s="307" t="n"/>
      <c r="AV119" s="307" t="n"/>
      <c r="AW119" s="307" t="n"/>
      <c r="AX119" s="307" t="n"/>
      <c r="AY119" s="307" t="n"/>
      <c r="AZ119" s="307" t="n"/>
      <c r="BA119" s="31" t="n"/>
      <c r="BB119" s="307" t="n"/>
      <c r="BC119" s="307" t="n"/>
      <c r="BD119" s="307" t="n"/>
      <c r="BE119" s="307" t="n"/>
      <c r="BF119" s="307" t="n"/>
      <c r="BG119" s="31" t="n"/>
      <c r="BH119" s="31" t="n"/>
      <c r="BI119" s="31" t="n"/>
      <c r="BJ119" s="31" t="n"/>
    </row>
    <row r="120" ht="15.75" customHeight="1" s="349">
      <c r="A120" s="31" t="n"/>
      <c r="B120" s="307" t="n"/>
      <c r="C120" s="307" t="n"/>
      <c r="D120" s="307" t="n"/>
      <c r="E120" s="307" t="n"/>
      <c r="F120" s="307" t="n"/>
      <c r="G120" s="307" t="n"/>
      <c r="H120" s="307" t="n"/>
      <c r="I120" s="307" t="n"/>
      <c r="J120" s="307" t="n"/>
      <c r="K120" s="307" t="n"/>
      <c r="L120" s="307" t="n"/>
      <c r="M120" s="307" t="n"/>
      <c r="N120" s="307" t="n"/>
      <c r="O120" s="307" t="n"/>
      <c r="P120" s="307" t="n"/>
      <c r="Q120" s="307" t="n"/>
      <c r="R120" s="307" t="n"/>
      <c r="S120" s="307" t="n"/>
      <c r="T120" s="307" t="n"/>
      <c r="U120" s="307" t="n"/>
      <c r="V120" s="307" t="n"/>
      <c r="W120" s="307" t="n"/>
      <c r="X120" s="307" t="n"/>
      <c r="Y120" s="307" t="n"/>
      <c r="Z120" s="307" t="n"/>
      <c r="AA120" s="307" t="n"/>
      <c r="AB120" s="307" t="n"/>
      <c r="AC120" s="307" t="n"/>
      <c r="AD120" s="307" t="n"/>
      <c r="AE120" s="307" t="n"/>
      <c r="AF120" s="307" t="n"/>
      <c r="AG120" s="307" t="n"/>
      <c r="AH120" s="307" t="n"/>
      <c r="AI120" s="307" t="n"/>
      <c r="AJ120" s="307" t="n"/>
      <c r="AK120" s="307" t="n"/>
      <c r="AL120" s="307" t="n"/>
      <c r="AM120" s="307" t="n"/>
      <c r="AN120" s="307" t="n"/>
      <c r="AO120" s="307" t="n"/>
      <c r="AP120" s="307" t="n"/>
      <c r="AQ120" s="307" t="n"/>
      <c r="AR120" s="307" t="n"/>
      <c r="AS120" s="307" t="n"/>
      <c r="AT120" s="307" t="n"/>
      <c r="AU120" s="307" t="n"/>
      <c r="AV120" s="307" t="n"/>
      <c r="AW120" s="307" t="n"/>
      <c r="AX120" s="307" t="n"/>
      <c r="AY120" s="307" t="n"/>
      <c r="AZ120" s="307" t="n"/>
      <c r="BA120" s="31" t="n"/>
      <c r="BB120" s="307" t="n"/>
      <c r="BC120" s="307" t="n"/>
      <c r="BD120" s="307" t="n"/>
      <c r="BE120" s="307" t="n"/>
      <c r="BF120" s="307" t="n"/>
      <c r="BG120" s="31" t="n"/>
      <c r="BH120" s="31" t="n"/>
      <c r="BI120" s="31" t="n"/>
      <c r="BJ120" s="31" t="n"/>
    </row>
    <row r="121" ht="15.75" customHeight="1" s="349">
      <c r="A121" s="31" t="n"/>
      <c r="B121" s="307" t="n"/>
      <c r="C121" s="307" t="n"/>
      <c r="D121" s="307" t="n"/>
      <c r="E121" s="307" t="n"/>
      <c r="F121" s="307" t="n"/>
      <c r="G121" s="307" t="n"/>
      <c r="H121" s="307" t="n"/>
      <c r="I121" s="307" t="n"/>
      <c r="J121" s="307" t="n"/>
      <c r="K121" s="307" t="n"/>
      <c r="L121" s="307" t="n"/>
      <c r="M121" s="307" t="n"/>
      <c r="N121" s="307" t="n"/>
      <c r="O121" s="307" t="n"/>
      <c r="P121" s="307" t="n"/>
      <c r="Q121" s="307" t="n"/>
      <c r="R121" s="307" t="n"/>
      <c r="S121" s="307" t="n"/>
      <c r="T121" s="307" t="n"/>
      <c r="U121" s="307" t="n"/>
      <c r="V121" s="307" t="n"/>
      <c r="W121" s="307" t="n"/>
      <c r="X121" s="307" t="n"/>
      <c r="Y121" s="307" t="n"/>
      <c r="Z121" s="307" t="n"/>
      <c r="AA121" s="307" t="n"/>
      <c r="AB121" s="307" t="n"/>
      <c r="AC121" s="307" t="n"/>
      <c r="AD121" s="307" t="n"/>
      <c r="AE121" s="307" t="n"/>
      <c r="AF121" s="307" t="n"/>
      <c r="AG121" s="307" t="n"/>
      <c r="AH121" s="307" t="n"/>
      <c r="AI121" s="307" t="n"/>
      <c r="AJ121" s="307" t="n"/>
      <c r="AK121" s="307" t="n"/>
      <c r="AL121" s="307" t="n"/>
      <c r="AM121" s="307" t="n"/>
      <c r="AN121" s="307" t="n"/>
      <c r="AO121" s="307" t="n"/>
      <c r="AP121" s="307" t="n"/>
      <c r="AQ121" s="307" t="n"/>
      <c r="AR121" s="307" t="n"/>
      <c r="AS121" s="307" t="n"/>
      <c r="AT121" s="307" t="n"/>
      <c r="AU121" s="307" t="n"/>
      <c r="AV121" s="307" t="n"/>
      <c r="AW121" s="307" t="n"/>
      <c r="AX121" s="307" t="n"/>
      <c r="AY121" s="307" t="n"/>
      <c r="AZ121" s="307" t="n"/>
      <c r="BA121" s="31" t="n"/>
      <c r="BB121" s="307" t="n"/>
      <c r="BC121" s="307" t="n"/>
      <c r="BD121" s="307" t="n"/>
      <c r="BE121" s="307" t="n"/>
      <c r="BF121" s="307" t="n"/>
      <c r="BG121" s="31" t="n"/>
      <c r="BH121" s="31" t="n"/>
      <c r="BI121" s="31" t="n"/>
      <c r="BJ121" s="31" t="n"/>
    </row>
    <row r="122" ht="15.75" customHeight="1" s="349">
      <c r="A122" s="31" t="n"/>
      <c r="B122" s="307" t="n"/>
      <c r="C122" s="307" t="n"/>
      <c r="D122" s="307" t="n"/>
      <c r="E122" s="307" t="n"/>
      <c r="F122" s="307" t="n"/>
      <c r="G122" s="307" t="n"/>
      <c r="H122" s="307" t="n"/>
      <c r="I122" s="307" t="n"/>
      <c r="J122" s="307" t="n"/>
      <c r="K122" s="307" t="n"/>
      <c r="L122" s="307" t="n"/>
      <c r="M122" s="307" t="n"/>
      <c r="N122" s="307" t="n"/>
      <c r="O122" s="307" t="n"/>
      <c r="P122" s="307" t="n"/>
      <c r="Q122" s="307" t="n"/>
      <c r="R122" s="307" t="n"/>
      <c r="S122" s="307" t="n"/>
      <c r="T122" s="307" t="n"/>
      <c r="U122" s="307" t="n"/>
      <c r="V122" s="307" t="n"/>
      <c r="W122" s="307" t="n"/>
      <c r="X122" s="307" t="n"/>
      <c r="Y122" s="307" t="n"/>
      <c r="Z122" s="307" t="n"/>
      <c r="AA122" s="307" t="n"/>
      <c r="AB122" s="307" t="n"/>
      <c r="AC122" s="307" t="n"/>
      <c r="AD122" s="307" t="n"/>
      <c r="AE122" s="307" t="n"/>
      <c r="AF122" s="307" t="n"/>
      <c r="AG122" s="307" t="n"/>
      <c r="AH122" s="307" t="n"/>
      <c r="AI122" s="307" t="n"/>
      <c r="AJ122" s="307" t="n"/>
      <c r="AK122" s="307" t="n"/>
      <c r="AL122" s="307" t="n"/>
      <c r="AM122" s="307" t="n"/>
      <c r="AN122" s="307" t="n"/>
      <c r="AO122" s="307" t="n"/>
      <c r="AP122" s="307" t="n"/>
      <c r="AQ122" s="307" t="n"/>
      <c r="AR122" s="307" t="n"/>
      <c r="AS122" s="307" t="n"/>
      <c r="AT122" s="307" t="n"/>
      <c r="AU122" s="307" t="n"/>
      <c r="AV122" s="307" t="n"/>
      <c r="AW122" s="307" t="n"/>
      <c r="AX122" s="307" t="n"/>
      <c r="AY122" s="307" t="n"/>
      <c r="AZ122" s="307" t="n"/>
      <c r="BA122" s="31" t="n"/>
      <c r="BB122" s="307" t="n"/>
      <c r="BC122" s="307" t="n"/>
      <c r="BD122" s="307" t="n"/>
      <c r="BE122" s="307" t="n"/>
      <c r="BF122" s="307" t="n"/>
      <c r="BG122" s="31" t="n"/>
      <c r="BH122" s="31" t="n"/>
      <c r="BI122" s="31" t="n"/>
      <c r="BJ122" s="31" t="n"/>
    </row>
    <row r="123" ht="15.75" customHeight="1" s="349">
      <c r="A123" s="31" t="n"/>
      <c r="B123" s="307" t="n"/>
      <c r="C123" s="307" t="n"/>
      <c r="D123" s="307" t="n"/>
      <c r="E123" s="307" t="n"/>
      <c r="F123" s="307" t="n"/>
      <c r="G123" s="307" t="n"/>
      <c r="H123" s="307" t="n"/>
      <c r="I123" s="307" t="n"/>
      <c r="J123" s="307" t="n"/>
      <c r="K123" s="307" t="n"/>
      <c r="L123" s="307" t="n"/>
      <c r="M123" s="307" t="n"/>
      <c r="N123" s="307" t="n"/>
      <c r="O123" s="307" t="n"/>
      <c r="P123" s="307" t="n"/>
      <c r="Q123" s="307" t="n"/>
      <c r="R123" s="307" t="n"/>
      <c r="S123" s="307" t="n"/>
      <c r="T123" s="307" t="n"/>
      <c r="U123" s="307" t="n"/>
      <c r="V123" s="307" t="n"/>
      <c r="W123" s="307" t="n"/>
      <c r="X123" s="307" t="n"/>
      <c r="Y123" s="307" t="n"/>
      <c r="Z123" s="307" t="n"/>
      <c r="AA123" s="307" t="n"/>
      <c r="AB123" s="307" t="n"/>
      <c r="AC123" s="307" t="n"/>
      <c r="AD123" s="307" t="n"/>
      <c r="AE123" s="307" t="n"/>
      <c r="AF123" s="307" t="n"/>
      <c r="AG123" s="307" t="n"/>
      <c r="AH123" s="307" t="n"/>
      <c r="AI123" s="307" t="n"/>
      <c r="AJ123" s="307" t="n"/>
      <c r="AK123" s="307" t="n"/>
      <c r="AL123" s="307" t="n"/>
      <c r="AM123" s="307" t="n"/>
      <c r="AN123" s="307" t="n"/>
      <c r="AO123" s="307" t="n"/>
      <c r="AP123" s="307" t="n"/>
      <c r="AQ123" s="307" t="n"/>
      <c r="AR123" s="307" t="n"/>
      <c r="AS123" s="307" t="n"/>
      <c r="AT123" s="307" t="n"/>
      <c r="AU123" s="307" t="n"/>
      <c r="AV123" s="307" t="n"/>
      <c r="AW123" s="307" t="n"/>
      <c r="AX123" s="307" t="n"/>
      <c r="AY123" s="307" t="n"/>
      <c r="AZ123" s="307" t="n"/>
      <c r="BA123" s="31" t="n"/>
      <c r="BB123" s="307" t="n"/>
      <c r="BC123" s="307" t="n"/>
      <c r="BD123" s="307" t="n"/>
      <c r="BE123" s="307" t="n"/>
      <c r="BF123" s="307" t="n"/>
      <c r="BG123" s="31" t="n"/>
      <c r="BH123" s="31" t="n"/>
      <c r="BI123" s="31" t="n"/>
      <c r="BJ123" s="31" t="n"/>
    </row>
    <row r="124" ht="15.75" customHeight="1" s="349">
      <c r="A124" s="31" t="n"/>
      <c r="B124" s="307" t="n"/>
      <c r="C124" s="307" t="n"/>
      <c r="D124" s="307" t="n"/>
      <c r="E124" s="307" t="n"/>
      <c r="F124" s="307" t="n"/>
      <c r="G124" s="307" t="n"/>
      <c r="H124" s="307" t="n"/>
      <c r="I124" s="307" t="n"/>
      <c r="J124" s="307" t="n"/>
      <c r="K124" s="307" t="n"/>
      <c r="L124" s="307" t="n"/>
      <c r="M124" s="307" t="n"/>
      <c r="N124" s="307" t="n"/>
      <c r="O124" s="307" t="n"/>
      <c r="P124" s="307" t="n"/>
      <c r="Q124" s="307" t="n"/>
      <c r="R124" s="307" t="n"/>
      <c r="S124" s="307" t="n"/>
      <c r="T124" s="307" t="n"/>
      <c r="U124" s="307" t="n"/>
      <c r="V124" s="307" t="n"/>
      <c r="W124" s="307" t="n"/>
      <c r="X124" s="307" t="n"/>
      <c r="Y124" s="307" t="n"/>
      <c r="Z124" s="307" t="n"/>
      <c r="AA124" s="307" t="n"/>
      <c r="AB124" s="307" t="n"/>
      <c r="AC124" s="307" t="n"/>
      <c r="AD124" s="307" t="n"/>
      <c r="AE124" s="307" t="n"/>
      <c r="AF124" s="307" t="n"/>
      <c r="AG124" s="307" t="n"/>
      <c r="AH124" s="307" t="n"/>
      <c r="AI124" s="307" t="n"/>
      <c r="AJ124" s="307" t="n"/>
      <c r="AK124" s="307" t="n"/>
      <c r="AL124" s="307" t="n"/>
      <c r="AM124" s="307" t="n"/>
      <c r="AN124" s="307" t="n"/>
      <c r="AO124" s="307" t="n"/>
      <c r="AP124" s="307" t="n"/>
      <c r="AQ124" s="307" t="n"/>
      <c r="AR124" s="307" t="n"/>
      <c r="AS124" s="307" t="n"/>
      <c r="AT124" s="307" t="n"/>
      <c r="AU124" s="307" t="n"/>
      <c r="AV124" s="307" t="n"/>
      <c r="AW124" s="307" t="n"/>
      <c r="AX124" s="307" t="n"/>
      <c r="AY124" s="307" t="n"/>
      <c r="AZ124" s="307" t="n"/>
      <c r="BA124" s="31" t="n"/>
      <c r="BB124" s="307" t="n"/>
      <c r="BC124" s="307" t="n"/>
      <c r="BD124" s="307" t="n"/>
      <c r="BE124" s="307" t="n"/>
      <c r="BF124" s="307" t="n"/>
      <c r="BG124" s="31" t="n"/>
      <c r="BH124" s="31" t="n"/>
      <c r="BI124" s="31" t="n"/>
      <c r="BJ124" s="31" t="n"/>
    </row>
    <row r="125" ht="15.75" customHeight="1" s="349">
      <c r="A125" s="31" t="n"/>
      <c r="B125" s="307" t="n"/>
      <c r="C125" s="307" t="n"/>
      <c r="D125" s="307" t="n"/>
      <c r="E125" s="307" t="n"/>
      <c r="F125" s="307" t="n"/>
      <c r="G125" s="307" t="n"/>
      <c r="H125" s="307" t="n"/>
      <c r="I125" s="307" t="n"/>
      <c r="J125" s="307" t="n"/>
      <c r="K125" s="307" t="n"/>
      <c r="L125" s="307" t="n"/>
      <c r="M125" s="307" t="n"/>
      <c r="N125" s="307" t="n"/>
      <c r="O125" s="307" t="n"/>
      <c r="P125" s="307" t="n"/>
      <c r="Q125" s="307" t="n"/>
      <c r="R125" s="307" t="n"/>
      <c r="S125" s="307" t="n"/>
      <c r="T125" s="307" t="n"/>
      <c r="U125" s="307" t="n"/>
      <c r="V125" s="307" t="n"/>
      <c r="W125" s="307" t="n"/>
      <c r="X125" s="307" t="n"/>
      <c r="Y125" s="307" t="n"/>
      <c r="Z125" s="307" t="n"/>
      <c r="AA125" s="307" t="n"/>
      <c r="AB125" s="307" t="n"/>
      <c r="AC125" s="307" t="n"/>
      <c r="AD125" s="307" t="n"/>
      <c r="AE125" s="307" t="n"/>
      <c r="AF125" s="307" t="n"/>
      <c r="AG125" s="307" t="n"/>
      <c r="AH125" s="307" t="n"/>
      <c r="AI125" s="307" t="n"/>
      <c r="AJ125" s="307" t="n"/>
      <c r="AK125" s="307" t="n"/>
      <c r="AL125" s="307" t="n"/>
      <c r="AM125" s="307" t="n"/>
      <c r="AN125" s="307" t="n"/>
      <c r="AO125" s="307" t="n"/>
      <c r="AP125" s="307" t="n"/>
      <c r="AQ125" s="307" t="n"/>
      <c r="AR125" s="307" t="n"/>
      <c r="AS125" s="307" t="n"/>
      <c r="AT125" s="307" t="n"/>
      <c r="AU125" s="307" t="n"/>
      <c r="AV125" s="307" t="n"/>
      <c r="AW125" s="307" t="n"/>
      <c r="AX125" s="307" t="n"/>
      <c r="AY125" s="307" t="n"/>
      <c r="AZ125" s="307" t="n"/>
      <c r="BA125" s="31" t="n"/>
      <c r="BB125" s="307" t="n"/>
      <c r="BC125" s="307" t="n"/>
      <c r="BD125" s="307" t="n"/>
      <c r="BE125" s="307" t="n"/>
      <c r="BF125" s="307" t="n"/>
      <c r="BG125" s="31" t="n"/>
      <c r="BH125" s="31" t="n"/>
      <c r="BI125" s="31" t="n"/>
      <c r="BJ125" s="31" t="n"/>
    </row>
    <row r="126" ht="15.75" customHeight="1" s="349">
      <c r="A126" s="31" t="n"/>
      <c r="B126" s="307" t="n"/>
      <c r="C126" s="307" t="n"/>
      <c r="D126" s="307" t="n"/>
      <c r="E126" s="307" t="n"/>
      <c r="F126" s="307" t="n"/>
      <c r="G126" s="307" t="n"/>
      <c r="H126" s="307" t="n"/>
      <c r="I126" s="307" t="n"/>
      <c r="J126" s="307" t="n"/>
      <c r="K126" s="307" t="n"/>
      <c r="L126" s="307" t="n"/>
      <c r="M126" s="307" t="n"/>
      <c r="N126" s="307" t="n"/>
      <c r="O126" s="307" t="n"/>
      <c r="P126" s="307" t="n"/>
      <c r="Q126" s="307" t="n"/>
      <c r="R126" s="307" t="n"/>
      <c r="S126" s="307" t="n"/>
      <c r="T126" s="307" t="n"/>
      <c r="U126" s="307" t="n"/>
      <c r="V126" s="307" t="n"/>
      <c r="W126" s="307" t="n"/>
      <c r="X126" s="307" t="n"/>
      <c r="Y126" s="307" t="n"/>
      <c r="Z126" s="307" t="n"/>
      <c r="AA126" s="307" t="n"/>
      <c r="AB126" s="307" t="n"/>
      <c r="AC126" s="307" t="n"/>
      <c r="AD126" s="307" t="n"/>
      <c r="AE126" s="307" t="n"/>
      <c r="AF126" s="307" t="n"/>
      <c r="AG126" s="307" t="n"/>
      <c r="AH126" s="307" t="n"/>
      <c r="AI126" s="307" t="n"/>
      <c r="AJ126" s="307" t="n"/>
      <c r="AK126" s="307" t="n"/>
      <c r="AL126" s="307" t="n"/>
      <c r="AM126" s="307" t="n"/>
      <c r="AN126" s="307" t="n"/>
      <c r="AO126" s="307" t="n"/>
      <c r="AP126" s="307" t="n"/>
      <c r="AQ126" s="307" t="n"/>
      <c r="AR126" s="307" t="n"/>
      <c r="AS126" s="307" t="n"/>
      <c r="AT126" s="307" t="n"/>
      <c r="AU126" s="307" t="n"/>
      <c r="AV126" s="307" t="n"/>
      <c r="AW126" s="307" t="n"/>
      <c r="AX126" s="307" t="n"/>
      <c r="AY126" s="307" t="n"/>
      <c r="AZ126" s="307" t="n"/>
      <c r="BA126" s="31" t="n"/>
      <c r="BB126" s="307" t="n"/>
      <c r="BC126" s="307" t="n"/>
      <c r="BD126" s="307" t="n"/>
      <c r="BE126" s="307" t="n"/>
      <c r="BF126" s="307" t="n"/>
      <c r="BG126" s="31" t="n"/>
      <c r="BH126" s="31" t="n"/>
      <c r="BI126" s="31" t="n"/>
      <c r="BJ126" s="31" t="n"/>
    </row>
    <row r="127" ht="15.75" customHeight="1" s="349">
      <c r="A127" s="31" t="n"/>
      <c r="B127" s="307" t="n"/>
      <c r="C127" s="307" t="n"/>
      <c r="D127" s="307" t="n"/>
      <c r="E127" s="307" t="n"/>
      <c r="F127" s="307" t="n"/>
      <c r="G127" s="307" t="n"/>
      <c r="H127" s="307" t="n"/>
      <c r="I127" s="307" t="n"/>
      <c r="J127" s="307" t="n"/>
      <c r="K127" s="307" t="n"/>
      <c r="L127" s="307" t="n"/>
      <c r="M127" s="307" t="n"/>
      <c r="N127" s="307" t="n"/>
      <c r="O127" s="307" t="n"/>
      <c r="P127" s="307" t="n"/>
      <c r="Q127" s="307" t="n"/>
      <c r="R127" s="307" t="n"/>
      <c r="S127" s="307" t="n"/>
      <c r="T127" s="307" t="n"/>
      <c r="U127" s="307" t="n"/>
      <c r="V127" s="307" t="n"/>
      <c r="W127" s="307" t="n"/>
      <c r="X127" s="307" t="n"/>
      <c r="Y127" s="307" t="n"/>
      <c r="Z127" s="307" t="n"/>
      <c r="AA127" s="307" t="n"/>
      <c r="AB127" s="307" t="n"/>
      <c r="AC127" s="307" t="n"/>
      <c r="AD127" s="307" t="n"/>
      <c r="AE127" s="307" t="n"/>
      <c r="AF127" s="307" t="n"/>
      <c r="AG127" s="307" t="n"/>
      <c r="AH127" s="307" t="n"/>
      <c r="AI127" s="307" t="n"/>
      <c r="AJ127" s="307" t="n"/>
      <c r="AK127" s="307" t="n"/>
      <c r="AL127" s="307" t="n"/>
      <c r="AM127" s="307" t="n"/>
      <c r="AN127" s="307" t="n"/>
      <c r="AO127" s="307" t="n"/>
      <c r="AP127" s="307" t="n"/>
      <c r="AQ127" s="307" t="n"/>
      <c r="AR127" s="307" t="n"/>
      <c r="AS127" s="307" t="n"/>
      <c r="AT127" s="307" t="n"/>
      <c r="AU127" s="307" t="n"/>
      <c r="AV127" s="307" t="n"/>
      <c r="AW127" s="307" t="n"/>
      <c r="AX127" s="307" t="n"/>
      <c r="AY127" s="307" t="n"/>
      <c r="AZ127" s="307" t="n"/>
      <c r="BA127" s="31" t="n"/>
      <c r="BB127" s="307" t="n"/>
      <c r="BC127" s="307" t="n"/>
      <c r="BD127" s="307" t="n"/>
      <c r="BE127" s="307" t="n"/>
      <c r="BF127" s="307" t="n"/>
      <c r="BG127" s="31" t="n"/>
      <c r="BH127" s="31" t="n"/>
      <c r="BI127" s="31" t="n"/>
      <c r="BJ127" s="31" t="n"/>
    </row>
    <row r="128" ht="15.75" customHeight="1" s="349">
      <c r="A128" s="31" t="n"/>
      <c r="B128" s="307" t="n"/>
      <c r="C128" s="307" t="n"/>
      <c r="D128" s="307" t="n"/>
      <c r="E128" s="307" t="n"/>
      <c r="F128" s="307" t="n"/>
      <c r="G128" s="307" t="n"/>
      <c r="H128" s="307" t="n"/>
      <c r="I128" s="307" t="n"/>
      <c r="J128" s="307" t="n"/>
      <c r="K128" s="307" t="n"/>
      <c r="L128" s="307" t="n"/>
      <c r="M128" s="307" t="n"/>
      <c r="N128" s="307" t="n"/>
      <c r="O128" s="307" t="n"/>
      <c r="P128" s="307" t="n"/>
      <c r="Q128" s="307" t="n"/>
      <c r="R128" s="307" t="n"/>
      <c r="S128" s="307" t="n"/>
      <c r="T128" s="307" t="n"/>
      <c r="U128" s="307" t="n"/>
      <c r="V128" s="307" t="n"/>
      <c r="W128" s="307" t="n"/>
      <c r="X128" s="307" t="n"/>
      <c r="Y128" s="307" t="n"/>
      <c r="Z128" s="307" t="n"/>
      <c r="AA128" s="307" t="n"/>
      <c r="AB128" s="307" t="n"/>
      <c r="AC128" s="307" t="n"/>
      <c r="AD128" s="307" t="n"/>
      <c r="AE128" s="307" t="n"/>
      <c r="AF128" s="307" t="n"/>
      <c r="AG128" s="307" t="n"/>
      <c r="AH128" s="307" t="n"/>
      <c r="AI128" s="307" t="n"/>
      <c r="AJ128" s="307" t="n"/>
      <c r="AK128" s="307" t="n"/>
      <c r="AL128" s="307" t="n"/>
      <c r="AM128" s="307" t="n"/>
      <c r="AN128" s="307" t="n"/>
      <c r="AO128" s="307" t="n"/>
      <c r="AP128" s="307" t="n"/>
      <c r="AQ128" s="307" t="n"/>
      <c r="AR128" s="307" t="n"/>
      <c r="AS128" s="307" t="n"/>
      <c r="AT128" s="307" t="n"/>
      <c r="AU128" s="307" t="n"/>
      <c r="AV128" s="307" t="n"/>
      <c r="AW128" s="307" t="n"/>
      <c r="AX128" s="307" t="n"/>
      <c r="AY128" s="307" t="n"/>
      <c r="AZ128" s="307" t="n"/>
      <c r="BA128" s="31" t="n"/>
      <c r="BB128" s="307" t="n"/>
      <c r="BC128" s="307" t="n"/>
      <c r="BD128" s="307" t="n"/>
      <c r="BE128" s="307" t="n"/>
      <c r="BF128" s="307" t="n"/>
      <c r="BG128" s="31" t="n"/>
      <c r="BH128" s="31" t="n"/>
      <c r="BI128" s="31" t="n"/>
      <c r="BJ128" s="31" t="n"/>
    </row>
    <row r="129" ht="15.75" customHeight="1" s="349">
      <c r="A129" s="31" t="n"/>
      <c r="B129" s="307" t="n"/>
      <c r="C129" s="307" t="n"/>
      <c r="D129" s="307" t="n"/>
      <c r="E129" s="307" t="n"/>
      <c r="F129" s="307" t="n"/>
      <c r="G129" s="307" t="n"/>
      <c r="H129" s="307" t="n"/>
      <c r="I129" s="307" t="n"/>
      <c r="J129" s="307" t="n"/>
      <c r="K129" s="307" t="n"/>
      <c r="L129" s="307" t="n"/>
      <c r="M129" s="307" t="n"/>
      <c r="N129" s="307" t="n"/>
      <c r="O129" s="307" t="n"/>
      <c r="P129" s="307" t="n"/>
      <c r="Q129" s="307" t="n"/>
      <c r="R129" s="307" t="n"/>
      <c r="S129" s="307" t="n"/>
      <c r="T129" s="307" t="n"/>
      <c r="U129" s="307" t="n"/>
      <c r="V129" s="307" t="n"/>
      <c r="W129" s="307" t="n"/>
      <c r="X129" s="307" t="n"/>
      <c r="Y129" s="307" t="n"/>
      <c r="Z129" s="307" t="n"/>
      <c r="AA129" s="307" t="n"/>
      <c r="AB129" s="307" t="n"/>
      <c r="AC129" s="307" t="n"/>
      <c r="AD129" s="307" t="n"/>
      <c r="AE129" s="307" t="n"/>
      <c r="AF129" s="307" t="n"/>
      <c r="AG129" s="307" t="n"/>
      <c r="AH129" s="307" t="n"/>
      <c r="AI129" s="307" t="n"/>
      <c r="AJ129" s="307" t="n"/>
      <c r="AK129" s="307" t="n"/>
      <c r="AL129" s="307" t="n"/>
      <c r="AM129" s="307" t="n"/>
      <c r="AN129" s="307" t="n"/>
      <c r="AO129" s="307" t="n"/>
      <c r="AP129" s="307" t="n"/>
      <c r="AQ129" s="307" t="n"/>
      <c r="AR129" s="307" t="n"/>
      <c r="AS129" s="307" t="n"/>
      <c r="AT129" s="307" t="n"/>
      <c r="AU129" s="307" t="n"/>
      <c r="AV129" s="307" t="n"/>
      <c r="AW129" s="307" t="n"/>
      <c r="AX129" s="307" t="n"/>
      <c r="AY129" s="307" t="n"/>
      <c r="AZ129" s="307" t="n"/>
      <c r="BA129" s="31" t="n"/>
      <c r="BB129" s="307" t="n"/>
      <c r="BC129" s="307" t="n"/>
      <c r="BD129" s="307" t="n"/>
      <c r="BE129" s="307" t="n"/>
      <c r="BF129" s="307" t="n"/>
      <c r="BG129" s="31" t="n"/>
      <c r="BH129" s="31" t="n"/>
      <c r="BI129" s="31" t="n"/>
      <c r="BJ129" s="31" t="n"/>
    </row>
    <row r="130" ht="15.75" customHeight="1" s="349">
      <c r="A130" s="31" t="n"/>
      <c r="B130" s="307" t="n"/>
      <c r="C130" s="307" t="n"/>
      <c r="D130" s="307" t="n"/>
      <c r="E130" s="307" t="n"/>
      <c r="F130" s="307" t="n"/>
      <c r="G130" s="307" t="n"/>
      <c r="H130" s="307" t="n"/>
      <c r="I130" s="307" t="n"/>
      <c r="J130" s="307" t="n"/>
      <c r="K130" s="307" t="n"/>
      <c r="L130" s="307" t="n"/>
      <c r="M130" s="307" t="n"/>
      <c r="N130" s="307" t="n"/>
      <c r="O130" s="307" t="n"/>
      <c r="P130" s="307" t="n"/>
      <c r="Q130" s="307" t="n"/>
      <c r="R130" s="307" t="n"/>
      <c r="S130" s="307" t="n"/>
      <c r="T130" s="307" t="n"/>
      <c r="U130" s="307" t="n"/>
      <c r="V130" s="307" t="n"/>
      <c r="W130" s="307" t="n"/>
      <c r="X130" s="307" t="n"/>
      <c r="Y130" s="307" t="n"/>
      <c r="Z130" s="307" t="n"/>
      <c r="AA130" s="307" t="n"/>
      <c r="AB130" s="307" t="n"/>
      <c r="AC130" s="307" t="n"/>
      <c r="AD130" s="307" t="n"/>
      <c r="AE130" s="307" t="n"/>
      <c r="AF130" s="307" t="n"/>
      <c r="AG130" s="307" t="n"/>
      <c r="AH130" s="307" t="n"/>
      <c r="AI130" s="307" t="n"/>
      <c r="AJ130" s="307" t="n"/>
      <c r="AK130" s="307" t="n"/>
      <c r="AL130" s="307" t="n"/>
      <c r="AM130" s="307" t="n"/>
      <c r="AN130" s="307" t="n"/>
      <c r="AO130" s="307" t="n"/>
      <c r="AP130" s="307" t="n"/>
      <c r="AQ130" s="307" t="n"/>
      <c r="AR130" s="307" t="n"/>
      <c r="AS130" s="307" t="n"/>
      <c r="AT130" s="307" t="n"/>
      <c r="AU130" s="307" t="n"/>
      <c r="AV130" s="307" t="n"/>
      <c r="AW130" s="307" t="n"/>
      <c r="AX130" s="307" t="n"/>
      <c r="AY130" s="307" t="n"/>
      <c r="AZ130" s="307" t="n"/>
      <c r="BA130" s="31" t="n"/>
      <c r="BB130" s="307" t="n"/>
      <c r="BC130" s="307" t="n"/>
      <c r="BD130" s="307" t="n"/>
      <c r="BE130" s="307" t="n"/>
      <c r="BF130" s="307" t="n"/>
      <c r="BG130" s="31" t="n"/>
      <c r="BH130" s="31" t="n"/>
      <c r="BI130" s="31" t="n"/>
      <c r="BJ130" s="31" t="n"/>
    </row>
    <row r="131" ht="15.75" customHeight="1" s="349">
      <c r="A131" s="31" t="n"/>
      <c r="B131" s="307" t="n"/>
      <c r="C131" s="307" t="n"/>
      <c r="D131" s="307" t="n"/>
      <c r="E131" s="307" t="n"/>
      <c r="F131" s="307" t="n"/>
      <c r="G131" s="307" t="n"/>
      <c r="H131" s="307" t="n"/>
      <c r="I131" s="307" t="n"/>
      <c r="J131" s="307" t="n"/>
      <c r="K131" s="307" t="n"/>
      <c r="L131" s="307" t="n"/>
      <c r="M131" s="307" t="n"/>
      <c r="N131" s="307" t="n"/>
      <c r="O131" s="307" t="n"/>
      <c r="P131" s="307" t="n"/>
      <c r="Q131" s="307" t="n"/>
      <c r="R131" s="307" t="n"/>
      <c r="S131" s="307" t="n"/>
      <c r="T131" s="307" t="n"/>
      <c r="U131" s="307" t="n"/>
      <c r="V131" s="307" t="n"/>
      <c r="W131" s="307" t="n"/>
      <c r="X131" s="307" t="n"/>
      <c r="Y131" s="307" t="n"/>
      <c r="Z131" s="307" t="n"/>
      <c r="AA131" s="307" t="n"/>
      <c r="AB131" s="307" t="n"/>
      <c r="AC131" s="307" t="n"/>
      <c r="AD131" s="307" t="n"/>
      <c r="AE131" s="307" t="n"/>
      <c r="AF131" s="307" t="n"/>
      <c r="AG131" s="307" t="n"/>
      <c r="AH131" s="307" t="n"/>
      <c r="AI131" s="307" t="n"/>
      <c r="AJ131" s="307" t="n"/>
      <c r="AK131" s="307" t="n"/>
      <c r="AL131" s="307" t="n"/>
      <c r="AM131" s="307" t="n"/>
      <c r="AN131" s="307" t="n"/>
      <c r="AO131" s="307" t="n"/>
      <c r="AP131" s="307" t="n"/>
      <c r="AQ131" s="307" t="n"/>
      <c r="AR131" s="307" t="n"/>
      <c r="AS131" s="307" t="n"/>
      <c r="AT131" s="307" t="n"/>
      <c r="AU131" s="307" t="n"/>
      <c r="AV131" s="307" t="n"/>
      <c r="AW131" s="307" t="n"/>
      <c r="AX131" s="307" t="n"/>
      <c r="AY131" s="307" t="n"/>
      <c r="AZ131" s="307" t="n"/>
      <c r="BA131" s="31" t="n"/>
      <c r="BB131" s="307" t="n"/>
      <c r="BC131" s="307" t="n"/>
      <c r="BD131" s="307" t="n"/>
      <c r="BE131" s="307" t="n"/>
      <c r="BF131" s="307" t="n"/>
      <c r="BG131" s="31" t="n"/>
      <c r="BH131" s="31" t="n"/>
      <c r="BI131" s="31" t="n"/>
      <c r="BJ131" s="31" t="n"/>
    </row>
    <row r="132" ht="15.75" customHeight="1" s="349">
      <c r="A132" s="31" t="n"/>
      <c r="B132" s="307" t="n"/>
      <c r="C132" s="307" t="n"/>
      <c r="D132" s="307" t="n"/>
      <c r="E132" s="307" t="n"/>
      <c r="F132" s="307" t="n"/>
      <c r="G132" s="307" t="n"/>
      <c r="H132" s="307" t="n"/>
      <c r="I132" s="307" t="n"/>
      <c r="J132" s="307" t="n"/>
      <c r="K132" s="307" t="n"/>
      <c r="L132" s="307" t="n"/>
      <c r="M132" s="307" t="n"/>
      <c r="N132" s="307" t="n"/>
      <c r="O132" s="307" t="n"/>
      <c r="P132" s="307" t="n"/>
      <c r="Q132" s="307" t="n"/>
      <c r="R132" s="307" t="n"/>
      <c r="S132" s="307" t="n"/>
      <c r="T132" s="307" t="n"/>
      <c r="U132" s="307" t="n"/>
      <c r="V132" s="307" t="n"/>
      <c r="W132" s="307" t="n"/>
      <c r="X132" s="307" t="n"/>
      <c r="Y132" s="307" t="n"/>
      <c r="Z132" s="307" t="n"/>
      <c r="AA132" s="307" t="n"/>
      <c r="AB132" s="307" t="n"/>
      <c r="AC132" s="307" t="n"/>
      <c r="AD132" s="307" t="n"/>
      <c r="AE132" s="307" t="n"/>
      <c r="AF132" s="307" t="n"/>
      <c r="AG132" s="307" t="n"/>
      <c r="AH132" s="307" t="n"/>
      <c r="AI132" s="307" t="n"/>
      <c r="AJ132" s="307" t="n"/>
      <c r="AK132" s="307" t="n"/>
      <c r="AL132" s="307" t="n"/>
      <c r="AM132" s="307" t="n"/>
      <c r="AN132" s="307" t="n"/>
      <c r="AO132" s="307" t="n"/>
      <c r="AP132" s="307" t="n"/>
      <c r="AQ132" s="307" t="n"/>
      <c r="AR132" s="307" t="n"/>
      <c r="AS132" s="307" t="n"/>
      <c r="AT132" s="307" t="n"/>
      <c r="AU132" s="307" t="n"/>
      <c r="AV132" s="307" t="n"/>
      <c r="AW132" s="307" t="n"/>
      <c r="AX132" s="307" t="n"/>
      <c r="AY132" s="307" t="n"/>
      <c r="AZ132" s="307" t="n"/>
      <c r="BA132" s="31" t="n"/>
      <c r="BB132" s="307" t="n"/>
      <c r="BC132" s="307" t="n"/>
      <c r="BD132" s="307" t="n"/>
      <c r="BE132" s="307" t="n"/>
      <c r="BF132" s="307" t="n"/>
      <c r="BG132" s="31" t="n"/>
      <c r="BH132" s="31" t="n"/>
      <c r="BI132" s="31" t="n"/>
      <c r="BJ132" s="31" t="n"/>
    </row>
    <row r="133" ht="15.75" customHeight="1" s="349">
      <c r="A133" s="31" t="n"/>
      <c r="B133" s="307" t="n"/>
      <c r="C133" s="307" t="n"/>
      <c r="D133" s="307" t="n"/>
      <c r="E133" s="307" t="n"/>
      <c r="F133" s="307" t="n"/>
      <c r="G133" s="307" t="n"/>
      <c r="H133" s="307" t="n"/>
      <c r="I133" s="307" t="n"/>
      <c r="J133" s="307" t="n"/>
      <c r="K133" s="307" t="n"/>
      <c r="L133" s="307" t="n"/>
      <c r="M133" s="307" t="n"/>
      <c r="N133" s="307" t="n"/>
      <c r="O133" s="307" t="n"/>
      <c r="P133" s="307" t="n"/>
      <c r="Q133" s="307" t="n"/>
      <c r="R133" s="307" t="n"/>
      <c r="S133" s="307" t="n"/>
      <c r="T133" s="307" t="n"/>
      <c r="U133" s="307" t="n"/>
      <c r="V133" s="307" t="n"/>
      <c r="W133" s="307" t="n"/>
      <c r="X133" s="307" t="n"/>
      <c r="Y133" s="307" t="n"/>
      <c r="Z133" s="307" t="n"/>
      <c r="AA133" s="307" t="n"/>
      <c r="AB133" s="307" t="n"/>
      <c r="AC133" s="307" t="n"/>
      <c r="AD133" s="307" t="n"/>
      <c r="AE133" s="307" t="n"/>
      <c r="AF133" s="307" t="n"/>
      <c r="AG133" s="307" t="n"/>
      <c r="AH133" s="307" t="n"/>
      <c r="AI133" s="307" t="n"/>
      <c r="AJ133" s="307" t="n"/>
      <c r="AK133" s="307" t="n"/>
      <c r="AL133" s="307" t="n"/>
      <c r="AM133" s="307" t="n"/>
      <c r="AN133" s="307" t="n"/>
      <c r="AO133" s="307" t="n"/>
      <c r="AP133" s="307" t="n"/>
      <c r="AQ133" s="307" t="n"/>
      <c r="AR133" s="307" t="n"/>
      <c r="AS133" s="307" t="n"/>
      <c r="AT133" s="307" t="n"/>
      <c r="AU133" s="307" t="n"/>
      <c r="AV133" s="307" t="n"/>
      <c r="AW133" s="307" t="n"/>
      <c r="AX133" s="307" t="n"/>
      <c r="AY133" s="307" t="n"/>
      <c r="AZ133" s="307" t="n"/>
      <c r="BA133" s="31" t="n"/>
      <c r="BB133" s="307" t="n"/>
      <c r="BC133" s="307" t="n"/>
      <c r="BD133" s="307" t="n"/>
      <c r="BE133" s="307" t="n"/>
      <c r="BF133" s="307" t="n"/>
      <c r="BG133" s="31" t="n"/>
      <c r="BH133" s="31" t="n"/>
      <c r="BI133" s="31" t="n"/>
      <c r="BJ133" s="31" t="n"/>
    </row>
    <row r="134" ht="15.75" customHeight="1" s="349">
      <c r="A134" s="31" t="n"/>
      <c r="B134" s="307" t="n"/>
      <c r="C134" s="307" t="n"/>
      <c r="D134" s="307" t="n"/>
      <c r="E134" s="307" t="n"/>
      <c r="F134" s="307" t="n"/>
      <c r="G134" s="307" t="n"/>
      <c r="H134" s="307" t="n"/>
      <c r="I134" s="307" t="n"/>
      <c r="J134" s="307" t="n"/>
      <c r="K134" s="307" t="n"/>
      <c r="L134" s="307" t="n"/>
      <c r="M134" s="307" t="n"/>
      <c r="N134" s="307" t="n"/>
      <c r="O134" s="307" t="n"/>
      <c r="P134" s="307" t="n"/>
      <c r="Q134" s="307" t="n"/>
      <c r="R134" s="307" t="n"/>
      <c r="S134" s="307" t="n"/>
      <c r="T134" s="307" t="n"/>
      <c r="U134" s="307" t="n"/>
      <c r="V134" s="307" t="n"/>
      <c r="W134" s="307" t="n"/>
      <c r="X134" s="307" t="n"/>
      <c r="Y134" s="307" t="n"/>
      <c r="Z134" s="307" t="n"/>
      <c r="AA134" s="307" t="n"/>
      <c r="AB134" s="307" t="n"/>
      <c r="AC134" s="307" t="n"/>
      <c r="AD134" s="307" t="n"/>
      <c r="AE134" s="307" t="n"/>
      <c r="AF134" s="307" t="n"/>
      <c r="AG134" s="307" t="n"/>
      <c r="AH134" s="307" t="n"/>
      <c r="AI134" s="307" t="n"/>
      <c r="AJ134" s="307" t="n"/>
      <c r="AK134" s="307" t="n"/>
      <c r="AL134" s="307" t="n"/>
      <c r="AM134" s="307" t="n"/>
      <c r="AN134" s="307" t="n"/>
      <c r="AO134" s="307" t="n"/>
      <c r="AP134" s="307" t="n"/>
      <c r="AQ134" s="307" t="n"/>
      <c r="AR134" s="307" t="n"/>
      <c r="AS134" s="307" t="n"/>
      <c r="AT134" s="307" t="n"/>
      <c r="AU134" s="307" t="n"/>
      <c r="AV134" s="307" t="n"/>
      <c r="AW134" s="307" t="n"/>
      <c r="AX134" s="307" t="n"/>
      <c r="AY134" s="307" t="n"/>
      <c r="AZ134" s="307" t="n"/>
      <c r="BA134" s="31" t="n"/>
      <c r="BB134" s="307" t="n"/>
      <c r="BC134" s="307" t="n"/>
      <c r="BD134" s="307" t="n"/>
      <c r="BE134" s="307" t="n"/>
      <c r="BF134" s="307" t="n"/>
      <c r="BG134" s="31" t="n"/>
      <c r="BH134" s="31" t="n"/>
      <c r="BI134" s="31" t="n"/>
      <c r="BJ134" s="31" t="n"/>
    </row>
    <row r="135" ht="15.75" customHeight="1" s="349">
      <c r="A135" s="31" t="n"/>
      <c r="B135" s="307" t="n"/>
      <c r="C135" s="307" t="n"/>
      <c r="D135" s="307" t="n"/>
      <c r="E135" s="307" t="n"/>
      <c r="F135" s="307" t="n"/>
      <c r="G135" s="307" t="n"/>
      <c r="H135" s="307" t="n"/>
      <c r="I135" s="307" t="n"/>
      <c r="J135" s="307" t="n"/>
      <c r="K135" s="307" t="n"/>
      <c r="L135" s="307" t="n"/>
      <c r="M135" s="307" t="n"/>
      <c r="N135" s="307" t="n"/>
      <c r="O135" s="307" t="n"/>
      <c r="P135" s="307" t="n"/>
      <c r="Q135" s="307" t="n"/>
      <c r="R135" s="307" t="n"/>
      <c r="S135" s="307" t="n"/>
      <c r="T135" s="307" t="n"/>
      <c r="U135" s="307" t="n"/>
      <c r="V135" s="307" t="n"/>
      <c r="W135" s="307" t="n"/>
      <c r="X135" s="307" t="n"/>
      <c r="Y135" s="307" t="n"/>
      <c r="Z135" s="307" t="n"/>
      <c r="AA135" s="307" t="n"/>
      <c r="AB135" s="307" t="n"/>
      <c r="AC135" s="307" t="n"/>
      <c r="AD135" s="307" t="n"/>
      <c r="AE135" s="307" t="n"/>
      <c r="AF135" s="307" t="n"/>
      <c r="AG135" s="307" t="n"/>
      <c r="AH135" s="307" t="n"/>
      <c r="AI135" s="307" t="n"/>
      <c r="AJ135" s="307" t="n"/>
      <c r="AK135" s="307" t="n"/>
      <c r="AL135" s="307" t="n"/>
      <c r="AM135" s="307" t="n"/>
      <c r="AN135" s="307" t="n"/>
      <c r="AO135" s="307" t="n"/>
      <c r="AP135" s="307" t="n"/>
      <c r="AQ135" s="307" t="n"/>
      <c r="AR135" s="307" t="n"/>
      <c r="AS135" s="307" t="n"/>
      <c r="AT135" s="307" t="n"/>
      <c r="AU135" s="307" t="n"/>
      <c r="AV135" s="307" t="n"/>
      <c r="AW135" s="307" t="n"/>
      <c r="AX135" s="307" t="n"/>
      <c r="AY135" s="307" t="n"/>
      <c r="AZ135" s="307" t="n"/>
      <c r="BA135" s="31" t="n"/>
      <c r="BB135" s="307" t="n"/>
      <c r="BC135" s="307" t="n"/>
      <c r="BD135" s="307" t="n"/>
      <c r="BE135" s="307" t="n"/>
      <c r="BF135" s="307" t="n"/>
      <c r="BG135" s="31" t="n"/>
      <c r="BH135" s="31" t="n"/>
      <c r="BI135" s="31" t="n"/>
      <c r="BJ135" s="31" t="n"/>
    </row>
    <row r="136" ht="15.75" customHeight="1" s="349">
      <c r="A136" s="31" t="n"/>
      <c r="B136" s="307" t="n"/>
      <c r="C136" s="307" t="n"/>
      <c r="D136" s="307" t="n"/>
      <c r="E136" s="307" t="n"/>
      <c r="F136" s="307" t="n"/>
      <c r="G136" s="307" t="n"/>
      <c r="H136" s="307" t="n"/>
      <c r="I136" s="307" t="n"/>
      <c r="J136" s="307" t="n"/>
      <c r="K136" s="307" t="n"/>
      <c r="L136" s="307" t="n"/>
      <c r="M136" s="307" t="n"/>
      <c r="N136" s="307" t="n"/>
      <c r="O136" s="307" t="n"/>
      <c r="P136" s="307" t="n"/>
      <c r="Q136" s="307" t="n"/>
      <c r="R136" s="307" t="n"/>
      <c r="S136" s="307" t="n"/>
      <c r="T136" s="307" t="n"/>
      <c r="U136" s="307" t="n"/>
      <c r="V136" s="307" t="n"/>
      <c r="W136" s="307" t="n"/>
      <c r="X136" s="307" t="n"/>
      <c r="Y136" s="307" t="n"/>
      <c r="Z136" s="307" t="n"/>
      <c r="AA136" s="307" t="n"/>
      <c r="AB136" s="307" t="n"/>
      <c r="AC136" s="307" t="n"/>
      <c r="AD136" s="307" t="n"/>
      <c r="AE136" s="307" t="n"/>
      <c r="AF136" s="307" t="n"/>
      <c r="AG136" s="307" t="n"/>
      <c r="AH136" s="307" t="n"/>
      <c r="AI136" s="307" t="n"/>
      <c r="AJ136" s="307" t="n"/>
      <c r="AK136" s="307" t="n"/>
      <c r="AL136" s="307" t="n"/>
      <c r="AM136" s="307" t="n"/>
      <c r="AN136" s="307" t="n"/>
      <c r="AO136" s="307" t="n"/>
      <c r="AP136" s="307" t="n"/>
      <c r="AQ136" s="307" t="n"/>
      <c r="AR136" s="307" t="n"/>
      <c r="AS136" s="307" t="n"/>
      <c r="AT136" s="307" t="n"/>
      <c r="AU136" s="307" t="n"/>
      <c r="AV136" s="307" t="n"/>
      <c r="AW136" s="307" t="n"/>
      <c r="AX136" s="307" t="n"/>
      <c r="AY136" s="307" t="n"/>
      <c r="AZ136" s="307" t="n"/>
      <c r="BA136" s="31" t="n"/>
      <c r="BB136" s="307" t="n"/>
      <c r="BC136" s="307" t="n"/>
      <c r="BD136" s="307" t="n"/>
      <c r="BE136" s="307" t="n"/>
      <c r="BF136" s="307" t="n"/>
      <c r="BG136" s="31" t="n"/>
      <c r="BH136" s="31" t="n"/>
      <c r="BI136" s="31" t="n"/>
      <c r="BJ136" s="31" t="n"/>
    </row>
    <row r="137" ht="15.75" customHeight="1" s="349">
      <c r="A137" s="31" t="n"/>
      <c r="B137" s="307" t="n"/>
      <c r="C137" s="307" t="n"/>
      <c r="D137" s="307" t="n"/>
      <c r="E137" s="307" t="n"/>
      <c r="F137" s="307" t="n"/>
      <c r="G137" s="307" t="n"/>
      <c r="H137" s="307" t="n"/>
      <c r="I137" s="307" t="n"/>
      <c r="J137" s="307" t="n"/>
      <c r="K137" s="307" t="n"/>
      <c r="L137" s="307" t="n"/>
      <c r="M137" s="307" t="n"/>
      <c r="N137" s="307" t="n"/>
      <c r="O137" s="307" t="n"/>
      <c r="P137" s="307" t="n"/>
      <c r="Q137" s="307" t="n"/>
      <c r="R137" s="307" t="n"/>
      <c r="S137" s="307" t="n"/>
      <c r="T137" s="307" t="n"/>
      <c r="U137" s="307" t="n"/>
      <c r="V137" s="307" t="n"/>
      <c r="W137" s="307" t="n"/>
      <c r="X137" s="307" t="n"/>
      <c r="Y137" s="307" t="n"/>
      <c r="Z137" s="307" t="n"/>
      <c r="AA137" s="307" t="n"/>
      <c r="AB137" s="307" t="n"/>
      <c r="AC137" s="307" t="n"/>
      <c r="AD137" s="307" t="n"/>
      <c r="AE137" s="307" t="n"/>
      <c r="AF137" s="307" t="n"/>
      <c r="AG137" s="307" t="n"/>
      <c r="AH137" s="307" t="n"/>
      <c r="AI137" s="307" t="n"/>
      <c r="AJ137" s="307" t="n"/>
      <c r="AK137" s="307" t="n"/>
      <c r="AL137" s="307" t="n"/>
      <c r="AM137" s="307" t="n"/>
      <c r="AN137" s="307" t="n"/>
      <c r="AO137" s="307" t="n"/>
      <c r="AP137" s="307" t="n"/>
      <c r="AQ137" s="307" t="n"/>
      <c r="AR137" s="307" t="n"/>
      <c r="AS137" s="307" t="n"/>
      <c r="AT137" s="307" t="n"/>
      <c r="AU137" s="307" t="n"/>
      <c r="AV137" s="307" t="n"/>
      <c r="AW137" s="307" t="n"/>
      <c r="AX137" s="307" t="n"/>
      <c r="AY137" s="307" t="n"/>
      <c r="AZ137" s="307" t="n"/>
      <c r="BA137" s="31" t="n"/>
      <c r="BB137" s="307" t="n"/>
      <c r="BC137" s="307" t="n"/>
      <c r="BD137" s="307" t="n"/>
      <c r="BE137" s="307" t="n"/>
      <c r="BF137" s="307" t="n"/>
      <c r="BG137" s="31" t="n"/>
      <c r="BH137" s="31" t="n"/>
      <c r="BI137" s="31" t="n"/>
      <c r="BJ137" s="31" t="n"/>
    </row>
    <row r="138" ht="15.75" customHeight="1" s="349">
      <c r="A138" s="31" t="n"/>
      <c r="B138" s="307" t="n"/>
      <c r="C138" s="307" t="n"/>
      <c r="D138" s="307" t="n"/>
      <c r="E138" s="307" t="n"/>
      <c r="F138" s="307" t="n"/>
      <c r="G138" s="307" t="n"/>
      <c r="H138" s="307" t="n"/>
      <c r="I138" s="307" t="n"/>
      <c r="J138" s="307" t="n"/>
      <c r="K138" s="307" t="n"/>
      <c r="L138" s="307" t="n"/>
      <c r="M138" s="307" t="n"/>
      <c r="N138" s="307" t="n"/>
      <c r="O138" s="307" t="n"/>
      <c r="P138" s="307" t="n"/>
      <c r="Q138" s="307" t="n"/>
      <c r="R138" s="307" t="n"/>
      <c r="S138" s="307" t="n"/>
      <c r="T138" s="307" t="n"/>
      <c r="U138" s="307" t="n"/>
      <c r="V138" s="307" t="n"/>
      <c r="W138" s="307" t="n"/>
      <c r="X138" s="307" t="n"/>
      <c r="Y138" s="307" t="n"/>
      <c r="Z138" s="307" t="n"/>
      <c r="AA138" s="307" t="n"/>
      <c r="AB138" s="307" t="n"/>
      <c r="AC138" s="307" t="n"/>
      <c r="AD138" s="307" t="n"/>
      <c r="AE138" s="307" t="n"/>
      <c r="AF138" s="307" t="n"/>
      <c r="AG138" s="307" t="n"/>
      <c r="AH138" s="307" t="n"/>
      <c r="AI138" s="307" t="n"/>
      <c r="AJ138" s="307" t="n"/>
      <c r="AK138" s="307" t="n"/>
      <c r="AL138" s="307" t="n"/>
      <c r="AM138" s="307" t="n"/>
      <c r="AN138" s="307" t="n"/>
      <c r="AO138" s="307" t="n"/>
      <c r="AP138" s="307" t="n"/>
      <c r="AQ138" s="307" t="n"/>
      <c r="AR138" s="307" t="n"/>
      <c r="AS138" s="307" t="n"/>
      <c r="AT138" s="307" t="n"/>
      <c r="AU138" s="307" t="n"/>
      <c r="AV138" s="307" t="n"/>
      <c r="AW138" s="307" t="n"/>
      <c r="AX138" s="307" t="n"/>
      <c r="AY138" s="307" t="n"/>
      <c r="AZ138" s="307" t="n"/>
      <c r="BA138" s="31" t="n"/>
      <c r="BB138" s="307" t="n"/>
      <c r="BC138" s="307" t="n"/>
      <c r="BD138" s="307" t="n"/>
      <c r="BE138" s="307" t="n"/>
      <c r="BF138" s="307" t="n"/>
      <c r="BG138" s="31" t="n"/>
      <c r="BH138" s="31" t="n"/>
      <c r="BI138" s="31" t="n"/>
      <c r="BJ138" s="31" t="n"/>
    </row>
    <row r="139" ht="15.75" customHeight="1" s="349">
      <c r="A139" s="31" t="n"/>
      <c r="B139" s="307" t="n"/>
      <c r="C139" s="307" t="n"/>
      <c r="D139" s="307" t="n"/>
      <c r="E139" s="307" t="n"/>
      <c r="F139" s="307" t="n"/>
      <c r="G139" s="307" t="n"/>
      <c r="H139" s="307" t="n"/>
      <c r="I139" s="307" t="n"/>
      <c r="J139" s="307" t="n"/>
      <c r="K139" s="307" t="n"/>
      <c r="L139" s="307" t="n"/>
      <c r="M139" s="307" t="n"/>
      <c r="N139" s="307" t="n"/>
      <c r="O139" s="307" t="n"/>
      <c r="P139" s="307" t="n"/>
      <c r="Q139" s="307" t="n"/>
      <c r="R139" s="307" t="n"/>
      <c r="S139" s="307" t="n"/>
      <c r="T139" s="307" t="n"/>
      <c r="U139" s="307" t="n"/>
      <c r="V139" s="307" t="n"/>
      <c r="W139" s="307" t="n"/>
      <c r="X139" s="307" t="n"/>
      <c r="Y139" s="307" t="n"/>
      <c r="Z139" s="307" t="n"/>
      <c r="AA139" s="307" t="n"/>
      <c r="AB139" s="307" t="n"/>
      <c r="AC139" s="307" t="n"/>
      <c r="AD139" s="307" t="n"/>
      <c r="AE139" s="307" t="n"/>
      <c r="AF139" s="307" t="n"/>
      <c r="AG139" s="307" t="n"/>
      <c r="AH139" s="307" t="n"/>
      <c r="AI139" s="307" t="n"/>
      <c r="AJ139" s="307" t="n"/>
      <c r="AK139" s="307" t="n"/>
      <c r="AL139" s="307" t="n"/>
      <c r="AM139" s="307" t="n"/>
      <c r="AN139" s="307" t="n"/>
      <c r="AO139" s="307" t="n"/>
      <c r="AP139" s="307" t="n"/>
      <c r="AQ139" s="307" t="n"/>
      <c r="AR139" s="307" t="n"/>
      <c r="AS139" s="307" t="n"/>
      <c r="AT139" s="307" t="n"/>
      <c r="AU139" s="307" t="n"/>
      <c r="AV139" s="307" t="n"/>
      <c r="AW139" s="307" t="n"/>
      <c r="AX139" s="307" t="n"/>
      <c r="AY139" s="307" t="n"/>
      <c r="AZ139" s="307" t="n"/>
      <c r="BA139" s="31" t="n"/>
      <c r="BB139" s="307" t="n"/>
      <c r="BC139" s="307" t="n"/>
      <c r="BD139" s="307" t="n"/>
      <c r="BE139" s="307" t="n"/>
      <c r="BF139" s="307" t="n"/>
      <c r="BG139" s="31" t="n"/>
      <c r="BH139" s="31" t="n"/>
      <c r="BI139" s="31" t="n"/>
      <c r="BJ139" s="31" t="n"/>
    </row>
    <row r="140" ht="15.75" customHeight="1" s="349">
      <c r="A140" s="31" t="n"/>
      <c r="B140" s="307" t="n"/>
      <c r="C140" s="307" t="n"/>
      <c r="D140" s="307" t="n"/>
      <c r="E140" s="307" t="n"/>
      <c r="F140" s="307" t="n"/>
      <c r="G140" s="307" t="n"/>
      <c r="H140" s="307" t="n"/>
      <c r="I140" s="307" t="n"/>
      <c r="J140" s="307" t="n"/>
      <c r="K140" s="307" t="n"/>
      <c r="L140" s="307" t="n"/>
      <c r="M140" s="307" t="n"/>
      <c r="N140" s="307" t="n"/>
      <c r="O140" s="307" t="n"/>
      <c r="P140" s="307" t="n"/>
      <c r="Q140" s="307" t="n"/>
      <c r="R140" s="307" t="n"/>
      <c r="S140" s="307" t="n"/>
      <c r="T140" s="307" t="n"/>
      <c r="U140" s="307" t="n"/>
      <c r="V140" s="307" t="n"/>
      <c r="W140" s="307" t="n"/>
      <c r="X140" s="307" t="n"/>
      <c r="Y140" s="307" t="n"/>
      <c r="Z140" s="307" t="n"/>
      <c r="AA140" s="307" t="n"/>
      <c r="AB140" s="307" t="n"/>
      <c r="AC140" s="307" t="n"/>
      <c r="AD140" s="307" t="n"/>
      <c r="AE140" s="307" t="n"/>
      <c r="AF140" s="307" t="n"/>
      <c r="AG140" s="307" t="n"/>
      <c r="AH140" s="307" t="n"/>
      <c r="AI140" s="307" t="n"/>
      <c r="AJ140" s="307" t="n"/>
      <c r="AK140" s="307" t="n"/>
      <c r="AL140" s="307" t="n"/>
      <c r="AM140" s="307" t="n"/>
      <c r="AN140" s="307" t="n"/>
      <c r="AO140" s="307" t="n"/>
      <c r="AP140" s="307" t="n"/>
      <c r="AQ140" s="307" t="n"/>
      <c r="AR140" s="307" t="n"/>
      <c r="AS140" s="307" t="n"/>
      <c r="AT140" s="307" t="n"/>
      <c r="AU140" s="307" t="n"/>
      <c r="AV140" s="307" t="n"/>
      <c r="AW140" s="307" t="n"/>
      <c r="AX140" s="307" t="n"/>
      <c r="AY140" s="307" t="n"/>
      <c r="AZ140" s="307" t="n"/>
      <c r="BA140" s="31" t="n"/>
      <c r="BB140" s="307" t="n"/>
      <c r="BC140" s="307" t="n"/>
      <c r="BD140" s="307" t="n"/>
      <c r="BE140" s="307" t="n"/>
      <c r="BF140" s="307" t="n"/>
      <c r="BG140" s="31" t="n"/>
      <c r="BH140" s="31" t="n"/>
      <c r="BI140" s="31" t="n"/>
      <c r="BJ140" s="31" t="n"/>
    </row>
    <row r="141" ht="15.75" customHeight="1" s="349">
      <c r="A141" s="31" t="n"/>
      <c r="B141" s="307" t="n"/>
      <c r="C141" s="307" t="n"/>
      <c r="D141" s="307" t="n"/>
      <c r="E141" s="307" t="n"/>
      <c r="F141" s="307" t="n"/>
      <c r="G141" s="307" t="n"/>
      <c r="H141" s="307" t="n"/>
      <c r="I141" s="307" t="n"/>
      <c r="J141" s="307" t="n"/>
      <c r="K141" s="307" t="n"/>
      <c r="L141" s="307" t="n"/>
      <c r="M141" s="307" t="n"/>
      <c r="N141" s="307" t="n"/>
      <c r="O141" s="307" t="n"/>
      <c r="P141" s="307" t="n"/>
      <c r="Q141" s="307" t="n"/>
      <c r="R141" s="307" t="n"/>
      <c r="S141" s="307" t="n"/>
      <c r="T141" s="307" t="n"/>
      <c r="U141" s="307" t="n"/>
      <c r="V141" s="307" t="n"/>
      <c r="W141" s="307" t="n"/>
      <c r="X141" s="307" t="n"/>
      <c r="Y141" s="307" t="n"/>
      <c r="Z141" s="307" t="n"/>
      <c r="AA141" s="307" t="n"/>
      <c r="AB141" s="307" t="n"/>
      <c r="AC141" s="307" t="n"/>
      <c r="AD141" s="307" t="n"/>
      <c r="AE141" s="307" t="n"/>
      <c r="AF141" s="307" t="n"/>
      <c r="AG141" s="307" t="n"/>
      <c r="AH141" s="307" t="n"/>
      <c r="AI141" s="307" t="n"/>
      <c r="AJ141" s="307" t="n"/>
      <c r="AK141" s="307" t="n"/>
      <c r="AL141" s="307" t="n"/>
      <c r="AM141" s="307" t="n"/>
      <c r="AN141" s="307" t="n"/>
      <c r="AO141" s="307" t="n"/>
      <c r="AP141" s="307" t="n"/>
      <c r="AQ141" s="307" t="n"/>
      <c r="AR141" s="307" t="n"/>
      <c r="AS141" s="307" t="n"/>
      <c r="AT141" s="307" t="n"/>
      <c r="AU141" s="307" t="n"/>
      <c r="AV141" s="307" t="n"/>
      <c r="AW141" s="307" t="n"/>
      <c r="AX141" s="307" t="n"/>
      <c r="AY141" s="307" t="n"/>
      <c r="AZ141" s="307" t="n"/>
      <c r="BA141" s="31" t="n"/>
      <c r="BB141" s="307" t="n"/>
      <c r="BC141" s="307" t="n"/>
      <c r="BD141" s="307" t="n"/>
      <c r="BE141" s="307" t="n"/>
      <c r="BF141" s="307" t="n"/>
      <c r="BG141" s="31" t="n"/>
      <c r="BH141" s="31" t="n"/>
      <c r="BI141" s="31" t="n"/>
      <c r="BJ141" s="31" t="n"/>
    </row>
    <row r="142" ht="15.75" customHeight="1" s="349">
      <c r="A142" s="31" t="n"/>
      <c r="B142" s="307" t="n"/>
      <c r="C142" s="307" t="n"/>
      <c r="D142" s="307" t="n"/>
      <c r="E142" s="307" t="n"/>
      <c r="F142" s="307" t="n"/>
      <c r="G142" s="307" t="n"/>
      <c r="H142" s="307" t="n"/>
      <c r="I142" s="307" t="n"/>
      <c r="J142" s="307" t="n"/>
      <c r="K142" s="307" t="n"/>
      <c r="L142" s="307" t="n"/>
      <c r="M142" s="307" t="n"/>
      <c r="N142" s="307" t="n"/>
      <c r="O142" s="307" t="n"/>
      <c r="P142" s="307" t="n"/>
      <c r="Q142" s="307" t="n"/>
      <c r="R142" s="307" t="n"/>
      <c r="S142" s="307" t="n"/>
      <c r="T142" s="307" t="n"/>
      <c r="U142" s="307" t="n"/>
      <c r="V142" s="307" t="n"/>
      <c r="W142" s="307" t="n"/>
      <c r="X142" s="307" t="n"/>
      <c r="Y142" s="307" t="n"/>
      <c r="Z142" s="307" t="n"/>
      <c r="AA142" s="307" t="n"/>
      <c r="AB142" s="307" t="n"/>
      <c r="AC142" s="307" t="n"/>
      <c r="AD142" s="307" t="n"/>
      <c r="AE142" s="307" t="n"/>
      <c r="AF142" s="307" t="n"/>
      <c r="AG142" s="307" t="n"/>
      <c r="AH142" s="307" t="n"/>
      <c r="AI142" s="307" t="n"/>
      <c r="AJ142" s="307" t="n"/>
      <c r="AK142" s="307" t="n"/>
      <c r="AL142" s="307" t="n"/>
      <c r="AM142" s="307" t="n"/>
      <c r="AN142" s="307" t="n"/>
      <c r="AO142" s="307" t="n"/>
      <c r="AP142" s="307" t="n"/>
      <c r="AQ142" s="307" t="n"/>
      <c r="AR142" s="307" t="n"/>
      <c r="AS142" s="307" t="n"/>
      <c r="AT142" s="307" t="n"/>
      <c r="AU142" s="307" t="n"/>
      <c r="AV142" s="307" t="n"/>
      <c r="AW142" s="307" t="n"/>
      <c r="AX142" s="307" t="n"/>
      <c r="AY142" s="307" t="n"/>
      <c r="AZ142" s="307" t="n"/>
      <c r="BA142" s="31" t="n"/>
      <c r="BB142" s="307" t="n"/>
      <c r="BC142" s="307" t="n"/>
      <c r="BD142" s="307" t="n"/>
      <c r="BE142" s="307" t="n"/>
      <c r="BF142" s="307" t="n"/>
      <c r="BG142" s="31" t="n"/>
      <c r="BH142" s="31" t="n"/>
      <c r="BI142" s="31" t="n"/>
      <c r="BJ142" s="31" t="n"/>
    </row>
    <row r="143" ht="15.75" customHeight="1" s="349">
      <c r="A143" s="31" t="n"/>
      <c r="B143" s="307" t="n"/>
      <c r="C143" s="307" t="n"/>
      <c r="D143" s="307" t="n"/>
      <c r="E143" s="307" t="n"/>
      <c r="F143" s="307" t="n"/>
      <c r="G143" s="307" t="n"/>
      <c r="H143" s="307" t="n"/>
      <c r="I143" s="307" t="n"/>
      <c r="J143" s="307" t="n"/>
      <c r="K143" s="307" t="n"/>
      <c r="L143" s="307" t="n"/>
      <c r="M143" s="307" t="n"/>
      <c r="N143" s="307" t="n"/>
      <c r="O143" s="307" t="n"/>
      <c r="P143" s="307" t="n"/>
      <c r="Q143" s="307" t="n"/>
      <c r="R143" s="307" t="n"/>
      <c r="S143" s="307" t="n"/>
      <c r="T143" s="307" t="n"/>
      <c r="U143" s="307" t="n"/>
      <c r="V143" s="307" t="n"/>
      <c r="W143" s="307" t="n"/>
      <c r="X143" s="307" t="n"/>
      <c r="Y143" s="307" t="n"/>
      <c r="Z143" s="307" t="n"/>
      <c r="AA143" s="307" t="n"/>
      <c r="AB143" s="307" t="n"/>
      <c r="AC143" s="307" t="n"/>
      <c r="AD143" s="307" t="n"/>
      <c r="AE143" s="307" t="n"/>
      <c r="AF143" s="307" t="n"/>
      <c r="AG143" s="307" t="n"/>
      <c r="AH143" s="307" t="n"/>
      <c r="AI143" s="307" t="n"/>
      <c r="AJ143" s="307" t="n"/>
      <c r="AK143" s="307" t="n"/>
      <c r="AL143" s="307" t="n"/>
      <c r="AM143" s="307" t="n"/>
      <c r="AN143" s="307" t="n"/>
      <c r="AO143" s="307" t="n"/>
      <c r="AP143" s="307" t="n"/>
      <c r="AQ143" s="307" t="n"/>
      <c r="AR143" s="307" t="n"/>
      <c r="AS143" s="307" t="n"/>
      <c r="AT143" s="307" t="n"/>
      <c r="AU143" s="307" t="n"/>
      <c r="AV143" s="307" t="n"/>
      <c r="AW143" s="307" t="n"/>
      <c r="AX143" s="307" t="n"/>
      <c r="AY143" s="307" t="n"/>
      <c r="AZ143" s="307" t="n"/>
      <c r="BA143" s="31" t="n"/>
      <c r="BB143" s="307" t="n"/>
      <c r="BC143" s="307" t="n"/>
      <c r="BD143" s="307" t="n"/>
      <c r="BE143" s="307" t="n"/>
      <c r="BF143" s="307" t="n"/>
      <c r="BG143" s="31" t="n"/>
      <c r="BH143" s="31" t="n"/>
      <c r="BI143" s="31" t="n"/>
      <c r="BJ143" s="31" t="n"/>
    </row>
    <row r="144" ht="15.75" customHeight="1" s="349">
      <c r="A144" s="31" t="n"/>
      <c r="B144" s="307" t="n"/>
      <c r="C144" s="307" t="n"/>
      <c r="D144" s="307" t="n"/>
      <c r="E144" s="307" t="n"/>
      <c r="F144" s="307" t="n"/>
      <c r="G144" s="307" t="n"/>
      <c r="H144" s="307" t="n"/>
      <c r="I144" s="307" t="n"/>
      <c r="J144" s="307" t="n"/>
      <c r="K144" s="307" t="n"/>
      <c r="L144" s="307" t="n"/>
      <c r="M144" s="307" t="n"/>
      <c r="N144" s="307" t="n"/>
      <c r="O144" s="307" t="n"/>
      <c r="P144" s="307" t="n"/>
      <c r="Q144" s="307" t="n"/>
      <c r="R144" s="307" t="n"/>
      <c r="S144" s="307" t="n"/>
      <c r="T144" s="307" t="n"/>
      <c r="U144" s="307" t="n"/>
      <c r="V144" s="307" t="n"/>
      <c r="W144" s="307" t="n"/>
      <c r="X144" s="307" t="n"/>
      <c r="Y144" s="307" t="n"/>
      <c r="Z144" s="307" t="n"/>
      <c r="AA144" s="307" t="n"/>
      <c r="AB144" s="307" t="n"/>
      <c r="AC144" s="307" t="n"/>
      <c r="AD144" s="307" t="n"/>
      <c r="AE144" s="307" t="n"/>
      <c r="AF144" s="307" t="n"/>
      <c r="AG144" s="307" t="n"/>
      <c r="AH144" s="307" t="n"/>
      <c r="AI144" s="307" t="n"/>
      <c r="AJ144" s="307" t="n"/>
      <c r="AK144" s="307" t="n"/>
      <c r="AL144" s="307" t="n"/>
      <c r="AM144" s="307" t="n"/>
      <c r="AN144" s="307" t="n"/>
      <c r="AO144" s="307" t="n"/>
      <c r="AP144" s="307" t="n"/>
      <c r="AQ144" s="307" t="n"/>
      <c r="AR144" s="307" t="n"/>
      <c r="AS144" s="307" t="n"/>
      <c r="AT144" s="307" t="n"/>
      <c r="AU144" s="307" t="n"/>
      <c r="AV144" s="307" t="n"/>
      <c r="AW144" s="307" t="n"/>
      <c r="AX144" s="307" t="n"/>
      <c r="AY144" s="307" t="n"/>
      <c r="AZ144" s="307" t="n"/>
      <c r="BA144" s="31" t="n"/>
      <c r="BB144" s="307" t="n"/>
      <c r="BC144" s="307" t="n"/>
      <c r="BD144" s="307" t="n"/>
      <c r="BE144" s="307" t="n"/>
      <c r="BF144" s="307" t="n"/>
      <c r="BG144" s="31" t="n"/>
      <c r="BH144" s="31" t="n"/>
      <c r="BI144" s="31" t="n"/>
      <c r="BJ144" s="31" t="n"/>
    </row>
    <row r="145" ht="15.75" customHeight="1" s="349">
      <c r="A145" s="31" t="n"/>
      <c r="B145" s="307" t="n"/>
      <c r="C145" s="307" t="n"/>
      <c r="D145" s="307" t="n"/>
      <c r="E145" s="307" t="n"/>
      <c r="F145" s="307" t="n"/>
      <c r="G145" s="307" t="n"/>
      <c r="H145" s="307" t="n"/>
      <c r="I145" s="307" t="n"/>
      <c r="J145" s="307" t="n"/>
      <c r="K145" s="307" t="n"/>
      <c r="L145" s="307" t="n"/>
      <c r="M145" s="307" t="n"/>
      <c r="N145" s="307" t="n"/>
      <c r="O145" s="307" t="n"/>
      <c r="P145" s="307" t="n"/>
      <c r="Q145" s="307" t="n"/>
      <c r="R145" s="307" t="n"/>
      <c r="S145" s="307" t="n"/>
      <c r="T145" s="307" t="n"/>
      <c r="U145" s="307" t="n"/>
      <c r="V145" s="307" t="n"/>
      <c r="W145" s="307" t="n"/>
      <c r="X145" s="307" t="n"/>
      <c r="Y145" s="307" t="n"/>
      <c r="Z145" s="307" t="n"/>
      <c r="AA145" s="307" t="n"/>
      <c r="AB145" s="307" t="n"/>
      <c r="AC145" s="307" t="n"/>
      <c r="AD145" s="307" t="n"/>
      <c r="AE145" s="307" t="n"/>
      <c r="AF145" s="307" t="n"/>
      <c r="AG145" s="307" t="n"/>
      <c r="AH145" s="307" t="n"/>
      <c r="AI145" s="307" t="n"/>
      <c r="AJ145" s="307" t="n"/>
      <c r="AK145" s="307" t="n"/>
      <c r="AL145" s="307" t="n"/>
      <c r="AM145" s="307" t="n"/>
      <c r="AN145" s="307" t="n"/>
      <c r="AO145" s="307" t="n"/>
      <c r="AP145" s="307" t="n"/>
      <c r="AQ145" s="307" t="n"/>
      <c r="AR145" s="307" t="n"/>
      <c r="AS145" s="307" t="n"/>
      <c r="AT145" s="307" t="n"/>
      <c r="AU145" s="307" t="n"/>
      <c r="AV145" s="307" t="n"/>
      <c r="AW145" s="307" t="n"/>
      <c r="AX145" s="307" t="n"/>
      <c r="AY145" s="307" t="n"/>
      <c r="AZ145" s="307" t="n"/>
      <c r="BA145" s="31" t="n"/>
      <c r="BB145" s="307" t="n"/>
      <c r="BC145" s="307" t="n"/>
      <c r="BD145" s="307" t="n"/>
      <c r="BE145" s="307" t="n"/>
      <c r="BF145" s="307" t="n"/>
      <c r="BG145" s="31" t="n"/>
      <c r="BH145" s="31" t="n"/>
      <c r="BI145" s="31" t="n"/>
      <c r="BJ145" s="31" t="n"/>
    </row>
    <row r="146" ht="15.75" customHeight="1" s="349">
      <c r="A146" s="31" t="n"/>
      <c r="B146" s="307" t="n"/>
      <c r="C146" s="307" t="n"/>
      <c r="D146" s="307" t="n"/>
      <c r="E146" s="307" t="n"/>
      <c r="F146" s="307" t="n"/>
      <c r="G146" s="307" t="n"/>
      <c r="H146" s="307" t="n"/>
      <c r="I146" s="307" t="n"/>
      <c r="J146" s="307" t="n"/>
      <c r="K146" s="307" t="n"/>
      <c r="L146" s="307" t="n"/>
      <c r="M146" s="307" t="n"/>
      <c r="N146" s="307" t="n"/>
      <c r="O146" s="307" t="n"/>
      <c r="P146" s="307" t="n"/>
      <c r="Q146" s="307" t="n"/>
      <c r="R146" s="307" t="n"/>
      <c r="S146" s="307" t="n"/>
      <c r="T146" s="307" t="n"/>
      <c r="U146" s="307" t="n"/>
      <c r="V146" s="307" t="n"/>
      <c r="W146" s="307" t="n"/>
      <c r="X146" s="307" t="n"/>
      <c r="Y146" s="307" t="n"/>
      <c r="Z146" s="307" t="n"/>
      <c r="AA146" s="307" t="n"/>
      <c r="AB146" s="307" t="n"/>
      <c r="AC146" s="307" t="n"/>
      <c r="AD146" s="307" t="n"/>
      <c r="AE146" s="307" t="n"/>
      <c r="AF146" s="307" t="n"/>
      <c r="AG146" s="307" t="n"/>
      <c r="AH146" s="307" t="n"/>
      <c r="AI146" s="307" t="n"/>
      <c r="AJ146" s="307" t="n"/>
      <c r="AK146" s="307" t="n"/>
      <c r="AL146" s="307" t="n"/>
      <c r="AM146" s="307" t="n"/>
      <c r="AN146" s="307" t="n"/>
      <c r="AO146" s="307" t="n"/>
      <c r="AP146" s="307" t="n"/>
      <c r="AQ146" s="307" t="n"/>
      <c r="AR146" s="307" t="n"/>
      <c r="AS146" s="307" t="n"/>
      <c r="AT146" s="307" t="n"/>
      <c r="AU146" s="307" t="n"/>
      <c r="AV146" s="307" t="n"/>
      <c r="AW146" s="307" t="n"/>
      <c r="AX146" s="307" t="n"/>
      <c r="AY146" s="307" t="n"/>
      <c r="AZ146" s="307" t="n"/>
      <c r="BA146" s="31" t="n"/>
      <c r="BB146" s="307" t="n"/>
      <c r="BC146" s="307" t="n"/>
      <c r="BD146" s="307" t="n"/>
      <c r="BE146" s="307" t="n"/>
      <c r="BF146" s="307" t="n"/>
      <c r="BG146" s="31" t="n"/>
      <c r="BH146" s="31" t="n"/>
      <c r="BI146" s="31" t="n"/>
      <c r="BJ146" s="31" t="n"/>
    </row>
    <row r="147" ht="15.75" customHeight="1" s="349">
      <c r="A147" s="31" t="n"/>
      <c r="B147" s="307" t="n"/>
      <c r="C147" s="307" t="n"/>
      <c r="D147" s="307" t="n"/>
      <c r="E147" s="307" t="n"/>
      <c r="F147" s="307" t="n"/>
      <c r="G147" s="307" t="n"/>
      <c r="H147" s="307" t="n"/>
      <c r="I147" s="307" t="n"/>
      <c r="J147" s="307" t="n"/>
      <c r="K147" s="307" t="n"/>
      <c r="L147" s="307" t="n"/>
      <c r="M147" s="307" t="n"/>
      <c r="N147" s="307" t="n"/>
      <c r="O147" s="307" t="n"/>
      <c r="P147" s="307" t="n"/>
      <c r="Q147" s="307" t="n"/>
      <c r="R147" s="307" t="n"/>
      <c r="S147" s="307" t="n"/>
      <c r="T147" s="307" t="n"/>
      <c r="U147" s="307" t="n"/>
      <c r="V147" s="307" t="n"/>
      <c r="W147" s="307" t="n"/>
      <c r="X147" s="307" t="n"/>
      <c r="Y147" s="307" t="n"/>
      <c r="Z147" s="307" t="n"/>
      <c r="AA147" s="307" t="n"/>
      <c r="AB147" s="307" t="n"/>
      <c r="AC147" s="307" t="n"/>
      <c r="AD147" s="307" t="n"/>
      <c r="AE147" s="307" t="n"/>
      <c r="AF147" s="307" t="n"/>
      <c r="AG147" s="307" t="n"/>
      <c r="AH147" s="307" t="n"/>
      <c r="AI147" s="307" t="n"/>
      <c r="AJ147" s="307" t="n"/>
      <c r="AK147" s="307" t="n"/>
      <c r="AL147" s="307" t="n"/>
      <c r="AM147" s="307" t="n"/>
      <c r="AN147" s="307" t="n"/>
      <c r="AO147" s="307" t="n"/>
      <c r="AP147" s="307" t="n"/>
      <c r="AQ147" s="307" t="n"/>
      <c r="AR147" s="307" t="n"/>
      <c r="AS147" s="307" t="n"/>
      <c r="AT147" s="307" t="n"/>
      <c r="AU147" s="307" t="n"/>
      <c r="AV147" s="307" t="n"/>
      <c r="AW147" s="307" t="n"/>
      <c r="AX147" s="307" t="n"/>
      <c r="AY147" s="307" t="n"/>
      <c r="AZ147" s="307" t="n"/>
      <c r="BA147" s="31" t="n"/>
      <c r="BB147" s="307" t="n"/>
      <c r="BC147" s="307" t="n"/>
      <c r="BD147" s="307" t="n"/>
      <c r="BE147" s="307" t="n"/>
      <c r="BF147" s="307" t="n"/>
      <c r="BG147" s="31" t="n"/>
      <c r="BH147" s="31" t="n"/>
      <c r="BI147" s="31" t="n"/>
      <c r="BJ147" s="31" t="n"/>
    </row>
    <row r="148" ht="15.75" customHeight="1" s="349">
      <c r="A148" s="31" t="n"/>
      <c r="B148" s="307" t="n"/>
      <c r="C148" s="307" t="n"/>
      <c r="D148" s="307" t="n"/>
      <c r="E148" s="307" t="n"/>
      <c r="F148" s="307" t="n"/>
      <c r="G148" s="307" t="n"/>
      <c r="H148" s="307" t="n"/>
      <c r="I148" s="307" t="n"/>
      <c r="J148" s="307" t="n"/>
      <c r="K148" s="307" t="n"/>
      <c r="L148" s="307" t="n"/>
      <c r="M148" s="307" t="n"/>
      <c r="N148" s="307" t="n"/>
      <c r="O148" s="307" t="n"/>
      <c r="P148" s="307" t="n"/>
      <c r="Q148" s="307" t="n"/>
      <c r="R148" s="307" t="n"/>
      <c r="S148" s="307" t="n"/>
      <c r="T148" s="307" t="n"/>
      <c r="U148" s="307" t="n"/>
      <c r="V148" s="307" t="n"/>
      <c r="W148" s="307" t="n"/>
      <c r="X148" s="307" t="n"/>
      <c r="Y148" s="307" t="n"/>
      <c r="Z148" s="307" t="n"/>
      <c r="AA148" s="307" t="n"/>
      <c r="AB148" s="307" t="n"/>
      <c r="AC148" s="307" t="n"/>
      <c r="AD148" s="307" t="n"/>
      <c r="AE148" s="307" t="n"/>
      <c r="AF148" s="307" t="n"/>
      <c r="AG148" s="307" t="n"/>
      <c r="AH148" s="307" t="n"/>
      <c r="AI148" s="307" t="n"/>
      <c r="AJ148" s="307" t="n"/>
      <c r="AK148" s="307" t="n"/>
      <c r="AL148" s="307" t="n"/>
      <c r="AM148" s="307" t="n"/>
      <c r="AN148" s="307" t="n"/>
      <c r="AO148" s="307" t="n"/>
      <c r="AP148" s="307" t="n"/>
      <c r="AQ148" s="307" t="n"/>
      <c r="AR148" s="307" t="n"/>
      <c r="AS148" s="307" t="n"/>
      <c r="AT148" s="307" t="n"/>
      <c r="AU148" s="307" t="n"/>
      <c r="AV148" s="307" t="n"/>
      <c r="AW148" s="307" t="n"/>
      <c r="AX148" s="307" t="n"/>
      <c r="AY148" s="307" t="n"/>
      <c r="AZ148" s="307" t="n"/>
      <c r="BA148" s="31" t="n"/>
      <c r="BB148" s="307" t="n"/>
      <c r="BC148" s="307" t="n"/>
      <c r="BD148" s="307" t="n"/>
      <c r="BE148" s="307" t="n"/>
      <c r="BF148" s="307" t="n"/>
      <c r="BG148" s="31" t="n"/>
      <c r="BH148" s="31" t="n"/>
      <c r="BI148" s="31" t="n"/>
      <c r="BJ148" s="31" t="n"/>
    </row>
    <row r="149" ht="15.75" customHeight="1" s="349">
      <c r="A149" s="31" t="n"/>
      <c r="B149" s="307" t="n"/>
      <c r="C149" s="307" t="n"/>
      <c r="D149" s="307" t="n"/>
      <c r="E149" s="307" t="n"/>
      <c r="F149" s="307" t="n"/>
      <c r="G149" s="307" t="n"/>
      <c r="H149" s="307" t="n"/>
      <c r="I149" s="307" t="n"/>
      <c r="J149" s="307" t="n"/>
      <c r="K149" s="307" t="n"/>
      <c r="L149" s="307" t="n"/>
      <c r="M149" s="307" t="n"/>
      <c r="N149" s="307" t="n"/>
      <c r="O149" s="307" t="n"/>
      <c r="P149" s="307" t="n"/>
      <c r="Q149" s="307" t="n"/>
      <c r="R149" s="307" t="n"/>
      <c r="S149" s="307" t="n"/>
      <c r="T149" s="307" t="n"/>
      <c r="U149" s="307" t="n"/>
      <c r="V149" s="307" t="n"/>
      <c r="W149" s="307" t="n"/>
      <c r="X149" s="307" t="n"/>
      <c r="Y149" s="307" t="n"/>
      <c r="Z149" s="307" t="n"/>
      <c r="AA149" s="307" t="n"/>
      <c r="AB149" s="307" t="n"/>
      <c r="AC149" s="307" t="n"/>
      <c r="AD149" s="307" t="n"/>
      <c r="AE149" s="307" t="n"/>
      <c r="AF149" s="307" t="n"/>
      <c r="AG149" s="307" t="n"/>
      <c r="AH149" s="307" t="n"/>
      <c r="AI149" s="307" t="n"/>
      <c r="AJ149" s="307" t="n"/>
      <c r="AK149" s="307" t="n"/>
      <c r="AL149" s="307" t="n"/>
      <c r="AM149" s="307" t="n"/>
      <c r="AN149" s="307" t="n"/>
      <c r="AO149" s="307" t="n"/>
      <c r="AP149" s="307" t="n"/>
      <c r="AQ149" s="307" t="n"/>
      <c r="AR149" s="307" t="n"/>
      <c r="AS149" s="307" t="n"/>
      <c r="AT149" s="307" t="n"/>
      <c r="AU149" s="307" t="n"/>
      <c r="AV149" s="307" t="n"/>
      <c r="AW149" s="307" t="n"/>
      <c r="AX149" s="307" t="n"/>
      <c r="AY149" s="307" t="n"/>
      <c r="AZ149" s="307" t="n"/>
      <c r="BA149" s="31" t="n"/>
      <c r="BB149" s="307" t="n"/>
      <c r="BC149" s="307" t="n"/>
      <c r="BD149" s="307" t="n"/>
      <c r="BE149" s="307" t="n"/>
      <c r="BF149" s="307" t="n"/>
      <c r="BG149" s="31" t="n"/>
      <c r="BH149" s="31" t="n"/>
      <c r="BI149" s="31" t="n"/>
      <c r="BJ149" s="31" t="n"/>
    </row>
    <row r="150" ht="15.75" customHeight="1" s="349">
      <c r="A150" s="31" t="n"/>
      <c r="B150" s="307" t="n"/>
      <c r="C150" s="307" t="n"/>
      <c r="D150" s="307" t="n"/>
      <c r="E150" s="307" t="n"/>
      <c r="F150" s="307" t="n"/>
      <c r="G150" s="307" t="n"/>
      <c r="H150" s="307" t="n"/>
      <c r="I150" s="307" t="n"/>
      <c r="J150" s="307" t="n"/>
      <c r="K150" s="307" t="n"/>
      <c r="L150" s="307" t="n"/>
      <c r="M150" s="307" t="n"/>
      <c r="N150" s="307" t="n"/>
      <c r="O150" s="307" t="n"/>
      <c r="P150" s="307" t="n"/>
      <c r="Q150" s="307" t="n"/>
      <c r="R150" s="307" t="n"/>
      <c r="S150" s="307" t="n"/>
      <c r="T150" s="307" t="n"/>
      <c r="U150" s="307" t="n"/>
      <c r="V150" s="307" t="n"/>
      <c r="W150" s="307" t="n"/>
      <c r="X150" s="307" t="n"/>
      <c r="Y150" s="307" t="n"/>
      <c r="Z150" s="307" t="n"/>
      <c r="AA150" s="307" t="n"/>
      <c r="AB150" s="307" t="n"/>
      <c r="AC150" s="307" t="n"/>
      <c r="AD150" s="307" t="n"/>
      <c r="AE150" s="307" t="n"/>
      <c r="AF150" s="307" t="n"/>
      <c r="AG150" s="307" t="n"/>
      <c r="AH150" s="307" t="n"/>
      <c r="AI150" s="307" t="n"/>
      <c r="AJ150" s="307" t="n"/>
      <c r="AK150" s="307" t="n"/>
      <c r="AL150" s="307" t="n"/>
      <c r="AM150" s="307" t="n"/>
      <c r="AN150" s="307" t="n"/>
      <c r="AO150" s="307" t="n"/>
      <c r="AP150" s="307" t="n"/>
      <c r="AQ150" s="307" t="n"/>
      <c r="AR150" s="307" t="n"/>
      <c r="AS150" s="307" t="n"/>
      <c r="AT150" s="307" t="n"/>
      <c r="AU150" s="307" t="n"/>
      <c r="AV150" s="307" t="n"/>
      <c r="AW150" s="307" t="n"/>
      <c r="AX150" s="307" t="n"/>
      <c r="AY150" s="307" t="n"/>
      <c r="AZ150" s="307" t="n"/>
      <c r="BA150" s="31" t="n"/>
      <c r="BB150" s="307" t="n"/>
      <c r="BC150" s="307" t="n"/>
      <c r="BD150" s="307" t="n"/>
      <c r="BE150" s="307" t="n"/>
      <c r="BF150" s="307" t="n"/>
      <c r="BG150" s="31" t="n"/>
      <c r="BH150" s="31" t="n"/>
      <c r="BI150" s="31" t="n"/>
      <c r="BJ150" s="31" t="n"/>
    </row>
    <row r="151" ht="15.75" customHeight="1" s="349">
      <c r="A151" s="31" t="n"/>
      <c r="B151" s="307" t="n"/>
      <c r="C151" s="307" t="n"/>
      <c r="D151" s="307" t="n"/>
      <c r="E151" s="307" t="n"/>
      <c r="F151" s="307" t="n"/>
      <c r="G151" s="307" t="n"/>
      <c r="H151" s="307" t="n"/>
      <c r="I151" s="307" t="n"/>
      <c r="J151" s="307" t="n"/>
      <c r="K151" s="307" t="n"/>
      <c r="L151" s="307" t="n"/>
      <c r="M151" s="307" t="n"/>
      <c r="N151" s="307" t="n"/>
      <c r="O151" s="307" t="n"/>
      <c r="P151" s="307" t="n"/>
      <c r="Q151" s="307" t="n"/>
      <c r="R151" s="307" t="n"/>
      <c r="S151" s="307" t="n"/>
      <c r="T151" s="307" t="n"/>
      <c r="U151" s="307" t="n"/>
      <c r="V151" s="307" t="n"/>
      <c r="W151" s="307" t="n"/>
      <c r="X151" s="307" t="n"/>
      <c r="Y151" s="307" t="n"/>
      <c r="Z151" s="307" t="n"/>
      <c r="AA151" s="307" t="n"/>
      <c r="AB151" s="307" t="n"/>
      <c r="AC151" s="307" t="n"/>
      <c r="AD151" s="307" t="n"/>
      <c r="AE151" s="307" t="n"/>
      <c r="AF151" s="307" t="n"/>
      <c r="AG151" s="307" t="n"/>
      <c r="AH151" s="307" t="n"/>
      <c r="AI151" s="307" t="n"/>
      <c r="AJ151" s="307" t="n"/>
      <c r="AK151" s="307" t="n"/>
      <c r="AL151" s="307" t="n"/>
      <c r="AM151" s="307" t="n"/>
      <c r="AN151" s="307" t="n"/>
      <c r="AO151" s="307" t="n"/>
      <c r="AP151" s="307" t="n"/>
      <c r="AQ151" s="307" t="n"/>
      <c r="AR151" s="307" t="n"/>
      <c r="AS151" s="307" t="n"/>
      <c r="AT151" s="307" t="n"/>
      <c r="AU151" s="307" t="n"/>
      <c r="AV151" s="307" t="n"/>
      <c r="AW151" s="307" t="n"/>
      <c r="AX151" s="307" t="n"/>
      <c r="AY151" s="307" t="n"/>
      <c r="AZ151" s="307" t="n"/>
      <c r="BA151" s="31" t="n"/>
      <c r="BB151" s="307" t="n"/>
      <c r="BC151" s="307" t="n"/>
      <c r="BD151" s="307" t="n"/>
      <c r="BE151" s="307" t="n"/>
      <c r="BF151" s="307" t="n"/>
      <c r="BG151" s="31" t="n"/>
      <c r="BH151" s="31" t="n"/>
      <c r="BI151" s="31" t="n"/>
      <c r="BJ151" s="31" t="n"/>
    </row>
    <row r="152" ht="15.75" customHeight="1" s="349">
      <c r="A152" s="31" t="n"/>
      <c r="B152" s="307" t="n"/>
      <c r="C152" s="307" t="n"/>
      <c r="D152" s="307" t="n"/>
      <c r="E152" s="307" t="n"/>
      <c r="F152" s="307" t="n"/>
      <c r="G152" s="307" t="n"/>
      <c r="H152" s="307" t="n"/>
      <c r="I152" s="307" t="n"/>
      <c r="J152" s="307" t="n"/>
      <c r="K152" s="307" t="n"/>
      <c r="L152" s="307" t="n"/>
      <c r="M152" s="307" t="n"/>
      <c r="N152" s="307" t="n"/>
      <c r="O152" s="307" t="n"/>
      <c r="P152" s="307" t="n"/>
      <c r="Q152" s="307" t="n"/>
      <c r="R152" s="307" t="n"/>
      <c r="S152" s="307" t="n"/>
      <c r="T152" s="307" t="n"/>
      <c r="U152" s="307" t="n"/>
      <c r="V152" s="307" t="n"/>
      <c r="W152" s="307" t="n"/>
      <c r="X152" s="307" t="n"/>
      <c r="Y152" s="307" t="n"/>
      <c r="Z152" s="307" t="n"/>
      <c r="AA152" s="307" t="n"/>
      <c r="AB152" s="307" t="n"/>
      <c r="AC152" s="307" t="n"/>
      <c r="AD152" s="307" t="n"/>
      <c r="AE152" s="307" t="n"/>
      <c r="AF152" s="307" t="n"/>
      <c r="AG152" s="307" t="n"/>
      <c r="AH152" s="307" t="n"/>
      <c r="AI152" s="307" t="n"/>
      <c r="AJ152" s="307" t="n"/>
      <c r="AK152" s="307" t="n"/>
      <c r="AL152" s="307" t="n"/>
      <c r="AM152" s="307" t="n"/>
      <c r="AN152" s="307" t="n"/>
      <c r="AO152" s="307" t="n"/>
      <c r="AP152" s="307" t="n"/>
      <c r="AQ152" s="307" t="n"/>
      <c r="AR152" s="307" t="n"/>
      <c r="AS152" s="307" t="n"/>
      <c r="AT152" s="307" t="n"/>
      <c r="AU152" s="307" t="n"/>
      <c r="AV152" s="307" t="n"/>
      <c r="AW152" s="307" t="n"/>
      <c r="AX152" s="307" t="n"/>
      <c r="AY152" s="307" t="n"/>
      <c r="AZ152" s="307" t="n"/>
      <c r="BA152" s="31" t="n"/>
      <c r="BB152" s="307" t="n"/>
      <c r="BC152" s="307" t="n"/>
      <c r="BD152" s="307" t="n"/>
      <c r="BE152" s="307" t="n"/>
      <c r="BF152" s="307" t="n"/>
      <c r="BG152" s="31" t="n"/>
      <c r="BH152" s="31" t="n"/>
      <c r="BI152" s="31" t="n"/>
      <c r="BJ152" s="31" t="n"/>
    </row>
    <row r="153" ht="15.75" customHeight="1" s="349">
      <c r="A153" s="31" t="n"/>
      <c r="B153" s="307" t="n"/>
      <c r="C153" s="307" t="n"/>
      <c r="D153" s="307" t="n"/>
      <c r="E153" s="307" t="n"/>
      <c r="F153" s="307" t="n"/>
      <c r="G153" s="307" t="n"/>
      <c r="H153" s="307" t="n"/>
      <c r="I153" s="307" t="n"/>
      <c r="J153" s="307" t="n"/>
      <c r="K153" s="307" t="n"/>
      <c r="L153" s="307" t="n"/>
      <c r="M153" s="307" t="n"/>
      <c r="N153" s="307" t="n"/>
      <c r="O153" s="307" t="n"/>
      <c r="P153" s="307" t="n"/>
      <c r="Q153" s="307" t="n"/>
      <c r="R153" s="307" t="n"/>
      <c r="S153" s="307" t="n"/>
      <c r="T153" s="307" t="n"/>
      <c r="U153" s="307" t="n"/>
      <c r="V153" s="307" t="n"/>
      <c r="W153" s="307" t="n"/>
      <c r="X153" s="307" t="n"/>
      <c r="Y153" s="307" t="n"/>
      <c r="Z153" s="307" t="n"/>
      <c r="AA153" s="307" t="n"/>
      <c r="AB153" s="307" t="n"/>
      <c r="AC153" s="307" t="n"/>
      <c r="AD153" s="307" t="n"/>
      <c r="AE153" s="307" t="n"/>
      <c r="AF153" s="307" t="n"/>
      <c r="AG153" s="307" t="n"/>
      <c r="AH153" s="307" t="n"/>
      <c r="AI153" s="307" t="n"/>
      <c r="AJ153" s="307" t="n"/>
      <c r="AK153" s="307" t="n"/>
      <c r="AL153" s="307" t="n"/>
      <c r="AM153" s="307" t="n"/>
      <c r="AN153" s="307" t="n"/>
      <c r="AO153" s="307" t="n"/>
      <c r="AP153" s="307" t="n"/>
      <c r="AQ153" s="307" t="n"/>
      <c r="AR153" s="307" t="n"/>
      <c r="AS153" s="307" t="n"/>
      <c r="AT153" s="307" t="n"/>
      <c r="AU153" s="307" t="n"/>
      <c r="AV153" s="307" t="n"/>
      <c r="AW153" s="307" t="n"/>
      <c r="AX153" s="307" t="n"/>
      <c r="AY153" s="307" t="n"/>
      <c r="AZ153" s="307" t="n"/>
      <c r="BA153" s="31" t="n"/>
      <c r="BB153" s="307" t="n"/>
      <c r="BC153" s="307" t="n"/>
      <c r="BD153" s="307" t="n"/>
      <c r="BE153" s="307" t="n"/>
      <c r="BF153" s="307" t="n"/>
      <c r="BG153" s="31" t="n"/>
      <c r="BH153" s="31" t="n"/>
      <c r="BI153" s="31" t="n"/>
      <c r="BJ153" s="31" t="n"/>
    </row>
    <row r="154" ht="15.75" customHeight="1" s="349">
      <c r="A154" s="31" t="n"/>
      <c r="B154" s="307" t="n"/>
      <c r="C154" s="307" t="n"/>
      <c r="D154" s="307" t="n"/>
      <c r="E154" s="307" t="n"/>
      <c r="F154" s="307" t="n"/>
      <c r="G154" s="307" t="n"/>
      <c r="H154" s="307" t="n"/>
      <c r="I154" s="307" t="n"/>
      <c r="J154" s="307" t="n"/>
      <c r="K154" s="307" t="n"/>
      <c r="L154" s="307" t="n"/>
      <c r="M154" s="307" t="n"/>
      <c r="N154" s="307" t="n"/>
      <c r="O154" s="307" t="n"/>
      <c r="P154" s="307" t="n"/>
      <c r="Q154" s="307" t="n"/>
      <c r="R154" s="307" t="n"/>
      <c r="S154" s="307" t="n"/>
      <c r="T154" s="307" t="n"/>
      <c r="U154" s="307" t="n"/>
      <c r="V154" s="307" t="n"/>
      <c r="W154" s="307" t="n"/>
      <c r="X154" s="307" t="n"/>
      <c r="Y154" s="307" t="n"/>
      <c r="Z154" s="307" t="n"/>
      <c r="AA154" s="307" t="n"/>
      <c r="AB154" s="307" t="n"/>
      <c r="AC154" s="307" t="n"/>
      <c r="AD154" s="307" t="n"/>
      <c r="AE154" s="307" t="n"/>
      <c r="AF154" s="307" t="n"/>
      <c r="AG154" s="307" t="n"/>
      <c r="AH154" s="307" t="n"/>
      <c r="AI154" s="307" t="n"/>
      <c r="AJ154" s="307" t="n"/>
      <c r="AK154" s="307" t="n"/>
      <c r="AL154" s="307" t="n"/>
      <c r="AM154" s="307" t="n"/>
      <c r="AN154" s="307" t="n"/>
      <c r="AO154" s="307" t="n"/>
      <c r="AP154" s="307" t="n"/>
      <c r="AQ154" s="307" t="n"/>
      <c r="AR154" s="307" t="n"/>
      <c r="AS154" s="307" t="n"/>
      <c r="AT154" s="307" t="n"/>
      <c r="AU154" s="307" t="n"/>
      <c r="AV154" s="307" t="n"/>
      <c r="AW154" s="307" t="n"/>
      <c r="AX154" s="307" t="n"/>
      <c r="AY154" s="307" t="n"/>
      <c r="AZ154" s="307" t="n"/>
      <c r="BA154" s="31" t="n"/>
      <c r="BB154" s="307" t="n"/>
      <c r="BC154" s="307" t="n"/>
      <c r="BD154" s="307" t="n"/>
      <c r="BE154" s="307" t="n"/>
      <c r="BF154" s="307" t="n"/>
      <c r="BG154" s="31" t="n"/>
      <c r="BH154" s="31" t="n"/>
      <c r="BI154" s="31" t="n"/>
      <c r="BJ154" s="31" t="n"/>
    </row>
    <row r="155" ht="15.75" customHeight="1" s="349">
      <c r="A155" s="31" t="n"/>
      <c r="B155" s="307" t="n"/>
      <c r="C155" s="307" t="n"/>
      <c r="D155" s="307" t="n"/>
      <c r="E155" s="307" t="n"/>
      <c r="F155" s="307" t="n"/>
      <c r="G155" s="307" t="n"/>
      <c r="H155" s="307" t="n"/>
      <c r="I155" s="307" t="n"/>
      <c r="J155" s="307" t="n"/>
      <c r="K155" s="307" t="n"/>
      <c r="L155" s="307" t="n"/>
      <c r="M155" s="307" t="n"/>
      <c r="N155" s="307" t="n"/>
      <c r="O155" s="307" t="n"/>
      <c r="P155" s="307" t="n"/>
      <c r="Q155" s="307" t="n"/>
      <c r="R155" s="307" t="n"/>
      <c r="S155" s="307" t="n"/>
      <c r="T155" s="307" t="n"/>
      <c r="U155" s="307" t="n"/>
      <c r="V155" s="307" t="n"/>
      <c r="W155" s="307" t="n"/>
      <c r="X155" s="307" t="n"/>
      <c r="Y155" s="307" t="n"/>
      <c r="Z155" s="307" t="n"/>
      <c r="AA155" s="307" t="n"/>
      <c r="AB155" s="307" t="n"/>
      <c r="AC155" s="307" t="n"/>
      <c r="AD155" s="307" t="n"/>
      <c r="AE155" s="307" t="n"/>
      <c r="AF155" s="307" t="n"/>
      <c r="AG155" s="307" t="n"/>
      <c r="AH155" s="307" t="n"/>
      <c r="AI155" s="307" t="n"/>
      <c r="AJ155" s="307" t="n"/>
      <c r="AK155" s="307" t="n"/>
      <c r="AL155" s="307" t="n"/>
      <c r="AM155" s="307" t="n"/>
      <c r="AN155" s="307" t="n"/>
      <c r="AO155" s="307" t="n"/>
      <c r="AP155" s="307" t="n"/>
      <c r="AQ155" s="307" t="n"/>
      <c r="AR155" s="307" t="n"/>
      <c r="AS155" s="307" t="n"/>
      <c r="AT155" s="307" t="n"/>
      <c r="AU155" s="307" t="n"/>
      <c r="AV155" s="307" t="n"/>
      <c r="AW155" s="307" t="n"/>
      <c r="AX155" s="307" t="n"/>
      <c r="AY155" s="307" t="n"/>
      <c r="AZ155" s="307" t="n"/>
      <c r="BA155" s="31" t="n"/>
      <c r="BB155" s="307" t="n"/>
      <c r="BC155" s="307" t="n"/>
      <c r="BD155" s="307" t="n"/>
      <c r="BE155" s="307" t="n"/>
      <c r="BF155" s="307" t="n"/>
      <c r="BG155" s="31" t="n"/>
      <c r="BH155" s="31" t="n"/>
      <c r="BI155" s="31" t="n"/>
      <c r="BJ155" s="31" t="n"/>
    </row>
    <row r="156" ht="15.75" customHeight="1" s="349">
      <c r="A156" s="31" t="n"/>
      <c r="B156" s="307" t="n"/>
      <c r="C156" s="307" t="n"/>
      <c r="D156" s="307" t="n"/>
      <c r="E156" s="307" t="n"/>
      <c r="F156" s="307" t="n"/>
      <c r="G156" s="307" t="n"/>
      <c r="H156" s="307" t="n"/>
      <c r="I156" s="307" t="n"/>
      <c r="J156" s="307" t="n"/>
      <c r="K156" s="307" t="n"/>
      <c r="L156" s="307" t="n"/>
      <c r="M156" s="307" t="n"/>
      <c r="N156" s="307" t="n"/>
      <c r="O156" s="307" t="n"/>
      <c r="P156" s="307" t="n"/>
      <c r="Q156" s="307" t="n"/>
      <c r="R156" s="307" t="n"/>
      <c r="S156" s="307" t="n"/>
      <c r="T156" s="307" t="n"/>
      <c r="U156" s="307" t="n"/>
      <c r="V156" s="307" t="n"/>
      <c r="W156" s="307" t="n"/>
      <c r="X156" s="307" t="n"/>
      <c r="Y156" s="307" t="n"/>
      <c r="Z156" s="307" t="n"/>
      <c r="AA156" s="307" t="n"/>
      <c r="AB156" s="307" t="n"/>
      <c r="AC156" s="307" t="n"/>
      <c r="AD156" s="307" t="n"/>
      <c r="AE156" s="307" t="n"/>
      <c r="AF156" s="307" t="n"/>
      <c r="AG156" s="307" t="n"/>
      <c r="AH156" s="307" t="n"/>
      <c r="AI156" s="307" t="n"/>
      <c r="AJ156" s="307" t="n"/>
      <c r="AK156" s="307" t="n"/>
      <c r="AL156" s="307" t="n"/>
      <c r="AM156" s="307" t="n"/>
      <c r="AN156" s="307" t="n"/>
      <c r="AO156" s="307" t="n"/>
      <c r="AP156" s="307" t="n"/>
      <c r="AQ156" s="307" t="n"/>
      <c r="AR156" s="307" t="n"/>
      <c r="AS156" s="307" t="n"/>
      <c r="AT156" s="307" t="n"/>
      <c r="AU156" s="307" t="n"/>
      <c r="AV156" s="307" t="n"/>
      <c r="AW156" s="307" t="n"/>
      <c r="AX156" s="307" t="n"/>
      <c r="AY156" s="307" t="n"/>
      <c r="AZ156" s="307" t="n"/>
      <c r="BA156" s="31" t="n"/>
      <c r="BB156" s="307" t="n"/>
      <c r="BC156" s="307" t="n"/>
      <c r="BD156" s="307" t="n"/>
      <c r="BE156" s="307" t="n"/>
      <c r="BF156" s="307" t="n"/>
      <c r="BG156" s="31" t="n"/>
      <c r="BH156" s="31" t="n"/>
      <c r="BI156" s="31" t="n"/>
      <c r="BJ156" s="31" t="n"/>
    </row>
    <row r="157" ht="15.75" customHeight="1" s="349">
      <c r="A157" s="31" t="n"/>
      <c r="B157" s="307" t="n"/>
      <c r="C157" s="307" t="n"/>
      <c r="D157" s="307" t="n"/>
      <c r="E157" s="307" t="n"/>
      <c r="F157" s="307" t="n"/>
      <c r="G157" s="307" t="n"/>
      <c r="H157" s="307" t="n"/>
      <c r="I157" s="307" t="n"/>
      <c r="J157" s="307" t="n"/>
      <c r="K157" s="307" t="n"/>
      <c r="L157" s="307" t="n"/>
      <c r="M157" s="307" t="n"/>
      <c r="N157" s="307" t="n"/>
      <c r="O157" s="307" t="n"/>
      <c r="P157" s="307" t="n"/>
      <c r="Q157" s="307" t="n"/>
      <c r="R157" s="307" t="n"/>
      <c r="S157" s="307" t="n"/>
      <c r="T157" s="307" t="n"/>
      <c r="U157" s="307" t="n"/>
      <c r="V157" s="307" t="n"/>
      <c r="W157" s="307" t="n"/>
      <c r="X157" s="307" t="n"/>
      <c r="Y157" s="307" t="n"/>
      <c r="Z157" s="307" t="n"/>
      <c r="AA157" s="307" t="n"/>
      <c r="AB157" s="307" t="n"/>
      <c r="AC157" s="307" t="n"/>
      <c r="AD157" s="307" t="n"/>
      <c r="AE157" s="307" t="n"/>
      <c r="AF157" s="307" t="n"/>
      <c r="AG157" s="307" t="n"/>
      <c r="AH157" s="307" t="n"/>
      <c r="AI157" s="307" t="n"/>
      <c r="AJ157" s="307" t="n"/>
      <c r="AK157" s="307" t="n"/>
      <c r="AL157" s="307" t="n"/>
      <c r="AM157" s="307" t="n"/>
      <c r="AN157" s="307" t="n"/>
      <c r="AO157" s="307" t="n"/>
      <c r="AP157" s="307" t="n"/>
      <c r="AQ157" s="307" t="n"/>
      <c r="AR157" s="307" t="n"/>
      <c r="AS157" s="307" t="n"/>
      <c r="AT157" s="307" t="n"/>
      <c r="AU157" s="307" t="n"/>
      <c r="AV157" s="307" t="n"/>
      <c r="AW157" s="307" t="n"/>
      <c r="AX157" s="307" t="n"/>
      <c r="AY157" s="307" t="n"/>
      <c r="AZ157" s="307" t="n"/>
      <c r="BA157" s="31" t="n"/>
      <c r="BB157" s="307" t="n"/>
      <c r="BC157" s="307" t="n"/>
      <c r="BD157" s="307" t="n"/>
      <c r="BE157" s="307" t="n"/>
      <c r="BF157" s="307" t="n"/>
      <c r="BG157" s="31" t="n"/>
      <c r="BH157" s="31" t="n"/>
      <c r="BI157" s="31" t="n"/>
      <c r="BJ157" s="31" t="n"/>
    </row>
    <row r="158" ht="15.75" customHeight="1" s="349">
      <c r="A158" s="31" t="n"/>
      <c r="B158" s="307" t="n"/>
      <c r="C158" s="307" t="n"/>
      <c r="D158" s="307" t="n"/>
      <c r="E158" s="307" t="n"/>
      <c r="F158" s="307" t="n"/>
      <c r="G158" s="307" t="n"/>
      <c r="H158" s="307" t="n"/>
      <c r="I158" s="307" t="n"/>
      <c r="J158" s="307" t="n"/>
      <c r="K158" s="307" t="n"/>
      <c r="L158" s="307" t="n"/>
      <c r="M158" s="307" t="n"/>
      <c r="N158" s="307" t="n"/>
      <c r="O158" s="307" t="n"/>
      <c r="P158" s="307" t="n"/>
      <c r="Q158" s="307" t="n"/>
      <c r="R158" s="307" t="n"/>
      <c r="S158" s="307" t="n"/>
      <c r="T158" s="307" t="n"/>
      <c r="U158" s="307" t="n"/>
      <c r="V158" s="307" t="n"/>
      <c r="W158" s="307" t="n"/>
      <c r="X158" s="307" t="n"/>
      <c r="Y158" s="307" t="n"/>
      <c r="Z158" s="307" t="n"/>
      <c r="AA158" s="307" t="n"/>
      <c r="AB158" s="307" t="n"/>
      <c r="AC158" s="307" t="n"/>
      <c r="AD158" s="307" t="n"/>
      <c r="AE158" s="307" t="n"/>
      <c r="AF158" s="307" t="n"/>
      <c r="AG158" s="307" t="n"/>
      <c r="AH158" s="307" t="n"/>
      <c r="AI158" s="307" t="n"/>
      <c r="AJ158" s="307" t="n"/>
      <c r="AK158" s="307" t="n"/>
      <c r="AL158" s="307" t="n"/>
      <c r="AM158" s="307" t="n"/>
      <c r="AN158" s="307" t="n"/>
      <c r="AO158" s="307" t="n"/>
      <c r="AP158" s="307" t="n"/>
      <c r="AQ158" s="307" t="n"/>
      <c r="AR158" s="307" t="n"/>
      <c r="AS158" s="307" t="n"/>
      <c r="AT158" s="307" t="n"/>
      <c r="AU158" s="307" t="n"/>
      <c r="AV158" s="307" t="n"/>
      <c r="AW158" s="307" t="n"/>
      <c r="AX158" s="307" t="n"/>
      <c r="AY158" s="307" t="n"/>
      <c r="AZ158" s="307" t="n"/>
      <c r="BA158" s="31" t="n"/>
      <c r="BB158" s="307" t="n"/>
      <c r="BC158" s="307" t="n"/>
      <c r="BD158" s="307" t="n"/>
      <c r="BE158" s="307" t="n"/>
      <c r="BF158" s="307" t="n"/>
      <c r="BG158" s="31" t="n"/>
      <c r="BH158" s="31" t="n"/>
      <c r="BI158" s="31" t="n"/>
      <c r="BJ158" s="31" t="n"/>
    </row>
    <row r="159" ht="15.75" customHeight="1" s="349">
      <c r="A159" s="31" t="n"/>
      <c r="B159" s="307" t="n"/>
      <c r="C159" s="307" t="n"/>
      <c r="D159" s="307" t="n"/>
      <c r="E159" s="307" t="n"/>
      <c r="F159" s="307" t="n"/>
      <c r="G159" s="307" t="n"/>
      <c r="H159" s="307" t="n"/>
      <c r="I159" s="307" t="n"/>
      <c r="J159" s="307" t="n"/>
      <c r="K159" s="307" t="n"/>
      <c r="L159" s="307" t="n"/>
      <c r="M159" s="307" t="n"/>
      <c r="N159" s="307" t="n"/>
      <c r="O159" s="307" t="n"/>
      <c r="P159" s="307" t="n"/>
      <c r="Q159" s="307" t="n"/>
      <c r="R159" s="307" t="n"/>
      <c r="S159" s="307" t="n"/>
      <c r="T159" s="307" t="n"/>
      <c r="U159" s="307" t="n"/>
      <c r="V159" s="307" t="n"/>
      <c r="W159" s="307" t="n"/>
      <c r="X159" s="307" t="n"/>
      <c r="Y159" s="307" t="n"/>
      <c r="Z159" s="307" t="n"/>
      <c r="AA159" s="307" t="n"/>
      <c r="AB159" s="307" t="n"/>
      <c r="AC159" s="307" t="n"/>
      <c r="AD159" s="307" t="n"/>
      <c r="AE159" s="307" t="n"/>
      <c r="AF159" s="307" t="n"/>
      <c r="AG159" s="307" t="n"/>
      <c r="AH159" s="307" t="n"/>
      <c r="AI159" s="307" t="n"/>
      <c r="AJ159" s="307" t="n"/>
      <c r="AK159" s="307" t="n"/>
      <c r="AL159" s="307" t="n"/>
      <c r="AM159" s="307" t="n"/>
      <c r="AN159" s="307" t="n"/>
      <c r="AO159" s="307" t="n"/>
      <c r="AP159" s="307" t="n"/>
      <c r="AQ159" s="307" t="n"/>
      <c r="AR159" s="307" t="n"/>
      <c r="AS159" s="307" t="n"/>
      <c r="AT159" s="307" t="n"/>
      <c r="AU159" s="307" t="n"/>
      <c r="AV159" s="307" t="n"/>
      <c r="AW159" s="307" t="n"/>
      <c r="AX159" s="307" t="n"/>
      <c r="AY159" s="307" t="n"/>
      <c r="AZ159" s="307" t="n"/>
      <c r="BA159" s="31" t="n"/>
      <c r="BB159" s="307" t="n"/>
      <c r="BC159" s="307" t="n"/>
      <c r="BD159" s="307" t="n"/>
      <c r="BE159" s="307" t="n"/>
      <c r="BF159" s="307" t="n"/>
      <c r="BG159" s="31" t="n"/>
      <c r="BH159" s="31" t="n"/>
      <c r="BI159" s="31" t="n"/>
      <c r="BJ159" s="31" t="n"/>
    </row>
    <row r="160" ht="15.75" customHeight="1" s="349">
      <c r="A160" s="31" t="n"/>
      <c r="B160" s="307" t="n"/>
      <c r="C160" s="307" t="n"/>
      <c r="D160" s="307" t="n"/>
      <c r="E160" s="307" t="n"/>
      <c r="F160" s="307" t="n"/>
      <c r="G160" s="307" t="n"/>
      <c r="H160" s="307" t="n"/>
      <c r="I160" s="307" t="n"/>
      <c r="J160" s="307" t="n"/>
      <c r="K160" s="307" t="n"/>
      <c r="L160" s="307" t="n"/>
      <c r="M160" s="307" t="n"/>
      <c r="N160" s="307" t="n"/>
      <c r="O160" s="307" t="n"/>
      <c r="P160" s="307" t="n"/>
      <c r="Q160" s="307" t="n"/>
      <c r="R160" s="307" t="n"/>
      <c r="S160" s="307" t="n"/>
      <c r="T160" s="307" t="n"/>
      <c r="U160" s="307" t="n"/>
      <c r="V160" s="307" t="n"/>
      <c r="W160" s="307" t="n"/>
      <c r="X160" s="307" t="n"/>
      <c r="Y160" s="307" t="n"/>
      <c r="Z160" s="307" t="n"/>
      <c r="AA160" s="307" t="n"/>
      <c r="AB160" s="307" t="n"/>
      <c r="AC160" s="307" t="n"/>
      <c r="AD160" s="307" t="n"/>
      <c r="AE160" s="307" t="n"/>
      <c r="AF160" s="307" t="n"/>
      <c r="AG160" s="307" t="n"/>
      <c r="AH160" s="307" t="n"/>
      <c r="AI160" s="307" t="n"/>
      <c r="AJ160" s="307" t="n"/>
      <c r="AK160" s="307" t="n"/>
      <c r="AL160" s="307" t="n"/>
      <c r="AM160" s="307" t="n"/>
      <c r="AN160" s="307" t="n"/>
      <c r="AO160" s="307" t="n"/>
      <c r="AP160" s="307" t="n"/>
      <c r="AQ160" s="307" t="n"/>
      <c r="AR160" s="307" t="n"/>
      <c r="AS160" s="307" t="n"/>
      <c r="AT160" s="307" t="n"/>
      <c r="AU160" s="307" t="n"/>
      <c r="AV160" s="307" t="n"/>
      <c r="AW160" s="307" t="n"/>
      <c r="AX160" s="307" t="n"/>
      <c r="AY160" s="307" t="n"/>
      <c r="AZ160" s="307" t="n"/>
      <c r="BA160" s="31" t="n"/>
      <c r="BB160" s="307" t="n"/>
      <c r="BC160" s="307" t="n"/>
      <c r="BD160" s="307" t="n"/>
      <c r="BE160" s="307" t="n"/>
      <c r="BF160" s="307" t="n"/>
      <c r="BG160" s="31" t="n"/>
      <c r="BH160" s="31" t="n"/>
      <c r="BI160" s="31" t="n"/>
      <c r="BJ160" s="31" t="n"/>
    </row>
    <row r="161" ht="15.75" customHeight="1" s="349">
      <c r="A161" s="31" t="n"/>
      <c r="B161" s="307" t="n"/>
      <c r="C161" s="307" t="n"/>
      <c r="D161" s="307" t="n"/>
      <c r="E161" s="307" t="n"/>
      <c r="F161" s="307" t="n"/>
      <c r="G161" s="307" t="n"/>
      <c r="H161" s="307" t="n"/>
      <c r="I161" s="307" t="n"/>
      <c r="J161" s="307" t="n"/>
      <c r="K161" s="307" t="n"/>
      <c r="L161" s="307" t="n"/>
      <c r="M161" s="307" t="n"/>
      <c r="N161" s="307" t="n"/>
      <c r="O161" s="307" t="n"/>
      <c r="P161" s="307" t="n"/>
      <c r="Q161" s="307" t="n"/>
      <c r="R161" s="307" t="n"/>
      <c r="S161" s="307" t="n"/>
      <c r="T161" s="307" t="n"/>
      <c r="U161" s="307" t="n"/>
      <c r="V161" s="307" t="n"/>
      <c r="W161" s="307" t="n"/>
      <c r="X161" s="307" t="n"/>
      <c r="Y161" s="307" t="n"/>
      <c r="Z161" s="307" t="n"/>
      <c r="AA161" s="307" t="n"/>
      <c r="AB161" s="307" t="n"/>
      <c r="AC161" s="307" t="n"/>
      <c r="AD161" s="307" t="n"/>
      <c r="AE161" s="307" t="n"/>
      <c r="AF161" s="307" t="n"/>
      <c r="AG161" s="307" t="n"/>
      <c r="AH161" s="307" t="n"/>
      <c r="AI161" s="307" t="n"/>
      <c r="AJ161" s="307" t="n"/>
      <c r="AK161" s="307" t="n"/>
      <c r="AL161" s="307" t="n"/>
      <c r="AM161" s="307" t="n"/>
      <c r="AN161" s="307" t="n"/>
      <c r="AO161" s="307" t="n"/>
      <c r="AP161" s="307" t="n"/>
      <c r="AQ161" s="307" t="n"/>
      <c r="AR161" s="307" t="n"/>
      <c r="AS161" s="307" t="n"/>
      <c r="AT161" s="307" t="n"/>
      <c r="AU161" s="307" t="n"/>
      <c r="AV161" s="307" t="n"/>
      <c r="AW161" s="307" t="n"/>
      <c r="AX161" s="307" t="n"/>
      <c r="AY161" s="307" t="n"/>
      <c r="AZ161" s="307" t="n"/>
      <c r="BA161" s="31" t="n"/>
      <c r="BB161" s="307" t="n"/>
      <c r="BC161" s="307" t="n"/>
      <c r="BD161" s="307" t="n"/>
      <c r="BE161" s="307" t="n"/>
      <c r="BF161" s="307" t="n"/>
      <c r="BG161" s="31" t="n"/>
      <c r="BH161" s="31" t="n"/>
      <c r="BI161" s="31" t="n"/>
      <c r="BJ161" s="31" t="n"/>
    </row>
    <row r="162" ht="15.75" customHeight="1" s="349">
      <c r="A162" s="31" t="n"/>
      <c r="B162" s="307" t="n"/>
      <c r="C162" s="307" t="n"/>
      <c r="D162" s="307" t="n"/>
      <c r="E162" s="307" t="n"/>
      <c r="F162" s="307" t="n"/>
      <c r="G162" s="307" t="n"/>
      <c r="H162" s="307" t="n"/>
      <c r="I162" s="307" t="n"/>
      <c r="J162" s="307" t="n"/>
      <c r="K162" s="307" t="n"/>
      <c r="L162" s="307" t="n"/>
      <c r="M162" s="307" t="n"/>
      <c r="N162" s="307" t="n"/>
      <c r="O162" s="307" t="n"/>
      <c r="P162" s="307" t="n"/>
      <c r="Q162" s="307" t="n"/>
      <c r="R162" s="307" t="n"/>
      <c r="S162" s="307" t="n"/>
      <c r="T162" s="307" t="n"/>
      <c r="U162" s="307" t="n"/>
      <c r="V162" s="307" t="n"/>
      <c r="W162" s="307" t="n"/>
      <c r="X162" s="307" t="n"/>
      <c r="Y162" s="307" t="n"/>
      <c r="Z162" s="307" t="n"/>
      <c r="AA162" s="307" t="n"/>
      <c r="AB162" s="307" t="n"/>
      <c r="AC162" s="307" t="n"/>
      <c r="AD162" s="307" t="n"/>
      <c r="AE162" s="307" t="n"/>
      <c r="AF162" s="307" t="n"/>
      <c r="AG162" s="307" t="n"/>
      <c r="AH162" s="307" t="n"/>
      <c r="AI162" s="307" t="n"/>
      <c r="AJ162" s="307" t="n"/>
      <c r="AK162" s="307" t="n"/>
      <c r="AL162" s="307" t="n"/>
      <c r="AM162" s="307" t="n"/>
      <c r="AN162" s="307" t="n"/>
      <c r="AO162" s="307" t="n"/>
      <c r="AP162" s="307" t="n"/>
      <c r="AQ162" s="307" t="n"/>
      <c r="AR162" s="307" t="n"/>
      <c r="AS162" s="307" t="n"/>
      <c r="AT162" s="307" t="n"/>
      <c r="AU162" s="307" t="n"/>
      <c r="AV162" s="307" t="n"/>
      <c r="AW162" s="307" t="n"/>
      <c r="AX162" s="307" t="n"/>
      <c r="AY162" s="307" t="n"/>
      <c r="AZ162" s="307" t="n"/>
      <c r="BA162" s="31" t="n"/>
      <c r="BB162" s="307" t="n"/>
      <c r="BC162" s="307" t="n"/>
      <c r="BD162" s="307" t="n"/>
      <c r="BE162" s="307" t="n"/>
      <c r="BF162" s="307" t="n"/>
      <c r="BG162" s="31" t="n"/>
      <c r="BH162" s="31" t="n"/>
      <c r="BI162" s="31" t="n"/>
      <c r="BJ162" s="31" t="n"/>
    </row>
    <row r="163" ht="15.75" customHeight="1" s="349">
      <c r="A163" s="31" t="n"/>
      <c r="B163" s="307" t="n"/>
      <c r="C163" s="307" t="n"/>
      <c r="D163" s="307" t="n"/>
      <c r="E163" s="307" t="n"/>
      <c r="F163" s="307" t="n"/>
      <c r="G163" s="307" t="n"/>
      <c r="H163" s="307" t="n"/>
      <c r="I163" s="307" t="n"/>
      <c r="J163" s="307" t="n"/>
      <c r="K163" s="307" t="n"/>
      <c r="L163" s="307" t="n"/>
      <c r="M163" s="307" t="n"/>
      <c r="N163" s="307" t="n"/>
      <c r="O163" s="307" t="n"/>
      <c r="P163" s="307" t="n"/>
      <c r="Q163" s="307" t="n"/>
      <c r="R163" s="307" t="n"/>
      <c r="S163" s="307" t="n"/>
      <c r="T163" s="307" t="n"/>
      <c r="U163" s="307" t="n"/>
      <c r="V163" s="307" t="n"/>
      <c r="W163" s="307" t="n"/>
      <c r="X163" s="307" t="n"/>
      <c r="Y163" s="307" t="n"/>
      <c r="Z163" s="307" t="n"/>
      <c r="AA163" s="307" t="n"/>
      <c r="AB163" s="307" t="n"/>
      <c r="AC163" s="307" t="n"/>
      <c r="AD163" s="307" t="n"/>
      <c r="AE163" s="307" t="n"/>
      <c r="AF163" s="307" t="n"/>
      <c r="AG163" s="307" t="n"/>
      <c r="AH163" s="307" t="n"/>
      <c r="AI163" s="307" t="n"/>
      <c r="AJ163" s="307" t="n"/>
      <c r="AK163" s="307" t="n"/>
      <c r="AL163" s="307" t="n"/>
      <c r="AM163" s="307" t="n"/>
      <c r="AN163" s="307" t="n"/>
      <c r="AO163" s="307" t="n"/>
      <c r="AP163" s="307" t="n"/>
      <c r="AQ163" s="307" t="n"/>
      <c r="AR163" s="307" t="n"/>
      <c r="AS163" s="307" t="n"/>
      <c r="AT163" s="307" t="n"/>
      <c r="AU163" s="307" t="n"/>
      <c r="AV163" s="307" t="n"/>
      <c r="AW163" s="307" t="n"/>
      <c r="AX163" s="307" t="n"/>
      <c r="AY163" s="307" t="n"/>
      <c r="AZ163" s="307" t="n"/>
      <c r="BA163" s="31" t="n"/>
      <c r="BB163" s="307" t="n"/>
      <c r="BC163" s="307" t="n"/>
      <c r="BD163" s="307" t="n"/>
      <c r="BE163" s="307" t="n"/>
      <c r="BF163" s="307" t="n"/>
      <c r="BG163" s="31" t="n"/>
      <c r="BH163" s="31" t="n"/>
      <c r="BI163" s="31" t="n"/>
      <c r="BJ163" s="31" t="n"/>
    </row>
    <row r="164" ht="15.75" customHeight="1" s="349">
      <c r="A164" s="31" t="n"/>
      <c r="B164" s="307" t="n"/>
      <c r="C164" s="307" t="n"/>
      <c r="D164" s="307" t="n"/>
      <c r="E164" s="307" t="n"/>
      <c r="F164" s="307" t="n"/>
      <c r="G164" s="307" t="n"/>
      <c r="H164" s="307" t="n"/>
      <c r="I164" s="307" t="n"/>
      <c r="J164" s="307" t="n"/>
      <c r="K164" s="307" t="n"/>
      <c r="L164" s="307" t="n"/>
      <c r="M164" s="307" t="n"/>
      <c r="N164" s="307" t="n"/>
      <c r="O164" s="307" t="n"/>
      <c r="P164" s="307" t="n"/>
      <c r="Q164" s="307" t="n"/>
      <c r="R164" s="307" t="n"/>
      <c r="S164" s="307" t="n"/>
      <c r="T164" s="307" t="n"/>
      <c r="U164" s="307" t="n"/>
      <c r="V164" s="307" t="n"/>
      <c r="W164" s="307" t="n"/>
      <c r="X164" s="307" t="n"/>
      <c r="Y164" s="307" t="n"/>
      <c r="Z164" s="307" t="n"/>
      <c r="AA164" s="307" t="n"/>
      <c r="AB164" s="307" t="n"/>
      <c r="AC164" s="307" t="n"/>
      <c r="AD164" s="307" t="n"/>
      <c r="AE164" s="307" t="n"/>
      <c r="AF164" s="307" t="n"/>
      <c r="AG164" s="307" t="n"/>
      <c r="AH164" s="307" t="n"/>
      <c r="AI164" s="307" t="n"/>
      <c r="AJ164" s="307" t="n"/>
      <c r="AK164" s="307" t="n"/>
      <c r="AL164" s="307" t="n"/>
      <c r="AM164" s="307" t="n"/>
      <c r="AN164" s="307" t="n"/>
      <c r="AO164" s="307" t="n"/>
      <c r="AP164" s="307" t="n"/>
      <c r="AQ164" s="307" t="n"/>
      <c r="AR164" s="307" t="n"/>
      <c r="AS164" s="307" t="n"/>
      <c r="AT164" s="307" t="n"/>
      <c r="AU164" s="307" t="n"/>
      <c r="AV164" s="307" t="n"/>
      <c r="AW164" s="307" t="n"/>
      <c r="AX164" s="307" t="n"/>
      <c r="AY164" s="307" t="n"/>
      <c r="AZ164" s="307" t="n"/>
      <c r="BA164" s="31" t="n"/>
      <c r="BB164" s="307" t="n"/>
      <c r="BC164" s="307" t="n"/>
      <c r="BD164" s="307" t="n"/>
      <c r="BE164" s="307" t="n"/>
      <c r="BF164" s="307" t="n"/>
      <c r="BG164" s="31" t="n"/>
      <c r="BH164" s="31" t="n"/>
      <c r="BI164" s="31" t="n"/>
      <c r="BJ164" s="31" t="n"/>
    </row>
    <row r="165" ht="15.75" customHeight="1" s="349">
      <c r="A165" s="31" t="n"/>
      <c r="B165" s="307" t="n"/>
      <c r="C165" s="307" t="n"/>
      <c r="D165" s="307" t="n"/>
      <c r="E165" s="307" t="n"/>
      <c r="F165" s="307" t="n"/>
      <c r="G165" s="307" t="n"/>
      <c r="H165" s="307" t="n"/>
      <c r="I165" s="307" t="n"/>
      <c r="J165" s="307" t="n"/>
      <c r="K165" s="307" t="n"/>
      <c r="L165" s="307" t="n"/>
      <c r="M165" s="307" t="n"/>
      <c r="N165" s="307" t="n"/>
      <c r="O165" s="307" t="n"/>
      <c r="P165" s="307" t="n"/>
      <c r="Q165" s="307" t="n"/>
      <c r="R165" s="307" t="n"/>
      <c r="S165" s="307" t="n"/>
      <c r="T165" s="307" t="n"/>
      <c r="U165" s="307" t="n"/>
      <c r="V165" s="307" t="n"/>
      <c r="W165" s="307" t="n"/>
      <c r="X165" s="307" t="n"/>
      <c r="Y165" s="307" t="n"/>
      <c r="Z165" s="307" t="n"/>
      <c r="AA165" s="307" t="n"/>
      <c r="AB165" s="307" t="n"/>
      <c r="AC165" s="307" t="n"/>
      <c r="AD165" s="307" t="n"/>
      <c r="AE165" s="307" t="n"/>
      <c r="AF165" s="307" t="n"/>
      <c r="AG165" s="307" t="n"/>
      <c r="AH165" s="307" t="n"/>
      <c r="AI165" s="307" t="n"/>
      <c r="AJ165" s="307" t="n"/>
      <c r="AK165" s="307" t="n"/>
      <c r="AL165" s="307" t="n"/>
      <c r="AM165" s="307" t="n"/>
      <c r="AN165" s="307" t="n"/>
      <c r="AO165" s="307" t="n"/>
      <c r="AP165" s="307" t="n"/>
      <c r="AQ165" s="307" t="n"/>
      <c r="AR165" s="307" t="n"/>
      <c r="AS165" s="307" t="n"/>
      <c r="AT165" s="307" t="n"/>
      <c r="AU165" s="307" t="n"/>
      <c r="AV165" s="307" t="n"/>
      <c r="AW165" s="307" t="n"/>
      <c r="AX165" s="307" t="n"/>
      <c r="AY165" s="307" t="n"/>
      <c r="AZ165" s="307" t="n"/>
      <c r="BA165" s="31" t="n"/>
      <c r="BB165" s="307" t="n"/>
      <c r="BC165" s="307" t="n"/>
      <c r="BD165" s="307" t="n"/>
      <c r="BE165" s="307" t="n"/>
      <c r="BF165" s="307" t="n"/>
      <c r="BG165" s="31" t="n"/>
      <c r="BH165" s="31" t="n"/>
      <c r="BI165" s="31" t="n"/>
      <c r="BJ165" s="31" t="n"/>
    </row>
    <row r="166" ht="15.75" customHeight="1" s="349">
      <c r="A166" s="31" t="n"/>
      <c r="B166" s="307" t="n"/>
      <c r="C166" s="307" t="n"/>
      <c r="D166" s="307" t="n"/>
      <c r="E166" s="307" t="n"/>
      <c r="F166" s="307" t="n"/>
      <c r="G166" s="307" t="n"/>
      <c r="H166" s="307" t="n"/>
      <c r="I166" s="307" t="n"/>
      <c r="J166" s="307" t="n"/>
      <c r="K166" s="307" t="n"/>
      <c r="L166" s="307" t="n"/>
      <c r="M166" s="307" t="n"/>
      <c r="N166" s="307" t="n"/>
      <c r="O166" s="307" t="n"/>
      <c r="P166" s="307" t="n"/>
      <c r="Q166" s="307" t="n"/>
      <c r="R166" s="307" t="n"/>
      <c r="S166" s="307" t="n"/>
      <c r="T166" s="307" t="n"/>
      <c r="U166" s="307" t="n"/>
      <c r="V166" s="307" t="n"/>
      <c r="W166" s="307" t="n"/>
      <c r="X166" s="307" t="n"/>
      <c r="Y166" s="307" t="n"/>
      <c r="Z166" s="307" t="n"/>
      <c r="AA166" s="307" t="n"/>
      <c r="AB166" s="307" t="n"/>
      <c r="AC166" s="307" t="n"/>
      <c r="AD166" s="307" t="n"/>
      <c r="AE166" s="307" t="n"/>
      <c r="AF166" s="307" t="n"/>
      <c r="AG166" s="307" t="n"/>
      <c r="AH166" s="307" t="n"/>
      <c r="AI166" s="307" t="n"/>
      <c r="AJ166" s="307" t="n"/>
      <c r="AK166" s="307" t="n"/>
      <c r="AL166" s="307" t="n"/>
      <c r="AM166" s="307" t="n"/>
      <c r="AN166" s="307" t="n"/>
      <c r="AO166" s="307" t="n"/>
      <c r="AP166" s="307" t="n"/>
      <c r="AQ166" s="307" t="n"/>
      <c r="AR166" s="307" t="n"/>
      <c r="AS166" s="307" t="n"/>
      <c r="AT166" s="307" t="n"/>
      <c r="AU166" s="307" t="n"/>
      <c r="AV166" s="307" t="n"/>
      <c r="AW166" s="307" t="n"/>
      <c r="AX166" s="307" t="n"/>
      <c r="AY166" s="307" t="n"/>
      <c r="AZ166" s="307" t="n"/>
      <c r="BA166" s="31" t="n"/>
      <c r="BB166" s="307" t="n"/>
      <c r="BC166" s="307" t="n"/>
      <c r="BD166" s="307" t="n"/>
      <c r="BE166" s="307" t="n"/>
      <c r="BF166" s="307" t="n"/>
      <c r="BG166" s="31" t="n"/>
      <c r="BH166" s="31" t="n"/>
      <c r="BI166" s="31" t="n"/>
      <c r="BJ166" s="31" t="n"/>
    </row>
    <row r="167" ht="15.75" customHeight="1" s="349">
      <c r="A167" s="31" t="n"/>
      <c r="B167" s="307" t="n"/>
      <c r="C167" s="307" t="n"/>
      <c r="D167" s="307" t="n"/>
      <c r="E167" s="307" t="n"/>
      <c r="F167" s="307" t="n"/>
      <c r="G167" s="307" t="n"/>
      <c r="H167" s="307" t="n"/>
      <c r="I167" s="307" t="n"/>
      <c r="J167" s="307" t="n"/>
      <c r="K167" s="307" t="n"/>
      <c r="L167" s="307" t="n"/>
      <c r="M167" s="307" t="n"/>
      <c r="N167" s="307" t="n"/>
      <c r="O167" s="307" t="n"/>
      <c r="P167" s="307" t="n"/>
      <c r="Q167" s="307" t="n"/>
      <c r="R167" s="307" t="n"/>
      <c r="S167" s="307" t="n"/>
      <c r="T167" s="307" t="n"/>
      <c r="U167" s="307" t="n"/>
      <c r="V167" s="307" t="n"/>
      <c r="W167" s="307" t="n"/>
      <c r="X167" s="307" t="n"/>
      <c r="Y167" s="307" t="n"/>
      <c r="Z167" s="307" t="n"/>
      <c r="AA167" s="307" t="n"/>
      <c r="AB167" s="307" t="n"/>
      <c r="AC167" s="307" t="n"/>
      <c r="AD167" s="307" t="n"/>
      <c r="AE167" s="307" t="n"/>
      <c r="AF167" s="307" t="n"/>
      <c r="AG167" s="307" t="n"/>
      <c r="AH167" s="307" t="n"/>
      <c r="AI167" s="307" t="n"/>
      <c r="AJ167" s="307" t="n"/>
      <c r="AK167" s="307" t="n"/>
      <c r="AL167" s="307" t="n"/>
      <c r="AM167" s="307" t="n"/>
      <c r="AN167" s="307" t="n"/>
      <c r="AO167" s="307" t="n"/>
      <c r="AP167" s="307" t="n"/>
      <c r="AQ167" s="307" t="n"/>
      <c r="AR167" s="307" t="n"/>
      <c r="AS167" s="307" t="n"/>
      <c r="AT167" s="307" t="n"/>
      <c r="AU167" s="307" t="n"/>
      <c r="AV167" s="307" t="n"/>
      <c r="AW167" s="307" t="n"/>
      <c r="AX167" s="307" t="n"/>
      <c r="AY167" s="307" t="n"/>
      <c r="AZ167" s="307" t="n"/>
      <c r="BA167" s="31" t="n"/>
      <c r="BB167" s="307" t="n"/>
      <c r="BC167" s="307" t="n"/>
      <c r="BD167" s="307" t="n"/>
      <c r="BE167" s="307" t="n"/>
      <c r="BF167" s="307" t="n"/>
      <c r="BG167" s="31" t="n"/>
      <c r="BH167" s="31" t="n"/>
      <c r="BI167" s="31" t="n"/>
      <c r="BJ167" s="31" t="n"/>
    </row>
    <row r="168" ht="15.75" customHeight="1" s="349">
      <c r="A168" s="31" t="n"/>
      <c r="B168" s="307" t="n"/>
      <c r="C168" s="307" t="n"/>
      <c r="D168" s="307" t="n"/>
      <c r="E168" s="307" t="n"/>
      <c r="F168" s="307" t="n"/>
      <c r="G168" s="307" t="n"/>
      <c r="H168" s="307" t="n"/>
      <c r="I168" s="307" t="n"/>
      <c r="J168" s="307" t="n"/>
      <c r="K168" s="307" t="n"/>
      <c r="L168" s="307" t="n"/>
      <c r="M168" s="307" t="n"/>
      <c r="N168" s="307" t="n"/>
      <c r="O168" s="307" t="n"/>
      <c r="P168" s="307" t="n"/>
      <c r="Q168" s="307" t="n"/>
      <c r="R168" s="307" t="n"/>
      <c r="S168" s="307" t="n"/>
      <c r="T168" s="307" t="n"/>
      <c r="U168" s="307" t="n"/>
      <c r="V168" s="307" t="n"/>
      <c r="W168" s="307" t="n"/>
      <c r="X168" s="307" t="n"/>
      <c r="Y168" s="307" t="n"/>
      <c r="Z168" s="307" t="n"/>
      <c r="AA168" s="307" t="n"/>
      <c r="AB168" s="307" t="n"/>
      <c r="AC168" s="307" t="n"/>
      <c r="AD168" s="307" t="n"/>
      <c r="AE168" s="307" t="n"/>
      <c r="AF168" s="307" t="n"/>
      <c r="AG168" s="307" t="n"/>
      <c r="AH168" s="307" t="n"/>
      <c r="AI168" s="307" t="n"/>
      <c r="AJ168" s="307" t="n"/>
      <c r="AK168" s="307" t="n"/>
      <c r="AL168" s="307" t="n"/>
      <c r="AM168" s="307" t="n"/>
      <c r="AN168" s="307" t="n"/>
      <c r="AO168" s="307" t="n"/>
      <c r="AP168" s="307" t="n"/>
      <c r="AQ168" s="307" t="n"/>
      <c r="AR168" s="307" t="n"/>
      <c r="AS168" s="307" t="n"/>
      <c r="AT168" s="307" t="n"/>
      <c r="AU168" s="307" t="n"/>
      <c r="AV168" s="307" t="n"/>
      <c r="AW168" s="307" t="n"/>
      <c r="AX168" s="307" t="n"/>
      <c r="AY168" s="307" t="n"/>
      <c r="AZ168" s="307" t="n"/>
      <c r="BA168" s="31" t="n"/>
      <c r="BB168" s="307" t="n"/>
      <c r="BC168" s="307" t="n"/>
      <c r="BD168" s="307" t="n"/>
      <c r="BE168" s="307" t="n"/>
      <c r="BF168" s="307" t="n"/>
      <c r="BG168" s="31" t="n"/>
      <c r="BH168" s="31" t="n"/>
      <c r="BI168" s="31" t="n"/>
      <c r="BJ168" s="31" t="n"/>
    </row>
    <row r="169" ht="15.75" customHeight="1" s="349">
      <c r="A169" s="31" t="n"/>
      <c r="B169" s="307" t="n"/>
      <c r="C169" s="307" t="n"/>
      <c r="D169" s="307" t="n"/>
      <c r="E169" s="307" t="n"/>
      <c r="F169" s="307" t="n"/>
      <c r="G169" s="307" t="n"/>
      <c r="H169" s="307" t="n"/>
      <c r="I169" s="307" t="n"/>
      <c r="J169" s="307" t="n"/>
      <c r="K169" s="307" t="n"/>
      <c r="L169" s="307" t="n"/>
      <c r="M169" s="307" t="n"/>
      <c r="N169" s="307" t="n"/>
      <c r="O169" s="307" t="n"/>
      <c r="P169" s="307" t="n"/>
      <c r="Q169" s="307" t="n"/>
      <c r="R169" s="307" t="n"/>
      <c r="S169" s="307" t="n"/>
      <c r="T169" s="307" t="n"/>
      <c r="U169" s="307" t="n"/>
      <c r="V169" s="307" t="n"/>
      <c r="W169" s="307" t="n"/>
      <c r="X169" s="307" t="n"/>
      <c r="Y169" s="307" t="n"/>
      <c r="Z169" s="307" t="n"/>
      <c r="AA169" s="307" t="n"/>
      <c r="AB169" s="307" t="n"/>
      <c r="AC169" s="307" t="n"/>
      <c r="AD169" s="307" t="n"/>
      <c r="AE169" s="307" t="n"/>
      <c r="AF169" s="307" t="n"/>
      <c r="AG169" s="307" t="n"/>
      <c r="AH169" s="307" t="n"/>
      <c r="AI169" s="307" t="n"/>
      <c r="AJ169" s="307" t="n"/>
      <c r="AK169" s="307" t="n"/>
      <c r="AL169" s="307" t="n"/>
      <c r="AM169" s="307" t="n"/>
      <c r="AN169" s="307" t="n"/>
      <c r="AO169" s="307" t="n"/>
      <c r="AP169" s="307" t="n"/>
      <c r="AQ169" s="307" t="n"/>
      <c r="AR169" s="307" t="n"/>
      <c r="AS169" s="307" t="n"/>
      <c r="AT169" s="307" t="n"/>
      <c r="AU169" s="307" t="n"/>
      <c r="AV169" s="307" t="n"/>
      <c r="AW169" s="307" t="n"/>
      <c r="AX169" s="307" t="n"/>
      <c r="AY169" s="307" t="n"/>
      <c r="AZ169" s="307" t="n"/>
      <c r="BA169" s="31" t="n"/>
      <c r="BB169" s="307" t="n"/>
      <c r="BC169" s="307" t="n"/>
      <c r="BD169" s="307" t="n"/>
      <c r="BE169" s="307" t="n"/>
      <c r="BF169" s="307" t="n"/>
      <c r="BG169" s="31" t="n"/>
      <c r="BH169" s="31" t="n"/>
      <c r="BI169" s="31" t="n"/>
      <c r="BJ169" s="31" t="n"/>
    </row>
    <row r="170" ht="15.75" customHeight="1" s="349">
      <c r="A170" s="31" t="n"/>
      <c r="B170" s="307" t="n"/>
      <c r="C170" s="307" t="n"/>
      <c r="D170" s="307" t="n"/>
      <c r="E170" s="307" t="n"/>
      <c r="F170" s="307" t="n"/>
      <c r="G170" s="307" t="n"/>
      <c r="H170" s="307" t="n"/>
      <c r="I170" s="307" t="n"/>
      <c r="J170" s="307" t="n"/>
      <c r="K170" s="307" t="n"/>
      <c r="L170" s="307" t="n"/>
      <c r="M170" s="307" t="n"/>
      <c r="N170" s="307" t="n"/>
      <c r="O170" s="307" t="n"/>
      <c r="P170" s="307" t="n"/>
      <c r="Q170" s="307" t="n"/>
      <c r="R170" s="307" t="n"/>
      <c r="S170" s="307" t="n"/>
      <c r="T170" s="307" t="n"/>
      <c r="U170" s="307" t="n"/>
      <c r="V170" s="307" t="n"/>
      <c r="W170" s="307" t="n"/>
      <c r="X170" s="307" t="n"/>
      <c r="Y170" s="307" t="n"/>
      <c r="Z170" s="307" t="n"/>
      <c r="AA170" s="307" t="n"/>
      <c r="AB170" s="307" t="n"/>
      <c r="AC170" s="307" t="n"/>
      <c r="AD170" s="307" t="n"/>
      <c r="AE170" s="307" t="n"/>
      <c r="AF170" s="307" t="n"/>
      <c r="AG170" s="307" t="n"/>
      <c r="AH170" s="307" t="n"/>
      <c r="AI170" s="307" t="n"/>
      <c r="AJ170" s="307" t="n"/>
      <c r="AK170" s="307" t="n"/>
      <c r="AL170" s="307" t="n"/>
      <c r="AM170" s="307" t="n"/>
      <c r="AN170" s="307" t="n"/>
      <c r="AO170" s="307" t="n"/>
      <c r="AP170" s="307" t="n"/>
      <c r="AQ170" s="307" t="n"/>
      <c r="AR170" s="307" t="n"/>
      <c r="AS170" s="307" t="n"/>
      <c r="AT170" s="307" t="n"/>
      <c r="AU170" s="307" t="n"/>
      <c r="AV170" s="307" t="n"/>
      <c r="AW170" s="307" t="n"/>
      <c r="AX170" s="307" t="n"/>
      <c r="AY170" s="307" t="n"/>
      <c r="AZ170" s="307" t="n"/>
      <c r="BA170" s="31" t="n"/>
      <c r="BB170" s="307" t="n"/>
      <c r="BC170" s="307" t="n"/>
      <c r="BD170" s="307" t="n"/>
      <c r="BE170" s="307" t="n"/>
      <c r="BF170" s="307" t="n"/>
      <c r="BG170" s="31" t="n"/>
      <c r="BH170" s="31" t="n"/>
      <c r="BI170" s="31" t="n"/>
      <c r="BJ170" s="31" t="n"/>
    </row>
    <row r="171" ht="15.75" customHeight="1" s="349">
      <c r="A171" s="31" t="n"/>
      <c r="B171" s="307" t="n"/>
      <c r="C171" s="307" t="n"/>
      <c r="D171" s="307" t="n"/>
      <c r="E171" s="307" t="n"/>
      <c r="F171" s="307" t="n"/>
      <c r="G171" s="307" t="n"/>
      <c r="H171" s="307" t="n"/>
      <c r="I171" s="307" t="n"/>
      <c r="J171" s="307" t="n"/>
      <c r="K171" s="307" t="n"/>
      <c r="L171" s="307" t="n"/>
      <c r="M171" s="307" t="n"/>
      <c r="N171" s="307" t="n"/>
      <c r="O171" s="307" t="n"/>
      <c r="P171" s="307" t="n"/>
      <c r="Q171" s="307" t="n"/>
      <c r="R171" s="307" t="n"/>
      <c r="S171" s="307" t="n"/>
      <c r="T171" s="307" t="n"/>
      <c r="U171" s="307" t="n"/>
      <c r="V171" s="307" t="n"/>
      <c r="W171" s="307" t="n"/>
      <c r="X171" s="307" t="n"/>
      <c r="Y171" s="307" t="n"/>
      <c r="Z171" s="307" t="n"/>
      <c r="AA171" s="307" t="n"/>
      <c r="AB171" s="307" t="n"/>
      <c r="AC171" s="307" t="n"/>
      <c r="AD171" s="307" t="n"/>
      <c r="AE171" s="307" t="n"/>
      <c r="AF171" s="307" t="n"/>
      <c r="AG171" s="307" t="n"/>
      <c r="AH171" s="307" t="n"/>
      <c r="AI171" s="307" t="n"/>
      <c r="AJ171" s="307" t="n"/>
      <c r="AK171" s="307" t="n"/>
      <c r="AL171" s="307" t="n"/>
      <c r="AM171" s="307" t="n"/>
      <c r="AN171" s="307" t="n"/>
      <c r="AO171" s="307" t="n"/>
      <c r="AP171" s="307" t="n"/>
      <c r="AQ171" s="307" t="n"/>
      <c r="AR171" s="307" t="n"/>
      <c r="AS171" s="307" t="n"/>
      <c r="AT171" s="307" t="n"/>
      <c r="AU171" s="307" t="n"/>
      <c r="AV171" s="307" t="n"/>
      <c r="AW171" s="307" t="n"/>
      <c r="AX171" s="307" t="n"/>
      <c r="AY171" s="307" t="n"/>
      <c r="AZ171" s="307" t="n"/>
      <c r="BA171" s="31" t="n"/>
      <c r="BB171" s="307" t="n"/>
      <c r="BC171" s="307" t="n"/>
      <c r="BD171" s="307" t="n"/>
      <c r="BE171" s="307" t="n"/>
      <c r="BF171" s="307" t="n"/>
      <c r="BG171" s="31" t="n"/>
      <c r="BH171" s="31" t="n"/>
      <c r="BI171" s="31" t="n"/>
      <c r="BJ171" s="31" t="n"/>
    </row>
    <row r="172" ht="15.75" customHeight="1" s="349">
      <c r="A172" s="31" t="n"/>
      <c r="B172" s="307" t="n"/>
      <c r="C172" s="307" t="n"/>
      <c r="D172" s="307" t="n"/>
      <c r="E172" s="307" t="n"/>
      <c r="F172" s="307" t="n"/>
      <c r="G172" s="307" t="n"/>
      <c r="H172" s="307" t="n"/>
      <c r="I172" s="307" t="n"/>
      <c r="J172" s="307" t="n"/>
      <c r="K172" s="307" t="n"/>
      <c r="L172" s="307" t="n"/>
      <c r="M172" s="307" t="n"/>
      <c r="N172" s="307" t="n"/>
      <c r="O172" s="307" t="n"/>
      <c r="P172" s="307" t="n"/>
      <c r="Q172" s="307" t="n"/>
      <c r="R172" s="307" t="n"/>
      <c r="S172" s="307" t="n"/>
      <c r="T172" s="307" t="n"/>
      <c r="U172" s="307" t="n"/>
      <c r="V172" s="307" t="n"/>
      <c r="W172" s="307" t="n"/>
      <c r="X172" s="307" t="n"/>
      <c r="Y172" s="307" t="n"/>
      <c r="Z172" s="307" t="n"/>
      <c r="AA172" s="307" t="n"/>
      <c r="AB172" s="307" t="n"/>
      <c r="AC172" s="307" t="n"/>
      <c r="AD172" s="307" t="n"/>
      <c r="AE172" s="307" t="n"/>
      <c r="AF172" s="307" t="n"/>
      <c r="AG172" s="307" t="n"/>
      <c r="AH172" s="307" t="n"/>
      <c r="AI172" s="307" t="n"/>
      <c r="AJ172" s="307" t="n"/>
      <c r="AK172" s="307" t="n"/>
      <c r="AL172" s="307" t="n"/>
      <c r="AM172" s="307" t="n"/>
      <c r="AN172" s="307" t="n"/>
      <c r="AO172" s="307" t="n"/>
      <c r="AP172" s="307" t="n"/>
      <c r="AQ172" s="307" t="n"/>
      <c r="AR172" s="307" t="n"/>
      <c r="AS172" s="307" t="n"/>
      <c r="AT172" s="307" t="n"/>
      <c r="AU172" s="307" t="n"/>
      <c r="AV172" s="307" t="n"/>
      <c r="AW172" s="307" t="n"/>
      <c r="AX172" s="307" t="n"/>
      <c r="AY172" s="307" t="n"/>
      <c r="AZ172" s="307" t="n"/>
      <c r="BA172" s="31" t="n"/>
      <c r="BB172" s="307" t="n"/>
      <c r="BC172" s="307" t="n"/>
      <c r="BD172" s="307" t="n"/>
      <c r="BE172" s="307" t="n"/>
      <c r="BF172" s="307" t="n"/>
      <c r="BG172" s="31" t="n"/>
      <c r="BH172" s="31" t="n"/>
      <c r="BI172" s="31" t="n"/>
      <c r="BJ172" s="31" t="n"/>
    </row>
    <row r="173" ht="15.75" customHeight="1" s="349">
      <c r="A173" s="31" t="n"/>
      <c r="B173" s="307" t="n"/>
      <c r="C173" s="307" t="n"/>
      <c r="D173" s="307" t="n"/>
      <c r="E173" s="307" t="n"/>
      <c r="F173" s="307" t="n"/>
      <c r="G173" s="307" t="n"/>
      <c r="H173" s="307" t="n"/>
      <c r="I173" s="307" t="n"/>
      <c r="J173" s="307" t="n"/>
      <c r="K173" s="307" t="n"/>
      <c r="L173" s="307" t="n"/>
      <c r="M173" s="307" t="n"/>
      <c r="N173" s="307" t="n"/>
      <c r="O173" s="307" t="n"/>
      <c r="P173" s="307" t="n"/>
      <c r="Q173" s="307" t="n"/>
      <c r="R173" s="307" t="n"/>
      <c r="S173" s="307" t="n"/>
      <c r="T173" s="307" t="n"/>
      <c r="U173" s="307" t="n"/>
      <c r="V173" s="307" t="n"/>
      <c r="W173" s="307" t="n"/>
      <c r="X173" s="307" t="n"/>
      <c r="Y173" s="307" t="n"/>
      <c r="Z173" s="307" t="n"/>
      <c r="AA173" s="307" t="n"/>
      <c r="AB173" s="307" t="n"/>
      <c r="AC173" s="307" t="n"/>
      <c r="AD173" s="307" t="n"/>
      <c r="AE173" s="307" t="n"/>
      <c r="AF173" s="307" t="n"/>
      <c r="AG173" s="307" t="n"/>
      <c r="AH173" s="307" t="n"/>
      <c r="AI173" s="307" t="n"/>
      <c r="AJ173" s="307" t="n"/>
      <c r="AK173" s="307" t="n"/>
      <c r="AL173" s="307" t="n"/>
      <c r="AM173" s="307" t="n"/>
      <c r="AN173" s="307" t="n"/>
      <c r="AO173" s="307" t="n"/>
      <c r="AP173" s="307" t="n"/>
      <c r="AQ173" s="307" t="n"/>
      <c r="AR173" s="307" t="n"/>
      <c r="AS173" s="307" t="n"/>
      <c r="AT173" s="307" t="n"/>
      <c r="AU173" s="307" t="n"/>
      <c r="AV173" s="307" t="n"/>
      <c r="AW173" s="307" t="n"/>
      <c r="AX173" s="307" t="n"/>
      <c r="AY173" s="307" t="n"/>
      <c r="AZ173" s="307" t="n"/>
      <c r="BA173" s="31" t="n"/>
      <c r="BB173" s="307" t="n"/>
      <c r="BC173" s="307" t="n"/>
      <c r="BD173" s="307" t="n"/>
      <c r="BE173" s="307" t="n"/>
      <c r="BF173" s="307" t="n"/>
      <c r="BG173" s="31" t="n"/>
      <c r="BH173" s="31" t="n"/>
      <c r="BI173" s="31" t="n"/>
      <c r="BJ173" s="31" t="n"/>
    </row>
    <row r="174" ht="15.75" customHeight="1" s="349">
      <c r="A174" s="31" t="n"/>
      <c r="B174" s="307" t="n"/>
      <c r="C174" s="307" t="n"/>
      <c r="D174" s="307" t="n"/>
      <c r="E174" s="307" t="n"/>
      <c r="F174" s="307" t="n"/>
      <c r="G174" s="307" t="n"/>
      <c r="H174" s="307" t="n"/>
      <c r="I174" s="307" t="n"/>
      <c r="J174" s="307" t="n"/>
      <c r="K174" s="307" t="n"/>
      <c r="L174" s="307" t="n"/>
      <c r="M174" s="307" t="n"/>
      <c r="N174" s="307" t="n"/>
      <c r="O174" s="307" t="n"/>
      <c r="P174" s="307" t="n"/>
      <c r="Q174" s="307" t="n"/>
      <c r="R174" s="307" t="n"/>
      <c r="S174" s="307" t="n"/>
      <c r="T174" s="307" t="n"/>
      <c r="U174" s="307" t="n"/>
      <c r="V174" s="307" t="n"/>
      <c r="W174" s="307" t="n"/>
      <c r="X174" s="307" t="n"/>
      <c r="Y174" s="307" t="n"/>
      <c r="Z174" s="307" t="n"/>
      <c r="AA174" s="307" t="n"/>
      <c r="AB174" s="307" t="n"/>
      <c r="AC174" s="307" t="n"/>
      <c r="AD174" s="307" t="n"/>
      <c r="AE174" s="307" t="n"/>
      <c r="AF174" s="307" t="n"/>
      <c r="AG174" s="307" t="n"/>
      <c r="AH174" s="307" t="n"/>
      <c r="AI174" s="307" t="n"/>
      <c r="AJ174" s="307" t="n"/>
      <c r="AK174" s="307" t="n"/>
      <c r="AL174" s="307" t="n"/>
      <c r="AM174" s="307" t="n"/>
      <c r="AN174" s="307" t="n"/>
      <c r="AO174" s="307" t="n"/>
      <c r="AP174" s="307" t="n"/>
      <c r="AQ174" s="307" t="n"/>
      <c r="AR174" s="307" t="n"/>
      <c r="AS174" s="307" t="n"/>
      <c r="AT174" s="307" t="n"/>
      <c r="AU174" s="307" t="n"/>
      <c r="AV174" s="307" t="n"/>
      <c r="AW174" s="307" t="n"/>
      <c r="AX174" s="307" t="n"/>
      <c r="AY174" s="307" t="n"/>
      <c r="AZ174" s="307" t="n"/>
      <c r="BA174" s="31" t="n"/>
      <c r="BB174" s="307" t="n"/>
      <c r="BC174" s="307" t="n"/>
      <c r="BD174" s="307" t="n"/>
      <c r="BE174" s="307" t="n"/>
      <c r="BF174" s="307" t="n"/>
      <c r="BG174" s="31" t="n"/>
      <c r="BH174" s="31" t="n"/>
      <c r="BI174" s="31" t="n"/>
      <c r="BJ174" s="31" t="n"/>
    </row>
    <row r="175" ht="15.75" customHeight="1" s="349">
      <c r="A175" s="31" t="n"/>
      <c r="B175" s="307" t="n"/>
      <c r="C175" s="307" t="n"/>
      <c r="D175" s="307" t="n"/>
      <c r="E175" s="307" t="n"/>
      <c r="F175" s="307" t="n"/>
      <c r="G175" s="307" t="n"/>
      <c r="H175" s="307" t="n"/>
      <c r="I175" s="307" t="n"/>
      <c r="J175" s="307" t="n"/>
      <c r="K175" s="307" t="n"/>
      <c r="L175" s="307" t="n"/>
      <c r="M175" s="307" t="n"/>
      <c r="N175" s="307" t="n"/>
      <c r="O175" s="307" t="n"/>
      <c r="P175" s="307" t="n"/>
      <c r="Q175" s="307" t="n"/>
      <c r="R175" s="307" t="n"/>
      <c r="S175" s="307" t="n"/>
      <c r="T175" s="307" t="n"/>
      <c r="U175" s="307" t="n"/>
      <c r="V175" s="307" t="n"/>
      <c r="W175" s="307" t="n"/>
      <c r="X175" s="307" t="n"/>
      <c r="Y175" s="307" t="n"/>
      <c r="Z175" s="307" t="n"/>
      <c r="AA175" s="307" t="n"/>
      <c r="AB175" s="307" t="n"/>
      <c r="AC175" s="307" t="n"/>
      <c r="AD175" s="307" t="n"/>
      <c r="AE175" s="307" t="n"/>
      <c r="AF175" s="307" t="n"/>
      <c r="AG175" s="307" t="n"/>
      <c r="AH175" s="307" t="n"/>
      <c r="AI175" s="307" t="n"/>
      <c r="AJ175" s="307" t="n"/>
      <c r="AK175" s="307" t="n"/>
      <c r="AL175" s="307" t="n"/>
      <c r="AM175" s="307" t="n"/>
      <c r="AN175" s="307" t="n"/>
      <c r="AO175" s="307" t="n"/>
      <c r="AP175" s="307" t="n"/>
      <c r="AQ175" s="307" t="n"/>
      <c r="AR175" s="307" t="n"/>
      <c r="AS175" s="307" t="n"/>
      <c r="AT175" s="307" t="n"/>
      <c r="AU175" s="307" t="n"/>
      <c r="AV175" s="307" t="n"/>
      <c r="AW175" s="307" t="n"/>
      <c r="AX175" s="307" t="n"/>
      <c r="AY175" s="307" t="n"/>
      <c r="AZ175" s="307" t="n"/>
      <c r="BA175" s="31" t="n"/>
      <c r="BB175" s="307" t="n"/>
      <c r="BC175" s="307" t="n"/>
      <c r="BD175" s="307" t="n"/>
      <c r="BE175" s="307" t="n"/>
      <c r="BF175" s="307" t="n"/>
      <c r="BG175" s="31" t="n"/>
      <c r="BH175" s="31" t="n"/>
      <c r="BI175" s="31" t="n"/>
      <c r="BJ175" s="31" t="n"/>
    </row>
    <row r="176" ht="15.75" customHeight="1" s="349">
      <c r="A176" s="31" t="n"/>
      <c r="B176" s="307" t="n"/>
      <c r="C176" s="307" t="n"/>
      <c r="D176" s="307" t="n"/>
      <c r="E176" s="307" t="n"/>
      <c r="F176" s="307" t="n"/>
      <c r="G176" s="307" t="n"/>
      <c r="H176" s="307" t="n"/>
      <c r="I176" s="307" t="n"/>
      <c r="J176" s="307" t="n"/>
      <c r="K176" s="307" t="n"/>
      <c r="L176" s="307" t="n"/>
      <c r="M176" s="307" t="n"/>
      <c r="N176" s="307" t="n"/>
      <c r="O176" s="307" t="n"/>
      <c r="P176" s="307" t="n"/>
      <c r="Q176" s="307" t="n"/>
      <c r="R176" s="307" t="n"/>
      <c r="S176" s="307" t="n"/>
      <c r="T176" s="307" t="n"/>
      <c r="U176" s="307" t="n"/>
      <c r="V176" s="307" t="n"/>
      <c r="W176" s="307" t="n"/>
      <c r="X176" s="307" t="n"/>
      <c r="Y176" s="307" t="n"/>
      <c r="Z176" s="307" t="n"/>
      <c r="AA176" s="307" t="n"/>
      <c r="AB176" s="307" t="n"/>
      <c r="AC176" s="307" t="n"/>
      <c r="AD176" s="307" t="n"/>
      <c r="AE176" s="307" t="n"/>
      <c r="AF176" s="307" t="n"/>
      <c r="AG176" s="307" t="n"/>
      <c r="AH176" s="307" t="n"/>
      <c r="AI176" s="307" t="n"/>
      <c r="AJ176" s="307" t="n"/>
      <c r="AK176" s="307" t="n"/>
      <c r="AL176" s="307" t="n"/>
      <c r="AM176" s="307" t="n"/>
      <c r="AN176" s="307" t="n"/>
      <c r="AO176" s="307" t="n"/>
      <c r="AP176" s="307" t="n"/>
      <c r="AQ176" s="307" t="n"/>
      <c r="AR176" s="307" t="n"/>
      <c r="AS176" s="307" t="n"/>
      <c r="AT176" s="307" t="n"/>
      <c r="AU176" s="307" t="n"/>
      <c r="AV176" s="307" t="n"/>
      <c r="AW176" s="307" t="n"/>
      <c r="AX176" s="307" t="n"/>
      <c r="AY176" s="307" t="n"/>
      <c r="AZ176" s="307" t="n"/>
      <c r="BA176" s="31" t="n"/>
      <c r="BB176" s="307" t="n"/>
      <c r="BC176" s="307" t="n"/>
      <c r="BD176" s="307" t="n"/>
      <c r="BE176" s="307" t="n"/>
      <c r="BF176" s="307" t="n"/>
      <c r="BG176" s="31" t="n"/>
      <c r="BH176" s="31" t="n"/>
      <c r="BI176" s="31" t="n"/>
      <c r="BJ176" s="31" t="n"/>
    </row>
    <row r="177" ht="15.75" customHeight="1" s="349">
      <c r="A177" s="31" t="n"/>
      <c r="B177" s="307" t="n"/>
      <c r="C177" s="307" t="n"/>
      <c r="D177" s="307" t="n"/>
      <c r="E177" s="307" t="n"/>
      <c r="F177" s="307" t="n"/>
      <c r="G177" s="307" t="n"/>
      <c r="H177" s="307" t="n"/>
      <c r="I177" s="307" t="n"/>
      <c r="J177" s="307" t="n"/>
      <c r="K177" s="307" t="n"/>
      <c r="L177" s="307" t="n"/>
      <c r="M177" s="307" t="n"/>
      <c r="N177" s="307" t="n"/>
      <c r="O177" s="307" t="n"/>
      <c r="P177" s="307" t="n"/>
      <c r="Q177" s="307" t="n"/>
      <c r="R177" s="307" t="n"/>
      <c r="S177" s="307" t="n"/>
      <c r="T177" s="307" t="n"/>
      <c r="U177" s="307" t="n"/>
      <c r="V177" s="307" t="n"/>
      <c r="W177" s="307" t="n"/>
      <c r="X177" s="307" t="n"/>
      <c r="Y177" s="307" t="n"/>
      <c r="Z177" s="307" t="n"/>
      <c r="AA177" s="307" t="n"/>
      <c r="AB177" s="307" t="n"/>
      <c r="AC177" s="307" t="n"/>
      <c r="AD177" s="307" t="n"/>
      <c r="AE177" s="307" t="n"/>
      <c r="AF177" s="307" t="n"/>
      <c r="AG177" s="307" t="n"/>
      <c r="AH177" s="307" t="n"/>
      <c r="AI177" s="307" t="n"/>
      <c r="AJ177" s="307" t="n"/>
      <c r="AK177" s="307" t="n"/>
      <c r="AL177" s="307" t="n"/>
      <c r="AM177" s="307" t="n"/>
      <c r="AN177" s="307" t="n"/>
      <c r="AO177" s="307" t="n"/>
      <c r="AP177" s="307" t="n"/>
      <c r="AQ177" s="307" t="n"/>
      <c r="AR177" s="307" t="n"/>
      <c r="AS177" s="307" t="n"/>
      <c r="AT177" s="307" t="n"/>
      <c r="AU177" s="307" t="n"/>
      <c r="AV177" s="307" t="n"/>
      <c r="AW177" s="307" t="n"/>
      <c r="AX177" s="307" t="n"/>
      <c r="AY177" s="307" t="n"/>
      <c r="AZ177" s="307" t="n"/>
      <c r="BA177" s="31" t="n"/>
      <c r="BB177" s="307" t="n"/>
      <c r="BC177" s="307" t="n"/>
      <c r="BD177" s="307" t="n"/>
      <c r="BE177" s="307" t="n"/>
      <c r="BF177" s="307" t="n"/>
      <c r="BG177" s="31" t="n"/>
      <c r="BH177" s="31" t="n"/>
      <c r="BI177" s="31" t="n"/>
      <c r="BJ177" s="31" t="n"/>
    </row>
    <row r="178" ht="15.75" customHeight="1" s="349">
      <c r="A178" s="31" t="n"/>
      <c r="B178" s="307" t="n"/>
      <c r="C178" s="307" t="n"/>
      <c r="D178" s="307" t="n"/>
      <c r="E178" s="307" t="n"/>
      <c r="F178" s="307" t="n"/>
      <c r="G178" s="307" t="n"/>
      <c r="H178" s="307" t="n"/>
      <c r="I178" s="307" t="n"/>
      <c r="J178" s="307" t="n"/>
      <c r="K178" s="307" t="n"/>
      <c r="L178" s="307" t="n"/>
      <c r="M178" s="307" t="n"/>
      <c r="N178" s="307" t="n"/>
      <c r="O178" s="307" t="n"/>
      <c r="P178" s="307" t="n"/>
      <c r="Q178" s="307" t="n"/>
      <c r="R178" s="307" t="n"/>
      <c r="S178" s="307" t="n"/>
      <c r="T178" s="307" t="n"/>
      <c r="U178" s="307" t="n"/>
      <c r="V178" s="307" t="n"/>
      <c r="W178" s="307" t="n"/>
      <c r="X178" s="307" t="n"/>
      <c r="Y178" s="307" t="n"/>
      <c r="Z178" s="307" t="n"/>
      <c r="AA178" s="307" t="n"/>
      <c r="AB178" s="307" t="n"/>
      <c r="AC178" s="307" t="n"/>
      <c r="AD178" s="307" t="n"/>
      <c r="AE178" s="307" t="n"/>
      <c r="AF178" s="307" t="n"/>
      <c r="AG178" s="307" t="n"/>
      <c r="AH178" s="307" t="n"/>
      <c r="AI178" s="307" t="n"/>
      <c r="AJ178" s="307" t="n"/>
      <c r="AK178" s="307" t="n"/>
      <c r="AL178" s="307" t="n"/>
      <c r="AM178" s="307" t="n"/>
      <c r="AN178" s="307" t="n"/>
      <c r="AO178" s="307" t="n"/>
      <c r="AP178" s="307" t="n"/>
      <c r="AQ178" s="307" t="n"/>
      <c r="AR178" s="307" t="n"/>
      <c r="AS178" s="307" t="n"/>
      <c r="AT178" s="307" t="n"/>
      <c r="AU178" s="307" t="n"/>
      <c r="AV178" s="307" t="n"/>
      <c r="AW178" s="307" t="n"/>
      <c r="AX178" s="307" t="n"/>
      <c r="AY178" s="307" t="n"/>
      <c r="AZ178" s="307" t="n"/>
      <c r="BA178" s="31" t="n"/>
      <c r="BB178" s="307" t="n"/>
      <c r="BC178" s="307" t="n"/>
      <c r="BD178" s="307" t="n"/>
      <c r="BE178" s="307" t="n"/>
      <c r="BF178" s="307" t="n"/>
      <c r="BG178" s="31" t="n"/>
      <c r="BH178" s="31" t="n"/>
      <c r="BI178" s="31" t="n"/>
      <c r="BJ178" s="31" t="n"/>
    </row>
    <row r="179" ht="15.75" customHeight="1" s="349">
      <c r="A179" s="31" t="n"/>
      <c r="B179" s="307" t="n"/>
      <c r="C179" s="307" t="n"/>
      <c r="D179" s="307" t="n"/>
      <c r="E179" s="307" t="n"/>
      <c r="F179" s="307" t="n"/>
      <c r="G179" s="307" t="n"/>
      <c r="H179" s="307" t="n"/>
      <c r="I179" s="307" t="n"/>
      <c r="J179" s="307" t="n"/>
      <c r="K179" s="307" t="n"/>
      <c r="L179" s="307" t="n"/>
      <c r="M179" s="307" t="n"/>
      <c r="N179" s="307" t="n"/>
      <c r="O179" s="307" t="n"/>
      <c r="P179" s="307" t="n"/>
      <c r="Q179" s="307" t="n"/>
      <c r="R179" s="307" t="n"/>
      <c r="S179" s="307" t="n"/>
      <c r="T179" s="307" t="n"/>
      <c r="U179" s="307" t="n"/>
      <c r="V179" s="307" t="n"/>
      <c r="W179" s="307" t="n"/>
      <c r="X179" s="307" t="n"/>
      <c r="Y179" s="307" t="n"/>
      <c r="Z179" s="307" t="n"/>
      <c r="AA179" s="307" t="n"/>
      <c r="AB179" s="307" t="n"/>
      <c r="AC179" s="307" t="n"/>
      <c r="AD179" s="307" t="n"/>
      <c r="AE179" s="307" t="n"/>
      <c r="AF179" s="307" t="n"/>
      <c r="AG179" s="307" t="n"/>
      <c r="AH179" s="307" t="n"/>
      <c r="AI179" s="307" t="n"/>
      <c r="AJ179" s="307" t="n"/>
      <c r="AK179" s="307" t="n"/>
      <c r="AL179" s="307" t="n"/>
      <c r="AM179" s="307" t="n"/>
      <c r="AN179" s="307" t="n"/>
      <c r="AO179" s="307" t="n"/>
      <c r="AP179" s="307" t="n"/>
      <c r="AQ179" s="307" t="n"/>
      <c r="AR179" s="307" t="n"/>
      <c r="AS179" s="307" t="n"/>
      <c r="AT179" s="307" t="n"/>
      <c r="AU179" s="307" t="n"/>
      <c r="AV179" s="307" t="n"/>
      <c r="AW179" s="307" t="n"/>
      <c r="AX179" s="307" t="n"/>
      <c r="AY179" s="307" t="n"/>
      <c r="AZ179" s="307" t="n"/>
      <c r="BA179" s="31" t="n"/>
      <c r="BB179" s="307" t="n"/>
      <c r="BC179" s="307" t="n"/>
      <c r="BD179" s="307" t="n"/>
      <c r="BE179" s="307" t="n"/>
      <c r="BF179" s="307" t="n"/>
      <c r="BG179" s="31" t="n"/>
      <c r="BH179" s="31" t="n"/>
      <c r="BI179" s="31" t="n"/>
      <c r="BJ179" s="31" t="n"/>
    </row>
    <row r="180" ht="15.75" customHeight="1" s="349">
      <c r="A180" s="31" t="n"/>
      <c r="B180" s="307" t="n"/>
      <c r="C180" s="307" t="n"/>
      <c r="D180" s="307" t="n"/>
      <c r="E180" s="307" t="n"/>
      <c r="F180" s="307" t="n"/>
      <c r="G180" s="307" t="n"/>
      <c r="H180" s="307" t="n"/>
      <c r="I180" s="307" t="n"/>
      <c r="J180" s="307" t="n"/>
      <c r="K180" s="307" t="n"/>
      <c r="L180" s="307" t="n"/>
      <c r="M180" s="307" t="n"/>
      <c r="N180" s="307" t="n"/>
      <c r="O180" s="307" t="n"/>
      <c r="P180" s="307" t="n"/>
      <c r="Q180" s="307" t="n"/>
      <c r="R180" s="307" t="n"/>
      <c r="S180" s="307" t="n"/>
      <c r="T180" s="307" t="n"/>
      <c r="U180" s="307" t="n"/>
      <c r="V180" s="307" t="n"/>
      <c r="W180" s="307" t="n"/>
      <c r="X180" s="307" t="n"/>
      <c r="Y180" s="307" t="n"/>
      <c r="Z180" s="307" t="n"/>
      <c r="AA180" s="307" t="n"/>
      <c r="AB180" s="307" t="n"/>
      <c r="AC180" s="307" t="n"/>
      <c r="AD180" s="307" t="n"/>
      <c r="AE180" s="307" t="n"/>
      <c r="AF180" s="307" t="n"/>
      <c r="AG180" s="307" t="n"/>
      <c r="AH180" s="307" t="n"/>
      <c r="AI180" s="307" t="n"/>
      <c r="AJ180" s="307" t="n"/>
      <c r="AK180" s="307" t="n"/>
      <c r="AL180" s="307" t="n"/>
      <c r="AM180" s="307" t="n"/>
      <c r="AN180" s="307" t="n"/>
      <c r="AO180" s="307" t="n"/>
      <c r="AP180" s="307" t="n"/>
      <c r="AQ180" s="307" t="n"/>
      <c r="AR180" s="307" t="n"/>
      <c r="AS180" s="307" t="n"/>
      <c r="AT180" s="307" t="n"/>
      <c r="AU180" s="307" t="n"/>
      <c r="AV180" s="307" t="n"/>
      <c r="AW180" s="307" t="n"/>
      <c r="AX180" s="307" t="n"/>
      <c r="AY180" s="307" t="n"/>
      <c r="AZ180" s="307" t="n"/>
      <c r="BA180" s="31" t="n"/>
      <c r="BB180" s="307" t="n"/>
      <c r="BC180" s="307" t="n"/>
      <c r="BD180" s="307" t="n"/>
      <c r="BE180" s="307" t="n"/>
      <c r="BF180" s="307" t="n"/>
      <c r="BG180" s="31" t="n"/>
      <c r="BH180" s="31" t="n"/>
      <c r="BI180" s="31" t="n"/>
      <c r="BJ180" s="31" t="n"/>
    </row>
    <row r="181" ht="15.75" customHeight="1" s="349">
      <c r="A181" s="31" t="n"/>
      <c r="B181" s="307" t="n"/>
      <c r="C181" s="307" t="n"/>
      <c r="D181" s="307" t="n"/>
      <c r="E181" s="307" t="n"/>
      <c r="F181" s="307" t="n"/>
      <c r="G181" s="307" t="n"/>
      <c r="H181" s="307" t="n"/>
      <c r="I181" s="307" t="n"/>
      <c r="J181" s="307" t="n"/>
      <c r="K181" s="307" t="n"/>
      <c r="L181" s="307" t="n"/>
      <c r="M181" s="307" t="n"/>
      <c r="N181" s="307" t="n"/>
      <c r="O181" s="307" t="n"/>
      <c r="P181" s="307" t="n"/>
      <c r="Q181" s="307" t="n"/>
      <c r="R181" s="307" t="n"/>
      <c r="S181" s="307" t="n"/>
      <c r="T181" s="307" t="n"/>
      <c r="U181" s="307" t="n"/>
      <c r="V181" s="307" t="n"/>
      <c r="W181" s="307" t="n"/>
      <c r="X181" s="307" t="n"/>
      <c r="Y181" s="307" t="n"/>
      <c r="Z181" s="307" t="n"/>
      <c r="AA181" s="307" t="n"/>
      <c r="AB181" s="307" t="n"/>
      <c r="AC181" s="307" t="n"/>
      <c r="AD181" s="307" t="n"/>
      <c r="AE181" s="307" t="n"/>
      <c r="AF181" s="307" t="n"/>
      <c r="AG181" s="307" t="n"/>
      <c r="AH181" s="307" t="n"/>
      <c r="AI181" s="307" t="n"/>
      <c r="AJ181" s="307" t="n"/>
      <c r="AK181" s="307" t="n"/>
      <c r="AL181" s="307" t="n"/>
      <c r="AM181" s="307" t="n"/>
      <c r="AN181" s="307" t="n"/>
      <c r="AO181" s="307" t="n"/>
      <c r="AP181" s="307" t="n"/>
      <c r="AQ181" s="307" t="n"/>
      <c r="AR181" s="307" t="n"/>
      <c r="AS181" s="307" t="n"/>
      <c r="AT181" s="307" t="n"/>
      <c r="AU181" s="307" t="n"/>
      <c r="AV181" s="307" t="n"/>
      <c r="AW181" s="307" t="n"/>
      <c r="AX181" s="307" t="n"/>
      <c r="AY181" s="307" t="n"/>
      <c r="AZ181" s="307" t="n"/>
      <c r="BA181" s="31" t="n"/>
      <c r="BB181" s="307" t="n"/>
      <c r="BC181" s="307" t="n"/>
      <c r="BD181" s="307" t="n"/>
      <c r="BE181" s="307" t="n"/>
      <c r="BF181" s="307" t="n"/>
      <c r="BG181" s="31" t="n"/>
      <c r="BH181" s="31" t="n"/>
      <c r="BI181" s="31" t="n"/>
      <c r="BJ181" s="31" t="n"/>
    </row>
    <row r="182" ht="15.75" customHeight="1" s="349">
      <c r="A182" s="31" t="n"/>
      <c r="B182" s="307" t="n"/>
      <c r="C182" s="307" t="n"/>
      <c r="D182" s="307" t="n"/>
      <c r="E182" s="307" t="n"/>
      <c r="F182" s="307" t="n"/>
      <c r="G182" s="307" t="n"/>
      <c r="H182" s="307" t="n"/>
      <c r="I182" s="307" t="n"/>
      <c r="J182" s="307" t="n"/>
      <c r="K182" s="307" t="n"/>
      <c r="L182" s="307" t="n"/>
      <c r="M182" s="307" t="n"/>
      <c r="N182" s="307" t="n"/>
      <c r="O182" s="307" t="n"/>
      <c r="P182" s="307" t="n"/>
      <c r="Q182" s="307" t="n"/>
      <c r="R182" s="307" t="n"/>
      <c r="S182" s="307" t="n"/>
      <c r="T182" s="307" t="n"/>
      <c r="U182" s="307" t="n"/>
      <c r="V182" s="307" t="n"/>
      <c r="W182" s="307" t="n"/>
      <c r="X182" s="307" t="n"/>
      <c r="Y182" s="307" t="n"/>
      <c r="Z182" s="307" t="n"/>
      <c r="AA182" s="307" t="n"/>
      <c r="AB182" s="307" t="n"/>
      <c r="AC182" s="307" t="n"/>
      <c r="AD182" s="307" t="n"/>
      <c r="AE182" s="307" t="n"/>
      <c r="AF182" s="307" t="n"/>
      <c r="AG182" s="307" t="n"/>
      <c r="AH182" s="307" t="n"/>
      <c r="AI182" s="307" t="n"/>
      <c r="AJ182" s="307" t="n"/>
      <c r="AK182" s="307" t="n"/>
      <c r="AL182" s="307" t="n"/>
      <c r="AM182" s="307" t="n"/>
      <c r="AN182" s="307" t="n"/>
      <c r="AO182" s="307" t="n"/>
      <c r="AP182" s="307" t="n"/>
      <c r="AQ182" s="307" t="n"/>
      <c r="AR182" s="307" t="n"/>
      <c r="AS182" s="307" t="n"/>
      <c r="AT182" s="307" t="n"/>
      <c r="AU182" s="307" t="n"/>
      <c r="AV182" s="307" t="n"/>
      <c r="AW182" s="307" t="n"/>
      <c r="AX182" s="307" t="n"/>
      <c r="AY182" s="307" t="n"/>
      <c r="AZ182" s="307" t="n"/>
      <c r="BA182" s="31" t="n"/>
      <c r="BB182" s="307" t="n"/>
      <c r="BC182" s="307" t="n"/>
      <c r="BD182" s="307" t="n"/>
      <c r="BE182" s="307" t="n"/>
      <c r="BF182" s="307" t="n"/>
      <c r="BG182" s="31" t="n"/>
      <c r="BH182" s="31" t="n"/>
      <c r="BI182" s="31" t="n"/>
      <c r="BJ182" s="31" t="n"/>
    </row>
    <row r="183" ht="15.75" customHeight="1" s="349">
      <c r="A183" s="31" t="n"/>
      <c r="B183" s="307" t="n"/>
      <c r="C183" s="307" t="n"/>
      <c r="D183" s="307" t="n"/>
      <c r="E183" s="307" t="n"/>
      <c r="F183" s="307" t="n"/>
      <c r="G183" s="307" t="n"/>
      <c r="H183" s="307" t="n"/>
      <c r="I183" s="307" t="n"/>
      <c r="J183" s="307" t="n"/>
      <c r="K183" s="307" t="n"/>
      <c r="L183" s="307" t="n"/>
      <c r="M183" s="307" t="n"/>
      <c r="N183" s="307" t="n"/>
      <c r="O183" s="307" t="n"/>
      <c r="P183" s="307" t="n"/>
      <c r="Q183" s="307" t="n"/>
      <c r="R183" s="307" t="n"/>
      <c r="S183" s="307" t="n"/>
      <c r="T183" s="307" t="n"/>
      <c r="U183" s="307" t="n"/>
      <c r="V183" s="307" t="n"/>
      <c r="W183" s="307" t="n"/>
      <c r="X183" s="307" t="n"/>
      <c r="Y183" s="307" t="n"/>
      <c r="Z183" s="307" t="n"/>
      <c r="AA183" s="307" t="n"/>
      <c r="AB183" s="307" t="n"/>
      <c r="AC183" s="307" t="n"/>
      <c r="AD183" s="307" t="n"/>
      <c r="AE183" s="307" t="n"/>
      <c r="AF183" s="307" t="n"/>
      <c r="AG183" s="307" t="n"/>
      <c r="AH183" s="307" t="n"/>
      <c r="AI183" s="307" t="n"/>
      <c r="AJ183" s="307" t="n"/>
      <c r="AK183" s="307" t="n"/>
      <c r="AL183" s="307" t="n"/>
      <c r="AM183" s="307" t="n"/>
      <c r="AN183" s="307" t="n"/>
      <c r="AO183" s="307" t="n"/>
      <c r="AP183" s="307" t="n"/>
      <c r="AQ183" s="307" t="n"/>
      <c r="AR183" s="307" t="n"/>
      <c r="AS183" s="307" t="n"/>
      <c r="AT183" s="307" t="n"/>
      <c r="AU183" s="307" t="n"/>
      <c r="AV183" s="307" t="n"/>
      <c r="AW183" s="307" t="n"/>
      <c r="AX183" s="307" t="n"/>
      <c r="AY183" s="307" t="n"/>
      <c r="AZ183" s="307" t="n"/>
      <c r="BA183" s="31" t="n"/>
      <c r="BB183" s="307" t="n"/>
      <c r="BC183" s="307" t="n"/>
      <c r="BD183" s="307" t="n"/>
      <c r="BE183" s="307" t="n"/>
      <c r="BF183" s="307" t="n"/>
      <c r="BG183" s="31" t="n"/>
      <c r="BH183" s="31" t="n"/>
      <c r="BI183" s="31" t="n"/>
      <c r="BJ183" s="31" t="n"/>
    </row>
    <row r="184" ht="15.75" customHeight="1" s="349">
      <c r="A184" s="31" t="n"/>
      <c r="B184" s="307" t="n"/>
      <c r="C184" s="307" t="n"/>
      <c r="D184" s="307" t="n"/>
      <c r="E184" s="307" t="n"/>
      <c r="F184" s="307" t="n"/>
      <c r="G184" s="307" t="n"/>
      <c r="H184" s="307" t="n"/>
      <c r="I184" s="307" t="n"/>
      <c r="J184" s="307" t="n"/>
      <c r="K184" s="307" t="n"/>
      <c r="L184" s="307" t="n"/>
      <c r="M184" s="307" t="n"/>
      <c r="N184" s="307" t="n"/>
      <c r="O184" s="307" t="n"/>
      <c r="P184" s="307" t="n"/>
      <c r="Q184" s="307" t="n"/>
      <c r="R184" s="307" t="n"/>
      <c r="S184" s="307" t="n"/>
      <c r="T184" s="307" t="n"/>
      <c r="U184" s="307" t="n"/>
      <c r="V184" s="307" t="n"/>
      <c r="W184" s="307" t="n"/>
      <c r="X184" s="307" t="n"/>
      <c r="Y184" s="307" t="n"/>
      <c r="Z184" s="307" t="n"/>
      <c r="AA184" s="307" t="n"/>
      <c r="AB184" s="307" t="n"/>
      <c r="AC184" s="307" t="n"/>
      <c r="AD184" s="307" t="n"/>
      <c r="AE184" s="307" t="n"/>
      <c r="AF184" s="307" t="n"/>
      <c r="AG184" s="307" t="n"/>
      <c r="AH184" s="307" t="n"/>
      <c r="AI184" s="307" t="n"/>
      <c r="AJ184" s="307" t="n"/>
      <c r="AK184" s="307" t="n"/>
      <c r="AL184" s="307" t="n"/>
      <c r="AM184" s="307" t="n"/>
      <c r="AN184" s="307" t="n"/>
      <c r="AO184" s="307" t="n"/>
      <c r="AP184" s="307" t="n"/>
      <c r="AQ184" s="307" t="n"/>
      <c r="AR184" s="307" t="n"/>
      <c r="AS184" s="307" t="n"/>
      <c r="AT184" s="307" t="n"/>
      <c r="AU184" s="307" t="n"/>
      <c r="AV184" s="307" t="n"/>
      <c r="AW184" s="307" t="n"/>
      <c r="AX184" s="307" t="n"/>
      <c r="AY184" s="307" t="n"/>
      <c r="AZ184" s="307" t="n"/>
      <c r="BA184" s="31" t="n"/>
      <c r="BB184" s="307" t="n"/>
      <c r="BC184" s="307" t="n"/>
      <c r="BD184" s="307" t="n"/>
      <c r="BE184" s="307" t="n"/>
      <c r="BF184" s="307" t="n"/>
      <c r="BG184" s="31" t="n"/>
      <c r="BH184" s="31" t="n"/>
      <c r="BI184" s="31" t="n"/>
      <c r="BJ184" s="31" t="n"/>
    </row>
    <row r="185" ht="15.75" customHeight="1" s="349">
      <c r="A185" s="31" t="n"/>
      <c r="B185" s="307" t="n"/>
      <c r="C185" s="307" t="n"/>
      <c r="D185" s="307" t="n"/>
      <c r="E185" s="307" t="n"/>
      <c r="F185" s="307" t="n"/>
      <c r="G185" s="307" t="n"/>
      <c r="H185" s="307" t="n"/>
      <c r="I185" s="307" t="n"/>
      <c r="J185" s="307" t="n"/>
      <c r="K185" s="307" t="n"/>
      <c r="L185" s="307" t="n"/>
      <c r="M185" s="307" t="n"/>
      <c r="N185" s="307" t="n"/>
      <c r="O185" s="307" t="n"/>
      <c r="P185" s="307" t="n"/>
      <c r="Q185" s="307" t="n"/>
      <c r="R185" s="307" t="n"/>
      <c r="S185" s="307" t="n"/>
      <c r="T185" s="307" t="n"/>
      <c r="U185" s="307" t="n"/>
      <c r="V185" s="307" t="n"/>
      <c r="W185" s="307" t="n"/>
      <c r="X185" s="307" t="n"/>
      <c r="Y185" s="307" t="n"/>
      <c r="Z185" s="307" t="n"/>
      <c r="AA185" s="307" t="n"/>
      <c r="AB185" s="307" t="n"/>
      <c r="AC185" s="307" t="n"/>
      <c r="AD185" s="307" t="n"/>
      <c r="AE185" s="307" t="n"/>
      <c r="AF185" s="307" t="n"/>
      <c r="AG185" s="307" t="n"/>
      <c r="AH185" s="307" t="n"/>
      <c r="AI185" s="307" t="n"/>
      <c r="AJ185" s="307" t="n"/>
      <c r="AK185" s="307" t="n"/>
      <c r="AL185" s="307" t="n"/>
      <c r="AM185" s="307" t="n"/>
      <c r="AN185" s="307" t="n"/>
      <c r="AO185" s="307" t="n"/>
      <c r="AP185" s="307" t="n"/>
      <c r="AQ185" s="307" t="n"/>
      <c r="AR185" s="307" t="n"/>
      <c r="AS185" s="307" t="n"/>
      <c r="AT185" s="307" t="n"/>
      <c r="AU185" s="307" t="n"/>
      <c r="AV185" s="307" t="n"/>
      <c r="AW185" s="307" t="n"/>
      <c r="AX185" s="307" t="n"/>
      <c r="AY185" s="307" t="n"/>
      <c r="AZ185" s="307" t="n"/>
      <c r="BA185" s="31" t="n"/>
      <c r="BB185" s="307" t="n"/>
      <c r="BC185" s="307" t="n"/>
      <c r="BD185" s="307" t="n"/>
      <c r="BE185" s="307" t="n"/>
      <c r="BF185" s="307" t="n"/>
      <c r="BG185" s="31" t="n"/>
      <c r="BH185" s="31" t="n"/>
      <c r="BI185" s="31" t="n"/>
      <c r="BJ185" s="31" t="n"/>
    </row>
    <row r="186" ht="15.75" customHeight="1" s="349">
      <c r="A186" s="31" t="n"/>
      <c r="B186" s="307" t="n"/>
      <c r="C186" s="307" t="n"/>
      <c r="D186" s="307" t="n"/>
      <c r="E186" s="307" t="n"/>
      <c r="F186" s="307" t="n"/>
      <c r="G186" s="307" t="n"/>
      <c r="H186" s="307" t="n"/>
      <c r="I186" s="307" t="n"/>
      <c r="J186" s="307" t="n"/>
      <c r="K186" s="307" t="n"/>
      <c r="L186" s="307" t="n"/>
      <c r="M186" s="307" t="n"/>
      <c r="N186" s="307" t="n"/>
      <c r="O186" s="307" t="n"/>
      <c r="P186" s="307" t="n"/>
      <c r="Q186" s="307" t="n"/>
      <c r="R186" s="307" t="n"/>
      <c r="S186" s="307" t="n"/>
      <c r="T186" s="307" t="n"/>
      <c r="U186" s="307" t="n"/>
      <c r="V186" s="307" t="n"/>
      <c r="W186" s="307" t="n"/>
      <c r="X186" s="307" t="n"/>
      <c r="Y186" s="307" t="n"/>
      <c r="Z186" s="307" t="n"/>
      <c r="AA186" s="307" t="n"/>
      <c r="AB186" s="307" t="n"/>
      <c r="AC186" s="307" t="n"/>
      <c r="AD186" s="307" t="n"/>
      <c r="AE186" s="307" t="n"/>
      <c r="AF186" s="307" t="n"/>
      <c r="AG186" s="307" t="n"/>
      <c r="AH186" s="307" t="n"/>
      <c r="AI186" s="307" t="n"/>
      <c r="AJ186" s="307" t="n"/>
      <c r="AK186" s="307" t="n"/>
      <c r="AL186" s="307" t="n"/>
      <c r="AM186" s="307" t="n"/>
      <c r="AN186" s="307" t="n"/>
      <c r="AO186" s="307" t="n"/>
      <c r="AP186" s="307" t="n"/>
      <c r="AQ186" s="307" t="n"/>
      <c r="AR186" s="307" t="n"/>
      <c r="AS186" s="307" t="n"/>
      <c r="AT186" s="307" t="n"/>
      <c r="AU186" s="307" t="n"/>
      <c r="AV186" s="307" t="n"/>
      <c r="AW186" s="307" t="n"/>
      <c r="AX186" s="307" t="n"/>
      <c r="AY186" s="307" t="n"/>
      <c r="AZ186" s="307" t="n"/>
      <c r="BA186" s="31" t="n"/>
      <c r="BB186" s="307" t="n"/>
      <c r="BC186" s="307" t="n"/>
      <c r="BD186" s="307" t="n"/>
      <c r="BE186" s="307" t="n"/>
      <c r="BF186" s="307" t="n"/>
      <c r="BG186" s="31" t="n"/>
      <c r="BH186" s="31" t="n"/>
      <c r="BI186" s="31" t="n"/>
      <c r="BJ186" s="31" t="n"/>
    </row>
    <row r="187" ht="15.75" customHeight="1" s="349">
      <c r="A187" s="31" t="n"/>
      <c r="B187" s="307" t="n"/>
      <c r="C187" s="307" t="n"/>
      <c r="D187" s="307" t="n"/>
      <c r="E187" s="307" t="n"/>
      <c r="F187" s="307" t="n"/>
      <c r="G187" s="307" t="n"/>
      <c r="H187" s="307" t="n"/>
      <c r="I187" s="307" t="n"/>
      <c r="J187" s="307" t="n"/>
      <c r="K187" s="307" t="n"/>
      <c r="L187" s="307" t="n"/>
      <c r="M187" s="307" t="n"/>
      <c r="N187" s="307" t="n"/>
      <c r="O187" s="307" t="n"/>
      <c r="P187" s="307" t="n"/>
      <c r="Q187" s="307" t="n"/>
      <c r="R187" s="307" t="n"/>
      <c r="S187" s="307" t="n"/>
      <c r="T187" s="307" t="n"/>
      <c r="U187" s="307" t="n"/>
      <c r="V187" s="307" t="n"/>
      <c r="W187" s="307" t="n"/>
      <c r="X187" s="307" t="n"/>
      <c r="Y187" s="307" t="n"/>
      <c r="Z187" s="307" t="n"/>
      <c r="AA187" s="307" t="n"/>
      <c r="AB187" s="307" t="n"/>
      <c r="AC187" s="307" t="n"/>
      <c r="AD187" s="307" t="n"/>
      <c r="AE187" s="307" t="n"/>
      <c r="AF187" s="307" t="n"/>
      <c r="AG187" s="307" t="n"/>
      <c r="AH187" s="307" t="n"/>
      <c r="AI187" s="307" t="n"/>
      <c r="AJ187" s="307" t="n"/>
      <c r="AK187" s="307" t="n"/>
      <c r="AL187" s="307" t="n"/>
      <c r="AM187" s="307" t="n"/>
      <c r="AN187" s="307" t="n"/>
      <c r="AO187" s="307" t="n"/>
      <c r="AP187" s="307" t="n"/>
      <c r="AQ187" s="307" t="n"/>
      <c r="AR187" s="307" t="n"/>
      <c r="AS187" s="307" t="n"/>
      <c r="AT187" s="307" t="n"/>
      <c r="AU187" s="307" t="n"/>
      <c r="AV187" s="307" t="n"/>
      <c r="AW187" s="307" t="n"/>
      <c r="AX187" s="307" t="n"/>
      <c r="AY187" s="307" t="n"/>
      <c r="AZ187" s="307" t="n"/>
      <c r="BA187" s="31" t="n"/>
      <c r="BB187" s="307" t="n"/>
      <c r="BC187" s="307" t="n"/>
      <c r="BD187" s="307" t="n"/>
      <c r="BE187" s="307" t="n"/>
      <c r="BF187" s="307" t="n"/>
      <c r="BG187" s="31" t="n"/>
      <c r="BH187" s="31" t="n"/>
      <c r="BI187" s="31" t="n"/>
      <c r="BJ187" s="31" t="n"/>
    </row>
    <row r="188" ht="15.75" customHeight="1" s="349">
      <c r="A188" s="31" t="n"/>
      <c r="B188" s="307" t="n"/>
      <c r="C188" s="307" t="n"/>
      <c r="D188" s="307" t="n"/>
      <c r="E188" s="307" t="n"/>
      <c r="F188" s="307" t="n"/>
      <c r="G188" s="307" t="n"/>
      <c r="H188" s="307" t="n"/>
      <c r="I188" s="307" t="n"/>
      <c r="J188" s="307" t="n"/>
      <c r="K188" s="307" t="n"/>
      <c r="L188" s="307" t="n"/>
      <c r="M188" s="307" t="n"/>
      <c r="N188" s="307" t="n"/>
      <c r="O188" s="307" t="n"/>
      <c r="P188" s="307" t="n"/>
      <c r="Q188" s="307" t="n"/>
      <c r="R188" s="307" t="n"/>
      <c r="S188" s="307" t="n"/>
      <c r="T188" s="307" t="n"/>
      <c r="U188" s="307" t="n"/>
      <c r="V188" s="307" t="n"/>
      <c r="W188" s="307" t="n"/>
      <c r="X188" s="307" t="n"/>
      <c r="Y188" s="307" t="n"/>
      <c r="Z188" s="307" t="n"/>
      <c r="AA188" s="307" t="n"/>
      <c r="AB188" s="307" t="n"/>
      <c r="AC188" s="307" t="n"/>
      <c r="AD188" s="307" t="n"/>
      <c r="AE188" s="307" t="n"/>
      <c r="AF188" s="307" t="n"/>
      <c r="AG188" s="307" t="n"/>
      <c r="AH188" s="307" t="n"/>
      <c r="AI188" s="307" t="n"/>
      <c r="AJ188" s="307" t="n"/>
      <c r="AK188" s="307" t="n"/>
      <c r="AL188" s="307" t="n"/>
      <c r="AM188" s="307" t="n"/>
      <c r="AN188" s="307" t="n"/>
      <c r="AO188" s="307" t="n"/>
      <c r="AP188" s="307" t="n"/>
      <c r="AQ188" s="307" t="n"/>
      <c r="AR188" s="307" t="n"/>
      <c r="AS188" s="307" t="n"/>
      <c r="AT188" s="307" t="n"/>
      <c r="AU188" s="307" t="n"/>
      <c r="AV188" s="307" t="n"/>
      <c r="AW188" s="307" t="n"/>
      <c r="AX188" s="307" t="n"/>
      <c r="AY188" s="307" t="n"/>
      <c r="AZ188" s="307" t="n"/>
      <c r="BA188" s="31" t="n"/>
      <c r="BB188" s="307" t="n"/>
      <c r="BC188" s="307" t="n"/>
      <c r="BD188" s="307" t="n"/>
      <c r="BE188" s="307" t="n"/>
      <c r="BF188" s="307" t="n"/>
      <c r="BG188" s="31" t="n"/>
      <c r="BH188" s="31" t="n"/>
      <c r="BI188" s="31" t="n"/>
      <c r="BJ188" s="31" t="n"/>
    </row>
    <row r="189" ht="15.75" customHeight="1" s="349">
      <c r="A189" s="31" t="n"/>
      <c r="B189" s="307" t="n"/>
      <c r="C189" s="307" t="n"/>
      <c r="D189" s="307" t="n"/>
      <c r="E189" s="307" t="n"/>
      <c r="F189" s="307" t="n"/>
      <c r="G189" s="307" t="n"/>
      <c r="H189" s="307" t="n"/>
      <c r="I189" s="307" t="n"/>
      <c r="J189" s="307" t="n"/>
      <c r="K189" s="307" t="n"/>
      <c r="L189" s="307" t="n"/>
      <c r="M189" s="307" t="n"/>
      <c r="N189" s="307" t="n"/>
      <c r="O189" s="307" t="n"/>
      <c r="P189" s="307" t="n"/>
      <c r="Q189" s="307" t="n"/>
      <c r="R189" s="307" t="n"/>
      <c r="S189" s="307" t="n"/>
      <c r="T189" s="307" t="n"/>
      <c r="U189" s="307" t="n"/>
      <c r="V189" s="307" t="n"/>
      <c r="W189" s="307" t="n"/>
      <c r="X189" s="307" t="n"/>
      <c r="Y189" s="307" t="n"/>
      <c r="Z189" s="307" t="n"/>
      <c r="AA189" s="307" t="n"/>
      <c r="AB189" s="307" t="n"/>
      <c r="AC189" s="307" t="n"/>
      <c r="AD189" s="307" t="n"/>
      <c r="AE189" s="307" t="n"/>
      <c r="AF189" s="307" t="n"/>
      <c r="AG189" s="307" t="n"/>
      <c r="AH189" s="307" t="n"/>
      <c r="AI189" s="307" t="n"/>
      <c r="AJ189" s="307" t="n"/>
      <c r="AK189" s="307" t="n"/>
      <c r="AL189" s="307" t="n"/>
      <c r="AM189" s="307" t="n"/>
      <c r="AN189" s="307" t="n"/>
      <c r="AO189" s="307" t="n"/>
      <c r="AP189" s="307" t="n"/>
      <c r="AQ189" s="307" t="n"/>
      <c r="AR189" s="307" t="n"/>
      <c r="AS189" s="307" t="n"/>
      <c r="AT189" s="307" t="n"/>
      <c r="AU189" s="307" t="n"/>
      <c r="AV189" s="307" t="n"/>
      <c r="AW189" s="307" t="n"/>
      <c r="AX189" s="307" t="n"/>
      <c r="AY189" s="307" t="n"/>
      <c r="AZ189" s="307" t="n"/>
      <c r="BA189" s="31" t="n"/>
      <c r="BB189" s="307" t="n"/>
      <c r="BC189" s="307" t="n"/>
      <c r="BD189" s="307" t="n"/>
      <c r="BE189" s="307" t="n"/>
      <c r="BF189" s="307" t="n"/>
      <c r="BG189" s="31" t="n"/>
      <c r="BH189" s="31" t="n"/>
      <c r="BI189" s="31" t="n"/>
      <c r="BJ189" s="31" t="n"/>
    </row>
    <row r="190" ht="15.75" customHeight="1" s="349">
      <c r="A190" s="31" t="n"/>
      <c r="B190" s="307" t="n"/>
      <c r="C190" s="307" t="n"/>
      <c r="D190" s="307" t="n"/>
      <c r="E190" s="307" t="n"/>
      <c r="F190" s="307" t="n"/>
      <c r="G190" s="307" t="n"/>
      <c r="H190" s="307" t="n"/>
      <c r="I190" s="307" t="n"/>
      <c r="J190" s="307" t="n"/>
      <c r="K190" s="307" t="n"/>
      <c r="L190" s="307" t="n"/>
      <c r="M190" s="307" t="n"/>
      <c r="N190" s="307" t="n"/>
      <c r="O190" s="307" t="n"/>
      <c r="P190" s="307" t="n"/>
      <c r="Q190" s="307" t="n"/>
      <c r="R190" s="307" t="n"/>
      <c r="S190" s="307" t="n"/>
      <c r="T190" s="307" t="n"/>
      <c r="U190" s="307" t="n"/>
      <c r="V190" s="307" t="n"/>
      <c r="W190" s="307" t="n"/>
      <c r="X190" s="307" t="n"/>
      <c r="Y190" s="307" t="n"/>
      <c r="Z190" s="307" t="n"/>
      <c r="AA190" s="307" t="n"/>
      <c r="AB190" s="307" t="n"/>
      <c r="AC190" s="307" t="n"/>
      <c r="AD190" s="307" t="n"/>
      <c r="AE190" s="307" t="n"/>
      <c r="AF190" s="307" t="n"/>
      <c r="AG190" s="307" t="n"/>
      <c r="AH190" s="307" t="n"/>
      <c r="AI190" s="307" t="n"/>
      <c r="AJ190" s="307" t="n"/>
      <c r="AK190" s="307" t="n"/>
      <c r="AL190" s="307" t="n"/>
      <c r="AM190" s="307" t="n"/>
      <c r="AN190" s="307" t="n"/>
      <c r="AO190" s="307" t="n"/>
      <c r="AP190" s="307" t="n"/>
      <c r="AQ190" s="307" t="n"/>
      <c r="AR190" s="307" t="n"/>
      <c r="AS190" s="307" t="n"/>
      <c r="AT190" s="307" t="n"/>
      <c r="AU190" s="307" t="n"/>
      <c r="AV190" s="307" t="n"/>
      <c r="AW190" s="307" t="n"/>
      <c r="AX190" s="307" t="n"/>
      <c r="AY190" s="307" t="n"/>
      <c r="AZ190" s="307" t="n"/>
      <c r="BA190" s="31" t="n"/>
      <c r="BB190" s="307" t="n"/>
      <c r="BC190" s="307" t="n"/>
      <c r="BD190" s="307" t="n"/>
      <c r="BE190" s="307" t="n"/>
      <c r="BF190" s="307" t="n"/>
      <c r="BG190" s="31" t="n"/>
      <c r="BH190" s="31" t="n"/>
      <c r="BI190" s="31" t="n"/>
      <c r="BJ190" s="31" t="n"/>
    </row>
    <row r="191" ht="15.75" customHeight="1" s="349">
      <c r="A191" s="31" t="n"/>
      <c r="B191" s="307" t="n"/>
      <c r="C191" s="307" t="n"/>
      <c r="D191" s="307" t="n"/>
      <c r="E191" s="307" t="n"/>
      <c r="F191" s="307" t="n"/>
      <c r="G191" s="307" t="n"/>
      <c r="H191" s="307" t="n"/>
      <c r="I191" s="307" t="n"/>
      <c r="J191" s="307" t="n"/>
      <c r="K191" s="307" t="n"/>
      <c r="L191" s="307" t="n"/>
      <c r="M191" s="307" t="n"/>
      <c r="N191" s="307" t="n"/>
      <c r="O191" s="307" t="n"/>
      <c r="P191" s="307" t="n"/>
      <c r="Q191" s="307" t="n"/>
      <c r="R191" s="307" t="n"/>
      <c r="S191" s="307" t="n"/>
      <c r="T191" s="307" t="n"/>
      <c r="U191" s="307" t="n"/>
      <c r="V191" s="307" t="n"/>
      <c r="W191" s="307" t="n"/>
      <c r="X191" s="307" t="n"/>
      <c r="Y191" s="307" t="n"/>
      <c r="Z191" s="307" t="n"/>
      <c r="AA191" s="307" t="n"/>
      <c r="AB191" s="307" t="n"/>
      <c r="AC191" s="307" t="n"/>
      <c r="AD191" s="307" t="n"/>
      <c r="AE191" s="307" t="n"/>
      <c r="AF191" s="307" t="n"/>
      <c r="AG191" s="307" t="n"/>
      <c r="AH191" s="307" t="n"/>
      <c r="AI191" s="307" t="n"/>
      <c r="AJ191" s="307" t="n"/>
      <c r="AK191" s="307" t="n"/>
      <c r="AL191" s="307" t="n"/>
      <c r="AM191" s="307" t="n"/>
      <c r="AN191" s="307" t="n"/>
      <c r="AO191" s="307" t="n"/>
      <c r="AP191" s="307" t="n"/>
      <c r="AQ191" s="307" t="n"/>
      <c r="AR191" s="307" t="n"/>
      <c r="AS191" s="307" t="n"/>
      <c r="AT191" s="307" t="n"/>
      <c r="AU191" s="307" t="n"/>
      <c r="AV191" s="307" t="n"/>
      <c r="AW191" s="307" t="n"/>
      <c r="AX191" s="307" t="n"/>
      <c r="AY191" s="307" t="n"/>
      <c r="AZ191" s="307" t="n"/>
      <c r="BA191" s="31" t="n"/>
      <c r="BB191" s="307" t="n"/>
      <c r="BC191" s="307" t="n"/>
      <c r="BD191" s="307" t="n"/>
      <c r="BE191" s="307" t="n"/>
      <c r="BF191" s="307" t="n"/>
      <c r="BG191" s="31" t="n"/>
      <c r="BH191" s="31" t="n"/>
      <c r="BI191" s="31" t="n"/>
      <c r="BJ191" s="31" t="n"/>
    </row>
    <row r="192" ht="15.75" customHeight="1" s="349">
      <c r="A192" s="31" t="n"/>
      <c r="B192" s="307" t="n"/>
      <c r="C192" s="307" t="n"/>
      <c r="D192" s="307" t="n"/>
      <c r="E192" s="307" t="n"/>
      <c r="F192" s="307" t="n"/>
      <c r="G192" s="307" t="n"/>
      <c r="H192" s="307" t="n"/>
      <c r="I192" s="307" t="n"/>
      <c r="J192" s="307" t="n"/>
      <c r="K192" s="307" t="n"/>
      <c r="L192" s="307" t="n"/>
      <c r="M192" s="307" t="n"/>
      <c r="N192" s="307" t="n"/>
      <c r="O192" s="307" t="n"/>
      <c r="P192" s="307" t="n"/>
      <c r="Q192" s="307" t="n"/>
      <c r="R192" s="307" t="n"/>
      <c r="S192" s="307" t="n"/>
      <c r="T192" s="307" t="n"/>
      <c r="U192" s="307" t="n"/>
      <c r="V192" s="307" t="n"/>
      <c r="W192" s="307" t="n"/>
      <c r="X192" s="307" t="n"/>
      <c r="Y192" s="307" t="n"/>
      <c r="Z192" s="307" t="n"/>
      <c r="AA192" s="307" t="n"/>
      <c r="AB192" s="307" t="n"/>
      <c r="AC192" s="307" t="n"/>
      <c r="AD192" s="307" t="n"/>
      <c r="AE192" s="307" t="n"/>
      <c r="AF192" s="307" t="n"/>
      <c r="AG192" s="307" t="n"/>
      <c r="AH192" s="307" t="n"/>
      <c r="AI192" s="307" t="n"/>
      <c r="AJ192" s="307" t="n"/>
      <c r="AK192" s="307" t="n"/>
      <c r="AL192" s="307" t="n"/>
      <c r="AM192" s="307" t="n"/>
      <c r="AN192" s="307" t="n"/>
      <c r="AO192" s="307" t="n"/>
      <c r="AP192" s="307" t="n"/>
      <c r="AQ192" s="307" t="n"/>
      <c r="AR192" s="307" t="n"/>
      <c r="AS192" s="307" t="n"/>
      <c r="AT192" s="307" t="n"/>
      <c r="AU192" s="307" t="n"/>
      <c r="AV192" s="307" t="n"/>
      <c r="AW192" s="307" t="n"/>
      <c r="AX192" s="307" t="n"/>
      <c r="AY192" s="307" t="n"/>
      <c r="AZ192" s="307" t="n"/>
      <c r="BA192" s="31" t="n"/>
      <c r="BB192" s="307" t="n"/>
      <c r="BC192" s="307" t="n"/>
      <c r="BD192" s="307" t="n"/>
      <c r="BE192" s="307" t="n"/>
      <c r="BF192" s="307" t="n"/>
      <c r="BG192" s="31" t="n"/>
      <c r="BH192" s="31" t="n"/>
      <c r="BI192" s="31" t="n"/>
      <c r="BJ192" s="31" t="n"/>
    </row>
    <row r="193" ht="15.75" customHeight="1" s="349">
      <c r="A193" s="31" t="n"/>
      <c r="B193" s="307" t="n"/>
      <c r="C193" s="307" t="n"/>
      <c r="D193" s="307" t="n"/>
      <c r="E193" s="307" t="n"/>
      <c r="F193" s="307" t="n"/>
      <c r="G193" s="307" t="n"/>
      <c r="H193" s="307" t="n"/>
      <c r="I193" s="307" t="n"/>
      <c r="J193" s="307" t="n"/>
      <c r="K193" s="307" t="n"/>
      <c r="L193" s="307" t="n"/>
      <c r="M193" s="307" t="n"/>
      <c r="N193" s="307" t="n"/>
      <c r="O193" s="307" t="n"/>
      <c r="P193" s="307" t="n"/>
      <c r="Q193" s="307" t="n"/>
      <c r="R193" s="307" t="n"/>
      <c r="S193" s="307" t="n"/>
      <c r="T193" s="307" t="n"/>
      <c r="U193" s="307" t="n"/>
      <c r="V193" s="307" t="n"/>
      <c r="W193" s="307" t="n"/>
      <c r="X193" s="307" t="n"/>
      <c r="Y193" s="307" t="n"/>
      <c r="Z193" s="307" t="n"/>
      <c r="AA193" s="307" t="n"/>
      <c r="AB193" s="307" t="n"/>
      <c r="AC193" s="307" t="n"/>
      <c r="AD193" s="307" t="n"/>
      <c r="AE193" s="307" t="n"/>
      <c r="AF193" s="307" t="n"/>
      <c r="AG193" s="307" t="n"/>
      <c r="AH193" s="307" t="n"/>
      <c r="AI193" s="307" t="n"/>
      <c r="AJ193" s="307" t="n"/>
      <c r="AK193" s="307" t="n"/>
      <c r="AL193" s="307" t="n"/>
      <c r="AM193" s="307" t="n"/>
      <c r="AN193" s="307" t="n"/>
      <c r="AO193" s="307" t="n"/>
      <c r="AP193" s="307" t="n"/>
      <c r="AQ193" s="307" t="n"/>
      <c r="AR193" s="307" t="n"/>
      <c r="AS193" s="307" t="n"/>
      <c r="AT193" s="307" t="n"/>
      <c r="AU193" s="307" t="n"/>
      <c r="AV193" s="307" t="n"/>
      <c r="AW193" s="307" t="n"/>
      <c r="AX193" s="307" t="n"/>
      <c r="AY193" s="307" t="n"/>
      <c r="AZ193" s="307" t="n"/>
      <c r="BA193" s="31" t="n"/>
      <c r="BB193" s="307" t="n"/>
      <c r="BC193" s="307" t="n"/>
      <c r="BD193" s="307" t="n"/>
      <c r="BE193" s="307" t="n"/>
      <c r="BF193" s="307" t="n"/>
      <c r="BG193" s="31" t="n"/>
      <c r="BH193" s="31" t="n"/>
      <c r="BI193" s="31" t="n"/>
      <c r="BJ193" s="31" t="n"/>
    </row>
    <row r="194" ht="15.75" customHeight="1" s="349">
      <c r="A194" s="31" t="n"/>
      <c r="B194" s="307" t="n"/>
      <c r="C194" s="307" t="n"/>
      <c r="D194" s="307" t="n"/>
      <c r="E194" s="307" t="n"/>
      <c r="F194" s="307" t="n"/>
      <c r="G194" s="307" t="n"/>
      <c r="H194" s="307" t="n"/>
      <c r="I194" s="307" t="n"/>
      <c r="J194" s="307" t="n"/>
      <c r="K194" s="307" t="n"/>
      <c r="L194" s="307" t="n"/>
      <c r="M194" s="307" t="n"/>
      <c r="N194" s="307" t="n"/>
      <c r="O194" s="307" t="n"/>
      <c r="P194" s="307" t="n"/>
      <c r="Q194" s="307" t="n"/>
      <c r="R194" s="307" t="n"/>
      <c r="S194" s="307" t="n"/>
      <c r="T194" s="307" t="n"/>
      <c r="U194" s="307" t="n"/>
      <c r="V194" s="307" t="n"/>
      <c r="W194" s="307" t="n"/>
      <c r="X194" s="307" t="n"/>
      <c r="Y194" s="307" t="n"/>
      <c r="Z194" s="307" t="n"/>
      <c r="AA194" s="307" t="n"/>
      <c r="AB194" s="307" t="n"/>
      <c r="AC194" s="307" t="n"/>
      <c r="AD194" s="307" t="n"/>
      <c r="AE194" s="307" t="n"/>
      <c r="AF194" s="307" t="n"/>
      <c r="AG194" s="307" t="n"/>
      <c r="AH194" s="307" t="n"/>
      <c r="AI194" s="307" t="n"/>
      <c r="AJ194" s="307" t="n"/>
      <c r="AK194" s="307" t="n"/>
      <c r="AL194" s="307" t="n"/>
      <c r="AM194" s="307" t="n"/>
      <c r="AN194" s="307" t="n"/>
      <c r="AO194" s="307" t="n"/>
      <c r="AP194" s="307" t="n"/>
      <c r="AQ194" s="307" t="n"/>
      <c r="AR194" s="307" t="n"/>
      <c r="AS194" s="307" t="n"/>
      <c r="AT194" s="307" t="n"/>
      <c r="AU194" s="307" t="n"/>
      <c r="AV194" s="307" t="n"/>
      <c r="AW194" s="307" t="n"/>
      <c r="AX194" s="307" t="n"/>
      <c r="AY194" s="307" t="n"/>
      <c r="AZ194" s="307" t="n"/>
      <c r="BA194" s="31" t="n"/>
      <c r="BB194" s="307" t="n"/>
      <c r="BC194" s="307" t="n"/>
      <c r="BD194" s="307" t="n"/>
      <c r="BE194" s="307" t="n"/>
      <c r="BF194" s="307" t="n"/>
      <c r="BG194" s="31" t="n"/>
      <c r="BH194" s="31" t="n"/>
      <c r="BI194" s="31" t="n"/>
      <c r="BJ194" s="31" t="n"/>
    </row>
    <row r="195" ht="15.75" customHeight="1" s="349">
      <c r="A195" s="31" t="n"/>
      <c r="B195" s="307" t="n"/>
      <c r="C195" s="307" t="n"/>
      <c r="D195" s="307" t="n"/>
      <c r="E195" s="307" t="n"/>
      <c r="F195" s="307" t="n"/>
      <c r="G195" s="307" t="n"/>
      <c r="H195" s="307" t="n"/>
      <c r="I195" s="307" t="n"/>
      <c r="J195" s="307" t="n"/>
      <c r="K195" s="307" t="n"/>
      <c r="L195" s="307" t="n"/>
      <c r="M195" s="307" t="n"/>
      <c r="N195" s="307" t="n"/>
      <c r="O195" s="307" t="n"/>
      <c r="P195" s="307" t="n"/>
      <c r="Q195" s="307" t="n"/>
      <c r="R195" s="307" t="n"/>
      <c r="S195" s="307" t="n"/>
      <c r="T195" s="307" t="n"/>
      <c r="U195" s="307" t="n"/>
      <c r="V195" s="307" t="n"/>
      <c r="W195" s="307" t="n"/>
      <c r="X195" s="307" t="n"/>
      <c r="Y195" s="307" t="n"/>
      <c r="Z195" s="307" t="n"/>
      <c r="AA195" s="307" t="n"/>
      <c r="AB195" s="307" t="n"/>
      <c r="AC195" s="307" t="n"/>
      <c r="AD195" s="307" t="n"/>
      <c r="AE195" s="307" t="n"/>
      <c r="AF195" s="307" t="n"/>
      <c r="AG195" s="307" t="n"/>
      <c r="AH195" s="307" t="n"/>
      <c r="AI195" s="307" t="n"/>
      <c r="AJ195" s="307" t="n"/>
      <c r="AK195" s="307" t="n"/>
      <c r="AL195" s="307" t="n"/>
      <c r="AM195" s="307" t="n"/>
      <c r="AN195" s="307" t="n"/>
      <c r="AO195" s="307" t="n"/>
      <c r="AP195" s="307" t="n"/>
      <c r="AQ195" s="307" t="n"/>
      <c r="AR195" s="307" t="n"/>
      <c r="AS195" s="307" t="n"/>
      <c r="AT195" s="307" t="n"/>
      <c r="AU195" s="307" t="n"/>
      <c r="AV195" s="307" t="n"/>
      <c r="AW195" s="307" t="n"/>
      <c r="AX195" s="307" t="n"/>
      <c r="AY195" s="307" t="n"/>
      <c r="AZ195" s="307" t="n"/>
      <c r="BA195" s="31" t="n"/>
      <c r="BB195" s="307" t="n"/>
      <c r="BC195" s="307" t="n"/>
      <c r="BD195" s="307" t="n"/>
      <c r="BE195" s="307" t="n"/>
      <c r="BF195" s="307" t="n"/>
      <c r="BG195" s="31" t="n"/>
      <c r="BH195" s="31" t="n"/>
      <c r="BI195" s="31" t="n"/>
      <c r="BJ195" s="31" t="n"/>
    </row>
    <row r="196" ht="15.75" customHeight="1" s="349">
      <c r="A196" s="31" t="n"/>
      <c r="B196" s="307" t="n"/>
      <c r="C196" s="307" t="n"/>
      <c r="D196" s="307" t="n"/>
      <c r="E196" s="307" t="n"/>
      <c r="F196" s="307" t="n"/>
      <c r="G196" s="307" t="n"/>
      <c r="H196" s="307" t="n"/>
      <c r="I196" s="307" t="n"/>
      <c r="J196" s="307" t="n"/>
      <c r="K196" s="307" t="n"/>
      <c r="L196" s="307" t="n"/>
      <c r="M196" s="307" t="n"/>
      <c r="N196" s="307" t="n"/>
      <c r="O196" s="307" t="n"/>
      <c r="P196" s="307" t="n"/>
      <c r="Q196" s="307" t="n"/>
      <c r="R196" s="307" t="n"/>
      <c r="S196" s="307" t="n"/>
      <c r="T196" s="307" t="n"/>
      <c r="U196" s="307" t="n"/>
      <c r="V196" s="307" t="n"/>
      <c r="W196" s="307" t="n"/>
      <c r="X196" s="307" t="n"/>
      <c r="Y196" s="307" t="n"/>
      <c r="Z196" s="307" t="n"/>
      <c r="AA196" s="307" t="n"/>
      <c r="AB196" s="307" t="n"/>
      <c r="AC196" s="307" t="n"/>
      <c r="AD196" s="307" t="n"/>
      <c r="AE196" s="307" t="n"/>
      <c r="AF196" s="307" t="n"/>
      <c r="AG196" s="307" t="n"/>
      <c r="AH196" s="307" t="n"/>
      <c r="AI196" s="307" t="n"/>
      <c r="AJ196" s="307" t="n"/>
      <c r="AK196" s="307" t="n"/>
      <c r="AL196" s="307" t="n"/>
      <c r="AM196" s="307" t="n"/>
      <c r="AN196" s="307" t="n"/>
      <c r="AO196" s="307" t="n"/>
      <c r="AP196" s="307" t="n"/>
      <c r="AQ196" s="307" t="n"/>
      <c r="AR196" s="307" t="n"/>
      <c r="AS196" s="307" t="n"/>
      <c r="AT196" s="307" t="n"/>
      <c r="AU196" s="307" t="n"/>
      <c r="AV196" s="307" t="n"/>
      <c r="AW196" s="307" t="n"/>
      <c r="AX196" s="307" t="n"/>
      <c r="AY196" s="307" t="n"/>
      <c r="AZ196" s="307" t="n"/>
      <c r="BA196" s="31" t="n"/>
      <c r="BB196" s="307" t="n"/>
      <c r="BC196" s="307" t="n"/>
      <c r="BD196" s="307" t="n"/>
      <c r="BE196" s="307" t="n"/>
      <c r="BF196" s="307" t="n"/>
      <c r="BG196" s="31" t="n"/>
      <c r="BH196" s="31" t="n"/>
      <c r="BI196" s="31" t="n"/>
      <c r="BJ196" s="31" t="n"/>
    </row>
    <row r="197" ht="15.75" customHeight="1" s="349">
      <c r="A197" s="31" t="n"/>
      <c r="B197" s="307" t="n"/>
      <c r="C197" s="307" t="n"/>
      <c r="D197" s="307" t="n"/>
      <c r="E197" s="307" t="n"/>
      <c r="F197" s="307" t="n"/>
      <c r="G197" s="307" t="n"/>
      <c r="H197" s="307" t="n"/>
      <c r="I197" s="307" t="n"/>
      <c r="J197" s="307" t="n"/>
      <c r="K197" s="307" t="n"/>
      <c r="L197" s="307" t="n"/>
      <c r="M197" s="307" t="n"/>
      <c r="N197" s="307" t="n"/>
      <c r="O197" s="307" t="n"/>
      <c r="P197" s="307" t="n"/>
      <c r="Q197" s="307" t="n"/>
      <c r="R197" s="307" t="n"/>
      <c r="S197" s="307" t="n"/>
      <c r="T197" s="307" t="n"/>
      <c r="U197" s="307" t="n"/>
      <c r="V197" s="307" t="n"/>
      <c r="W197" s="307" t="n"/>
      <c r="X197" s="307" t="n"/>
      <c r="Y197" s="307" t="n"/>
      <c r="Z197" s="307" t="n"/>
      <c r="AA197" s="307" t="n"/>
      <c r="AB197" s="307" t="n"/>
      <c r="AC197" s="307" t="n"/>
      <c r="AD197" s="307" t="n"/>
      <c r="AE197" s="307" t="n"/>
      <c r="AF197" s="307" t="n"/>
      <c r="AG197" s="307" t="n"/>
      <c r="AH197" s="307" t="n"/>
      <c r="AI197" s="307" t="n"/>
      <c r="AJ197" s="307" t="n"/>
      <c r="AK197" s="307" t="n"/>
      <c r="AL197" s="307" t="n"/>
      <c r="AM197" s="307" t="n"/>
      <c r="AN197" s="307" t="n"/>
      <c r="AO197" s="307" t="n"/>
      <c r="AP197" s="307" t="n"/>
      <c r="AQ197" s="307" t="n"/>
      <c r="AR197" s="307" t="n"/>
      <c r="AS197" s="307" t="n"/>
      <c r="AT197" s="307" t="n"/>
      <c r="AU197" s="307" t="n"/>
      <c r="AV197" s="307" t="n"/>
      <c r="AW197" s="307" t="n"/>
      <c r="AX197" s="307" t="n"/>
      <c r="AY197" s="307" t="n"/>
      <c r="AZ197" s="307" t="n"/>
      <c r="BA197" s="31" t="n"/>
      <c r="BB197" s="307" t="n"/>
      <c r="BC197" s="307" t="n"/>
      <c r="BD197" s="307" t="n"/>
      <c r="BE197" s="307" t="n"/>
      <c r="BF197" s="307" t="n"/>
      <c r="BG197" s="31" t="n"/>
      <c r="BH197" s="31" t="n"/>
      <c r="BI197" s="31" t="n"/>
      <c r="BJ197" s="31" t="n"/>
    </row>
    <row r="198" ht="15.75" customHeight="1" s="349">
      <c r="A198" s="31" t="n"/>
      <c r="B198" s="307" t="n"/>
      <c r="C198" s="307" t="n"/>
      <c r="D198" s="307" t="n"/>
      <c r="E198" s="307" t="n"/>
      <c r="F198" s="307" t="n"/>
      <c r="G198" s="307" t="n"/>
      <c r="H198" s="307" t="n"/>
      <c r="I198" s="307" t="n"/>
      <c r="J198" s="307" t="n"/>
      <c r="K198" s="307" t="n"/>
      <c r="L198" s="307" t="n"/>
      <c r="M198" s="307" t="n"/>
      <c r="N198" s="307" t="n"/>
      <c r="O198" s="307" t="n"/>
      <c r="P198" s="307" t="n"/>
      <c r="Q198" s="307" t="n"/>
      <c r="R198" s="307" t="n"/>
      <c r="S198" s="307" t="n"/>
      <c r="T198" s="307" t="n"/>
      <c r="U198" s="307" t="n"/>
      <c r="V198" s="307" t="n"/>
      <c r="W198" s="307" t="n"/>
      <c r="X198" s="307" t="n"/>
      <c r="Y198" s="307" t="n"/>
      <c r="Z198" s="307" t="n"/>
      <c r="AA198" s="307" t="n"/>
      <c r="AB198" s="307" t="n"/>
      <c r="AC198" s="307" t="n"/>
      <c r="AD198" s="307" t="n"/>
      <c r="AE198" s="307" t="n"/>
      <c r="AF198" s="307" t="n"/>
      <c r="AG198" s="307" t="n"/>
      <c r="AH198" s="307" t="n"/>
      <c r="AI198" s="307" t="n"/>
      <c r="AJ198" s="307" t="n"/>
      <c r="AK198" s="307" t="n"/>
      <c r="AL198" s="307" t="n"/>
      <c r="AM198" s="307" t="n"/>
      <c r="AN198" s="307" t="n"/>
      <c r="AO198" s="307" t="n"/>
      <c r="AP198" s="307" t="n"/>
      <c r="AQ198" s="307" t="n"/>
      <c r="AR198" s="307" t="n"/>
      <c r="AS198" s="307" t="n"/>
      <c r="AT198" s="307" t="n"/>
      <c r="AU198" s="307" t="n"/>
      <c r="AV198" s="307" t="n"/>
      <c r="AW198" s="307" t="n"/>
      <c r="AX198" s="307" t="n"/>
      <c r="AY198" s="307" t="n"/>
      <c r="AZ198" s="307" t="n"/>
      <c r="BA198" s="31" t="n"/>
      <c r="BB198" s="307" t="n"/>
      <c r="BC198" s="307" t="n"/>
      <c r="BD198" s="307" t="n"/>
      <c r="BE198" s="307" t="n"/>
      <c r="BF198" s="307" t="n"/>
      <c r="BG198" s="31" t="n"/>
      <c r="BH198" s="31" t="n"/>
      <c r="BI198" s="31" t="n"/>
      <c r="BJ198" s="31" t="n"/>
    </row>
    <row r="199" ht="15.75" customHeight="1" s="349">
      <c r="A199" s="31" t="n"/>
      <c r="B199" s="307" t="n"/>
      <c r="C199" s="307" t="n"/>
      <c r="D199" s="307" t="n"/>
      <c r="E199" s="307" t="n"/>
      <c r="F199" s="307" t="n"/>
      <c r="G199" s="307" t="n"/>
      <c r="H199" s="307" t="n"/>
      <c r="I199" s="307" t="n"/>
      <c r="J199" s="307" t="n"/>
      <c r="K199" s="307" t="n"/>
      <c r="L199" s="307" t="n"/>
      <c r="M199" s="307" t="n"/>
      <c r="N199" s="307" t="n"/>
      <c r="O199" s="307" t="n"/>
      <c r="P199" s="307" t="n"/>
      <c r="Q199" s="307" t="n"/>
      <c r="R199" s="307" t="n"/>
      <c r="S199" s="307" t="n"/>
      <c r="T199" s="307" t="n"/>
      <c r="U199" s="307" t="n"/>
      <c r="V199" s="307" t="n"/>
      <c r="W199" s="307" t="n"/>
      <c r="X199" s="307" t="n"/>
      <c r="Y199" s="307" t="n"/>
      <c r="Z199" s="307" t="n"/>
      <c r="AA199" s="307" t="n"/>
      <c r="AB199" s="307" t="n"/>
      <c r="AC199" s="307" t="n"/>
      <c r="AD199" s="307" t="n"/>
      <c r="AE199" s="307" t="n"/>
      <c r="AF199" s="307" t="n"/>
      <c r="AG199" s="307" t="n"/>
      <c r="AH199" s="307" t="n"/>
      <c r="AI199" s="307" t="n"/>
      <c r="AJ199" s="307" t="n"/>
      <c r="AK199" s="307" t="n"/>
      <c r="AL199" s="307" t="n"/>
      <c r="AM199" s="307" t="n"/>
      <c r="AN199" s="307" t="n"/>
      <c r="AO199" s="307" t="n"/>
      <c r="AP199" s="307" t="n"/>
      <c r="AQ199" s="307" t="n"/>
      <c r="AR199" s="307" t="n"/>
      <c r="AS199" s="307" t="n"/>
      <c r="AT199" s="307" t="n"/>
      <c r="AU199" s="307" t="n"/>
      <c r="AV199" s="307" t="n"/>
      <c r="AW199" s="307" t="n"/>
      <c r="AX199" s="307" t="n"/>
      <c r="AY199" s="307" t="n"/>
      <c r="AZ199" s="307" t="n"/>
      <c r="BA199" s="31" t="n"/>
      <c r="BB199" s="307" t="n"/>
      <c r="BC199" s="307" t="n"/>
      <c r="BD199" s="307" t="n"/>
      <c r="BE199" s="307" t="n"/>
      <c r="BF199" s="307" t="n"/>
      <c r="BG199" s="31" t="n"/>
      <c r="BH199" s="31" t="n"/>
      <c r="BI199" s="31" t="n"/>
      <c r="BJ199" s="31" t="n"/>
    </row>
    <row r="200" ht="15.75" customHeight="1" s="349">
      <c r="A200" s="31" t="n"/>
      <c r="B200" s="307" t="n"/>
      <c r="C200" s="307" t="n"/>
      <c r="D200" s="307" t="n"/>
      <c r="E200" s="307" t="n"/>
      <c r="F200" s="307" t="n"/>
      <c r="G200" s="307" t="n"/>
      <c r="H200" s="307" t="n"/>
      <c r="I200" s="307" t="n"/>
      <c r="J200" s="307" t="n"/>
      <c r="K200" s="307" t="n"/>
      <c r="L200" s="307" t="n"/>
      <c r="M200" s="307" t="n"/>
      <c r="N200" s="307" t="n"/>
      <c r="O200" s="307" t="n"/>
      <c r="P200" s="307" t="n"/>
      <c r="Q200" s="307" t="n"/>
      <c r="R200" s="307" t="n"/>
      <c r="S200" s="307" t="n"/>
      <c r="T200" s="307" t="n"/>
      <c r="U200" s="307" t="n"/>
      <c r="V200" s="307" t="n"/>
      <c r="W200" s="307" t="n"/>
      <c r="X200" s="307" t="n"/>
      <c r="Y200" s="307" t="n"/>
      <c r="Z200" s="307" t="n"/>
      <c r="AA200" s="307" t="n"/>
      <c r="AB200" s="307" t="n"/>
      <c r="AC200" s="307" t="n"/>
      <c r="AD200" s="307" t="n"/>
      <c r="AE200" s="307" t="n"/>
      <c r="AF200" s="307" t="n"/>
      <c r="AG200" s="307" t="n"/>
      <c r="AH200" s="307" t="n"/>
      <c r="AI200" s="307" t="n"/>
      <c r="AJ200" s="307" t="n"/>
      <c r="AK200" s="307" t="n"/>
      <c r="AL200" s="307" t="n"/>
      <c r="AM200" s="307" t="n"/>
      <c r="AN200" s="307" t="n"/>
      <c r="AO200" s="307" t="n"/>
      <c r="AP200" s="307" t="n"/>
      <c r="AQ200" s="307" t="n"/>
      <c r="AR200" s="307" t="n"/>
      <c r="AS200" s="307" t="n"/>
      <c r="AT200" s="307" t="n"/>
      <c r="AU200" s="307" t="n"/>
      <c r="AV200" s="307" t="n"/>
      <c r="AW200" s="307" t="n"/>
      <c r="AX200" s="307" t="n"/>
      <c r="AY200" s="307" t="n"/>
      <c r="AZ200" s="307" t="n"/>
      <c r="BA200" s="31" t="n"/>
      <c r="BB200" s="307" t="n"/>
      <c r="BC200" s="307" t="n"/>
      <c r="BD200" s="307" t="n"/>
      <c r="BE200" s="307" t="n"/>
      <c r="BF200" s="307" t="n"/>
      <c r="BG200" s="31" t="n"/>
      <c r="BH200" s="31" t="n"/>
      <c r="BI200" s="31" t="n"/>
      <c r="BJ200" s="31" t="n"/>
    </row>
    <row r="201" ht="15.75" customHeight="1" s="349">
      <c r="A201" s="31" t="n"/>
      <c r="B201" s="307" t="n"/>
      <c r="C201" s="307" t="n"/>
      <c r="D201" s="307" t="n"/>
      <c r="E201" s="307" t="n"/>
      <c r="F201" s="307" t="n"/>
      <c r="G201" s="307" t="n"/>
      <c r="H201" s="307" t="n"/>
      <c r="I201" s="307" t="n"/>
      <c r="J201" s="307" t="n"/>
      <c r="K201" s="307" t="n"/>
      <c r="L201" s="307" t="n"/>
      <c r="M201" s="307" t="n"/>
      <c r="N201" s="307" t="n"/>
      <c r="O201" s="307" t="n"/>
      <c r="P201" s="307" t="n"/>
      <c r="Q201" s="307" t="n"/>
      <c r="R201" s="307" t="n"/>
      <c r="S201" s="307" t="n"/>
      <c r="T201" s="307" t="n"/>
      <c r="U201" s="307" t="n"/>
      <c r="V201" s="307" t="n"/>
      <c r="W201" s="307" t="n"/>
      <c r="X201" s="307" t="n"/>
      <c r="Y201" s="307" t="n"/>
      <c r="Z201" s="307" t="n"/>
      <c r="AA201" s="307" t="n"/>
      <c r="AB201" s="307" t="n"/>
      <c r="AC201" s="307" t="n"/>
      <c r="AD201" s="307" t="n"/>
      <c r="AE201" s="307" t="n"/>
      <c r="AF201" s="307" t="n"/>
      <c r="AG201" s="307" t="n"/>
      <c r="AH201" s="307" t="n"/>
      <c r="AI201" s="307" t="n"/>
      <c r="AJ201" s="307" t="n"/>
      <c r="AK201" s="307" t="n"/>
      <c r="AL201" s="307" t="n"/>
      <c r="AM201" s="307" t="n"/>
      <c r="AN201" s="307" t="n"/>
      <c r="AO201" s="307" t="n"/>
      <c r="AP201" s="307" t="n"/>
      <c r="AQ201" s="307" t="n"/>
      <c r="AR201" s="307" t="n"/>
      <c r="AS201" s="307" t="n"/>
      <c r="AT201" s="307" t="n"/>
      <c r="AU201" s="307" t="n"/>
      <c r="AV201" s="307" t="n"/>
      <c r="AW201" s="307" t="n"/>
      <c r="AX201" s="307" t="n"/>
      <c r="AY201" s="307" t="n"/>
      <c r="AZ201" s="307" t="n"/>
      <c r="BA201" s="31" t="n"/>
      <c r="BB201" s="307" t="n"/>
      <c r="BC201" s="307" t="n"/>
      <c r="BD201" s="307" t="n"/>
      <c r="BE201" s="307" t="n"/>
      <c r="BF201" s="307" t="n"/>
      <c r="BG201" s="31" t="n"/>
      <c r="BH201" s="31" t="n"/>
      <c r="BI201" s="31" t="n"/>
      <c r="BJ201" s="31" t="n"/>
    </row>
    <row r="202" ht="15.75" customHeight="1" s="349">
      <c r="A202" s="31" t="n"/>
      <c r="B202" s="307" t="n"/>
      <c r="C202" s="307" t="n"/>
      <c r="D202" s="307" t="n"/>
      <c r="E202" s="307" t="n"/>
      <c r="F202" s="307" t="n"/>
      <c r="G202" s="307" t="n"/>
      <c r="H202" s="307" t="n"/>
      <c r="I202" s="307" t="n"/>
      <c r="J202" s="307" t="n"/>
      <c r="K202" s="307" t="n"/>
      <c r="L202" s="307" t="n"/>
      <c r="M202" s="307" t="n"/>
      <c r="N202" s="307" t="n"/>
      <c r="O202" s="307" t="n"/>
      <c r="P202" s="307" t="n"/>
      <c r="Q202" s="307" t="n"/>
      <c r="R202" s="307" t="n"/>
      <c r="S202" s="307" t="n"/>
      <c r="T202" s="307" t="n"/>
      <c r="U202" s="307" t="n"/>
      <c r="V202" s="307" t="n"/>
      <c r="W202" s="307" t="n"/>
      <c r="X202" s="307" t="n"/>
      <c r="Y202" s="307" t="n"/>
      <c r="Z202" s="307" t="n"/>
      <c r="AA202" s="307" t="n"/>
      <c r="AB202" s="307" t="n"/>
      <c r="AC202" s="307" t="n"/>
      <c r="AD202" s="307" t="n"/>
      <c r="AE202" s="307" t="n"/>
      <c r="AF202" s="307" t="n"/>
      <c r="AG202" s="307" t="n"/>
      <c r="AH202" s="307" t="n"/>
      <c r="AI202" s="307" t="n"/>
      <c r="AJ202" s="307" t="n"/>
      <c r="AK202" s="307" t="n"/>
      <c r="AL202" s="307" t="n"/>
      <c r="AM202" s="307" t="n"/>
      <c r="AN202" s="307" t="n"/>
      <c r="AO202" s="307" t="n"/>
      <c r="AP202" s="307" t="n"/>
      <c r="AQ202" s="307" t="n"/>
      <c r="AR202" s="307" t="n"/>
      <c r="AS202" s="307" t="n"/>
      <c r="AT202" s="307" t="n"/>
      <c r="AU202" s="307" t="n"/>
      <c r="AV202" s="307" t="n"/>
      <c r="AW202" s="307" t="n"/>
      <c r="AX202" s="307" t="n"/>
      <c r="AY202" s="307" t="n"/>
      <c r="AZ202" s="307" t="n"/>
      <c r="BA202" s="31" t="n"/>
      <c r="BB202" s="307" t="n"/>
      <c r="BC202" s="307" t="n"/>
      <c r="BD202" s="307" t="n"/>
      <c r="BE202" s="307" t="n"/>
      <c r="BF202" s="307" t="n"/>
      <c r="BG202" s="31" t="n"/>
      <c r="BH202" s="31" t="n"/>
      <c r="BI202" s="31" t="n"/>
      <c r="BJ202" s="31" t="n"/>
    </row>
    <row r="203" ht="15.75" customHeight="1" s="349">
      <c r="A203" s="31" t="n"/>
      <c r="B203" s="307" t="n"/>
      <c r="C203" s="307" t="n"/>
      <c r="D203" s="307" t="n"/>
      <c r="E203" s="307" t="n"/>
      <c r="F203" s="307" t="n"/>
      <c r="G203" s="307" t="n"/>
      <c r="H203" s="307" t="n"/>
      <c r="I203" s="307" t="n"/>
      <c r="J203" s="307" t="n"/>
      <c r="K203" s="307" t="n"/>
      <c r="L203" s="307" t="n"/>
      <c r="M203" s="307" t="n"/>
      <c r="N203" s="307" t="n"/>
      <c r="O203" s="307" t="n"/>
      <c r="P203" s="307" t="n"/>
      <c r="Q203" s="307" t="n"/>
      <c r="R203" s="307" t="n"/>
      <c r="S203" s="307" t="n"/>
      <c r="T203" s="307" t="n"/>
      <c r="U203" s="307" t="n"/>
      <c r="V203" s="307" t="n"/>
      <c r="W203" s="307" t="n"/>
      <c r="X203" s="307" t="n"/>
      <c r="Y203" s="307" t="n"/>
      <c r="Z203" s="307" t="n"/>
      <c r="AA203" s="307" t="n"/>
      <c r="AB203" s="307" t="n"/>
      <c r="AC203" s="307" t="n"/>
      <c r="AD203" s="307" t="n"/>
      <c r="AE203" s="307" t="n"/>
      <c r="AF203" s="307" t="n"/>
      <c r="AG203" s="307" t="n"/>
      <c r="AH203" s="307" t="n"/>
      <c r="AI203" s="307" t="n"/>
      <c r="AJ203" s="307" t="n"/>
      <c r="AK203" s="307" t="n"/>
      <c r="AL203" s="307" t="n"/>
      <c r="AM203" s="307" t="n"/>
      <c r="AN203" s="307" t="n"/>
      <c r="AO203" s="307" t="n"/>
      <c r="AP203" s="307" t="n"/>
      <c r="AQ203" s="307" t="n"/>
      <c r="AR203" s="307" t="n"/>
      <c r="AS203" s="307" t="n"/>
      <c r="AT203" s="307" t="n"/>
      <c r="AU203" s="307" t="n"/>
      <c r="AV203" s="307" t="n"/>
      <c r="AW203" s="307" t="n"/>
      <c r="AX203" s="307" t="n"/>
      <c r="AY203" s="307" t="n"/>
      <c r="AZ203" s="307" t="n"/>
      <c r="BA203" s="31" t="n"/>
      <c r="BB203" s="307" t="n"/>
      <c r="BC203" s="307" t="n"/>
      <c r="BD203" s="307" t="n"/>
      <c r="BE203" s="307" t="n"/>
      <c r="BF203" s="307" t="n"/>
      <c r="BG203" s="31" t="n"/>
      <c r="BH203" s="31" t="n"/>
      <c r="BI203" s="31" t="n"/>
      <c r="BJ203" s="31" t="n"/>
    </row>
    <row r="204" ht="15.75" customHeight="1" s="349">
      <c r="A204" s="31" t="n"/>
      <c r="B204" s="307" t="n"/>
      <c r="C204" s="307" t="n"/>
      <c r="D204" s="307" t="n"/>
      <c r="E204" s="307" t="n"/>
      <c r="F204" s="307" t="n"/>
      <c r="G204" s="307" t="n"/>
      <c r="H204" s="307" t="n"/>
      <c r="I204" s="307" t="n"/>
      <c r="J204" s="307" t="n"/>
      <c r="K204" s="307" t="n"/>
      <c r="L204" s="307" t="n"/>
      <c r="M204" s="307" t="n"/>
      <c r="N204" s="307" t="n"/>
      <c r="O204" s="307" t="n"/>
      <c r="P204" s="307" t="n"/>
      <c r="Q204" s="307" t="n"/>
      <c r="R204" s="307" t="n"/>
      <c r="S204" s="307" t="n"/>
      <c r="T204" s="307" t="n"/>
      <c r="U204" s="307" t="n"/>
      <c r="V204" s="307" t="n"/>
      <c r="W204" s="307" t="n"/>
      <c r="X204" s="307" t="n"/>
      <c r="Y204" s="307" t="n"/>
      <c r="Z204" s="307" t="n"/>
      <c r="AA204" s="307" t="n"/>
      <c r="AB204" s="307" t="n"/>
      <c r="AC204" s="307" t="n"/>
      <c r="AD204" s="307" t="n"/>
      <c r="AE204" s="307" t="n"/>
      <c r="AF204" s="307" t="n"/>
      <c r="AG204" s="307" t="n"/>
      <c r="AH204" s="307" t="n"/>
      <c r="AI204" s="307" t="n"/>
      <c r="AJ204" s="307" t="n"/>
      <c r="AK204" s="307" t="n"/>
      <c r="AL204" s="307" t="n"/>
      <c r="AM204" s="307" t="n"/>
      <c r="AN204" s="307" t="n"/>
      <c r="AO204" s="307" t="n"/>
      <c r="AP204" s="307" t="n"/>
      <c r="AQ204" s="307" t="n"/>
      <c r="AR204" s="307" t="n"/>
      <c r="AS204" s="307" t="n"/>
      <c r="AT204" s="307" t="n"/>
      <c r="AU204" s="307" t="n"/>
      <c r="AV204" s="307" t="n"/>
      <c r="AW204" s="307" t="n"/>
      <c r="AX204" s="307" t="n"/>
      <c r="AY204" s="307" t="n"/>
      <c r="AZ204" s="307" t="n"/>
      <c r="BA204" s="31" t="n"/>
      <c r="BB204" s="307" t="n"/>
      <c r="BC204" s="307" t="n"/>
      <c r="BD204" s="307" t="n"/>
      <c r="BE204" s="307" t="n"/>
      <c r="BF204" s="307" t="n"/>
      <c r="BG204" s="31" t="n"/>
      <c r="BH204" s="31" t="n"/>
      <c r="BI204" s="31" t="n"/>
      <c r="BJ204" s="31" t="n"/>
    </row>
    <row r="205" ht="15.75" customHeight="1" s="349">
      <c r="A205" s="31" t="n"/>
      <c r="B205" s="307" t="n"/>
      <c r="C205" s="307" t="n"/>
      <c r="D205" s="307" t="n"/>
      <c r="E205" s="307" t="n"/>
      <c r="F205" s="307" t="n"/>
      <c r="G205" s="307" t="n"/>
      <c r="H205" s="307" t="n"/>
      <c r="I205" s="307" t="n"/>
      <c r="J205" s="307" t="n"/>
      <c r="K205" s="307" t="n"/>
      <c r="L205" s="307" t="n"/>
      <c r="M205" s="307" t="n"/>
      <c r="N205" s="307" t="n"/>
      <c r="O205" s="307" t="n"/>
      <c r="P205" s="307" t="n"/>
      <c r="Q205" s="307" t="n"/>
      <c r="R205" s="307" t="n"/>
      <c r="S205" s="307" t="n"/>
      <c r="T205" s="307" t="n"/>
      <c r="U205" s="307" t="n"/>
      <c r="V205" s="307" t="n"/>
      <c r="W205" s="307" t="n"/>
      <c r="X205" s="307" t="n"/>
      <c r="Y205" s="307" t="n"/>
      <c r="Z205" s="307" t="n"/>
      <c r="AA205" s="307" t="n"/>
      <c r="AB205" s="307" t="n"/>
      <c r="AC205" s="307" t="n"/>
      <c r="AD205" s="307" t="n"/>
      <c r="AE205" s="307" t="n"/>
      <c r="AF205" s="307" t="n"/>
      <c r="AG205" s="307" t="n"/>
      <c r="AH205" s="307" t="n"/>
      <c r="AI205" s="307" t="n"/>
      <c r="AJ205" s="307" t="n"/>
      <c r="AK205" s="307" t="n"/>
      <c r="AL205" s="307" t="n"/>
      <c r="AM205" s="307" t="n"/>
      <c r="AN205" s="307" t="n"/>
      <c r="AO205" s="307" t="n"/>
      <c r="AP205" s="307" t="n"/>
      <c r="AQ205" s="307" t="n"/>
      <c r="AR205" s="307" t="n"/>
      <c r="AS205" s="307" t="n"/>
      <c r="AT205" s="307" t="n"/>
      <c r="AU205" s="307" t="n"/>
      <c r="AV205" s="307" t="n"/>
      <c r="AW205" s="307" t="n"/>
      <c r="AX205" s="307" t="n"/>
      <c r="AY205" s="307" t="n"/>
      <c r="AZ205" s="307" t="n"/>
      <c r="BA205" s="31" t="n"/>
      <c r="BB205" s="307" t="n"/>
      <c r="BC205" s="307" t="n"/>
      <c r="BD205" s="307" t="n"/>
      <c r="BE205" s="307" t="n"/>
      <c r="BF205" s="307" t="n"/>
      <c r="BG205" s="31" t="n"/>
      <c r="BH205" s="31" t="n"/>
      <c r="BI205" s="31" t="n"/>
      <c r="BJ205" s="31" t="n"/>
    </row>
    <row r="206" ht="15.75" customHeight="1" s="349">
      <c r="A206" s="31" t="n"/>
      <c r="B206" s="307" t="n"/>
      <c r="C206" s="307" t="n"/>
      <c r="D206" s="307" t="n"/>
      <c r="E206" s="307" t="n"/>
      <c r="F206" s="307" t="n"/>
      <c r="G206" s="307" t="n"/>
      <c r="H206" s="307" t="n"/>
      <c r="I206" s="307" t="n"/>
      <c r="J206" s="307" t="n"/>
      <c r="K206" s="307" t="n"/>
      <c r="L206" s="307" t="n"/>
      <c r="M206" s="307" t="n"/>
      <c r="N206" s="307" t="n"/>
      <c r="O206" s="307" t="n"/>
      <c r="P206" s="307" t="n"/>
      <c r="Q206" s="307" t="n"/>
      <c r="R206" s="307" t="n"/>
      <c r="S206" s="307" t="n"/>
      <c r="T206" s="307" t="n"/>
      <c r="U206" s="307" t="n"/>
      <c r="V206" s="307" t="n"/>
      <c r="W206" s="307" t="n"/>
      <c r="X206" s="307" t="n"/>
      <c r="Y206" s="307" t="n"/>
      <c r="Z206" s="307" t="n"/>
      <c r="AA206" s="307" t="n"/>
      <c r="AB206" s="307" t="n"/>
      <c r="AC206" s="307" t="n"/>
      <c r="AD206" s="307" t="n"/>
      <c r="AE206" s="307" t="n"/>
      <c r="AF206" s="307" t="n"/>
      <c r="AG206" s="307" t="n"/>
      <c r="AH206" s="307" t="n"/>
      <c r="AI206" s="307" t="n"/>
      <c r="AJ206" s="307" t="n"/>
      <c r="AK206" s="307" t="n"/>
      <c r="AL206" s="307" t="n"/>
      <c r="AM206" s="307" t="n"/>
      <c r="AN206" s="307" t="n"/>
      <c r="AO206" s="307" t="n"/>
      <c r="AP206" s="307" t="n"/>
      <c r="AQ206" s="307" t="n"/>
      <c r="AR206" s="307" t="n"/>
      <c r="AS206" s="307" t="n"/>
      <c r="AT206" s="307" t="n"/>
      <c r="AU206" s="307" t="n"/>
      <c r="AV206" s="307" t="n"/>
      <c r="AW206" s="307" t="n"/>
      <c r="AX206" s="307" t="n"/>
      <c r="AY206" s="307" t="n"/>
      <c r="AZ206" s="307" t="n"/>
      <c r="BA206" s="31" t="n"/>
      <c r="BB206" s="307" t="n"/>
      <c r="BC206" s="307" t="n"/>
      <c r="BD206" s="307" t="n"/>
      <c r="BE206" s="307" t="n"/>
      <c r="BF206" s="307" t="n"/>
      <c r="BG206" s="31" t="n"/>
      <c r="BH206" s="31" t="n"/>
      <c r="BI206" s="31" t="n"/>
      <c r="BJ206" s="31" t="n"/>
    </row>
    <row r="207" ht="15.75" customHeight="1" s="349">
      <c r="A207" s="31" t="n"/>
      <c r="B207" s="307" t="n"/>
      <c r="C207" s="307" t="n"/>
      <c r="D207" s="307" t="n"/>
      <c r="E207" s="307" t="n"/>
      <c r="F207" s="307" t="n"/>
      <c r="G207" s="307" t="n"/>
      <c r="H207" s="307" t="n"/>
      <c r="I207" s="307" t="n"/>
      <c r="J207" s="307" t="n"/>
      <c r="K207" s="307" t="n"/>
      <c r="L207" s="307" t="n"/>
      <c r="M207" s="307" t="n"/>
      <c r="N207" s="307" t="n"/>
      <c r="O207" s="307" t="n"/>
      <c r="P207" s="307" t="n"/>
      <c r="Q207" s="307" t="n"/>
      <c r="R207" s="307" t="n"/>
      <c r="S207" s="307" t="n"/>
      <c r="T207" s="307" t="n"/>
      <c r="U207" s="307" t="n"/>
      <c r="V207" s="307" t="n"/>
      <c r="W207" s="307" t="n"/>
      <c r="X207" s="307" t="n"/>
      <c r="Y207" s="307" t="n"/>
      <c r="Z207" s="307" t="n"/>
      <c r="AA207" s="307" t="n"/>
      <c r="AB207" s="307" t="n"/>
      <c r="AC207" s="307" t="n"/>
      <c r="AD207" s="307" t="n"/>
      <c r="AE207" s="307" t="n"/>
      <c r="AF207" s="307" t="n"/>
      <c r="AG207" s="307" t="n"/>
      <c r="AH207" s="307" t="n"/>
      <c r="AI207" s="307" t="n"/>
      <c r="AJ207" s="307" t="n"/>
      <c r="AK207" s="307" t="n"/>
      <c r="AL207" s="307" t="n"/>
      <c r="AM207" s="307" t="n"/>
      <c r="AN207" s="307" t="n"/>
      <c r="AO207" s="307" t="n"/>
      <c r="AP207" s="307" t="n"/>
      <c r="AQ207" s="307" t="n"/>
      <c r="AR207" s="307" t="n"/>
      <c r="AS207" s="307" t="n"/>
      <c r="AT207" s="307" t="n"/>
      <c r="AU207" s="307" t="n"/>
      <c r="AV207" s="307" t="n"/>
      <c r="AW207" s="307" t="n"/>
      <c r="AX207" s="307" t="n"/>
      <c r="AY207" s="307" t="n"/>
      <c r="AZ207" s="307" t="n"/>
      <c r="BA207" s="31" t="n"/>
      <c r="BB207" s="307" t="n"/>
      <c r="BC207" s="307" t="n"/>
      <c r="BD207" s="307" t="n"/>
      <c r="BE207" s="307" t="n"/>
      <c r="BF207" s="307" t="n"/>
      <c r="BG207" s="31" t="n"/>
      <c r="BH207" s="31" t="n"/>
      <c r="BI207" s="31" t="n"/>
      <c r="BJ207" s="31" t="n"/>
    </row>
    <row r="208" ht="15.75" customHeight="1" s="349">
      <c r="A208" s="31" t="n"/>
      <c r="B208" s="307" t="n"/>
      <c r="C208" s="307" t="n"/>
      <c r="D208" s="307" t="n"/>
      <c r="E208" s="307" t="n"/>
      <c r="F208" s="307" t="n"/>
      <c r="G208" s="307" t="n"/>
      <c r="H208" s="307" t="n"/>
      <c r="I208" s="307" t="n"/>
      <c r="J208" s="307" t="n"/>
      <c r="K208" s="307" t="n"/>
      <c r="L208" s="307" t="n"/>
      <c r="M208" s="307" t="n"/>
      <c r="N208" s="307" t="n"/>
      <c r="O208" s="307" t="n"/>
      <c r="P208" s="307" t="n"/>
      <c r="Q208" s="307" t="n"/>
      <c r="R208" s="307" t="n"/>
      <c r="S208" s="307" t="n"/>
      <c r="T208" s="307" t="n"/>
      <c r="U208" s="307" t="n"/>
      <c r="V208" s="307" t="n"/>
      <c r="W208" s="307" t="n"/>
      <c r="X208" s="307" t="n"/>
      <c r="Y208" s="307" t="n"/>
      <c r="Z208" s="307" t="n"/>
      <c r="AA208" s="307" t="n"/>
      <c r="AB208" s="307" t="n"/>
      <c r="AC208" s="307" t="n"/>
      <c r="AD208" s="307" t="n"/>
      <c r="AE208" s="307" t="n"/>
      <c r="AF208" s="307" t="n"/>
      <c r="AG208" s="307" t="n"/>
      <c r="AH208" s="307" t="n"/>
      <c r="AI208" s="307" t="n"/>
      <c r="AJ208" s="307" t="n"/>
      <c r="AK208" s="307" t="n"/>
      <c r="AL208" s="307" t="n"/>
      <c r="AM208" s="307" t="n"/>
      <c r="AN208" s="307" t="n"/>
      <c r="AO208" s="307" t="n"/>
      <c r="AP208" s="307" t="n"/>
      <c r="AQ208" s="307" t="n"/>
      <c r="AR208" s="307" t="n"/>
      <c r="AS208" s="307" t="n"/>
      <c r="AT208" s="307" t="n"/>
      <c r="AU208" s="307" t="n"/>
      <c r="AV208" s="307" t="n"/>
      <c r="AW208" s="307" t="n"/>
      <c r="AX208" s="307" t="n"/>
      <c r="AY208" s="307" t="n"/>
      <c r="AZ208" s="307" t="n"/>
      <c r="BA208" s="31" t="n"/>
      <c r="BB208" s="307" t="n"/>
      <c r="BC208" s="307" t="n"/>
      <c r="BD208" s="307" t="n"/>
      <c r="BE208" s="307" t="n"/>
      <c r="BF208" s="307" t="n"/>
      <c r="BG208" s="31" t="n"/>
      <c r="BH208" s="31" t="n"/>
      <c r="BI208" s="31" t="n"/>
      <c r="BJ208" s="31" t="n"/>
    </row>
    <row r="209" ht="15.75" customHeight="1" s="349">
      <c r="A209" s="31" t="n"/>
      <c r="B209" s="307" t="n"/>
      <c r="C209" s="307" t="n"/>
      <c r="D209" s="307" t="n"/>
      <c r="E209" s="307" t="n"/>
      <c r="F209" s="307" t="n"/>
      <c r="G209" s="307" t="n"/>
      <c r="H209" s="307" t="n"/>
      <c r="I209" s="307" t="n"/>
      <c r="J209" s="307" t="n"/>
      <c r="K209" s="307" t="n"/>
      <c r="L209" s="307" t="n"/>
      <c r="M209" s="307" t="n"/>
      <c r="N209" s="307" t="n"/>
      <c r="O209" s="307" t="n"/>
      <c r="P209" s="307" t="n"/>
      <c r="Q209" s="307" t="n"/>
      <c r="R209" s="307" t="n"/>
      <c r="S209" s="307" t="n"/>
      <c r="T209" s="307" t="n"/>
      <c r="U209" s="307" t="n"/>
      <c r="V209" s="307" t="n"/>
      <c r="W209" s="307" t="n"/>
      <c r="X209" s="307" t="n"/>
      <c r="Y209" s="307" t="n"/>
      <c r="Z209" s="307" t="n"/>
      <c r="AA209" s="307" t="n"/>
      <c r="AB209" s="307" t="n"/>
      <c r="AC209" s="307" t="n"/>
      <c r="AD209" s="307" t="n"/>
      <c r="AE209" s="307" t="n"/>
      <c r="AF209" s="307" t="n"/>
      <c r="AG209" s="307" t="n"/>
      <c r="AH209" s="307" t="n"/>
      <c r="AI209" s="307" t="n"/>
      <c r="AJ209" s="307" t="n"/>
      <c r="AK209" s="307" t="n"/>
      <c r="AL209" s="307" t="n"/>
      <c r="AM209" s="307" t="n"/>
      <c r="AN209" s="307" t="n"/>
      <c r="AO209" s="307" t="n"/>
      <c r="AP209" s="307" t="n"/>
      <c r="AQ209" s="307" t="n"/>
      <c r="AR209" s="307" t="n"/>
      <c r="AS209" s="307" t="n"/>
      <c r="AT209" s="307" t="n"/>
      <c r="AU209" s="307" t="n"/>
      <c r="AV209" s="307" t="n"/>
      <c r="AW209" s="307" t="n"/>
      <c r="AX209" s="307" t="n"/>
      <c r="AY209" s="307" t="n"/>
      <c r="AZ209" s="307" t="n"/>
      <c r="BA209" s="31" t="n"/>
      <c r="BB209" s="307" t="n"/>
      <c r="BC209" s="307" t="n"/>
      <c r="BD209" s="307" t="n"/>
      <c r="BE209" s="307" t="n"/>
      <c r="BF209" s="307" t="n"/>
      <c r="BG209" s="31" t="n"/>
      <c r="BH209" s="31" t="n"/>
      <c r="BI209" s="31" t="n"/>
      <c r="BJ209" s="31" t="n"/>
    </row>
    <row r="210" ht="15.75" customHeight="1" s="349">
      <c r="A210" s="31" t="n"/>
      <c r="B210" s="307" t="n"/>
      <c r="C210" s="307" t="n"/>
      <c r="D210" s="307" t="n"/>
      <c r="E210" s="307" t="n"/>
      <c r="F210" s="307" t="n"/>
      <c r="G210" s="307" t="n"/>
      <c r="H210" s="307" t="n"/>
      <c r="I210" s="307" t="n"/>
      <c r="J210" s="307" t="n"/>
      <c r="K210" s="307" t="n"/>
      <c r="L210" s="307" t="n"/>
      <c r="M210" s="307" t="n"/>
      <c r="N210" s="307" t="n"/>
      <c r="O210" s="307" t="n"/>
      <c r="P210" s="307" t="n"/>
      <c r="Q210" s="307" t="n"/>
      <c r="R210" s="307" t="n"/>
      <c r="S210" s="307" t="n"/>
      <c r="T210" s="307" t="n"/>
      <c r="U210" s="307" t="n"/>
      <c r="V210" s="307" t="n"/>
      <c r="W210" s="307" t="n"/>
      <c r="X210" s="307" t="n"/>
      <c r="Y210" s="307" t="n"/>
      <c r="Z210" s="307" t="n"/>
      <c r="AA210" s="307" t="n"/>
      <c r="AB210" s="307" t="n"/>
      <c r="AC210" s="307" t="n"/>
      <c r="AD210" s="307" t="n"/>
      <c r="AE210" s="307" t="n"/>
      <c r="AF210" s="307" t="n"/>
      <c r="AG210" s="307" t="n"/>
      <c r="AH210" s="307" t="n"/>
      <c r="AI210" s="307" t="n"/>
      <c r="AJ210" s="307" t="n"/>
      <c r="AK210" s="307" t="n"/>
      <c r="AL210" s="307" t="n"/>
      <c r="AM210" s="307" t="n"/>
      <c r="AN210" s="307" t="n"/>
      <c r="AO210" s="307" t="n"/>
      <c r="AP210" s="307" t="n"/>
      <c r="AQ210" s="307" t="n"/>
      <c r="AR210" s="307" t="n"/>
      <c r="AS210" s="307" t="n"/>
      <c r="AT210" s="307" t="n"/>
      <c r="AU210" s="307" t="n"/>
      <c r="AV210" s="307" t="n"/>
      <c r="AW210" s="307" t="n"/>
      <c r="AX210" s="307" t="n"/>
      <c r="AY210" s="307" t="n"/>
      <c r="AZ210" s="307" t="n"/>
      <c r="BA210" s="31" t="n"/>
      <c r="BB210" s="307" t="n"/>
      <c r="BC210" s="307" t="n"/>
      <c r="BD210" s="307" t="n"/>
      <c r="BE210" s="307" t="n"/>
      <c r="BF210" s="307" t="n"/>
      <c r="BG210" s="31" t="n"/>
      <c r="BH210" s="31" t="n"/>
      <c r="BI210" s="31" t="n"/>
      <c r="BJ210" s="31" t="n"/>
    </row>
    <row r="211" ht="15.75" customHeight="1" s="349">
      <c r="A211" s="31" t="n"/>
      <c r="B211" s="307" t="n"/>
      <c r="C211" s="307" t="n"/>
      <c r="D211" s="307" t="n"/>
      <c r="E211" s="307" t="n"/>
      <c r="F211" s="307" t="n"/>
      <c r="G211" s="307" t="n"/>
      <c r="H211" s="307" t="n"/>
      <c r="I211" s="307" t="n"/>
      <c r="J211" s="307" t="n"/>
      <c r="K211" s="307" t="n"/>
      <c r="L211" s="307" t="n"/>
      <c r="M211" s="307" t="n"/>
      <c r="N211" s="307" t="n"/>
      <c r="O211" s="307" t="n"/>
      <c r="P211" s="307" t="n"/>
      <c r="Q211" s="307" t="n"/>
      <c r="R211" s="307" t="n"/>
      <c r="S211" s="307" t="n"/>
      <c r="T211" s="307" t="n"/>
      <c r="U211" s="307" t="n"/>
      <c r="V211" s="307" t="n"/>
      <c r="W211" s="307" t="n"/>
      <c r="X211" s="307" t="n"/>
      <c r="Y211" s="307" t="n"/>
      <c r="Z211" s="307" t="n"/>
      <c r="AA211" s="307" t="n"/>
      <c r="AB211" s="307" t="n"/>
      <c r="AC211" s="307" t="n"/>
      <c r="AD211" s="307" t="n"/>
      <c r="AE211" s="307" t="n"/>
      <c r="AF211" s="307" t="n"/>
      <c r="AG211" s="307" t="n"/>
      <c r="AH211" s="307" t="n"/>
      <c r="AI211" s="307" t="n"/>
      <c r="AJ211" s="307" t="n"/>
      <c r="AK211" s="307" t="n"/>
      <c r="AL211" s="307" t="n"/>
      <c r="AM211" s="307" t="n"/>
      <c r="AN211" s="307" t="n"/>
      <c r="AO211" s="307" t="n"/>
      <c r="AP211" s="307" t="n"/>
      <c r="AQ211" s="307" t="n"/>
      <c r="AR211" s="307" t="n"/>
      <c r="AS211" s="307" t="n"/>
      <c r="AT211" s="307" t="n"/>
      <c r="AU211" s="307" t="n"/>
      <c r="AV211" s="307" t="n"/>
      <c r="AW211" s="307" t="n"/>
      <c r="AX211" s="307" t="n"/>
      <c r="AY211" s="307" t="n"/>
      <c r="AZ211" s="307" t="n"/>
      <c r="BA211" s="31" t="n"/>
      <c r="BB211" s="307" t="n"/>
      <c r="BC211" s="307" t="n"/>
      <c r="BD211" s="307" t="n"/>
      <c r="BE211" s="307" t="n"/>
      <c r="BF211" s="307" t="n"/>
      <c r="BG211" s="31" t="n"/>
      <c r="BH211" s="31" t="n"/>
      <c r="BI211" s="31" t="n"/>
      <c r="BJ211" s="31" t="n"/>
    </row>
    <row r="212" ht="15.75" customHeight="1" s="349">
      <c r="A212" s="31" t="n"/>
      <c r="B212" s="307" t="n"/>
      <c r="C212" s="307" t="n"/>
      <c r="D212" s="307" t="n"/>
      <c r="E212" s="307" t="n"/>
      <c r="F212" s="307" t="n"/>
      <c r="G212" s="307" t="n"/>
      <c r="H212" s="307" t="n"/>
      <c r="I212" s="307" t="n"/>
      <c r="J212" s="307" t="n"/>
      <c r="K212" s="307" t="n"/>
      <c r="L212" s="307" t="n"/>
      <c r="M212" s="307" t="n"/>
      <c r="N212" s="307" t="n"/>
      <c r="O212" s="307" t="n"/>
      <c r="P212" s="307" t="n"/>
      <c r="Q212" s="307" t="n"/>
      <c r="R212" s="307" t="n"/>
      <c r="S212" s="307" t="n"/>
      <c r="T212" s="307" t="n"/>
      <c r="U212" s="307" t="n"/>
      <c r="V212" s="307" t="n"/>
      <c r="W212" s="307" t="n"/>
      <c r="X212" s="307" t="n"/>
      <c r="Y212" s="307" t="n"/>
      <c r="Z212" s="307" t="n"/>
      <c r="AA212" s="307" t="n"/>
      <c r="AB212" s="307" t="n"/>
      <c r="AC212" s="307" t="n"/>
      <c r="AD212" s="307" t="n"/>
      <c r="AE212" s="307" t="n"/>
      <c r="AF212" s="307" t="n"/>
      <c r="AG212" s="307" t="n"/>
      <c r="AH212" s="307" t="n"/>
      <c r="AI212" s="307" t="n"/>
      <c r="AJ212" s="307" t="n"/>
      <c r="AK212" s="307" t="n"/>
      <c r="AL212" s="307" t="n"/>
      <c r="AM212" s="307" t="n"/>
      <c r="AN212" s="307" t="n"/>
      <c r="AO212" s="307" t="n"/>
      <c r="AP212" s="307" t="n"/>
      <c r="AQ212" s="307" t="n"/>
      <c r="AR212" s="307" t="n"/>
      <c r="AS212" s="307" t="n"/>
      <c r="AT212" s="307" t="n"/>
      <c r="AU212" s="307" t="n"/>
      <c r="AV212" s="307" t="n"/>
      <c r="AW212" s="307" t="n"/>
      <c r="AX212" s="307" t="n"/>
      <c r="AY212" s="307" t="n"/>
      <c r="AZ212" s="307" t="n"/>
      <c r="BA212" s="31" t="n"/>
      <c r="BB212" s="307" t="n"/>
      <c r="BC212" s="307" t="n"/>
      <c r="BD212" s="307" t="n"/>
      <c r="BE212" s="307" t="n"/>
      <c r="BF212" s="307" t="n"/>
      <c r="BG212" s="31" t="n"/>
      <c r="BH212" s="31" t="n"/>
      <c r="BI212" s="31" t="n"/>
      <c r="BJ212" s="31" t="n"/>
    </row>
    <row r="213" ht="15.75" customHeight="1" s="349">
      <c r="A213" s="31" t="n"/>
      <c r="B213" s="307" t="n"/>
      <c r="C213" s="307" t="n"/>
      <c r="D213" s="307" t="n"/>
      <c r="E213" s="307" t="n"/>
      <c r="F213" s="307" t="n"/>
      <c r="G213" s="307" t="n"/>
      <c r="H213" s="307" t="n"/>
      <c r="I213" s="307" t="n"/>
      <c r="J213" s="307" t="n"/>
      <c r="K213" s="307" t="n"/>
      <c r="L213" s="307" t="n"/>
      <c r="M213" s="307" t="n"/>
      <c r="N213" s="307" t="n"/>
      <c r="O213" s="307" t="n"/>
      <c r="P213" s="307" t="n"/>
      <c r="Q213" s="307" t="n"/>
      <c r="R213" s="307" t="n"/>
      <c r="S213" s="307" t="n"/>
      <c r="T213" s="307" t="n"/>
      <c r="U213" s="307" t="n"/>
      <c r="V213" s="307" t="n"/>
      <c r="W213" s="307" t="n"/>
      <c r="X213" s="307" t="n"/>
      <c r="Y213" s="307" t="n"/>
      <c r="Z213" s="307" t="n"/>
      <c r="AA213" s="307" t="n"/>
      <c r="AB213" s="307" t="n"/>
      <c r="AC213" s="307" t="n"/>
      <c r="AD213" s="307" t="n"/>
      <c r="AE213" s="307" t="n"/>
      <c r="AF213" s="307" t="n"/>
      <c r="AG213" s="307" t="n"/>
      <c r="AH213" s="307" t="n"/>
      <c r="AI213" s="307" t="n"/>
      <c r="AJ213" s="307" t="n"/>
      <c r="AK213" s="307" t="n"/>
      <c r="AL213" s="307" t="n"/>
      <c r="AM213" s="307" t="n"/>
      <c r="AN213" s="307" t="n"/>
      <c r="AO213" s="307" t="n"/>
      <c r="AP213" s="307" t="n"/>
      <c r="AQ213" s="307" t="n"/>
      <c r="AR213" s="307" t="n"/>
      <c r="AS213" s="307" t="n"/>
      <c r="AT213" s="307" t="n"/>
      <c r="AU213" s="307" t="n"/>
      <c r="AV213" s="307" t="n"/>
      <c r="AW213" s="307" t="n"/>
      <c r="AX213" s="307" t="n"/>
      <c r="AY213" s="307" t="n"/>
      <c r="AZ213" s="307" t="n"/>
      <c r="BA213" s="31" t="n"/>
      <c r="BB213" s="307" t="n"/>
      <c r="BC213" s="307" t="n"/>
      <c r="BD213" s="307" t="n"/>
      <c r="BE213" s="307" t="n"/>
      <c r="BF213" s="307" t="n"/>
      <c r="BG213" s="31" t="n"/>
      <c r="BH213" s="31" t="n"/>
      <c r="BI213" s="31" t="n"/>
      <c r="BJ213" s="31" t="n"/>
    </row>
    <row r="214" ht="15.75" customHeight="1" s="349">
      <c r="A214" s="31" t="n"/>
      <c r="B214" s="307" t="n"/>
      <c r="C214" s="307" t="n"/>
      <c r="D214" s="307" t="n"/>
      <c r="E214" s="307" t="n"/>
      <c r="F214" s="307" t="n"/>
      <c r="G214" s="307" t="n"/>
      <c r="H214" s="307" t="n"/>
      <c r="I214" s="307" t="n"/>
      <c r="J214" s="307" t="n"/>
      <c r="K214" s="307" t="n"/>
      <c r="L214" s="307" t="n"/>
      <c r="M214" s="307" t="n"/>
      <c r="N214" s="307" t="n"/>
      <c r="O214" s="307" t="n"/>
      <c r="P214" s="307" t="n"/>
      <c r="Q214" s="307" t="n"/>
      <c r="R214" s="307" t="n"/>
      <c r="S214" s="307" t="n"/>
      <c r="T214" s="307" t="n"/>
      <c r="U214" s="307" t="n"/>
      <c r="V214" s="307" t="n"/>
      <c r="W214" s="307" t="n"/>
      <c r="X214" s="307" t="n"/>
      <c r="Y214" s="307" t="n"/>
      <c r="Z214" s="307" t="n"/>
      <c r="AA214" s="307" t="n"/>
      <c r="AB214" s="307" t="n"/>
      <c r="AC214" s="307" t="n"/>
      <c r="AD214" s="307" t="n"/>
      <c r="AE214" s="307" t="n"/>
      <c r="AF214" s="307" t="n"/>
      <c r="AG214" s="307" t="n"/>
      <c r="AH214" s="307" t="n"/>
      <c r="AI214" s="307" t="n"/>
      <c r="AJ214" s="307" t="n"/>
      <c r="AK214" s="307" t="n"/>
      <c r="AL214" s="307" t="n"/>
      <c r="AM214" s="307" t="n"/>
      <c r="AN214" s="307" t="n"/>
      <c r="AO214" s="307" t="n"/>
      <c r="AP214" s="307" t="n"/>
      <c r="AQ214" s="307" t="n"/>
      <c r="AR214" s="307" t="n"/>
      <c r="AS214" s="307" t="n"/>
      <c r="AT214" s="307" t="n"/>
      <c r="AU214" s="307" t="n"/>
      <c r="AV214" s="307" t="n"/>
      <c r="AW214" s="307" t="n"/>
      <c r="AX214" s="307" t="n"/>
      <c r="AY214" s="307" t="n"/>
      <c r="AZ214" s="307" t="n"/>
      <c r="BA214" s="31" t="n"/>
      <c r="BB214" s="307" t="n"/>
      <c r="BC214" s="307" t="n"/>
      <c r="BD214" s="307" t="n"/>
      <c r="BE214" s="307" t="n"/>
      <c r="BF214" s="307" t="n"/>
      <c r="BG214" s="31" t="n"/>
      <c r="BH214" s="31" t="n"/>
      <c r="BI214" s="31" t="n"/>
      <c r="BJ214" s="31" t="n"/>
    </row>
    <row r="215" ht="15.75" customHeight="1" s="349">
      <c r="A215" s="31" t="n"/>
      <c r="B215" s="307" t="n"/>
      <c r="C215" s="307" t="n"/>
      <c r="D215" s="307" t="n"/>
      <c r="E215" s="307" t="n"/>
      <c r="F215" s="307" t="n"/>
      <c r="G215" s="307" t="n"/>
      <c r="H215" s="307" t="n"/>
      <c r="I215" s="307" t="n"/>
      <c r="J215" s="307" t="n"/>
      <c r="K215" s="307" t="n"/>
      <c r="L215" s="307" t="n"/>
      <c r="M215" s="307" t="n"/>
      <c r="N215" s="307" t="n"/>
      <c r="O215" s="307" t="n"/>
      <c r="P215" s="307" t="n"/>
      <c r="Q215" s="307" t="n"/>
      <c r="R215" s="307" t="n"/>
      <c r="S215" s="307" t="n"/>
      <c r="T215" s="307" t="n"/>
      <c r="U215" s="307" t="n"/>
      <c r="V215" s="307" t="n"/>
      <c r="W215" s="307" t="n"/>
      <c r="X215" s="307" t="n"/>
      <c r="Y215" s="307" t="n"/>
      <c r="Z215" s="307" t="n"/>
      <c r="AA215" s="307" t="n"/>
      <c r="AB215" s="307" t="n"/>
      <c r="AC215" s="307" t="n"/>
      <c r="AD215" s="307" t="n"/>
      <c r="AE215" s="307" t="n"/>
      <c r="AF215" s="307" t="n"/>
      <c r="AG215" s="307" t="n"/>
      <c r="AH215" s="307" t="n"/>
      <c r="AI215" s="307" t="n"/>
      <c r="AJ215" s="307" t="n"/>
      <c r="AK215" s="307" t="n"/>
      <c r="AL215" s="307" t="n"/>
      <c r="AM215" s="307" t="n"/>
      <c r="AN215" s="307" t="n"/>
      <c r="AO215" s="307" t="n"/>
      <c r="AP215" s="307" t="n"/>
      <c r="AQ215" s="307" t="n"/>
      <c r="AR215" s="307" t="n"/>
      <c r="AS215" s="307" t="n"/>
      <c r="AT215" s="307" t="n"/>
      <c r="AU215" s="307" t="n"/>
      <c r="AV215" s="307" t="n"/>
      <c r="AW215" s="307" t="n"/>
      <c r="AX215" s="307" t="n"/>
      <c r="AY215" s="307" t="n"/>
      <c r="AZ215" s="307" t="n"/>
      <c r="BA215" s="31" t="n"/>
      <c r="BB215" s="307" t="n"/>
      <c r="BC215" s="307" t="n"/>
      <c r="BD215" s="307" t="n"/>
      <c r="BE215" s="307" t="n"/>
      <c r="BF215" s="307" t="n"/>
      <c r="BG215" s="31" t="n"/>
      <c r="BH215" s="31" t="n"/>
      <c r="BI215" s="31" t="n"/>
      <c r="BJ215" s="31" t="n"/>
    </row>
    <row r="216" ht="15.75" customHeight="1" s="349">
      <c r="A216" s="31" t="n"/>
      <c r="B216" s="307" t="n"/>
      <c r="C216" s="307" t="n"/>
      <c r="D216" s="307" t="n"/>
      <c r="E216" s="307" t="n"/>
      <c r="F216" s="307" t="n"/>
      <c r="G216" s="307" t="n"/>
      <c r="H216" s="307" t="n"/>
      <c r="I216" s="307" t="n"/>
      <c r="J216" s="307" t="n"/>
      <c r="K216" s="307" t="n"/>
      <c r="L216" s="307" t="n"/>
      <c r="M216" s="307" t="n"/>
      <c r="N216" s="307" t="n"/>
      <c r="O216" s="307" t="n"/>
      <c r="P216" s="307" t="n"/>
      <c r="Q216" s="307" t="n"/>
      <c r="R216" s="307" t="n"/>
      <c r="S216" s="307" t="n"/>
      <c r="T216" s="307" t="n"/>
      <c r="U216" s="307" t="n"/>
      <c r="V216" s="307" t="n"/>
      <c r="W216" s="307" t="n"/>
      <c r="X216" s="307" t="n"/>
      <c r="Y216" s="307" t="n"/>
      <c r="Z216" s="307" t="n"/>
      <c r="AA216" s="307" t="n"/>
      <c r="AB216" s="307" t="n"/>
      <c r="AC216" s="307" t="n"/>
      <c r="AD216" s="307" t="n"/>
      <c r="AE216" s="307" t="n"/>
      <c r="AF216" s="307" t="n"/>
      <c r="AG216" s="307" t="n"/>
      <c r="AH216" s="307" t="n"/>
      <c r="AI216" s="307" t="n"/>
      <c r="AJ216" s="307" t="n"/>
      <c r="AK216" s="307" t="n"/>
      <c r="AL216" s="307" t="n"/>
      <c r="AM216" s="307" t="n"/>
      <c r="AN216" s="307" t="n"/>
      <c r="AO216" s="307" t="n"/>
      <c r="AP216" s="307" t="n"/>
      <c r="AQ216" s="307" t="n"/>
      <c r="AR216" s="307" t="n"/>
      <c r="AS216" s="307" t="n"/>
      <c r="AT216" s="307" t="n"/>
      <c r="AU216" s="307" t="n"/>
      <c r="AV216" s="307" t="n"/>
      <c r="AW216" s="307" t="n"/>
      <c r="AX216" s="307" t="n"/>
      <c r="AY216" s="307" t="n"/>
      <c r="AZ216" s="307" t="n"/>
      <c r="BA216" s="31" t="n"/>
      <c r="BB216" s="307" t="n"/>
      <c r="BC216" s="307" t="n"/>
      <c r="BD216" s="307" t="n"/>
      <c r="BE216" s="307" t="n"/>
      <c r="BF216" s="307" t="n"/>
      <c r="BG216" s="31" t="n"/>
      <c r="BH216" s="31" t="n"/>
      <c r="BI216" s="31" t="n"/>
      <c r="BJ216" s="31" t="n"/>
    </row>
    <row r="217" ht="15.75" customHeight="1" s="349">
      <c r="A217" s="31" t="n"/>
      <c r="B217" s="307" t="n"/>
      <c r="C217" s="307" t="n"/>
      <c r="D217" s="307" t="n"/>
      <c r="E217" s="307" t="n"/>
      <c r="F217" s="307" t="n"/>
      <c r="G217" s="307" t="n"/>
      <c r="H217" s="307" t="n"/>
      <c r="I217" s="307" t="n"/>
      <c r="J217" s="307" t="n"/>
      <c r="K217" s="307" t="n"/>
      <c r="L217" s="307" t="n"/>
      <c r="M217" s="307" t="n"/>
      <c r="N217" s="307" t="n"/>
      <c r="O217" s="307" t="n"/>
      <c r="P217" s="307" t="n"/>
      <c r="Q217" s="307" t="n"/>
      <c r="R217" s="307" t="n"/>
      <c r="S217" s="307" t="n"/>
      <c r="T217" s="307" t="n"/>
      <c r="U217" s="307" t="n"/>
      <c r="V217" s="307" t="n"/>
      <c r="W217" s="307" t="n"/>
      <c r="X217" s="307" t="n"/>
      <c r="Y217" s="307" t="n"/>
      <c r="Z217" s="307" t="n"/>
      <c r="AA217" s="307" t="n"/>
      <c r="AB217" s="307" t="n"/>
      <c r="AC217" s="307" t="n"/>
      <c r="AD217" s="307" t="n"/>
      <c r="AE217" s="307" t="n"/>
      <c r="AF217" s="307" t="n"/>
      <c r="AG217" s="307" t="n"/>
      <c r="AH217" s="307" t="n"/>
      <c r="AI217" s="307" t="n"/>
      <c r="AJ217" s="307" t="n"/>
      <c r="AK217" s="307" t="n"/>
      <c r="AL217" s="307" t="n"/>
      <c r="AM217" s="307" t="n"/>
      <c r="AN217" s="307" t="n"/>
      <c r="AO217" s="307" t="n"/>
      <c r="AP217" s="307" t="n"/>
      <c r="AQ217" s="307" t="n"/>
      <c r="AR217" s="307" t="n"/>
      <c r="AS217" s="307" t="n"/>
      <c r="AT217" s="307" t="n"/>
      <c r="AU217" s="307" t="n"/>
      <c r="AV217" s="307" t="n"/>
      <c r="AW217" s="307" t="n"/>
      <c r="AX217" s="307" t="n"/>
      <c r="AY217" s="307" t="n"/>
      <c r="AZ217" s="307" t="n"/>
      <c r="BA217" s="31" t="n"/>
      <c r="BB217" s="307" t="n"/>
      <c r="BC217" s="307" t="n"/>
      <c r="BD217" s="307" t="n"/>
      <c r="BE217" s="307" t="n"/>
      <c r="BF217" s="307" t="n"/>
      <c r="BG217" s="31" t="n"/>
      <c r="BH217" s="31" t="n"/>
      <c r="BI217" s="31" t="n"/>
      <c r="BJ217" s="31" t="n"/>
    </row>
    <row r="218" ht="15.75" customHeight="1" s="349">
      <c r="A218" s="31" t="n"/>
      <c r="B218" s="307" t="n"/>
      <c r="C218" s="307" t="n"/>
      <c r="D218" s="307" t="n"/>
      <c r="E218" s="307" t="n"/>
      <c r="F218" s="307" t="n"/>
      <c r="G218" s="307" t="n"/>
      <c r="H218" s="307" t="n"/>
      <c r="I218" s="307" t="n"/>
      <c r="J218" s="307" t="n"/>
      <c r="K218" s="307" t="n"/>
      <c r="L218" s="307" t="n"/>
      <c r="M218" s="307" t="n"/>
      <c r="N218" s="307" t="n"/>
      <c r="O218" s="307" t="n"/>
      <c r="P218" s="307" t="n"/>
      <c r="Q218" s="307" t="n"/>
      <c r="R218" s="307" t="n"/>
      <c r="S218" s="307" t="n"/>
      <c r="T218" s="307" t="n"/>
      <c r="U218" s="307" t="n"/>
      <c r="V218" s="307" t="n"/>
      <c r="W218" s="307" t="n"/>
      <c r="X218" s="307" t="n"/>
      <c r="Y218" s="307" t="n"/>
      <c r="Z218" s="307" t="n"/>
      <c r="AA218" s="307" t="n"/>
      <c r="AB218" s="307" t="n"/>
      <c r="AC218" s="307" t="n"/>
      <c r="AD218" s="307" t="n"/>
      <c r="AE218" s="307" t="n"/>
      <c r="AF218" s="307" t="n"/>
      <c r="AG218" s="307" t="n"/>
      <c r="AH218" s="307" t="n"/>
      <c r="AI218" s="307" t="n"/>
      <c r="AJ218" s="307" t="n"/>
      <c r="AK218" s="307" t="n"/>
      <c r="AL218" s="307" t="n"/>
      <c r="AM218" s="307" t="n"/>
      <c r="AN218" s="307" t="n"/>
      <c r="AO218" s="307" t="n"/>
      <c r="AP218" s="307" t="n"/>
      <c r="AQ218" s="307" t="n"/>
      <c r="AR218" s="307" t="n"/>
      <c r="AS218" s="307" t="n"/>
      <c r="AT218" s="307" t="n"/>
      <c r="AU218" s="307" t="n"/>
      <c r="AV218" s="307" t="n"/>
      <c r="AW218" s="307" t="n"/>
      <c r="AX218" s="307" t="n"/>
      <c r="AY218" s="307" t="n"/>
      <c r="AZ218" s="307" t="n"/>
      <c r="BA218" s="31" t="n"/>
      <c r="BB218" s="307" t="n"/>
      <c r="BC218" s="307" t="n"/>
      <c r="BD218" s="307" t="n"/>
      <c r="BE218" s="307" t="n"/>
      <c r="BF218" s="307" t="n"/>
      <c r="BG218" s="31" t="n"/>
      <c r="BH218" s="31" t="n"/>
      <c r="BI218" s="31" t="n"/>
      <c r="BJ218" s="31" t="n"/>
    </row>
    <row r="219" ht="15.75" customHeight="1" s="349">
      <c r="A219" s="31" t="n"/>
      <c r="B219" s="307" t="n"/>
      <c r="C219" s="307" t="n"/>
      <c r="D219" s="307" t="n"/>
      <c r="E219" s="307" t="n"/>
      <c r="F219" s="307" t="n"/>
      <c r="G219" s="307" t="n"/>
      <c r="H219" s="307" t="n"/>
      <c r="I219" s="307" t="n"/>
      <c r="J219" s="307" t="n"/>
      <c r="K219" s="307" t="n"/>
      <c r="L219" s="307" t="n"/>
      <c r="M219" s="307" t="n"/>
      <c r="N219" s="307" t="n"/>
      <c r="O219" s="307" t="n"/>
      <c r="P219" s="307" t="n"/>
      <c r="Q219" s="307" t="n"/>
      <c r="R219" s="307" t="n"/>
      <c r="S219" s="307" t="n"/>
      <c r="T219" s="307" t="n"/>
      <c r="U219" s="307" t="n"/>
      <c r="V219" s="307" t="n"/>
      <c r="W219" s="307" t="n"/>
      <c r="X219" s="307" t="n"/>
      <c r="Y219" s="307" t="n"/>
      <c r="Z219" s="307" t="n"/>
      <c r="AA219" s="307" t="n"/>
      <c r="AB219" s="307" t="n"/>
      <c r="AC219" s="307" t="n"/>
      <c r="AD219" s="307" t="n"/>
      <c r="AE219" s="307" t="n"/>
      <c r="AF219" s="307" t="n"/>
      <c r="AG219" s="307" t="n"/>
      <c r="AH219" s="307" t="n"/>
      <c r="AI219" s="307" t="n"/>
      <c r="AJ219" s="307" t="n"/>
      <c r="AK219" s="307" t="n"/>
      <c r="AL219" s="307" t="n"/>
      <c r="AM219" s="307" t="n"/>
      <c r="AN219" s="307" t="n"/>
      <c r="AO219" s="307" t="n"/>
      <c r="AP219" s="307" t="n"/>
      <c r="AQ219" s="307" t="n"/>
      <c r="AR219" s="307" t="n"/>
      <c r="AS219" s="307" t="n"/>
      <c r="AT219" s="307" t="n"/>
      <c r="AU219" s="307" t="n"/>
      <c r="AV219" s="307" t="n"/>
      <c r="AW219" s="307" t="n"/>
      <c r="AX219" s="307" t="n"/>
      <c r="AY219" s="307" t="n"/>
      <c r="AZ219" s="307" t="n"/>
      <c r="BA219" s="31" t="n"/>
      <c r="BB219" s="307" t="n"/>
      <c r="BC219" s="307" t="n"/>
      <c r="BD219" s="307" t="n"/>
      <c r="BE219" s="307" t="n"/>
      <c r="BF219" s="307" t="n"/>
      <c r="BG219" s="31" t="n"/>
      <c r="BH219" s="31" t="n"/>
      <c r="BI219" s="31" t="n"/>
      <c r="BJ219" s="31" t="n"/>
    </row>
    <row r="220" ht="15.75" customHeight="1" s="349">
      <c r="A220" s="31" t="n"/>
      <c r="B220" s="307" t="n"/>
      <c r="C220" s="307" t="n"/>
      <c r="D220" s="307" t="n"/>
      <c r="E220" s="307" t="n"/>
      <c r="F220" s="307" t="n"/>
      <c r="G220" s="307" t="n"/>
      <c r="H220" s="307" t="n"/>
      <c r="I220" s="307" t="n"/>
      <c r="J220" s="307" t="n"/>
      <c r="K220" s="307" t="n"/>
      <c r="L220" s="307" t="n"/>
      <c r="M220" s="307" t="n"/>
      <c r="N220" s="307" t="n"/>
      <c r="O220" s="307" t="n"/>
      <c r="P220" s="307" t="n"/>
      <c r="Q220" s="307" t="n"/>
      <c r="R220" s="307" t="n"/>
      <c r="S220" s="307" t="n"/>
      <c r="T220" s="307" t="n"/>
      <c r="U220" s="307" t="n"/>
      <c r="V220" s="307" t="n"/>
      <c r="W220" s="307" t="n"/>
      <c r="X220" s="307" t="n"/>
      <c r="Y220" s="307" t="n"/>
      <c r="Z220" s="307" t="n"/>
      <c r="AA220" s="307" t="n"/>
      <c r="AB220" s="307" t="n"/>
      <c r="AC220" s="307" t="n"/>
      <c r="AD220" s="307" t="n"/>
      <c r="AE220" s="307" t="n"/>
      <c r="AF220" s="307" t="n"/>
      <c r="AG220" s="307" t="n"/>
      <c r="AH220" s="307" t="n"/>
      <c r="AI220" s="307" t="n"/>
      <c r="AJ220" s="307" t="n"/>
      <c r="AK220" s="307" t="n"/>
      <c r="AL220" s="307" t="n"/>
      <c r="AM220" s="307" t="n"/>
      <c r="AN220" s="307" t="n"/>
      <c r="AO220" s="307" t="n"/>
      <c r="AP220" s="307" t="n"/>
      <c r="AQ220" s="307" t="n"/>
      <c r="AR220" s="307" t="n"/>
      <c r="AS220" s="307" t="n"/>
      <c r="AT220" s="307" t="n"/>
      <c r="AU220" s="307" t="n"/>
      <c r="AV220" s="307" t="n"/>
      <c r="AW220" s="307" t="n"/>
      <c r="AX220" s="307" t="n"/>
      <c r="AY220" s="307" t="n"/>
      <c r="AZ220" s="307" t="n"/>
      <c r="BA220" s="31" t="n"/>
      <c r="BB220" s="307" t="n"/>
      <c r="BC220" s="307" t="n"/>
      <c r="BD220" s="307" t="n"/>
      <c r="BE220" s="307" t="n"/>
      <c r="BF220" s="307" t="n"/>
      <c r="BG220" s="31" t="n"/>
      <c r="BH220" s="31" t="n"/>
      <c r="BI220" s="31" t="n"/>
      <c r="BJ220" s="31" t="n"/>
    </row>
    <row r="221" ht="15.75" customHeight="1" s="349">
      <c r="A221" s="31" t="n"/>
      <c r="B221" s="307" t="n"/>
      <c r="C221" s="307" t="n"/>
      <c r="D221" s="307" t="n"/>
      <c r="E221" s="307" t="n"/>
      <c r="F221" s="307" t="n"/>
      <c r="G221" s="307" t="n"/>
      <c r="H221" s="307" t="n"/>
      <c r="I221" s="307" t="n"/>
      <c r="J221" s="307" t="n"/>
      <c r="K221" s="307" t="n"/>
      <c r="L221" s="307" t="n"/>
      <c r="M221" s="307" t="n"/>
      <c r="N221" s="307" t="n"/>
      <c r="O221" s="307" t="n"/>
      <c r="P221" s="307" t="n"/>
      <c r="Q221" s="307" t="n"/>
      <c r="R221" s="307" t="n"/>
      <c r="S221" s="307" t="n"/>
      <c r="T221" s="307" t="n"/>
      <c r="U221" s="307" t="n"/>
      <c r="V221" s="307" t="n"/>
      <c r="W221" s="307" t="n"/>
      <c r="X221" s="307" t="n"/>
      <c r="Y221" s="307" t="n"/>
      <c r="Z221" s="307" t="n"/>
      <c r="AA221" s="307" t="n"/>
      <c r="AB221" s="307" t="n"/>
      <c r="AC221" s="307" t="n"/>
      <c r="AD221" s="307" t="n"/>
      <c r="AE221" s="307" t="n"/>
      <c r="AF221" s="307" t="n"/>
      <c r="AG221" s="307" t="n"/>
      <c r="AH221" s="307" t="n"/>
      <c r="AI221" s="307" t="n"/>
      <c r="AJ221" s="307" t="n"/>
      <c r="AK221" s="307" t="n"/>
      <c r="AL221" s="307" t="n"/>
      <c r="AM221" s="307" t="n"/>
      <c r="AN221" s="307" t="n"/>
      <c r="AO221" s="307" t="n"/>
      <c r="AP221" s="307" t="n"/>
      <c r="AQ221" s="307" t="n"/>
      <c r="AR221" s="307" t="n"/>
      <c r="AS221" s="307" t="n"/>
      <c r="AT221" s="307" t="n"/>
      <c r="AU221" s="307" t="n"/>
      <c r="AV221" s="307" t="n"/>
      <c r="AW221" s="307" t="n"/>
      <c r="AX221" s="307" t="n"/>
      <c r="AY221" s="307" t="n"/>
      <c r="AZ221" s="307" t="n"/>
      <c r="BA221" s="31" t="n"/>
      <c r="BB221" s="307" t="n"/>
      <c r="BC221" s="307" t="n"/>
      <c r="BD221" s="307" t="n"/>
      <c r="BE221" s="307" t="n"/>
      <c r="BF221" s="307" t="n"/>
      <c r="BG221" s="31" t="n"/>
      <c r="BH221" s="31" t="n"/>
      <c r="BI221" s="31" t="n"/>
      <c r="BJ221" s="31" t="n"/>
    </row>
    <row r="222" ht="15.75" customHeight="1" s="349">
      <c r="A222" s="31" t="n"/>
      <c r="B222" s="307" t="n"/>
      <c r="C222" s="307" t="n"/>
      <c r="D222" s="307" t="n"/>
      <c r="E222" s="307" t="n"/>
      <c r="F222" s="307" t="n"/>
      <c r="G222" s="307" t="n"/>
      <c r="H222" s="307" t="n"/>
      <c r="I222" s="307" t="n"/>
      <c r="J222" s="307" t="n"/>
      <c r="K222" s="307" t="n"/>
      <c r="L222" s="307" t="n"/>
      <c r="M222" s="307" t="n"/>
      <c r="N222" s="307" t="n"/>
      <c r="O222" s="307" t="n"/>
      <c r="P222" s="307" t="n"/>
      <c r="Q222" s="307" t="n"/>
      <c r="R222" s="307" t="n"/>
      <c r="S222" s="307" t="n"/>
      <c r="T222" s="307" t="n"/>
      <c r="U222" s="307" t="n"/>
      <c r="V222" s="307" t="n"/>
      <c r="W222" s="307" t="n"/>
      <c r="X222" s="307" t="n"/>
      <c r="Y222" s="307" t="n"/>
      <c r="Z222" s="307" t="n"/>
      <c r="AA222" s="307" t="n"/>
      <c r="AB222" s="307" t="n"/>
      <c r="AC222" s="307" t="n"/>
      <c r="AD222" s="307" t="n"/>
      <c r="AE222" s="307" t="n"/>
      <c r="AF222" s="307" t="n"/>
      <c r="AG222" s="307" t="n"/>
      <c r="AH222" s="307" t="n"/>
      <c r="AI222" s="307" t="n"/>
      <c r="AJ222" s="307" t="n"/>
      <c r="AK222" s="307" t="n"/>
      <c r="AL222" s="307" t="n"/>
      <c r="AM222" s="307" t="n"/>
      <c r="AN222" s="307" t="n"/>
      <c r="AO222" s="307" t="n"/>
      <c r="AP222" s="307" t="n"/>
      <c r="AQ222" s="307" t="n"/>
      <c r="AR222" s="307" t="n"/>
      <c r="AS222" s="307" t="n"/>
      <c r="AT222" s="307" t="n"/>
      <c r="AU222" s="307" t="n"/>
      <c r="AV222" s="307" t="n"/>
      <c r="AW222" s="307" t="n"/>
      <c r="AX222" s="307" t="n"/>
      <c r="AY222" s="307" t="n"/>
      <c r="AZ222" s="307" t="n"/>
      <c r="BA222" s="31" t="n"/>
      <c r="BB222" s="307" t="n"/>
      <c r="BC222" s="307" t="n"/>
      <c r="BD222" s="307" t="n"/>
      <c r="BE222" s="307" t="n"/>
      <c r="BF222" s="307" t="n"/>
      <c r="BG222" s="31" t="n"/>
      <c r="BH222" s="31" t="n"/>
      <c r="BI222" s="31" t="n"/>
      <c r="BJ222" s="31" t="n"/>
    </row>
    <row r="223" ht="15.75" customHeight="1" s="349">
      <c r="A223" s="31" t="n"/>
      <c r="B223" s="307" t="n"/>
      <c r="C223" s="307" t="n"/>
      <c r="D223" s="307" t="n"/>
      <c r="E223" s="307" t="n"/>
      <c r="F223" s="307" t="n"/>
      <c r="G223" s="307" t="n"/>
      <c r="H223" s="307" t="n"/>
      <c r="I223" s="307" t="n"/>
      <c r="J223" s="307" t="n"/>
      <c r="K223" s="307" t="n"/>
      <c r="L223" s="307" t="n"/>
      <c r="M223" s="307" t="n"/>
      <c r="N223" s="307" t="n"/>
      <c r="O223" s="307" t="n"/>
      <c r="P223" s="307" t="n"/>
      <c r="Q223" s="307" t="n"/>
      <c r="R223" s="307" t="n"/>
      <c r="S223" s="307" t="n"/>
      <c r="T223" s="307" t="n"/>
      <c r="U223" s="307" t="n"/>
      <c r="V223" s="307" t="n"/>
      <c r="W223" s="307" t="n"/>
      <c r="X223" s="307" t="n"/>
      <c r="Y223" s="307" t="n"/>
      <c r="Z223" s="307" t="n"/>
      <c r="AA223" s="307" t="n"/>
      <c r="AB223" s="307" t="n"/>
      <c r="AC223" s="307" t="n"/>
      <c r="AD223" s="307" t="n"/>
      <c r="AE223" s="307" t="n"/>
      <c r="AF223" s="307" t="n"/>
      <c r="AG223" s="307" t="n"/>
      <c r="AH223" s="307" t="n"/>
      <c r="AI223" s="307" t="n"/>
      <c r="AJ223" s="307" t="n"/>
      <c r="AK223" s="307" t="n"/>
      <c r="AL223" s="307" t="n"/>
      <c r="AM223" s="307" t="n"/>
      <c r="AN223" s="307" t="n"/>
      <c r="AO223" s="307" t="n"/>
      <c r="AP223" s="307" t="n"/>
      <c r="AQ223" s="307" t="n"/>
      <c r="AR223" s="307" t="n"/>
      <c r="AS223" s="307" t="n"/>
      <c r="AT223" s="307" t="n"/>
      <c r="AU223" s="307" t="n"/>
      <c r="AV223" s="307" t="n"/>
      <c r="AW223" s="307" t="n"/>
      <c r="AX223" s="307" t="n"/>
      <c r="AY223" s="307" t="n"/>
      <c r="AZ223" s="307" t="n"/>
      <c r="BA223" s="31" t="n"/>
      <c r="BB223" s="307" t="n"/>
      <c r="BC223" s="307" t="n"/>
      <c r="BD223" s="307" t="n"/>
      <c r="BE223" s="307" t="n"/>
      <c r="BF223" s="307" t="n"/>
      <c r="BG223" s="31" t="n"/>
      <c r="BH223" s="31" t="n"/>
      <c r="BI223" s="31" t="n"/>
      <c r="BJ223" s="31" t="n"/>
    </row>
    <row r="224" ht="15.75" customHeight="1" s="349">
      <c r="A224" s="31" t="n"/>
      <c r="B224" s="307" t="n"/>
      <c r="C224" s="307" t="n"/>
      <c r="D224" s="307" t="n"/>
      <c r="E224" s="307" t="n"/>
      <c r="F224" s="307" t="n"/>
      <c r="G224" s="307" t="n"/>
      <c r="H224" s="307" t="n"/>
      <c r="I224" s="307" t="n"/>
      <c r="J224" s="307" t="n"/>
      <c r="K224" s="307" t="n"/>
      <c r="L224" s="307" t="n"/>
      <c r="M224" s="307" t="n"/>
      <c r="N224" s="307" t="n"/>
      <c r="O224" s="307" t="n"/>
      <c r="P224" s="307" t="n"/>
      <c r="Q224" s="307" t="n"/>
      <c r="R224" s="307" t="n"/>
      <c r="S224" s="307" t="n"/>
      <c r="T224" s="307" t="n"/>
      <c r="U224" s="307" t="n"/>
      <c r="V224" s="307" t="n"/>
      <c r="W224" s="307" t="n"/>
      <c r="X224" s="307" t="n"/>
      <c r="Y224" s="307" t="n"/>
      <c r="Z224" s="307" t="n"/>
      <c r="AA224" s="307" t="n"/>
      <c r="AB224" s="307" t="n"/>
      <c r="AC224" s="307" t="n"/>
      <c r="AD224" s="307" t="n"/>
      <c r="AE224" s="307" t="n"/>
      <c r="AF224" s="307" t="n"/>
      <c r="AG224" s="307" t="n"/>
      <c r="AH224" s="307" t="n"/>
      <c r="AI224" s="307" t="n"/>
      <c r="AJ224" s="307" t="n"/>
      <c r="AK224" s="307" t="n"/>
      <c r="AL224" s="307" t="n"/>
      <c r="AM224" s="307" t="n"/>
      <c r="AN224" s="307" t="n"/>
      <c r="AO224" s="307" t="n"/>
      <c r="AP224" s="307" t="n"/>
      <c r="AQ224" s="307" t="n"/>
      <c r="AR224" s="307" t="n"/>
      <c r="AS224" s="307" t="n"/>
      <c r="AT224" s="307" t="n"/>
      <c r="AU224" s="307" t="n"/>
      <c r="AV224" s="307" t="n"/>
      <c r="AW224" s="307" t="n"/>
      <c r="AX224" s="307" t="n"/>
      <c r="AY224" s="307" t="n"/>
      <c r="AZ224" s="307" t="n"/>
      <c r="BA224" s="31" t="n"/>
      <c r="BB224" s="307" t="n"/>
      <c r="BC224" s="307" t="n"/>
      <c r="BD224" s="307" t="n"/>
      <c r="BE224" s="307" t="n"/>
      <c r="BF224" s="307" t="n"/>
      <c r="BG224" s="31" t="n"/>
      <c r="BH224" s="31" t="n"/>
      <c r="BI224" s="31" t="n"/>
      <c r="BJ224" s="31" t="n"/>
    </row>
    <row r="225" ht="15.75" customHeight="1" s="349">
      <c r="A225" s="31" t="n"/>
      <c r="B225" s="307" t="n"/>
      <c r="C225" s="307" t="n"/>
      <c r="D225" s="307" t="n"/>
      <c r="E225" s="307" t="n"/>
      <c r="F225" s="307" t="n"/>
      <c r="G225" s="307" t="n"/>
      <c r="H225" s="307" t="n"/>
      <c r="I225" s="307" t="n"/>
      <c r="J225" s="307" t="n"/>
      <c r="K225" s="307" t="n"/>
      <c r="L225" s="307" t="n"/>
      <c r="M225" s="307" t="n"/>
      <c r="N225" s="307" t="n"/>
      <c r="O225" s="307" t="n"/>
      <c r="P225" s="307" t="n"/>
      <c r="Q225" s="307" t="n"/>
      <c r="R225" s="307" t="n"/>
      <c r="S225" s="307" t="n"/>
      <c r="T225" s="307" t="n"/>
      <c r="U225" s="307" t="n"/>
      <c r="V225" s="307" t="n"/>
      <c r="W225" s="307" t="n"/>
      <c r="X225" s="307" t="n"/>
      <c r="Y225" s="307" t="n"/>
      <c r="Z225" s="307" t="n"/>
      <c r="AA225" s="307" t="n"/>
      <c r="AB225" s="307" t="n"/>
      <c r="AC225" s="307" t="n"/>
      <c r="AD225" s="307" t="n"/>
      <c r="AE225" s="307" t="n"/>
      <c r="AF225" s="307" t="n"/>
      <c r="AG225" s="307" t="n"/>
      <c r="AH225" s="307" t="n"/>
      <c r="AI225" s="307" t="n"/>
      <c r="AJ225" s="307" t="n"/>
      <c r="AK225" s="307" t="n"/>
      <c r="AL225" s="307" t="n"/>
      <c r="AM225" s="307" t="n"/>
      <c r="AN225" s="307" t="n"/>
      <c r="AO225" s="307" t="n"/>
      <c r="AP225" s="307" t="n"/>
      <c r="AQ225" s="307" t="n"/>
      <c r="AR225" s="307" t="n"/>
      <c r="AS225" s="307" t="n"/>
      <c r="AT225" s="307" t="n"/>
      <c r="AU225" s="307" t="n"/>
      <c r="AV225" s="307" t="n"/>
      <c r="AW225" s="307" t="n"/>
      <c r="AX225" s="307" t="n"/>
      <c r="AY225" s="307" t="n"/>
      <c r="AZ225" s="307" t="n"/>
      <c r="BA225" s="31" t="n"/>
      <c r="BB225" s="307" t="n"/>
      <c r="BC225" s="307" t="n"/>
      <c r="BD225" s="307" t="n"/>
      <c r="BE225" s="307" t="n"/>
      <c r="BF225" s="307" t="n"/>
      <c r="BG225" s="31" t="n"/>
      <c r="BH225" s="31" t="n"/>
      <c r="BI225" s="31" t="n"/>
      <c r="BJ225" s="31" t="n"/>
    </row>
    <row r="226" ht="15.75" customHeight="1" s="349">
      <c r="A226" s="31" t="n"/>
      <c r="B226" s="307" t="n"/>
      <c r="C226" s="307" t="n"/>
      <c r="D226" s="307" t="n"/>
      <c r="E226" s="307" t="n"/>
      <c r="F226" s="307" t="n"/>
      <c r="G226" s="307" t="n"/>
      <c r="H226" s="307" t="n"/>
      <c r="I226" s="307" t="n"/>
      <c r="J226" s="307" t="n"/>
      <c r="K226" s="307" t="n"/>
      <c r="L226" s="307" t="n"/>
      <c r="M226" s="307" t="n"/>
      <c r="N226" s="307" t="n"/>
      <c r="O226" s="307" t="n"/>
      <c r="P226" s="307" t="n"/>
      <c r="Q226" s="307" t="n"/>
      <c r="R226" s="307" t="n"/>
      <c r="S226" s="307" t="n"/>
      <c r="T226" s="307" t="n"/>
      <c r="U226" s="307" t="n"/>
      <c r="V226" s="307" t="n"/>
      <c r="W226" s="307" t="n"/>
      <c r="X226" s="307" t="n"/>
      <c r="Y226" s="307" t="n"/>
      <c r="Z226" s="307" t="n"/>
      <c r="AA226" s="307" t="n"/>
      <c r="AB226" s="307" t="n"/>
      <c r="AC226" s="307" t="n"/>
      <c r="AD226" s="307" t="n"/>
      <c r="AE226" s="307" t="n"/>
      <c r="AF226" s="307" t="n"/>
      <c r="AG226" s="307" t="n"/>
      <c r="AH226" s="307" t="n"/>
      <c r="AI226" s="307" t="n"/>
      <c r="AJ226" s="307" t="n"/>
      <c r="AK226" s="307" t="n"/>
      <c r="AL226" s="307" t="n"/>
      <c r="AM226" s="307" t="n"/>
      <c r="AN226" s="307" t="n"/>
      <c r="AO226" s="307" t="n"/>
      <c r="AP226" s="307" t="n"/>
      <c r="AQ226" s="307" t="n"/>
      <c r="AR226" s="307" t="n"/>
      <c r="AS226" s="307" t="n"/>
      <c r="AT226" s="307" t="n"/>
      <c r="AU226" s="307" t="n"/>
      <c r="AV226" s="307" t="n"/>
      <c r="AW226" s="307" t="n"/>
      <c r="AX226" s="307" t="n"/>
      <c r="AY226" s="307" t="n"/>
      <c r="AZ226" s="307" t="n"/>
      <c r="BA226" s="31" t="n"/>
      <c r="BB226" s="307" t="n"/>
      <c r="BC226" s="307" t="n"/>
      <c r="BD226" s="307" t="n"/>
      <c r="BE226" s="307" t="n"/>
      <c r="BF226" s="307" t="n"/>
      <c r="BG226" s="31" t="n"/>
      <c r="BH226" s="31" t="n"/>
      <c r="BI226" s="31" t="n"/>
      <c r="BJ226" s="31" t="n"/>
    </row>
    <row r="227" ht="15.75" customHeight="1" s="349">
      <c r="A227" s="31" t="n"/>
      <c r="B227" s="307" t="n"/>
      <c r="C227" s="307" t="n"/>
      <c r="D227" s="307" t="n"/>
      <c r="E227" s="307" t="n"/>
      <c r="F227" s="307" t="n"/>
      <c r="G227" s="307" t="n"/>
      <c r="H227" s="307" t="n"/>
      <c r="I227" s="307" t="n"/>
      <c r="J227" s="307" t="n"/>
      <c r="K227" s="307" t="n"/>
      <c r="L227" s="307" t="n"/>
      <c r="M227" s="307" t="n"/>
      <c r="N227" s="307" t="n"/>
      <c r="O227" s="307" t="n"/>
      <c r="P227" s="307" t="n"/>
      <c r="Q227" s="307" t="n"/>
      <c r="R227" s="307" t="n"/>
      <c r="S227" s="307" t="n"/>
      <c r="T227" s="307" t="n"/>
      <c r="U227" s="307" t="n"/>
      <c r="V227" s="307" t="n"/>
      <c r="W227" s="307" t="n"/>
      <c r="X227" s="307" t="n"/>
      <c r="Y227" s="307" t="n"/>
      <c r="Z227" s="307" t="n"/>
      <c r="AA227" s="307" t="n"/>
      <c r="AB227" s="307" t="n"/>
      <c r="AC227" s="307" t="n"/>
      <c r="AD227" s="307" t="n"/>
      <c r="AE227" s="307" t="n"/>
      <c r="AF227" s="307" t="n"/>
      <c r="AG227" s="307" t="n"/>
      <c r="AH227" s="307" t="n"/>
      <c r="AI227" s="307" t="n"/>
      <c r="AJ227" s="307" t="n"/>
      <c r="AK227" s="307" t="n"/>
      <c r="AL227" s="307" t="n"/>
      <c r="AM227" s="307" t="n"/>
      <c r="AN227" s="307" t="n"/>
      <c r="AO227" s="307" t="n"/>
      <c r="AP227" s="307" t="n"/>
      <c r="AQ227" s="307" t="n"/>
      <c r="AR227" s="307" t="n"/>
      <c r="AS227" s="307" t="n"/>
      <c r="AT227" s="307" t="n"/>
      <c r="AU227" s="307" t="n"/>
      <c r="AV227" s="307" t="n"/>
      <c r="AW227" s="307" t="n"/>
      <c r="AX227" s="307" t="n"/>
      <c r="AY227" s="307" t="n"/>
      <c r="AZ227" s="307" t="n"/>
      <c r="BA227" s="31" t="n"/>
      <c r="BB227" s="307" t="n"/>
      <c r="BC227" s="307" t="n"/>
      <c r="BD227" s="307" t="n"/>
      <c r="BE227" s="307" t="n"/>
      <c r="BF227" s="307" t="n"/>
      <c r="BG227" s="31" t="n"/>
      <c r="BH227" s="31" t="n"/>
      <c r="BI227" s="31" t="n"/>
      <c r="BJ227" s="31" t="n"/>
    </row>
    <row r="228" ht="15.75" customHeight="1" s="349">
      <c r="A228" s="31" t="n"/>
      <c r="B228" s="307" t="n"/>
      <c r="C228" s="307" t="n"/>
      <c r="D228" s="307" t="n"/>
      <c r="E228" s="307" t="n"/>
      <c r="F228" s="307" t="n"/>
      <c r="G228" s="307" t="n"/>
      <c r="H228" s="307" t="n"/>
      <c r="I228" s="307" t="n"/>
      <c r="J228" s="307" t="n"/>
      <c r="K228" s="307" t="n"/>
      <c r="L228" s="307" t="n"/>
      <c r="M228" s="307" t="n"/>
      <c r="N228" s="307" t="n"/>
      <c r="O228" s="307" t="n"/>
      <c r="P228" s="307" t="n"/>
      <c r="Q228" s="307" t="n"/>
      <c r="R228" s="307" t="n"/>
      <c r="S228" s="307" t="n"/>
      <c r="T228" s="307" t="n"/>
      <c r="U228" s="307" t="n"/>
      <c r="V228" s="307" t="n"/>
      <c r="W228" s="307" t="n"/>
      <c r="X228" s="307" t="n"/>
      <c r="Y228" s="307" t="n"/>
      <c r="Z228" s="307" t="n"/>
      <c r="AA228" s="307" t="n"/>
      <c r="AB228" s="307" t="n"/>
      <c r="AC228" s="307" t="n"/>
      <c r="AD228" s="307" t="n"/>
      <c r="AE228" s="307" t="n"/>
      <c r="AF228" s="307" t="n"/>
      <c r="AG228" s="307" t="n"/>
      <c r="AH228" s="307" t="n"/>
      <c r="AI228" s="307" t="n"/>
      <c r="AJ228" s="307" t="n"/>
      <c r="AK228" s="307" t="n"/>
      <c r="AL228" s="307" t="n"/>
      <c r="AM228" s="307" t="n"/>
      <c r="AN228" s="307" t="n"/>
      <c r="AO228" s="307" t="n"/>
      <c r="AP228" s="307" t="n"/>
      <c r="AQ228" s="307" t="n"/>
      <c r="AR228" s="307" t="n"/>
      <c r="AS228" s="307" t="n"/>
      <c r="AT228" s="307" t="n"/>
      <c r="AU228" s="307" t="n"/>
      <c r="AV228" s="307" t="n"/>
      <c r="AW228" s="307" t="n"/>
      <c r="AX228" s="307" t="n"/>
      <c r="AY228" s="307" t="n"/>
      <c r="AZ228" s="307" t="n"/>
      <c r="BA228" s="31" t="n"/>
      <c r="BB228" s="307" t="n"/>
      <c r="BC228" s="307" t="n"/>
      <c r="BD228" s="307" t="n"/>
      <c r="BE228" s="307" t="n"/>
      <c r="BF228" s="307" t="n"/>
      <c r="BG228" s="31" t="n"/>
      <c r="BH228" s="31" t="n"/>
      <c r="BI228" s="31" t="n"/>
      <c r="BJ228" s="31" t="n"/>
    </row>
    <row r="229" ht="15.75" customHeight="1" s="349">
      <c r="A229" s="31" t="n"/>
      <c r="B229" s="307" t="n"/>
      <c r="C229" s="307" t="n"/>
      <c r="D229" s="307" t="n"/>
      <c r="E229" s="307" t="n"/>
      <c r="F229" s="307" t="n"/>
      <c r="G229" s="307" t="n"/>
      <c r="H229" s="307" t="n"/>
      <c r="I229" s="307" t="n"/>
      <c r="J229" s="307" t="n"/>
      <c r="K229" s="307" t="n"/>
      <c r="L229" s="307" t="n"/>
      <c r="M229" s="307" t="n"/>
      <c r="N229" s="307" t="n"/>
      <c r="O229" s="307" t="n"/>
      <c r="P229" s="307" t="n"/>
      <c r="Q229" s="307" t="n"/>
      <c r="R229" s="307" t="n"/>
      <c r="S229" s="307" t="n"/>
      <c r="T229" s="307" t="n"/>
      <c r="U229" s="307" t="n"/>
      <c r="V229" s="307" t="n"/>
      <c r="W229" s="307" t="n"/>
      <c r="X229" s="307" t="n"/>
      <c r="Y229" s="307" t="n"/>
      <c r="Z229" s="307" t="n"/>
      <c r="AA229" s="307" t="n"/>
      <c r="AB229" s="307" t="n"/>
      <c r="AC229" s="307" t="n"/>
      <c r="AD229" s="307" t="n"/>
      <c r="AE229" s="307" t="n"/>
      <c r="AF229" s="307" t="n"/>
      <c r="AG229" s="307" t="n"/>
      <c r="AH229" s="307" t="n"/>
      <c r="AI229" s="307" t="n"/>
      <c r="AJ229" s="307" t="n"/>
      <c r="AK229" s="307" t="n"/>
      <c r="AL229" s="307" t="n"/>
      <c r="AM229" s="307" t="n"/>
      <c r="AN229" s="307" t="n"/>
      <c r="AO229" s="307" t="n"/>
      <c r="AP229" s="307" t="n"/>
      <c r="AQ229" s="307" t="n"/>
      <c r="AR229" s="307" t="n"/>
      <c r="AS229" s="307" t="n"/>
      <c r="AT229" s="307" t="n"/>
      <c r="AU229" s="307" t="n"/>
      <c r="AV229" s="307" t="n"/>
      <c r="AW229" s="307" t="n"/>
      <c r="AX229" s="307" t="n"/>
      <c r="AY229" s="307" t="n"/>
      <c r="AZ229" s="307" t="n"/>
      <c r="BA229" s="31" t="n"/>
      <c r="BB229" s="307" t="n"/>
      <c r="BC229" s="307" t="n"/>
      <c r="BD229" s="307" t="n"/>
      <c r="BE229" s="307" t="n"/>
      <c r="BF229" s="307" t="n"/>
      <c r="BG229" s="31" t="n"/>
      <c r="BH229" s="31" t="n"/>
      <c r="BI229" s="31" t="n"/>
      <c r="BJ229" s="31" t="n"/>
    </row>
    <row r="230" ht="15.75" customHeight="1" s="349">
      <c r="A230" s="31" t="n"/>
      <c r="B230" s="307" t="n"/>
      <c r="C230" s="307" t="n"/>
      <c r="D230" s="307" t="n"/>
      <c r="E230" s="307" t="n"/>
      <c r="F230" s="307" t="n"/>
      <c r="G230" s="307" t="n"/>
      <c r="H230" s="307" t="n"/>
      <c r="I230" s="307" t="n"/>
      <c r="J230" s="307" t="n"/>
      <c r="K230" s="307" t="n"/>
      <c r="L230" s="307" t="n"/>
      <c r="M230" s="307" t="n"/>
      <c r="N230" s="307" t="n"/>
      <c r="O230" s="307" t="n"/>
      <c r="P230" s="307" t="n"/>
      <c r="Q230" s="307" t="n"/>
      <c r="R230" s="307" t="n"/>
      <c r="S230" s="307" t="n"/>
      <c r="T230" s="307" t="n"/>
      <c r="U230" s="307" t="n"/>
      <c r="V230" s="307" t="n"/>
      <c r="W230" s="307" t="n"/>
      <c r="X230" s="307" t="n"/>
      <c r="Y230" s="307" t="n"/>
      <c r="Z230" s="307" t="n"/>
      <c r="AA230" s="307" t="n"/>
      <c r="AB230" s="307" t="n"/>
      <c r="AC230" s="307" t="n"/>
      <c r="AD230" s="307" t="n"/>
      <c r="AE230" s="307" t="n"/>
      <c r="AF230" s="307" t="n"/>
      <c r="AG230" s="307" t="n"/>
      <c r="AH230" s="307" t="n"/>
      <c r="AI230" s="307" t="n"/>
      <c r="AJ230" s="307" t="n"/>
      <c r="AK230" s="307" t="n"/>
      <c r="AL230" s="307" t="n"/>
      <c r="AM230" s="307" t="n"/>
      <c r="AN230" s="307" t="n"/>
      <c r="AO230" s="307" t="n"/>
      <c r="AP230" s="307" t="n"/>
      <c r="AQ230" s="307" t="n"/>
      <c r="AR230" s="307" t="n"/>
      <c r="AS230" s="307" t="n"/>
      <c r="AT230" s="307" t="n"/>
      <c r="AU230" s="307" t="n"/>
      <c r="AV230" s="307" t="n"/>
      <c r="AW230" s="307" t="n"/>
      <c r="AX230" s="307" t="n"/>
      <c r="AY230" s="307" t="n"/>
      <c r="AZ230" s="307" t="n"/>
      <c r="BA230" s="31" t="n"/>
      <c r="BB230" s="307" t="n"/>
      <c r="BC230" s="307" t="n"/>
      <c r="BD230" s="307" t="n"/>
      <c r="BE230" s="307" t="n"/>
      <c r="BF230" s="307" t="n"/>
      <c r="BG230" s="31" t="n"/>
      <c r="BH230" s="31" t="n"/>
      <c r="BI230" s="31" t="n"/>
      <c r="BJ230" s="31" t="n"/>
    </row>
    <row r="231" ht="15.75" customHeight="1" s="349">
      <c r="A231" s="31" t="n"/>
      <c r="B231" s="307" t="n"/>
      <c r="C231" s="307" t="n"/>
      <c r="D231" s="307" t="n"/>
      <c r="E231" s="307" t="n"/>
      <c r="F231" s="307" t="n"/>
      <c r="G231" s="307" t="n"/>
      <c r="H231" s="307" t="n"/>
      <c r="I231" s="307" t="n"/>
      <c r="J231" s="307" t="n"/>
      <c r="K231" s="307" t="n"/>
      <c r="L231" s="307" t="n"/>
      <c r="M231" s="307" t="n"/>
      <c r="N231" s="307" t="n"/>
      <c r="O231" s="307" t="n"/>
      <c r="P231" s="307" t="n"/>
      <c r="Q231" s="307" t="n"/>
      <c r="R231" s="307" t="n"/>
      <c r="S231" s="307" t="n"/>
      <c r="T231" s="307" t="n"/>
      <c r="U231" s="307" t="n"/>
      <c r="V231" s="307" t="n"/>
      <c r="W231" s="307" t="n"/>
      <c r="X231" s="307" t="n"/>
      <c r="Y231" s="307" t="n"/>
      <c r="Z231" s="307" t="n"/>
      <c r="AA231" s="307" t="n"/>
      <c r="AB231" s="307" t="n"/>
      <c r="AC231" s="307" t="n"/>
      <c r="AD231" s="307" t="n"/>
      <c r="AE231" s="307" t="n"/>
      <c r="AF231" s="307" t="n"/>
      <c r="AG231" s="307" t="n"/>
      <c r="AH231" s="307" t="n"/>
      <c r="AI231" s="307" t="n"/>
      <c r="AJ231" s="307" t="n"/>
      <c r="AK231" s="307" t="n"/>
      <c r="AL231" s="307" t="n"/>
      <c r="AM231" s="307" t="n"/>
      <c r="AN231" s="307" t="n"/>
      <c r="AO231" s="307" t="n"/>
      <c r="AP231" s="307" t="n"/>
      <c r="AQ231" s="307" t="n"/>
      <c r="AR231" s="307" t="n"/>
      <c r="AS231" s="307" t="n"/>
      <c r="AT231" s="307" t="n"/>
      <c r="AU231" s="307" t="n"/>
      <c r="AV231" s="307" t="n"/>
      <c r="AW231" s="307" t="n"/>
      <c r="AX231" s="307" t="n"/>
      <c r="AY231" s="307" t="n"/>
      <c r="AZ231" s="307" t="n"/>
      <c r="BA231" s="31" t="n"/>
      <c r="BB231" s="307" t="n"/>
      <c r="BC231" s="307" t="n"/>
      <c r="BD231" s="307" t="n"/>
      <c r="BE231" s="307" t="n"/>
      <c r="BF231" s="307" t="n"/>
      <c r="BG231" s="31" t="n"/>
      <c r="BH231" s="31" t="n"/>
      <c r="BI231" s="31" t="n"/>
      <c r="BJ231" s="31" t="n"/>
    </row>
    <row r="232" ht="15.75" customHeight="1" s="349">
      <c r="A232" s="31" t="n"/>
      <c r="B232" s="307" t="n"/>
      <c r="C232" s="307" t="n"/>
      <c r="D232" s="307" t="n"/>
      <c r="E232" s="307" t="n"/>
      <c r="F232" s="307" t="n"/>
      <c r="G232" s="307" t="n"/>
      <c r="H232" s="307" t="n"/>
      <c r="I232" s="307" t="n"/>
      <c r="J232" s="307" t="n"/>
      <c r="K232" s="307" t="n"/>
      <c r="L232" s="307" t="n"/>
      <c r="M232" s="307" t="n"/>
      <c r="N232" s="307" t="n"/>
      <c r="O232" s="307" t="n"/>
      <c r="P232" s="307" t="n"/>
      <c r="Q232" s="307" t="n"/>
      <c r="R232" s="307" t="n"/>
      <c r="S232" s="307" t="n"/>
      <c r="T232" s="307" t="n"/>
      <c r="U232" s="307" t="n"/>
      <c r="V232" s="307" t="n"/>
      <c r="W232" s="307" t="n"/>
      <c r="X232" s="307" t="n"/>
      <c r="Y232" s="307" t="n"/>
      <c r="Z232" s="307" t="n"/>
      <c r="AA232" s="307" t="n"/>
      <c r="AB232" s="307" t="n"/>
      <c r="AC232" s="307" t="n"/>
      <c r="AD232" s="307" t="n"/>
      <c r="AE232" s="307" t="n"/>
      <c r="AF232" s="307" t="n"/>
      <c r="AG232" s="307" t="n"/>
      <c r="AH232" s="307" t="n"/>
      <c r="AI232" s="307" t="n"/>
      <c r="AJ232" s="307" t="n"/>
      <c r="AK232" s="307" t="n"/>
      <c r="AL232" s="307" t="n"/>
      <c r="AM232" s="307" t="n"/>
      <c r="AN232" s="307" t="n"/>
      <c r="AO232" s="307" t="n"/>
      <c r="AP232" s="307" t="n"/>
      <c r="AQ232" s="307" t="n"/>
      <c r="AR232" s="307" t="n"/>
      <c r="AS232" s="307" t="n"/>
      <c r="AT232" s="307" t="n"/>
      <c r="AU232" s="307" t="n"/>
      <c r="AV232" s="307" t="n"/>
      <c r="AW232" s="307" t="n"/>
      <c r="AX232" s="307" t="n"/>
      <c r="AY232" s="307" t="n"/>
      <c r="AZ232" s="307" t="n"/>
      <c r="BA232" s="31" t="n"/>
      <c r="BB232" s="307" t="n"/>
      <c r="BC232" s="307" t="n"/>
      <c r="BD232" s="307" t="n"/>
      <c r="BE232" s="307" t="n"/>
      <c r="BF232" s="307" t="n"/>
      <c r="BG232" s="31" t="n"/>
      <c r="BH232" s="31" t="n"/>
      <c r="BI232" s="31" t="n"/>
      <c r="BJ232" s="31" t="n"/>
    </row>
    <row r="233" ht="15.75" customHeight="1" s="349">
      <c r="A233" s="31" t="n"/>
      <c r="B233" s="307" t="n"/>
      <c r="C233" s="307" t="n"/>
      <c r="D233" s="307" t="n"/>
      <c r="E233" s="307" t="n"/>
      <c r="F233" s="307" t="n"/>
      <c r="G233" s="307" t="n"/>
      <c r="H233" s="307" t="n"/>
      <c r="I233" s="307" t="n"/>
      <c r="J233" s="307" t="n"/>
      <c r="K233" s="307" t="n"/>
      <c r="L233" s="307" t="n"/>
      <c r="M233" s="307" t="n"/>
      <c r="N233" s="307" t="n"/>
      <c r="O233" s="307" t="n"/>
      <c r="P233" s="307" t="n"/>
      <c r="Q233" s="307" t="n"/>
      <c r="R233" s="307" t="n"/>
      <c r="S233" s="307" t="n"/>
      <c r="T233" s="307" t="n"/>
      <c r="U233" s="307" t="n"/>
      <c r="V233" s="307" t="n"/>
      <c r="W233" s="307" t="n"/>
      <c r="X233" s="307" t="n"/>
      <c r="Y233" s="307" t="n"/>
      <c r="Z233" s="307" t="n"/>
      <c r="AA233" s="307" t="n"/>
      <c r="AB233" s="307" t="n"/>
      <c r="AC233" s="307" t="n"/>
      <c r="AD233" s="307" t="n"/>
      <c r="AE233" s="307" t="n"/>
      <c r="AF233" s="307" t="n"/>
      <c r="AG233" s="307" t="n"/>
      <c r="AH233" s="307" t="n"/>
      <c r="AI233" s="307" t="n"/>
      <c r="AJ233" s="307" t="n"/>
      <c r="AK233" s="307" t="n"/>
      <c r="AL233" s="307" t="n"/>
      <c r="AM233" s="307" t="n"/>
      <c r="AN233" s="307" t="n"/>
      <c r="AO233" s="307" t="n"/>
      <c r="AP233" s="307" t="n"/>
      <c r="AQ233" s="307" t="n"/>
      <c r="AR233" s="307" t="n"/>
      <c r="AS233" s="307" t="n"/>
      <c r="AT233" s="307" t="n"/>
      <c r="AU233" s="307" t="n"/>
      <c r="AV233" s="307" t="n"/>
      <c r="AW233" s="307" t="n"/>
      <c r="AX233" s="307" t="n"/>
      <c r="AY233" s="307" t="n"/>
      <c r="AZ233" s="307" t="n"/>
      <c r="BA233" s="31" t="n"/>
      <c r="BB233" s="307" t="n"/>
      <c r="BC233" s="307" t="n"/>
      <c r="BD233" s="307" t="n"/>
      <c r="BE233" s="307" t="n"/>
      <c r="BF233" s="307" t="n"/>
      <c r="BG233" s="31" t="n"/>
      <c r="BH233" s="31" t="n"/>
      <c r="BI233" s="31" t="n"/>
      <c r="BJ233" s="31" t="n"/>
    </row>
    <row r="234" ht="15.75" customHeight="1" s="349">
      <c r="A234" s="31" t="n"/>
      <c r="B234" s="307" t="n"/>
      <c r="C234" s="307" t="n"/>
      <c r="D234" s="307" t="n"/>
      <c r="E234" s="307" t="n"/>
      <c r="F234" s="307" t="n"/>
      <c r="G234" s="307" t="n"/>
      <c r="H234" s="307" t="n"/>
      <c r="I234" s="307" t="n"/>
      <c r="J234" s="307" t="n"/>
      <c r="K234" s="307" t="n"/>
      <c r="L234" s="307" t="n"/>
      <c r="M234" s="307" t="n"/>
      <c r="N234" s="307" t="n"/>
      <c r="O234" s="307" t="n"/>
      <c r="P234" s="307" t="n"/>
      <c r="Q234" s="307" t="n"/>
      <c r="R234" s="307" t="n"/>
      <c r="S234" s="307" t="n"/>
      <c r="T234" s="307" t="n"/>
      <c r="U234" s="307" t="n"/>
      <c r="V234" s="307" t="n"/>
      <c r="W234" s="307" t="n"/>
      <c r="X234" s="307" t="n"/>
      <c r="Y234" s="307" t="n"/>
      <c r="Z234" s="307" t="n"/>
      <c r="AA234" s="307" t="n"/>
      <c r="AB234" s="307" t="n"/>
      <c r="AC234" s="307" t="n"/>
      <c r="AD234" s="307" t="n"/>
      <c r="AE234" s="307" t="n"/>
      <c r="AF234" s="307" t="n"/>
      <c r="AG234" s="307" t="n"/>
      <c r="AH234" s="307" t="n"/>
      <c r="AI234" s="307" t="n"/>
      <c r="AJ234" s="307" t="n"/>
      <c r="AK234" s="307" t="n"/>
      <c r="AL234" s="307" t="n"/>
      <c r="AM234" s="307" t="n"/>
      <c r="AN234" s="307" t="n"/>
      <c r="AO234" s="307" t="n"/>
      <c r="AP234" s="307" t="n"/>
      <c r="AQ234" s="307" t="n"/>
      <c r="AR234" s="307" t="n"/>
      <c r="AS234" s="307" t="n"/>
      <c r="AT234" s="307" t="n"/>
      <c r="AU234" s="307" t="n"/>
      <c r="AV234" s="307" t="n"/>
      <c r="AW234" s="307" t="n"/>
      <c r="AX234" s="307" t="n"/>
      <c r="AY234" s="307" t="n"/>
      <c r="AZ234" s="307" t="n"/>
      <c r="BA234" s="31" t="n"/>
      <c r="BB234" s="307" t="n"/>
      <c r="BC234" s="307" t="n"/>
      <c r="BD234" s="307" t="n"/>
      <c r="BE234" s="307" t="n"/>
      <c r="BF234" s="307" t="n"/>
      <c r="BG234" s="31" t="n"/>
      <c r="BH234" s="31" t="n"/>
      <c r="BI234" s="31" t="n"/>
      <c r="BJ234" s="31" t="n"/>
    </row>
    <row r="235" ht="15.75" customHeight="1" s="349">
      <c r="A235" s="31" t="n"/>
      <c r="B235" s="307" t="n"/>
      <c r="C235" s="307" t="n"/>
      <c r="D235" s="307" t="n"/>
      <c r="E235" s="307" t="n"/>
      <c r="F235" s="307" t="n"/>
      <c r="G235" s="307" t="n"/>
      <c r="H235" s="307" t="n"/>
      <c r="I235" s="307" t="n"/>
      <c r="J235" s="307" t="n"/>
      <c r="K235" s="307" t="n"/>
      <c r="L235" s="307" t="n"/>
      <c r="M235" s="307" t="n"/>
      <c r="N235" s="307" t="n"/>
      <c r="O235" s="307" t="n"/>
      <c r="P235" s="307" t="n"/>
      <c r="Q235" s="307" t="n"/>
      <c r="R235" s="307" t="n"/>
      <c r="S235" s="307" t="n"/>
      <c r="T235" s="307" t="n"/>
      <c r="U235" s="307" t="n"/>
      <c r="V235" s="307" t="n"/>
      <c r="W235" s="307" t="n"/>
      <c r="X235" s="307" t="n"/>
      <c r="Y235" s="307" t="n"/>
      <c r="Z235" s="307" t="n"/>
      <c r="AA235" s="307" t="n"/>
      <c r="AB235" s="307" t="n"/>
      <c r="AC235" s="307" t="n"/>
      <c r="AD235" s="307" t="n"/>
      <c r="AE235" s="307" t="n"/>
      <c r="AF235" s="307" t="n"/>
      <c r="AG235" s="307" t="n"/>
      <c r="AH235" s="307" t="n"/>
      <c r="AI235" s="307" t="n"/>
      <c r="AJ235" s="307" t="n"/>
      <c r="AK235" s="307" t="n"/>
      <c r="AL235" s="307" t="n"/>
      <c r="AM235" s="307" t="n"/>
      <c r="AN235" s="307" t="n"/>
      <c r="AO235" s="307" t="n"/>
      <c r="AP235" s="307" t="n"/>
      <c r="AQ235" s="307" t="n"/>
      <c r="AR235" s="307" t="n"/>
      <c r="AS235" s="307" t="n"/>
      <c r="AT235" s="307" t="n"/>
      <c r="AU235" s="307" t="n"/>
      <c r="AV235" s="307" t="n"/>
      <c r="AW235" s="307" t="n"/>
      <c r="AX235" s="307" t="n"/>
      <c r="AY235" s="307" t="n"/>
      <c r="AZ235" s="307" t="n"/>
      <c r="BA235" s="31" t="n"/>
      <c r="BB235" s="307" t="n"/>
      <c r="BC235" s="307" t="n"/>
      <c r="BD235" s="307" t="n"/>
      <c r="BE235" s="307" t="n"/>
      <c r="BF235" s="307" t="n"/>
      <c r="BG235" s="31" t="n"/>
      <c r="BH235" s="31" t="n"/>
      <c r="BI235" s="31" t="n"/>
      <c r="BJ235" s="31" t="n"/>
    </row>
    <row r="236" ht="15.75" customHeight="1" s="349">
      <c r="A236" s="31" t="n"/>
      <c r="B236" s="307" t="n"/>
      <c r="C236" s="307" t="n"/>
      <c r="D236" s="307" t="n"/>
      <c r="E236" s="307" t="n"/>
      <c r="F236" s="307" t="n"/>
      <c r="G236" s="307" t="n"/>
      <c r="H236" s="307" t="n"/>
      <c r="I236" s="307" t="n"/>
      <c r="J236" s="307" t="n"/>
      <c r="K236" s="307" t="n"/>
      <c r="L236" s="307" t="n"/>
      <c r="M236" s="307" t="n"/>
      <c r="N236" s="307" t="n"/>
      <c r="O236" s="307" t="n"/>
      <c r="P236" s="307" t="n"/>
      <c r="Q236" s="307" t="n"/>
      <c r="R236" s="307" t="n"/>
      <c r="S236" s="307" t="n"/>
      <c r="T236" s="307" t="n"/>
      <c r="U236" s="307" t="n"/>
      <c r="V236" s="307" t="n"/>
      <c r="W236" s="307" t="n"/>
      <c r="X236" s="307" t="n"/>
      <c r="Y236" s="307" t="n"/>
      <c r="Z236" s="307" t="n"/>
      <c r="AA236" s="307" t="n"/>
      <c r="AB236" s="307" t="n"/>
      <c r="AC236" s="307" t="n"/>
      <c r="AD236" s="307" t="n"/>
      <c r="AE236" s="307" t="n"/>
      <c r="AF236" s="307" t="n"/>
      <c r="AG236" s="307" t="n"/>
      <c r="AH236" s="307" t="n"/>
      <c r="AI236" s="307" t="n"/>
      <c r="AJ236" s="307" t="n"/>
      <c r="AK236" s="307" t="n"/>
      <c r="AL236" s="307" t="n"/>
      <c r="AM236" s="307" t="n"/>
      <c r="AN236" s="307" t="n"/>
      <c r="AO236" s="307" t="n"/>
      <c r="AP236" s="307" t="n"/>
      <c r="AQ236" s="307" t="n"/>
      <c r="AR236" s="307" t="n"/>
      <c r="AS236" s="307" t="n"/>
      <c r="AT236" s="307" t="n"/>
      <c r="AU236" s="307" t="n"/>
      <c r="AV236" s="307" t="n"/>
      <c r="AW236" s="307" t="n"/>
      <c r="AX236" s="307" t="n"/>
      <c r="AY236" s="307" t="n"/>
      <c r="AZ236" s="307" t="n"/>
      <c r="BA236" s="31" t="n"/>
      <c r="BB236" s="307" t="n"/>
      <c r="BC236" s="307" t="n"/>
      <c r="BD236" s="307" t="n"/>
      <c r="BE236" s="307" t="n"/>
      <c r="BF236" s="307" t="n"/>
      <c r="BG236" s="31" t="n"/>
      <c r="BH236" s="31" t="n"/>
      <c r="BI236" s="31" t="n"/>
      <c r="BJ236" s="31" t="n"/>
    </row>
    <row r="237" ht="15.75" customHeight="1" s="349">
      <c r="A237" s="31" t="n"/>
      <c r="B237" s="307" t="n"/>
      <c r="C237" s="307" t="n"/>
      <c r="D237" s="307" t="n"/>
      <c r="E237" s="307" t="n"/>
      <c r="F237" s="307" t="n"/>
      <c r="G237" s="307" t="n"/>
      <c r="H237" s="307" t="n"/>
      <c r="I237" s="307" t="n"/>
      <c r="J237" s="307" t="n"/>
      <c r="K237" s="307" t="n"/>
      <c r="L237" s="307" t="n"/>
      <c r="M237" s="307" t="n"/>
      <c r="N237" s="307" t="n"/>
      <c r="O237" s="307" t="n"/>
      <c r="P237" s="307" t="n"/>
      <c r="Q237" s="307" t="n"/>
      <c r="R237" s="307" t="n"/>
      <c r="S237" s="307" t="n"/>
      <c r="T237" s="307" t="n"/>
      <c r="U237" s="307" t="n"/>
      <c r="V237" s="307" t="n"/>
      <c r="W237" s="307" t="n"/>
      <c r="X237" s="307" t="n"/>
      <c r="Y237" s="307" t="n"/>
      <c r="Z237" s="307" t="n"/>
      <c r="AA237" s="307" t="n"/>
      <c r="AB237" s="307" t="n"/>
      <c r="AC237" s="307" t="n"/>
      <c r="AD237" s="307" t="n"/>
      <c r="AE237" s="307" t="n"/>
      <c r="AF237" s="307" t="n"/>
      <c r="AG237" s="307" t="n"/>
      <c r="AH237" s="307" t="n"/>
      <c r="AI237" s="307" t="n"/>
      <c r="AJ237" s="307" t="n"/>
      <c r="AK237" s="307" t="n"/>
      <c r="AL237" s="307" t="n"/>
      <c r="AM237" s="307" t="n"/>
      <c r="AN237" s="307" t="n"/>
      <c r="AO237" s="307" t="n"/>
      <c r="AP237" s="307" t="n"/>
      <c r="AQ237" s="307" t="n"/>
      <c r="AR237" s="307" t="n"/>
      <c r="AS237" s="307" t="n"/>
      <c r="AT237" s="307" t="n"/>
      <c r="AU237" s="307" t="n"/>
      <c r="AV237" s="307" t="n"/>
      <c r="AW237" s="307" t="n"/>
      <c r="AX237" s="307" t="n"/>
      <c r="AY237" s="307" t="n"/>
      <c r="AZ237" s="307" t="n"/>
      <c r="BA237" s="31" t="n"/>
      <c r="BB237" s="307" t="n"/>
      <c r="BC237" s="307" t="n"/>
      <c r="BD237" s="307" t="n"/>
      <c r="BE237" s="307" t="n"/>
      <c r="BF237" s="307" t="n"/>
      <c r="BG237" s="31" t="n"/>
      <c r="BH237" s="31" t="n"/>
      <c r="BI237" s="31" t="n"/>
      <c r="BJ237" s="31" t="n"/>
    </row>
    <row r="238" ht="15.75" customHeight="1" s="349">
      <c r="A238" s="31" t="n"/>
      <c r="B238" s="307" t="n"/>
      <c r="C238" s="307" t="n"/>
      <c r="D238" s="307" t="n"/>
      <c r="E238" s="307" t="n"/>
      <c r="F238" s="307" t="n"/>
      <c r="G238" s="307" t="n"/>
      <c r="H238" s="307" t="n"/>
      <c r="I238" s="307" t="n"/>
      <c r="J238" s="307" t="n"/>
      <c r="K238" s="307" t="n"/>
      <c r="L238" s="307" t="n"/>
      <c r="M238" s="307" t="n"/>
      <c r="N238" s="307" t="n"/>
      <c r="O238" s="307" t="n"/>
      <c r="P238" s="307" t="n"/>
      <c r="Q238" s="307" t="n"/>
      <c r="R238" s="307" t="n"/>
      <c r="S238" s="307" t="n"/>
      <c r="T238" s="307" t="n"/>
      <c r="U238" s="307" t="n"/>
      <c r="V238" s="307" t="n"/>
      <c r="W238" s="307" t="n"/>
      <c r="X238" s="307" t="n"/>
      <c r="Y238" s="307" t="n"/>
      <c r="Z238" s="307" t="n"/>
      <c r="AA238" s="307" t="n"/>
      <c r="AB238" s="307" t="n"/>
      <c r="AC238" s="307" t="n"/>
      <c r="AD238" s="307" t="n"/>
      <c r="AE238" s="307" t="n"/>
      <c r="AF238" s="307" t="n"/>
      <c r="AG238" s="307" t="n"/>
      <c r="AH238" s="307" t="n"/>
      <c r="AI238" s="307" t="n"/>
      <c r="AJ238" s="307" t="n"/>
      <c r="AK238" s="307" t="n"/>
      <c r="AL238" s="307" t="n"/>
      <c r="AM238" s="307" t="n"/>
      <c r="AN238" s="307" t="n"/>
      <c r="AO238" s="307" t="n"/>
      <c r="AP238" s="307" t="n"/>
      <c r="AQ238" s="307" t="n"/>
      <c r="AR238" s="307" t="n"/>
      <c r="AS238" s="307" t="n"/>
      <c r="AT238" s="307" t="n"/>
      <c r="AU238" s="307" t="n"/>
      <c r="AV238" s="307" t="n"/>
      <c r="AW238" s="307" t="n"/>
      <c r="AX238" s="307" t="n"/>
      <c r="AY238" s="307" t="n"/>
      <c r="AZ238" s="307" t="n"/>
      <c r="BA238" s="31" t="n"/>
      <c r="BB238" s="307" t="n"/>
      <c r="BC238" s="307" t="n"/>
      <c r="BD238" s="307" t="n"/>
      <c r="BE238" s="307" t="n"/>
      <c r="BF238" s="307" t="n"/>
      <c r="BG238" s="31" t="n"/>
      <c r="BH238" s="31" t="n"/>
      <c r="BI238" s="31" t="n"/>
      <c r="BJ238" s="31" t="n"/>
    </row>
    <row r="239" ht="15.75" customHeight="1" s="349">
      <c r="A239" s="31" t="n"/>
      <c r="B239" s="307" t="n"/>
      <c r="C239" s="307" t="n"/>
      <c r="D239" s="307" t="n"/>
      <c r="E239" s="307" t="n"/>
      <c r="F239" s="307" t="n"/>
      <c r="G239" s="307" t="n"/>
      <c r="H239" s="307" t="n"/>
      <c r="I239" s="307" t="n"/>
      <c r="J239" s="307" t="n"/>
      <c r="K239" s="307" t="n"/>
      <c r="L239" s="307" t="n"/>
      <c r="M239" s="307" t="n"/>
      <c r="N239" s="307" t="n"/>
      <c r="O239" s="307" t="n"/>
      <c r="P239" s="307" t="n"/>
      <c r="Q239" s="307" t="n"/>
      <c r="R239" s="307" t="n"/>
      <c r="S239" s="307" t="n"/>
      <c r="T239" s="307" t="n"/>
      <c r="U239" s="307" t="n"/>
      <c r="V239" s="307" t="n"/>
      <c r="W239" s="307" t="n"/>
      <c r="X239" s="307" t="n"/>
      <c r="Y239" s="307" t="n"/>
      <c r="Z239" s="307" t="n"/>
      <c r="AA239" s="307" t="n"/>
      <c r="AB239" s="307" t="n"/>
      <c r="AC239" s="307" t="n"/>
      <c r="AD239" s="307" t="n"/>
      <c r="AE239" s="307" t="n"/>
      <c r="AF239" s="307" t="n"/>
      <c r="AG239" s="307" t="n"/>
      <c r="AH239" s="307" t="n"/>
      <c r="AI239" s="307" t="n"/>
      <c r="AJ239" s="307" t="n"/>
      <c r="AK239" s="307" t="n"/>
      <c r="AL239" s="307" t="n"/>
      <c r="AM239" s="307" t="n"/>
      <c r="AN239" s="307" t="n"/>
      <c r="AO239" s="307" t="n"/>
      <c r="AP239" s="307" t="n"/>
      <c r="AQ239" s="307" t="n"/>
      <c r="AR239" s="307" t="n"/>
      <c r="AS239" s="307" t="n"/>
      <c r="AT239" s="307" t="n"/>
      <c r="AU239" s="307" t="n"/>
      <c r="AV239" s="307" t="n"/>
      <c r="AW239" s="307" t="n"/>
      <c r="AX239" s="307" t="n"/>
      <c r="AY239" s="307" t="n"/>
      <c r="AZ239" s="307" t="n"/>
      <c r="BA239" s="31" t="n"/>
      <c r="BB239" s="307" t="n"/>
      <c r="BC239" s="307" t="n"/>
      <c r="BD239" s="307" t="n"/>
      <c r="BE239" s="307" t="n"/>
      <c r="BF239" s="307" t="n"/>
      <c r="BG239" s="31" t="n"/>
      <c r="BH239" s="31" t="n"/>
      <c r="BI239" s="31" t="n"/>
      <c r="BJ239" s="31" t="n"/>
    </row>
    <row r="240" ht="15.75" customHeight="1" s="349">
      <c r="A240" s="31" t="n"/>
      <c r="B240" s="307" t="n"/>
      <c r="C240" s="307" t="n"/>
      <c r="D240" s="307" t="n"/>
      <c r="E240" s="307" t="n"/>
      <c r="F240" s="307" t="n"/>
      <c r="G240" s="307" t="n"/>
      <c r="H240" s="307" t="n"/>
      <c r="I240" s="307" t="n"/>
      <c r="J240" s="307" t="n"/>
      <c r="K240" s="307" t="n"/>
      <c r="L240" s="307" t="n"/>
      <c r="M240" s="307" t="n"/>
      <c r="N240" s="307" t="n"/>
      <c r="O240" s="307" t="n"/>
      <c r="P240" s="307" t="n"/>
      <c r="Q240" s="307" t="n"/>
      <c r="R240" s="307" t="n"/>
      <c r="S240" s="307" t="n"/>
      <c r="T240" s="307" t="n"/>
      <c r="U240" s="307" t="n"/>
      <c r="V240" s="307" t="n"/>
      <c r="W240" s="307" t="n"/>
      <c r="X240" s="307" t="n"/>
      <c r="Y240" s="307" t="n"/>
      <c r="Z240" s="307" t="n"/>
      <c r="AA240" s="307" t="n"/>
      <c r="AB240" s="307" t="n"/>
      <c r="AC240" s="307" t="n"/>
      <c r="AD240" s="307" t="n"/>
      <c r="AE240" s="307" t="n"/>
      <c r="AF240" s="307" t="n"/>
      <c r="AG240" s="307" t="n"/>
      <c r="AH240" s="307" t="n"/>
      <c r="AI240" s="307" t="n"/>
      <c r="AJ240" s="307" t="n"/>
      <c r="AK240" s="307" t="n"/>
      <c r="AL240" s="307" t="n"/>
      <c r="AM240" s="307" t="n"/>
      <c r="AN240" s="307" t="n"/>
      <c r="AO240" s="307" t="n"/>
      <c r="AP240" s="307" t="n"/>
      <c r="AQ240" s="307" t="n"/>
      <c r="AR240" s="307" t="n"/>
      <c r="AS240" s="307" t="n"/>
      <c r="AT240" s="307" t="n"/>
      <c r="AU240" s="307" t="n"/>
      <c r="AV240" s="307" t="n"/>
      <c r="AW240" s="307" t="n"/>
      <c r="AX240" s="307" t="n"/>
      <c r="AY240" s="307" t="n"/>
      <c r="AZ240" s="307" t="n"/>
      <c r="BA240" s="31" t="n"/>
      <c r="BB240" s="307" t="n"/>
      <c r="BC240" s="307" t="n"/>
      <c r="BD240" s="307" t="n"/>
      <c r="BE240" s="307" t="n"/>
      <c r="BF240" s="307" t="n"/>
      <c r="BG240" s="31" t="n"/>
      <c r="BH240" s="31" t="n"/>
      <c r="BI240" s="31" t="n"/>
      <c r="BJ240" s="31" t="n"/>
    </row>
    <row r="241" ht="15.75" customHeight="1" s="349">
      <c r="A241" s="31" t="n"/>
      <c r="B241" s="307" t="n"/>
      <c r="C241" s="307" t="n"/>
      <c r="D241" s="307" t="n"/>
      <c r="E241" s="307" t="n"/>
      <c r="F241" s="307" t="n"/>
      <c r="G241" s="307" t="n"/>
      <c r="H241" s="307" t="n"/>
      <c r="I241" s="307" t="n"/>
      <c r="J241" s="307" t="n"/>
      <c r="K241" s="307" t="n"/>
      <c r="L241" s="307" t="n"/>
      <c r="M241" s="307" t="n"/>
      <c r="N241" s="307" t="n"/>
      <c r="O241" s="307" t="n"/>
      <c r="P241" s="307" t="n"/>
      <c r="Q241" s="307" t="n"/>
      <c r="R241" s="307" t="n"/>
      <c r="S241" s="307" t="n"/>
      <c r="T241" s="307" t="n"/>
      <c r="U241" s="307" t="n"/>
      <c r="V241" s="307" t="n"/>
      <c r="W241" s="307" t="n"/>
      <c r="X241" s="307" t="n"/>
      <c r="Y241" s="307" t="n"/>
      <c r="Z241" s="307" t="n"/>
      <c r="AA241" s="307" t="n"/>
      <c r="AB241" s="307" t="n"/>
      <c r="AC241" s="307" t="n"/>
      <c r="AD241" s="307" t="n"/>
      <c r="AE241" s="307" t="n"/>
      <c r="AF241" s="307" t="n"/>
      <c r="AG241" s="307" t="n"/>
      <c r="AH241" s="307" t="n"/>
      <c r="AI241" s="307" t="n"/>
      <c r="AJ241" s="307" t="n"/>
      <c r="AK241" s="307" t="n"/>
      <c r="AL241" s="307" t="n"/>
      <c r="AM241" s="307" t="n"/>
      <c r="AN241" s="307" t="n"/>
      <c r="AO241" s="307" t="n"/>
      <c r="AP241" s="307" t="n"/>
      <c r="AQ241" s="307" t="n"/>
      <c r="AR241" s="307" t="n"/>
      <c r="AS241" s="307" t="n"/>
      <c r="AT241" s="307" t="n"/>
      <c r="AU241" s="307" t="n"/>
      <c r="AV241" s="307" t="n"/>
      <c r="AW241" s="307" t="n"/>
      <c r="AX241" s="307" t="n"/>
      <c r="AY241" s="307" t="n"/>
      <c r="AZ241" s="307" t="n"/>
      <c r="BA241" s="31" t="n"/>
      <c r="BB241" s="307" t="n"/>
      <c r="BC241" s="307" t="n"/>
      <c r="BD241" s="307" t="n"/>
      <c r="BE241" s="307" t="n"/>
      <c r="BF241" s="307" t="n"/>
      <c r="BG241" s="31" t="n"/>
      <c r="BH241" s="31" t="n"/>
      <c r="BI241" s="31" t="n"/>
      <c r="BJ241" s="31" t="n"/>
    </row>
    <row r="242" ht="15.75" customHeight="1" s="349">
      <c r="A242" s="31" t="n"/>
      <c r="B242" s="307" t="n"/>
      <c r="C242" s="307" t="n"/>
      <c r="D242" s="307" t="n"/>
      <c r="E242" s="307" t="n"/>
      <c r="F242" s="307" t="n"/>
      <c r="G242" s="307" t="n"/>
      <c r="H242" s="307" t="n"/>
      <c r="I242" s="307" t="n"/>
      <c r="J242" s="307" t="n"/>
      <c r="K242" s="307" t="n"/>
      <c r="L242" s="307" t="n"/>
      <c r="M242" s="307" t="n"/>
      <c r="N242" s="307" t="n"/>
      <c r="O242" s="307" t="n"/>
      <c r="P242" s="307" t="n"/>
      <c r="Q242" s="307" t="n"/>
      <c r="R242" s="307" t="n"/>
      <c r="S242" s="307" t="n"/>
      <c r="T242" s="307" t="n"/>
      <c r="U242" s="307" t="n"/>
      <c r="V242" s="307" t="n"/>
      <c r="W242" s="307" t="n"/>
      <c r="X242" s="307" t="n"/>
      <c r="Y242" s="307" t="n"/>
      <c r="Z242" s="307" t="n"/>
      <c r="AA242" s="307" t="n"/>
      <c r="AB242" s="307" t="n"/>
      <c r="AC242" s="307" t="n"/>
      <c r="AD242" s="307" t="n"/>
      <c r="AE242" s="307" t="n"/>
      <c r="AF242" s="307" t="n"/>
      <c r="AG242" s="307" t="n"/>
      <c r="AH242" s="307" t="n"/>
      <c r="AI242" s="307" t="n"/>
      <c r="AJ242" s="307" t="n"/>
      <c r="AK242" s="307" t="n"/>
      <c r="AL242" s="307" t="n"/>
      <c r="AM242" s="307" t="n"/>
      <c r="AN242" s="307" t="n"/>
      <c r="AO242" s="307" t="n"/>
      <c r="AP242" s="307" t="n"/>
      <c r="AQ242" s="307" t="n"/>
      <c r="AR242" s="307" t="n"/>
      <c r="AS242" s="307" t="n"/>
      <c r="AT242" s="307" t="n"/>
      <c r="AU242" s="307" t="n"/>
      <c r="AV242" s="307" t="n"/>
      <c r="AW242" s="307" t="n"/>
      <c r="AX242" s="307" t="n"/>
      <c r="AY242" s="307" t="n"/>
      <c r="AZ242" s="307" t="n"/>
      <c r="BA242" s="31" t="n"/>
      <c r="BB242" s="307" t="n"/>
      <c r="BC242" s="307" t="n"/>
      <c r="BD242" s="307" t="n"/>
      <c r="BE242" s="307" t="n"/>
      <c r="BF242" s="307" t="n"/>
      <c r="BG242" s="31" t="n"/>
      <c r="BH242" s="31" t="n"/>
      <c r="BI242" s="31" t="n"/>
      <c r="BJ242" s="31" t="n"/>
    </row>
    <row r="243" ht="15.75" customHeight="1" s="349">
      <c r="A243" s="31" t="n"/>
      <c r="B243" s="307" t="n"/>
      <c r="C243" s="307" t="n"/>
      <c r="D243" s="307" t="n"/>
      <c r="E243" s="307" t="n"/>
      <c r="F243" s="307" t="n"/>
      <c r="G243" s="307" t="n"/>
      <c r="H243" s="307" t="n"/>
      <c r="I243" s="307" t="n"/>
      <c r="J243" s="307" t="n"/>
      <c r="K243" s="307" t="n"/>
      <c r="L243" s="307" t="n"/>
      <c r="M243" s="307" t="n"/>
      <c r="N243" s="307" t="n"/>
      <c r="O243" s="307" t="n"/>
      <c r="P243" s="307" t="n"/>
      <c r="Q243" s="307" t="n"/>
      <c r="R243" s="307" t="n"/>
      <c r="S243" s="307" t="n"/>
      <c r="T243" s="307" t="n"/>
      <c r="U243" s="307" t="n"/>
      <c r="V243" s="307" t="n"/>
      <c r="W243" s="307" t="n"/>
      <c r="X243" s="307" t="n"/>
      <c r="Y243" s="307" t="n"/>
      <c r="Z243" s="307" t="n"/>
      <c r="AA243" s="307" t="n"/>
      <c r="AB243" s="307" t="n"/>
      <c r="AC243" s="307" t="n"/>
      <c r="AD243" s="307" t="n"/>
      <c r="AE243" s="307" t="n"/>
      <c r="AF243" s="307" t="n"/>
      <c r="AG243" s="307" t="n"/>
      <c r="AH243" s="307" t="n"/>
      <c r="AI243" s="307" t="n"/>
      <c r="AJ243" s="307" t="n"/>
      <c r="AK243" s="307" t="n"/>
      <c r="AL243" s="307" t="n"/>
      <c r="AM243" s="307" t="n"/>
      <c r="AN243" s="307" t="n"/>
      <c r="AO243" s="307" t="n"/>
      <c r="AP243" s="307" t="n"/>
      <c r="AQ243" s="307" t="n"/>
      <c r="AR243" s="307" t="n"/>
      <c r="AS243" s="307" t="n"/>
      <c r="AT243" s="307" t="n"/>
      <c r="AU243" s="307" t="n"/>
      <c r="AV243" s="307" t="n"/>
      <c r="AW243" s="307" t="n"/>
      <c r="AX243" s="307" t="n"/>
      <c r="AY243" s="307" t="n"/>
      <c r="AZ243" s="307" t="n"/>
      <c r="BA243" s="31" t="n"/>
      <c r="BB243" s="307" t="n"/>
      <c r="BC243" s="307" t="n"/>
      <c r="BD243" s="307" t="n"/>
      <c r="BE243" s="307" t="n"/>
      <c r="BF243" s="307" t="n"/>
      <c r="BG243" s="31" t="n"/>
      <c r="BH243" s="31" t="n"/>
      <c r="BI243" s="31" t="n"/>
      <c r="BJ243" s="31" t="n"/>
    </row>
    <row r="244" ht="15.75" customHeight="1" s="349">
      <c r="A244" s="31" t="n"/>
      <c r="B244" s="307" t="n"/>
      <c r="C244" s="307" t="n"/>
      <c r="D244" s="307" t="n"/>
      <c r="E244" s="307" t="n"/>
      <c r="F244" s="307" t="n"/>
      <c r="G244" s="307" t="n"/>
      <c r="H244" s="307" t="n"/>
      <c r="I244" s="307" t="n"/>
      <c r="J244" s="307" t="n"/>
      <c r="K244" s="307" t="n"/>
      <c r="L244" s="307" t="n"/>
      <c r="M244" s="307" t="n"/>
      <c r="N244" s="307" t="n"/>
      <c r="O244" s="307" t="n"/>
      <c r="P244" s="307" t="n"/>
      <c r="Q244" s="307" t="n"/>
      <c r="R244" s="307" t="n"/>
      <c r="S244" s="307" t="n"/>
      <c r="T244" s="307" t="n"/>
      <c r="U244" s="307" t="n"/>
      <c r="V244" s="307" t="n"/>
      <c r="W244" s="307" t="n"/>
      <c r="X244" s="307" t="n"/>
      <c r="Y244" s="307" t="n"/>
      <c r="Z244" s="307" t="n"/>
      <c r="AA244" s="307" t="n"/>
      <c r="AB244" s="307" t="n"/>
      <c r="AC244" s="307" t="n"/>
      <c r="AD244" s="307" t="n"/>
      <c r="AE244" s="307" t="n"/>
      <c r="AF244" s="307" t="n"/>
      <c r="AG244" s="307" t="n"/>
      <c r="AH244" s="307" t="n"/>
      <c r="AI244" s="307" t="n"/>
      <c r="AJ244" s="307" t="n"/>
      <c r="AK244" s="307" t="n"/>
      <c r="AL244" s="307" t="n"/>
      <c r="AM244" s="307" t="n"/>
      <c r="AN244" s="307" t="n"/>
      <c r="AO244" s="307" t="n"/>
      <c r="AP244" s="307" t="n"/>
      <c r="AQ244" s="307" t="n"/>
      <c r="AR244" s="307" t="n"/>
      <c r="AS244" s="307" t="n"/>
      <c r="AT244" s="307" t="n"/>
      <c r="AU244" s="307" t="n"/>
      <c r="AV244" s="307" t="n"/>
      <c r="AW244" s="307" t="n"/>
      <c r="AX244" s="307" t="n"/>
      <c r="AY244" s="307" t="n"/>
      <c r="AZ244" s="307" t="n"/>
      <c r="BA244" s="31" t="n"/>
      <c r="BB244" s="307" t="n"/>
      <c r="BC244" s="307" t="n"/>
      <c r="BD244" s="307" t="n"/>
      <c r="BE244" s="307" t="n"/>
      <c r="BF244" s="307" t="n"/>
      <c r="BG244" s="31" t="n"/>
      <c r="BH244" s="31" t="n"/>
      <c r="BI244" s="31" t="n"/>
      <c r="BJ244" s="31" t="n"/>
    </row>
    <row r="245" ht="15.75" customHeight="1" s="349">
      <c r="A245" s="31" t="n"/>
      <c r="B245" s="307" t="n"/>
      <c r="C245" s="307" t="n"/>
      <c r="D245" s="307" t="n"/>
      <c r="E245" s="307" t="n"/>
      <c r="F245" s="307" t="n"/>
      <c r="G245" s="307" t="n"/>
      <c r="H245" s="307" t="n"/>
      <c r="I245" s="307" t="n"/>
      <c r="J245" s="307" t="n"/>
      <c r="K245" s="307" t="n"/>
      <c r="L245" s="307" t="n"/>
      <c r="M245" s="307" t="n"/>
      <c r="N245" s="307" t="n"/>
      <c r="O245" s="307" t="n"/>
      <c r="P245" s="307" t="n"/>
      <c r="Q245" s="307" t="n"/>
      <c r="R245" s="307" t="n"/>
      <c r="S245" s="307" t="n"/>
      <c r="T245" s="307" t="n"/>
      <c r="U245" s="307" t="n"/>
      <c r="V245" s="307" t="n"/>
      <c r="W245" s="307" t="n"/>
      <c r="X245" s="307" t="n"/>
      <c r="Y245" s="307" t="n"/>
      <c r="Z245" s="307" t="n"/>
      <c r="AA245" s="307" t="n"/>
      <c r="AB245" s="307" t="n"/>
      <c r="AC245" s="307" t="n"/>
      <c r="AD245" s="307" t="n"/>
      <c r="AE245" s="307" t="n"/>
      <c r="AF245" s="307" t="n"/>
      <c r="AG245" s="307" t="n"/>
      <c r="AH245" s="307" t="n"/>
      <c r="AI245" s="307" t="n"/>
      <c r="AJ245" s="307" t="n"/>
      <c r="AK245" s="307" t="n"/>
      <c r="AL245" s="307" t="n"/>
      <c r="AM245" s="307" t="n"/>
      <c r="AN245" s="307" t="n"/>
      <c r="AO245" s="307" t="n"/>
      <c r="AP245" s="307" t="n"/>
      <c r="AQ245" s="307" t="n"/>
      <c r="AR245" s="307" t="n"/>
      <c r="AS245" s="307" t="n"/>
      <c r="AT245" s="307" t="n"/>
      <c r="AU245" s="307" t="n"/>
      <c r="AV245" s="307" t="n"/>
      <c r="AW245" s="307" t="n"/>
      <c r="AX245" s="307" t="n"/>
      <c r="AY245" s="307" t="n"/>
      <c r="AZ245" s="307" t="n"/>
      <c r="BA245" s="31" t="n"/>
      <c r="BB245" s="307" t="n"/>
      <c r="BC245" s="307" t="n"/>
      <c r="BD245" s="307" t="n"/>
      <c r="BE245" s="307" t="n"/>
      <c r="BF245" s="307" t="n"/>
      <c r="BG245" s="31" t="n"/>
      <c r="BH245" s="31" t="n"/>
      <c r="BI245" s="31" t="n"/>
      <c r="BJ245" s="31" t="n"/>
    </row>
    <row r="246" ht="15.75" customHeight="1" s="349">
      <c r="A246" s="31" t="n"/>
      <c r="B246" s="307" t="n"/>
      <c r="C246" s="307" t="n"/>
      <c r="D246" s="307" t="n"/>
      <c r="E246" s="307" t="n"/>
      <c r="F246" s="307" t="n"/>
      <c r="G246" s="307" t="n"/>
      <c r="H246" s="307" t="n"/>
      <c r="I246" s="307" t="n"/>
      <c r="J246" s="307" t="n"/>
      <c r="K246" s="307" t="n"/>
      <c r="L246" s="307" t="n"/>
      <c r="M246" s="307" t="n"/>
      <c r="N246" s="307" t="n"/>
      <c r="O246" s="307" t="n"/>
      <c r="P246" s="307" t="n"/>
      <c r="Q246" s="307" t="n"/>
      <c r="R246" s="307" t="n"/>
      <c r="S246" s="307" t="n"/>
      <c r="T246" s="307" t="n"/>
      <c r="U246" s="307" t="n"/>
      <c r="V246" s="307" t="n"/>
      <c r="W246" s="307" t="n"/>
      <c r="X246" s="307" t="n"/>
      <c r="Y246" s="307" t="n"/>
      <c r="Z246" s="307" t="n"/>
      <c r="AA246" s="307" t="n"/>
      <c r="AB246" s="307" t="n"/>
      <c r="AC246" s="307" t="n"/>
      <c r="AD246" s="307" t="n"/>
      <c r="AE246" s="307" t="n"/>
      <c r="AF246" s="307" t="n"/>
      <c r="AG246" s="307" t="n"/>
      <c r="AH246" s="307" t="n"/>
      <c r="AI246" s="307" t="n"/>
      <c r="AJ246" s="307" t="n"/>
      <c r="AK246" s="307" t="n"/>
      <c r="AL246" s="307" t="n"/>
      <c r="AM246" s="307" t="n"/>
      <c r="AN246" s="307" t="n"/>
      <c r="AO246" s="307" t="n"/>
      <c r="AP246" s="307" t="n"/>
      <c r="AQ246" s="307" t="n"/>
      <c r="AR246" s="307" t="n"/>
      <c r="AS246" s="307" t="n"/>
      <c r="AT246" s="307" t="n"/>
      <c r="AU246" s="307" t="n"/>
      <c r="AV246" s="307" t="n"/>
      <c r="AW246" s="307" t="n"/>
      <c r="AX246" s="307" t="n"/>
      <c r="AY246" s="307" t="n"/>
      <c r="AZ246" s="307" t="n"/>
      <c r="BA246" s="31" t="n"/>
      <c r="BB246" s="307" t="n"/>
      <c r="BC246" s="307" t="n"/>
      <c r="BD246" s="307" t="n"/>
      <c r="BE246" s="307" t="n"/>
      <c r="BF246" s="307" t="n"/>
      <c r="BG246" s="31" t="n"/>
      <c r="BH246" s="31" t="n"/>
      <c r="BI246" s="31" t="n"/>
      <c r="BJ246" s="31" t="n"/>
    </row>
    <row r="247" ht="15.75" customHeight="1" s="349">
      <c r="A247" s="31" t="n"/>
      <c r="B247" s="307" t="n"/>
      <c r="C247" s="307" t="n"/>
      <c r="D247" s="307" t="n"/>
      <c r="E247" s="307" t="n"/>
      <c r="F247" s="307" t="n"/>
      <c r="G247" s="307" t="n"/>
      <c r="H247" s="307" t="n"/>
      <c r="I247" s="307" t="n"/>
      <c r="J247" s="307" t="n"/>
      <c r="K247" s="307" t="n"/>
      <c r="L247" s="307" t="n"/>
      <c r="M247" s="307" t="n"/>
      <c r="N247" s="307" t="n"/>
      <c r="O247" s="307" t="n"/>
      <c r="P247" s="307" t="n"/>
      <c r="Q247" s="307" t="n"/>
      <c r="R247" s="307" t="n"/>
      <c r="S247" s="307" t="n"/>
      <c r="T247" s="307" t="n"/>
      <c r="U247" s="307" t="n"/>
      <c r="V247" s="307" t="n"/>
      <c r="W247" s="307" t="n"/>
      <c r="X247" s="307" t="n"/>
      <c r="Y247" s="307" t="n"/>
      <c r="Z247" s="307" t="n"/>
      <c r="AA247" s="307" t="n"/>
      <c r="AB247" s="307" t="n"/>
      <c r="AC247" s="307" t="n"/>
      <c r="AD247" s="307" t="n"/>
      <c r="AE247" s="307" t="n"/>
      <c r="AF247" s="307" t="n"/>
      <c r="AG247" s="307" t="n"/>
      <c r="AH247" s="307" t="n"/>
      <c r="AI247" s="307" t="n"/>
      <c r="AJ247" s="307" t="n"/>
      <c r="AK247" s="307" t="n"/>
      <c r="AL247" s="307" t="n"/>
      <c r="AM247" s="307" t="n"/>
      <c r="AN247" s="307" t="n"/>
      <c r="AO247" s="307" t="n"/>
      <c r="AP247" s="307" t="n"/>
      <c r="AQ247" s="307" t="n"/>
      <c r="AR247" s="307" t="n"/>
      <c r="AS247" s="307" t="n"/>
      <c r="AT247" s="307" t="n"/>
      <c r="AU247" s="307" t="n"/>
      <c r="AV247" s="307" t="n"/>
      <c r="AW247" s="307" t="n"/>
      <c r="AX247" s="307" t="n"/>
      <c r="AY247" s="307" t="n"/>
      <c r="AZ247" s="307" t="n"/>
      <c r="BA247" s="31" t="n"/>
      <c r="BB247" s="307" t="n"/>
      <c r="BC247" s="307" t="n"/>
      <c r="BD247" s="307" t="n"/>
      <c r="BE247" s="307" t="n"/>
      <c r="BF247" s="307" t="n"/>
      <c r="BG247" s="31" t="n"/>
      <c r="BH247" s="31" t="n"/>
      <c r="BI247" s="31" t="n"/>
      <c r="BJ247" s="31" t="n"/>
    </row>
    <row r="248" ht="15.75" customHeight="1" s="349">
      <c r="A248" s="31" t="n"/>
      <c r="B248" s="307" t="n"/>
      <c r="C248" s="307" t="n"/>
      <c r="D248" s="307" t="n"/>
      <c r="E248" s="307" t="n"/>
      <c r="F248" s="307" t="n"/>
      <c r="G248" s="307" t="n"/>
      <c r="H248" s="307" t="n"/>
      <c r="I248" s="307" t="n"/>
      <c r="J248" s="307" t="n"/>
      <c r="K248" s="307" t="n"/>
      <c r="L248" s="307" t="n"/>
      <c r="M248" s="307" t="n"/>
      <c r="N248" s="307" t="n"/>
      <c r="O248" s="307" t="n"/>
      <c r="P248" s="307" t="n"/>
      <c r="Q248" s="307" t="n"/>
      <c r="R248" s="307" t="n"/>
      <c r="S248" s="307" t="n"/>
      <c r="T248" s="307" t="n"/>
      <c r="U248" s="307" t="n"/>
      <c r="V248" s="307" t="n"/>
      <c r="W248" s="307" t="n"/>
      <c r="X248" s="307" t="n"/>
      <c r="Y248" s="307" t="n"/>
      <c r="Z248" s="307" t="n"/>
      <c r="AA248" s="307" t="n"/>
      <c r="AB248" s="307" t="n"/>
      <c r="AC248" s="307" t="n"/>
      <c r="AD248" s="307" t="n"/>
      <c r="AE248" s="307" t="n"/>
      <c r="AF248" s="307" t="n"/>
      <c r="AG248" s="307" t="n"/>
      <c r="AH248" s="307" t="n"/>
      <c r="AI248" s="307" t="n"/>
      <c r="AJ248" s="307" t="n"/>
      <c r="AK248" s="307" t="n"/>
      <c r="AL248" s="307" t="n"/>
      <c r="AM248" s="307" t="n"/>
      <c r="AN248" s="307" t="n"/>
      <c r="AO248" s="307" t="n"/>
      <c r="AP248" s="307" t="n"/>
      <c r="AQ248" s="307" t="n"/>
      <c r="AR248" s="307" t="n"/>
      <c r="AS248" s="307" t="n"/>
      <c r="AT248" s="307" t="n"/>
      <c r="AU248" s="307" t="n"/>
      <c r="AV248" s="307" t="n"/>
      <c r="AW248" s="307" t="n"/>
      <c r="AX248" s="307" t="n"/>
      <c r="AY248" s="307" t="n"/>
      <c r="AZ248" s="307" t="n"/>
      <c r="BA248" s="31" t="n"/>
      <c r="BB248" s="307" t="n"/>
      <c r="BC248" s="307" t="n"/>
      <c r="BD248" s="307" t="n"/>
      <c r="BE248" s="307" t="n"/>
      <c r="BF248" s="307" t="n"/>
      <c r="BG248" s="31" t="n"/>
      <c r="BH248" s="31" t="n"/>
      <c r="BI248" s="31" t="n"/>
      <c r="BJ248" s="31" t="n"/>
    </row>
    <row r="249" ht="15.75" customHeight="1" s="349">
      <c r="A249" s="31" t="n"/>
      <c r="B249" s="307" t="n"/>
      <c r="C249" s="307" t="n"/>
      <c r="D249" s="307" t="n"/>
      <c r="E249" s="307" t="n"/>
      <c r="F249" s="307" t="n"/>
      <c r="G249" s="307" t="n"/>
      <c r="H249" s="307" t="n"/>
      <c r="I249" s="307" t="n"/>
      <c r="J249" s="307" t="n"/>
      <c r="K249" s="307" t="n"/>
      <c r="L249" s="307" t="n"/>
      <c r="M249" s="307" t="n"/>
      <c r="N249" s="307" t="n"/>
      <c r="O249" s="307" t="n"/>
      <c r="P249" s="307" t="n"/>
      <c r="Q249" s="307" t="n"/>
      <c r="R249" s="307" t="n"/>
      <c r="S249" s="307" t="n"/>
      <c r="T249" s="307" t="n"/>
      <c r="U249" s="307" t="n"/>
      <c r="V249" s="307" t="n"/>
      <c r="W249" s="307" t="n"/>
      <c r="X249" s="307" t="n"/>
      <c r="Y249" s="307" t="n"/>
      <c r="Z249" s="307" t="n"/>
      <c r="AA249" s="307" t="n"/>
      <c r="AB249" s="307" t="n"/>
      <c r="AC249" s="307" t="n"/>
      <c r="AD249" s="307" t="n"/>
      <c r="AE249" s="307" t="n"/>
      <c r="AF249" s="307" t="n"/>
      <c r="AG249" s="307" t="n"/>
      <c r="AH249" s="307" t="n"/>
      <c r="AI249" s="307" t="n"/>
      <c r="AJ249" s="307" t="n"/>
      <c r="AK249" s="307" t="n"/>
      <c r="AL249" s="307" t="n"/>
      <c r="AM249" s="307" t="n"/>
      <c r="AN249" s="307" t="n"/>
      <c r="AO249" s="307" t="n"/>
      <c r="AP249" s="307" t="n"/>
      <c r="AQ249" s="307" t="n"/>
      <c r="AR249" s="307" t="n"/>
      <c r="AS249" s="307" t="n"/>
      <c r="AT249" s="307" t="n"/>
      <c r="AU249" s="307" t="n"/>
      <c r="AV249" s="307" t="n"/>
      <c r="AW249" s="307" t="n"/>
      <c r="AX249" s="307" t="n"/>
      <c r="AY249" s="307" t="n"/>
      <c r="AZ249" s="307" t="n"/>
      <c r="BA249" s="31" t="n"/>
      <c r="BB249" s="307" t="n"/>
      <c r="BC249" s="307" t="n"/>
      <c r="BD249" s="307" t="n"/>
      <c r="BE249" s="307" t="n"/>
      <c r="BF249" s="307" t="n"/>
      <c r="BG249" s="31" t="n"/>
      <c r="BH249" s="31" t="n"/>
      <c r="BI249" s="31" t="n"/>
      <c r="BJ249" s="31" t="n"/>
    </row>
    <row r="250" ht="15.75" customHeight="1" s="349">
      <c r="A250" s="31" t="n"/>
      <c r="B250" s="307" t="n"/>
      <c r="C250" s="307" t="n"/>
      <c r="D250" s="307" t="n"/>
      <c r="E250" s="307" t="n"/>
      <c r="F250" s="307" t="n"/>
      <c r="G250" s="307" t="n"/>
      <c r="H250" s="307" t="n"/>
      <c r="I250" s="307" t="n"/>
      <c r="J250" s="307" t="n"/>
      <c r="K250" s="307" t="n"/>
      <c r="L250" s="307" t="n"/>
      <c r="M250" s="307" t="n"/>
      <c r="N250" s="307" t="n"/>
      <c r="O250" s="307" t="n"/>
      <c r="P250" s="307" t="n"/>
      <c r="Q250" s="307" t="n"/>
      <c r="R250" s="307" t="n"/>
      <c r="S250" s="307" t="n"/>
      <c r="T250" s="307" t="n"/>
      <c r="U250" s="307" t="n"/>
      <c r="V250" s="307" t="n"/>
      <c r="W250" s="307" t="n"/>
      <c r="X250" s="307" t="n"/>
      <c r="Y250" s="307" t="n"/>
      <c r="Z250" s="307" t="n"/>
      <c r="AA250" s="307" t="n"/>
      <c r="AB250" s="307" t="n"/>
      <c r="AC250" s="307" t="n"/>
      <c r="AD250" s="307" t="n"/>
      <c r="AE250" s="307" t="n"/>
      <c r="AF250" s="307" t="n"/>
      <c r="AG250" s="307" t="n"/>
      <c r="AH250" s="307" t="n"/>
      <c r="AI250" s="307" t="n"/>
      <c r="AJ250" s="307" t="n"/>
      <c r="AK250" s="307" t="n"/>
      <c r="AL250" s="307" t="n"/>
      <c r="AM250" s="307" t="n"/>
      <c r="AN250" s="307" t="n"/>
      <c r="AO250" s="307" t="n"/>
      <c r="AP250" s="307" t="n"/>
      <c r="AQ250" s="307" t="n"/>
      <c r="AR250" s="307" t="n"/>
      <c r="AS250" s="307" t="n"/>
      <c r="AT250" s="307" t="n"/>
      <c r="AU250" s="307" t="n"/>
      <c r="AV250" s="307" t="n"/>
      <c r="AW250" s="307" t="n"/>
      <c r="AX250" s="307" t="n"/>
      <c r="AY250" s="307" t="n"/>
      <c r="AZ250" s="307" t="n"/>
      <c r="BA250" s="31" t="n"/>
      <c r="BB250" s="307" t="n"/>
      <c r="BC250" s="307" t="n"/>
      <c r="BD250" s="307" t="n"/>
      <c r="BE250" s="307" t="n"/>
      <c r="BF250" s="307" t="n"/>
      <c r="BG250" s="31" t="n"/>
      <c r="BH250" s="31" t="n"/>
      <c r="BI250" s="31" t="n"/>
      <c r="BJ250" s="31" t="n"/>
    </row>
    <row r="251" ht="15.75" customHeight="1" s="349">
      <c r="A251" s="31" t="n"/>
      <c r="B251" s="307" t="n"/>
      <c r="C251" s="307" t="n"/>
      <c r="D251" s="307" t="n"/>
      <c r="E251" s="307" t="n"/>
      <c r="F251" s="307" t="n"/>
      <c r="G251" s="307" t="n"/>
      <c r="H251" s="307" t="n"/>
      <c r="I251" s="307" t="n"/>
      <c r="J251" s="307" t="n"/>
      <c r="K251" s="307" t="n"/>
      <c r="L251" s="307" t="n"/>
      <c r="M251" s="307" t="n"/>
      <c r="N251" s="307" t="n"/>
      <c r="O251" s="307" t="n"/>
      <c r="P251" s="307" t="n"/>
      <c r="Q251" s="307" t="n"/>
      <c r="R251" s="307" t="n"/>
      <c r="S251" s="307" t="n"/>
      <c r="T251" s="307" t="n"/>
      <c r="U251" s="307" t="n"/>
      <c r="V251" s="307" t="n"/>
      <c r="W251" s="307" t="n"/>
      <c r="X251" s="307" t="n"/>
      <c r="Y251" s="307" t="n"/>
      <c r="Z251" s="307" t="n"/>
      <c r="AA251" s="307" t="n"/>
      <c r="AB251" s="307" t="n"/>
      <c r="AC251" s="307" t="n"/>
      <c r="AD251" s="307" t="n"/>
      <c r="AE251" s="307" t="n"/>
      <c r="AF251" s="307" t="n"/>
      <c r="AG251" s="307" t="n"/>
      <c r="AH251" s="307" t="n"/>
      <c r="AI251" s="307" t="n"/>
      <c r="AJ251" s="307" t="n"/>
      <c r="AK251" s="307" t="n"/>
      <c r="AL251" s="307" t="n"/>
      <c r="AM251" s="307" t="n"/>
      <c r="AN251" s="307" t="n"/>
      <c r="AO251" s="307" t="n"/>
      <c r="AP251" s="307" t="n"/>
      <c r="AQ251" s="307" t="n"/>
      <c r="AR251" s="307" t="n"/>
      <c r="AS251" s="307" t="n"/>
      <c r="AT251" s="307" t="n"/>
      <c r="AU251" s="307" t="n"/>
      <c r="AV251" s="307" t="n"/>
      <c r="AW251" s="307" t="n"/>
      <c r="AX251" s="307" t="n"/>
      <c r="AY251" s="307" t="n"/>
      <c r="AZ251" s="307" t="n"/>
      <c r="BA251" s="31" t="n"/>
      <c r="BB251" s="307" t="n"/>
      <c r="BC251" s="307" t="n"/>
      <c r="BD251" s="307" t="n"/>
      <c r="BE251" s="307" t="n"/>
      <c r="BF251" s="307" t="n"/>
      <c r="BG251" s="31" t="n"/>
      <c r="BH251" s="31" t="n"/>
      <c r="BI251" s="31" t="n"/>
      <c r="BJ251" s="31" t="n"/>
    </row>
    <row r="252" ht="15.75" customHeight="1" s="349">
      <c r="A252" s="31" t="n"/>
      <c r="B252" s="307" t="n"/>
      <c r="C252" s="307" t="n"/>
      <c r="D252" s="307" t="n"/>
      <c r="E252" s="307" t="n"/>
      <c r="F252" s="307" t="n"/>
      <c r="G252" s="307" t="n"/>
      <c r="H252" s="307" t="n"/>
      <c r="I252" s="307" t="n"/>
      <c r="J252" s="307" t="n"/>
      <c r="K252" s="307" t="n"/>
      <c r="L252" s="307" t="n"/>
      <c r="M252" s="307" t="n"/>
      <c r="N252" s="307" t="n"/>
      <c r="O252" s="307" t="n"/>
      <c r="P252" s="307" t="n"/>
      <c r="Q252" s="307" t="n"/>
      <c r="R252" s="307" t="n"/>
      <c r="S252" s="307" t="n"/>
      <c r="T252" s="307" t="n"/>
      <c r="U252" s="307" t="n"/>
      <c r="V252" s="307" t="n"/>
      <c r="W252" s="307" t="n"/>
      <c r="X252" s="307" t="n"/>
      <c r="Y252" s="307" t="n"/>
      <c r="Z252" s="307" t="n"/>
      <c r="AA252" s="307" t="n"/>
      <c r="AB252" s="307" t="n"/>
      <c r="AC252" s="307" t="n"/>
      <c r="AD252" s="307" t="n"/>
      <c r="AE252" s="307" t="n"/>
      <c r="AF252" s="307" t="n"/>
      <c r="AG252" s="307" t="n"/>
      <c r="AH252" s="307" t="n"/>
      <c r="AI252" s="307" t="n"/>
      <c r="AJ252" s="307" t="n"/>
      <c r="AK252" s="307" t="n"/>
      <c r="AL252" s="307" t="n"/>
      <c r="AM252" s="307" t="n"/>
      <c r="AN252" s="307" t="n"/>
      <c r="AO252" s="307" t="n"/>
      <c r="AP252" s="307" t="n"/>
      <c r="AQ252" s="307" t="n"/>
      <c r="AR252" s="307" t="n"/>
      <c r="AS252" s="307" t="n"/>
      <c r="AT252" s="307" t="n"/>
      <c r="AU252" s="307" t="n"/>
      <c r="AV252" s="307" t="n"/>
      <c r="AW252" s="307" t="n"/>
      <c r="AX252" s="307" t="n"/>
      <c r="AY252" s="307" t="n"/>
      <c r="AZ252" s="307" t="n"/>
      <c r="BA252" s="31" t="n"/>
      <c r="BB252" s="307" t="n"/>
      <c r="BC252" s="307" t="n"/>
      <c r="BD252" s="307" t="n"/>
      <c r="BE252" s="307" t="n"/>
      <c r="BF252" s="307" t="n"/>
      <c r="BG252" s="31" t="n"/>
      <c r="BH252" s="31" t="n"/>
      <c r="BI252" s="31" t="n"/>
      <c r="BJ252" s="31" t="n"/>
    </row>
    <row r="253" ht="15.75" customHeight="1" s="349">
      <c r="A253" s="31" t="n"/>
      <c r="B253" s="307" t="n"/>
      <c r="C253" s="307" t="n"/>
      <c r="D253" s="307" t="n"/>
      <c r="E253" s="307" t="n"/>
      <c r="F253" s="307" t="n"/>
      <c r="G253" s="307" t="n"/>
      <c r="H253" s="307" t="n"/>
      <c r="I253" s="307" t="n"/>
      <c r="J253" s="307" t="n"/>
      <c r="K253" s="307" t="n"/>
      <c r="L253" s="307" t="n"/>
      <c r="M253" s="307" t="n"/>
      <c r="N253" s="307" t="n"/>
      <c r="O253" s="307" t="n"/>
      <c r="P253" s="307" t="n"/>
      <c r="Q253" s="307" t="n"/>
      <c r="R253" s="307" t="n"/>
      <c r="S253" s="307" t="n"/>
      <c r="T253" s="307" t="n"/>
      <c r="U253" s="307" t="n"/>
      <c r="V253" s="307" t="n"/>
      <c r="W253" s="307" t="n"/>
      <c r="X253" s="307" t="n"/>
      <c r="Y253" s="307" t="n"/>
      <c r="Z253" s="307" t="n"/>
      <c r="AA253" s="307" t="n"/>
      <c r="AB253" s="307" t="n"/>
      <c r="AC253" s="307" t="n"/>
      <c r="AD253" s="307" t="n"/>
      <c r="AE253" s="307" t="n"/>
      <c r="AF253" s="307" t="n"/>
      <c r="AG253" s="307" t="n"/>
      <c r="AH253" s="307" t="n"/>
      <c r="AI253" s="307" t="n"/>
      <c r="AJ253" s="307" t="n"/>
      <c r="AK253" s="307" t="n"/>
      <c r="AL253" s="307" t="n"/>
      <c r="AM253" s="307" t="n"/>
      <c r="AN253" s="307" t="n"/>
      <c r="AO253" s="307" t="n"/>
      <c r="AP253" s="307" t="n"/>
      <c r="AQ253" s="307" t="n"/>
      <c r="AR253" s="307" t="n"/>
      <c r="AS253" s="307" t="n"/>
      <c r="AT253" s="307" t="n"/>
      <c r="AU253" s="307" t="n"/>
      <c r="AV253" s="307" t="n"/>
      <c r="AW253" s="307" t="n"/>
      <c r="AX253" s="307" t="n"/>
      <c r="AY253" s="307" t="n"/>
      <c r="AZ253" s="307" t="n"/>
      <c r="BA253" s="31" t="n"/>
      <c r="BB253" s="307" t="n"/>
      <c r="BC253" s="307" t="n"/>
      <c r="BD253" s="307" t="n"/>
      <c r="BE253" s="307" t="n"/>
      <c r="BF253" s="307" t="n"/>
      <c r="BG253" s="31" t="n"/>
      <c r="BH253" s="31" t="n"/>
      <c r="BI253" s="31" t="n"/>
      <c r="BJ253" s="31" t="n"/>
    </row>
    <row r="254" ht="15.75" customHeight="1" s="349">
      <c r="A254" s="31" t="n"/>
      <c r="B254" s="307" t="n"/>
      <c r="C254" s="307" t="n"/>
      <c r="D254" s="307" t="n"/>
      <c r="E254" s="307" t="n"/>
      <c r="F254" s="307" t="n"/>
      <c r="G254" s="307" t="n"/>
      <c r="H254" s="307" t="n"/>
      <c r="I254" s="307" t="n"/>
      <c r="J254" s="307" t="n"/>
      <c r="K254" s="307" t="n"/>
      <c r="L254" s="307" t="n"/>
      <c r="M254" s="307" t="n"/>
      <c r="N254" s="307" t="n"/>
      <c r="O254" s="307" t="n"/>
      <c r="P254" s="307" t="n"/>
      <c r="Q254" s="307" t="n"/>
      <c r="R254" s="307" t="n"/>
      <c r="S254" s="307" t="n"/>
      <c r="T254" s="307" t="n"/>
      <c r="U254" s="307" t="n"/>
      <c r="V254" s="307" t="n"/>
      <c r="W254" s="307" t="n"/>
      <c r="X254" s="307" t="n"/>
      <c r="Y254" s="307" t="n"/>
      <c r="Z254" s="307" t="n"/>
      <c r="AA254" s="307" t="n"/>
      <c r="AB254" s="307" t="n"/>
      <c r="AC254" s="307" t="n"/>
      <c r="AD254" s="307" t="n"/>
      <c r="AE254" s="307" t="n"/>
      <c r="AF254" s="307" t="n"/>
      <c r="AG254" s="307" t="n"/>
      <c r="AH254" s="307" t="n"/>
      <c r="AI254" s="307" t="n"/>
      <c r="AJ254" s="307" t="n"/>
      <c r="AK254" s="307" t="n"/>
      <c r="AL254" s="307" t="n"/>
      <c r="AM254" s="307" t="n"/>
      <c r="AN254" s="307" t="n"/>
      <c r="AO254" s="307" t="n"/>
      <c r="AP254" s="307" t="n"/>
      <c r="AQ254" s="307" t="n"/>
      <c r="AR254" s="307" t="n"/>
      <c r="AS254" s="307" t="n"/>
      <c r="AT254" s="307" t="n"/>
      <c r="AU254" s="307" t="n"/>
      <c r="AV254" s="307" t="n"/>
      <c r="AW254" s="307" t="n"/>
      <c r="AX254" s="307" t="n"/>
      <c r="AY254" s="307" t="n"/>
      <c r="AZ254" s="307" t="n"/>
      <c r="BA254" s="31" t="n"/>
      <c r="BB254" s="307" t="n"/>
      <c r="BC254" s="307" t="n"/>
      <c r="BD254" s="307" t="n"/>
      <c r="BE254" s="307" t="n"/>
      <c r="BF254" s="307" t="n"/>
      <c r="BG254" s="31" t="n"/>
      <c r="BH254" s="31" t="n"/>
      <c r="BI254" s="31" t="n"/>
      <c r="BJ254" s="31" t="n"/>
    </row>
    <row r="255" ht="15.75" customHeight="1" s="349">
      <c r="A255" s="31" t="n"/>
      <c r="B255" s="307" t="n"/>
      <c r="C255" s="307" t="n"/>
      <c r="D255" s="307" t="n"/>
      <c r="E255" s="307" t="n"/>
      <c r="F255" s="307" t="n"/>
      <c r="G255" s="307" t="n"/>
      <c r="H255" s="307" t="n"/>
      <c r="I255" s="307" t="n"/>
      <c r="J255" s="307" t="n"/>
      <c r="K255" s="307" t="n"/>
      <c r="L255" s="307" t="n"/>
      <c r="M255" s="307" t="n"/>
      <c r="N255" s="307" t="n"/>
      <c r="O255" s="307" t="n"/>
      <c r="P255" s="307" t="n"/>
      <c r="Q255" s="307" t="n"/>
      <c r="R255" s="307" t="n"/>
      <c r="S255" s="307" t="n"/>
      <c r="T255" s="307" t="n"/>
      <c r="U255" s="307" t="n"/>
      <c r="V255" s="307" t="n"/>
      <c r="W255" s="307" t="n"/>
      <c r="X255" s="307" t="n"/>
      <c r="Y255" s="307" t="n"/>
      <c r="Z255" s="307" t="n"/>
      <c r="AA255" s="307" t="n"/>
      <c r="AB255" s="307" t="n"/>
      <c r="AC255" s="307" t="n"/>
      <c r="AD255" s="307" t="n"/>
      <c r="AE255" s="307" t="n"/>
      <c r="AF255" s="307" t="n"/>
      <c r="AG255" s="307" t="n"/>
      <c r="AH255" s="307" t="n"/>
      <c r="AI255" s="307" t="n"/>
      <c r="AJ255" s="307" t="n"/>
      <c r="AK255" s="307" t="n"/>
      <c r="AL255" s="307" t="n"/>
      <c r="AM255" s="307" t="n"/>
      <c r="AN255" s="307" t="n"/>
      <c r="AO255" s="307" t="n"/>
      <c r="AP255" s="307" t="n"/>
      <c r="AQ255" s="307" t="n"/>
      <c r="AR255" s="307" t="n"/>
      <c r="AS255" s="307" t="n"/>
      <c r="AT255" s="307" t="n"/>
      <c r="AU255" s="307" t="n"/>
      <c r="AV255" s="307" t="n"/>
      <c r="AW255" s="307" t="n"/>
      <c r="AX255" s="307" t="n"/>
      <c r="AY255" s="307" t="n"/>
      <c r="AZ255" s="307" t="n"/>
      <c r="BA255" s="31" t="n"/>
      <c r="BB255" s="307" t="n"/>
      <c r="BC255" s="307" t="n"/>
      <c r="BD255" s="307" t="n"/>
      <c r="BE255" s="307" t="n"/>
      <c r="BF255" s="307" t="n"/>
      <c r="BG255" s="31" t="n"/>
      <c r="BH255" s="31" t="n"/>
      <c r="BI255" s="31" t="n"/>
      <c r="BJ255" s="31" t="n"/>
    </row>
    <row r="256" ht="15.75" customHeight="1" s="349">
      <c r="A256" s="31" t="n"/>
      <c r="B256" s="307" t="n"/>
      <c r="C256" s="307" t="n"/>
      <c r="D256" s="307" t="n"/>
      <c r="E256" s="307" t="n"/>
      <c r="F256" s="307" t="n"/>
      <c r="G256" s="307" t="n"/>
      <c r="H256" s="307" t="n"/>
      <c r="I256" s="307" t="n"/>
      <c r="J256" s="307" t="n"/>
      <c r="K256" s="307" t="n"/>
      <c r="L256" s="307" t="n"/>
      <c r="M256" s="307" t="n"/>
      <c r="N256" s="307" t="n"/>
      <c r="O256" s="307" t="n"/>
      <c r="P256" s="307" t="n"/>
      <c r="Q256" s="307" t="n"/>
      <c r="R256" s="307" t="n"/>
      <c r="S256" s="307" t="n"/>
      <c r="T256" s="307" t="n"/>
      <c r="U256" s="307" t="n"/>
      <c r="V256" s="307" t="n"/>
      <c r="W256" s="307" t="n"/>
      <c r="X256" s="307" t="n"/>
      <c r="Y256" s="307" t="n"/>
      <c r="Z256" s="307" t="n"/>
      <c r="AA256" s="307" t="n"/>
      <c r="AB256" s="307" t="n"/>
      <c r="AC256" s="307" t="n"/>
      <c r="AD256" s="307" t="n"/>
      <c r="AE256" s="307" t="n"/>
      <c r="AF256" s="307" t="n"/>
      <c r="AG256" s="307" t="n"/>
      <c r="AH256" s="307" t="n"/>
      <c r="AI256" s="307" t="n"/>
      <c r="AJ256" s="307" t="n"/>
      <c r="AK256" s="307" t="n"/>
      <c r="AL256" s="307" t="n"/>
      <c r="AM256" s="307" t="n"/>
      <c r="AN256" s="307" t="n"/>
      <c r="AO256" s="307" t="n"/>
      <c r="AP256" s="307" t="n"/>
      <c r="AQ256" s="307" t="n"/>
      <c r="AR256" s="307" t="n"/>
      <c r="AS256" s="307" t="n"/>
      <c r="AT256" s="307" t="n"/>
      <c r="AU256" s="307" t="n"/>
      <c r="AV256" s="307" t="n"/>
      <c r="AW256" s="307" t="n"/>
      <c r="AX256" s="307" t="n"/>
      <c r="AY256" s="307" t="n"/>
      <c r="AZ256" s="307" t="n"/>
      <c r="BA256" s="31" t="n"/>
      <c r="BB256" s="307" t="n"/>
      <c r="BC256" s="307" t="n"/>
      <c r="BD256" s="307" t="n"/>
      <c r="BE256" s="307" t="n"/>
      <c r="BF256" s="307" t="n"/>
      <c r="BG256" s="31" t="n"/>
      <c r="BH256" s="31" t="n"/>
      <c r="BI256" s="31" t="n"/>
      <c r="BJ256" s="31" t="n"/>
    </row>
    <row r="257" ht="15.75" customHeight="1" s="349">
      <c r="A257" s="31" t="n"/>
      <c r="B257" s="307" t="n"/>
      <c r="C257" s="307" t="n"/>
      <c r="D257" s="307" t="n"/>
      <c r="E257" s="307" t="n"/>
      <c r="F257" s="307" t="n"/>
      <c r="G257" s="307" t="n"/>
      <c r="H257" s="307" t="n"/>
      <c r="I257" s="307" t="n"/>
      <c r="J257" s="307" t="n"/>
      <c r="K257" s="307" t="n"/>
      <c r="L257" s="307" t="n"/>
      <c r="M257" s="307" t="n"/>
      <c r="N257" s="307" t="n"/>
      <c r="O257" s="307" t="n"/>
      <c r="P257" s="307" t="n"/>
      <c r="Q257" s="307" t="n"/>
      <c r="R257" s="307" t="n"/>
      <c r="S257" s="307" t="n"/>
      <c r="T257" s="307" t="n"/>
      <c r="U257" s="307" t="n"/>
      <c r="V257" s="307" t="n"/>
      <c r="W257" s="307" t="n"/>
      <c r="X257" s="307" t="n"/>
      <c r="Y257" s="307" t="n"/>
      <c r="Z257" s="307" t="n"/>
      <c r="AA257" s="307" t="n"/>
      <c r="AB257" s="307" t="n"/>
      <c r="AC257" s="307" t="n"/>
      <c r="AD257" s="307" t="n"/>
      <c r="AE257" s="307" t="n"/>
      <c r="AF257" s="307" t="n"/>
      <c r="AG257" s="307" t="n"/>
      <c r="AH257" s="307" t="n"/>
      <c r="AI257" s="307" t="n"/>
      <c r="AJ257" s="307" t="n"/>
      <c r="AK257" s="307" t="n"/>
      <c r="AL257" s="307" t="n"/>
      <c r="AM257" s="307" t="n"/>
      <c r="AN257" s="307" t="n"/>
      <c r="AO257" s="307" t="n"/>
      <c r="AP257" s="307" t="n"/>
      <c r="AQ257" s="307" t="n"/>
      <c r="AR257" s="307" t="n"/>
      <c r="AS257" s="307" t="n"/>
      <c r="AT257" s="307" t="n"/>
      <c r="AU257" s="307" t="n"/>
      <c r="AV257" s="307" t="n"/>
      <c r="AW257" s="307" t="n"/>
      <c r="AX257" s="307" t="n"/>
      <c r="AY257" s="307" t="n"/>
      <c r="AZ257" s="307" t="n"/>
      <c r="BA257" s="31" t="n"/>
      <c r="BB257" s="307" t="n"/>
      <c r="BC257" s="307" t="n"/>
      <c r="BD257" s="307" t="n"/>
      <c r="BE257" s="307" t="n"/>
      <c r="BF257" s="307" t="n"/>
      <c r="BG257" s="31" t="n"/>
      <c r="BH257" s="31" t="n"/>
      <c r="BI257" s="31" t="n"/>
      <c r="BJ257" s="31" t="n"/>
    </row>
    <row r="258" ht="15.75" customHeight="1" s="349">
      <c r="A258" s="31" t="n"/>
      <c r="B258" s="307" t="n"/>
      <c r="C258" s="307" t="n"/>
      <c r="D258" s="307" t="n"/>
      <c r="E258" s="307" t="n"/>
      <c r="F258" s="307" t="n"/>
      <c r="G258" s="307" t="n"/>
      <c r="H258" s="307" t="n"/>
      <c r="I258" s="307" t="n"/>
      <c r="J258" s="307" t="n"/>
      <c r="K258" s="307" t="n"/>
      <c r="L258" s="307" t="n"/>
      <c r="M258" s="307" t="n"/>
      <c r="N258" s="307" t="n"/>
      <c r="O258" s="307" t="n"/>
      <c r="P258" s="307" t="n"/>
      <c r="Q258" s="307" t="n"/>
      <c r="R258" s="307" t="n"/>
      <c r="S258" s="307" t="n"/>
      <c r="T258" s="307" t="n"/>
      <c r="U258" s="307" t="n"/>
      <c r="V258" s="307" t="n"/>
      <c r="W258" s="307" t="n"/>
      <c r="X258" s="307" t="n"/>
      <c r="Y258" s="307" t="n"/>
      <c r="Z258" s="307" t="n"/>
      <c r="AA258" s="307" t="n"/>
      <c r="AB258" s="307" t="n"/>
      <c r="AC258" s="307" t="n"/>
      <c r="AD258" s="307" t="n"/>
      <c r="AE258" s="307" t="n"/>
      <c r="AF258" s="307" t="n"/>
      <c r="AG258" s="307" t="n"/>
      <c r="AH258" s="307" t="n"/>
      <c r="AI258" s="307" t="n"/>
      <c r="AJ258" s="307" t="n"/>
      <c r="AK258" s="307" t="n"/>
      <c r="AL258" s="307" t="n"/>
      <c r="AM258" s="307" t="n"/>
      <c r="AN258" s="307" t="n"/>
      <c r="AO258" s="307" t="n"/>
      <c r="AP258" s="307" t="n"/>
      <c r="AQ258" s="307" t="n"/>
      <c r="AR258" s="307" t="n"/>
      <c r="AS258" s="307" t="n"/>
      <c r="AT258" s="307" t="n"/>
      <c r="AU258" s="307" t="n"/>
      <c r="AV258" s="307" t="n"/>
      <c r="AW258" s="307" t="n"/>
      <c r="AX258" s="307" t="n"/>
      <c r="AY258" s="307" t="n"/>
      <c r="AZ258" s="307" t="n"/>
      <c r="BA258" s="31" t="n"/>
      <c r="BB258" s="307" t="n"/>
      <c r="BC258" s="307" t="n"/>
      <c r="BD258" s="307" t="n"/>
      <c r="BE258" s="307" t="n"/>
      <c r="BF258" s="307" t="n"/>
      <c r="BG258" s="31" t="n"/>
      <c r="BH258" s="31" t="n"/>
      <c r="BI258" s="31" t="n"/>
      <c r="BJ258" s="31" t="n"/>
    </row>
    <row r="259" ht="15.75" customHeight="1" s="349">
      <c r="A259" s="31" t="n"/>
      <c r="B259" s="307" t="n"/>
      <c r="C259" s="307" t="n"/>
      <c r="D259" s="307" t="n"/>
      <c r="E259" s="307" t="n"/>
      <c r="F259" s="307" t="n"/>
      <c r="G259" s="307" t="n"/>
      <c r="H259" s="307" t="n"/>
      <c r="I259" s="307" t="n"/>
      <c r="J259" s="307" t="n"/>
      <c r="K259" s="307" t="n"/>
      <c r="L259" s="307" t="n"/>
      <c r="M259" s="307" t="n"/>
      <c r="N259" s="307" t="n"/>
      <c r="O259" s="307" t="n"/>
      <c r="P259" s="307" t="n"/>
      <c r="Q259" s="307" t="n"/>
      <c r="R259" s="307" t="n"/>
      <c r="S259" s="307" t="n"/>
      <c r="T259" s="307" t="n"/>
      <c r="U259" s="307" t="n"/>
      <c r="V259" s="307" t="n"/>
      <c r="W259" s="307" t="n"/>
      <c r="X259" s="307" t="n"/>
      <c r="Y259" s="307" t="n"/>
      <c r="Z259" s="307" t="n"/>
      <c r="AA259" s="307" t="n"/>
      <c r="AB259" s="307" t="n"/>
      <c r="AC259" s="307" t="n"/>
      <c r="AD259" s="307" t="n"/>
      <c r="AE259" s="307" t="n"/>
      <c r="AF259" s="307" t="n"/>
      <c r="AG259" s="307" t="n"/>
      <c r="AH259" s="307" t="n"/>
      <c r="AI259" s="307" t="n"/>
      <c r="AJ259" s="307" t="n"/>
      <c r="AK259" s="307" t="n"/>
      <c r="AL259" s="307" t="n"/>
      <c r="AM259" s="307" t="n"/>
      <c r="AN259" s="307" t="n"/>
      <c r="AO259" s="307" t="n"/>
      <c r="AP259" s="307" t="n"/>
      <c r="AQ259" s="307" t="n"/>
      <c r="AR259" s="307" t="n"/>
      <c r="AS259" s="307" t="n"/>
      <c r="AT259" s="307" t="n"/>
      <c r="AU259" s="307" t="n"/>
      <c r="AV259" s="307" t="n"/>
      <c r="AW259" s="307" t="n"/>
      <c r="AX259" s="307" t="n"/>
      <c r="AY259" s="307" t="n"/>
      <c r="AZ259" s="307" t="n"/>
      <c r="BA259" s="31" t="n"/>
      <c r="BB259" s="307" t="n"/>
      <c r="BC259" s="307" t="n"/>
      <c r="BD259" s="307" t="n"/>
      <c r="BE259" s="307" t="n"/>
      <c r="BF259" s="307" t="n"/>
      <c r="BG259" s="31" t="n"/>
      <c r="BH259" s="31" t="n"/>
      <c r="BI259" s="31" t="n"/>
      <c r="BJ259" s="31" t="n"/>
    </row>
    <row r="260" ht="15.75" customHeight="1" s="349">
      <c r="A260" s="31" t="n"/>
      <c r="B260" s="307" t="n"/>
      <c r="C260" s="307" t="n"/>
      <c r="D260" s="307" t="n"/>
      <c r="E260" s="307" t="n"/>
      <c r="F260" s="307" t="n"/>
      <c r="G260" s="307" t="n"/>
      <c r="H260" s="307" t="n"/>
      <c r="I260" s="307" t="n"/>
      <c r="J260" s="307" t="n"/>
      <c r="K260" s="307" t="n"/>
      <c r="L260" s="307" t="n"/>
      <c r="M260" s="307" t="n"/>
      <c r="N260" s="307" t="n"/>
      <c r="O260" s="307" t="n"/>
      <c r="P260" s="307" t="n"/>
      <c r="Q260" s="307" t="n"/>
      <c r="R260" s="307" t="n"/>
      <c r="S260" s="307" t="n"/>
      <c r="T260" s="307" t="n"/>
      <c r="U260" s="307" t="n"/>
      <c r="V260" s="307" t="n"/>
      <c r="W260" s="307" t="n"/>
      <c r="X260" s="307" t="n"/>
      <c r="Y260" s="307" t="n"/>
      <c r="Z260" s="307" t="n"/>
      <c r="AA260" s="307" t="n"/>
      <c r="AB260" s="307" t="n"/>
      <c r="AC260" s="307" t="n"/>
      <c r="AD260" s="307" t="n"/>
      <c r="AE260" s="307" t="n"/>
      <c r="AF260" s="307" t="n"/>
      <c r="AG260" s="307" t="n"/>
      <c r="AH260" s="307" t="n"/>
      <c r="AI260" s="307" t="n"/>
      <c r="AJ260" s="307" t="n"/>
      <c r="AK260" s="307" t="n"/>
      <c r="AL260" s="307" t="n"/>
      <c r="AM260" s="307" t="n"/>
      <c r="AN260" s="307" t="n"/>
      <c r="AO260" s="307" t="n"/>
      <c r="AP260" s="307" t="n"/>
      <c r="AQ260" s="307" t="n"/>
      <c r="AR260" s="307" t="n"/>
      <c r="AS260" s="307" t="n"/>
      <c r="AT260" s="307" t="n"/>
      <c r="AU260" s="307" t="n"/>
      <c r="AV260" s="307" t="n"/>
      <c r="AW260" s="307" t="n"/>
      <c r="AX260" s="307" t="n"/>
      <c r="AY260" s="307" t="n"/>
      <c r="AZ260" s="307" t="n"/>
      <c r="BA260" s="31" t="n"/>
      <c r="BB260" s="307" t="n"/>
      <c r="BC260" s="307" t="n"/>
      <c r="BD260" s="307" t="n"/>
      <c r="BE260" s="307" t="n"/>
      <c r="BF260" s="307" t="n"/>
      <c r="BG260" s="31" t="n"/>
      <c r="BH260" s="31" t="n"/>
      <c r="BI260" s="31" t="n"/>
      <c r="BJ260" s="31" t="n"/>
    </row>
    <row r="261" ht="15.75" customHeight="1" s="349">
      <c r="A261" s="31" t="n"/>
      <c r="B261" s="307" t="n"/>
      <c r="C261" s="307" t="n"/>
      <c r="D261" s="307" t="n"/>
      <c r="E261" s="307" t="n"/>
      <c r="F261" s="307" t="n"/>
      <c r="G261" s="307" t="n"/>
      <c r="H261" s="307" t="n"/>
      <c r="I261" s="307" t="n"/>
      <c r="J261" s="307" t="n"/>
      <c r="K261" s="307" t="n"/>
      <c r="L261" s="307" t="n"/>
      <c r="M261" s="307" t="n"/>
      <c r="N261" s="307" t="n"/>
      <c r="O261" s="307" t="n"/>
      <c r="P261" s="307" t="n"/>
      <c r="Q261" s="307" t="n"/>
      <c r="R261" s="307" t="n"/>
      <c r="S261" s="307" t="n"/>
      <c r="T261" s="307" t="n"/>
      <c r="U261" s="307" t="n"/>
      <c r="V261" s="307" t="n"/>
      <c r="W261" s="307" t="n"/>
      <c r="X261" s="307" t="n"/>
      <c r="Y261" s="307" t="n"/>
      <c r="Z261" s="307" t="n"/>
      <c r="AA261" s="307" t="n"/>
      <c r="AB261" s="307" t="n"/>
      <c r="AC261" s="307" t="n"/>
      <c r="AD261" s="307" t="n"/>
      <c r="AE261" s="307" t="n"/>
      <c r="AF261" s="307" t="n"/>
      <c r="AG261" s="307" t="n"/>
      <c r="AH261" s="307" t="n"/>
      <c r="AI261" s="307" t="n"/>
      <c r="AJ261" s="307" t="n"/>
      <c r="AK261" s="307" t="n"/>
      <c r="AL261" s="307" t="n"/>
      <c r="AM261" s="307" t="n"/>
      <c r="AN261" s="307" t="n"/>
      <c r="AO261" s="307" t="n"/>
      <c r="AP261" s="307" t="n"/>
      <c r="AQ261" s="307" t="n"/>
      <c r="AR261" s="307" t="n"/>
      <c r="AS261" s="307" t="n"/>
      <c r="AT261" s="307" t="n"/>
      <c r="AU261" s="307" t="n"/>
      <c r="AV261" s="307" t="n"/>
      <c r="AW261" s="307" t="n"/>
      <c r="AX261" s="307" t="n"/>
      <c r="AY261" s="307" t="n"/>
      <c r="AZ261" s="307" t="n"/>
      <c r="BA261" s="31" t="n"/>
      <c r="BB261" s="307" t="n"/>
      <c r="BC261" s="307" t="n"/>
      <c r="BD261" s="307" t="n"/>
      <c r="BE261" s="307" t="n"/>
      <c r="BF261" s="307" t="n"/>
      <c r="BG261" s="31" t="n"/>
      <c r="BH261" s="31" t="n"/>
      <c r="BI261" s="31" t="n"/>
      <c r="BJ261" s="31" t="n"/>
    </row>
    <row r="262" ht="15.75" customHeight="1" s="349">
      <c r="A262" s="31" t="n"/>
      <c r="B262" s="307" t="n"/>
      <c r="C262" s="307" t="n"/>
      <c r="D262" s="307" t="n"/>
      <c r="E262" s="307" t="n"/>
      <c r="F262" s="307" t="n"/>
      <c r="G262" s="307" t="n"/>
      <c r="H262" s="307" t="n"/>
      <c r="I262" s="307" t="n"/>
      <c r="J262" s="307" t="n"/>
      <c r="K262" s="307" t="n"/>
      <c r="L262" s="307" t="n"/>
      <c r="M262" s="307" t="n"/>
      <c r="N262" s="307" t="n"/>
      <c r="O262" s="307" t="n"/>
      <c r="P262" s="307" t="n"/>
      <c r="Q262" s="307" t="n"/>
      <c r="R262" s="307" t="n"/>
      <c r="S262" s="307" t="n"/>
      <c r="T262" s="307" t="n"/>
      <c r="U262" s="307" t="n"/>
      <c r="V262" s="307" t="n"/>
      <c r="W262" s="307" t="n"/>
      <c r="X262" s="307" t="n"/>
      <c r="Y262" s="307" t="n"/>
      <c r="Z262" s="307" t="n"/>
      <c r="AA262" s="307" t="n"/>
      <c r="AB262" s="307" t="n"/>
      <c r="AC262" s="307" t="n"/>
      <c r="AD262" s="307" t="n"/>
      <c r="AE262" s="307" t="n"/>
      <c r="AF262" s="307" t="n"/>
      <c r="AG262" s="307" t="n"/>
      <c r="AH262" s="307" t="n"/>
      <c r="AI262" s="307" t="n"/>
      <c r="AJ262" s="307" t="n"/>
      <c r="AK262" s="307" t="n"/>
      <c r="AL262" s="307" t="n"/>
      <c r="AM262" s="307" t="n"/>
      <c r="AN262" s="307" t="n"/>
      <c r="AO262" s="307" t="n"/>
      <c r="AP262" s="307" t="n"/>
      <c r="AQ262" s="307" t="n"/>
      <c r="AR262" s="307" t="n"/>
      <c r="AS262" s="307" t="n"/>
      <c r="AT262" s="307" t="n"/>
      <c r="AU262" s="307" t="n"/>
      <c r="AV262" s="307" t="n"/>
      <c r="AW262" s="307" t="n"/>
      <c r="AX262" s="307" t="n"/>
      <c r="AY262" s="307" t="n"/>
      <c r="AZ262" s="307" t="n"/>
      <c r="BA262" s="31" t="n"/>
      <c r="BB262" s="307" t="n"/>
      <c r="BC262" s="307" t="n"/>
      <c r="BD262" s="307" t="n"/>
      <c r="BE262" s="307" t="n"/>
      <c r="BF262" s="307" t="n"/>
      <c r="BG262" s="31" t="n"/>
      <c r="BH262" s="31" t="n"/>
      <c r="BI262" s="31" t="n"/>
      <c r="BJ262" s="31" t="n"/>
    </row>
    <row r="263" ht="15.75" customHeight="1" s="349">
      <c r="A263" s="31" t="n"/>
      <c r="B263" s="307" t="n"/>
      <c r="C263" s="307" t="n"/>
      <c r="D263" s="307" t="n"/>
      <c r="E263" s="307" t="n"/>
      <c r="F263" s="307" t="n"/>
      <c r="G263" s="307" t="n"/>
      <c r="H263" s="307" t="n"/>
      <c r="I263" s="307" t="n"/>
      <c r="J263" s="307" t="n"/>
      <c r="K263" s="307" t="n"/>
      <c r="L263" s="307" t="n"/>
      <c r="M263" s="307" t="n"/>
      <c r="N263" s="307" t="n"/>
      <c r="O263" s="307" t="n"/>
      <c r="P263" s="307" t="n"/>
      <c r="Q263" s="307" t="n"/>
      <c r="R263" s="307" t="n"/>
      <c r="S263" s="307" t="n"/>
      <c r="T263" s="307" t="n"/>
      <c r="U263" s="307" t="n"/>
      <c r="V263" s="307" t="n"/>
      <c r="W263" s="307" t="n"/>
      <c r="X263" s="307" t="n"/>
      <c r="Y263" s="307" t="n"/>
      <c r="Z263" s="307" t="n"/>
      <c r="AA263" s="307" t="n"/>
      <c r="AB263" s="307" t="n"/>
      <c r="AC263" s="307" t="n"/>
      <c r="AD263" s="307" t="n"/>
      <c r="AE263" s="307" t="n"/>
      <c r="AF263" s="307" t="n"/>
      <c r="AG263" s="307" t="n"/>
      <c r="AH263" s="307" t="n"/>
      <c r="AI263" s="307" t="n"/>
      <c r="AJ263" s="307" t="n"/>
      <c r="AK263" s="307" t="n"/>
      <c r="AL263" s="307" t="n"/>
      <c r="AM263" s="307" t="n"/>
      <c r="AN263" s="307" t="n"/>
      <c r="AO263" s="307" t="n"/>
      <c r="AP263" s="307" t="n"/>
      <c r="AQ263" s="307" t="n"/>
      <c r="AR263" s="307" t="n"/>
      <c r="AS263" s="307" t="n"/>
      <c r="AT263" s="307" t="n"/>
      <c r="AU263" s="307" t="n"/>
      <c r="AV263" s="307" t="n"/>
      <c r="AW263" s="307" t="n"/>
      <c r="AX263" s="307" t="n"/>
      <c r="AY263" s="307" t="n"/>
      <c r="AZ263" s="307" t="n"/>
      <c r="BA263" s="31" t="n"/>
      <c r="BB263" s="307" t="n"/>
      <c r="BC263" s="307" t="n"/>
      <c r="BD263" s="307" t="n"/>
      <c r="BE263" s="307" t="n"/>
      <c r="BF263" s="307" t="n"/>
      <c r="BG263" s="31" t="n"/>
      <c r="BH263" s="31" t="n"/>
      <c r="BI263" s="31" t="n"/>
      <c r="BJ263" s="31" t="n"/>
    </row>
    <row r="264" ht="15.75" customHeight="1" s="349">
      <c r="A264" s="31" t="n"/>
      <c r="B264" s="307" t="n"/>
      <c r="C264" s="307" t="n"/>
      <c r="D264" s="307" t="n"/>
      <c r="E264" s="307" t="n"/>
      <c r="F264" s="307" t="n"/>
      <c r="G264" s="307" t="n"/>
      <c r="H264" s="307" t="n"/>
      <c r="I264" s="307" t="n"/>
      <c r="J264" s="307" t="n"/>
      <c r="K264" s="307" t="n"/>
      <c r="L264" s="307" t="n"/>
      <c r="M264" s="307" t="n"/>
      <c r="N264" s="307" t="n"/>
      <c r="O264" s="307" t="n"/>
      <c r="P264" s="307" t="n"/>
      <c r="Q264" s="307" t="n"/>
      <c r="R264" s="307" t="n"/>
      <c r="S264" s="307" t="n"/>
      <c r="T264" s="307" t="n"/>
      <c r="U264" s="307" t="n"/>
      <c r="V264" s="307" t="n"/>
      <c r="W264" s="307" t="n"/>
      <c r="X264" s="307" t="n"/>
      <c r="Y264" s="307" t="n"/>
      <c r="Z264" s="307" t="n"/>
      <c r="AA264" s="307" t="n"/>
      <c r="AB264" s="307" t="n"/>
      <c r="AC264" s="307" t="n"/>
      <c r="AD264" s="307" t="n"/>
      <c r="AE264" s="307" t="n"/>
      <c r="AF264" s="307" t="n"/>
      <c r="AG264" s="307" t="n"/>
      <c r="AH264" s="307" t="n"/>
      <c r="AI264" s="307" t="n"/>
      <c r="AJ264" s="307" t="n"/>
      <c r="AK264" s="307" t="n"/>
      <c r="AL264" s="307" t="n"/>
      <c r="AM264" s="307" t="n"/>
      <c r="AN264" s="307" t="n"/>
      <c r="AO264" s="307" t="n"/>
      <c r="AP264" s="307" t="n"/>
      <c r="AQ264" s="307" t="n"/>
      <c r="AR264" s="307" t="n"/>
      <c r="AS264" s="307" t="n"/>
      <c r="AT264" s="307" t="n"/>
      <c r="AU264" s="307" t="n"/>
      <c r="AV264" s="307" t="n"/>
      <c r="AW264" s="307" t="n"/>
      <c r="AX264" s="307" t="n"/>
      <c r="AY264" s="307" t="n"/>
      <c r="AZ264" s="307" t="n"/>
      <c r="BA264" s="31" t="n"/>
      <c r="BB264" s="307" t="n"/>
      <c r="BC264" s="307" t="n"/>
      <c r="BD264" s="307" t="n"/>
      <c r="BE264" s="307" t="n"/>
      <c r="BF264" s="307" t="n"/>
      <c r="BG264" s="31" t="n"/>
      <c r="BH264" s="31" t="n"/>
      <c r="BI264" s="31" t="n"/>
      <c r="BJ264" s="31" t="n"/>
    </row>
    <row r="265" ht="15.75" customHeight="1" s="349">
      <c r="A265" s="31" t="n"/>
      <c r="B265" s="307" t="n"/>
      <c r="C265" s="307" t="n"/>
      <c r="D265" s="307" t="n"/>
      <c r="E265" s="307" t="n"/>
      <c r="F265" s="307" t="n"/>
      <c r="G265" s="307" t="n"/>
      <c r="H265" s="307" t="n"/>
      <c r="I265" s="307" t="n"/>
      <c r="J265" s="307" t="n"/>
      <c r="K265" s="307" t="n"/>
      <c r="L265" s="307" t="n"/>
      <c r="M265" s="307" t="n"/>
      <c r="N265" s="307" t="n"/>
      <c r="O265" s="307" t="n"/>
      <c r="P265" s="307" t="n"/>
      <c r="Q265" s="307" t="n"/>
      <c r="R265" s="307" t="n"/>
      <c r="S265" s="307" t="n"/>
      <c r="T265" s="307" t="n"/>
      <c r="U265" s="307" t="n"/>
      <c r="V265" s="307" t="n"/>
      <c r="W265" s="307" t="n"/>
      <c r="X265" s="307" t="n"/>
      <c r="Y265" s="307" t="n"/>
      <c r="Z265" s="307" t="n"/>
      <c r="AA265" s="307" t="n"/>
      <c r="AB265" s="307" t="n"/>
      <c r="AC265" s="307" t="n"/>
      <c r="AD265" s="307" t="n"/>
      <c r="AE265" s="307" t="n"/>
      <c r="AF265" s="307" t="n"/>
      <c r="AG265" s="307" t="n"/>
      <c r="AH265" s="307" t="n"/>
      <c r="AI265" s="307" t="n"/>
      <c r="AJ265" s="307" t="n"/>
      <c r="AK265" s="307" t="n"/>
      <c r="AL265" s="307" t="n"/>
      <c r="AM265" s="307" t="n"/>
      <c r="AN265" s="307" t="n"/>
      <c r="AO265" s="307" t="n"/>
      <c r="AP265" s="307" t="n"/>
      <c r="AQ265" s="307" t="n"/>
      <c r="AR265" s="307" t="n"/>
      <c r="AS265" s="307" t="n"/>
      <c r="AT265" s="307" t="n"/>
      <c r="AU265" s="307" t="n"/>
      <c r="AV265" s="307" t="n"/>
      <c r="AW265" s="307" t="n"/>
      <c r="AX265" s="307" t="n"/>
      <c r="AY265" s="307" t="n"/>
      <c r="AZ265" s="307" t="n"/>
      <c r="BA265" s="31" t="n"/>
      <c r="BB265" s="307" t="n"/>
      <c r="BC265" s="307" t="n"/>
      <c r="BD265" s="307" t="n"/>
      <c r="BE265" s="307" t="n"/>
      <c r="BF265" s="307" t="n"/>
      <c r="BG265" s="31" t="n"/>
      <c r="BH265" s="31" t="n"/>
      <c r="BI265" s="31" t="n"/>
      <c r="BJ265" s="31" t="n"/>
    </row>
    <row r="266" ht="15.75" customHeight="1" s="349">
      <c r="A266" s="31" t="n"/>
      <c r="B266" s="307" t="n"/>
      <c r="C266" s="307" t="n"/>
      <c r="D266" s="307" t="n"/>
      <c r="E266" s="307" t="n"/>
      <c r="F266" s="307" t="n"/>
      <c r="G266" s="307" t="n"/>
      <c r="H266" s="307" t="n"/>
      <c r="I266" s="307" t="n"/>
      <c r="J266" s="307" t="n"/>
      <c r="K266" s="307" t="n"/>
      <c r="L266" s="307" t="n"/>
      <c r="M266" s="307" t="n"/>
      <c r="N266" s="307" t="n"/>
      <c r="O266" s="307" t="n"/>
      <c r="P266" s="307" t="n"/>
      <c r="Q266" s="307" t="n"/>
      <c r="R266" s="307" t="n"/>
      <c r="S266" s="307" t="n"/>
      <c r="T266" s="307" t="n"/>
      <c r="U266" s="307" t="n"/>
      <c r="V266" s="307" t="n"/>
      <c r="W266" s="307" t="n"/>
      <c r="X266" s="307" t="n"/>
      <c r="Y266" s="307" t="n"/>
      <c r="Z266" s="307" t="n"/>
      <c r="AA266" s="307" t="n"/>
      <c r="AB266" s="307" t="n"/>
      <c r="AC266" s="307" t="n"/>
      <c r="AD266" s="307" t="n"/>
      <c r="AE266" s="307" t="n"/>
      <c r="AF266" s="307" t="n"/>
      <c r="AG266" s="307" t="n"/>
      <c r="AH266" s="307" t="n"/>
      <c r="AI266" s="307" t="n"/>
      <c r="AJ266" s="307" t="n"/>
      <c r="AK266" s="307" t="n"/>
      <c r="AL266" s="307" t="n"/>
      <c r="AM266" s="307" t="n"/>
      <c r="AN266" s="307" t="n"/>
      <c r="AO266" s="307" t="n"/>
      <c r="AP266" s="307" t="n"/>
      <c r="AQ266" s="307" t="n"/>
      <c r="AR266" s="307" t="n"/>
      <c r="AS266" s="307" t="n"/>
      <c r="AT266" s="307" t="n"/>
      <c r="AU266" s="307" t="n"/>
      <c r="AV266" s="307" t="n"/>
      <c r="AW266" s="307" t="n"/>
      <c r="AX266" s="307" t="n"/>
      <c r="AY266" s="307" t="n"/>
      <c r="AZ266" s="307" t="n"/>
      <c r="BA266" s="31" t="n"/>
      <c r="BB266" s="307" t="n"/>
      <c r="BC266" s="307" t="n"/>
      <c r="BD266" s="307" t="n"/>
      <c r="BE266" s="307" t="n"/>
      <c r="BF266" s="307" t="n"/>
      <c r="BG266" s="31" t="n"/>
      <c r="BH266" s="31" t="n"/>
      <c r="BI266" s="31" t="n"/>
      <c r="BJ266" s="31" t="n"/>
    </row>
    <row r="267" ht="15.75" customHeight="1" s="349">
      <c r="A267" s="31" t="n"/>
      <c r="B267" s="307" t="n"/>
      <c r="C267" s="307" t="n"/>
      <c r="D267" s="307" t="n"/>
      <c r="E267" s="307" t="n"/>
      <c r="F267" s="307" t="n"/>
      <c r="G267" s="307" t="n"/>
      <c r="H267" s="307" t="n"/>
      <c r="I267" s="307" t="n"/>
      <c r="J267" s="307" t="n"/>
      <c r="K267" s="307" t="n"/>
      <c r="L267" s="307" t="n"/>
      <c r="M267" s="307" t="n"/>
      <c r="N267" s="307" t="n"/>
      <c r="O267" s="307" t="n"/>
      <c r="P267" s="307" t="n"/>
      <c r="Q267" s="307" t="n"/>
      <c r="R267" s="307" t="n"/>
      <c r="S267" s="307" t="n"/>
      <c r="T267" s="307" t="n"/>
      <c r="U267" s="307" t="n"/>
      <c r="V267" s="307" t="n"/>
      <c r="W267" s="307" t="n"/>
      <c r="X267" s="307" t="n"/>
      <c r="Y267" s="307" t="n"/>
      <c r="Z267" s="307" t="n"/>
      <c r="AA267" s="307" t="n"/>
      <c r="AB267" s="307" t="n"/>
      <c r="AC267" s="307" t="n"/>
      <c r="AD267" s="307" t="n"/>
      <c r="AE267" s="307" t="n"/>
      <c r="AF267" s="307" t="n"/>
      <c r="AG267" s="307" t="n"/>
      <c r="AH267" s="307" t="n"/>
      <c r="AI267" s="307" t="n"/>
      <c r="AJ267" s="307" t="n"/>
      <c r="AK267" s="307" t="n"/>
      <c r="AL267" s="307" t="n"/>
      <c r="AM267" s="307" t="n"/>
      <c r="AN267" s="307" t="n"/>
      <c r="AO267" s="307" t="n"/>
      <c r="AP267" s="307" t="n"/>
      <c r="AQ267" s="307" t="n"/>
      <c r="AR267" s="307" t="n"/>
      <c r="AS267" s="307" t="n"/>
      <c r="AT267" s="307" t="n"/>
      <c r="AU267" s="307" t="n"/>
      <c r="AV267" s="307" t="n"/>
      <c r="AW267" s="307" t="n"/>
      <c r="AX267" s="307" t="n"/>
      <c r="AY267" s="307" t="n"/>
      <c r="AZ267" s="307" t="n"/>
      <c r="BA267" s="31" t="n"/>
      <c r="BB267" s="307" t="n"/>
      <c r="BC267" s="307" t="n"/>
      <c r="BD267" s="307" t="n"/>
      <c r="BE267" s="307" t="n"/>
      <c r="BF267" s="307" t="n"/>
      <c r="BG267" s="31" t="n"/>
      <c r="BH267" s="31" t="n"/>
      <c r="BI267" s="31" t="n"/>
      <c r="BJ267" s="31" t="n"/>
    </row>
    <row r="268" ht="15.75" customHeight="1" s="349">
      <c r="A268" s="31" t="n"/>
      <c r="B268" s="307" t="n"/>
      <c r="C268" s="307" t="n"/>
      <c r="D268" s="307" t="n"/>
      <c r="E268" s="307" t="n"/>
      <c r="F268" s="307" t="n"/>
      <c r="G268" s="307" t="n"/>
      <c r="H268" s="307" t="n"/>
      <c r="I268" s="307" t="n"/>
      <c r="J268" s="307" t="n"/>
      <c r="K268" s="307" t="n"/>
      <c r="L268" s="307" t="n"/>
      <c r="M268" s="307" t="n"/>
      <c r="N268" s="307" t="n"/>
      <c r="O268" s="307" t="n"/>
      <c r="P268" s="307" t="n"/>
      <c r="Q268" s="307" t="n"/>
      <c r="R268" s="307" t="n"/>
      <c r="S268" s="307" t="n"/>
      <c r="T268" s="307" t="n"/>
      <c r="U268" s="307" t="n"/>
      <c r="V268" s="307" t="n"/>
      <c r="W268" s="307" t="n"/>
      <c r="X268" s="307" t="n"/>
      <c r="Y268" s="307" t="n"/>
      <c r="Z268" s="307" t="n"/>
      <c r="AA268" s="307" t="n"/>
      <c r="AB268" s="307" t="n"/>
      <c r="AC268" s="307" t="n"/>
      <c r="AD268" s="307" t="n"/>
      <c r="AE268" s="307" t="n"/>
      <c r="AF268" s="307" t="n"/>
      <c r="AG268" s="307" t="n"/>
      <c r="AH268" s="307" t="n"/>
      <c r="AI268" s="307" t="n"/>
      <c r="AJ268" s="307" t="n"/>
      <c r="AK268" s="307" t="n"/>
      <c r="AL268" s="307" t="n"/>
      <c r="AM268" s="307" t="n"/>
      <c r="AN268" s="307" t="n"/>
      <c r="AO268" s="307" t="n"/>
      <c r="AP268" s="307" t="n"/>
      <c r="AQ268" s="307" t="n"/>
      <c r="AR268" s="307" t="n"/>
      <c r="AS268" s="307" t="n"/>
      <c r="AT268" s="307" t="n"/>
      <c r="AU268" s="307" t="n"/>
      <c r="AV268" s="307" t="n"/>
      <c r="AW268" s="307" t="n"/>
      <c r="AX268" s="307" t="n"/>
      <c r="AY268" s="307" t="n"/>
      <c r="AZ268" s="307" t="n"/>
      <c r="BA268" s="31" t="n"/>
      <c r="BB268" s="307" t="n"/>
      <c r="BC268" s="307" t="n"/>
      <c r="BD268" s="307" t="n"/>
      <c r="BE268" s="307" t="n"/>
      <c r="BF268" s="307" t="n"/>
      <c r="BG268" s="31" t="n"/>
      <c r="BH268" s="31" t="n"/>
      <c r="BI268" s="31" t="n"/>
      <c r="BJ268" s="31" t="n"/>
    </row>
    <row r="269" ht="15.75" customHeight="1" s="349">
      <c r="A269" s="31" t="n"/>
      <c r="B269" s="307" t="n"/>
      <c r="C269" s="307" t="n"/>
      <c r="D269" s="307" t="n"/>
      <c r="E269" s="307" t="n"/>
      <c r="F269" s="307" t="n"/>
      <c r="G269" s="307" t="n"/>
      <c r="H269" s="307" t="n"/>
      <c r="I269" s="307" t="n"/>
      <c r="J269" s="307" t="n"/>
      <c r="K269" s="307" t="n"/>
      <c r="L269" s="307" t="n"/>
      <c r="M269" s="307" t="n"/>
      <c r="N269" s="307" t="n"/>
      <c r="O269" s="307" t="n"/>
      <c r="P269" s="307" t="n"/>
      <c r="Q269" s="307" t="n"/>
      <c r="R269" s="307" t="n"/>
      <c r="S269" s="307" t="n"/>
      <c r="T269" s="307" t="n"/>
      <c r="U269" s="307" t="n"/>
      <c r="V269" s="307" t="n"/>
      <c r="W269" s="307" t="n"/>
      <c r="X269" s="307" t="n"/>
      <c r="Y269" s="307" t="n"/>
      <c r="Z269" s="307" t="n"/>
      <c r="AA269" s="307" t="n"/>
      <c r="AB269" s="307" t="n"/>
      <c r="AC269" s="307" t="n"/>
      <c r="AD269" s="307" t="n"/>
      <c r="AE269" s="307" t="n"/>
      <c r="AF269" s="307" t="n"/>
      <c r="AG269" s="307" t="n"/>
      <c r="AH269" s="307" t="n"/>
      <c r="AI269" s="307" t="n"/>
      <c r="AJ269" s="307" t="n"/>
      <c r="AK269" s="307" t="n"/>
      <c r="AL269" s="307" t="n"/>
      <c r="AM269" s="307" t="n"/>
      <c r="AN269" s="307" t="n"/>
      <c r="AO269" s="307" t="n"/>
      <c r="AP269" s="307" t="n"/>
      <c r="AQ269" s="307" t="n"/>
      <c r="AR269" s="307" t="n"/>
      <c r="AS269" s="307" t="n"/>
      <c r="AT269" s="307" t="n"/>
      <c r="AU269" s="307" t="n"/>
      <c r="AV269" s="307" t="n"/>
      <c r="AW269" s="307" t="n"/>
      <c r="AX269" s="307" t="n"/>
      <c r="AY269" s="307" t="n"/>
      <c r="AZ269" s="307" t="n"/>
      <c r="BA269" s="31" t="n"/>
      <c r="BB269" s="307" t="n"/>
      <c r="BC269" s="307" t="n"/>
      <c r="BD269" s="307" t="n"/>
      <c r="BE269" s="307" t="n"/>
      <c r="BF269" s="307" t="n"/>
      <c r="BG269" s="31" t="n"/>
      <c r="BH269" s="31" t="n"/>
      <c r="BI269" s="31" t="n"/>
      <c r="BJ269" s="31" t="n"/>
    </row>
    <row r="270" ht="15.75" customHeight="1" s="349">
      <c r="A270" s="31" t="n"/>
      <c r="B270" s="307" t="n"/>
      <c r="C270" s="307" t="n"/>
      <c r="D270" s="307" t="n"/>
      <c r="E270" s="307" t="n"/>
      <c r="F270" s="307" t="n"/>
      <c r="G270" s="307" t="n"/>
      <c r="H270" s="307" t="n"/>
      <c r="I270" s="307" t="n"/>
      <c r="J270" s="307" t="n"/>
      <c r="K270" s="307" t="n"/>
      <c r="L270" s="307" t="n"/>
      <c r="M270" s="307" t="n"/>
      <c r="N270" s="307" t="n"/>
      <c r="O270" s="307" t="n"/>
      <c r="P270" s="307" t="n"/>
      <c r="Q270" s="307" t="n"/>
      <c r="R270" s="307" t="n"/>
      <c r="S270" s="307" t="n"/>
      <c r="T270" s="307" t="n"/>
      <c r="U270" s="307" t="n"/>
      <c r="V270" s="307" t="n"/>
      <c r="W270" s="307" t="n"/>
      <c r="X270" s="307" t="n"/>
      <c r="Y270" s="307" t="n"/>
      <c r="Z270" s="307" t="n"/>
      <c r="AA270" s="307" t="n"/>
      <c r="AB270" s="307" t="n"/>
      <c r="AC270" s="307" t="n"/>
      <c r="AD270" s="307" t="n"/>
      <c r="AE270" s="307" t="n"/>
      <c r="AF270" s="307" t="n"/>
      <c r="AG270" s="307" t="n"/>
      <c r="AH270" s="307" t="n"/>
      <c r="AI270" s="307" t="n"/>
      <c r="AJ270" s="307" t="n"/>
      <c r="AK270" s="307" t="n"/>
      <c r="AL270" s="307" t="n"/>
      <c r="AM270" s="307" t="n"/>
      <c r="AN270" s="307" t="n"/>
      <c r="AO270" s="307" t="n"/>
      <c r="AP270" s="307" t="n"/>
      <c r="AQ270" s="307" t="n"/>
      <c r="AR270" s="307" t="n"/>
      <c r="AS270" s="307" t="n"/>
      <c r="AT270" s="307" t="n"/>
      <c r="AU270" s="307" t="n"/>
      <c r="AV270" s="307" t="n"/>
      <c r="AW270" s="307" t="n"/>
      <c r="AX270" s="307" t="n"/>
      <c r="AY270" s="307" t="n"/>
      <c r="AZ270" s="307" t="n"/>
      <c r="BA270" s="31" t="n"/>
      <c r="BB270" s="307" t="n"/>
      <c r="BC270" s="307" t="n"/>
      <c r="BD270" s="307" t="n"/>
      <c r="BE270" s="307" t="n"/>
      <c r="BF270" s="307" t="n"/>
      <c r="BG270" s="31" t="n"/>
      <c r="BH270" s="31" t="n"/>
      <c r="BI270" s="31" t="n"/>
      <c r="BJ270" s="31" t="n"/>
    </row>
    <row r="271" ht="15.75" customHeight="1" s="349">
      <c r="A271" s="31" t="n"/>
      <c r="B271" s="307" t="n"/>
      <c r="C271" s="307" t="n"/>
      <c r="D271" s="307" t="n"/>
      <c r="E271" s="307" t="n"/>
      <c r="F271" s="307" t="n"/>
      <c r="G271" s="307" t="n"/>
      <c r="H271" s="307" t="n"/>
      <c r="I271" s="307" t="n"/>
      <c r="J271" s="307" t="n"/>
      <c r="K271" s="307" t="n"/>
      <c r="L271" s="307" t="n"/>
      <c r="M271" s="307" t="n"/>
      <c r="N271" s="307" t="n"/>
      <c r="O271" s="307" t="n"/>
      <c r="P271" s="307" t="n"/>
      <c r="Q271" s="307" t="n"/>
      <c r="R271" s="307" t="n"/>
      <c r="S271" s="307" t="n"/>
      <c r="T271" s="307" t="n"/>
      <c r="U271" s="307" t="n"/>
      <c r="V271" s="307" t="n"/>
      <c r="W271" s="307" t="n"/>
      <c r="X271" s="307" t="n"/>
      <c r="Y271" s="307" t="n"/>
      <c r="Z271" s="307" t="n"/>
      <c r="AA271" s="307" t="n"/>
      <c r="AB271" s="307" t="n"/>
      <c r="AC271" s="307" t="n"/>
      <c r="AD271" s="307" t="n"/>
      <c r="AE271" s="307" t="n"/>
      <c r="AF271" s="307" t="n"/>
      <c r="AG271" s="307" t="n"/>
      <c r="AH271" s="307" t="n"/>
      <c r="AI271" s="307" t="n"/>
      <c r="AJ271" s="307" t="n"/>
      <c r="AK271" s="307" t="n"/>
      <c r="AL271" s="307" t="n"/>
      <c r="AM271" s="307" t="n"/>
      <c r="AN271" s="307" t="n"/>
      <c r="AO271" s="307" t="n"/>
      <c r="AP271" s="307" t="n"/>
      <c r="AQ271" s="307" t="n"/>
      <c r="AR271" s="307" t="n"/>
      <c r="AS271" s="307" t="n"/>
      <c r="AT271" s="307" t="n"/>
      <c r="AU271" s="307" t="n"/>
      <c r="AV271" s="307" t="n"/>
      <c r="AW271" s="307" t="n"/>
      <c r="AX271" s="307" t="n"/>
      <c r="AY271" s="307" t="n"/>
      <c r="AZ271" s="307" t="n"/>
      <c r="BA271" s="31" t="n"/>
      <c r="BB271" s="307" t="n"/>
      <c r="BC271" s="307" t="n"/>
      <c r="BD271" s="307" t="n"/>
      <c r="BE271" s="307" t="n"/>
      <c r="BF271" s="307" t="n"/>
      <c r="BG271" s="31" t="n"/>
      <c r="BH271" s="31" t="n"/>
      <c r="BI271" s="31" t="n"/>
      <c r="BJ271" s="31" t="n"/>
    </row>
    <row r="272" ht="15.75" customHeight="1" s="349">
      <c r="A272" s="31" t="n"/>
      <c r="B272" s="307" t="n"/>
      <c r="C272" s="307" t="n"/>
      <c r="D272" s="307" t="n"/>
      <c r="E272" s="307" t="n"/>
      <c r="F272" s="307" t="n"/>
      <c r="G272" s="307" t="n"/>
      <c r="H272" s="307" t="n"/>
      <c r="I272" s="307" t="n"/>
      <c r="J272" s="307" t="n"/>
      <c r="K272" s="307" t="n"/>
      <c r="L272" s="307" t="n"/>
      <c r="M272" s="307" t="n"/>
      <c r="N272" s="307" t="n"/>
      <c r="O272" s="307" t="n"/>
      <c r="P272" s="307" t="n"/>
      <c r="Q272" s="307" t="n"/>
      <c r="R272" s="307" t="n"/>
      <c r="S272" s="307" t="n"/>
      <c r="T272" s="307" t="n"/>
      <c r="U272" s="307" t="n"/>
      <c r="V272" s="307" t="n"/>
      <c r="W272" s="307" t="n"/>
      <c r="X272" s="307" t="n"/>
      <c r="Y272" s="307" t="n"/>
      <c r="Z272" s="307" t="n"/>
      <c r="AA272" s="307" t="n"/>
      <c r="AB272" s="307" t="n"/>
      <c r="AC272" s="307" t="n"/>
      <c r="AD272" s="307" t="n"/>
      <c r="AE272" s="307" t="n"/>
      <c r="AF272" s="307" t="n"/>
      <c r="AG272" s="307" t="n"/>
      <c r="AH272" s="307" t="n"/>
      <c r="AI272" s="307" t="n"/>
      <c r="AJ272" s="307" t="n"/>
      <c r="AK272" s="307" t="n"/>
      <c r="AL272" s="307" t="n"/>
      <c r="AM272" s="307" t="n"/>
      <c r="AN272" s="307" t="n"/>
      <c r="AO272" s="307" t="n"/>
      <c r="AP272" s="307" t="n"/>
      <c r="AQ272" s="307" t="n"/>
      <c r="AR272" s="307" t="n"/>
      <c r="AS272" s="307" t="n"/>
      <c r="AT272" s="307" t="n"/>
      <c r="AU272" s="307" t="n"/>
      <c r="AV272" s="307" t="n"/>
      <c r="AW272" s="307" t="n"/>
      <c r="AX272" s="307" t="n"/>
      <c r="AY272" s="307" t="n"/>
      <c r="AZ272" s="307" t="n"/>
      <c r="BA272" s="31" t="n"/>
      <c r="BB272" s="307" t="n"/>
      <c r="BC272" s="307" t="n"/>
      <c r="BD272" s="307" t="n"/>
      <c r="BE272" s="307" t="n"/>
      <c r="BF272" s="307" t="n"/>
      <c r="BG272" s="31" t="n"/>
      <c r="BH272" s="31" t="n"/>
      <c r="BI272" s="31" t="n"/>
      <c r="BJ272" s="31" t="n"/>
    </row>
    <row r="273" ht="15.75" customHeight="1" s="349">
      <c r="A273" s="31" t="n"/>
      <c r="B273" s="307" t="n"/>
      <c r="C273" s="307" t="n"/>
      <c r="D273" s="307" t="n"/>
      <c r="E273" s="307" t="n"/>
      <c r="F273" s="307" t="n"/>
      <c r="G273" s="307" t="n"/>
      <c r="H273" s="307" t="n"/>
      <c r="I273" s="307" t="n"/>
      <c r="J273" s="307" t="n"/>
      <c r="K273" s="307" t="n"/>
      <c r="L273" s="307" t="n"/>
      <c r="M273" s="307" t="n"/>
      <c r="N273" s="307" t="n"/>
      <c r="O273" s="307" t="n"/>
      <c r="P273" s="307" t="n"/>
      <c r="Q273" s="307" t="n"/>
      <c r="R273" s="307" t="n"/>
      <c r="S273" s="307" t="n"/>
      <c r="T273" s="307" t="n"/>
      <c r="U273" s="307" t="n"/>
      <c r="V273" s="307" t="n"/>
      <c r="W273" s="307" t="n"/>
      <c r="X273" s="307" t="n"/>
      <c r="Y273" s="307" t="n"/>
      <c r="Z273" s="307" t="n"/>
      <c r="AA273" s="307" t="n"/>
      <c r="AB273" s="307" t="n"/>
      <c r="AC273" s="307" t="n"/>
      <c r="AD273" s="307" t="n"/>
      <c r="AE273" s="307" t="n"/>
      <c r="AF273" s="307" t="n"/>
      <c r="AG273" s="307" t="n"/>
      <c r="AH273" s="307" t="n"/>
      <c r="AI273" s="307" t="n"/>
      <c r="AJ273" s="307" t="n"/>
      <c r="AK273" s="307" t="n"/>
      <c r="AL273" s="307" t="n"/>
      <c r="AM273" s="307" t="n"/>
      <c r="AN273" s="307" t="n"/>
      <c r="AO273" s="307" t="n"/>
      <c r="AP273" s="307" t="n"/>
      <c r="AQ273" s="307" t="n"/>
      <c r="AR273" s="307" t="n"/>
      <c r="AS273" s="307" t="n"/>
      <c r="AT273" s="307" t="n"/>
      <c r="AU273" s="307" t="n"/>
      <c r="AV273" s="307" t="n"/>
      <c r="AW273" s="307" t="n"/>
      <c r="AX273" s="307" t="n"/>
      <c r="AY273" s="307" t="n"/>
      <c r="AZ273" s="307" t="n"/>
      <c r="BA273" s="31" t="n"/>
      <c r="BB273" s="307" t="n"/>
      <c r="BC273" s="307" t="n"/>
      <c r="BD273" s="307" t="n"/>
      <c r="BE273" s="307" t="n"/>
      <c r="BF273" s="307" t="n"/>
      <c r="BG273" s="31" t="n"/>
      <c r="BH273" s="31" t="n"/>
      <c r="BI273" s="31" t="n"/>
      <c r="BJ273" s="31" t="n"/>
    </row>
    <row r="274" ht="15.75" customHeight="1" s="349">
      <c r="A274" s="31" t="n"/>
      <c r="B274" s="307" t="n"/>
      <c r="C274" s="307" t="n"/>
      <c r="D274" s="307" t="n"/>
      <c r="E274" s="307" t="n"/>
      <c r="F274" s="307" t="n"/>
      <c r="G274" s="307" t="n"/>
      <c r="H274" s="307" t="n"/>
      <c r="I274" s="307" t="n"/>
      <c r="J274" s="307" t="n"/>
      <c r="K274" s="307" t="n"/>
      <c r="L274" s="307" t="n"/>
      <c r="M274" s="307" t="n"/>
      <c r="N274" s="307" t="n"/>
      <c r="O274" s="307" t="n"/>
      <c r="P274" s="307" t="n"/>
      <c r="Q274" s="307" t="n"/>
      <c r="R274" s="307" t="n"/>
      <c r="S274" s="307" t="n"/>
      <c r="T274" s="307" t="n"/>
      <c r="U274" s="307" t="n"/>
      <c r="V274" s="307" t="n"/>
      <c r="W274" s="307" t="n"/>
      <c r="X274" s="307" t="n"/>
      <c r="Y274" s="307" t="n"/>
      <c r="Z274" s="307" t="n"/>
      <c r="AA274" s="307" t="n"/>
      <c r="AB274" s="307" t="n"/>
      <c r="AC274" s="307" t="n"/>
      <c r="AD274" s="307" t="n"/>
      <c r="AE274" s="307" t="n"/>
      <c r="AF274" s="307" t="n"/>
      <c r="AG274" s="307" t="n"/>
      <c r="AH274" s="307" t="n"/>
      <c r="AI274" s="307" t="n"/>
      <c r="AJ274" s="307" t="n"/>
      <c r="AK274" s="307" t="n"/>
      <c r="AL274" s="307" t="n"/>
      <c r="AM274" s="307" t="n"/>
      <c r="AN274" s="307" t="n"/>
      <c r="AO274" s="307" t="n"/>
      <c r="AP274" s="307" t="n"/>
      <c r="AQ274" s="307" t="n"/>
      <c r="AR274" s="307" t="n"/>
      <c r="AS274" s="307" t="n"/>
      <c r="AT274" s="307" t="n"/>
      <c r="AU274" s="307" t="n"/>
      <c r="AV274" s="307" t="n"/>
      <c r="AW274" s="307" t="n"/>
      <c r="AX274" s="307" t="n"/>
      <c r="AY274" s="307" t="n"/>
      <c r="AZ274" s="307" t="n"/>
      <c r="BA274" s="31" t="n"/>
      <c r="BB274" s="307" t="n"/>
      <c r="BC274" s="307" t="n"/>
      <c r="BD274" s="307" t="n"/>
      <c r="BE274" s="307" t="n"/>
      <c r="BF274" s="307" t="n"/>
      <c r="BG274" s="31" t="n"/>
      <c r="BH274" s="31" t="n"/>
      <c r="BI274" s="31" t="n"/>
      <c r="BJ274" s="31" t="n"/>
    </row>
    <row r="275" ht="15.75" customHeight="1" s="349">
      <c r="A275" s="31" t="n"/>
      <c r="B275" s="307" t="n"/>
      <c r="C275" s="307" t="n"/>
      <c r="D275" s="307" t="n"/>
      <c r="E275" s="307" t="n"/>
      <c r="F275" s="307" t="n"/>
      <c r="G275" s="307" t="n"/>
      <c r="H275" s="307" t="n"/>
      <c r="I275" s="307" t="n"/>
      <c r="J275" s="307" t="n"/>
      <c r="K275" s="307" t="n"/>
      <c r="L275" s="307" t="n"/>
      <c r="M275" s="307" t="n"/>
      <c r="N275" s="307" t="n"/>
      <c r="O275" s="307" t="n"/>
      <c r="P275" s="307" t="n"/>
      <c r="Q275" s="307" t="n"/>
      <c r="R275" s="307" t="n"/>
      <c r="S275" s="307" t="n"/>
      <c r="T275" s="307" t="n"/>
      <c r="U275" s="307" t="n"/>
      <c r="V275" s="307" t="n"/>
      <c r="W275" s="307" t="n"/>
      <c r="X275" s="307" t="n"/>
      <c r="Y275" s="307" t="n"/>
      <c r="Z275" s="307" t="n"/>
      <c r="AA275" s="307" t="n"/>
      <c r="AB275" s="307" t="n"/>
      <c r="AC275" s="307" t="n"/>
      <c r="AD275" s="307" t="n"/>
      <c r="AE275" s="307" t="n"/>
      <c r="AF275" s="307" t="n"/>
      <c r="AG275" s="307" t="n"/>
      <c r="AH275" s="307" t="n"/>
      <c r="AI275" s="307" t="n"/>
      <c r="AJ275" s="307" t="n"/>
      <c r="AK275" s="307" t="n"/>
      <c r="AL275" s="307" t="n"/>
      <c r="AM275" s="307" t="n"/>
      <c r="AN275" s="307" t="n"/>
      <c r="AO275" s="307" t="n"/>
      <c r="AP275" s="307" t="n"/>
      <c r="AQ275" s="307" t="n"/>
      <c r="AR275" s="307" t="n"/>
      <c r="AS275" s="307" t="n"/>
      <c r="AT275" s="307" t="n"/>
      <c r="AU275" s="307" t="n"/>
      <c r="AV275" s="307" t="n"/>
      <c r="AW275" s="307" t="n"/>
      <c r="AX275" s="307" t="n"/>
      <c r="AY275" s="307" t="n"/>
      <c r="AZ275" s="307" t="n"/>
      <c r="BA275" s="31" t="n"/>
      <c r="BB275" s="307" t="n"/>
      <c r="BC275" s="307" t="n"/>
      <c r="BD275" s="307" t="n"/>
      <c r="BE275" s="307" t="n"/>
      <c r="BF275" s="307" t="n"/>
      <c r="BG275" s="31" t="n"/>
      <c r="BH275" s="31" t="n"/>
      <c r="BI275" s="31" t="n"/>
      <c r="BJ275" s="31" t="n"/>
    </row>
    <row r="276" ht="15.75" customHeight="1" s="349">
      <c r="A276" s="31" t="n"/>
      <c r="B276" s="307" t="n"/>
      <c r="C276" s="307" t="n"/>
      <c r="D276" s="307" t="n"/>
      <c r="E276" s="307" t="n"/>
      <c r="F276" s="307" t="n"/>
      <c r="G276" s="307" t="n"/>
      <c r="H276" s="307" t="n"/>
      <c r="I276" s="307" t="n"/>
      <c r="J276" s="307" t="n"/>
      <c r="K276" s="307" t="n"/>
      <c r="L276" s="307" t="n"/>
      <c r="M276" s="307" t="n"/>
      <c r="N276" s="307" t="n"/>
      <c r="O276" s="307" t="n"/>
      <c r="P276" s="307" t="n"/>
      <c r="Q276" s="307" t="n"/>
      <c r="R276" s="307" t="n"/>
      <c r="S276" s="307" t="n"/>
      <c r="T276" s="307" t="n"/>
      <c r="U276" s="307" t="n"/>
      <c r="V276" s="307" t="n"/>
      <c r="W276" s="307" t="n"/>
      <c r="X276" s="307" t="n"/>
      <c r="Y276" s="307" t="n"/>
      <c r="Z276" s="307" t="n"/>
      <c r="AA276" s="307" t="n"/>
      <c r="AB276" s="307" t="n"/>
      <c r="AC276" s="307" t="n"/>
      <c r="AD276" s="307" t="n"/>
      <c r="AE276" s="307" t="n"/>
      <c r="AF276" s="307" t="n"/>
      <c r="AG276" s="307" t="n"/>
      <c r="AH276" s="307" t="n"/>
      <c r="AI276" s="307" t="n"/>
      <c r="AJ276" s="307" t="n"/>
      <c r="AK276" s="307" t="n"/>
      <c r="AL276" s="307" t="n"/>
      <c r="AM276" s="307" t="n"/>
      <c r="AN276" s="307" t="n"/>
      <c r="AO276" s="307" t="n"/>
      <c r="AP276" s="307" t="n"/>
      <c r="AQ276" s="307" t="n"/>
      <c r="AR276" s="307" t="n"/>
      <c r="AS276" s="307" t="n"/>
      <c r="AT276" s="307" t="n"/>
      <c r="AU276" s="307" t="n"/>
      <c r="AV276" s="307" t="n"/>
      <c r="AW276" s="307" t="n"/>
      <c r="AX276" s="307" t="n"/>
      <c r="AY276" s="307" t="n"/>
      <c r="AZ276" s="307" t="n"/>
      <c r="BA276" s="31" t="n"/>
      <c r="BB276" s="307" t="n"/>
      <c r="BC276" s="307" t="n"/>
      <c r="BD276" s="307" t="n"/>
      <c r="BE276" s="307" t="n"/>
      <c r="BF276" s="307" t="n"/>
      <c r="BG276" s="31" t="n"/>
      <c r="BH276" s="31" t="n"/>
      <c r="BI276" s="31" t="n"/>
      <c r="BJ276" s="31" t="n"/>
    </row>
    <row r="277" ht="15.75" customHeight="1" s="349">
      <c r="A277" s="31" t="n"/>
      <c r="B277" s="307" t="n"/>
      <c r="C277" s="307" t="n"/>
      <c r="D277" s="307" t="n"/>
      <c r="E277" s="307" t="n"/>
      <c r="F277" s="307" t="n"/>
      <c r="G277" s="307" t="n"/>
      <c r="H277" s="307" t="n"/>
      <c r="I277" s="307" t="n"/>
      <c r="J277" s="307" t="n"/>
      <c r="K277" s="307" t="n"/>
      <c r="L277" s="307" t="n"/>
      <c r="M277" s="307" t="n"/>
      <c r="N277" s="307" t="n"/>
      <c r="O277" s="307" t="n"/>
      <c r="P277" s="307" t="n"/>
      <c r="Q277" s="307" t="n"/>
      <c r="R277" s="307" t="n"/>
      <c r="S277" s="307" t="n"/>
      <c r="T277" s="307" t="n"/>
      <c r="U277" s="307" t="n"/>
      <c r="V277" s="307" t="n"/>
      <c r="W277" s="307" t="n"/>
      <c r="X277" s="307" t="n"/>
      <c r="Y277" s="307" t="n"/>
      <c r="Z277" s="307" t="n"/>
      <c r="AA277" s="307" t="n"/>
      <c r="AB277" s="307" t="n"/>
      <c r="AC277" s="307" t="n"/>
      <c r="AD277" s="307" t="n"/>
      <c r="AE277" s="307" t="n"/>
      <c r="AF277" s="307" t="n"/>
      <c r="AG277" s="307" t="n"/>
      <c r="AH277" s="307" t="n"/>
      <c r="AI277" s="307" t="n"/>
      <c r="AJ277" s="307" t="n"/>
      <c r="AK277" s="307" t="n"/>
      <c r="AL277" s="307" t="n"/>
      <c r="AM277" s="307" t="n"/>
      <c r="AN277" s="307" t="n"/>
      <c r="AO277" s="307" t="n"/>
      <c r="AP277" s="307" t="n"/>
      <c r="AQ277" s="307" t="n"/>
      <c r="AR277" s="307" t="n"/>
      <c r="AS277" s="307" t="n"/>
      <c r="AT277" s="307" t="n"/>
      <c r="AU277" s="307" t="n"/>
      <c r="AV277" s="307" t="n"/>
      <c r="AW277" s="307" t="n"/>
      <c r="AX277" s="307" t="n"/>
      <c r="AY277" s="307" t="n"/>
      <c r="AZ277" s="307" t="n"/>
      <c r="BA277" s="31" t="n"/>
      <c r="BB277" s="307" t="n"/>
      <c r="BC277" s="307" t="n"/>
      <c r="BD277" s="307" t="n"/>
      <c r="BE277" s="307" t="n"/>
      <c r="BF277" s="307" t="n"/>
      <c r="BG277" s="31" t="n"/>
      <c r="BH277" s="31" t="n"/>
      <c r="BI277" s="31" t="n"/>
      <c r="BJ277" s="31" t="n"/>
    </row>
    <row r="278" ht="15.75" customHeight="1" s="349">
      <c r="A278" s="31" t="n"/>
      <c r="B278" s="307" t="n"/>
      <c r="C278" s="307" t="n"/>
      <c r="D278" s="307" t="n"/>
      <c r="E278" s="307" t="n"/>
      <c r="F278" s="307" t="n"/>
      <c r="G278" s="307" t="n"/>
      <c r="H278" s="307" t="n"/>
      <c r="I278" s="307" t="n"/>
      <c r="J278" s="307" t="n"/>
      <c r="K278" s="307" t="n"/>
      <c r="L278" s="307" t="n"/>
      <c r="M278" s="307" t="n"/>
      <c r="N278" s="307" t="n"/>
      <c r="O278" s="307" t="n"/>
      <c r="P278" s="307" t="n"/>
      <c r="Q278" s="307" t="n"/>
      <c r="R278" s="307" t="n"/>
      <c r="S278" s="307" t="n"/>
      <c r="T278" s="307" t="n"/>
      <c r="U278" s="307" t="n"/>
      <c r="V278" s="307" t="n"/>
      <c r="W278" s="307" t="n"/>
      <c r="X278" s="307" t="n"/>
      <c r="Y278" s="307" t="n"/>
      <c r="Z278" s="307" t="n"/>
      <c r="AA278" s="307" t="n"/>
      <c r="AB278" s="307" t="n"/>
      <c r="AC278" s="307" t="n"/>
      <c r="AD278" s="307" t="n"/>
      <c r="AE278" s="307" t="n"/>
      <c r="AF278" s="307" t="n"/>
      <c r="AG278" s="307" t="n"/>
      <c r="AH278" s="307" t="n"/>
      <c r="AI278" s="307" t="n"/>
      <c r="AJ278" s="307" t="n"/>
      <c r="AK278" s="307" t="n"/>
      <c r="AL278" s="307" t="n"/>
      <c r="AM278" s="307" t="n"/>
      <c r="AN278" s="307" t="n"/>
      <c r="AO278" s="307" t="n"/>
      <c r="AP278" s="307" t="n"/>
      <c r="AQ278" s="307" t="n"/>
      <c r="AR278" s="307" t="n"/>
      <c r="AS278" s="307" t="n"/>
      <c r="AT278" s="307" t="n"/>
      <c r="AU278" s="307" t="n"/>
      <c r="AV278" s="307" t="n"/>
      <c r="AW278" s="307" t="n"/>
      <c r="AX278" s="307" t="n"/>
      <c r="AY278" s="307" t="n"/>
      <c r="AZ278" s="307" t="n"/>
      <c r="BA278" s="31" t="n"/>
      <c r="BB278" s="307" t="n"/>
      <c r="BC278" s="307" t="n"/>
      <c r="BD278" s="307" t="n"/>
      <c r="BE278" s="307" t="n"/>
      <c r="BF278" s="307" t="n"/>
      <c r="BG278" s="31" t="n"/>
      <c r="BH278" s="31" t="n"/>
      <c r="BI278" s="31" t="n"/>
      <c r="BJ278" s="31" t="n"/>
    </row>
    <row r="279" ht="15.75" customHeight="1" s="349">
      <c r="A279" s="31" t="n"/>
      <c r="B279" s="307" t="n"/>
      <c r="C279" s="307" t="n"/>
      <c r="D279" s="307" t="n"/>
      <c r="E279" s="307" t="n"/>
      <c r="F279" s="307" t="n"/>
      <c r="G279" s="307" t="n"/>
      <c r="H279" s="307" t="n"/>
      <c r="I279" s="307" t="n"/>
      <c r="J279" s="307" t="n"/>
      <c r="K279" s="307" t="n"/>
      <c r="L279" s="307" t="n"/>
      <c r="M279" s="307" t="n"/>
      <c r="N279" s="307" t="n"/>
      <c r="O279" s="307" t="n"/>
      <c r="P279" s="307" t="n"/>
      <c r="Q279" s="307" t="n"/>
      <c r="R279" s="307" t="n"/>
      <c r="S279" s="307" t="n"/>
      <c r="T279" s="307" t="n"/>
      <c r="U279" s="307" t="n"/>
      <c r="V279" s="307" t="n"/>
      <c r="W279" s="307" t="n"/>
      <c r="X279" s="307" t="n"/>
      <c r="Y279" s="307" t="n"/>
      <c r="Z279" s="307" t="n"/>
      <c r="AA279" s="307" t="n"/>
      <c r="AB279" s="307" t="n"/>
      <c r="AC279" s="307" t="n"/>
      <c r="AD279" s="307" t="n"/>
      <c r="AE279" s="307" t="n"/>
      <c r="AF279" s="307" t="n"/>
      <c r="AG279" s="307" t="n"/>
      <c r="AH279" s="307" t="n"/>
      <c r="AI279" s="307" t="n"/>
      <c r="AJ279" s="307" t="n"/>
      <c r="AK279" s="307" t="n"/>
      <c r="AL279" s="307" t="n"/>
      <c r="AM279" s="307" t="n"/>
      <c r="AN279" s="307" t="n"/>
      <c r="AO279" s="307" t="n"/>
      <c r="AP279" s="307" t="n"/>
      <c r="AQ279" s="307" t="n"/>
      <c r="AR279" s="307" t="n"/>
      <c r="AS279" s="307" t="n"/>
      <c r="AT279" s="307" t="n"/>
      <c r="AU279" s="307" t="n"/>
      <c r="AV279" s="307" t="n"/>
      <c r="AW279" s="307" t="n"/>
      <c r="AX279" s="307" t="n"/>
      <c r="AY279" s="307" t="n"/>
      <c r="AZ279" s="307" t="n"/>
      <c r="BA279" s="31" t="n"/>
      <c r="BB279" s="307" t="n"/>
      <c r="BC279" s="307" t="n"/>
      <c r="BD279" s="307" t="n"/>
      <c r="BE279" s="307" t="n"/>
      <c r="BF279" s="307" t="n"/>
      <c r="BG279" s="31" t="n"/>
      <c r="BH279" s="31" t="n"/>
      <c r="BI279" s="31" t="n"/>
      <c r="BJ279" s="31" t="n"/>
    </row>
    <row r="280" ht="15.75" customHeight="1" s="349">
      <c r="A280" s="31" t="n"/>
      <c r="B280" s="307" t="n"/>
      <c r="C280" s="307" t="n"/>
      <c r="D280" s="307" t="n"/>
      <c r="E280" s="307" t="n"/>
      <c r="F280" s="307" t="n"/>
      <c r="G280" s="307" t="n"/>
      <c r="H280" s="307" t="n"/>
      <c r="I280" s="307" t="n"/>
      <c r="J280" s="307" t="n"/>
      <c r="K280" s="307" t="n"/>
      <c r="L280" s="307" t="n"/>
      <c r="M280" s="307" t="n"/>
      <c r="N280" s="307" t="n"/>
      <c r="O280" s="307" t="n"/>
      <c r="P280" s="307" t="n"/>
      <c r="Q280" s="307" t="n"/>
      <c r="R280" s="307" t="n"/>
      <c r="S280" s="307" t="n"/>
      <c r="T280" s="307" t="n"/>
      <c r="U280" s="307" t="n"/>
      <c r="V280" s="307" t="n"/>
      <c r="W280" s="307" t="n"/>
      <c r="X280" s="307" t="n"/>
      <c r="Y280" s="307" t="n"/>
      <c r="Z280" s="307" t="n"/>
      <c r="AA280" s="307" t="n"/>
      <c r="AB280" s="307" t="n"/>
      <c r="AC280" s="307" t="n"/>
      <c r="AD280" s="307" t="n"/>
      <c r="AE280" s="307" t="n"/>
      <c r="AF280" s="307" t="n"/>
      <c r="AG280" s="307" t="n"/>
      <c r="AH280" s="307" t="n"/>
      <c r="AI280" s="307" t="n"/>
      <c r="AJ280" s="307" t="n"/>
      <c r="AK280" s="307" t="n"/>
      <c r="AL280" s="307" t="n"/>
      <c r="AM280" s="307" t="n"/>
      <c r="AN280" s="307" t="n"/>
      <c r="AO280" s="307" t="n"/>
      <c r="AP280" s="307" t="n"/>
      <c r="AQ280" s="307" t="n"/>
      <c r="AR280" s="307" t="n"/>
      <c r="AS280" s="307" t="n"/>
      <c r="AT280" s="307" t="n"/>
      <c r="AU280" s="307" t="n"/>
      <c r="AV280" s="307" t="n"/>
      <c r="AW280" s="307" t="n"/>
      <c r="AX280" s="307" t="n"/>
      <c r="AY280" s="307" t="n"/>
      <c r="AZ280" s="307" t="n"/>
      <c r="BA280" s="31" t="n"/>
      <c r="BB280" s="307" t="n"/>
      <c r="BC280" s="307" t="n"/>
      <c r="BD280" s="307" t="n"/>
      <c r="BE280" s="307" t="n"/>
      <c r="BF280" s="307" t="n"/>
      <c r="BG280" s="31" t="n"/>
      <c r="BH280" s="31" t="n"/>
      <c r="BI280" s="31" t="n"/>
      <c r="BJ280" s="31" t="n"/>
    </row>
    <row r="281" ht="15.75" customHeight="1" s="349">
      <c r="A281" s="31" t="n"/>
      <c r="B281" s="307" t="n"/>
      <c r="C281" s="307" t="n"/>
      <c r="D281" s="307" t="n"/>
      <c r="E281" s="307" t="n"/>
      <c r="F281" s="307" t="n"/>
      <c r="G281" s="307" t="n"/>
      <c r="H281" s="307" t="n"/>
      <c r="I281" s="307" t="n"/>
      <c r="J281" s="307" t="n"/>
      <c r="K281" s="307" t="n"/>
      <c r="L281" s="307" t="n"/>
      <c r="M281" s="307" t="n"/>
      <c r="N281" s="307" t="n"/>
      <c r="O281" s="307" t="n"/>
      <c r="P281" s="307" t="n"/>
      <c r="Q281" s="307" t="n"/>
      <c r="R281" s="307" t="n"/>
      <c r="S281" s="307" t="n"/>
      <c r="T281" s="307" t="n"/>
      <c r="U281" s="307" t="n"/>
      <c r="V281" s="307" t="n"/>
      <c r="W281" s="307" t="n"/>
      <c r="X281" s="307" t="n"/>
      <c r="Y281" s="307" t="n"/>
      <c r="Z281" s="307" t="n"/>
      <c r="AA281" s="307" t="n"/>
      <c r="AB281" s="307" t="n"/>
      <c r="AC281" s="307" t="n"/>
      <c r="AD281" s="307" t="n"/>
      <c r="AE281" s="307" t="n"/>
      <c r="AF281" s="307" t="n"/>
      <c r="AG281" s="307" t="n"/>
      <c r="AH281" s="307" t="n"/>
      <c r="AI281" s="307" t="n"/>
      <c r="AJ281" s="307" t="n"/>
      <c r="AK281" s="307" t="n"/>
      <c r="AL281" s="307" t="n"/>
      <c r="AM281" s="307" t="n"/>
      <c r="AN281" s="307" t="n"/>
      <c r="AO281" s="307" t="n"/>
      <c r="AP281" s="307" t="n"/>
      <c r="AQ281" s="307" t="n"/>
      <c r="AR281" s="307" t="n"/>
      <c r="AS281" s="307" t="n"/>
      <c r="AT281" s="307" t="n"/>
      <c r="AU281" s="307" t="n"/>
      <c r="AV281" s="307" t="n"/>
      <c r="AW281" s="307" t="n"/>
      <c r="AX281" s="307" t="n"/>
      <c r="AY281" s="307" t="n"/>
      <c r="AZ281" s="307" t="n"/>
      <c r="BA281" s="31" t="n"/>
      <c r="BB281" s="307" t="n"/>
      <c r="BC281" s="307" t="n"/>
      <c r="BD281" s="307" t="n"/>
      <c r="BE281" s="307" t="n"/>
      <c r="BF281" s="307" t="n"/>
      <c r="BG281" s="31" t="n"/>
      <c r="BH281" s="31" t="n"/>
      <c r="BI281" s="31" t="n"/>
      <c r="BJ281" s="31" t="n"/>
    </row>
    <row r="282" ht="15.75" customHeight="1" s="349">
      <c r="A282" s="31" t="n"/>
      <c r="B282" s="307" t="n"/>
      <c r="C282" s="307" t="n"/>
      <c r="D282" s="307" t="n"/>
      <c r="E282" s="307" t="n"/>
      <c r="F282" s="307" t="n"/>
      <c r="G282" s="307" t="n"/>
      <c r="H282" s="307" t="n"/>
      <c r="I282" s="307" t="n"/>
      <c r="J282" s="307" t="n"/>
      <c r="K282" s="307" t="n"/>
      <c r="L282" s="307" t="n"/>
      <c r="M282" s="307" t="n"/>
      <c r="N282" s="307" t="n"/>
      <c r="O282" s="307" t="n"/>
      <c r="P282" s="307" t="n"/>
      <c r="Q282" s="307" t="n"/>
      <c r="R282" s="307" t="n"/>
      <c r="S282" s="307" t="n"/>
      <c r="T282" s="307" t="n"/>
      <c r="U282" s="307" t="n"/>
      <c r="V282" s="307" t="n"/>
      <c r="W282" s="307" t="n"/>
      <c r="X282" s="307" t="n"/>
      <c r="Y282" s="307" t="n"/>
      <c r="Z282" s="307" t="n"/>
      <c r="AA282" s="307" t="n"/>
      <c r="AB282" s="307" t="n"/>
      <c r="AC282" s="307" t="n"/>
      <c r="AD282" s="307" t="n"/>
      <c r="AE282" s="307" t="n"/>
      <c r="AF282" s="307" t="n"/>
      <c r="AG282" s="307" t="n"/>
      <c r="AH282" s="307" t="n"/>
      <c r="AI282" s="307" t="n"/>
      <c r="AJ282" s="307" t="n"/>
      <c r="AK282" s="307" t="n"/>
      <c r="AL282" s="307" t="n"/>
      <c r="AM282" s="307" t="n"/>
      <c r="AN282" s="307" t="n"/>
      <c r="AO282" s="307" t="n"/>
      <c r="AP282" s="307" t="n"/>
      <c r="AQ282" s="307" t="n"/>
      <c r="AR282" s="307" t="n"/>
      <c r="AS282" s="307" t="n"/>
      <c r="AT282" s="307" t="n"/>
      <c r="AU282" s="307" t="n"/>
      <c r="AV282" s="307" t="n"/>
      <c r="AW282" s="307" t="n"/>
      <c r="AX282" s="307" t="n"/>
      <c r="AY282" s="307" t="n"/>
      <c r="AZ282" s="307" t="n"/>
      <c r="BA282" s="31" t="n"/>
      <c r="BB282" s="307" t="n"/>
      <c r="BC282" s="307" t="n"/>
      <c r="BD282" s="307" t="n"/>
      <c r="BE282" s="307" t="n"/>
      <c r="BF282" s="307" t="n"/>
      <c r="BG282" s="31" t="n"/>
      <c r="BH282" s="31" t="n"/>
      <c r="BI282" s="31" t="n"/>
      <c r="BJ282" s="31" t="n"/>
    </row>
    <row r="283" ht="15.75" customHeight="1" s="349">
      <c r="A283" s="31" t="n"/>
      <c r="B283" s="307" t="n"/>
      <c r="C283" s="307" t="n"/>
      <c r="D283" s="307" t="n"/>
      <c r="E283" s="307" t="n"/>
      <c r="F283" s="307" t="n"/>
      <c r="G283" s="307" t="n"/>
      <c r="H283" s="307" t="n"/>
      <c r="I283" s="307" t="n"/>
      <c r="J283" s="307" t="n"/>
      <c r="K283" s="307" t="n"/>
      <c r="L283" s="307" t="n"/>
      <c r="M283" s="307" t="n"/>
      <c r="N283" s="307" t="n"/>
      <c r="O283" s="307" t="n"/>
      <c r="P283" s="307" t="n"/>
      <c r="Q283" s="307" t="n"/>
      <c r="R283" s="307" t="n"/>
      <c r="S283" s="307" t="n"/>
      <c r="T283" s="307" t="n"/>
      <c r="U283" s="307" t="n"/>
      <c r="V283" s="307" t="n"/>
      <c r="W283" s="307" t="n"/>
      <c r="X283" s="307" t="n"/>
      <c r="Y283" s="307" t="n"/>
      <c r="Z283" s="307" t="n"/>
      <c r="AA283" s="307" t="n"/>
      <c r="AB283" s="307" t="n"/>
      <c r="AC283" s="307" t="n"/>
      <c r="AD283" s="307" t="n"/>
      <c r="AE283" s="307" t="n"/>
      <c r="AF283" s="307" t="n"/>
      <c r="AG283" s="307" t="n"/>
      <c r="AH283" s="307" t="n"/>
      <c r="AI283" s="307" t="n"/>
      <c r="AJ283" s="307" t="n"/>
      <c r="AK283" s="307" t="n"/>
      <c r="AL283" s="307" t="n"/>
      <c r="AM283" s="307" t="n"/>
      <c r="AN283" s="307" t="n"/>
      <c r="AO283" s="307" t="n"/>
      <c r="AP283" s="307" t="n"/>
      <c r="AQ283" s="307" t="n"/>
      <c r="AR283" s="307" t="n"/>
      <c r="AS283" s="307" t="n"/>
      <c r="AT283" s="307" t="n"/>
      <c r="AU283" s="307" t="n"/>
      <c r="AV283" s="307" t="n"/>
      <c r="AW283" s="307" t="n"/>
      <c r="AX283" s="307" t="n"/>
      <c r="AY283" s="307" t="n"/>
      <c r="AZ283" s="307" t="n"/>
      <c r="BA283" s="31" t="n"/>
      <c r="BB283" s="307" t="n"/>
      <c r="BC283" s="307" t="n"/>
      <c r="BD283" s="307" t="n"/>
      <c r="BE283" s="307" t="n"/>
      <c r="BF283" s="307" t="n"/>
      <c r="BG283" s="31" t="n"/>
      <c r="BH283" s="31" t="n"/>
      <c r="BI283" s="31" t="n"/>
      <c r="BJ283" s="31" t="n"/>
    </row>
    <row r="284" ht="15.75" customHeight="1" s="349">
      <c r="A284" s="31" t="n"/>
      <c r="B284" s="307" t="n"/>
      <c r="C284" s="307" t="n"/>
      <c r="D284" s="307" t="n"/>
      <c r="E284" s="307" t="n"/>
      <c r="F284" s="307" t="n"/>
      <c r="G284" s="307" t="n"/>
      <c r="H284" s="307" t="n"/>
      <c r="I284" s="307" t="n"/>
      <c r="J284" s="307" t="n"/>
      <c r="K284" s="307" t="n"/>
      <c r="L284" s="307" t="n"/>
      <c r="M284" s="307" t="n"/>
      <c r="N284" s="307" t="n"/>
      <c r="O284" s="307" t="n"/>
      <c r="P284" s="307" t="n"/>
      <c r="Q284" s="307" t="n"/>
      <c r="R284" s="307" t="n"/>
      <c r="S284" s="307" t="n"/>
      <c r="T284" s="307" t="n"/>
      <c r="U284" s="307" t="n"/>
      <c r="V284" s="307" t="n"/>
      <c r="W284" s="307" t="n"/>
      <c r="X284" s="307" t="n"/>
      <c r="Y284" s="307" t="n"/>
      <c r="Z284" s="307" t="n"/>
      <c r="AA284" s="307" t="n"/>
      <c r="AB284" s="307" t="n"/>
      <c r="AC284" s="307" t="n"/>
      <c r="AD284" s="307" t="n"/>
      <c r="AE284" s="307" t="n"/>
      <c r="AF284" s="307" t="n"/>
      <c r="AG284" s="307" t="n"/>
      <c r="AH284" s="307" t="n"/>
      <c r="AI284" s="307" t="n"/>
      <c r="AJ284" s="307" t="n"/>
      <c r="AK284" s="307" t="n"/>
      <c r="AL284" s="307" t="n"/>
      <c r="AM284" s="307" t="n"/>
      <c r="AN284" s="307" t="n"/>
      <c r="AO284" s="307" t="n"/>
      <c r="AP284" s="307" t="n"/>
      <c r="AQ284" s="307" t="n"/>
      <c r="AR284" s="307" t="n"/>
      <c r="AS284" s="307" t="n"/>
      <c r="AT284" s="307" t="n"/>
      <c r="AU284" s="307" t="n"/>
      <c r="AV284" s="307" t="n"/>
      <c r="AW284" s="307" t="n"/>
      <c r="AX284" s="307" t="n"/>
      <c r="AY284" s="307" t="n"/>
      <c r="AZ284" s="307" t="n"/>
      <c r="BA284" s="31" t="n"/>
      <c r="BB284" s="307" t="n"/>
      <c r="BC284" s="307" t="n"/>
      <c r="BD284" s="307" t="n"/>
      <c r="BE284" s="307" t="n"/>
      <c r="BF284" s="307" t="n"/>
      <c r="BG284" s="31" t="n"/>
      <c r="BH284" s="31" t="n"/>
      <c r="BI284" s="31" t="n"/>
      <c r="BJ284" s="31" t="n"/>
    </row>
    <row r="285" ht="15.75" customHeight="1" s="349">
      <c r="A285" s="31" t="n"/>
      <c r="B285" s="307" t="n"/>
      <c r="C285" s="307" t="n"/>
      <c r="D285" s="307" t="n"/>
      <c r="E285" s="307" t="n"/>
      <c r="F285" s="307" t="n"/>
      <c r="G285" s="307" t="n"/>
      <c r="H285" s="307" t="n"/>
      <c r="I285" s="307" t="n"/>
      <c r="J285" s="307" t="n"/>
      <c r="K285" s="307" t="n"/>
      <c r="L285" s="307" t="n"/>
      <c r="M285" s="307" t="n"/>
      <c r="N285" s="307" t="n"/>
      <c r="O285" s="307" t="n"/>
      <c r="P285" s="307" t="n"/>
      <c r="Q285" s="307" t="n"/>
      <c r="R285" s="307" t="n"/>
      <c r="S285" s="307" t="n"/>
      <c r="T285" s="307" t="n"/>
      <c r="U285" s="307" t="n"/>
      <c r="V285" s="307" t="n"/>
      <c r="W285" s="307" t="n"/>
      <c r="X285" s="307" t="n"/>
      <c r="Y285" s="307" t="n"/>
      <c r="Z285" s="307" t="n"/>
      <c r="AA285" s="307" t="n"/>
      <c r="AB285" s="307" t="n"/>
      <c r="AC285" s="307" t="n"/>
      <c r="AD285" s="307" t="n"/>
      <c r="AE285" s="307" t="n"/>
      <c r="AF285" s="307" t="n"/>
      <c r="AG285" s="307" t="n"/>
      <c r="AH285" s="307" t="n"/>
      <c r="AI285" s="307" t="n"/>
      <c r="AJ285" s="307" t="n"/>
      <c r="AK285" s="307" t="n"/>
      <c r="AL285" s="307" t="n"/>
      <c r="AM285" s="307" t="n"/>
      <c r="AN285" s="307" t="n"/>
      <c r="AO285" s="307" t="n"/>
      <c r="AP285" s="307" t="n"/>
      <c r="AQ285" s="307" t="n"/>
      <c r="AR285" s="307" t="n"/>
      <c r="AS285" s="307" t="n"/>
      <c r="AT285" s="307" t="n"/>
      <c r="AU285" s="307" t="n"/>
      <c r="AV285" s="307" t="n"/>
      <c r="AW285" s="307" t="n"/>
      <c r="AX285" s="307" t="n"/>
      <c r="AY285" s="307" t="n"/>
      <c r="AZ285" s="307" t="n"/>
      <c r="BA285" s="31" t="n"/>
      <c r="BB285" s="307" t="n"/>
      <c r="BC285" s="307" t="n"/>
      <c r="BD285" s="307" t="n"/>
      <c r="BE285" s="307" t="n"/>
      <c r="BF285" s="307" t="n"/>
      <c r="BG285" s="31" t="n"/>
      <c r="BH285" s="31" t="n"/>
      <c r="BI285" s="31" t="n"/>
      <c r="BJ285" s="31" t="n"/>
    </row>
    <row r="286" ht="15.75" customHeight="1" s="349">
      <c r="A286" s="31" t="n"/>
      <c r="B286" s="307" t="n"/>
      <c r="C286" s="307" t="n"/>
      <c r="D286" s="307" t="n"/>
      <c r="E286" s="307" t="n"/>
      <c r="F286" s="307" t="n"/>
      <c r="G286" s="307" t="n"/>
      <c r="H286" s="307" t="n"/>
      <c r="I286" s="307" t="n"/>
      <c r="J286" s="307" t="n"/>
      <c r="K286" s="307" t="n"/>
      <c r="L286" s="307" t="n"/>
      <c r="M286" s="307" t="n"/>
      <c r="N286" s="307" t="n"/>
      <c r="O286" s="307" t="n"/>
      <c r="P286" s="307" t="n"/>
      <c r="Q286" s="307" t="n"/>
      <c r="R286" s="307" t="n"/>
      <c r="S286" s="307" t="n"/>
      <c r="T286" s="307" t="n"/>
      <c r="U286" s="307" t="n"/>
      <c r="V286" s="307" t="n"/>
      <c r="W286" s="307" t="n"/>
      <c r="X286" s="307" t="n"/>
      <c r="Y286" s="307" t="n"/>
      <c r="Z286" s="307" t="n"/>
      <c r="AA286" s="307" t="n"/>
      <c r="AB286" s="307" t="n"/>
      <c r="AC286" s="307" t="n"/>
      <c r="AD286" s="307" t="n"/>
      <c r="AE286" s="307" t="n"/>
      <c r="AF286" s="307" t="n"/>
      <c r="AG286" s="307" t="n"/>
      <c r="AH286" s="307" t="n"/>
      <c r="AI286" s="307" t="n"/>
      <c r="AJ286" s="307" t="n"/>
      <c r="AK286" s="307" t="n"/>
      <c r="AL286" s="307" t="n"/>
      <c r="AM286" s="307" t="n"/>
      <c r="AN286" s="307" t="n"/>
      <c r="AO286" s="307" t="n"/>
      <c r="AP286" s="307" t="n"/>
      <c r="AQ286" s="307" t="n"/>
      <c r="AR286" s="307" t="n"/>
      <c r="AS286" s="307" t="n"/>
      <c r="AT286" s="307" t="n"/>
      <c r="AU286" s="307" t="n"/>
      <c r="AV286" s="307" t="n"/>
      <c r="AW286" s="307" t="n"/>
      <c r="AX286" s="307" t="n"/>
      <c r="AY286" s="307" t="n"/>
      <c r="AZ286" s="307" t="n"/>
      <c r="BA286" s="31" t="n"/>
      <c r="BB286" s="307" t="n"/>
      <c r="BC286" s="307" t="n"/>
      <c r="BD286" s="307" t="n"/>
      <c r="BE286" s="307" t="n"/>
      <c r="BF286" s="307" t="n"/>
      <c r="BG286" s="31" t="n"/>
      <c r="BH286" s="31" t="n"/>
      <c r="BI286" s="31" t="n"/>
      <c r="BJ286" s="31" t="n"/>
    </row>
    <row r="287" ht="15.75" customHeight="1" s="349">
      <c r="A287" s="31" t="n"/>
      <c r="B287" s="307" t="n"/>
      <c r="C287" s="307" t="n"/>
      <c r="D287" s="307" t="n"/>
      <c r="E287" s="307" t="n"/>
      <c r="F287" s="307" t="n"/>
      <c r="G287" s="307" t="n"/>
      <c r="H287" s="307" t="n"/>
      <c r="I287" s="307" t="n"/>
      <c r="J287" s="307" t="n"/>
      <c r="K287" s="307" t="n"/>
      <c r="L287" s="307" t="n"/>
      <c r="M287" s="307" t="n"/>
      <c r="N287" s="307" t="n"/>
      <c r="O287" s="307" t="n"/>
      <c r="P287" s="307" t="n"/>
      <c r="Q287" s="307" t="n"/>
      <c r="R287" s="307" t="n"/>
      <c r="S287" s="307" t="n"/>
      <c r="T287" s="307" t="n"/>
      <c r="U287" s="307" t="n"/>
      <c r="V287" s="307" t="n"/>
      <c r="W287" s="307" t="n"/>
      <c r="X287" s="307" t="n"/>
      <c r="Y287" s="307" t="n"/>
      <c r="Z287" s="307" t="n"/>
      <c r="AA287" s="307" t="n"/>
      <c r="AB287" s="307" t="n"/>
      <c r="AC287" s="307" t="n"/>
      <c r="AD287" s="307" t="n"/>
      <c r="AE287" s="307" t="n"/>
      <c r="AF287" s="307" t="n"/>
      <c r="AG287" s="307" t="n"/>
      <c r="AH287" s="307" t="n"/>
      <c r="AI287" s="307" t="n"/>
      <c r="AJ287" s="307" t="n"/>
      <c r="AK287" s="307" t="n"/>
      <c r="AL287" s="307" t="n"/>
      <c r="AM287" s="307" t="n"/>
      <c r="AN287" s="307" t="n"/>
      <c r="AO287" s="307" t="n"/>
      <c r="AP287" s="307" t="n"/>
      <c r="AQ287" s="307" t="n"/>
      <c r="AR287" s="307" t="n"/>
      <c r="AS287" s="307" t="n"/>
      <c r="AT287" s="307" t="n"/>
      <c r="AU287" s="307" t="n"/>
      <c r="AV287" s="307" t="n"/>
      <c r="AW287" s="307" t="n"/>
      <c r="AX287" s="307" t="n"/>
      <c r="AY287" s="307" t="n"/>
      <c r="AZ287" s="307" t="n"/>
      <c r="BA287" s="31" t="n"/>
      <c r="BB287" s="307" t="n"/>
      <c r="BC287" s="307" t="n"/>
      <c r="BD287" s="307" t="n"/>
      <c r="BE287" s="307" t="n"/>
      <c r="BF287" s="307" t="n"/>
      <c r="BG287" s="31" t="n"/>
      <c r="BH287" s="31" t="n"/>
      <c r="BI287" s="31" t="n"/>
      <c r="BJ287" s="31" t="n"/>
    </row>
    <row r="288" ht="15.75" customHeight="1" s="349">
      <c r="A288" s="31" t="n"/>
      <c r="B288" s="307" t="n"/>
      <c r="C288" s="307" t="n"/>
      <c r="D288" s="307" t="n"/>
      <c r="E288" s="307" t="n"/>
      <c r="F288" s="307" t="n"/>
      <c r="G288" s="307" t="n"/>
      <c r="H288" s="307" t="n"/>
      <c r="I288" s="307" t="n"/>
      <c r="J288" s="307" t="n"/>
      <c r="K288" s="307" t="n"/>
      <c r="L288" s="307" t="n"/>
      <c r="M288" s="307" t="n"/>
      <c r="N288" s="307" t="n"/>
      <c r="O288" s="307" t="n"/>
      <c r="P288" s="307" t="n"/>
      <c r="Q288" s="307" t="n"/>
      <c r="R288" s="307" t="n"/>
      <c r="S288" s="307" t="n"/>
      <c r="T288" s="307" t="n"/>
      <c r="U288" s="307" t="n"/>
      <c r="V288" s="307" t="n"/>
      <c r="W288" s="307" t="n"/>
      <c r="X288" s="307" t="n"/>
      <c r="Y288" s="307" t="n"/>
      <c r="Z288" s="307" t="n"/>
      <c r="AA288" s="307" t="n"/>
      <c r="AB288" s="307" t="n"/>
      <c r="AC288" s="307" t="n"/>
      <c r="AD288" s="307" t="n"/>
      <c r="AE288" s="307" t="n"/>
      <c r="AF288" s="307" t="n"/>
      <c r="AG288" s="307" t="n"/>
      <c r="AH288" s="307" t="n"/>
      <c r="AI288" s="307" t="n"/>
      <c r="AJ288" s="307" t="n"/>
      <c r="AK288" s="307" t="n"/>
      <c r="AL288" s="307" t="n"/>
      <c r="AM288" s="307" t="n"/>
      <c r="AN288" s="307" t="n"/>
      <c r="AO288" s="307" t="n"/>
      <c r="AP288" s="307" t="n"/>
      <c r="AQ288" s="307" t="n"/>
      <c r="AR288" s="307" t="n"/>
      <c r="AS288" s="307" t="n"/>
      <c r="AT288" s="307" t="n"/>
      <c r="AU288" s="307" t="n"/>
      <c r="AV288" s="307" t="n"/>
      <c r="AW288" s="307" t="n"/>
      <c r="AX288" s="307" t="n"/>
      <c r="AY288" s="307" t="n"/>
      <c r="AZ288" s="307" t="n"/>
      <c r="BA288" s="31" t="n"/>
      <c r="BB288" s="307" t="n"/>
      <c r="BC288" s="307" t="n"/>
      <c r="BD288" s="307" t="n"/>
      <c r="BE288" s="307" t="n"/>
      <c r="BF288" s="307" t="n"/>
      <c r="BG288" s="31" t="n"/>
      <c r="BH288" s="31" t="n"/>
      <c r="BI288" s="31" t="n"/>
      <c r="BJ288" s="31" t="n"/>
    </row>
    <row r="289" ht="15.75" customHeight="1" s="349">
      <c r="A289" s="31" t="n"/>
      <c r="B289" s="307" t="n"/>
      <c r="C289" s="307" t="n"/>
      <c r="D289" s="307" t="n"/>
      <c r="E289" s="307" t="n"/>
      <c r="F289" s="307" t="n"/>
      <c r="G289" s="307" t="n"/>
      <c r="H289" s="307" t="n"/>
      <c r="I289" s="307" t="n"/>
      <c r="J289" s="307" t="n"/>
      <c r="K289" s="307" t="n"/>
      <c r="L289" s="307" t="n"/>
      <c r="M289" s="307" t="n"/>
      <c r="N289" s="307" t="n"/>
      <c r="O289" s="307" t="n"/>
      <c r="P289" s="307" t="n"/>
      <c r="Q289" s="307" t="n"/>
      <c r="R289" s="307" t="n"/>
      <c r="S289" s="307" t="n"/>
      <c r="T289" s="307" t="n"/>
      <c r="U289" s="307" t="n"/>
      <c r="V289" s="307" t="n"/>
      <c r="W289" s="307" t="n"/>
      <c r="X289" s="307" t="n"/>
      <c r="Y289" s="307" t="n"/>
      <c r="Z289" s="307" t="n"/>
      <c r="AA289" s="307" t="n"/>
      <c r="AB289" s="307" t="n"/>
      <c r="AC289" s="307" t="n"/>
      <c r="AD289" s="307" t="n"/>
      <c r="AE289" s="307" t="n"/>
      <c r="AF289" s="307" t="n"/>
      <c r="AG289" s="307" t="n"/>
      <c r="AH289" s="307" t="n"/>
      <c r="AI289" s="307" t="n"/>
      <c r="AJ289" s="307" t="n"/>
      <c r="AK289" s="307" t="n"/>
      <c r="AL289" s="307" t="n"/>
      <c r="AM289" s="307" t="n"/>
      <c r="AN289" s="307" t="n"/>
      <c r="AO289" s="307" t="n"/>
      <c r="AP289" s="307" t="n"/>
      <c r="AQ289" s="307" t="n"/>
      <c r="AR289" s="307" t="n"/>
      <c r="AS289" s="307" t="n"/>
      <c r="AT289" s="307" t="n"/>
      <c r="AU289" s="307" t="n"/>
      <c r="AV289" s="307" t="n"/>
      <c r="AW289" s="307" t="n"/>
      <c r="AX289" s="307" t="n"/>
      <c r="AY289" s="307" t="n"/>
      <c r="AZ289" s="307" t="n"/>
      <c r="BA289" s="31" t="n"/>
      <c r="BB289" s="307" t="n"/>
      <c r="BC289" s="307" t="n"/>
      <c r="BD289" s="307" t="n"/>
      <c r="BE289" s="307" t="n"/>
      <c r="BF289" s="307" t="n"/>
      <c r="BG289" s="31" t="n"/>
      <c r="BH289" s="31" t="n"/>
      <c r="BI289" s="31" t="n"/>
      <c r="BJ289" s="31" t="n"/>
    </row>
    <row r="290" ht="15.75" customHeight="1" s="349">
      <c r="A290" s="31" t="n"/>
      <c r="B290" s="307" t="n"/>
      <c r="C290" s="307" t="n"/>
      <c r="D290" s="307" t="n"/>
      <c r="E290" s="307" t="n"/>
      <c r="F290" s="307" t="n"/>
      <c r="G290" s="307" t="n"/>
      <c r="H290" s="307" t="n"/>
      <c r="I290" s="307" t="n"/>
      <c r="J290" s="307" t="n"/>
      <c r="K290" s="307" t="n"/>
      <c r="L290" s="307" t="n"/>
      <c r="M290" s="307" t="n"/>
      <c r="N290" s="307" t="n"/>
      <c r="O290" s="307" t="n"/>
      <c r="P290" s="307" t="n"/>
      <c r="Q290" s="307" t="n"/>
      <c r="R290" s="307" t="n"/>
      <c r="S290" s="307" t="n"/>
      <c r="T290" s="307" t="n"/>
      <c r="U290" s="307" t="n"/>
      <c r="V290" s="307" t="n"/>
      <c r="W290" s="307" t="n"/>
      <c r="X290" s="307" t="n"/>
      <c r="Y290" s="307" t="n"/>
      <c r="Z290" s="307" t="n"/>
      <c r="AA290" s="307" t="n"/>
      <c r="AB290" s="307" t="n"/>
      <c r="AC290" s="307" t="n"/>
      <c r="AD290" s="307" t="n"/>
      <c r="AE290" s="307" t="n"/>
      <c r="AF290" s="307" t="n"/>
      <c r="AG290" s="307" t="n"/>
      <c r="AH290" s="307" t="n"/>
      <c r="AI290" s="307" t="n"/>
      <c r="AJ290" s="307" t="n"/>
      <c r="AK290" s="307" t="n"/>
      <c r="AL290" s="307" t="n"/>
      <c r="AM290" s="307" t="n"/>
      <c r="AN290" s="307" t="n"/>
      <c r="AO290" s="307" t="n"/>
      <c r="AP290" s="307" t="n"/>
      <c r="AQ290" s="307" t="n"/>
      <c r="AR290" s="307" t="n"/>
      <c r="AS290" s="307" t="n"/>
      <c r="AT290" s="307" t="n"/>
      <c r="AU290" s="307" t="n"/>
      <c r="AV290" s="307" t="n"/>
      <c r="AW290" s="307" t="n"/>
      <c r="AX290" s="307" t="n"/>
      <c r="AY290" s="307" t="n"/>
      <c r="AZ290" s="307" t="n"/>
      <c r="BA290" s="31" t="n"/>
      <c r="BB290" s="307" t="n"/>
      <c r="BC290" s="307" t="n"/>
      <c r="BD290" s="307" t="n"/>
      <c r="BE290" s="307" t="n"/>
      <c r="BF290" s="307" t="n"/>
      <c r="BG290" s="31" t="n"/>
      <c r="BH290" s="31" t="n"/>
      <c r="BI290" s="31" t="n"/>
      <c r="BJ290" s="31" t="n"/>
    </row>
    <row r="291" ht="15.75" customHeight="1" s="349">
      <c r="A291" s="31" t="n"/>
      <c r="B291" s="307" t="n"/>
      <c r="C291" s="307" t="n"/>
      <c r="D291" s="307" t="n"/>
      <c r="E291" s="307" t="n"/>
      <c r="F291" s="307" t="n"/>
      <c r="G291" s="307" t="n"/>
      <c r="H291" s="307" t="n"/>
      <c r="I291" s="307" t="n"/>
      <c r="J291" s="307" t="n"/>
      <c r="K291" s="307" t="n"/>
      <c r="L291" s="307" t="n"/>
      <c r="M291" s="307" t="n"/>
      <c r="N291" s="307" t="n"/>
      <c r="O291" s="307" t="n"/>
      <c r="P291" s="307" t="n"/>
      <c r="Q291" s="307" t="n"/>
      <c r="R291" s="307" t="n"/>
      <c r="S291" s="307" t="n"/>
      <c r="T291" s="307" t="n"/>
      <c r="U291" s="307" t="n"/>
      <c r="V291" s="307" t="n"/>
      <c r="W291" s="307" t="n"/>
      <c r="X291" s="307" t="n"/>
      <c r="Y291" s="307" t="n"/>
      <c r="Z291" s="307" t="n"/>
      <c r="AA291" s="307" t="n"/>
      <c r="AB291" s="307" t="n"/>
      <c r="AC291" s="307" t="n"/>
      <c r="AD291" s="307" t="n"/>
      <c r="AE291" s="307" t="n"/>
      <c r="AF291" s="307" t="n"/>
      <c r="AG291" s="307" t="n"/>
      <c r="AH291" s="307" t="n"/>
      <c r="AI291" s="307" t="n"/>
      <c r="AJ291" s="307" t="n"/>
      <c r="AK291" s="307" t="n"/>
      <c r="AL291" s="307" t="n"/>
      <c r="AM291" s="307" t="n"/>
      <c r="AN291" s="307" t="n"/>
      <c r="AO291" s="307" t="n"/>
      <c r="AP291" s="307" t="n"/>
      <c r="AQ291" s="307" t="n"/>
      <c r="AR291" s="307" t="n"/>
      <c r="AS291" s="307" t="n"/>
      <c r="AT291" s="307" t="n"/>
      <c r="AU291" s="307" t="n"/>
      <c r="AV291" s="307" t="n"/>
      <c r="AW291" s="307" t="n"/>
      <c r="AX291" s="307" t="n"/>
      <c r="AY291" s="307" t="n"/>
      <c r="AZ291" s="307" t="n"/>
      <c r="BA291" s="31" t="n"/>
      <c r="BB291" s="307" t="n"/>
      <c r="BC291" s="307" t="n"/>
      <c r="BD291" s="307" t="n"/>
      <c r="BE291" s="307" t="n"/>
      <c r="BF291" s="307" t="n"/>
      <c r="BG291" s="31" t="n"/>
      <c r="BH291" s="31" t="n"/>
      <c r="BI291" s="31" t="n"/>
      <c r="BJ291" s="31" t="n"/>
    </row>
    <row r="292" ht="15.75" customHeight="1" s="349"/>
    <row r="293" ht="15.75" customHeight="1" s="349"/>
    <row r="294" ht="15.75" customHeight="1" s="349"/>
    <row r="295" ht="15.75" customHeight="1" s="349"/>
    <row r="296" ht="15.75" customHeight="1" s="349"/>
    <row r="297" ht="15.75" customHeight="1" s="349"/>
    <row r="298" ht="15.75" customHeight="1" s="349"/>
    <row r="299" ht="15.75" customHeight="1" s="349"/>
    <row r="300" ht="15.75" customHeight="1" s="349"/>
    <row r="301" ht="15.75" customHeight="1" s="349"/>
    <row r="302" ht="15.75" customHeight="1" s="349"/>
    <row r="303" ht="15.75" customHeight="1" s="349"/>
    <row r="304" ht="15.75" customHeight="1" s="349"/>
    <row r="305" ht="15.75" customHeight="1" s="349"/>
    <row r="306" ht="15.75" customHeight="1" s="349"/>
    <row r="307" ht="15.75" customHeight="1" s="349"/>
    <row r="308" ht="15.75" customHeight="1" s="349"/>
    <row r="309" ht="15.75" customHeight="1" s="349"/>
    <row r="310" ht="15.75" customHeight="1" s="349"/>
    <row r="311" ht="15.75" customHeight="1" s="349"/>
    <row r="312" ht="15.75" customHeight="1" s="349"/>
    <row r="313" ht="15.75" customHeight="1" s="349"/>
    <row r="314" ht="15.75" customHeight="1" s="349"/>
    <row r="315" ht="15.75" customHeight="1" s="349"/>
    <row r="316" ht="15.75" customHeight="1" s="349"/>
    <row r="317" ht="15.75" customHeight="1" s="349"/>
    <row r="318" ht="15.75" customHeight="1" s="349"/>
    <row r="319" ht="15.75" customHeight="1" s="349"/>
    <row r="320" ht="15.75" customHeight="1" s="349"/>
    <row r="321" ht="15.75" customHeight="1" s="349"/>
    <row r="322" ht="15.75" customHeight="1" s="349"/>
    <row r="323" ht="15.75" customHeight="1" s="349"/>
    <row r="324" ht="15.75" customHeight="1" s="349"/>
    <row r="325" ht="15.75" customHeight="1" s="349"/>
    <row r="326" ht="15.75" customHeight="1" s="349"/>
    <row r="327" ht="15.75" customHeight="1" s="349"/>
    <row r="328" ht="15.75" customHeight="1" s="349"/>
    <row r="329" ht="15.75" customHeight="1" s="349"/>
    <row r="330" ht="15.75" customHeight="1" s="349"/>
    <row r="331" ht="15.75" customHeight="1" s="349"/>
    <row r="332" ht="15.75" customHeight="1" s="349"/>
    <row r="333" ht="15.75" customHeight="1" s="349"/>
    <row r="334" ht="15.75" customHeight="1" s="349"/>
    <row r="335" ht="15.75" customHeight="1" s="349"/>
    <row r="336" ht="15.75" customHeight="1" s="349"/>
    <row r="337" ht="15.75" customHeight="1" s="349"/>
    <row r="338" ht="15.75" customHeight="1" s="349"/>
    <row r="339" ht="15.75" customHeight="1" s="349"/>
    <row r="340" ht="15.75" customHeight="1" s="349"/>
    <row r="341" ht="15.75" customHeight="1" s="349"/>
    <row r="342" ht="15.75" customHeight="1" s="349"/>
    <row r="343" ht="15.75" customHeight="1" s="349"/>
    <row r="344" ht="15.75" customHeight="1" s="349"/>
    <row r="345" ht="15.75" customHeight="1" s="349"/>
    <row r="346" ht="15.75" customHeight="1" s="349"/>
    <row r="347" ht="15.75" customHeight="1" s="349"/>
    <row r="348" ht="15.75" customHeight="1" s="349"/>
    <row r="349" ht="15.75" customHeight="1" s="349"/>
    <row r="350" ht="15.75" customHeight="1" s="349"/>
    <row r="351" ht="15.75" customHeight="1" s="349"/>
    <row r="352" ht="15.75" customHeight="1" s="349"/>
    <row r="353" ht="15.75" customHeight="1" s="349"/>
    <row r="354" ht="15.75" customHeight="1" s="349"/>
    <row r="355" ht="15.75" customHeight="1" s="349"/>
    <row r="356" ht="15.75" customHeight="1" s="349"/>
    <row r="357" ht="15.75" customHeight="1" s="349"/>
    <row r="358" ht="15.75" customHeight="1" s="349"/>
    <row r="359" ht="15.75" customHeight="1" s="349"/>
    <row r="360" ht="15.75" customHeight="1" s="349"/>
    <row r="361" ht="15.75" customHeight="1" s="349"/>
    <row r="362" ht="15.75" customHeight="1" s="349"/>
    <row r="363" ht="15.75" customHeight="1" s="349"/>
    <row r="364" ht="15.75" customHeight="1" s="349"/>
    <row r="365" ht="15.75" customHeight="1" s="349"/>
    <row r="366" ht="15.75" customHeight="1" s="349"/>
    <row r="367" ht="15.75" customHeight="1" s="349"/>
    <row r="368" ht="15.75" customHeight="1" s="349"/>
    <row r="369" ht="15.75" customHeight="1" s="349"/>
    <row r="370" ht="15.75" customHeight="1" s="349"/>
    <row r="371" ht="15.75" customHeight="1" s="349"/>
    <row r="372" ht="15.75" customHeight="1" s="349"/>
    <row r="373" ht="15.75" customHeight="1" s="349"/>
    <row r="374" ht="15.75" customHeight="1" s="349"/>
    <row r="375" ht="15.75" customHeight="1" s="349"/>
    <row r="376" ht="15.75" customHeight="1" s="349"/>
    <row r="377" ht="15.75" customHeight="1" s="349"/>
    <row r="378" ht="15.75" customHeight="1" s="349"/>
    <row r="379" ht="15.75" customHeight="1" s="349"/>
    <row r="380" ht="15.75" customHeight="1" s="349"/>
    <row r="381" ht="15.75" customHeight="1" s="349"/>
    <row r="382" ht="15.75" customHeight="1" s="349"/>
    <row r="383" ht="15.75" customHeight="1" s="349"/>
    <row r="384" ht="15.75" customHeight="1" s="349"/>
    <row r="385" ht="15.75" customHeight="1" s="349"/>
    <row r="386" ht="15.75" customHeight="1" s="349"/>
    <row r="387" ht="15.75" customHeight="1" s="349"/>
    <row r="388" ht="15.75" customHeight="1" s="349"/>
    <row r="389" ht="15.75" customHeight="1" s="349"/>
    <row r="390" ht="15.75" customHeight="1" s="349"/>
    <row r="391" ht="15.75" customHeight="1" s="349"/>
    <row r="392" ht="15.75" customHeight="1" s="349"/>
    <row r="393" ht="15.75" customHeight="1" s="349"/>
    <row r="394" ht="15.75" customHeight="1" s="349"/>
    <row r="395" ht="15.75" customHeight="1" s="349"/>
    <row r="396" ht="15.75" customHeight="1" s="349"/>
    <row r="397" ht="15.75" customHeight="1" s="349"/>
    <row r="398" ht="15.75" customHeight="1" s="349"/>
    <row r="399" ht="15.75" customHeight="1" s="349"/>
    <row r="400" ht="15.75" customHeight="1" s="349"/>
    <row r="401" ht="15.75" customHeight="1" s="349"/>
    <row r="402" ht="15.75" customHeight="1" s="349"/>
    <row r="403" ht="15.75" customHeight="1" s="349"/>
    <row r="404" ht="15.75" customHeight="1" s="349"/>
    <row r="405" ht="15.75" customHeight="1" s="349"/>
    <row r="406" ht="15.75" customHeight="1" s="349"/>
    <row r="407" ht="15.75" customHeight="1" s="349"/>
    <row r="408" ht="15.75" customHeight="1" s="349"/>
    <row r="409" ht="15.75" customHeight="1" s="349"/>
    <row r="410" ht="15.75" customHeight="1" s="349"/>
    <row r="411" ht="15.75" customHeight="1" s="349"/>
    <row r="412" ht="15.75" customHeight="1" s="349"/>
    <row r="413" ht="15.75" customHeight="1" s="349"/>
    <row r="414" ht="15.75" customHeight="1" s="349"/>
    <row r="415" ht="15.75" customHeight="1" s="349"/>
    <row r="416" ht="15.75" customHeight="1" s="349"/>
    <row r="417" ht="15.75" customHeight="1" s="349"/>
    <row r="418" ht="15.75" customHeight="1" s="349"/>
    <row r="419" ht="15.75" customHeight="1" s="349"/>
    <row r="420" ht="15.75" customHeight="1" s="349"/>
    <row r="421" ht="15.75" customHeight="1" s="349"/>
    <row r="422" ht="15.75" customHeight="1" s="349"/>
    <row r="423" ht="15.75" customHeight="1" s="349"/>
    <row r="424" ht="15.75" customHeight="1" s="349"/>
    <row r="425" ht="15.75" customHeight="1" s="349"/>
    <row r="426" ht="15.75" customHeight="1" s="349"/>
    <row r="427" ht="15.75" customHeight="1" s="349"/>
    <row r="428" ht="15.75" customHeight="1" s="349"/>
    <row r="429" ht="15.75" customHeight="1" s="349"/>
    <row r="430" ht="15.75" customHeight="1" s="349"/>
    <row r="431" ht="15.75" customHeight="1" s="349"/>
    <row r="432" ht="15.75" customHeight="1" s="349"/>
    <row r="433" ht="15.75" customHeight="1" s="349"/>
    <row r="434" ht="15.75" customHeight="1" s="349"/>
    <row r="435" ht="15.75" customHeight="1" s="349"/>
    <row r="436" ht="15.75" customHeight="1" s="349"/>
    <row r="437" ht="15.75" customHeight="1" s="349"/>
    <row r="438" ht="15.75" customHeight="1" s="349"/>
    <row r="439" ht="15.75" customHeight="1" s="349"/>
    <row r="440" ht="15.75" customHeight="1" s="349"/>
    <row r="441" ht="15.75" customHeight="1" s="349"/>
    <row r="442" ht="15.75" customHeight="1" s="349"/>
    <row r="443" ht="15.75" customHeight="1" s="349"/>
    <row r="444" ht="15.75" customHeight="1" s="349"/>
    <row r="445" ht="15.75" customHeight="1" s="349"/>
    <row r="446" ht="15.75" customHeight="1" s="349"/>
    <row r="447" ht="15.75" customHeight="1" s="349"/>
    <row r="448" ht="15.75" customHeight="1" s="349"/>
    <row r="449" ht="15.75" customHeight="1" s="349"/>
    <row r="450" ht="15.75" customHeight="1" s="349"/>
    <row r="451" ht="15.75" customHeight="1" s="349"/>
    <row r="452" ht="15.75" customHeight="1" s="349"/>
    <row r="453" ht="15.75" customHeight="1" s="349"/>
    <row r="454" ht="15.75" customHeight="1" s="349"/>
    <row r="455" ht="15.75" customHeight="1" s="349"/>
    <row r="456" ht="15.75" customHeight="1" s="349"/>
    <row r="457" ht="15.75" customHeight="1" s="349"/>
    <row r="458" ht="15.75" customHeight="1" s="349"/>
    <row r="459" ht="15.75" customHeight="1" s="349"/>
    <row r="460" ht="15.75" customHeight="1" s="349"/>
    <row r="461" ht="15.75" customHeight="1" s="349"/>
    <row r="462" ht="15.75" customHeight="1" s="349"/>
    <row r="463" ht="15.75" customHeight="1" s="349"/>
    <row r="464" ht="15.75" customHeight="1" s="349"/>
    <row r="465" ht="15.75" customHeight="1" s="349"/>
    <row r="466" ht="15.75" customHeight="1" s="349"/>
    <row r="467" ht="15.75" customHeight="1" s="349"/>
    <row r="468" ht="15.75" customHeight="1" s="349"/>
    <row r="469" ht="15.75" customHeight="1" s="349"/>
    <row r="470" ht="15.75" customHeight="1" s="349"/>
    <row r="471" ht="15.75" customHeight="1" s="349"/>
    <row r="472" ht="15.75" customHeight="1" s="349"/>
    <row r="473" ht="15.75" customHeight="1" s="349"/>
    <row r="474" ht="15.75" customHeight="1" s="349"/>
    <row r="475" ht="15.75" customHeight="1" s="349"/>
    <row r="476" ht="15.75" customHeight="1" s="349"/>
    <row r="477" ht="15.75" customHeight="1" s="349"/>
    <row r="478" ht="15.75" customHeight="1" s="349"/>
    <row r="479" ht="15.75" customHeight="1" s="349"/>
    <row r="480" ht="15.75" customHeight="1" s="349"/>
    <row r="481" ht="15.75" customHeight="1" s="349"/>
    <row r="482" ht="15.75" customHeight="1" s="349"/>
    <row r="483" ht="15.75" customHeight="1" s="349"/>
    <row r="484" ht="15.75" customHeight="1" s="349"/>
    <row r="485" ht="15.75" customHeight="1" s="349"/>
    <row r="486" ht="15.75" customHeight="1" s="349"/>
    <row r="487" ht="15.75" customHeight="1" s="349"/>
    <row r="488" ht="15.75" customHeight="1" s="349"/>
    <row r="489" ht="15.75" customHeight="1" s="349"/>
    <row r="490" ht="15.75" customHeight="1" s="349"/>
    <row r="491" ht="15.75" customHeight="1" s="349"/>
    <row r="492" ht="15.75" customHeight="1" s="349"/>
    <row r="493" ht="15.75" customHeight="1" s="349"/>
    <row r="494" ht="15.75" customHeight="1" s="349"/>
    <row r="495" ht="15.75" customHeight="1" s="349"/>
    <row r="496" ht="15.75" customHeight="1" s="349"/>
    <row r="497" ht="15.75" customHeight="1" s="349"/>
    <row r="498" ht="15.75" customHeight="1" s="349"/>
    <row r="499" ht="15.75" customHeight="1" s="349"/>
    <row r="500" ht="15.75" customHeight="1" s="349"/>
    <row r="501" ht="15.75" customHeight="1" s="349"/>
    <row r="502" ht="15.75" customHeight="1" s="349"/>
    <row r="503" ht="15.75" customHeight="1" s="349"/>
    <row r="504" ht="15.75" customHeight="1" s="349"/>
    <row r="505" ht="15.75" customHeight="1" s="349"/>
    <row r="506" ht="15.75" customHeight="1" s="349"/>
    <row r="507" ht="15.75" customHeight="1" s="349"/>
    <row r="508" ht="15.75" customHeight="1" s="349"/>
    <row r="509" ht="15.75" customHeight="1" s="349"/>
    <row r="510" ht="15.75" customHeight="1" s="349"/>
    <row r="511" ht="15.75" customHeight="1" s="349"/>
    <row r="512" ht="15.75" customHeight="1" s="349"/>
    <row r="513" ht="15.75" customHeight="1" s="349"/>
    <row r="514" ht="15.75" customHeight="1" s="349"/>
    <row r="515" ht="15.75" customHeight="1" s="349"/>
    <row r="516" ht="15.75" customHeight="1" s="349"/>
    <row r="517" ht="15.75" customHeight="1" s="349"/>
    <row r="518" ht="15.75" customHeight="1" s="349"/>
    <row r="519" ht="15.75" customHeight="1" s="349"/>
    <row r="520" ht="15.75" customHeight="1" s="349"/>
    <row r="521" ht="15.75" customHeight="1" s="349"/>
    <row r="522" ht="15.75" customHeight="1" s="349"/>
    <row r="523" ht="15.75" customHeight="1" s="349"/>
    <row r="524" ht="15.75" customHeight="1" s="349"/>
    <row r="525" ht="15.75" customHeight="1" s="349"/>
    <row r="526" ht="15.75" customHeight="1" s="349"/>
    <row r="527" ht="15.75" customHeight="1" s="349"/>
    <row r="528" ht="15.75" customHeight="1" s="349"/>
    <row r="529" ht="15.75" customHeight="1" s="349"/>
    <row r="530" ht="15.75" customHeight="1" s="349"/>
    <row r="531" ht="15.75" customHeight="1" s="349"/>
    <row r="532" ht="15.75" customHeight="1" s="349"/>
    <row r="533" ht="15.75" customHeight="1" s="349"/>
    <row r="534" ht="15.75" customHeight="1" s="349"/>
    <row r="535" ht="15.75" customHeight="1" s="349"/>
    <row r="536" ht="15.75" customHeight="1" s="349"/>
    <row r="537" ht="15.75" customHeight="1" s="349"/>
    <row r="538" ht="15.75" customHeight="1" s="349"/>
    <row r="539" ht="15.75" customHeight="1" s="349"/>
    <row r="540" ht="15.75" customHeight="1" s="349"/>
    <row r="541" ht="15.75" customHeight="1" s="349"/>
    <row r="542" ht="15.75" customHeight="1" s="349"/>
    <row r="543" ht="15.75" customHeight="1" s="349"/>
    <row r="544" ht="15.75" customHeight="1" s="349"/>
    <row r="545" ht="15.75" customHeight="1" s="349"/>
    <row r="546" ht="15.75" customHeight="1" s="349"/>
    <row r="547" ht="15.75" customHeight="1" s="349"/>
    <row r="548" ht="15.75" customHeight="1" s="349"/>
    <row r="549" ht="15.75" customHeight="1" s="349"/>
    <row r="550" ht="15.75" customHeight="1" s="349"/>
    <row r="551" ht="15.75" customHeight="1" s="349"/>
    <row r="552" ht="15.75" customHeight="1" s="349"/>
    <row r="553" ht="15.75" customHeight="1" s="349"/>
    <row r="554" ht="15.75" customHeight="1" s="349"/>
    <row r="555" ht="15.75" customHeight="1" s="349"/>
    <row r="556" ht="15.75" customHeight="1" s="349"/>
    <row r="557" ht="15.75" customHeight="1" s="349"/>
    <row r="558" ht="15.75" customHeight="1" s="349"/>
    <row r="559" ht="15.75" customHeight="1" s="349"/>
    <row r="560" ht="15.75" customHeight="1" s="349"/>
    <row r="561" ht="15.75" customHeight="1" s="349"/>
    <row r="562" ht="15.75" customHeight="1" s="349"/>
    <row r="563" ht="15.75" customHeight="1" s="349"/>
    <row r="564" ht="15.75" customHeight="1" s="349"/>
    <row r="565" ht="15.75" customHeight="1" s="349"/>
    <row r="566" ht="15.75" customHeight="1" s="349"/>
    <row r="567" ht="15.75" customHeight="1" s="349"/>
    <row r="568" ht="15.75" customHeight="1" s="349"/>
    <row r="569" ht="15.75" customHeight="1" s="349"/>
    <row r="570" ht="15.75" customHeight="1" s="349"/>
    <row r="571" ht="15.75" customHeight="1" s="349"/>
    <row r="572" ht="15.75" customHeight="1" s="349"/>
    <row r="573" ht="15.75" customHeight="1" s="349"/>
    <row r="574" ht="15.75" customHeight="1" s="349"/>
    <row r="575" ht="15.75" customHeight="1" s="349"/>
    <row r="576" ht="15.75" customHeight="1" s="349"/>
    <row r="577" ht="15.75" customHeight="1" s="349"/>
    <row r="578" ht="15.75" customHeight="1" s="349"/>
    <row r="579" ht="15.75" customHeight="1" s="349"/>
    <row r="580" ht="15.75" customHeight="1" s="349"/>
    <row r="581" ht="15.75" customHeight="1" s="349"/>
    <row r="582" ht="15.75" customHeight="1" s="349"/>
    <row r="583" ht="15.75" customHeight="1" s="349"/>
    <row r="584" ht="15.75" customHeight="1" s="349"/>
    <row r="585" ht="15.75" customHeight="1" s="349"/>
    <row r="586" ht="15.75" customHeight="1" s="349"/>
    <row r="587" ht="15.75" customHeight="1" s="349"/>
    <row r="588" ht="15.75" customHeight="1" s="349"/>
    <row r="589" ht="15.75" customHeight="1" s="349"/>
    <row r="590" ht="15.75" customHeight="1" s="349"/>
    <row r="591" ht="15.75" customHeight="1" s="349"/>
    <row r="592" ht="15.75" customHeight="1" s="349"/>
    <row r="593" ht="15.75" customHeight="1" s="349"/>
    <row r="594" ht="15.75" customHeight="1" s="349"/>
    <row r="595" ht="15.75" customHeight="1" s="349"/>
    <row r="596" ht="15.75" customHeight="1" s="349"/>
    <row r="597" ht="15.75" customHeight="1" s="349"/>
    <row r="598" ht="15.75" customHeight="1" s="349"/>
    <row r="599" ht="15.75" customHeight="1" s="349"/>
    <row r="600" ht="15.75" customHeight="1" s="349"/>
    <row r="601" ht="15.75" customHeight="1" s="349"/>
    <row r="602" ht="15.75" customHeight="1" s="349"/>
    <row r="603" ht="15.75" customHeight="1" s="349"/>
    <row r="604" ht="15.75" customHeight="1" s="349"/>
    <row r="605" ht="15.75" customHeight="1" s="349"/>
    <row r="606" ht="15.75" customHeight="1" s="349"/>
    <row r="607" ht="15.75" customHeight="1" s="349"/>
    <row r="608" ht="15.75" customHeight="1" s="349"/>
    <row r="609" ht="15.75" customHeight="1" s="349"/>
    <row r="610" ht="15.75" customHeight="1" s="349"/>
    <row r="611" ht="15.75" customHeight="1" s="349"/>
    <row r="612" ht="15.75" customHeight="1" s="349"/>
    <row r="613" ht="15.75" customHeight="1" s="349"/>
    <row r="614" ht="15.75" customHeight="1" s="349"/>
    <row r="615" ht="15.75" customHeight="1" s="349"/>
    <row r="616" ht="15.75" customHeight="1" s="349"/>
    <row r="617" ht="15.75" customHeight="1" s="349"/>
    <row r="618" ht="15.75" customHeight="1" s="349"/>
    <row r="619" ht="15.75" customHeight="1" s="349"/>
    <row r="620" ht="15.75" customHeight="1" s="349"/>
    <row r="621" ht="15.75" customHeight="1" s="349"/>
    <row r="622" ht="15.75" customHeight="1" s="349"/>
    <row r="623" ht="15.75" customHeight="1" s="349"/>
    <row r="624" ht="15.75" customHeight="1" s="349"/>
    <row r="625" ht="15.75" customHeight="1" s="349"/>
    <row r="626" ht="15.75" customHeight="1" s="349"/>
    <row r="627" ht="15.75" customHeight="1" s="349"/>
    <row r="628" ht="15.75" customHeight="1" s="349"/>
    <row r="629" ht="15.75" customHeight="1" s="349"/>
    <row r="630" ht="15.75" customHeight="1" s="349"/>
    <row r="631" ht="15.75" customHeight="1" s="349"/>
    <row r="632" ht="15.75" customHeight="1" s="349"/>
    <row r="633" ht="15.75" customHeight="1" s="349"/>
    <row r="634" ht="15.75" customHeight="1" s="349"/>
    <row r="635" ht="15.75" customHeight="1" s="349"/>
    <row r="636" ht="15.75" customHeight="1" s="349"/>
    <row r="637" ht="15.75" customHeight="1" s="349"/>
    <row r="638" ht="15.75" customHeight="1" s="349"/>
    <row r="639" ht="15.75" customHeight="1" s="349"/>
    <row r="640" ht="15.75" customHeight="1" s="349"/>
    <row r="641" ht="15.75" customHeight="1" s="349"/>
    <row r="642" ht="15.75" customHeight="1" s="349"/>
    <row r="643" ht="15.75" customHeight="1" s="349"/>
    <row r="644" ht="15.75" customHeight="1" s="349"/>
    <row r="645" ht="15.75" customHeight="1" s="349"/>
    <row r="646" ht="15.75" customHeight="1" s="349"/>
    <row r="647" ht="15.75" customHeight="1" s="349"/>
    <row r="648" ht="15.75" customHeight="1" s="349"/>
    <row r="649" ht="15.75" customHeight="1" s="349"/>
    <row r="650" ht="15.75" customHeight="1" s="349"/>
    <row r="651" ht="15.75" customHeight="1" s="349"/>
    <row r="652" ht="15.75" customHeight="1" s="349"/>
    <row r="653" ht="15.75" customHeight="1" s="349"/>
    <row r="654" ht="15.75" customHeight="1" s="349"/>
    <row r="655" ht="15.75" customHeight="1" s="349"/>
    <row r="656" ht="15.75" customHeight="1" s="349"/>
    <row r="657" ht="15.75" customHeight="1" s="349"/>
    <row r="658" ht="15.75" customHeight="1" s="349"/>
    <row r="659" ht="15.75" customHeight="1" s="349"/>
    <row r="660" ht="15.75" customHeight="1" s="349"/>
    <row r="661" ht="15.75" customHeight="1" s="349"/>
    <row r="662" ht="15.75" customHeight="1" s="349"/>
    <row r="663" ht="15.75" customHeight="1" s="349"/>
    <row r="664" ht="15.75" customHeight="1" s="349"/>
    <row r="665" ht="15.75" customHeight="1" s="349"/>
    <row r="666" ht="15.75" customHeight="1" s="349"/>
    <row r="667" ht="15.75" customHeight="1" s="349"/>
    <row r="668" ht="15.75" customHeight="1" s="349"/>
    <row r="669" ht="15.75" customHeight="1" s="349"/>
    <row r="670" ht="15.75" customHeight="1" s="349"/>
    <row r="671" ht="15.75" customHeight="1" s="349"/>
    <row r="672" ht="15.75" customHeight="1" s="349"/>
    <row r="673" ht="15.75" customHeight="1" s="349"/>
    <row r="674" ht="15.75" customHeight="1" s="349"/>
    <row r="675" ht="15.75" customHeight="1" s="349"/>
    <row r="676" ht="15.75" customHeight="1" s="349"/>
    <row r="677" ht="15.75" customHeight="1" s="349"/>
    <row r="678" ht="15.75" customHeight="1" s="349"/>
    <row r="679" ht="15.75" customHeight="1" s="349"/>
    <row r="680" ht="15.75" customHeight="1" s="349"/>
    <row r="681" ht="15.75" customHeight="1" s="349"/>
    <row r="682" ht="15.75" customHeight="1" s="349"/>
    <row r="683" ht="15.75" customHeight="1" s="349"/>
    <row r="684" ht="15.75" customHeight="1" s="349"/>
    <row r="685" ht="15.75" customHeight="1" s="349"/>
    <row r="686" ht="15.75" customHeight="1" s="349"/>
    <row r="687" ht="15.75" customHeight="1" s="349"/>
    <row r="688" ht="15.75" customHeight="1" s="349"/>
    <row r="689" ht="15.75" customHeight="1" s="349"/>
    <row r="690" ht="15.75" customHeight="1" s="349"/>
    <row r="691" ht="15.75" customHeight="1" s="349"/>
    <row r="692" ht="15.75" customHeight="1" s="349"/>
    <row r="693" ht="15.75" customHeight="1" s="349"/>
    <row r="694" ht="15.75" customHeight="1" s="349"/>
    <row r="695" ht="15.75" customHeight="1" s="349"/>
    <row r="696" ht="15.75" customHeight="1" s="349"/>
    <row r="697" ht="15.75" customHeight="1" s="349"/>
    <row r="698" ht="15.75" customHeight="1" s="349"/>
    <row r="699" ht="15.75" customHeight="1" s="349"/>
    <row r="700" ht="15.75" customHeight="1" s="349"/>
    <row r="701" ht="15.75" customHeight="1" s="349"/>
    <row r="702" ht="15.75" customHeight="1" s="349"/>
    <row r="703" ht="15.75" customHeight="1" s="349"/>
    <row r="704" ht="15.75" customHeight="1" s="349"/>
    <row r="705" ht="15.75" customHeight="1" s="349"/>
    <row r="706" ht="15.75" customHeight="1" s="349"/>
    <row r="707" ht="15.75" customHeight="1" s="349"/>
    <row r="708" ht="15.75" customHeight="1" s="349"/>
    <row r="709" ht="15.75" customHeight="1" s="349"/>
    <row r="710" ht="15.75" customHeight="1" s="349"/>
    <row r="711" ht="15.75" customHeight="1" s="349"/>
    <row r="712" ht="15.75" customHeight="1" s="349"/>
    <row r="713" ht="15.75" customHeight="1" s="349"/>
    <row r="714" ht="15.75" customHeight="1" s="349"/>
    <row r="715" ht="15.75" customHeight="1" s="349"/>
    <row r="716" ht="15.75" customHeight="1" s="349"/>
    <row r="717" ht="15.75" customHeight="1" s="349"/>
    <row r="718" ht="15.75" customHeight="1" s="349"/>
    <row r="719" ht="15.75" customHeight="1" s="349"/>
    <row r="720" ht="15.75" customHeight="1" s="349"/>
    <row r="721" ht="15.75" customHeight="1" s="349"/>
    <row r="722" ht="15.75" customHeight="1" s="349"/>
    <row r="723" ht="15.75" customHeight="1" s="349"/>
    <row r="724" ht="15.75" customHeight="1" s="349"/>
    <row r="725" ht="15.75" customHeight="1" s="349"/>
    <row r="726" ht="15.75" customHeight="1" s="349"/>
    <row r="727" ht="15.75" customHeight="1" s="349"/>
    <row r="728" ht="15.75" customHeight="1" s="349"/>
    <row r="729" ht="15.75" customHeight="1" s="349"/>
    <row r="730" ht="15.75" customHeight="1" s="349"/>
    <row r="731" ht="15.75" customHeight="1" s="349"/>
    <row r="732" ht="15.75" customHeight="1" s="349"/>
    <row r="733" ht="15.75" customHeight="1" s="349"/>
    <row r="734" ht="15.75" customHeight="1" s="349"/>
    <row r="735" ht="15.75" customHeight="1" s="349"/>
    <row r="736" ht="15.75" customHeight="1" s="349"/>
    <row r="737" ht="15.75" customHeight="1" s="349"/>
    <row r="738" ht="15.75" customHeight="1" s="349"/>
    <row r="739" ht="15.75" customHeight="1" s="349"/>
    <row r="740" ht="15.75" customHeight="1" s="349"/>
    <row r="741" ht="15.75" customHeight="1" s="349"/>
    <row r="742" ht="15.75" customHeight="1" s="349"/>
    <row r="743" ht="15.75" customHeight="1" s="349"/>
    <row r="744" ht="15.75" customHeight="1" s="349"/>
    <row r="745" ht="15.75" customHeight="1" s="349"/>
    <row r="746" ht="15.75" customHeight="1" s="349"/>
    <row r="747" ht="15.75" customHeight="1" s="349"/>
    <row r="748" ht="15.75" customHeight="1" s="349"/>
    <row r="749" ht="15.75" customHeight="1" s="349"/>
    <row r="750" ht="15.75" customHeight="1" s="349"/>
    <row r="751" ht="15.75" customHeight="1" s="349"/>
    <row r="752" ht="15.75" customHeight="1" s="349"/>
    <row r="753" ht="15.75" customHeight="1" s="349"/>
    <row r="754" ht="15.75" customHeight="1" s="349"/>
    <row r="755" ht="15.75" customHeight="1" s="349"/>
    <row r="756" ht="15.75" customHeight="1" s="349"/>
    <row r="757" ht="15.75" customHeight="1" s="349"/>
    <row r="758" ht="15.75" customHeight="1" s="349"/>
    <row r="759" ht="15.75" customHeight="1" s="349"/>
    <row r="760" ht="15.75" customHeight="1" s="349"/>
    <row r="761" ht="15.75" customHeight="1" s="349"/>
    <row r="762" ht="15.75" customHeight="1" s="349"/>
    <row r="763" ht="15.75" customHeight="1" s="349"/>
    <row r="764" ht="15.75" customHeight="1" s="349"/>
    <row r="765" ht="15.75" customHeight="1" s="349"/>
    <row r="766" ht="15.75" customHeight="1" s="349"/>
    <row r="767" ht="15.75" customHeight="1" s="349"/>
    <row r="768" ht="15.75" customHeight="1" s="349"/>
    <row r="769" ht="15.75" customHeight="1" s="349"/>
    <row r="770" ht="15.75" customHeight="1" s="349"/>
    <row r="771" ht="15.75" customHeight="1" s="349"/>
    <row r="772" ht="15.75" customHeight="1" s="349"/>
    <row r="773" ht="15.75" customHeight="1" s="349"/>
    <row r="774" ht="15.75" customHeight="1" s="349"/>
    <row r="775" ht="15.75" customHeight="1" s="349"/>
    <row r="776" ht="15.75" customHeight="1" s="349"/>
    <row r="777" ht="15.75" customHeight="1" s="349"/>
    <row r="778" ht="15.75" customHeight="1" s="349"/>
    <row r="779" ht="15.75" customHeight="1" s="349"/>
    <row r="780" ht="15.75" customHeight="1" s="349"/>
    <row r="781" ht="15.75" customHeight="1" s="349"/>
    <row r="782" ht="15.75" customHeight="1" s="349"/>
    <row r="783" ht="15.75" customHeight="1" s="349"/>
    <row r="784" ht="15.75" customHeight="1" s="349"/>
    <row r="785" ht="15.75" customHeight="1" s="349"/>
    <row r="786" ht="15.75" customHeight="1" s="349"/>
    <row r="787" ht="15.75" customHeight="1" s="349"/>
    <row r="788" ht="15.75" customHeight="1" s="349"/>
    <row r="789" ht="15.75" customHeight="1" s="349"/>
    <row r="790" ht="15.75" customHeight="1" s="349"/>
    <row r="791" ht="15.75" customHeight="1" s="349"/>
    <row r="792" ht="15.75" customHeight="1" s="349"/>
    <row r="793" ht="15.75" customHeight="1" s="349"/>
    <row r="794" ht="15.75" customHeight="1" s="349"/>
    <row r="795" ht="15.75" customHeight="1" s="349"/>
    <row r="796" ht="15.75" customHeight="1" s="349"/>
    <row r="797" ht="15.75" customHeight="1" s="349"/>
    <row r="798" ht="15.75" customHeight="1" s="349"/>
    <row r="799" ht="15.75" customHeight="1" s="349"/>
    <row r="800" ht="15.75" customHeight="1" s="349"/>
    <row r="801" ht="15.75" customHeight="1" s="349"/>
    <row r="802" ht="15.75" customHeight="1" s="349"/>
    <row r="803" ht="15.75" customHeight="1" s="349"/>
    <row r="804" ht="15.75" customHeight="1" s="349"/>
    <row r="805" ht="15.75" customHeight="1" s="349"/>
    <row r="806" ht="15.75" customHeight="1" s="349"/>
    <row r="807" ht="15.75" customHeight="1" s="349"/>
    <row r="808" ht="15.75" customHeight="1" s="349"/>
    <row r="809" ht="15.75" customHeight="1" s="349"/>
    <row r="810" ht="15.75" customHeight="1" s="349"/>
    <row r="811" ht="15.75" customHeight="1" s="349"/>
    <row r="812" ht="15.75" customHeight="1" s="349"/>
    <row r="813" ht="15.75" customHeight="1" s="349"/>
    <row r="814" ht="15.75" customHeight="1" s="349"/>
    <row r="815" ht="15.75" customHeight="1" s="349"/>
    <row r="816" ht="15.75" customHeight="1" s="349"/>
    <row r="817" ht="15.75" customHeight="1" s="349"/>
    <row r="818" ht="15.75" customHeight="1" s="349"/>
    <row r="819" ht="15.75" customHeight="1" s="349"/>
    <row r="820" ht="15.75" customHeight="1" s="349"/>
    <row r="821" ht="15.75" customHeight="1" s="349"/>
    <row r="822" ht="15.75" customHeight="1" s="349"/>
    <row r="823" ht="15.75" customHeight="1" s="349"/>
    <row r="824" ht="15.75" customHeight="1" s="349"/>
    <row r="825" ht="15.75" customHeight="1" s="349"/>
    <row r="826" ht="15.75" customHeight="1" s="349"/>
    <row r="827" ht="15.75" customHeight="1" s="349"/>
    <row r="828" ht="15.75" customHeight="1" s="349"/>
    <row r="829" ht="15.75" customHeight="1" s="349"/>
    <row r="830" ht="15.75" customHeight="1" s="349"/>
    <row r="831" ht="15.75" customHeight="1" s="349"/>
    <row r="832" ht="15.75" customHeight="1" s="349"/>
    <row r="833" ht="15.75" customHeight="1" s="349"/>
    <row r="834" ht="15.75" customHeight="1" s="349"/>
    <row r="835" ht="15.75" customHeight="1" s="349"/>
    <row r="836" ht="15.75" customHeight="1" s="349"/>
    <row r="837" ht="15.75" customHeight="1" s="349"/>
    <row r="838" ht="15.75" customHeight="1" s="349"/>
    <row r="839" ht="15.75" customHeight="1" s="349"/>
    <row r="840" ht="15.75" customHeight="1" s="349"/>
    <row r="841" ht="15.75" customHeight="1" s="349"/>
    <row r="842" ht="15.75" customHeight="1" s="349"/>
    <row r="843" ht="15.75" customHeight="1" s="349"/>
    <row r="844" ht="15.75" customHeight="1" s="349"/>
    <row r="845" ht="15.75" customHeight="1" s="349"/>
    <row r="846" ht="15.75" customHeight="1" s="349"/>
    <row r="847" ht="15.75" customHeight="1" s="349"/>
    <row r="848" ht="15.75" customHeight="1" s="349"/>
    <row r="849" ht="15.75" customHeight="1" s="349"/>
    <row r="850" ht="15.75" customHeight="1" s="349"/>
    <row r="851" ht="15.75" customHeight="1" s="349"/>
    <row r="852" ht="15.75" customHeight="1" s="349"/>
    <row r="853" ht="15.75" customHeight="1" s="349"/>
    <row r="854" ht="15.75" customHeight="1" s="349"/>
    <row r="855" ht="15.75" customHeight="1" s="349"/>
    <row r="856" ht="15.75" customHeight="1" s="349"/>
    <row r="857" ht="15.75" customHeight="1" s="349"/>
    <row r="858" ht="15.75" customHeight="1" s="349"/>
    <row r="859" ht="15.75" customHeight="1" s="349"/>
    <row r="860" ht="15.75" customHeight="1" s="349"/>
    <row r="861" ht="15.75" customHeight="1" s="349"/>
    <row r="862" ht="15.75" customHeight="1" s="349"/>
    <row r="863" ht="15.75" customHeight="1" s="349"/>
    <row r="864" ht="15.75" customHeight="1" s="349"/>
    <row r="865" ht="15.75" customHeight="1" s="349"/>
    <row r="866" ht="15.75" customHeight="1" s="349"/>
    <row r="867" ht="15.75" customHeight="1" s="349"/>
    <row r="868" ht="15.75" customHeight="1" s="349"/>
    <row r="869" ht="15.75" customHeight="1" s="349"/>
    <row r="870" ht="15.75" customHeight="1" s="349"/>
    <row r="871" ht="15.75" customHeight="1" s="349"/>
    <row r="872" ht="15.75" customHeight="1" s="349"/>
    <row r="873" ht="15.75" customHeight="1" s="349"/>
    <row r="874" ht="15.75" customHeight="1" s="349"/>
    <row r="875" ht="15.75" customHeight="1" s="349"/>
    <row r="876" ht="15.75" customHeight="1" s="349"/>
    <row r="877" ht="15.75" customHeight="1" s="349"/>
    <row r="878" ht="15.75" customHeight="1" s="349"/>
    <row r="879" ht="15.75" customHeight="1" s="349"/>
    <row r="880" ht="15.75" customHeight="1" s="349"/>
    <row r="881" ht="15.75" customHeight="1" s="349"/>
    <row r="882" ht="15.75" customHeight="1" s="349"/>
    <row r="883" ht="15.75" customHeight="1" s="349"/>
    <row r="884" ht="15.75" customHeight="1" s="349"/>
    <row r="885" ht="15.75" customHeight="1" s="349"/>
    <row r="886" ht="15.75" customHeight="1" s="349"/>
    <row r="887" ht="15.75" customHeight="1" s="349"/>
    <row r="888" ht="15.75" customHeight="1" s="349"/>
    <row r="889" ht="15.75" customHeight="1" s="349"/>
    <row r="890" ht="15.75" customHeight="1" s="349"/>
    <row r="891" ht="15.75" customHeight="1" s="349"/>
    <row r="892" ht="15.75" customHeight="1" s="349"/>
    <row r="893" ht="15.75" customHeight="1" s="349"/>
    <row r="894" ht="15.75" customHeight="1" s="349"/>
    <row r="895" ht="15.75" customHeight="1" s="349"/>
    <row r="896" ht="15.75" customHeight="1" s="349"/>
    <row r="897" ht="15.75" customHeight="1" s="349"/>
    <row r="898" ht="15.75" customHeight="1" s="349"/>
    <row r="899" ht="15.75" customHeight="1" s="349"/>
    <row r="900" ht="15.75" customHeight="1" s="349"/>
    <row r="901" ht="15.75" customHeight="1" s="349"/>
    <row r="902" ht="15.75" customHeight="1" s="349"/>
    <row r="903" ht="15.75" customHeight="1" s="349"/>
    <row r="904" ht="15.75" customHeight="1" s="349"/>
    <row r="905" ht="15.75" customHeight="1" s="349"/>
    <row r="906" ht="15.75" customHeight="1" s="349"/>
    <row r="907" ht="15.75" customHeight="1" s="349"/>
    <row r="908" ht="15.75" customHeight="1" s="349"/>
    <row r="909" ht="15.75" customHeight="1" s="349"/>
    <row r="910" ht="15.75" customHeight="1" s="349"/>
    <row r="911" ht="15.75" customHeight="1" s="349"/>
    <row r="912" ht="15.75" customHeight="1" s="349"/>
    <row r="913" ht="15.75" customHeight="1" s="349"/>
    <row r="914" ht="15.75" customHeight="1" s="349"/>
    <row r="915" ht="15.75" customHeight="1" s="349"/>
    <row r="916" ht="15.75" customHeight="1" s="349"/>
    <row r="917" ht="15.75" customHeight="1" s="349"/>
    <row r="918" ht="15.75" customHeight="1" s="349"/>
    <row r="919" ht="15.75" customHeight="1" s="349"/>
    <row r="920" ht="15.75" customHeight="1" s="349"/>
    <row r="921" ht="15.75" customHeight="1" s="349"/>
    <row r="922" ht="15.75" customHeight="1" s="349"/>
    <row r="923" ht="15.75" customHeight="1" s="349"/>
    <row r="924" ht="15.75" customHeight="1" s="349"/>
    <row r="925" ht="15.75" customHeight="1" s="349"/>
    <row r="926" ht="15.75" customHeight="1" s="349"/>
    <row r="927" ht="15.75" customHeight="1" s="349"/>
    <row r="928" ht="15.75" customHeight="1" s="349"/>
    <row r="929" ht="15.75" customHeight="1" s="349"/>
    <row r="930" ht="15.75" customHeight="1" s="349"/>
    <row r="931" ht="15.75" customHeight="1" s="349"/>
    <row r="932" ht="15.75" customHeight="1" s="349"/>
    <row r="933" ht="15.75" customHeight="1" s="349"/>
    <row r="934" ht="15.75" customHeight="1" s="349"/>
    <row r="935" ht="15.75" customHeight="1" s="349"/>
    <row r="936" ht="15.75" customHeight="1" s="349"/>
    <row r="937" ht="15.75" customHeight="1" s="349"/>
    <row r="938" ht="15.75" customHeight="1" s="349"/>
    <row r="939" ht="15.75" customHeight="1" s="349"/>
    <row r="940" ht="15.75" customHeight="1" s="349"/>
    <row r="941" ht="15.75" customHeight="1" s="349"/>
    <row r="942" ht="15.75" customHeight="1" s="349"/>
    <row r="943" ht="15.75" customHeight="1" s="349"/>
    <row r="944" ht="15.75" customHeight="1" s="349"/>
    <row r="945" ht="15.75" customHeight="1" s="349"/>
    <row r="946" ht="15.75" customHeight="1" s="349"/>
    <row r="947" ht="15.75" customHeight="1" s="349"/>
    <row r="948" ht="15.75" customHeight="1" s="349"/>
    <row r="949" ht="15.75" customHeight="1" s="349"/>
    <row r="950" ht="15.75" customHeight="1" s="349"/>
    <row r="951" ht="15.75" customHeight="1" s="349"/>
    <row r="952" ht="15.75" customHeight="1" s="349"/>
    <row r="953" ht="15.75" customHeight="1" s="349"/>
    <row r="954" ht="15.75" customHeight="1" s="349"/>
    <row r="955" ht="15.75" customHeight="1" s="349"/>
    <row r="956" ht="15.75" customHeight="1" s="349"/>
    <row r="957" ht="15.75" customHeight="1" s="349"/>
    <row r="958" ht="15.75" customHeight="1" s="349"/>
    <row r="959" ht="15.75" customHeight="1" s="349"/>
    <row r="960" ht="15.75" customHeight="1" s="349"/>
    <row r="961" ht="15.75" customHeight="1" s="349"/>
    <row r="962" ht="15.75" customHeight="1" s="349"/>
    <row r="963" ht="15.75" customHeight="1" s="349"/>
    <row r="964" ht="15.75" customHeight="1" s="349"/>
    <row r="965" ht="15.75" customHeight="1" s="349"/>
    <row r="966" ht="15.75" customHeight="1" s="349"/>
    <row r="967" ht="15.75" customHeight="1" s="349"/>
    <row r="968" ht="15.75" customHeight="1" s="349"/>
    <row r="969" ht="15.75" customHeight="1" s="349"/>
    <row r="970" ht="15.75" customHeight="1" s="349"/>
    <row r="971" ht="15.75" customHeight="1" s="349"/>
    <row r="972" ht="15.75" customHeight="1" s="349"/>
    <row r="973" ht="15.75" customHeight="1" s="349"/>
    <row r="974" ht="15.75" customHeight="1" s="349"/>
    <row r="975" ht="15.75" customHeight="1" s="349"/>
    <row r="976" ht="15.75" customHeight="1" s="349"/>
    <row r="977" ht="15.75" customHeight="1" s="349"/>
    <row r="978" ht="15.75" customHeight="1" s="349"/>
    <row r="979" ht="15.75" customHeight="1" s="349"/>
    <row r="980" ht="15.75" customHeight="1" s="349"/>
    <row r="981" ht="15.75" customHeight="1" s="349"/>
    <row r="982" ht="15.75" customHeight="1" s="349"/>
    <row r="983" ht="15.75" customHeight="1" s="349"/>
    <row r="984" ht="15.75" customHeight="1" s="349"/>
    <row r="985" ht="15.75" customHeight="1" s="349"/>
    <row r="986" ht="15.75" customHeight="1" s="349"/>
    <row r="987" ht="15.75" customHeight="1" s="349"/>
    <row r="988" ht="15.75" customHeight="1" s="349"/>
    <row r="989" ht="15.75" customHeight="1" s="349"/>
    <row r="990" ht="15.75" customHeight="1" s="349"/>
    <row r="991" ht="15.75" customHeight="1" s="349"/>
    <row r="992" ht="15.75" customHeight="1" s="349"/>
    <row r="993" ht="15.75" customHeight="1" s="349"/>
    <row r="994" ht="15.75" customHeight="1" s="349"/>
    <row r="995" ht="15.75" customHeight="1" s="349"/>
    <row r="996" ht="15.75" customHeight="1" s="349"/>
    <row r="997" ht="15.75" customHeight="1" s="349"/>
    <row r="998" ht="15.75" customHeight="1" s="349"/>
    <row r="999" ht="15.75" customHeight="1" s="349"/>
    <row r="1000" ht="15.75" customHeight="1" s="349"/>
    <row r="1001" ht="15.75" customHeight="1" s="349"/>
    <row r="1002" ht="15.75" customHeight="1" s="349"/>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BJ234"/>
  <sheetViews>
    <sheetView showGridLines="0" workbookViewId="0">
      <pane xSplit="4" topLeftCell="E1" activePane="topRight" state="frozen"/>
      <selection pane="topRight" activeCell="F2" sqref="F2"/>
    </sheetView>
  </sheetViews>
  <sheetFormatPr baseColWidth="8" defaultColWidth="14.43" defaultRowHeight="15" customHeight="1"/>
  <cols>
    <col width="2" customWidth="1" style="349" min="1" max="1"/>
    <col width="32" customWidth="1" style="349" min="2" max="2"/>
    <col width="21.43" customWidth="1" style="349" min="3" max="3"/>
    <col width="5" customWidth="1" style="349" min="4" max="4"/>
    <col hidden="1" outlineLevel="1" width="9.710000000000001" customWidth="1" style="349" min="5" max="5"/>
    <col hidden="1" outlineLevel="1" width="9.57" customWidth="1" style="349" min="6" max="6"/>
    <col hidden="1" outlineLevel="1" width="9.859999999999999" customWidth="1" style="349" min="7" max="7"/>
    <col hidden="1" outlineLevel="1" width="9.43" customWidth="1" style="349" min="8" max="8"/>
    <col hidden="1" outlineLevel="1" width="10" customWidth="1" style="349" min="9" max="9"/>
    <col hidden="1" outlineLevel="1" width="9.710000000000001" customWidth="1" style="349" min="10" max="10"/>
    <col hidden="1" outlineLevel="1" width="9.140000000000001" customWidth="1" style="349" min="11" max="11"/>
    <col hidden="1" outlineLevel="1" width="9.859999999999999" customWidth="1" style="349" min="12" max="13"/>
    <col hidden="1" outlineLevel="1" width="9.57" customWidth="1" style="349" min="14" max="14"/>
    <col hidden="1" outlineLevel="1" width="9.859999999999999" customWidth="1" style="349" min="15" max="16"/>
    <col width="9.710000000000001" customWidth="1" style="349" min="17" max="17"/>
    <col width="9.57" customWidth="1" style="349" min="18" max="18"/>
    <col width="9.710000000000001" customWidth="1" style="349" min="19" max="19"/>
    <col width="9.43" customWidth="1" style="349" min="20" max="20"/>
    <col width="10" customWidth="1" style="349" min="21" max="21"/>
    <col width="9.710000000000001" customWidth="1" style="349" min="22" max="22"/>
    <col width="9.140000000000001" customWidth="1" style="349" min="23" max="23"/>
    <col width="9.859999999999999" customWidth="1" style="349" min="24" max="25"/>
    <col width="9.57" customWidth="1" style="349" min="26" max="26"/>
    <col width="9.859999999999999" customWidth="1" style="349" min="27" max="28"/>
    <col width="9.43" customWidth="1" style="349" min="29" max="30"/>
    <col width="9.57" customWidth="1" style="349" min="31" max="31"/>
    <col width="9.289999999999999" customWidth="1" style="349" min="32" max="32"/>
    <col width="9.859999999999999" customWidth="1" style="349" min="33" max="33"/>
    <col width="9.57" customWidth="1" style="349" min="34" max="34"/>
    <col width="10.57" customWidth="1" style="349" min="35" max="35"/>
    <col width="10.29" customWidth="1" style="349" min="36" max="36"/>
    <col width="10.57" customWidth="1" style="349" min="37" max="37"/>
    <col width="10.86" customWidth="1" style="349" min="38" max="38"/>
    <col width="10.43" customWidth="1" style="349" min="39" max="39"/>
    <col width="10.14" customWidth="1" style="349" min="40" max="40"/>
    <col width="10.43" customWidth="1" style="349" min="41" max="41"/>
    <col width="10.14" customWidth="1" style="349" min="42" max="42"/>
    <col width="10.86" customWidth="1" style="349" min="43" max="43"/>
    <col width="10.71" customWidth="1" style="349" min="44" max="45"/>
    <col width="10.86" customWidth="1" style="349" min="46" max="46"/>
    <col width="10.57" customWidth="1" style="349" min="47" max="48"/>
    <col width="10.86" customWidth="1" style="349" min="49" max="52"/>
    <col width="7.57" customWidth="1" style="349" min="54" max="54"/>
    <col width="8.43" customWidth="1" style="349" min="55" max="55"/>
    <col width="11.43" customWidth="1" style="349" min="56" max="56"/>
    <col width="12.14" customWidth="1" style="349" min="57" max="57"/>
    <col width="12.71" customWidth="1" style="349" min="58" max="58"/>
    <col width="43" customWidth="1" style="349" min="60" max="60"/>
  </cols>
  <sheetData>
    <row r="1" ht="15.75" customHeight="1" s="349">
      <c r="A1" s="9" t="inlineStr">
        <is>
          <t> </t>
        </is>
      </c>
      <c r="B1" s="8" t="inlineStr">
        <is>
          <t>Tarnoc B.V. — Revenue Forecast (€, ex VAT unless noted)</t>
        </is>
      </c>
      <c r="C1" s="13" t="n"/>
      <c r="D1" s="13" t="n"/>
      <c r="E1" s="13" t="n"/>
      <c r="F1" s="13" t="n"/>
      <c r="G1" s="13" t="n"/>
      <c r="H1" s="13" t="n"/>
      <c r="I1" s="13" t="n"/>
      <c r="J1" s="13" t="n"/>
      <c r="K1" s="13" t="n"/>
      <c r="L1" s="13" t="n"/>
      <c r="M1" s="13" t="n"/>
      <c r="N1" s="13" t="n"/>
      <c r="O1" s="13" t="n"/>
      <c r="P1" s="13" t="n"/>
      <c r="Q1" s="13" t="n"/>
      <c r="R1" s="13" t="n"/>
      <c r="S1" s="13" t="n"/>
      <c r="T1" s="13" t="n"/>
      <c r="U1" s="13" t="n"/>
      <c r="V1" s="13" t="n"/>
      <c r="W1" s="13" t="n"/>
      <c r="X1" s="13" t="n"/>
      <c r="Y1" s="13" t="n"/>
      <c r="Z1" s="13" t="n"/>
      <c r="AA1" s="13" t="n"/>
      <c r="AB1" s="13" t="n"/>
      <c r="AC1" s="13" t="n"/>
      <c r="AD1" s="13" t="n"/>
      <c r="AE1" s="13" t="n"/>
      <c r="AF1" s="13" t="n"/>
      <c r="AG1" s="13" t="n"/>
      <c r="AH1" s="13" t="n"/>
      <c r="AI1" s="13" t="n"/>
      <c r="AJ1" s="13" t="n"/>
      <c r="AK1" s="13" t="n"/>
      <c r="AL1" s="13" t="n"/>
      <c r="AM1" s="13" t="n"/>
      <c r="AN1" s="13" t="n"/>
      <c r="AO1" s="18" t="n"/>
      <c r="AP1" s="18" t="n"/>
      <c r="AQ1" s="18" t="n"/>
      <c r="AR1" s="18" t="n"/>
      <c r="AS1" s="18" t="n"/>
      <c r="AT1" s="18" t="n"/>
      <c r="AU1" s="18" t="n"/>
      <c r="AV1" s="18" t="n"/>
      <c r="AW1" s="18" t="n"/>
      <c r="AX1" s="18" t="n"/>
      <c r="AY1" s="18" t="n"/>
      <c r="AZ1" s="18" t="n"/>
      <c r="BA1" s="307" t="n"/>
      <c r="BB1" s="9" t="n"/>
      <c r="BC1" s="78" t="n"/>
      <c r="BD1" s="78" t="n"/>
      <c r="BE1" s="78" t="n"/>
      <c r="BF1" s="78" t="n"/>
      <c r="BG1" s="31" t="n"/>
      <c r="BH1" s="31" t="n"/>
      <c r="BI1" s="31" t="n"/>
      <c r="BJ1" s="31" t="n"/>
    </row>
    <row r="2" ht="13.5" customHeight="1" s="349">
      <c r="A2" s="37" t="n"/>
      <c r="B2" s="95" t="n"/>
      <c r="C2" s="95" t="n"/>
      <c r="D2" s="95" t="n"/>
      <c r="E2" s="38" t="inlineStr">
        <is>
          <t>2025</t>
        </is>
      </c>
      <c r="F2" s="38" t="n"/>
      <c r="G2" s="38" t="n"/>
      <c r="H2" s="38" t="n"/>
      <c r="I2" s="38" t="n"/>
      <c r="J2" s="38" t="n"/>
      <c r="K2" s="38" t="n"/>
      <c r="L2" s="38" t="n"/>
      <c r="M2" s="38" t="n"/>
      <c r="N2" s="38" t="n"/>
      <c r="O2" s="38" t="n"/>
      <c r="P2" s="38" t="n"/>
      <c r="Q2" s="38" t="inlineStr">
        <is>
          <t>2026</t>
        </is>
      </c>
      <c r="R2" s="38" t="n"/>
      <c r="S2" s="38" t="n"/>
      <c r="T2" s="38" t="n"/>
      <c r="U2" s="38" t="n"/>
      <c r="V2" s="38" t="n"/>
      <c r="W2" s="38" t="n"/>
      <c r="X2" s="38" t="n"/>
      <c r="Y2" s="38" t="n"/>
      <c r="Z2" s="38" t="n"/>
      <c r="AA2" s="38" t="n"/>
      <c r="AB2" s="38" t="n"/>
      <c r="AC2" s="38" t="inlineStr">
        <is>
          <t>2027</t>
        </is>
      </c>
      <c r="AD2" s="38" t="n"/>
      <c r="AE2" s="38" t="n"/>
      <c r="AF2" s="38" t="n"/>
      <c r="AG2" s="38" t="n"/>
      <c r="AH2" s="38" t="n"/>
      <c r="AI2" s="38" t="n"/>
      <c r="AJ2" s="38" t="n"/>
      <c r="AK2" s="38" t="n"/>
      <c r="AL2" s="38" t="n"/>
      <c r="AM2" s="38" t="n"/>
      <c r="AN2" s="38" t="n"/>
      <c r="AO2" s="38" t="inlineStr">
        <is>
          <t>2028</t>
        </is>
      </c>
      <c r="AP2" s="38" t="n"/>
      <c r="AQ2" s="38" t="n"/>
      <c r="AR2" s="38" t="n"/>
      <c r="AS2" s="38" t="n"/>
      <c r="AT2" s="38" t="n"/>
      <c r="AU2" s="38" t="n"/>
      <c r="AV2" s="38" t="n"/>
      <c r="AW2" s="38" t="n"/>
      <c r="AX2" s="38" t="n"/>
      <c r="AY2" s="38" t="n"/>
      <c r="AZ2" s="38" t="n"/>
      <c r="BA2" s="98" t="n"/>
      <c r="BB2" s="38" t="n"/>
      <c r="BC2" s="38" t="n"/>
      <c r="BD2" s="38" t="n"/>
      <c r="BE2" s="38" t="n"/>
      <c r="BF2" s="38" t="n"/>
      <c r="BG2" s="100" t="n"/>
      <c r="BH2" s="100" t="n"/>
      <c r="BI2" s="100" t="n"/>
      <c r="BJ2" s="100" t="n"/>
    </row>
    <row r="3" ht="13.5" customHeight="1" s="349">
      <c r="A3" s="37" t="n"/>
      <c r="B3" s="95" t="n"/>
      <c r="C3" s="95" t="n"/>
      <c r="D3" s="95" t="n"/>
      <c r="E3" s="55" t="n">
        <v>45658</v>
      </c>
      <c r="F3" s="55" t="n">
        <v>45689</v>
      </c>
      <c r="G3" s="55" t="n">
        <v>45717</v>
      </c>
      <c r="H3" s="55" t="n">
        <v>45748</v>
      </c>
      <c r="I3" s="55" t="n">
        <v>45778</v>
      </c>
      <c r="J3" s="55" t="n">
        <v>45809</v>
      </c>
      <c r="K3" s="55" t="n">
        <v>45839</v>
      </c>
      <c r="L3" s="55" t="n">
        <v>45870</v>
      </c>
      <c r="M3" s="55" t="n">
        <v>45901</v>
      </c>
      <c r="N3" s="55" t="n">
        <v>45931</v>
      </c>
      <c r="O3" s="55" t="n">
        <v>45962</v>
      </c>
      <c r="P3" s="55" t="n">
        <v>45992</v>
      </c>
      <c r="Q3" s="55" t="n">
        <v>46023</v>
      </c>
      <c r="R3" s="55" t="n">
        <v>46054</v>
      </c>
      <c r="S3" s="55" t="n">
        <v>46082</v>
      </c>
      <c r="T3" s="55" t="n">
        <v>46113</v>
      </c>
      <c r="U3" s="55" t="n">
        <v>46143</v>
      </c>
      <c r="V3" s="55" t="n">
        <v>46174</v>
      </c>
      <c r="W3" s="55" t="n">
        <v>46204</v>
      </c>
      <c r="X3" s="55" t="n">
        <v>46235</v>
      </c>
      <c r="Y3" s="55" t="n">
        <v>46266</v>
      </c>
      <c r="Z3" s="55" t="n">
        <v>46296</v>
      </c>
      <c r="AA3" s="55" t="n">
        <v>46327</v>
      </c>
      <c r="AB3" s="55" t="n">
        <v>46357</v>
      </c>
      <c r="AC3" s="55" t="n">
        <v>46388</v>
      </c>
      <c r="AD3" s="55" t="n">
        <v>46419</v>
      </c>
      <c r="AE3" s="55" t="n">
        <v>46447</v>
      </c>
      <c r="AF3" s="55" t="n">
        <v>46478</v>
      </c>
      <c r="AG3" s="55" t="n">
        <v>46508</v>
      </c>
      <c r="AH3" s="55" t="n">
        <v>46539</v>
      </c>
      <c r="AI3" s="55" t="n">
        <v>46569</v>
      </c>
      <c r="AJ3" s="55" t="n">
        <v>46600</v>
      </c>
      <c r="AK3" s="55" t="n">
        <v>46631</v>
      </c>
      <c r="AL3" s="55" t="n">
        <v>46661</v>
      </c>
      <c r="AM3" s="55" t="n">
        <v>46692</v>
      </c>
      <c r="AN3" s="55" t="n">
        <v>46722</v>
      </c>
      <c r="AO3" s="55" t="n">
        <v>46753</v>
      </c>
      <c r="AP3" s="55" t="n">
        <v>46784</v>
      </c>
      <c r="AQ3" s="55" t="n">
        <v>46813</v>
      </c>
      <c r="AR3" s="55" t="n">
        <v>46844</v>
      </c>
      <c r="AS3" s="55" t="n">
        <v>46874</v>
      </c>
      <c r="AT3" s="55" t="n">
        <v>46905</v>
      </c>
      <c r="AU3" s="55" t="n">
        <v>46935</v>
      </c>
      <c r="AV3" s="55" t="n">
        <v>46966</v>
      </c>
      <c r="AW3" s="55" t="n">
        <v>46997</v>
      </c>
      <c r="AX3" s="55" t="n">
        <v>47027</v>
      </c>
      <c r="AY3" s="55" t="n">
        <v>47058</v>
      </c>
      <c r="AZ3" s="55" t="n">
        <v>47088</v>
      </c>
      <c r="BA3" s="98" t="n"/>
      <c r="BB3" s="38" t="n">
        <v>2025</v>
      </c>
      <c r="BC3" s="38" t="n">
        <v>2026</v>
      </c>
      <c r="BD3" s="38" t="n">
        <v>2027</v>
      </c>
      <c r="BE3" s="38" t="n">
        <v>2028</v>
      </c>
      <c r="BF3" s="38" t="n">
        <v>2029</v>
      </c>
      <c r="BG3" s="53" t="n"/>
      <c r="BH3" s="40" t="inlineStr">
        <is>
          <t>what this row does</t>
        </is>
      </c>
      <c r="BI3" s="53" t="n"/>
      <c r="BJ3" s="53" t="n"/>
    </row>
    <row r="4">
      <c r="A4" s="307" t="n"/>
      <c r="B4" s="307" t="n"/>
      <c r="C4" s="307" t="n"/>
      <c r="D4" s="307" t="n"/>
      <c r="E4" s="233" t="n"/>
      <c r="F4" s="233" t="n"/>
      <c r="G4" s="233" t="n"/>
      <c r="H4" s="233" t="n"/>
      <c r="I4" s="233" t="n"/>
      <c r="J4" s="233" t="n"/>
      <c r="K4" s="233" t="n"/>
      <c r="L4" s="233" t="n"/>
      <c r="M4" s="233" t="n"/>
      <c r="N4" s="233" t="n"/>
      <c r="O4" s="233" t="n"/>
      <c r="P4" s="233" t="n"/>
      <c r="Q4" s="233" t="n"/>
      <c r="R4" s="233" t="n"/>
      <c r="S4" s="233" t="n"/>
      <c r="T4" s="233" t="n"/>
      <c r="U4" s="233" t="n"/>
      <c r="V4" s="233" t="n"/>
      <c r="W4" s="233" t="n"/>
      <c r="X4" s="233" t="n"/>
      <c r="Y4" s="233" t="n"/>
      <c r="Z4" s="233" t="n"/>
      <c r="AA4" s="233" t="n"/>
      <c r="AB4" s="102" t="n">
        <v>2</v>
      </c>
      <c r="AC4" s="102" t="n">
        <v>3</v>
      </c>
      <c r="AD4" s="102" t="n">
        <v>4</v>
      </c>
      <c r="AE4" s="102" t="n">
        <v>5</v>
      </c>
      <c r="AF4" s="102" t="n">
        <v>6</v>
      </c>
      <c r="AG4" s="102" t="n">
        <v>7</v>
      </c>
      <c r="AH4" s="102" t="n">
        <v>8</v>
      </c>
      <c r="AI4" s="102" t="n">
        <v>9</v>
      </c>
      <c r="AJ4" s="102" t="n">
        <v>10</v>
      </c>
      <c r="AK4" s="102" t="n">
        <v>11</v>
      </c>
      <c r="AL4" s="102" t="n">
        <v>12</v>
      </c>
      <c r="AM4" s="102" t="n">
        <v>13</v>
      </c>
      <c r="AN4" s="102" t="n">
        <v>14</v>
      </c>
      <c r="AO4" s="102" t="n">
        <v>15</v>
      </c>
      <c r="AP4" s="102" t="n">
        <v>16</v>
      </c>
      <c r="AQ4" s="102" t="n">
        <v>17</v>
      </c>
      <c r="AR4" s="102" t="n">
        <v>18</v>
      </c>
      <c r="AS4" s="102" t="n">
        <v>19</v>
      </c>
      <c r="AT4" s="102" t="n">
        <v>20</v>
      </c>
      <c r="AU4" s="102" t="n">
        <v>21</v>
      </c>
      <c r="AV4" s="102" t="n">
        <v>22</v>
      </c>
      <c r="AW4" s="102" t="n">
        <v>23</v>
      </c>
      <c r="AX4" s="102" t="n">
        <v>24</v>
      </c>
      <c r="AY4" s="102" t="n">
        <v>25</v>
      </c>
      <c r="AZ4" s="102" t="n">
        <v>26</v>
      </c>
      <c r="BA4" s="233" t="n"/>
      <c r="BB4" s="233" t="n"/>
      <c r="BC4" s="233" t="n"/>
      <c r="BD4" s="233" t="n"/>
      <c r="BE4" s="233" t="n"/>
      <c r="BF4" s="233" t="n"/>
      <c r="BG4" s="226" t="n"/>
      <c r="BH4" s="40" t="n"/>
      <c r="BI4" s="226" t="n"/>
      <c r="BJ4" s="226" t="n"/>
    </row>
    <row r="5" ht="13.5" customHeight="1" s="349">
      <c r="A5" s="104" t="n"/>
      <c r="B5" s="105" t="inlineStr">
        <is>
          <t>TURBINEKETEL (TTK)</t>
        </is>
      </c>
      <c r="C5" s="104" t="n"/>
      <c r="D5" s="104" t="n"/>
      <c r="E5" s="80" t="n"/>
      <c r="F5" s="80" t="n"/>
      <c r="G5" s="80" t="n"/>
      <c r="H5" s="80" t="n"/>
      <c r="I5" s="80" t="n"/>
      <c r="J5" s="80" t="n"/>
      <c r="K5" s="80" t="n"/>
      <c r="L5" s="80" t="n"/>
      <c r="M5" s="80" t="n"/>
      <c r="N5" s="80" t="n"/>
      <c r="O5" s="80" t="n"/>
      <c r="P5" s="80" t="n"/>
      <c r="Q5" s="80" t="n"/>
      <c r="R5" s="80" t="n"/>
      <c r="S5" s="80" t="n"/>
      <c r="T5" s="80" t="n"/>
      <c r="U5" s="80" t="n"/>
      <c r="V5" s="80" t="n"/>
      <c r="W5" s="80" t="n"/>
      <c r="X5" s="80" t="n"/>
      <c r="Y5" s="80" t="n"/>
      <c r="Z5" s="80" t="n"/>
      <c r="AA5" s="80" t="n"/>
      <c r="AB5" s="80" t="n"/>
      <c r="AC5" s="80" t="n"/>
      <c r="AD5" s="80" t="n"/>
      <c r="AE5" s="80" t="n"/>
      <c r="AF5" s="80" t="n"/>
      <c r="AG5" s="80" t="n"/>
      <c r="AH5" s="80" t="n"/>
      <c r="AI5" s="80" t="n"/>
      <c r="AJ5" s="80" t="n"/>
      <c r="AK5" s="80" t="n"/>
      <c r="AL5" s="80" t="n"/>
      <c r="AM5" s="80" t="n"/>
      <c r="AN5" s="80" t="n"/>
      <c r="AO5" s="80" t="n"/>
      <c r="AP5" s="80" t="n"/>
      <c r="AQ5" s="80" t="n"/>
      <c r="AR5" s="80" t="n"/>
      <c r="AS5" s="80" t="n"/>
      <c r="AT5" s="80" t="n"/>
      <c r="AU5" s="80" t="n"/>
      <c r="AV5" s="80" t="n"/>
      <c r="AW5" s="80" t="n"/>
      <c r="AX5" s="80" t="n"/>
      <c r="AY5" s="80" t="n"/>
      <c r="AZ5" s="80" t="n"/>
      <c r="BA5" s="233" t="n"/>
      <c r="BB5" s="80" t="n"/>
      <c r="BC5" s="85" t="n"/>
      <c r="BD5" s="85" t="n"/>
      <c r="BE5" s="85" t="n"/>
      <c r="BF5" s="85" t="n"/>
      <c r="BG5" s="226" t="n"/>
      <c r="BH5" s="40" t="n"/>
      <c r="BI5" s="226" t="n"/>
      <c r="BJ5" s="226" t="n"/>
    </row>
    <row r="6" ht="15" customHeight="1" s="349">
      <c r="A6" s="108" t="n"/>
      <c r="B6" s="108" t="inlineStr">
        <is>
          <t>TTK units sold</t>
        </is>
      </c>
      <c r="C6" s="108" t="n"/>
      <c r="D6" s="108" t="inlineStr">
        <is>
          <t>#</t>
        </is>
      </c>
      <c r="E6" s="108" t="n"/>
      <c r="F6" s="108" t="n"/>
      <c r="G6" s="108" t="n"/>
      <c r="H6" s="108" t="n"/>
      <c r="I6" s="108" t="n"/>
      <c r="J6" s="108" t="n"/>
      <c r="K6" s="108" t="n"/>
      <c r="L6" s="108" t="n"/>
      <c r="M6" s="108" t="n"/>
      <c r="N6" s="108" t="n"/>
      <c r="O6" s="108" t="n"/>
      <c r="P6" s="108" t="n"/>
      <c r="Q6" s="108">
        <f t="array" ref="Q6">IF(YEAR(Q$3)=2026,0,ROUND(EXP((LN(Assumptions!$E$23/Assumptions!$D$23)/12)*((YEAR(Q$3)-2027)*12+MONTH(Q$3)-1))/SUMPRODUCT(EXP((LN(Assumptions!$E$23/Assumptions!$D$23)/12)*(ROW(INDIRECT("1:24"))-1)))*SUM(Assumptions!$D$23:$E$23),0))</f>
        <v/>
      </c>
      <c r="R6" s="108">
        <f t="array" ref="R6">IF(YEAR(R$3)=2026,0,ROUND(EXP((LN(Assumptions!$E$23/Assumptions!$D$23)/12)*((YEAR(R$3)-2027)*12+MONTH(R$3)-1))/SUMPRODUCT(EXP((LN(Assumptions!$E$23/Assumptions!$D$23)/12)*(ROW(INDIRECT("1:24"))-1)))*SUM(Assumptions!$D$23:$E$23),0))</f>
        <v/>
      </c>
      <c r="S6" s="108">
        <f t="array" ref="S6">IF(YEAR(S$3)=2026,0,ROUND(EXP((LN(Assumptions!$E$23/Assumptions!$D$23)/12)*((YEAR(S$3)-2027)*12+MONTH(S$3)-1))/SUMPRODUCT(EXP((LN(Assumptions!$E$23/Assumptions!$D$23)/12)*(ROW(INDIRECT("1:24"))-1)))*SUM(Assumptions!$D$23:$E$23),0))</f>
        <v/>
      </c>
      <c r="T6" s="108">
        <f t="array" ref="T6">IF(YEAR(T$3)=2026,0,ROUND(EXP((LN(Assumptions!$E$23/Assumptions!$D$23)/12)*((YEAR(T$3)-2027)*12+MONTH(T$3)-1))/SUMPRODUCT(EXP((LN(Assumptions!$E$23/Assumptions!$D$23)/12)*(ROW(INDIRECT("1:24"))-1)))*SUM(Assumptions!$D$23:$E$23),0))</f>
        <v/>
      </c>
      <c r="U6" s="108">
        <f t="array" ref="U6">IF(YEAR(U$3)=2026,0,ROUND(EXP((LN(Assumptions!$E$23/Assumptions!$D$23)/12)*((YEAR(U$3)-2027)*12+MONTH(U$3)-1))/SUMPRODUCT(EXP((LN(Assumptions!$E$23/Assumptions!$D$23)/12)*(ROW(INDIRECT("1:24"))-1)))*SUM(Assumptions!$D$23:$E$23),0))</f>
        <v/>
      </c>
      <c r="V6" s="108">
        <f t="array" ref="V6">IF(YEAR(V$3)=2026,0,ROUND(EXP((LN(Assumptions!$E$23/Assumptions!$D$23)/12)*((YEAR(V$3)-2027)*12+MONTH(V$3)-1))/SUMPRODUCT(EXP((LN(Assumptions!$E$23/Assumptions!$D$23)/12)*(ROW(INDIRECT("1:24"))-1)))*SUM(Assumptions!$D$23:$E$23),0))</f>
        <v/>
      </c>
      <c r="W6" s="108">
        <f t="array" ref="W6">IF(YEAR(W$3)=2026,0,ROUND(EXP((LN(Assumptions!$E$23/Assumptions!$D$23)/12)*((YEAR(W$3)-2027)*12+MONTH(W$3)-1))/SUMPRODUCT(EXP((LN(Assumptions!$E$23/Assumptions!$D$23)/12)*(ROW(INDIRECT("1:24"))-1)))*SUM(Assumptions!$D$23:$E$23),0))</f>
        <v/>
      </c>
      <c r="X6" s="108">
        <f t="array" ref="X6">IF(YEAR(X$3)=2026,0,ROUND(EXP((LN(Assumptions!$E$23/Assumptions!$D$23)/12)*((YEAR(X$3)-2027)*12+MONTH(X$3)-1))/SUMPRODUCT(EXP((LN(Assumptions!$E$23/Assumptions!$D$23)/12)*(ROW(INDIRECT("1:24"))-1)))*SUM(Assumptions!$D$23:$E$23),0))</f>
        <v/>
      </c>
      <c r="Y6" s="108">
        <f t="array" ref="Y6">IF(YEAR(Y$3)=2026,0,ROUND(EXP((LN(Assumptions!$E$23/Assumptions!$D$23)/12)*((YEAR(Y$3)-2027)*12+MONTH(Y$3)-1))/SUMPRODUCT(EXP((LN(Assumptions!$E$23/Assumptions!$D$23)/12)*(ROW(INDIRECT("1:24"))-1)))*SUM(Assumptions!$D$23:$E$23),0))</f>
        <v/>
      </c>
      <c r="Z6" s="108">
        <f t="array" ref="Z6">IF(YEAR(Z$3)=2026,0,ROUND(EXP((LN(Assumptions!$E$23/Assumptions!$D$23)/12)*((YEAR(Z$3)-2027)*12+MONTH(Z$3)-1))/SUMPRODUCT(EXP((LN(Assumptions!$E$23/Assumptions!$D$23)/12)*(ROW(INDIRECT("1:24"))-1)))*SUM(Assumptions!$D$23:$E$23),0))</f>
        <v/>
      </c>
      <c r="AA6" s="108">
        <f t="array" ref="AA6">IF(YEAR(AA$3)=2026,0,ROUND(EXP((LN(Assumptions!$E$23/Assumptions!$D$23)/12)*((YEAR(AA$3)-2027)*12+MONTH(AA$3)-1))/SUMPRODUCT(EXP((LN(Assumptions!$E$23/Assumptions!$D$23)/12)*(ROW(INDIRECT("1:24"))-1)))*SUM(Assumptions!$D$23:$E$23),0))</f>
        <v/>
      </c>
      <c r="AB6" s="108">
        <f t="array" ref="AB6">IF(YEAR(AB$3)=2026,0,ROUND(EXP((LN(Assumptions!$E$23/Assumptions!$D$23)/12)*((YEAR(AB$3)-2027)*12+MONTH(AB$3)-1))/SUMPRODUCT(EXP((LN(Assumptions!$E$23/Assumptions!$D$23)/12)*(ROW(INDIRECT("1:24"))-1)))*SUM(Assumptions!$D$23:$E$23),0))</f>
        <v/>
      </c>
      <c r="AC6" s="108">
        <f t="array" ref="AC6">IF(YEAR(AC$3)=2026,0,ROUND(EXP((LN(Assumptions!$E$23/Assumptions!$D$23)/12)*((YEAR(AC$3)-2027)*12+MONTH(AC$3)-1))/SUMPRODUCT(EXP((LN(Assumptions!$E$23/Assumptions!$D$23)/12)*(ROW(INDIRECT("1:24"))-1)))*SUM(Assumptions!$D$23:$E$23),0))</f>
        <v/>
      </c>
      <c r="AD6" s="108">
        <f t="array" ref="AD6">IF(YEAR(AD$3)=2026,0,ROUND(EXP((LN(Assumptions!$E$23/Assumptions!$D$23)/12)*((YEAR(AD$3)-2027)*12+MONTH(AD$3)-1))/SUMPRODUCT(EXP((LN(Assumptions!$E$23/Assumptions!$D$23)/12)*(ROW(INDIRECT("1:24"))-1)))*SUM(Assumptions!$D$23:$E$23),0))</f>
        <v/>
      </c>
      <c r="AE6" s="108">
        <f t="array" ref="AE6">IF(YEAR(AE$3)=2026,0,ROUND(EXP((LN(Assumptions!$E$23/Assumptions!$D$23)/12)*((YEAR(AE$3)-2027)*12+MONTH(AE$3)-1))/SUMPRODUCT(EXP((LN(Assumptions!$E$23/Assumptions!$D$23)/12)*(ROW(INDIRECT("1:24"))-1)))*SUM(Assumptions!$D$23:$E$23),0))</f>
        <v/>
      </c>
      <c r="AF6" s="108">
        <f t="array" ref="AF6">IF(YEAR(AF$3)=2026,0,ROUND(EXP((LN(Assumptions!$E$23/Assumptions!$D$23)/12)*((YEAR(AF$3)-2027)*12+MONTH(AF$3)-1))/SUMPRODUCT(EXP((LN(Assumptions!$E$23/Assumptions!$D$23)/12)*(ROW(INDIRECT("1:24"))-1)))*SUM(Assumptions!$D$23:$E$23),0))</f>
        <v/>
      </c>
      <c r="AG6" s="108">
        <f t="array" ref="AG6">IF(YEAR(AG$3)=2026,0,ROUND(EXP((LN(Assumptions!$E$23/Assumptions!$D$23)/12)*((YEAR(AG$3)-2027)*12+MONTH(AG$3)-1))/SUMPRODUCT(EXP((LN(Assumptions!$E$23/Assumptions!$D$23)/12)*(ROW(INDIRECT("1:24"))-1)))*SUM(Assumptions!$D$23:$E$23),0))</f>
        <v/>
      </c>
      <c r="AH6" s="108">
        <f t="array" ref="AH6">IF(YEAR(AH$3)=2026,0,ROUND(EXP((LN(Assumptions!$E$23/Assumptions!$D$23)/12)*((YEAR(AH$3)-2027)*12+MONTH(AH$3)-1))/SUMPRODUCT(EXP((LN(Assumptions!$E$23/Assumptions!$D$23)/12)*(ROW(INDIRECT("1:24"))-1)))*SUM(Assumptions!$D$23:$E$23),0))</f>
        <v/>
      </c>
      <c r="AI6" s="108">
        <f t="array" ref="AI6">IF(YEAR(AI$3)=2026,0,ROUND(EXP((LN(Assumptions!$E$23/Assumptions!$D$23)/12)*((YEAR(AI$3)-2027)*12+MONTH(AI$3)-1))/SUMPRODUCT(EXP((LN(Assumptions!$E$23/Assumptions!$D$23)/12)*(ROW(INDIRECT("1:24"))-1)))*SUM(Assumptions!$D$23:$E$23),0))</f>
        <v/>
      </c>
      <c r="AJ6" s="108">
        <f t="array" ref="AJ6">IF(YEAR(AJ$3)=2026,0,ROUND(EXP((LN(Assumptions!$E$23/Assumptions!$D$23)/12)*((YEAR(AJ$3)-2027)*12+MONTH(AJ$3)-1))/SUMPRODUCT(EXP((LN(Assumptions!$E$23/Assumptions!$D$23)/12)*(ROW(INDIRECT("1:24"))-1)))*SUM(Assumptions!$D$23:$E$23),0))</f>
        <v/>
      </c>
      <c r="AK6" s="108">
        <f t="array" ref="AK6">IF(YEAR(AK$3)=2026,0,ROUND(EXP((LN(Assumptions!$E$23/Assumptions!$D$23)/12)*((YEAR(AK$3)-2027)*12+MONTH(AK$3)-1))/SUMPRODUCT(EXP((LN(Assumptions!$E$23/Assumptions!$D$23)/12)*(ROW(INDIRECT("1:24"))-1)))*SUM(Assumptions!$D$23:$E$23),0))</f>
        <v/>
      </c>
      <c r="AL6" s="108">
        <f t="array" ref="AL6">IF(YEAR(AL$3)=2026,0,ROUND(EXP((LN(Assumptions!$E$23/Assumptions!$D$23)/12)*((YEAR(AL$3)-2027)*12+MONTH(AL$3)-1))/SUMPRODUCT(EXP((LN(Assumptions!$E$23/Assumptions!$D$23)/12)*(ROW(INDIRECT("1:24"))-1)))*SUM(Assumptions!$D$23:$E$23),0))</f>
        <v/>
      </c>
      <c r="AM6" s="108">
        <f t="array" ref="AM6">IF(YEAR(AM$3)=2026,0,ROUND(EXP((LN(Assumptions!$E$23/Assumptions!$D$23)/12)*((YEAR(AM$3)-2027)*12+MONTH(AM$3)-1))/SUMPRODUCT(EXP((LN(Assumptions!$E$23/Assumptions!$D$23)/12)*(ROW(INDIRECT("1:24"))-1)))*SUM(Assumptions!$D$23:$E$23),0))</f>
        <v/>
      </c>
      <c r="AN6" s="108">
        <f>Assumptions!$D$23-SUM(AC6:AM6)</f>
        <v/>
      </c>
      <c r="AO6" s="108">
        <f t="array" ref="AO6">IF(YEAR(AO$3)=2026,0,ROUND(EXP((LN(Assumptions!$E$23/Assumptions!$D$23)/12)*((YEAR(AO$3)-2027)*12+MONTH(AO$3)-1))/SUMPRODUCT(EXP((LN(Assumptions!$E$23/Assumptions!$D$23)/12)*(ROW(INDIRECT("1:24"))-1)))*SUM(Assumptions!$D$23:$E$23),0))</f>
        <v/>
      </c>
      <c r="AP6" s="108">
        <f t="array" ref="AP6">IF(YEAR(AP$3)=2026,0,ROUND(EXP((LN(Assumptions!$E$23/Assumptions!$D$23)/12)*((YEAR(AP$3)-2027)*12+MONTH(AP$3)-1))/SUMPRODUCT(EXP((LN(Assumptions!$E$23/Assumptions!$D$23)/12)*(ROW(INDIRECT("1:24"))-1)))*SUM(Assumptions!$D$23:$E$23),0))</f>
        <v/>
      </c>
      <c r="AQ6" s="108">
        <f t="array" ref="AQ6">IF(YEAR(AQ$3)=2026,0,ROUND(EXP((LN(Assumptions!$E$23/Assumptions!$D$23)/12)*((YEAR(AQ$3)-2027)*12+MONTH(AQ$3)-1))/SUMPRODUCT(EXP((LN(Assumptions!$E$23/Assumptions!$D$23)/12)*(ROW(INDIRECT("1:24"))-1)))*SUM(Assumptions!$D$23:$E$23),0))</f>
        <v/>
      </c>
      <c r="AR6" s="108">
        <f t="array" ref="AR6">IF(YEAR(AR$3)=2026,0,ROUND(EXP((LN(Assumptions!$E$23/Assumptions!$D$23)/12)*((YEAR(AR$3)-2027)*12+MONTH(AR$3)-1))/SUMPRODUCT(EXP((LN(Assumptions!$E$23/Assumptions!$D$23)/12)*(ROW(INDIRECT("1:24"))-1)))*SUM(Assumptions!$D$23:$E$23),0))</f>
        <v/>
      </c>
      <c r="AS6" s="108">
        <f t="array" ref="AS6">IF(YEAR(AS$3)=2026,0,ROUND(EXP((LN(Assumptions!$E$23/Assumptions!$D$23)/12)*((YEAR(AS$3)-2027)*12+MONTH(AS$3)-1))/SUMPRODUCT(EXP((LN(Assumptions!$E$23/Assumptions!$D$23)/12)*(ROW(INDIRECT("1:24"))-1)))*SUM(Assumptions!$D$23:$E$23),0))</f>
        <v/>
      </c>
      <c r="AT6" s="108">
        <f t="array" ref="AT6">IF(YEAR(AT$3)=2026,0,ROUND(EXP((LN(Assumptions!$E$23/Assumptions!$D$23)/12)*((YEAR(AT$3)-2027)*12+MONTH(AT$3)-1))/SUMPRODUCT(EXP((LN(Assumptions!$E$23/Assumptions!$D$23)/12)*(ROW(INDIRECT("1:24"))-1)))*SUM(Assumptions!$D$23:$E$23),0))</f>
        <v/>
      </c>
      <c r="AU6" s="108">
        <f t="array" ref="AU6">IF(YEAR(AU$3)=2026,0,ROUND(EXP((LN(Assumptions!$E$23/Assumptions!$D$23)/12)*((YEAR(AU$3)-2027)*12+MONTH(AU$3)-1))/SUMPRODUCT(EXP((LN(Assumptions!$E$23/Assumptions!$D$23)/12)*(ROW(INDIRECT("1:24"))-1)))*SUM(Assumptions!$D$23:$E$23),0))</f>
        <v/>
      </c>
      <c r="AV6" s="108">
        <f t="array" ref="AV6">IF(YEAR(AV$3)=2026,0,ROUND(EXP((LN(Assumptions!$E$23/Assumptions!$D$23)/12)*((YEAR(AV$3)-2027)*12+MONTH(AV$3)-1))/SUMPRODUCT(EXP((LN(Assumptions!$E$23/Assumptions!$D$23)/12)*(ROW(INDIRECT("1:24"))-1)))*SUM(Assumptions!$D$23:$E$23),0))</f>
        <v/>
      </c>
      <c r="AW6" s="108">
        <f t="array" ref="AW6">IF(YEAR(AW$3)=2026,0,ROUND(EXP((LN(Assumptions!$E$23/Assumptions!$D$23)/12)*((YEAR(AW$3)-2027)*12+MONTH(AW$3)-1))/SUMPRODUCT(EXP((LN(Assumptions!$E$23/Assumptions!$D$23)/12)*(ROW(INDIRECT("1:24"))-1)))*SUM(Assumptions!$D$23:$E$23),0))</f>
        <v/>
      </c>
      <c r="AX6" s="108">
        <f t="array" ref="AX6">IF(YEAR(AX$3)=2026,0,ROUND(EXP((LN(Assumptions!$E$23/Assumptions!$D$23)/12)*((YEAR(AX$3)-2027)*12+MONTH(AX$3)-1))/SUMPRODUCT(EXP((LN(Assumptions!$E$23/Assumptions!$D$23)/12)*(ROW(INDIRECT("1:24"))-1)))*SUM(Assumptions!$D$23:$E$23),0))</f>
        <v/>
      </c>
      <c r="AY6" s="108">
        <f t="array" ref="AY6">IF(YEAR(AY$3)=2026,0,ROUND(EXP((LN(Assumptions!$E$23/Assumptions!$D$23)/12)*((YEAR(AY$3)-2027)*12+MONTH(AY$3)-1))/SUMPRODUCT(EXP((LN(Assumptions!$E$23/Assumptions!$D$23)/12)*(ROW(INDIRECT("1:24"))-1)))*SUM(Assumptions!$D$23:$E$23),0))</f>
        <v/>
      </c>
      <c r="AZ6" s="108">
        <f>Assumptions!$E$23-SUM(AO6:AY6)</f>
        <v/>
      </c>
      <c r="BA6" s="108" t="n"/>
      <c r="BB6" s="108">
        <f>SUM(E6:P6)</f>
        <v/>
      </c>
      <c r="BC6" s="108">
        <f>SUM(Q6:AB6)</f>
        <v/>
      </c>
      <c r="BD6" s="108">
        <f>SUM(AC6:AN6)</f>
        <v/>
      </c>
      <c r="BE6" s="108">
        <f>SUM(AO6:AZ6)</f>
        <v/>
      </c>
      <c r="BF6" s="128">
        <f>Assumptions!$F$23</f>
        <v/>
      </c>
      <c r="BG6" s="108" t="n"/>
      <c r="BH6" s="83" t="inlineStr">
        <is>
          <t>monthly units on an S-curve ramp; December tops up so the year hits the target exactly. 2029 has no monthly detail, it reads the annual number</t>
        </is>
      </c>
      <c r="BI6" s="108" t="n"/>
      <c r="BJ6" s="108" t="n"/>
    </row>
    <row r="7" ht="15" customHeight="1" s="349">
      <c r="A7" s="241" t="n"/>
      <c r="B7" s="241" t="inlineStr">
        <is>
          <t>TTK Revenue</t>
        </is>
      </c>
      <c r="C7" s="241" t="n"/>
      <c r="D7" s="241" t="inlineStr">
        <is>
          <t>€</t>
        </is>
      </c>
      <c r="E7" s="241" t="n"/>
      <c r="F7" s="241" t="n"/>
      <c r="G7" s="241" t="n"/>
      <c r="H7" s="241" t="n"/>
      <c r="I7" s="241" t="n"/>
      <c r="J7" s="241" t="n"/>
      <c r="K7" s="241" t="n"/>
      <c r="L7" s="241" t="n"/>
      <c r="M7" s="241" t="n"/>
      <c r="N7" s="241" t="n"/>
      <c r="O7" s="241" t="n"/>
      <c r="P7" s="241" t="n"/>
      <c r="Q7" s="241">
        <f>Q6*Assumptions!$C$29</f>
        <v/>
      </c>
      <c r="R7" s="241">
        <f>R6*Assumptions!$C$29</f>
        <v/>
      </c>
      <c r="S7" s="241">
        <f>S6*Assumptions!$C$29</f>
        <v/>
      </c>
      <c r="T7" s="241">
        <f>T6*Assumptions!$C$29</f>
        <v/>
      </c>
      <c r="U7" s="241">
        <f>U6*Assumptions!$C$29</f>
        <v/>
      </c>
      <c r="V7" s="241">
        <f>V6*Assumptions!$C$29</f>
        <v/>
      </c>
      <c r="W7" s="241">
        <f>W6*Assumptions!$C$29</f>
        <v/>
      </c>
      <c r="X7" s="241">
        <f>X6*Assumptions!$C$29</f>
        <v/>
      </c>
      <c r="Y7" s="241">
        <f>Y6*Assumptions!$C$29</f>
        <v/>
      </c>
      <c r="Z7" s="241">
        <f>Z6*Assumptions!$C$29</f>
        <v/>
      </c>
      <c r="AA7" s="241">
        <f>AA6*Assumptions!$C$29</f>
        <v/>
      </c>
      <c r="AB7" s="241">
        <f>AB6*Assumptions!$C$29</f>
        <v/>
      </c>
      <c r="AC7" s="241">
        <f>AC6*Assumptions!$C$29</f>
        <v/>
      </c>
      <c r="AD7" s="241">
        <f>AD6*Assumptions!$C$29</f>
        <v/>
      </c>
      <c r="AE7" s="241">
        <f>AE6*Assumptions!$C$29</f>
        <v/>
      </c>
      <c r="AF7" s="241">
        <f>AF6*Assumptions!$C$29</f>
        <v/>
      </c>
      <c r="AG7" s="241">
        <f>AG6*Assumptions!$C$29</f>
        <v/>
      </c>
      <c r="AH7" s="241">
        <f>AH6*Assumptions!$C$29</f>
        <v/>
      </c>
      <c r="AI7" s="241">
        <f>AI6*Assumptions!$C$29</f>
        <v/>
      </c>
      <c r="AJ7" s="241">
        <f>AJ6*Assumptions!$C$29</f>
        <v/>
      </c>
      <c r="AK7" s="241">
        <f>AK6*Assumptions!$C$29</f>
        <v/>
      </c>
      <c r="AL7" s="241">
        <f>AL6*Assumptions!$C$29</f>
        <v/>
      </c>
      <c r="AM7" s="241">
        <f>AM6*Assumptions!$C$29</f>
        <v/>
      </c>
      <c r="AN7" s="241">
        <f>AN6*Assumptions!$C$29</f>
        <v/>
      </c>
      <c r="AO7" s="241">
        <f>AO6*Assumptions!$C$29</f>
        <v/>
      </c>
      <c r="AP7" s="241">
        <f>AP6*Assumptions!$C$29</f>
        <v/>
      </c>
      <c r="AQ7" s="241">
        <f>AQ6*Assumptions!$C$29</f>
        <v/>
      </c>
      <c r="AR7" s="241">
        <f>AR6*Assumptions!$C$29</f>
        <v/>
      </c>
      <c r="AS7" s="241">
        <f>AS6*Assumptions!$C$29</f>
        <v/>
      </c>
      <c r="AT7" s="241">
        <f>AT6*Assumptions!$C$29</f>
        <v/>
      </c>
      <c r="AU7" s="241">
        <f>AU6*Assumptions!$C$29</f>
        <v/>
      </c>
      <c r="AV7" s="241">
        <f>AV6*Assumptions!$C$29</f>
        <v/>
      </c>
      <c r="AW7" s="241">
        <f>AW6*Assumptions!$C$29</f>
        <v/>
      </c>
      <c r="AX7" s="241">
        <f>AX6*Assumptions!$C$29</f>
        <v/>
      </c>
      <c r="AY7" s="241">
        <f>AY6*Assumptions!$C$29</f>
        <v/>
      </c>
      <c r="AZ7" s="241">
        <f>AZ6*Assumptions!$C$29</f>
        <v/>
      </c>
      <c r="BA7" s="241" t="n"/>
      <c r="BB7" s="233">
        <f>SUM(E7:P7)</f>
        <v/>
      </c>
      <c r="BC7" s="233">
        <f>SUM(Q7:AB7)</f>
        <v/>
      </c>
      <c r="BD7" s="233">
        <f>SUM(AC7:AN7)</f>
        <v/>
      </c>
      <c r="BE7" s="233">
        <f>SUM(AO7:AZ7)</f>
        <v/>
      </c>
      <c r="BF7" s="241">
        <f>BF6*Assumptions!$C$29</f>
        <v/>
      </c>
      <c r="BG7" s="241" t="n"/>
      <c r="BH7" s="83" t="inlineStr">
        <is>
          <t>units x TTK price</t>
        </is>
      </c>
      <c r="BI7" s="241" t="n"/>
      <c r="BJ7" s="241" t="n"/>
    </row>
    <row r="8" ht="15" customHeight="1" s="349">
      <c r="A8" s="241" t="n"/>
      <c r="B8" s="241" t="inlineStr">
        <is>
          <t>TTK upsell</t>
        </is>
      </c>
      <c r="C8" s="241" t="n"/>
      <c r="D8" s="241" t="inlineStr">
        <is>
          <t>€</t>
        </is>
      </c>
      <c r="E8" s="241" t="n"/>
      <c r="F8" s="241" t="n"/>
      <c r="G8" s="241" t="n"/>
      <c r="H8" s="241" t="n"/>
      <c r="I8" s="241" t="n"/>
      <c r="J8" s="241" t="n"/>
      <c r="K8" s="241" t="n"/>
      <c r="L8" s="241" t="n"/>
      <c r="M8" s="241" t="n"/>
      <c r="N8" s="241" t="n"/>
      <c r="O8" s="241" t="n"/>
      <c r="P8" s="241" t="n"/>
      <c r="Q8" s="241">
        <f>Q6*SUMPRODUCT(Assumptions!$E$112:$F$114)</f>
        <v/>
      </c>
      <c r="R8" s="241">
        <f>R6*SUMPRODUCT(Assumptions!$E$112:$F$114)</f>
        <v/>
      </c>
      <c r="S8" s="241">
        <f>S6*SUMPRODUCT(Assumptions!$E$112:$F$114)</f>
        <v/>
      </c>
      <c r="T8" s="241">
        <f>T6*SUMPRODUCT(Assumptions!$E$112:$F$114)</f>
        <v/>
      </c>
      <c r="U8" s="241">
        <f>U6*SUMPRODUCT(Assumptions!$E$112:$F$114)</f>
        <v/>
      </c>
      <c r="V8" s="241">
        <f>V6*SUMPRODUCT(Assumptions!$E$112:$F$114)</f>
        <v/>
      </c>
      <c r="W8" s="241">
        <f>W6*SUMPRODUCT(Assumptions!$E$112:$F$114)</f>
        <v/>
      </c>
      <c r="X8" s="241">
        <f>X6*SUMPRODUCT(Assumptions!$E$112:$F$114)</f>
        <v/>
      </c>
      <c r="Y8" s="241">
        <f>Y6*SUMPRODUCT(Assumptions!$E$112:$F$114)</f>
        <v/>
      </c>
      <c r="Z8" s="241">
        <f>Z6*SUMPRODUCT(Assumptions!$E$112:$F$114)</f>
        <v/>
      </c>
      <c r="AA8" s="241">
        <f>AA6*SUMPRODUCT(Assumptions!$E$112:$F$114)</f>
        <v/>
      </c>
      <c r="AB8" s="241">
        <f>AB6*SUMPRODUCT(Assumptions!$E$112:$F$114)</f>
        <v/>
      </c>
      <c r="AC8" s="241">
        <f>AC6*SUMPRODUCT(Assumptions!$E$112:$E$114,Assumptions!$F$112:$F$114)</f>
        <v/>
      </c>
      <c r="AD8" s="241">
        <f>AD6*SUMPRODUCT(Assumptions!$E$112:$E$114,Assumptions!$F$112:$F$114)</f>
        <v/>
      </c>
      <c r="AE8" s="241">
        <f>AE6*SUMPRODUCT(Assumptions!$E$112:$E$114,Assumptions!$F$112:$F$114)</f>
        <v/>
      </c>
      <c r="AF8" s="241">
        <f>AF6*SUMPRODUCT(Assumptions!$E$112:$E$114,Assumptions!$F$112:$F$114)</f>
        <v/>
      </c>
      <c r="AG8" s="241">
        <f>AG6*SUMPRODUCT(Assumptions!$E$112:$E$114,Assumptions!$F$112:$F$114)</f>
        <v/>
      </c>
      <c r="AH8" s="241">
        <f>AH6*SUMPRODUCT(Assumptions!$E$112:$E$114,Assumptions!$F$112:$F$114)</f>
        <v/>
      </c>
      <c r="AI8" s="241">
        <f>AI6*SUMPRODUCT(Assumptions!$E$112:$E$114,Assumptions!$F$112:$F$114)</f>
        <v/>
      </c>
      <c r="AJ8" s="241">
        <f>AJ6*SUMPRODUCT(Assumptions!$E$112:$E$114,Assumptions!$F$112:$F$114)</f>
        <v/>
      </c>
      <c r="AK8" s="241">
        <f>AK6*SUMPRODUCT(Assumptions!$E$112:$E$114,Assumptions!$F$112:$F$114)</f>
        <v/>
      </c>
      <c r="AL8" s="241">
        <f>AL6*SUMPRODUCT(Assumptions!$E$112:$E$114,Assumptions!$F$112:$F$114)</f>
        <v/>
      </c>
      <c r="AM8" s="241">
        <f>AM6*SUMPRODUCT(Assumptions!$E$112:$E$114,Assumptions!$F$112:$F$114)</f>
        <v/>
      </c>
      <c r="AN8" s="241">
        <f>AN6*SUMPRODUCT(Assumptions!$E$112:$E$114,Assumptions!$F$112:$F$114)</f>
        <v/>
      </c>
      <c r="AO8" s="241">
        <f>AO6*SUMPRODUCT(Assumptions!$E$112:$E$114,Assumptions!$F$112:$F$114)</f>
        <v/>
      </c>
      <c r="AP8" s="241">
        <f>AP6*SUMPRODUCT(Assumptions!$E$112:$E$114,Assumptions!$F$112:$F$114)</f>
        <v/>
      </c>
      <c r="AQ8" s="241">
        <f>AQ6*SUMPRODUCT(Assumptions!$E$112:$E$114,Assumptions!$F$112:$F$114)</f>
        <v/>
      </c>
      <c r="AR8" s="241">
        <f>AR6*SUMPRODUCT(Assumptions!$E$112:$E$114,Assumptions!$F$112:$F$114)</f>
        <v/>
      </c>
      <c r="AS8" s="241">
        <f>AS6*SUMPRODUCT(Assumptions!$E$112:$E$114,Assumptions!$F$112:$F$114)</f>
        <v/>
      </c>
      <c r="AT8" s="241">
        <f>AT6*SUMPRODUCT(Assumptions!$E$112:$E$114,Assumptions!$F$112:$F$114)</f>
        <v/>
      </c>
      <c r="AU8" s="241">
        <f>AU6*SUMPRODUCT(Assumptions!$E$112:$E$114,Assumptions!$F$112:$F$114)</f>
        <v/>
      </c>
      <c r="AV8" s="241">
        <f>AV6*SUMPRODUCT(Assumptions!$E$112:$E$114,Assumptions!$F$112:$F$114)</f>
        <v/>
      </c>
      <c r="AW8" s="241">
        <f>AW6*SUMPRODUCT(Assumptions!$E$112:$E$114,Assumptions!$F$112:$F$114)</f>
        <v/>
      </c>
      <c r="AX8" s="241">
        <f>AX6*SUMPRODUCT(Assumptions!$E$112:$E$114,Assumptions!$F$112:$F$114)</f>
        <v/>
      </c>
      <c r="AY8" s="241">
        <f>AY6*SUMPRODUCT(Assumptions!$E$112:$E$114,Assumptions!$F$112:$F$114)</f>
        <v/>
      </c>
      <c r="AZ8" s="241">
        <f>AZ6*SUMPRODUCT(Assumptions!$E$112:$E$114,Assumptions!$F$112:$F$114)</f>
        <v/>
      </c>
      <c r="BA8" s="241" t="n"/>
      <c r="BB8" s="233">
        <f>SUM(E8:P8)</f>
        <v/>
      </c>
      <c r="BC8" s="233">
        <f>SUM(Q8:AB8)</f>
        <v/>
      </c>
      <c r="BD8" s="233">
        <f>SUM(AC8:AN8)</f>
        <v/>
      </c>
      <c r="BE8" s="233">
        <f>SUM(AO8:AZ8)</f>
        <v/>
      </c>
      <c r="BF8" s="241">
        <f>BF6*SUMPRODUCT(Assumptions!$E$112:$E$114,Assumptions!$F$112:$F$114)</f>
        <v/>
      </c>
      <c r="BG8" s="241" t="n"/>
      <c r="BH8" s="83" t="inlineStr">
        <is>
          <t>units x average upsell basket (attach % x price)</t>
        </is>
      </c>
      <c r="BI8" s="241" t="n"/>
      <c r="BJ8" s="241" t="n"/>
    </row>
    <row r="9" ht="12.75" customHeight="1" s="349">
      <c r="A9" s="307" t="n"/>
      <c r="B9" s="144" t="inlineStr">
        <is>
          <t>Total TTK Revenue</t>
        </is>
      </c>
      <c r="C9" s="105" t="n"/>
      <c r="D9" s="144" t="inlineStr">
        <is>
          <t>€</t>
        </is>
      </c>
      <c r="E9" s="79" t="n"/>
      <c r="F9" s="79" t="n"/>
      <c r="G9" s="79" t="n"/>
      <c r="H9" s="79" t="n"/>
      <c r="I9" s="79" t="n"/>
      <c r="J9" s="79" t="n"/>
      <c r="K9" s="79" t="n"/>
      <c r="L9" s="79" t="n"/>
      <c r="M9" s="79" t="n"/>
      <c r="N9" s="79" t="n"/>
      <c r="O9" s="79" t="n"/>
      <c r="P9" s="79" t="n"/>
      <c r="Q9" s="79">
        <f>sum(Q7:Q8)</f>
        <v/>
      </c>
      <c r="R9" s="79">
        <f>sum(R7:R8)</f>
        <v/>
      </c>
      <c r="S9" s="79">
        <f>sum(S7:S8)</f>
        <v/>
      </c>
      <c r="T9" s="79">
        <f>sum(T7:T8)</f>
        <v/>
      </c>
      <c r="U9" s="79">
        <f>sum(U7:U8)</f>
        <v/>
      </c>
      <c r="V9" s="79">
        <f>sum(V7:V8)</f>
        <v/>
      </c>
      <c r="W9" s="79">
        <f>sum(W7:W8)</f>
        <v/>
      </c>
      <c r="X9" s="79">
        <f>sum(X7:X8)</f>
        <v/>
      </c>
      <c r="Y9" s="79">
        <f>sum(Y7:Y8)</f>
        <v/>
      </c>
      <c r="Z9" s="79">
        <f>sum(Z7:Z8)</f>
        <v/>
      </c>
      <c r="AA9" s="79">
        <f>sum(AA7:AA8)</f>
        <v/>
      </c>
      <c r="AB9" s="79">
        <f>sum(AB7:AB8)</f>
        <v/>
      </c>
      <c r="AC9" s="79">
        <f>sum(AC7:AC8)</f>
        <v/>
      </c>
      <c r="AD9" s="79">
        <f>sum(AD7:AD8)</f>
        <v/>
      </c>
      <c r="AE9" s="79">
        <f>sum(AE7:AE8)</f>
        <v/>
      </c>
      <c r="AF9" s="79">
        <f>sum(AF7:AF8)</f>
        <v/>
      </c>
      <c r="AG9" s="79">
        <f>sum(AG7:AG8)</f>
        <v/>
      </c>
      <c r="AH9" s="79">
        <f>sum(AH7:AH8)</f>
        <v/>
      </c>
      <c r="AI9" s="79">
        <f>sum(AI7:AI8)</f>
        <v/>
      </c>
      <c r="AJ9" s="79">
        <f>sum(AJ7:AJ8)</f>
        <v/>
      </c>
      <c r="AK9" s="79">
        <f>sum(AK7:AK8)</f>
        <v/>
      </c>
      <c r="AL9" s="79">
        <f>sum(AL7:AL8)</f>
        <v/>
      </c>
      <c r="AM9" s="79">
        <f>sum(AM7:AM8)</f>
        <v/>
      </c>
      <c r="AN9" s="79">
        <f>sum(AN7:AN8)</f>
        <v/>
      </c>
      <c r="AO9" s="79">
        <f>sum(AO7:AO8)</f>
        <v/>
      </c>
      <c r="AP9" s="79">
        <f>sum(AP7:AP8)</f>
        <v/>
      </c>
      <c r="AQ9" s="79">
        <f>sum(AQ7:AQ8)</f>
        <v/>
      </c>
      <c r="AR9" s="79">
        <f>sum(AR7:AR8)</f>
        <v/>
      </c>
      <c r="AS9" s="79">
        <f>sum(AS7:AS8)</f>
        <v/>
      </c>
      <c r="AT9" s="79">
        <f>sum(AT7:AT8)</f>
        <v/>
      </c>
      <c r="AU9" s="79">
        <f>sum(AU7:AU8)</f>
        <v/>
      </c>
      <c r="AV9" s="79">
        <f>sum(AV7:AV8)</f>
        <v/>
      </c>
      <c r="AW9" s="79">
        <f>sum(AW7:AW8)</f>
        <v/>
      </c>
      <c r="AX9" s="79">
        <f>sum(AX7:AX8)</f>
        <v/>
      </c>
      <c r="AY9" s="79">
        <f>sum(AY7:AY8)</f>
        <v/>
      </c>
      <c r="AZ9" s="79">
        <f>sum(AZ7:AZ8)</f>
        <v/>
      </c>
      <c r="BA9" s="156" t="n"/>
      <c r="BB9" s="157">
        <f>SUM(E9:P9)</f>
        <v/>
      </c>
      <c r="BC9" s="157">
        <f>SUM(Q9:AB9)</f>
        <v/>
      </c>
      <c r="BD9" s="157">
        <f>SUM(AC9:AN9)</f>
        <v/>
      </c>
      <c r="BE9" s="157">
        <f>SUM(AO9:AZ9)</f>
        <v/>
      </c>
      <c r="BF9" s="157">
        <f>SUM(BF7:BF8)</f>
        <v/>
      </c>
      <c r="BG9" s="158" t="n"/>
      <c r="BH9" s="40" t="inlineStr">
        <is>
          <t>machine revenue + upsells</t>
        </is>
      </c>
      <c r="BI9" s="158" t="n"/>
      <c r="BJ9" s="158" t="n"/>
    </row>
    <row r="10">
      <c r="A10" s="307" t="n"/>
      <c r="B10" s="307" t="n"/>
      <c r="C10" s="307" t="n"/>
      <c r="D10" s="307" t="n"/>
      <c r="E10" s="233" t="n"/>
      <c r="F10" s="233" t="n"/>
      <c r="G10" s="233" t="n"/>
      <c r="H10" s="233" t="n"/>
      <c r="I10" s="233" t="n"/>
      <c r="J10" s="233" t="n"/>
      <c r="K10" s="233" t="n"/>
      <c r="L10" s="233" t="n"/>
      <c r="M10" s="233" t="n"/>
      <c r="N10" s="233" t="n"/>
      <c r="O10" s="233" t="n"/>
      <c r="P10" s="233" t="n"/>
      <c r="Q10" s="159" t="n"/>
      <c r="R10" s="159" t="n"/>
      <c r="S10" s="159" t="n"/>
      <c r="T10" s="159" t="n"/>
      <c r="U10" s="159" t="n"/>
      <c r="V10" s="159" t="n"/>
      <c r="W10" s="159" t="n"/>
      <c r="X10" s="159" t="n"/>
      <c r="Y10" s="159" t="n"/>
      <c r="Z10" s="159" t="n"/>
      <c r="AA10" s="159" t="n"/>
      <c r="AB10" s="159" t="n"/>
      <c r="AC10" s="159" t="n"/>
      <c r="AD10" s="159" t="n"/>
      <c r="AE10" s="159" t="n"/>
      <c r="AF10" s="159" t="n"/>
      <c r="AG10" s="159" t="n"/>
      <c r="AH10" s="159" t="n"/>
      <c r="AI10" s="159" t="n"/>
      <c r="AJ10" s="159" t="n"/>
      <c r="AK10" s="159" t="n"/>
      <c r="AL10" s="159" t="n"/>
      <c r="AM10" s="159" t="n"/>
      <c r="AN10" s="159" t="n"/>
      <c r="AO10" s="159" t="n"/>
      <c r="AP10" s="159" t="n"/>
      <c r="AQ10" s="159" t="n"/>
      <c r="AR10" s="159" t="n"/>
      <c r="AS10" s="159" t="n"/>
      <c r="AT10" s="159" t="n"/>
      <c r="AU10" s="159" t="n"/>
      <c r="AV10" s="159" t="n"/>
      <c r="AW10" s="159" t="n"/>
      <c r="AX10" s="159" t="n"/>
      <c r="AY10" s="159" t="n"/>
      <c r="AZ10" s="159" t="n"/>
      <c r="BA10" s="233" t="n"/>
      <c r="BB10" s="233" t="n"/>
      <c r="BC10" s="233" t="n"/>
      <c r="BD10" s="233" t="n"/>
      <c r="BE10" s="233" t="n"/>
      <c r="BF10" s="233" t="n"/>
      <c r="BG10" s="226" t="n"/>
      <c r="BH10" s="40" t="n"/>
      <c r="BI10" s="226" t="n"/>
      <c r="BJ10" s="226" t="n"/>
    </row>
    <row r="11" ht="12.75" customHeight="1" s="349">
      <c r="A11" s="104" t="n"/>
      <c r="B11" s="105" t="inlineStr">
        <is>
          <t>COMBI+</t>
        </is>
      </c>
      <c r="C11" s="104" t="n"/>
      <c r="D11" s="104" t="n"/>
      <c r="E11" s="80" t="n"/>
      <c r="F11" s="80" t="n"/>
      <c r="G11" s="80" t="n"/>
      <c r="H11" s="80" t="n"/>
      <c r="I11" s="80" t="n"/>
      <c r="J11" s="80" t="n"/>
      <c r="K11" s="80" t="n"/>
      <c r="L11" s="80" t="n"/>
      <c r="M11" s="80" t="n"/>
      <c r="N11" s="80" t="n"/>
      <c r="O11" s="80" t="n"/>
      <c r="P11" s="80" t="n"/>
      <c r="Q11" s="80" t="n"/>
      <c r="R11" s="80" t="n"/>
      <c r="S11" s="80" t="n"/>
      <c r="T11" s="80" t="n"/>
      <c r="U11" s="80" t="n"/>
      <c r="V11" s="80" t="n"/>
      <c r="W11" s="80" t="n"/>
      <c r="X11" s="80" t="n"/>
      <c r="Y11" s="80" t="n"/>
      <c r="Z11" s="80" t="n"/>
      <c r="AA11" s="80" t="n"/>
      <c r="AB11" s="80" t="n"/>
      <c r="AC11" s="80" t="n"/>
      <c r="AD11" s="80" t="n"/>
      <c r="AE11" s="80" t="n"/>
      <c r="AF11" s="80" t="n"/>
      <c r="AG11" s="80" t="n"/>
      <c r="AH11" s="80" t="n"/>
      <c r="AI11" s="80" t="n"/>
      <c r="AJ11" s="80" t="n"/>
      <c r="AK11" s="80" t="n"/>
      <c r="AL11" s="80" t="n"/>
      <c r="AM11" s="80" t="n"/>
      <c r="AN11" s="80" t="n"/>
      <c r="AO11" s="80" t="n"/>
      <c r="AP11" s="80" t="n"/>
      <c r="AQ11" s="80" t="n"/>
      <c r="AR11" s="80" t="n"/>
      <c r="AS11" s="80" t="n"/>
      <c r="AT11" s="80" t="n"/>
      <c r="AU11" s="80" t="n"/>
      <c r="AV11" s="80" t="n"/>
      <c r="AW11" s="80" t="n"/>
      <c r="AX11" s="80" t="n"/>
      <c r="AY11" s="80" t="n"/>
      <c r="AZ11" s="80" t="n"/>
      <c r="BA11" s="233" t="n"/>
      <c r="BB11" s="85" t="n"/>
      <c r="BC11" s="85" t="n"/>
      <c r="BD11" s="85" t="n"/>
      <c r="BE11" s="85" t="n"/>
      <c r="BF11" s="85" t="n"/>
      <c r="BG11" s="226" t="n"/>
      <c r="BH11" s="40" t="n"/>
      <c r="BI11" s="226" t="n"/>
      <c r="BJ11" s="226" t="n"/>
    </row>
    <row r="12" ht="12.75" customHeight="1" s="349">
      <c r="A12" s="108" t="n"/>
      <c r="B12" s="108" t="inlineStr">
        <is>
          <t>Combi+ units sold</t>
        </is>
      </c>
      <c r="C12" s="108" t="n"/>
      <c r="D12" s="108" t="inlineStr">
        <is>
          <t>#</t>
        </is>
      </c>
      <c r="E12" s="108" t="n"/>
      <c r="F12" s="108" t="n"/>
      <c r="G12" s="108" t="n"/>
      <c r="H12" s="108" t="n"/>
      <c r="I12" s="108" t="n"/>
      <c r="J12" s="108" t="n"/>
      <c r="K12" s="108" t="n"/>
      <c r="L12" s="108" t="n"/>
      <c r="M12" s="108" t="n"/>
      <c r="N12" s="108" t="n"/>
      <c r="O12" s="108" t="n"/>
      <c r="P12" s="108" t="n"/>
      <c r="Q12" s="108">
        <f t="array" ref="Q12">IF(YEAR(Q$3)=2026,0,ROUND(EXP((LN(Assumptions!$E$24/Assumptions!$D$24)/12)*((YEAR(Q$3)-2027)*12+MONTH(Q$3)-1))/SUMPRODUCT(EXP((LN(Assumptions!$E$24/Assumptions!$D$24)/12)*(ROW(INDIRECT("1:24"))-1)))*SUM(Assumptions!$D$24:$E$24),0))</f>
        <v/>
      </c>
      <c r="R12" s="108">
        <f t="array" ref="R12">IF(YEAR(R$3)=2026,0,ROUND(EXP((LN(Assumptions!$E$24/Assumptions!$D$24)/12)*((YEAR(R$3)-2027)*12+MONTH(R$3)-1))/SUMPRODUCT(EXP((LN(Assumptions!$E$24/Assumptions!$D$24)/12)*(ROW(INDIRECT("1:24"))-1)))*SUM(Assumptions!$D$24:$E$24),0))</f>
        <v/>
      </c>
      <c r="S12" s="108">
        <f t="array" ref="S12">IF(YEAR(S$3)=2026,0,ROUND(EXP((LN(Assumptions!$E$24/Assumptions!$D$24)/12)*((YEAR(S$3)-2027)*12+MONTH(S$3)-1))/SUMPRODUCT(EXP((LN(Assumptions!$E$24/Assumptions!$D$24)/12)*(ROW(INDIRECT("1:24"))-1)))*SUM(Assumptions!$D$24:$E$24),0))</f>
        <v/>
      </c>
      <c r="T12" s="108">
        <f t="array" ref="T12">IF(YEAR(T$3)=2026,0,ROUND(EXP((LN(Assumptions!$E$24/Assumptions!$D$24)/12)*((YEAR(T$3)-2027)*12+MONTH(T$3)-1))/SUMPRODUCT(EXP((LN(Assumptions!$E$24/Assumptions!$D$24)/12)*(ROW(INDIRECT("1:24"))-1)))*SUM(Assumptions!$D$24:$E$24),0))</f>
        <v/>
      </c>
      <c r="U12" s="108">
        <f t="array" ref="U12">IF(YEAR(U$3)=2026,0,ROUND(EXP((LN(Assumptions!$E$24/Assumptions!$D$24)/12)*((YEAR(U$3)-2027)*12+MONTH(U$3)-1))/SUMPRODUCT(EXP((LN(Assumptions!$E$24/Assumptions!$D$24)/12)*(ROW(INDIRECT("1:24"))-1)))*SUM(Assumptions!$D$24:$E$24),0))</f>
        <v/>
      </c>
      <c r="V12" s="108">
        <f t="array" ref="V12">IF(YEAR(V$3)=2026,0,ROUND(EXP((LN(Assumptions!$E$24/Assumptions!$D$24)/12)*((YEAR(V$3)-2027)*12+MONTH(V$3)-1))/SUMPRODUCT(EXP((LN(Assumptions!$E$24/Assumptions!$D$24)/12)*(ROW(INDIRECT("1:24"))-1)))*SUM(Assumptions!$D$24:$E$24),0))</f>
        <v/>
      </c>
      <c r="W12" s="108">
        <f t="array" ref="W12">IF(YEAR(W$3)=2026,0,ROUND(EXP((LN(Assumptions!$E$24/Assumptions!$D$24)/12)*((YEAR(W$3)-2027)*12+MONTH(W$3)-1))/SUMPRODUCT(EXP((LN(Assumptions!$E$24/Assumptions!$D$24)/12)*(ROW(INDIRECT("1:24"))-1)))*SUM(Assumptions!$D$24:$E$24),0))</f>
        <v/>
      </c>
      <c r="X12" s="108">
        <f t="array" ref="X12">IF(YEAR(X$3)=2026,0,ROUND(EXP((LN(Assumptions!$E$24/Assumptions!$D$24)/12)*((YEAR(X$3)-2027)*12+MONTH(X$3)-1))/SUMPRODUCT(EXP((LN(Assumptions!$E$24/Assumptions!$D$24)/12)*(ROW(INDIRECT("1:24"))-1)))*SUM(Assumptions!$D$24:$E$24),0))</f>
        <v/>
      </c>
      <c r="Y12" s="108">
        <f t="array" ref="Y12">IF(YEAR(Y$3)=2026,0,ROUND(EXP((LN(Assumptions!$E$24/Assumptions!$D$24)/12)*((YEAR(Y$3)-2027)*12+MONTH(Y$3)-1))/SUMPRODUCT(EXP((LN(Assumptions!$E$24/Assumptions!$D$24)/12)*(ROW(INDIRECT("1:24"))-1)))*SUM(Assumptions!$D$24:$E$24),0))</f>
        <v/>
      </c>
      <c r="Z12" s="108">
        <f t="array" ref="Z12">IF(YEAR(Z$3)=2026,0,ROUND(EXP((LN(Assumptions!$E$24/Assumptions!$D$24)/12)*((YEAR(Z$3)-2027)*12+MONTH(Z$3)-1))/SUMPRODUCT(EXP((LN(Assumptions!$E$24/Assumptions!$D$24)/12)*(ROW(INDIRECT("1:24"))-1)))*SUM(Assumptions!$D$24:$E$24),0))</f>
        <v/>
      </c>
      <c r="AA12" s="108">
        <f t="array" ref="AA12">IF(YEAR(AA$3)=2026,0,ROUND(EXP((LN(Assumptions!$E$24/Assumptions!$D$24)/12)*((YEAR(AA$3)-2027)*12+MONTH(AA$3)-1))/SUMPRODUCT(EXP((LN(Assumptions!$E$24/Assumptions!$D$24)/12)*(ROW(INDIRECT("1:24"))-1)))*SUM(Assumptions!$D$24:$E$24),0))</f>
        <v/>
      </c>
      <c r="AB12" s="108">
        <f t="array" ref="AB12">IF(YEAR(AB$3)=2026,0,ROUND(EXP((LN(Assumptions!$E$24/Assumptions!$D$24)/12)*((YEAR(AB$3)-2027)*12+MONTH(AB$3)-1))/SUMPRODUCT(EXP((LN(Assumptions!$E$24/Assumptions!$D$24)/12)*(ROW(INDIRECT("1:24"))-1)))*SUM(Assumptions!$D$24:$E$24),0))</f>
        <v/>
      </c>
      <c r="AC12" s="108">
        <f t="array" ref="AC12">IF(YEAR(AC$3)=2026,0,ROUND(EXP((LN(Assumptions!$E$24/Assumptions!$D$24)/12)*((YEAR(AC$3)-2027)*12+MONTH(AC$3)-1))/SUMPRODUCT(EXP((LN(Assumptions!$E$24/Assumptions!$D$24)/12)*(ROW(INDIRECT("1:24"))-1)))*SUM(Assumptions!$D$24:$E$24),0))</f>
        <v/>
      </c>
      <c r="AD12" s="108">
        <f t="array" ref="AD12">IF(YEAR(AD$3)=2026,0,ROUND(EXP((LN(Assumptions!$E$24/Assumptions!$D$24)/12)*((YEAR(AD$3)-2027)*12+MONTH(AD$3)-1))/SUMPRODUCT(EXP((LN(Assumptions!$E$24/Assumptions!$D$24)/12)*(ROW(INDIRECT("1:24"))-1)))*SUM(Assumptions!$D$24:$E$24),0))</f>
        <v/>
      </c>
      <c r="AE12" s="108">
        <f t="array" ref="AE12">IF(YEAR(AE$3)=2026,0,ROUND(EXP((LN(Assumptions!$E$24/Assumptions!$D$24)/12)*((YEAR(AE$3)-2027)*12+MONTH(AE$3)-1))/SUMPRODUCT(EXP((LN(Assumptions!$E$24/Assumptions!$D$24)/12)*(ROW(INDIRECT("1:24"))-1)))*SUM(Assumptions!$D$24:$E$24),0))</f>
        <v/>
      </c>
      <c r="AF12" s="108">
        <f t="array" ref="AF12">IF(YEAR(AF$3)=2026,0,ROUND(EXP((LN(Assumptions!$E$24/Assumptions!$D$24)/12)*((YEAR(AF$3)-2027)*12+MONTH(AF$3)-1))/SUMPRODUCT(EXP((LN(Assumptions!$E$24/Assumptions!$D$24)/12)*(ROW(INDIRECT("1:24"))-1)))*SUM(Assumptions!$D$24:$E$24),0))</f>
        <v/>
      </c>
      <c r="AG12" s="108">
        <f t="array" ref="AG12">IF(YEAR(AG$3)=2026,0,ROUND(EXP((LN(Assumptions!$E$24/Assumptions!$D$24)/12)*((YEAR(AG$3)-2027)*12+MONTH(AG$3)-1))/SUMPRODUCT(EXP((LN(Assumptions!$E$24/Assumptions!$D$24)/12)*(ROW(INDIRECT("1:24"))-1)))*SUM(Assumptions!$D$24:$E$24),0))</f>
        <v/>
      </c>
      <c r="AH12" s="108">
        <f t="array" ref="AH12">IF(YEAR(AH$3)=2026,0,ROUND(EXP((LN(Assumptions!$E$24/Assumptions!$D$24)/12)*((YEAR(AH$3)-2027)*12+MONTH(AH$3)-1))/SUMPRODUCT(EXP((LN(Assumptions!$E$24/Assumptions!$D$24)/12)*(ROW(INDIRECT("1:24"))-1)))*SUM(Assumptions!$D$24:$E$24),0))</f>
        <v/>
      </c>
      <c r="AI12" s="108">
        <f t="array" ref="AI12">IF(YEAR(AI$3)=2026,0,ROUND(EXP((LN(Assumptions!$E$24/Assumptions!$D$24)/12)*((YEAR(AI$3)-2027)*12+MONTH(AI$3)-1))/SUMPRODUCT(EXP((LN(Assumptions!$E$24/Assumptions!$D$24)/12)*(ROW(INDIRECT("1:24"))-1)))*SUM(Assumptions!$D$24:$E$24),0))</f>
        <v/>
      </c>
      <c r="AJ12" s="108">
        <f t="array" ref="AJ12">IF(YEAR(AJ$3)=2026,0,ROUND(EXP((LN(Assumptions!$E$24/Assumptions!$D$24)/12)*((YEAR(AJ$3)-2027)*12+MONTH(AJ$3)-1))/SUMPRODUCT(EXP((LN(Assumptions!$E$24/Assumptions!$D$24)/12)*(ROW(INDIRECT("1:24"))-1)))*SUM(Assumptions!$D$24:$E$24),0))</f>
        <v/>
      </c>
      <c r="AK12" s="108">
        <f t="array" ref="AK12">IF(YEAR(AK$3)=2026,0,ROUND(EXP((LN(Assumptions!$E$24/Assumptions!$D$24)/12)*((YEAR(AK$3)-2027)*12+MONTH(AK$3)-1))/SUMPRODUCT(EXP((LN(Assumptions!$E$24/Assumptions!$D$24)/12)*(ROW(INDIRECT("1:24"))-1)))*SUM(Assumptions!$D$24:$E$24),0))</f>
        <v/>
      </c>
      <c r="AL12" s="108">
        <f t="array" ref="AL12">IF(YEAR(AL$3)=2026,0,ROUND(EXP((LN(Assumptions!$E$24/Assumptions!$D$24)/12)*((YEAR(AL$3)-2027)*12+MONTH(AL$3)-1))/SUMPRODUCT(EXP((LN(Assumptions!$E$24/Assumptions!$D$24)/12)*(ROW(INDIRECT("1:24"))-1)))*SUM(Assumptions!$D$24:$E$24),0))</f>
        <v/>
      </c>
      <c r="AM12" s="108">
        <f t="array" ref="AM12">IF(YEAR(AM$3)=2026,0,ROUND(EXP((LN(Assumptions!$E$24/Assumptions!$D$24)/12)*((YEAR(AM$3)-2027)*12+MONTH(AM$3)-1))/SUMPRODUCT(EXP((LN(Assumptions!$E$24/Assumptions!$D$24)/12)*(ROW(INDIRECT("1:24"))-1)))*SUM(Assumptions!$D$24:$E$24),0))</f>
        <v/>
      </c>
      <c r="AN12" s="108">
        <f>Assumptions!$D$24-SUM(AC12:AM12)</f>
        <v/>
      </c>
      <c r="AO12" s="108">
        <f t="array" ref="AO12">IF(YEAR(AO$3)=2026,0,ROUND(EXP((LN(Assumptions!$E$24/Assumptions!$D$24)/12)*((YEAR(AO$3)-2027)*12+MONTH(AO$3)-1))/SUMPRODUCT(EXP((LN(Assumptions!$E$24/Assumptions!$D$24)/12)*(ROW(INDIRECT("1:24"))-1)))*SUM(Assumptions!$D$24:$E$24),0))</f>
        <v/>
      </c>
      <c r="AP12" s="108">
        <f t="array" ref="AP12">IF(YEAR(AP$3)=2026,0,ROUND(EXP((LN(Assumptions!$E$24/Assumptions!$D$24)/12)*((YEAR(AP$3)-2027)*12+MONTH(AP$3)-1))/SUMPRODUCT(EXP((LN(Assumptions!$E$24/Assumptions!$D$24)/12)*(ROW(INDIRECT("1:24"))-1)))*SUM(Assumptions!$D$24:$E$24),0))</f>
        <v/>
      </c>
      <c r="AQ12" s="108">
        <f t="array" ref="AQ12">IF(YEAR(AQ$3)=2026,0,ROUND(EXP((LN(Assumptions!$E$24/Assumptions!$D$24)/12)*((YEAR(AQ$3)-2027)*12+MONTH(AQ$3)-1))/SUMPRODUCT(EXP((LN(Assumptions!$E$24/Assumptions!$D$24)/12)*(ROW(INDIRECT("1:24"))-1)))*SUM(Assumptions!$D$24:$E$24),0))</f>
        <v/>
      </c>
      <c r="AR12" s="108">
        <f t="array" ref="AR12">IF(YEAR(AR$3)=2026,0,ROUND(EXP((LN(Assumptions!$E$24/Assumptions!$D$24)/12)*((YEAR(AR$3)-2027)*12+MONTH(AR$3)-1))/SUMPRODUCT(EXP((LN(Assumptions!$E$24/Assumptions!$D$24)/12)*(ROW(INDIRECT("1:24"))-1)))*SUM(Assumptions!$D$24:$E$24),0))</f>
        <v/>
      </c>
      <c r="AS12" s="108">
        <f t="array" ref="AS12">IF(YEAR(AS$3)=2026,0,ROUND(EXP((LN(Assumptions!$E$24/Assumptions!$D$24)/12)*((YEAR(AS$3)-2027)*12+MONTH(AS$3)-1))/SUMPRODUCT(EXP((LN(Assumptions!$E$24/Assumptions!$D$24)/12)*(ROW(INDIRECT("1:24"))-1)))*SUM(Assumptions!$D$24:$E$24),0))</f>
        <v/>
      </c>
      <c r="AT12" s="108">
        <f t="array" ref="AT12">IF(YEAR(AT$3)=2026,0,ROUND(EXP((LN(Assumptions!$E$24/Assumptions!$D$24)/12)*((YEAR(AT$3)-2027)*12+MONTH(AT$3)-1))/SUMPRODUCT(EXP((LN(Assumptions!$E$24/Assumptions!$D$24)/12)*(ROW(INDIRECT("1:24"))-1)))*SUM(Assumptions!$D$24:$E$24),0))</f>
        <v/>
      </c>
      <c r="AU12" s="108">
        <f t="array" ref="AU12">IF(YEAR(AU$3)=2026,0,ROUND(EXP((LN(Assumptions!$E$24/Assumptions!$D$24)/12)*((YEAR(AU$3)-2027)*12+MONTH(AU$3)-1))/SUMPRODUCT(EXP((LN(Assumptions!$E$24/Assumptions!$D$24)/12)*(ROW(INDIRECT("1:24"))-1)))*SUM(Assumptions!$D$24:$E$24),0))</f>
        <v/>
      </c>
      <c r="AV12" s="108">
        <f t="array" ref="AV12">IF(YEAR(AV$3)=2026,0,ROUND(EXP((LN(Assumptions!$E$24/Assumptions!$D$24)/12)*((YEAR(AV$3)-2027)*12+MONTH(AV$3)-1))/SUMPRODUCT(EXP((LN(Assumptions!$E$24/Assumptions!$D$24)/12)*(ROW(INDIRECT("1:24"))-1)))*SUM(Assumptions!$D$24:$E$24),0))</f>
        <v/>
      </c>
      <c r="AW12" s="108">
        <f t="array" ref="AW12">IF(YEAR(AW$3)=2026,0,ROUND(EXP((LN(Assumptions!$E$24/Assumptions!$D$24)/12)*((YEAR(AW$3)-2027)*12+MONTH(AW$3)-1))/SUMPRODUCT(EXP((LN(Assumptions!$E$24/Assumptions!$D$24)/12)*(ROW(INDIRECT("1:24"))-1)))*SUM(Assumptions!$D$24:$E$24),0))</f>
        <v/>
      </c>
      <c r="AX12" s="108">
        <f t="array" ref="AX12">IF(YEAR(AX$3)=2026,0,ROUND(EXP((LN(Assumptions!$E$24/Assumptions!$D$24)/12)*((YEAR(AX$3)-2027)*12+MONTH(AX$3)-1))/SUMPRODUCT(EXP((LN(Assumptions!$E$24/Assumptions!$D$24)/12)*(ROW(INDIRECT("1:24"))-1)))*SUM(Assumptions!$D$24:$E$24),0))</f>
        <v/>
      </c>
      <c r="AY12" s="108">
        <f t="array" ref="AY12">IF(YEAR(AY$3)=2026,0,ROUND(EXP((LN(Assumptions!$E$24/Assumptions!$D$24)/12)*((YEAR(AY$3)-2027)*12+MONTH(AY$3)-1))/SUMPRODUCT(EXP((LN(Assumptions!$E$24/Assumptions!$D$24)/12)*(ROW(INDIRECT("1:24"))-1)))*SUM(Assumptions!$D$24:$E$24),0))</f>
        <v/>
      </c>
      <c r="AZ12" s="108">
        <f>Assumptions!$E$24-SUM(AO12:AY12)</f>
        <v/>
      </c>
      <c r="BA12" s="108" t="n"/>
      <c r="BB12" s="108">
        <f>SUM(E12:P12)</f>
        <v/>
      </c>
      <c r="BC12" s="108">
        <f>SUM(Q12:AB12)</f>
        <v/>
      </c>
      <c r="BD12" s="108">
        <f>SUM(AC12:AN12)</f>
        <v/>
      </c>
      <c r="BE12" s="108">
        <f>SUM(AO12:AZ12)</f>
        <v/>
      </c>
      <c r="BF12" s="108">
        <f>Assumptions!$F$24</f>
        <v/>
      </c>
      <c r="BG12" s="108" t="n"/>
      <c r="BH12" s="83" t="inlineStr">
        <is>
          <t>same S-curve as TTK, on the Combi+ volume; December is the top-up. 2029 comes straight off the annual assumption</t>
        </is>
      </c>
      <c r="BI12" s="108" t="n"/>
      <c r="BJ12" s="108" t="n"/>
    </row>
    <row r="13" ht="12.75" customHeight="1" s="349">
      <c r="A13" s="241" t="n"/>
      <c r="B13" s="241" t="inlineStr">
        <is>
          <t>Combi+ Revenue</t>
        </is>
      </c>
      <c r="C13" s="241" t="n"/>
      <c r="D13" s="241" t="inlineStr">
        <is>
          <t>€</t>
        </is>
      </c>
      <c r="E13" s="241" t="n"/>
      <c r="F13" s="241" t="n"/>
      <c r="G13" s="241" t="n"/>
      <c r="H13" s="241" t="n"/>
      <c r="I13" s="241" t="n"/>
      <c r="J13" s="241" t="n"/>
      <c r="K13" s="241" t="n"/>
      <c r="L13" s="241" t="n"/>
      <c r="M13" s="241" t="n"/>
      <c r="N13" s="241" t="n"/>
      <c r="O13" s="241" t="n"/>
      <c r="P13" s="241" t="n"/>
      <c r="Q13" s="241">
        <f>Q12*Assumptions!$C$31</f>
        <v/>
      </c>
      <c r="R13" s="241">
        <f>R12*Assumptions!$C$31</f>
        <v/>
      </c>
      <c r="S13" s="241">
        <f>S12*Assumptions!$C$31</f>
        <v/>
      </c>
      <c r="T13" s="241">
        <f>T12*Assumptions!$C$31</f>
        <v/>
      </c>
      <c r="U13" s="241">
        <f>U12*Assumptions!$C$31</f>
        <v/>
      </c>
      <c r="V13" s="241">
        <f>V12*Assumptions!$C$31</f>
        <v/>
      </c>
      <c r="W13" s="241">
        <f>W12*Assumptions!$C$31</f>
        <v/>
      </c>
      <c r="X13" s="241">
        <f>X12*Assumptions!$C$31</f>
        <v/>
      </c>
      <c r="Y13" s="241">
        <f>Y12*Assumptions!$C$31</f>
        <v/>
      </c>
      <c r="Z13" s="241">
        <f>Z12*Assumptions!$C$31</f>
        <v/>
      </c>
      <c r="AA13" s="241">
        <f>AA12*Assumptions!$C$31</f>
        <v/>
      </c>
      <c r="AB13" s="241">
        <f>AB12*Assumptions!$C$31</f>
        <v/>
      </c>
      <c r="AC13" s="241">
        <f>AC12*Assumptions!$C$31</f>
        <v/>
      </c>
      <c r="AD13" s="241">
        <f>AD12*Assumptions!$C$31</f>
        <v/>
      </c>
      <c r="AE13" s="241">
        <f>AE12*Assumptions!$C$31</f>
        <v/>
      </c>
      <c r="AF13" s="241">
        <f>AF12*Assumptions!$C$31</f>
        <v/>
      </c>
      <c r="AG13" s="241">
        <f>AG12*Assumptions!$C$31</f>
        <v/>
      </c>
      <c r="AH13" s="241">
        <f>AH12*Assumptions!$C$31</f>
        <v/>
      </c>
      <c r="AI13" s="241">
        <f>AI12*Assumptions!$C$31</f>
        <v/>
      </c>
      <c r="AJ13" s="241">
        <f>AJ12*Assumptions!$C$31</f>
        <v/>
      </c>
      <c r="AK13" s="241">
        <f>AK12*Assumptions!$C$31</f>
        <v/>
      </c>
      <c r="AL13" s="241">
        <f>AL12*Assumptions!$C$31</f>
        <v/>
      </c>
      <c r="AM13" s="241">
        <f>AM12*Assumptions!$C$31</f>
        <v/>
      </c>
      <c r="AN13" s="241">
        <f>AN12*Assumptions!$C$31</f>
        <v/>
      </c>
      <c r="AO13" s="241">
        <f>AO12*Assumptions!$C$31</f>
        <v/>
      </c>
      <c r="AP13" s="241">
        <f>AP12*Assumptions!$C$31</f>
        <v/>
      </c>
      <c r="AQ13" s="241">
        <f>AQ12*Assumptions!$C$31</f>
        <v/>
      </c>
      <c r="AR13" s="241">
        <f>AR12*Assumptions!$C$31</f>
        <v/>
      </c>
      <c r="AS13" s="241">
        <f>AS12*Assumptions!$C$31</f>
        <v/>
      </c>
      <c r="AT13" s="241">
        <f>AT12*Assumptions!$C$31</f>
        <v/>
      </c>
      <c r="AU13" s="241">
        <f>AU12*Assumptions!$C$31</f>
        <v/>
      </c>
      <c r="AV13" s="241">
        <f>AV12*Assumptions!$C$31</f>
        <v/>
      </c>
      <c r="AW13" s="241">
        <f>AW12*Assumptions!$C$31</f>
        <v/>
      </c>
      <c r="AX13" s="241">
        <f>AX12*Assumptions!$C$31</f>
        <v/>
      </c>
      <c r="AY13" s="241">
        <f>AY12*Assumptions!$C$31</f>
        <v/>
      </c>
      <c r="AZ13" s="241">
        <f>AZ12*Assumptions!$C$31</f>
        <v/>
      </c>
      <c r="BA13" s="241" t="n"/>
      <c r="BB13" s="233">
        <f>SUM(E13:P13)</f>
        <v/>
      </c>
      <c r="BC13" s="233">
        <f>SUM(Q13:AB13)</f>
        <v/>
      </c>
      <c r="BD13" s="233">
        <f>SUM(AC13:AN13)</f>
        <v/>
      </c>
      <c r="BE13" s="233">
        <f>SUM(AO13:AZ13)</f>
        <v/>
      </c>
      <c r="BF13" s="241">
        <f>BF12*Assumptions!$C$31</f>
        <v/>
      </c>
      <c r="BG13" s="241" t="n"/>
      <c r="BH13" s="83" t="inlineStr">
        <is>
          <t>units x Combi+ price (ketel + outdoor unit)</t>
        </is>
      </c>
      <c r="BI13" s="241" t="n"/>
      <c r="BJ13" s="241" t="n"/>
    </row>
    <row r="14" ht="12.75" customHeight="1" s="349">
      <c r="A14" s="241" t="n"/>
      <c r="B14" s="241" t="inlineStr">
        <is>
          <t>Combi+ upsell</t>
        </is>
      </c>
      <c r="C14" s="241" t="n"/>
      <c r="D14" s="241" t="inlineStr">
        <is>
          <t>€</t>
        </is>
      </c>
      <c r="E14" s="241" t="n"/>
      <c r="F14" s="241" t="n"/>
      <c r="G14" s="241" t="n"/>
      <c r="H14" s="241" t="n"/>
      <c r="I14" s="241" t="n"/>
      <c r="J14" s="241" t="n"/>
      <c r="K14" s="241" t="n"/>
      <c r="L14" s="241" t="n"/>
      <c r="M14" s="241" t="n"/>
      <c r="N14" s="241" t="n"/>
      <c r="O14" s="241" t="n"/>
      <c r="P14" s="241" t="n"/>
      <c r="Q14" s="241">
        <f>Q12*SUMPRODUCT(Assumptions!$E$112:$E$114,Assumptions!$F$112:$F$114)</f>
        <v/>
      </c>
      <c r="R14" s="241">
        <f>R12*SUMPRODUCT(Assumptions!$E$112:$E$114,Assumptions!$F$112:$F$114)</f>
        <v/>
      </c>
      <c r="S14" s="241">
        <f>S12*SUMPRODUCT(Assumptions!$E$112:$E$114,Assumptions!$F$112:$F$114)</f>
        <v/>
      </c>
      <c r="T14" s="241">
        <f>T12*SUMPRODUCT(Assumptions!$E$112:$E$114,Assumptions!$F$112:$F$114)</f>
        <v/>
      </c>
      <c r="U14" s="241">
        <f>U12*SUMPRODUCT(Assumptions!$E$112:$E$114,Assumptions!$F$112:$F$114)</f>
        <v/>
      </c>
      <c r="V14" s="241">
        <f>V12*SUMPRODUCT(Assumptions!$E$112:$E$114,Assumptions!$F$112:$F$114)</f>
        <v/>
      </c>
      <c r="W14" s="241">
        <f>W12*SUMPRODUCT(Assumptions!$E$112:$E$114,Assumptions!$F$112:$F$114)</f>
        <v/>
      </c>
      <c r="X14" s="241">
        <f>X12*SUMPRODUCT(Assumptions!$E$112:$E$114,Assumptions!$F$112:$F$114)</f>
        <v/>
      </c>
      <c r="Y14" s="241">
        <f>Y12*SUMPRODUCT(Assumptions!$E$112:$E$114,Assumptions!$F$112:$F$114)</f>
        <v/>
      </c>
      <c r="Z14" s="241">
        <f>Z12*SUMPRODUCT(Assumptions!$E$112:$E$114,Assumptions!$F$112:$F$114)</f>
        <v/>
      </c>
      <c r="AA14" s="241">
        <f>AA12*SUMPRODUCT(Assumptions!$E$112:$E$114,Assumptions!$F$112:$F$114)</f>
        <v/>
      </c>
      <c r="AB14" s="241">
        <f>AB12*SUMPRODUCT(Assumptions!$E$112:$E$114,Assumptions!$F$112:$F$114)</f>
        <v/>
      </c>
      <c r="AC14" s="241">
        <f>AC12*SUMPRODUCT(Assumptions!$E$112:$E$114,Assumptions!$F$112:$F$114)</f>
        <v/>
      </c>
      <c r="AD14" s="241">
        <f>AD12*SUMPRODUCT(Assumptions!$E$112:$E$114,Assumptions!$F$112:$F$114)</f>
        <v/>
      </c>
      <c r="AE14" s="241">
        <f>AE12*SUMPRODUCT(Assumptions!$E$112:$E$114,Assumptions!$F$112:$F$114)</f>
        <v/>
      </c>
      <c r="AF14" s="241">
        <f>AF12*SUMPRODUCT(Assumptions!$E$112:$E$114,Assumptions!$F$112:$F$114)</f>
        <v/>
      </c>
      <c r="AG14" s="241">
        <f>AG12*SUMPRODUCT(Assumptions!$E$112:$E$114,Assumptions!$F$112:$F$114)</f>
        <v/>
      </c>
      <c r="AH14" s="241">
        <f>AH12*SUMPRODUCT(Assumptions!$E$112:$E$114,Assumptions!$F$112:$F$114)</f>
        <v/>
      </c>
      <c r="AI14" s="241">
        <f>AI12*SUMPRODUCT(Assumptions!$E$112:$E$114,Assumptions!$F$112:$F$114)</f>
        <v/>
      </c>
      <c r="AJ14" s="241">
        <f>AJ12*SUMPRODUCT(Assumptions!$E$112:$E$114,Assumptions!$F$112:$F$114)</f>
        <v/>
      </c>
      <c r="AK14" s="241">
        <f>AK12*SUMPRODUCT(Assumptions!$E$112:$E$114,Assumptions!$F$112:$F$114)</f>
        <v/>
      </c>
      <c r="AL14" s="241">
        <f>AL12*SUMPRODUCT(Assumptions!$E$112:$E$114,Assumptions!$F$112:$F$114)</f>
        <v/>
      </c>
      <c r="AM14" s="241">
        <f>AM12*SUMPRODUCT(Assumptions!$E$112:$E$114,Assumptions!$F$112:$F$114)</f>
        <v/>
      </c>
      <c r="AN14" s="241">
        <f>AN12*SUMPRODUCT(Assumptions!$E$112:$E$114,Assumptions!$F$112:$F$114)</f>
        <v/>
      </c>
      <c r="AO14" s="241">
        <f>AO12*SUMPRODUCT(Assumptions!$E$112:$E$114,Assumptions!$F$112:$F$114)</f>
        <v/>
      </c>
      <c r="AP14" s="241">
        <f>AP12*SUMPRODUCT(Assumptions!$E$112:$E$114,Assumptions!$F$112:$F$114)</f>
        <v/>
      </c>
      <c r="AQ14" s="241">
        <f>AQ12*SUMPRODUCT(Assumptions!$E$112:$E$114,Assumptions!$F$112:$F$114)</f>
        <v/>
      </c>
      <c r="AR14" s="241">
        <f>AR12*SUMPRODUCT(Assumptions!$E$112:$E$114,Assumptions!$F$112:$F$114)</f>
        <v/>
      </c>
      <c r="AS14" s="241">
        <f>AS12*SUMPRODUCT(Assumptions!$E$112:$E$114,Assumptions!$F$112:$F$114)</f>
        <v/>
      </c>
      <c r="AT14" s="241">
        <f>AT12*SUMPRODUCT(Assumptions!$E$112:$E$114,Assumptions!$F$112:$F$114)</f>
        <v/>
      </c>
      <c r="AU14" s="241">
        <f>AU12*SUMPRODUCT(Assumptions!$E$112:$E$114,Assumptions!$F$112:$F$114)</f>
        <v/>
      </c>
      <c r="AV14" s="241">
        <f>AV12*SUMPRODUCT(Assumptions!$E$112:$E$114,Assumptions!$F$112:$F$114)</f>
        <v/>
      </c>
      <c r="AW14" s="241">
        <f>AW12*SUMPRODUCT(Assumptions!$E$112:$E$114,Assumptions!$F$112:$F$114)</f>
        <v/>
      </c>
      <c r="AX14" s="241">
        <f>AX12*SUMPRODUCT(Assumptions!$E$112:$E$114,Assumptions!$F$112:$F$114)</f>
        <v/>
      </c>
      <c r="AY14" s="241">
        <f>AY12*SUMPRODUCT(Assumptions!$E$112:$E$114,Assumptions!$F$112:$F$114)</f>
        <v/>
      </c>
      <c r="AZ14" s="241">
        <f>AZ12*SUMPRODUCT(Assumptions!$E$112:$E$114,Assumptions!$F$112:$F$114)</f>
        <v/>
      </c>
      <c r="BA14" s="241" t="n"/>
      <c r="BB14" s="233">
        <f>SUM(E14:P14)</f>
        <v/>
      </c>
      <c r="BC14" s="233">
        <f>SUM(Q14:AB14)</f>
        <v/>
      </c>
      <c r="BD14" s="233">
        <f>SUM(AC14:AN14)</f>
        <v/>
      </c>
      <c r="BE14" s="233">
        <f>SUM(AO14:AZ14)</f>
        <v/>
      </c>
      <c r="BF14" s="241">
        <f>BF12*SUMPRODUCT(Assumptions!$E$112:$E$114,Assumptions!$F$112:$F$114)</f>
        <v/>
      </c>
      <c r="BG14" s="241" t="n"/>
      <c r="BH14" s="83" t="inlineStr">
        <is>
          <t>units x average upsell basket</t>
        </is>
      </c>
      <c r="BI14" s="241" t="n"/>
      <c r="BJ14" s="241" t="n"/>
    </row>
    <row r="15" ht="12.75" customHeight="1" s="349">
      <c r="A15" s="107" t="n"/>
      <c r="B15" s="144" t="inlineStr">
        <is>
          <t>Total Combi+ Revenue</t>
        </is>
      </c>
      <c r="C15" s="105" t="n"/>
      <c r="D15" s="144" t="inlineStr">
        <is>
          <t>€</t>
        </is>
      </c>
      <c r="E15" s="79" t="n"/>
      <c r="F15" s="79" t="n"/>
      <c r="G15" s="79" t="n"/>
      <c r="H15" s="79" t="n"/>
      <c r="I15" s="79" t="n"/>
      <c r="J15" s="79" t="n"/>
      <c r="K15" s="79" t="n"/>
      <c r="L15" s="79" t="n"/>
      <c r="M15" s="79" t="n"/>
      <c r="N15" s="79" t="n"/>
      <c r="O15" s="79" t="n"/>
      <c r="P15" s="79" t="n"/>
      <c r="Q15" s="79">
        <f>sum(Q13:Q14)</f>
        <v/>
      </c>
      <c r="R15" s="79">
        <f>sum(R13:R14)</f>
        <v/>
      </c>
      <c r="S15" s="79">
        <f>sum(S13:S14)</f>
        <v/>
      </c>
      <c r="T15" s="79">
        <f>sum(T13:T14)</f>
        <v/>
      </c>
      <c r="U15" s="79">
        <f>sum(U13:U14)</f>
        <v/>
      </c>
      <c r="V15" s="79">
        <f>sum(V13:V14)</f>
        <v/>
      </c>
      <c r="W15" s="79">
        <f>sum(W13:W14)</f>
        <v/>
      </c>
      <c r="X15" s="79">
        <f>sum(X13:X14)</f>
        <v/>
      </c>
      <c r="Y15" s="79">
        <f>sum(Y13:Y14)</f>
        <v/>
      </c>
      <c r="Z15" s="79">
        <f>sum(Z13:Z14)</f>
        <v/>
      </c>
      <c r="AA15" s="79">
        <f>sum(AA13:AA14)</f>
        <v/>
      </c>
      <c r="AB15" s="79">
        <f>sum(AB13:AB14)</f>
        <v/>
      </c>
      <c r="AC15" s="79">
        <f>sum(AC13:AC14)</f>
        <v/>
      </c>
      <c r="AD15" s="79">
        <f>sum(AD13:AD14)</f>
        <v/>
      </c>
      <c r="AE15" s="79">
        <f>sum(AE13:AE14)</f>
        <v/>
      </c>
      <c r="AF15" s="79">
        <f>sum(AF13:AF14)</f>
        <v/>
      </c>
      <c r="AG15" s="79">
        <f>sum(AG13:AG14)</f>
        <v/>
      </c>
      <c r="AH15" s="79">
        <f>sum(AH13:AH14)</f>
        <v/>
      </c>
      <c r="AI15" s="79">
        <f>sum(AI13:AI14)</f>
        <v/>
      </c>
      <c r="AJ15" s="79">
        <f>sum(AJ13:AJ14)</f>
        <v/>
      </c>
      <c r="AK15" s="79">
        <f>sum(AK13:AK14)</f>
        <v/>
      </c>
      <c r="AL15" s="79">
        <f>sum(AL13:AL14)</f>
        <v/>
      </c>
      <c r="AM15" s="79">
        <f>sum(AM13:AM14)</f>
        <v/>
      </c>
      <c r="AN15" s="79">
        <f>sum(AN13:AN14)</f>
        <v/>
      </c>
      <c r="AO15" s="79">
        <f>sum(AO13:AO14)</f>
        <v/>
      </c>
      <c r="AP15" s="79">
        <f>sum(AP13:AP14)</f>
        <v/>
      </c>
      <c r="AQ15" s="79">
        <f>sum(AQ13:AQ14)</f>
        <v/>
      </c>
      <c r="AR15" s="79">
        <f>sum(AR13:AR14)</f>
        <v/>
      </c>
      <c r="AS15" s="79">
        <f>sum(AS13:AS14)</f>
        <v/>
      </c>
      <c r="AT15" s="79">
        <f>sum(AT13:AT14)</f>
        <v/>
      </c>
      <c r="AU15" s="79">
        <f>sum(AU13:AU14)</f>
        <v/>
      </c>
      <c r="AV15" s="79">
        <f>sum(AV13:AV14)</f>
        <v/>
      </c>
      <c r="AW15" s="79">
        <f>sum(AW13:AW14)</f>
        <v/>
      </c>
      <c r="AX15" s="79">
        <f>sum(AX13:AX14)</f>
        <v/>
      </c>
      <c r="AY15" s="79">
        <f>sum(AY13:AY14)</f>
        <v/>
      </c>
      <c r="AZ15" s="79">
        <f>sum(AZ13:AZ14)</f>
        <v/>
      </c>
      <c r="BA15" s="156" t="n"/>
      <c r="BB15" s="157">
        <f>SUM(E15:P15)</f>
        <v/>
      </c>
      <c r="BC15" s="157">
        <f>SUM(Q15:AB15)</f>
        <v/>
      </c>
      <c r="BD15" s="157">
        <f>SUM(AC15:AN15)</f>
        <v/>
      </c>
      <c r="BE15" s="157">
        <f>SUM(AO15:AZ15)</f>
        <v/>
      </c>
      <c r="BF15" s="157">
        <f>sum(BF13:BF14)</f>
        <v/>
      </c>
      <c r="BG15" s="158" t="n"/>
      <c r="BH15" s="40" t="inlineStr">
        <is>
          <t>machine revenue + upsells</t>
        </is>
      </c>
      <c r="BI15" s="158" t="n"/>
      <c r="BJ15" s="158" t="n"/>
    </row>
    <row r="16" ht="15.75" customHeight="1" s="349">
      <c r="A16" s="307" t="n"/>
      <c r="B16" s="307" t="n"/>
      <c r="C16" s="307" t="n"/>
      <c r="D16" s="307" t="n"/>
      <c r="E16" s="233" t="n"/>
      <c r="F16" s="233" t="n"/>
      <c r="G16" s="233" t="n"/>
      <c r="H16" s="233" t="n"/>
      <c r="I16" s="233" t="n"/>
      <c r="J16" s="233" t="n"/>
      <c r="K16" s="233" t="n"/>
      <c r="L16" s="233" t="n"/>
      <c r="M16" s="233" t="n"/>
      <c r="N16" s="233" t="n"/>
      <c r="O16" s="233" t="n"/>
      <c r="P16" s="233" t="n"/>
      <c r="Q16" s="233" t="n"/>
      <c r="R16" s="233" t="n"/>
      <c r="S16" s="233" t="n"/>
      <c r="T16" s="233" t="n"/>
      <c r="U16" s="233" t="n"/>
      <c r="V16" s="233" t="n"/>
      <c r="W16" s="233" t="n"/>
      <c r="X16" s="233" t="n"/>
      <c r="Y16" s="233" t="n"/>
      <c r="Z16" s="233" t="n"/>
      <c r="AA16" s="233" t="n"/>
      <c r="AB16" s="233" t="n"/>
      <c r="AC16" s="233" t="n"/>
      <c r="AD16" s="233" t="n"/>
      <c r="AE16" s="233" t="n"/>
      <c r="AF16" s="233" t="n"/>
      <c r="AG16" s="233" t="n"/>
      <c r="AH16" s="233" t="n"/>
      <c r="AI16" s="233" t="n"/>
      <c r="AJ16" s="233" t="n"/>
      <c r="AK16" s="233" t="n"/>
      <c r="AL16" s="233" t="n"/>
      <c r="AM16" s="233" t="n"/>
      <c r="AN16" s="233" t="n"/>
      <c r="AO16" s="233" t="n"/>
      <c r="AP16" s="233" t="n"/>
      <c r="AQ16" s="233" t="n"/>
      <c r="AR16" s="233" t="n"/>
      <c r="AS16" s="233" t="n"/>
      <c r="AT16" s="233" t="n"/>
      <c r="AU16" s="233" t="n"/>
      <c r="AV16" s="233" t="n"/>
      <c r="AW16" s="233" t="n"/>
      <c r="AX16" s="233" t="n"/>
      <c r="AY16" s="233" t="n"/>
      <c r="AZ16" s="233" t="n"/>
      <c r="BA16" s="233" t="n"/>
      <c r="BB16" s="233" t="n"/>
      <c r="BC16" s="233" t="n"/>
      <c r="BD16" s="233" t="n"/>
      <c r="BE16" s="233" t="n"/>
      <c r="BF16" s="233" t="n"/>
      <c r="BG16" s="226" t="n"/>
      <c r="BH16" s="40" t="n"/>
      <c r="BI16" s="226" t="n"/>
      <c r="BJ16" s="226" t="n"/>
    </row>
    <row r="17" ht="13.5" customHeight="1" s="349">
      <c r="A17" s="104" t="n"/>
      <c r="B17" s="105" t="inlineStr">
        <is>
          <t>INSTALLATION REVENUES</t>
        </is>
      </c>
      <c r="C17" s="104" t="n"/>
      <c r="D17" s="144" t="inlineStr">
        <is>
          <t>€</t>
        </is>
      </c>
      <c r="E17" s="80" t="n"/>
      <c r="F17" s="80" t="n"/>
      <c r="G17" s="80" t="n"/>
      <c r="H17" s="80" t="n"/>
      <c r="I17" s="80" t="n"/>
      <c r="J17" s="80" t="n"/>
      <c r="K17" s="80" t="n"/>
      <c r="L17" s="80" t="n"/>
      <c r="M17" s="80" t="n"/>
      <c r="N17" s="80" t="n"/>
      <c r="O17" s="80" t="n"/>
      <c r="P17" s="80" t="n"/>
      <c r="Q17" s="80" t="n"/>
      <c r="R17" s="80" t="n"/>
      <c r="S17" s="80" t="n"/>
      <c r="T17" s="80" t="n"/>
      <c r="U17" s="80" t="n"/>
      <c r="V17" s="80" t="n"/>
      <c r="W17" s="80" t="n"/>
      <c r="X17" s="80" t="n"/>
      <c r="Y17" s="80" t="n"/>
      <c r="Z17" s="80" t="n"/>
      <c r="AA17" s="80" t="n"/>
      <c r="AB17" s="80" t="n"/>
      <c r="AC17" s="80" t="n"/>
      <c r="AD17" s="80" t="n"/>
      <c r="AE17" s="80" t="n"/>
      <c r="AF17" s="80" t="n"/>
      <c r="AG17" s="80" t="n"/>
      <c r="AH17" s="80" t="n"/>
      <c r="AI17" s="80" t="n"/>
      <c r="AJ17" s="80" t="n"/>
      <c r="AK17" s="80" t="n"/>
      <c r="AL17" s="80" t="n"/>
      <c r="AM17" s="80" t="n"/>
      <c r="AN17" s="80" t="n"/>
      <c r="AO17" s="80" t="n"/>
      <c r="AP17" s="80" t="n"/>
      <c r="AQ17" s="80" t="n"/>
      <c r="AR17" s="80" t="n"/>
      <c r="AS17" s="80" t="n"/>
      <c r="AT17" s="80" t="n"/>
      <c r="AU17" s="80" t="n"/>
      <c r="AV17" s="80" t="n"/>
      <c r="AW17" s="80" t="n"/>
      <c r="AX17" s="80" t="n"/>
      <c r="AY17" s="80" t="n"/>
      <c r="AZ17" s="80" t="n"/>
      <c r="BA17" s="233" t="n"/>
      <c r="BB17" s="85" t="n"/>
      <c r="BC17" s="85" t="n"/>
      <c r="BD17" s="85" t="n"/>
      <c r="BE17" s="85" t="n"/>
      <c r="BF17" s="85" t="n"/>
      <c r="BG17" s="226" t="n"/>
      <c r="BH17" s="40" t="n"/>
      <c r="BI17" s="226" t="n"/>
      <c r="BJ17" s="226" t="n"/>
    </row>
    <row r="18" ht="15" customHeight="1" s="349">
      <c r="A18" s="219" t="n"/>
      <c r="B18" s="220" t="inlineStr">
        <is>
          <t>Units installed</t>
        </is>
      </c>
      <c r="C18" s="219" t="n"/>
      <c r="D18" s="108" t="inlineStr">
        <is>
          <t>#</t>
        </is>
      </c>
      <c r="E18" s="221">
        <f>E6+E12</f>
        <v/>
      </c>
      <c r="F18" s="221">
        <f>F6+F12</f>
        <v/>
      </c>
      <c r="G18" s="221">
        <f>G6+G12</f>
        <v/>
      </c>
      <c r="H18" s="221">
        <f>H6+H12</f>
        <v/>
      </c>
      <c r="I18" s="221">
        <f>I6+I12</f>
        <v/>
      </c>
      <c r="J18" s="221">
        <f>J6+J12</f>
        <v/>
      </c>
      <c r="K18" s="221">
        <f>K6+K12</f>
        <v/>
      </c>
      <c r="L18" s="221">
        <f>L6+L12</f>
        <v/>
      </c>
      <c r="M18" s="221">
        <f>M6+M12</f>
        <v/>
      </c>
      <c r="N18" s="221">
        <f>N6+N12</f>
        <v/>
      </c>
      <c r="O18" s="221">
        <f>O6+O12</f>
        <v/>
      </c>
      <c r="P18" s="221">
        <f>P6+P12</f>
        <v/>
      </c>
      <c r="Q18" s="108">
        <f>Q6+Q12</f>
        <v/>
      </c>
      <c r="R18" s="108">
        <f>R6+R12</f>
        <v/>
      </c>
      <c r="S18" s="108">
        <f>S6+S12</f>
        <v/>
      </c>
      <c r="T18" s="108">
        <f>T6+T12</f>
        <v/>
      </c>
      <c r="U18" s="108">
        <f>U6+U12</f>
        <v/>
      </c>
      <c r="V18" s="108">
        <f>V6+V12</f>
        <v/>
      </c>
      <c r="W18" s="108">
        <f>W6+W12</f>
        <v/>
      </c>
      <c r="X18" s="108">
        <f>X6+X12</f>
        <v/>
      </c>
      <c r="Y18" s="108">
        <f>Y6+Y12</f>
        <v/>
      </c>
      <c r="Z18" s="108">
        <f>Z6+Z12</f>
        <v/>
      </c>
      <c r="AA18" s="108">
        <f>AA6+AA12</f>
        <v/>
      </c>
      <c r="AB18" s="108">
        <f>AB6+AB12</f>
        <v/>
      </c>
      <c r="AC18" s="108">
        <f>AC6+AC12</f>
        <v/>
      </c>
      <c r="AD18" s="108">
        <f>AD6+AD12</f>
        <v/>
      </c>
      <c r="AE18" s="108">
        <f>AE6+AE12</f>
        <v/>
      </c>
      <c r="AF18" s="108">
        <f>AF6+AF12</f>
        <v/>
      </c>
      <c r="AG18" s="108">
        <f>AG6+AG12</f>
        <v/>
      </c>
      <c r="AH18" s="108">
        <f>AH6+AH12</f>
        <v/>
      </c>
      <c r="AI18" s="108">
        <f>AI6+AI12</f>
        <v/>
      </c>
      <c r="AJ18" s="108">
        <f>AJ6+AJ12</f>
        <v/>
      </c>
      <c r="AK18" s="108">
        <f>AK6+AK12</f>
        <v/>
      </c>
      <c r="AL18" s="108">
        <f>AL6+AL12</f>
        <v/>
      </c>
      <c r="AM18" s="108">
        <f>AM6+AM12</f>
        <v/>
      </c>
      <c r="AN18" s="108">
        <f>AN6+AN12</f>
        <v/>
      </c>
      <c r="AO18" s="108">
        <f>AO6+AO12</f>
        <v/>
      </c>
      <c r="AP18" s="108">
        <f>AP6+AP12</f>
        <v/>
      </c>
      <c r="AQ18" s="108">
        <f>AQ6+AQ12</f>
        <v/>
      </c>
      <c r="AR18" s="108">
        <f>AR6+AR12</f>
        <v/>
      </c>
      <c r="AS18" s="108">
        <f>AS6+AS12</f>
        <v/>
      </c>
      <c r="AT18" s="108">
        <f>AT6+AT12</f>
        <v/>
      </c>
      <c r="AU18" s="108">
        <f>AU6+AU12</f>
        <v/>
      </c>
      <c r="AV18" s="108">
        <f>AV6+AV12</f>
        <v/>
      </c>
      <c r="AW18" s="108">
        <f>AW6+AW12</f>
        <v/>
      </c>
      <c r="AX18" s="108">
        <f>AX6+AX12</f>
        <v/>
      </c>
      <c r="AY18" s="108">
        <f>AY6+AY12</f>
        <v/>
      </c>
      <c r="AZ18" s="108">
        <f>AZ6+AZ12</f>
        <v/>
      </c>
      <c r="BA18" s="222" t="n"/>
      <c r="BB18" s="222">
        <f>SUM(E18:P18)</f>
        <v/>
      </c>
      <c r="BC18" s="222">
        <f>SUM(Q18:AB18)</f>
        <v/>
      </c>
      <c r="BD18" s="222">
        <f>SUM(AC18:AN18)</f>
        <v/>
      </c>
      <c r="BE18" s="222">
        <f>SUM(AO18:AZ18)</f>
        <v/>
      </c>
      <c r="BF18" s="222">
        <f>BF6+BF12</f>
        <v/>
      </c>
      <c r="BG18" s="225" t="n"/>
      <c r="BH18" s="40" t="inlineStr">
        <is>
          <t>TTK + Combi+ units. every unit sold gets installed</t>
        </is>
      </c>
      <c r="BI18" s="225" t="n"/>
      <c r="BJ18" s="225" t="n"/>
    </row>
    <row r="19" ht="12.75" customHeight="1" s="349">
      <c r="A19" s="107" t="n"/>
      <c r="B19" s="144" t="inlineStr">
        <is>
          <t>Total Installation Revenue</t>
        </is>
      </c>
      <c r="C19" s="105" t="n"/>
      <c r="D19" s="144" t="inlineStr">
        <is>
          <t>€</t>
        </is>
      </c>
      <c r="E19" s="79">
        <f>E6*Assumptions!$C$33+E12*Assumptions!$C$34</f>
        <v/>
      </c>
      <c r="F19" s="79">
        <f>F6*Assumptions!$C$33+F12*Assumptions!$C$34</f>
        <v/>
      </c>
      <c r="G19" s="79">
        <f>G6*Assumptions!$C$33+G12*Assumptions!$C$34</f>
        <v/>
      </c>
      <c r="H19" s="79">
        <f>H6*Assumptions!$C$33+H12*Assumptions!$C$34</f>
        <v/>
      </c>
      <c r="I19" s="79">
        <f>I6*Assumptions!$C$33+I12*Assumptions!$C$34</f>
        <v/>
      </c>
      <c r="J19" s="79">
        <f>J6*Assumptions!$C$33+J12*Assumptions!$C$34</f>
        <v/>
      </c>
      <c r="K19" s="79">
        <f>K6*Assumptions!$C$33+K12*Assumptions!$C$34</f>
        <v/>
      </c>
      <c r="L19" s="79">
        <f>L6*Assumptions!$C$33+L12*Assumptions!$C$34</f>
        <v/>
      </c>
      <c r="M19" s="79">
        <f>M6*Assumptions!$C$33+M12*Assumptions!$C$34</f>
        <v/>
      </c>
      <c r="N19" s="79">
        <f>N6*Assumptions!$C$33+N12*Assumptions!$C$34</f>
        <v/>
      </c>
      <c r="O19" s="79">
        <f>O6*Assumptions!$C$33+O12*Assumptions!$C$34</f>
        <v/>
      </c>
      <c r="P19" s="79">
        <f>P6*Assumptions!$C$33+P12*Assumptions!$C$34</f>
        <v/>
      </c>
      <c r="Q19" s="79">
        <f>Q6*Assumptions!$C$33+Q12*Assumptions!$C$34</f>
        <v/>
      </c>
      <c r="R19" s="79">
        <f>R6*Assumptions!$C$33+R12*Assumptions!$C$34</f>
        <v/>
      </c>
      <c r="S19" s="79">
        <f>S6*Assumptions!$C$33+S12*Assumptions!$C$34</f>
        <v/>
      </c>
      <c r="T19" s="79">
        <f>T6*Assumptions!$C$33+T12*Assumptions!$C$34</f>
        <v/>
      </c>
      <c r="U19" s="79">
        <f>U6*Assumptions!$C$33+U12*Assumptions!$C$34</f>
        <v/>
      </c>
      <c r="V19" s="79">
        <f>V6*Assumptions!$C$33+V12*Assumptions!$C$34</f>
        <v/>
      </c>
      <c r="W19" s="79">
        <f>W6*Assumptions!$C$33+W12*Assumptions!$C$34</f>
        <v/>
      </c>
      <c r="X19" s="79">
        <f>X6*Assumptions!$C$33+X12*Assumptions!$C$34</f>
        <v/>
      </c>
      <c r="Y19" s="79">
        <f>Y6*Assumptions!$C$33+Y12*Assumptions!$C$34</f>
        <v/>
      </c>
      <c r="Z19" s="79">
        <f>Z6*Assumptions!$C$33+Z12*Assumptions!$C$34</f>
        <v/>
      </c>
      <c r="AA19" s="79">
        <f>AA6*Assumptions!$C$33+AA12*Assumptions!$C$34</f>
        <v/>
      </c>
      <c r="AB19" s="79">
        <f>AB6*Assumptions!$C$33+AB12*Assumptions!$C$34</f>
        <v/>
      </c>
      <c r="AC19" s="79">
        <f>AC6*Assumptions!$C$33+AC12*Assumptions!$C$34</f>
        <v/>
      </c>
      <c r="AD19" s="79">
        <f>AD6*Assumptions!$C$33+AD12*Assumptions!$C$34</f>
        <v/>
      </c>
      <c r="AE19" s="79">
        <f>AE6*Assumptions!$C$33+AE12*Assumptions!$C$34</f>
        <v/>
      </c>
      <c r="AF19" s="79">
        <f>AF6*Assumptions!$C$33+AF12*Assumptions!$C$34</f>
        <v/>
      </c>
      <c r="AG19" s="79">
        <f>AG6*Assumptions!$C$33+AG12*Assumptions!$C$34</f>
        <v/>
      </c>
      <c r="AH19" s="79">
        <f>AH6*Assumptions!$C$33+AH12*Assumptions!$C$34</f>
        <v/>
      </c>
      <c r="AI19" s="79">
        <f>AI6*Assumptions!$C$33+AI12*Assumptions!$C$34</f>
        <v/>
      </c>
      <c r="AJ19" s="79">
        <f>AJ6*Assumptions!$C$33+AJ12*Assumptions!$C$34</f>
        <v/>
      </c>
      <c r="AK19" s="79">
        <f>AK6*Assumptions!$C$33+AK12*Assumptions!$C$34</f>
        <v/>
      </c>
      <c r="AL19" s="79">
        <f>AL6*Assumptions!$C$33+AL12*Assumptions!$C$34</f>
        <v/>
      </c>
      <c r="AM19" s="79">
        <f>AM6*Assumptions!$C$33+AM12*Assumptions!$C$34</f>
        <v/>
      </c>
      <c r="AN19" s="79">
        <f>AN6*Assumptions!$C$33+AN12*Assumptions!$C$34</f>
        <v/>
      </c>
      <c r="AO19" s="79">
        <f>AO6*Assumptions!$C$33+AO12*Assumptions!$C$34</f>
        <v/>
      </c>
      <c r="AP19" s="79">
        <f>AP6*Assumptions!$C$33+AP12*Assumptions!$C$34</f>
        <v/>
      </c>
      <c r="AQ19" s="79">
        <f>AQ6*Assumptions!$C$33+AQ12*Assumptions!$C$34</f>
        <v/>
      </c>
      <c r="AR19" s="79">
        <f>AR6*Assumptions!$C$33+AR12*Assumptions!$C$34</f>
        <v/>
      </c>
      <c r="AS19" s="79">
        <f>AS6*Assumptions!$C$33+AS12*Assumptions!$C$34</f>
        <v/>
      </c>
      <c r="AT19" s="79">
        <f>AT6*Assumptions!$C$33+AT12*Assumptions!$C$34</f>
        <v/>
      </c>
      <c r="AU19" s="79">
        <f>AU6*Assumptions!$C$33+AU12*Assumptions!$C$34</f>
        <v/>
      </c>
      <c r="AV19" s="79">
        <f>AV6*Assumptions!$C$33+AV12*Assumptions!$C$34</f>
        <v/>
      </c>
      <c r="AW19" s="79">
        <f>AW6*Assumptions!$C$33+AW12*Assumptions!$C$34</f>
        <v/>
      </c>
      <c r="AX19" s="79">
        <f>AX6*Assumptions!$C$33+AX12*Assumptions!$C$34</f>
        <v/>
      </c>
      <c r="AY19" s="79">
        <f>AY6*Assumptions!$C$33+AY12*Assumptions!$C$34</f>
        <v/>
      </c>
      <c r="AZ19" s="79">
        <f>AZ6*Assumptions!$C$33+AZ12*Assumptions!$C$34</f>
        <v/>
      </c>
      <c r="BA19" s="156" t="n"/>
      <c r="BB19" s="157">
        <f>SUM(E19:P19)</f>
        <v/>
      </c>
      <c r="BC19" s="157">
        <f>SUM(Q19:AB19)</f>
        <v/>
      </c>
      <c r="BD19" s="157">
        <f>SUM(AC19:AN19)</f>
        <v/>
      </c>
      <c r="BE19" s="157">
        <f>SUM(AO19:AZ19)</f>
        <v/>
      </c>
      <c r="BF19" s="79">
        <f>BF6*Assumptions!$C$33+BF12*Assumptions!$C$34</f>
        <v/>
      </c>
      <c r="BG19" s="158" t="n"/>
      <c r="BH19" s="40" t="inlineStr">
        <is>
          <t>units x installation price per product. pass-through, cost is the same</t>
        </is>
      </c>
      <c r="BI19" s="158" t="n"/>
      <c r="BJ19" s="158" t="n"/>
    </row>
    <row r="20" ht="15.75" customHeight="1" s="349">
      <c r="A20" s="307" t="n"/>
      <c r="B20" s="307" t="n"/>
      <c r="C20" s="307" t="n"/>
      <c r="D20" s="307" t="n"/>
      <c r="E20" s="233" t="n"/>
      <c r="F20" s="233" t="n"/>
      <c r="G20" s="233" t="n"/>
      <c r="H20" s="233" t="n"/>
      <c r="I20" s="233" t="n"/>
      <c r="J20" s="233" t="n"/>
      <c r="K20" s="233" t="n"/>
      <c r="L20" s="233" t="n"/>
      <c r="M20" s="233" t="n"/>
      <c r="N20" s="233" t="n"/>
      <c r="O20" s="233" t="n"/>
      <c r="P20" s="233" t="n"/>
      <c r="Q20" s="233" t="n"/>
      <c r="R20" s="233" t="n"/>
      <c r="S20" s="233" t="n"/>
      <c r="T20" s="233" t="n"/>
      <c r="U20" s="233" t="n"/>
      <c r="V20" s="233" t="n"/>
      <c r="W20" s="233" t="n"/>
      <c r="X20" s="233" t="n"/>
      <c r="Y20" s="233" t="n"/>
      <c r="Z20" s="233" t="n"/>
      <c r="AA20" s="233" t="n"/>
      <c r="AB20" s="233" t="n"/>
      <c r="AC20" s="233" t="n"/>
      <c r="AD20" s="233" t="n"/>
      <c r="AE20" s="233" t="n"/>
      <c r="AF20" s="233" t="n"/>
      <c r="AG20" s="233" t="n"/>
      <c r="AH20" s="233" t="n"/>
      <c r="AI20" s="233" t="n"/>
      <c r="AJ20" s="233" t="n"/>
      <c r="AK20" s="233" t="n"/>
      <c r="AL20" s="233" t="n"/>
      <c r="AM20" s="233" t="n"/>
      <c r="AN20" s="233" t="n"/>
      <c r="AO20" s="233" t="n"/>
      <c r="AP20" s="233" t="n"/>
      <c r="AQ20" s="233" t="n"/>
      <c r="AR20" s="233" t="n"/>
      <c r="AS20" s="233" t="n"/>
      <c r="AT20" s="233" t="n"/>
      <c r="AU20" s="233" t="n"/>
      <c r="AV20" s="233" t="n"/>
      <c r="AW20" s="233" t="n"/>
      <c r="AX20" s="233" t="n"/>
      <c r="AY20" s="233" t="n"/>
      <c r="AZ20" s="233" t="n"/>
      <c r="BA20" s="233" t="n"/>
      <c r="BB20" s="233" t="n"/>
      <c r="BC20" s="233" t="n"/>
      <c r="BD20" s="233" t="n"/>
      <c r="BE20" s="233" t="n"/>
      <c r="BF20" s="233" t="n"/>
      <c r="BG20" s="226" t="n"/>
      <c r="BH20" s="40" t="n"/>
      <c r="BI20" s="226" t="n"/>
      <c r="BJ20" s="226" t="n"/>
    </row>
    <row r="21" ht="13.5" customHeight="1" s="349">
      <c r="A21" s="104" t="n"/>
      <c r="B21" s="105" t="inlineStr">
        <is>
          <t>SERVICE REVENUES</t>
        </is>
      </c>
      <c r="C21" s="104" t="n"/>
      <c r="D21" s="104" t="n"/>
      <c r="E21" s="80" t="n"/>
      <c r="F21" s="80" t="n"/>
      <c r="G21" s="80" t="n"/>
      <c r="H21" s="80" t="n"/>
      <c r="I21" s="80" t="n"/>
      <c r="J21" s="80" t="n"/>
      <c r="K21" s="80" t="n"/>
      <c r="L21" s="80" t="n"/>
      <c r="M21" s="80" t="n"/>
      <c r="N21" s="80" t="n"/>
      <c r="O21" s="80" t="n"/>
      <c r="P21" s="80" t="n"/>
      <c r="Q21" s="80" t="n"/>
      <c r="R21" s="80" t="n"/>
      <c r="S21" s="80" t="n"/>
      <c r="T21" s="80" t="n"/>
      <c r="U21" s="80" t="n"/>
      <c r="V21" s="80" t="n"/>
      <c r="W21" s="80" t="n"/>
      <c r="X21" s="80" t="n"/>
      <c r="Y21" s="80" t="n"/>
      <c r="Z21" s="80" t="n"/>
      <c r="AA21" s="80" t="n"/>
      <c r="AB21" s="80" t="n"/>
      <c r="AC21" s="80" t="n"/>
      <c r="AD21" s="80" t="n"/>
      <c r="AE21" s="80" t="n"/>
      <c r="AF21" s="80" t="n"/>
      <c r="AG21" s="80" t="n"/>
      <c r="AH21" s="80" t="n"/>
      <c r="AI21" s="80" t="n"/>
      <c r="AJ21" s="80" t="n"/>
      <c r="AK21" s="80" t="n"/>
      <c r="AL21" s="80" t="n"/>
      <c r="AM21" s="80" t="n"/>
      <c r="AN21" s="80" t="n"/>
      <c r="AO21" s="80" t="n"/>
      <c r="AP21" s="80" t="n"/>
      <c r="AQ21" s="80" t="n"/>
      <c r="AR21" s="80" t="n"/>
      <c r="AS21" s="80" t="n"/>
      <c r="AT21" s="80" t="n"/>
      <c r="AU21" s="80" t="n"/>
      <c r="AV21" s="80" t="n"/>
      <c r="AW21" s="80" t="n"/>
      <c r="AX21" s="80" t="n"/>
      <c r="AY21" s="80" t="n"/>
      <c r="AZ21" s="80" t="n"/>
      <c r="BA21" s="233" t="n"/>
      <c r="BB21" s="85" t="n"/>
      <c r="BC21" s="85" t="n"/>
      <c r="BD21" s="85" t="n"/>
      <c r="BE21" s="85" t="n"/>
      <c r="BF21" s="85" t="n"/>
      <c r="BG21" s="226" t="n"/>
      <c r="BH21" s="40" t="n"/>
      <c r="BI21" s="226" t="n"/>
      <c r="BJ21" s="226" t="n"/>
    </row>
    <row r="22" ht="15" customHeight="1" s="349">
      <c r="A22" s="219" t="n"/>
      <c r="B22" s="220" t="inlineStr">
        <is>
          <t>Installed base (TTK)</t>
        </is>
      </c>
      <c r="C22" s="219" t="n"/>
      <c r="D22" s="108" t="inlineStr">
        <is>
          <t>#</t>
        </is>
      </c>
      <c r="E22" s="221" t="n"/>
      <c r="F22" s="221" t="n"/>
      <c r="G22" s="221" t="n"/>
      <c r="H22" s="221" t="n"/>
      <c r="I22" s="221" t="n"/>
      <c r="J22" s="221" t="n"/>
      <c r="K22" s="221" t="n"/>
      <c r="L22" s="221" t="n"/>
      <c r="M22" s="221" t="n"/>
      <c r="N22" s="221" t="n"/>
      <c r="O22" s="221" t="n"/>
      <c r="P22" s="221" t="n"/>
      <c r="Q22" s="108">
        <f>Q6</f>
        <v/>
      </c>
      <c r="R22" s="108">
        <f>R6</f>
        <v/>
      </c>
      <c r="S22" s="108">
        <f>S6</f>
        <v/>
      </c>
      <c r="T22" s="108">
        <f>T6</f>
        <v/>
      </c>
      <c r="U22" s="108">
        <f>U6</f>
        <v/>
      </c>
      <c r="V22" s="108">
        <f>V6</f>
        <v/>
      </c>
      <c r="W22" s="108">
        <f>W6</f>
        <v/>
      </c>
      <c r="X22" s="108">
        <f>X6</f>
        <v/>
      </c>
      <c r="Y22" s="108">
        <f>Y6</f>
        <v/>
      </c>
      <c r="Z22" s="108">
        <f>Z6</f>
        <v/>
      </c>
      <c r="AA22" s="108">
        <f>AA6</f>
        <v/>
      </c>
      <c r="AB22" s="108">
        <f>AB6</f>
        <v/>
      </c>
      <c r="AC22" s="108">
        <f>AC6</f>
        <v/>
      </c>
      <c r="AD22" s="108">
        <f>AC22+AD6</f>
        <v/>
      </c>
      <c r="AE22" s="108">
        <f>AD22+AE6</f>
        <v/>
      </c>
      <c r="AF22" s="108">
        <f>AE22+AF6</f>
        <v/>
      </c>
      <c r="AG22" s="108">
        <f>AF22+AG6</f>
        <v/>
      </c>
      <c r="AH22" s="108">
        <f>AG22+AH6</f>
        <v/>
      </c>
      <c r="AI22" s="108">
        <f>AH22+AI6</f>
        <v/>
      </c>
      <c r="AJ22" s="108">
        <f>AI22+AJ6</f>
        <v/>
      </c>
      <c r="AK22" s="108">
        <f>AJ22+AK6</f>
        <v/>
      </c>
      <c r="AL22" s="108">
        <f>AK22+AL6</f>
        <v/>
      </c>
      <c r="AM22" s="108">
        <f>AL22+AM6</f>
        <v/>
      </c>
      <c r="AN22" s="108">
        <f>AM22+AN6</f>
        <v/>
      </c>
      <c r="AO22" s="108">
        <f>AN22+AO6</f>
        <v/>
      </c>
      <c r="AP22" s="108">
        <f>AO22+AP6</f>
        <v/>
      </c>
      <c r="AQ22" s="108">
        <f>AP22+AQ6</f>
        <v/>
      </c>
      <c r="AR22" s="108">
        <f>AQ22+AR6</f>
        <v/>
      </c>
      <c r="AS22" s="108">
        <f>AR22+AS6</f>
        <v/>
      </c>
      <c r="AT22" s="108">
        <f>AS22+AT6</f>
        <v/>
      </c>
      <c r="AU22" s="108">
        <f>AT22+AU6</f>
        <v/>
      </c>
      <c r="AV22" s="108">
        <f>AU22+AV6</f>
        <v/>
      </c>
      <c r="AW22" s="108">
        <f>AV22+AW6</f>
        <v/>
      </c>
      <c r="AX22" s="108">
        <f>AW22+AX6</f>
        <v/>
      </c>
      <c r="AY22" s="108">
        <f>AX22+AY6</f>
        <v/>
      </c>
      <c r="AZ22" s="108">
        <f>AY22+AZ6</f>
        <v/>
      </c>
      <c r="BA22" s="222" t="n"/>
      <c r="BB22" s="222">
        <f>SUM(E22:P22)</f>
        <v/>
      </c>
      <c r="BC22" s="222">
        <f>SUM(Q22:AB22)</f>
        <v/>
      </c>
      <c r="BD22" s="222">
        <f>AN22</f>
        <v/>
      </c>
      <c r="BE22" s="222">
        <f>AZ22</f>
        <v/>
      </c>
      <c r="BF22" s="222">
        <f>BE22+($BF$18*Assumptions!$H$23)</f>
        <v/>
      </c>
      <c r="BG22" s="225" t="n"/>
      <c r="BH22" s="40" t="inlineStr">
        <is>
          <t>TTK machines out in the field: last month's base + this month's sales</t>
        </is>
      </c>
      <c r="BI22" s="225" t="n"/>
      <c r="BJ22" s="225" t="n"/>
    </row>
    <row r="23" ht="15" customHeight="1" s="349">
      <c r="A23" s="219" t="n"/>
      <c r="B23" s="220" t="inlineStr">
        <is>
          <t>Installed base (Combi+)</t>
        </is>
      </c>
      <c r="C23" s="219" t="n"/>
      <c r="D23" s="108" t="n"/>
      <c r="E23" s="221" t="n"/>
      <c r="F23" s="221" t="n"/>
      <c r="G23" s="221" t="n"/>
      <c r="H23" s="221" t="n"/>
      <c r="I23" s="221" t="n"/>
      <c r="J23" s="221" t="n"/>
      <c r="K23" s="221" t="n"/>
      <c r="L23" s="221" t="n"/>
      <c r="M23" s="221" t="n"/>
      <c r="N23" s="221" t="n"/>
      <c r="O23" s="221" t="n"/>
      <c r="P23" s="221" t="n"/>
      <c r="Q23" s="108">
        <f>Q12</f>
        <v/>
      </c>
      <c r="R23" s="108">
        <f>R12</f>
        <v/>
      </c>
      <c r="S23" s="108">
        <f>S12</f>
        <v/>
      </c>
      <c r="T23" s="108">
        <f>T12</f>
        <v/>
      </c>
      <c r="U23" s="108">
        <f>U12</f>
        <v/>
      </c>
      <c r="V23" s="108">
        <f>V12</f>
        <v/>
      </c>
      <c r="W23" s="108">
        <f>W12</f>
        <v/>
      </c>
      <c r="X23" s="108">
        <f>X12</f>
        <v/>
      </c>
      <c r="Y23" s="108">
        <f>Y12</f>
        <v/>
      </c>
      <c r="Z23" s="108">
        <f>Z12</f>
        <v/>
      </c>
      <c r="AA23" s="108">
        <f>AA12</f>
        <v/>
      </c>
      <c r="AB23" s="108">
        <f>AB12</f>
        <v/>
      </c>
      <c r="AC23" s="108">
        <f>AC12</f>
        <v/>
      </c>
      <c r="AD23" s="108">
        <f>AC23+AD12</f>
        <v/>
      </c>
      <c r="AE23" s="108">
        <f>AD23+AE12</f>
        <v/>
      </c>
      <c r="AF23" s="108">
        <f>AE23+AF12</f>
        <v/>
      </c>
      <c r="AG23" s="108">
        <f>AF23+AG12</f>
        <v/>
      </c>
      <c r="AH23" s="108">
        <f>AG23+AH12</f>
        <v/>
      </c>
      <c r="AI23" s="108">
        <f>AH23+AI12</f>
        <v/>
      </c>
      <c r="AJ23" s="108">
        <f>AI23+AJ12</f>
        <v/>
      </c>
      <c r="AK23" s="108">
        <f>AJ23+AK12</f>
        <v/>
      </c>
      <c r="AL23" s="108">
        <f>AK23+AL12</f>
        <v/>
      </c>
      <c r="AM23" s="108">
        <f>AL23+AM12</f>
        <v/>
      </c>
      <c r="AN23" s="108">
        <f>AM23+AN12</f>
        <v/>
      </c>
      <c r="AO23" s="108">
        <f>AN23+AO12</f>
        <v/>
      </c>
      <c r="AP23" s="108">
        <f>AO23+AP12</f>
        <v/>
      </c>
      <c r="AQ23" s="108">
        <f>AP23+AQ12</f>
        <v/>
      </c>
      <c r="AR23" s="108">
        <f>AQ23+AR12</f>
        <v/>
      </c>
      <c r="AS23" s="108">
        <f>AR23+AS12</f>
        <v/>
      </c>
      <c r="AT23" s="108">
        <f>AS23+AT12</f>
        <v/>
      </c>
      <c r="AU23" s="108">
        <f>AT23+AU12</f>
        <v/>
      </c>
      <c r="AV23" s="108">
        <f>AU23+AV12</f>
        <v/>
      </c>
      <c r="AW23" s="108">
        <f>AV23+AW12</f>
        <v/>
      </c>
      <c r="AX23" s="108">
        <f>AW23+AX12</f>
        <v/>
      </c>
      <c r="AY23" s="108">
        <f>AX23+AY12</f>
        <v/>
      </c>
      <c r="AZ23" s="108">
        <f>AY23+AZ12</f>
        <v/>
      </c>
      <c r="BA23" s="222" t="n"/>
      <c r="BB23" s="222">
        <f>SUM(E23:P23)</f>
        <v/>
      </c>
      <c r="BC23" s="222">
        <f>SUM(Q23:AB23)</f>
        <v/>
      </c>
      <c r="BD23" s="222">
        <f>AN23</f>
        <v/>
      </c>
      <c r="BE23" s="222">
        <f>AZ23</f>
        <v/>
      </c>
      <c r="BF23" s="222">
        <f>BE23+($BF$18*Assumptions!$H$24)</f>
        <v/>
      </c>
      <c r="BG23" s="225" t="n"/>
      <c r="BH23" s="40" t="inlineStr">
        <is>
          <t>Combi+ machines out in the field, same running total</t>
        </is>
      </c>
      <c r="BI23" s="225" t="n"/>
      <c r="BJ23" s="225" t="n"/>
    </row>
    <row r="24" ht="12.75" customHeight="1" s="349">
      <c r="A24" s="107" t="n"/>
      <c r="B24" s="144" t="inlineStr">
        <is>
          <t>Total Service Revenue</t>
        </is>
      </c>
      <c r="C24" s="105" t="n"/>
      <c r="D24" s="144" t="inlineStr">
        <is>
          <t>€</t>
        </is>
      </c>
      <c r="E24" s="79" t="n"/>
      <c r="F24" s="79" t="n"/>
      <c r="G24" s="79" t="n"/>
      <c r="H24" s="79" t="n"/>
      <c r="I24" s="79" t="n"/>
      <c r="J24" s="79" t="n"/>
      <c r="K24" s="79" t="n"/>
      <c r="L24" s="79" t="n"/>
      <c r="M24" s="79" t="n"/>
      <c r="N24" s="79" t="n"/>
      <c r="O24" s="79" t="n"/>
      <c r="P24" s="79" t="n"/>
      <c r="Q24" s="79">
        <f>Q34*SUMPRODUCT(Assumptions!$E$120:$E$121,Assumptions!$F$120:$F$121)</f>
        <v/>
      </c>
      <c r="R24" s="79">
        <f>R34*SUMPRODUCT(Assumptions!$E$120:$E$121,Assumptions!$F$120:$F$121)</f>
        <v/>
      </c>
      <c r="S24" s="79">
        <f>S34*SUMPRODUCT(Assumptions!$E$120:$E$121,Assumptions!$F$120:$F$121)</f>
        <v/>
      </c>
      <c r="T24" s="79">
        <f>T34*SUMPRODUCT(Assumptions!$E$120:$E$121,Assumptions!$F$120:$F$121)</f>
        <v/>
      </c>
      <c r="U24" s="79">
        <f>U34*SUMPRODUCT(Assumptions!$E$120:$E$121,Assumptions!$F$120:$F$121)</f>
        <v/>
      </c>
      <c r="V24" s="79">
        <f>V34*SUMPRODUCT(Assumptions!$E$120:$E$121,Assumptions!$F$120:$F$121)</f>
        <v/>
      </c>
      <c r="W24" s="79">
        <f>W34*SUMPRODUCT(Assumptions!$E$120:$E$121,Assumptions!$F$120:$F$121)</f>
        <v/>
      </c>
      <c r="X24" s="79">
        <f>X34*SUMPRODUCT(Assumptions!$E$120:$E$121,Assumptions!$F$120:$F$121)</f>
        <v/>
      </c>
      <c r="Y24" s="79">
        <f>Y34*SUMPRODUCT(Assumptions!$E$120:$E$121,Assumptions!$F$120:$F$121)</f>
        <v/>
      </c>
      <c r="Z24" s="79">
        <f>Z34*SUMPRODUCT(Assumptions!$E$120:$E$121,Assumptions!$F$120:$F$121)</f>
        <v/>
      </c>
      <c r="AA24" s="79">
        <f>AA34*SUMPRODUCT(Assumptions!$E$120:$E$121,Assumptions!$F$120:$F$121)</f>
        <v/>
      </c>
      <c r="AB24" s="79">
        <f>AB34*SUMPRODUCT(Assumptions!$E$120:$E$121,Assumptions!$F$120:$F$121)</f>
        <v/>
      </c>
      <c r="AC24" s="79">
        <f>AC34*SUMPRODUCT(Assumptions!$E$120:$E$121,Assumptions!$F$120:$F$121)+Q24</f>
        <v/>
      </c>
      <c r="AD24" s="79">
        <f>AD34*SUMPRODUCT(Assumptions!$E$120:$E$121,Assumptions!$F$120:$F$121)+R24</f>
        <v/>
      </c>
      <c r="AE24" s="79">
        <f>AE34*SUMPRODUCT(Assumptions!$E$120:$E$121,Assumptions!$F$120:$F$121)+S24</f>
        <v/>
      </c>
      <c r="AF24" s="79">
        <f>AF34*SUMPRODUCT(Assumptions!$E$120:$E$121,Assumptions!$F$120:$F$121)+T24</f>
        <v/>
      </c>
      <c r="AG24" s="79">
        <f>AG34*SUMPRODUCT(Assumptions!$E$120:$E$121,Assumptions!$F$120:$F$121)+U24</f>
        <v/>
      </c>
      <c r="AH24" s="79">
        <f>AH34*SUMPRODUCT(Assumptions!$E$120:$E$121,Assumptions!$F$120:$F$121)+V24</f>
        <v/>
      </c>
      <c r="AI24" s="79">
        <f>AI34*SUMPRODUCT(Assumptions!$E$120:$E$121,Assumptions!$F$120:$F$121)+W24</f>
        <v/>
      </c>
      <c r="AJ24" s="79">
        <f>AJ34*SUMPRODUCT(Assumptions!$E$120:$E$121,Assumptions!$F$120:$F$121)+X24</f>
        <v/>
      </c>
      <c r="AK24" s="79">
        <f>AK34*SUMPRODUCT(Assumptions!$E$120:$E$121,Assumptions!$F$120:$F$121)+Y24</f>
        <v/>
      </c>
      <c r="AL24" s="79">
        <f>AL34*SUMPRODUCT(Assumptions!$E$120:$E$121,Assumptions!$F$120:$F$121)+Z24</f>
        <v/>
      </c>
      <c r="AM24" s="79">
        <f>AM34*SUMPRODUCT(Assumptions!$E$120:$E$121,Assumptions!$F$120:$F$121)+AA24</f>
        <v/>
      </c>
      <c r="AN24" s="79">
        <f>AN34*SUMPRODUCT(Assumptions!$E$120:$E$121,Assumptions!$F$120:$F$121)+AB24</f>
        <v/>
      </c>
      <c r="AO24" s="79">
        <f>AO34*SUMPRODUCT(Assumptions!$E$120:$E$121,Assumptions!$F$120:$F$121)+AC24</f>
        <v/>
      </c>
      <c r="AP24" s="79">
        <f>AP34*SUMPRODUCT(Assumptions!$E$120:$E$121,Assumptions!$F$120:$F$121)+AD24</f>
        <v/>
      </c>
      <c r="AQ24" s="79">
        <f>AQ34*SUMPRODUCT(Assumptions!$E$120:$E$121,Assumptions!$F$120:$F$121)+AE24</f>
        <v/>
      </c>
      <c r="AR24" s="79">
        <f>AR34*SUMPRODUCT(Assumptions!$E$120:$E$121,Assumptions!$F$120:$F$121)+AF24</f>
        <v/>
      </c>
      <c r="AS24" s="79">
        <f>AS34*SUMPRODUCT(Assumptions!$E$120:$E$121,Assumptions!$F$120:$F$121)+AG24</f>
        <v/>
      </c>
      <c r="AT24" s="79">
        <f>AT34*SUMPRODUCT(Assumptions!$E$120:$E$121,Assumptions!$F$120:$F$121)+AH24</f>
        <v/>
      </c>
      <c r="AU24" s="79">
        <f>AU34*SUMPRODUCT(Assumptions!$E$120:$E$121,Assumptions!$F$120:$F$121)+AI24</f>
        <v/>
      </c>
      <c r="AV24" s="79">
        <f>AV34*SUMPRODUCT(Assumptions!$E$120:$E$121,Assumptions!$F$120:$F$121)+AJ24</f>
        <v/>
      </c>
      <c r="AW24" s="79">
        <f>AW34*SUMPRODUCT(Assumptions!$E$120:$E$121,Assumptions!$F$120:$F$121)+AK24</f>
        <v/>
      </c>
      <c r="AX24" s="79">
        <f>AX34*SUMPRODUCT(Assumptions!$E$120:$E$121,Assumptions!$F$120:$F$121)+AL24</f>
        <v/>
      </c>
      <c r="AY24" s="79">
        <f>AY34*SUMPRODUCT(Assumptions!$E$120:$E$121,Assumptions!$F$120:$F$121)+AM24</f>
        <v/>
      </c>
      <c r="AZ24" s="79">
        <f>AZ34*SUMPRODUCT(Assumptions!$E$120:$E$121,Assumptions!$F$120:$F$121)+AN24</f>
        <v/>
      </c>
      <c r="BA24" s="156" t="n"/>
      <c r="BB24" s="157">
        <f>SUM(E24:P24)</f>
        <v/>
      </c>
      <c r="BC24" s="157">
        <f>SUM(Q24:AB24)</f>
        <v/>
      </c>
      <c r="BD24" s="157">
        <f>SUM(AC24:AN24)</f>
        <v/>
      </c>
      <c r="BE24" s="157">
        <f>SUM(AO24:AZ24)</f>
        <v/>
      </c>
      <c r="BF24" s="79">
        <f>BF34*SUMPRODUCT(Assumptions!$E$120:$E$121,Assumptions!$F$120:$F$121)+BE24</f>
        <v/>
      </c>
      <c r="BG24" s="226" t="n"/>
      <c r="BH24" s="40" t="inlineStr">
        <is>
          <t>this month's units x service rate + the same month last year, so contracts keep stacking as the base grows. 2029 adds all of 2028 on top</t>
        </is>
      </c>
      <c r="BI24" s="226" t="n"/>
      <c r="BJ24" s="226" t="n"/>
    </row>
    <row r="25" ht="13.5" customHeight="1" s="349">
      <c r="A25" s="147" t="n"/>
      <c r="C25" s="307" t="n"/>
      <c r="D25" s="307" t="n"/>
      <c r="E25" s="233" t="n"/>
      <c r="F25" s="233" t="n"/>
      <c r="G25" s="233" t="n"/>
      <c r="H25" s="233" t="n"/>
      <c r="I25" s="233" t="n"/>
      <c r="J25" s="233" t="n"/>
      <c r="K25" s="233" t="n"/>
      <c r="L25" s="233" t="n"/>
      <c r="M25" s="233" t="n"/>
      <c r="N25" s="233" t="n"/>
      <c r="O25" s="233" t="n"/>
      <c r="P25" s="233" t="n"/>
      <c r="Q25" s="233" t="n"/>
      <c r="R25" s="233" t="n"/>
      <c r="S25" s="233" t="n"/>
      <c r="T25" s="233" t="n"/>
      <c r="U25" s="233" t="n"/>
      <c r="V25" s="233" t="n"/>
      <c r="W25" s="233" t="n"/>
      <c r="X25" s="233" t="n"/>
      <c r="Y25" s="233" t="n"/>
      <c r="Z25" s="233" t="n"/>
      <c r="AA25" s="233" t="n"/>
      <c r="AB25" s="233" t="n"/>
      <c r="AC25" s="233" t="n"/>
      <c r="AD25" s="233" t="n"/>
      <c r="AE25" s="233" t="n"/>
      <c r="AF25" s="233" t="n"/>
      <c r="AG25" s="233" t="n"/>
      <c r="AH25" s="233" t="n"/>
      <c r="AI25" s="233" t="n"/>
      <c r="AJ25" s="233" t="n"/>
      <c r="AK25" s="233" t="n"/>
      <c r="AL25" s="233" t="n"/>
      <c r="AM25" s="233" t="n"/>
      <c r="AN25" s="233" t="n"/>
      <c r="AO25" s="233" t="n"/>
      <c r="AP25" s="233" t="n"/>
      <c r="AQ25" s="233" t="n"/>
      <c r="AR25" s="233" t="n"/>
      <c r="AS25" s="233" t="n"/>
      <c r="AT25" s="233" t="n"/>
      <c r="AU25" s="233" t="n"/>
      <c r="AV25" s="233" t="n"/>
      <c r="AW25" s="233" t="n"/>
      <c r="AX25" s="233" t="n"/>
      <c r="AY25" s="233" t="n"/>
      <c r="AZ25" s="233" t="n"/>
      <c r="BA25" s="233" t="n"/>
      <c r="BB25" s="233" t="n"/>
      <c r="BC25" s="233" t="n"/>
      <c r="BD25" s="233" t="n"/>
      <c r="BE25" s="233" t="n"/>
      <c r="BF25" s="233" t="n"/>
      <c r="BG25" s="226" t="n"/>
      <c r="BH25" s="40" t="n"/>
      <c r="BI25" s="226" t="n"/>
      <c r="BJ25" s="226" t="n"/>
    </row>
    <row r="26" ht="13.5" customHeight="1" s="349">
      <c r="A26" s="79" t="n"/>
      <c r="B26" s="79" t="inlineStr">
        <is>
          <t>SUBSIDIES &amp; GRANTS</t>
        </is>
      </c>
      <c r="C26" s="79" t="n"/>
      <c r="D26" s="79" t="n"/>
      <c r="E26" s="79" t="n"/>
      <c r="F26" s="79" t="n"/>
      <c r="G26" s="79" t="n"/>
      <c r="H26" s="79" t="n"/>
      <c r="I26" s="79" t="n"/>
      <c r="J26" s="79" t="n"/>
      <c r="K26" s="79" t="n"/>
      <c r="L26" s="79" t="n"/>
      <c r="M26" s="79" t="n"/>
      <c r="N26" s="79" t="n"/>
      <c r="O26" s="79" t="n"/>
      <c r="P26" s="79" t="n"/>
      <c r="Q26" s="79" t="n"/>
      <c r="R26" s="79" t="n"/>
      <c r="S26" s="79" t="n"/>
      <c r="T26" s="79" t="n"/>
      <c r="U26" s="79" t="n"/>
      <c r="V26" s="79" t="n"/>
      <c r="W26" s="79" t="n"/>
      <c r="X26" s="79" t="n"/>
      <c r="Y26" s="79" t="n"/>
      <c r="Z26" s="79" t="n"/>
      <c r="AA26" s="79" t="n"/>
      <c r="AB26" s="79" t="n"/>
      <c r="AC26" s="79" t="n"/>
      <c r="AD26" s="79" t="n"/>
      <c r="AE26" s="79" t="n"/>
      <c r="AF26" s="79" t="n"/>
      <c r="AG26" s="79" t="n"/>
      <c r="AH26" s="79" t="n"/>
      <c r="AI26" s="79" t="n"/>
      <c r="AJ26" s="79" t="n"/>
      <c r="AK26" s="79" t="n"/>
      <c r="AL26" s="79" t="n"/>
      <c r="AM26" s="79" t="n"/>
      <c r="AN26" s="79" t="n"/>
      <c r="AO26" s="79" t="n"/>
      <c r="AP26" s="79" t="n"/>
      <c r="AQ26" s="79" t="n"/>
      <c r="AR26" s="79" t="n"/>
      <c r="AS26" s="79" t="n"/>
      <c r="AT26" s="79" t="n"/>
      <c r="AU26" s="79" t="n"/>
      <c r="AV26" s="79" t="n"/>
      <c r="AW26" s="79" t="n"/>
      <c r="AX26" s="79" t="n"/>
      <c r="AY26" s="79" t="n"/>
      <c r="AZ26" s="79" t="n"/>
      <c r="BA26" s="79" t="n"/>
      <c r="BB26" s="79" t="n"/>
      <c r="BC26" s="79" t="n"/>
      <c r="BD26" s="79" t="n"/>
      <c r="BE26" s="79" t="n"/>
      <c r="BF26" s="79" t="n"/>
      <c r="BG26" s="226" t="n"/>
      <c r="BH26" s="40" t="n"/>
      <c r="BI26" s="226" t="n"/>
      <c r="BJ26" s="226" t="n"/>
    </row>
    <row r="27" ht="15" customHeight="1" s="349">
      <c r="A27" s="307" t="n"/>
      <c r="B27" s="237" t="inlineStr">
        <is>
          <t>All other</t>
        </is>
      </c>
      <c r="C27" s="307" t="n"/>
      <c r="D27" s="241" t="inlineStr">
        <is>
          <t>€</t>
        </is>
      </c>
      <c r="E27" s="241" t="n">
        <v>0</v>
      </c>
      <c r="F27" s="241" t="n">
        <v>0</v>
      </c>
      <c r="G27" s="241" t="n">
        <v>0</v>
      </c>
      <c r="H27" s="241" t="n">
        <v>0</v>
      </c>
      <c r="I27" s="241" t="n">
        <v>0</v>
      </c>
      <c r="J27" s="241" t="n">
        <v>0</v>
      </c>
      <c r="K27" s="241" t="n">
        <v>0</v>
      </c>
      <c r="L27" s="241" t="n">
        <v>0</v>
      </c>
      <c r="M27" s="241" t="n">
        <v>0</v>
      </c>
      <c r="N27" s="241" t="n">
        <v>19480</v>
      </c>
      <c r="O27" s="241" t="n">
        <v>78000</v>
      </c>
      <c r="P27" s="241" t="n">
        <v>0</v>
      </c>
      <c r="Q27" s="241" t="n">
        <v>0</v>
      </c>
      <c r="R27" s="241" t="n">
        <v>0</v>
      </c>
      <c r="S27" s="241" t="n">
        <v>0</v>
      </c>
      <c r="T27" s="241" t="n">
        <v>0</v>
      </c>
      <c r="U27" s="241" t="n">
        <v>0</v>
      </c>
      <c r="V27" s="241" t="n">
        <v>0</v>
      </c>
      <c r="W27" s="241" t="n">
        <v>0</v>
      </c>
      <c r="X27" s="241" t="n">
        <v>106782</v>
      </c>
      <c r="Y27" s="241" t="n">
        <v>0</v>
      </c>
      <c r="Z27" s="241" t="n">
        <v>0</v>
      </c>
      <c r="AA27" s="241" t="n">
        <v>0</v>
      </c>
      <c r="AB27" s="241" t="n">
        <v>0</v>
      </c>
      <c r="AC27" s="241" t="n">
        <v>0</v>
      </c>
      <c r="AD27" s="241" t="n">
        <v>0</v>
      </c>
      <c r="AE27" s="241" t="n">
        <v>0</v>
      </c>
      <c r="AF27" s="241" t="n">
        <v>0</v>
      </c>
      <c r="AG27" s="241" t="n">
        <v>0</v>
      </c>
      <c r="AH27" s="241" t="n">
        <v>0</v>
      </c>
      <c r="AI27" s="241" t="n">
        <v>0</v>
      </c>
      <c r="AJ27" s="241" t="n">
        <v>0</v>
      </c>
      <c r="AK27" s="241" t="n">
        <v>0</v>
      </c>
      <c r="AL27" s="241" t="n">
        <v>0</v>
      </c>
      <c r="AM27" s="241" t="n">
        <v>0</v>
      </c>
      <c r="AN27" s="241" t="n">
        <v>0</v>
      </c>
      <c r="AO27" s="241" t="n">
        <v>0</v>
      </c>
      <c r="AP27" s="241" t="n">
        <v>0</v>
      </c>
      <c r="AQ27" s="241" t="n">
        <v>0</v>
      </c>
      <c r="AR27" s="241" t="n">
        <v>0</v>
      </c>
      <c r="AS27" s="241" t="n">
        <v>0</v>
      </c>
      <c r="AT27" s="241" t="n">
        <v>0</v>
      </c>
      <c r="AU27" s="241" t="n">
        <v>0</v>
      </c>
      <c r="AV27" s="241" t="n">
        <v>0</v>
      </c>
      <c r="AW27" s="241" t="n">
        <v>0</v>
      </c>
      <c r="AX27" s="241" t="n">
        <v>0</v>
      </c>
      <c r="AY27" s="241" t="n">
        <v>0</v>
      </c>
      <c r="AZ27" s="241" t="n">
        <v>0</v>
      </c>
      <c r="BA27" s="233" t="n"/>
      <c r="BB27" s="233">
        <f>SUM(E27:P27)</f>
        <v/>
      </c>
      <c r="BC27" s="233">
        <f>SUM(Q27:AB27)</f>
        <v/>
      </c>
      <c r="BD27" s="233">
        <f>SUM(AC27:AN27)</f>
        <v/>
      </c>
      <c r="BE27" s="233">
        <f>SUM(AO27:AZ27)</f>
        <v/>
      </c>
      <c r="BF27" s="233" t="n">
        <v>0</v>
      </c>
      <c r="BG27" s="226" t="n"/>
      <c r="BH27" s="40" t="inlineStr">
        <is>
          <t>nothing budgeted. the year columns just add the months up</t>
        </is>
      </c>
      <c r="BI27" s="226" t="n"/>
      <c r="BJ27" s="226" t="n"/>
    </row>
    <row r="28" ht="12.75" customHeight="1" s="349">
      <c r="A28" s="107" t="n"/>
      <c r="B28" s="243" t="inlineStr">
        <is>
          <t>Total Subsidies &amp; Grants</t>
        </is>
      </c>
      <c r="C28" s="244" t="n"/>
      <c r="D28" s="144" t="inlineStr">
        <is>
          <t>€</t>
        </is>
      </c>
      <c r="E28" s="227">
        <f>sum(E27)</f>
        <v/>
      </c>
      <c r="F28" s="227">
        <f>sum(F27)</f>
        <v/>
      </c>
      <c r="G28" s="227">
        <f>sum(G27)</f>
        <v/>
      </c>
      <c r="H28" s="227">
        <f>sum(H27)</f>
        <v/>
      </c>
      <c r="I28" s="227">
        <f>sum(I27)</f>
        <v/>
      </c>
      <c r="J28" s="227">
        <f>sum(J27)</f>
        <v/>
      </c>
      <c r="K28" s="227">
        <f>sum(K27)</f>
        <v/>
      </c>
      <c r="L28" s="227">
        <f>sum(L27)</f>
        <v/>
      </c>
      <c r="M28" s="227">
        <f>sum(M27)</f>
        <v/>
      </c>
      <c r="N28" s="227">
        <f>sum(N27)</f>
        <v/>
      </c>
      <c r="O28" s="227">
        <f>sum(O27)</f>
        <v/>
      </c>
      <c r="P28" s="227">
        <f>sum(P27)</f>
        <v/>
      </c>
      <c r="Q28" s="227">
        <f>sum(Q27)</f>
        <v/>
      </c>
      <c r="R28" s="227">
        <f>sum(R27)</f>
        <v/>
      </c>
      <c r="S28" s="227">
        <f>sum(S27)</f>
        <v/>
      </c>
      <c r="T28" s="227">
        <f>sum(T27)</f>
        <v/>
      </c>
      <c r="U28" s="227">
        <f>sum(U27)</f>
        <v/>
      </c>
      <c r="V28" s="227">
        <f>sum(V27)</f>
        <v/>
      </c>
      <c r="W28" s="227">
        <f>sum(W27)</f>
        <v/>
      </c>
      <c r="X28" s="227">
        <f>sum(X27)</f>
        <v/>
      </c>
      <c r="Y28" s="227">
        <f>sum(Y27)</f>
        <v/>
      </c>
      <c r="Z28" s="227">
        <f>sum(Z27)</f>
        <v/>
      </c>
      <c r="AA28" s="227">
        <f>sum(AA27)</f>
        <v/>
      </c>
      <c r="AB28" s="227">
        <f>sum(AB27)</f>
        <v/>
      </c>
      <c r="AC28" s="227">
        <f>sum(AC27)</f>
        <v/>
      </c>
      <c r="AD28" s="227">
        <f>sum(AD27)</f>
        <v/>
      </c>
      <c r="AE28" s="227">
        <f>sum(AE27)</f>
        <v/>
      </c>
      <c r="AF28" s="227">
        <f>sum(AF27)</f>
        <v/>
      </c>
      <c r="AG28" s="227">
        <f>sum(AG27)</f>
        <v/>
      </c>
      <c r="AH28" s="227">
        <f>sum(AH27)</f>
        <v/>
      </c>
      <c r="AI28" s="227">
        <f>sum(AI27)</f>
        <v/>
      </c>
      <c r="AJ28" s="227">
        <f>sum(AJ27)</f>
        <v/>
      </c>
      <c r="AK28" s="227">
        <f>sum(AK27)</f>
        <v/>
      </c>
      <c r="AL28" s="227">
        <f>sum(AL27)</f>
        <v/>
      </c>
      <c r="AM28" s="227">
        <f>sum(AM27)</f>
        <v/>
      </c>
      <c r="AN28" s="227">
        <f>sum(AN27)</f>
        <v/>
      </c>
      <c r="AO28" s="227">
        <f>sum(AO27)</f>
        <v/>
      </c>
      <c r="AP28" s="227">
        <f>sum(AP27)</f>
        <v/>
      </c>
      <c r="AQ28" s="227">
        <f>sum(AQ27)</f>
        <v/>
      </c>
      <c r="AR28" s="227">
        <f>sum(AR27)</f>
        <v/>
      </c>
      <c r="AS28" s="227">
        <f>sum(AS27)</f>
        <v/>
      </c>
      <c r="AT28" s="227">
        <f>sum(AT27)</f>
        <v/>
      </c>
      <c r="AU28" s="227">
        <f>sum(AU27)</f>
        <v/>
      </c>
      <c r="AV28" s="227">
        <f>sum(AV27)</f>
        <v/>
      </c>
      <c r="AW28" s="227">
        <f>sum(AW27)</f>
        <v/>
      </c>
      <c r="AX28" s="227">
        <f>sum(AX27)</f>
        <v/>
      </c>
      <c r="AY28" s="227">
        <f>sum(AY27)</f>
        <v/>
      </c>
      <c r="AZ28" s="227">
        <f>sum(AZ27)</f>
        <v/>
      </c>
      <c r="BA28" s="156" t="n"/>
      <c r="BB28" s="229">
        <f>SUM(E28:P28)</f>
        <v/>
      </c>
      <c r="BC28" s="245">
        <f>SUM(Q28:AB28)</f>
        <v/>
      </c>
      <c r="BD28" s="245">
        <f>BD27</f>
        <v/>
      </c>
      <c r="BE28" s="245">
        <f>BE27</f>
        <v/>
      </c>
      <c r="BF28" s="245">
        <f>BF27</f>
        <v/>
      </c>
      <c r="BG28" s="226" t="n"/>
      <c r="BH28" s="40" t="inlineStr">
        <is>
          <t>same as the line above</t>
        </is>
      </c>
      <c r="BI28" s="226" t="n"/>
      <c r="BJ28" s="226" t="n"/>
    </row>
    <row r="29" ht="15.75" customHeight="1" s="349">
      <c r="A29" s="307" t="n"/>
      <c r="B29" s="307" t="n"/>
      <c r="C29" s="307" t="n"/>
      <c r="D29" s="307" t="n"/>
      <c r="E29" s="307" t="n"/>
      <c r="F29" s="307" t="n"/>
      <c r="G29" s="307" t="n"/>
      <c r="H29" s="307" t="n"/>
      <c r="I29" s="307" t="n"/>
      <c r="J29" s="307" t="n"/>
      <c r="K29" s="307" t="n"/>
      <c r="L29" s="307" t="n"/>
      <c r="M29" s="307" t="n"/>
      <c r="N29" s="307" t="n"/>
      <c r="O29" s="307" t="n"/>
      <c r="P29" s="307" t="n"/>
      <c r="Q29" s="307" t="n"/>
      <c r="R29" s="307" t="n"/>
      <c r="S29" s="307" t="n"/>
      <c r="T29" s="307" t="n"/>
      <c r="U29" s="307" t="n"/>
      <c r="V29" s="307" t="n"/>
      <c r="W29" s="307" t="n"/>
      <c r="X29" s="307" t="n"/>
      <c r="Y29" s="307" t="n"/>
      <c r="Z29" s="307" t="n"/>
      <c r="AA29" s="307" t="n"/>
      <c r="AB29" s="307" t="n"/>
      <c r="AC29" s="307" t="n"/>
      <c r="AD29" s="307" t="n"/>
      <c r="AE29" s="307" t="n"/>
      <c r="AF29" s="307" t="n"/>
      <c r="AG29" s="307" t="n"/>
      <c r="AH29" s="307" t="n"/>
      <c r="AI29" s="307" t="n"/>
      <c r="AJ29" s="307" t="n"/>
      <c r="AK29" s="307" t="n"/>
      <c r="AL29" s="307" t="n"/>
      <c r="AM29" s="307" t="n"/>
      <c r="AN29" s="307" t="n"/>
      <c r="AO29" s="307" t="n"/>
      <c r="AP29" s="307" t="n"/>
      <c r="AQ29" s="307" t="n"/>
      <c r="AR29" s="307" t="n"/>
      <c r="AS29" s="307" t="n"/>
      <c r="AT29" s="307" t="n"/>
      <c r="AU29" s="307" t="n"/>
      <c r="AV29" s="307" t="n"/>
      <c r="AW29" s="307" t="n"/>
      <c r="AX29" s="307" t="n"/>
      <c r="AY29" s="307" t="n"/>
      <c r="AZ29" s="307" t="n"/>
      <c r="BA29" s="307" t="n"/>
      <c r="BB29" s="307" t="n"/>
      <c r="BC29" s="307" t="n"/>
      <c r="BD29" s="307" t="n"/>
      <c r="BE29" s="307" t="n"/>
      <c r="BF29" s="307" t="n"/>
      <c r="BG29" s="31" t="n"/>
      <c r="BH29" s="40" t="n"/>
      <c r="BI29" s="31" t="n"/>
      <c r="BJ29" s="31" t="n"/>
    </row>
    <row r="30" ht="15.75" customHeight="1" s="349">
      <c r="A30" s="246" t="n"/>
      <c r="B30" s="247" t="inlineStr">
        <is>
          <t>TOTAL REVENUE</t>
        </is>
      </c>
      <c r="C30" s="246" t="n"/>
      <c r="D30" s="246" t="n"/>
      <c r="E30" s="248">
        <f>E9+E15+E19+E24+E28</f>
        <v/>
      </c>
      <c r="F30" s="248">
        <f>F9+F15+F19+F24+F28</f>
        <v/>
      </c>
      <c r="G30" s="248">
        <f>G9+G15+G19+G24+G28</f>
        <v/>
      </c>
      <c r="H30" s="248">
        <f>H9+H15+H19+H24+H28</f>
        <v/>
      </c>
      <c r="I30" s="248">
        <f>I9+I15+I19+I24+I28</f>
        <v/>
      </c>
      <c r="J30" s="248">
        <f>J9+J15+J19+J24+J28</f>
        <v/>
      </c>
      <c r="K30" s="248">
        <f>K9+K15+K19+K24+K28</f>
        <v/>
      </c>
      <c r="L30" s="248">
        <f>L9+L15+L19+L24+L28</f>
        <v/>
      </c>
      <c r="M30" s="248">
        <f>M9+M15+M19+M24+M28</f>
        <v/>
      </c>
      <c r="N30" s="248">
        <f>N9+N15+N19+N24+N28</f>
        <v/>
      </c>
      <c r="O30" s="248">
        <f>O9+O15+O19+O24+O28</f>
        <v/>
      </c>
      <c r="P30" s="248">
        <f>P9+P15+P19+P24+P28</f>
        <v/>
      </c>
      <c r="Q30" s="248">
        <f>Q9+Q15+Q19+Q24+Q28</f>
        <v/>
      </c>
      <c r="R30" s="248">
        <f>R9+R15+R19+R24+R28</f>
        <v/>
      </c>
      <c r="S30" s="248">
        <f>S9+S15+S19+S24+S28</f>
        <v/>
      </c>
      <c r="T30" s="248">
        <f>T9+T15+T19+T24+T28</f>
        <v/>
      </c>
      <c r="U30" s="248">
        <f>U9+U15+U19+U24+U28</f>
        <v/>
      </c>
      <c r="V30" s="248">
        <f>V9+V15+V19+V24+V28</f>
        <v/>
      </c>
      <c r="W30" s="248">
        <f>W9+W15+W19+W24+W28</f>
        <v/>
      </c>
      <c r="X30" s="248">
        <f>X9+X15+X19+X24+X28</f>
        <v/>
      </c>
      <c r="Y30" s="248">
        <f>Y9+Y15+Y19+Y24+Y28</f>
        <v/>
      </c>
      <c r="Z30" s="248">
        <f>Z9+Z15+Z19+Z24+Z28</f>
        <v/>
      </c>
      <c r="AA30" s="248">
        <f>AA9+AA15+AA19+AA24+AA28</f>
        <v/>
      </c>
      <c r="AB30" s="248">
        <f>AB9+AB15+AB19+AB24+AB28</f>
        <v/>
      </c>
      <c r="AC30" s="248">
        <f>AC9+AC15+AC19+AC24+AC28</f>
        <v/>
      </c>
      <c r="AD30" s="248">
        <f>AD9+AD15+AD19+AD24+AD28</f>
        <v/>
      </c>
      <c r="AE30" s="248">
        <f>AE9+AE15+AE19+AE24+AE28</f>
        <v/>
      </c>
      <c r="AF30" s="248">
        <f>AF9+AF15+AF19+AF24+AF28</f>
        <v/>
      </c>
      <c r="AG30" s="248">
        <f>AG9+AG15+AG19+AG24+AG28</f>
        <v/>
      </c>
      <c r="AH30" s="248">
        <f>AH9+AH15+AH19+AH24+AH28</f>
        <v/>
      </c>
      <c r="AI30" s="248">
        <f>AI9+AI15+AI19+AI24+AI28</f>
        <v/>
      </c>
      <c r="AJ30" s="248">
        <f>AJ9+AJ15+AJ19+AJ24+AJ28</f>
        <v/>
      </c>
      <c r="AK30" s="248">
        <f>AK9+AK15+AK19+AK24+AK28</f>
        <v/>
      </c>
      <c r="AL30" s="248">
        <f>AL9+AL15+AL19+AL24+AL28</f>
        <v/>
      </c>
      <c r="AM30" s="248">
        <f>AM9+AM15+AM19+AM24+AM28</f>
        <v/>
      </c>
      <c r="AN30" s="248">
        <f>AN9+AN15+AN19+AN24+AN28</f>
        <v/>
      </c>
      <c r="AO30" s="248">
        <f>AO9+AO15+AO19+AO24+AO28</f>
        <v/>
      </c>
      <c r="AP30" s="248">
        <f>AP9+AP15+AP19+AP24+AP28</f>
        <v/>
      </c>
      <c r="AQ30" s="248">
        <f>AQ9+AQ15+AQ19+AQ24+AQ28</f>
        <v/>
      </c>
      <c r="AR30" s="248">
        <f>AR9+AR15+AR19+AR24+AR28</f>
        <v/>
      </c>
      <c r="AS30" s="248">
        <f>AS9+AS15+AS19+AS24+AS28</f>
        <v/>
      </c>
      <c r="AT30" s="248">
        <f>AT9+AT15+AT19+AT24+AT28</f>
        <v/>
      </c>
      <c r="AU30" s="248">
        <f>AU9+AU15+AU19+AU24+AU28</f>
        <v/>
      </c>
      <c r="AV30" s="248">
        <f>AV9+AV15+AV19+AV24+AV28</f>
        <v/>
      </c>
      <c r="AW30" s="248">
        <f>AW9+AW15+AW19+AW24+AW28</f>
        <v/>
      </c>
      <c r="AX30" s="248">
        <f>AX9+AX15+AX19+AX24+AX28</f>
        <v/>
      </c>
      <c r="AY30" s="248">
        <f>AY9+AY15+AY19+AY24+AY28</f>
        <v/>
      </c>
      <c r="AZ30" s="248">
        <f>AZ9+AZ15+AZ19+AZ24+AZ28</f>
        <v/>
      </c>
      <c r="BA30" s="154" t="n"/>
      <c r="BB30" s="248">
        <f>BB9+BB15+BB19+BB24+BB28</f>
        <v/>
      </c>
      <c r="BC30" s="248">
        <f>BC9+BC15+BC19+BC24+BC28</f>
        <v/>
      </c>
      <c r="BD30" s="248">
        <f>SUM(AC30:AN30)</f>
        <v/>
      </c>
      <c r="BE30" s="248">
        <f>SUM(AO30:AZ30)</f>
        <v/>
      </c>
      <c r="BF30" s="248">
        <f>BF9+BF15+BF19+BF24+BF28</f>
        <v/>
      </c>
      <c r="BG30" s="137" t="n"/>
      <c r="BH30" s="40" t="inlineStr">
        <is>
          <t>everything added: TTK + Combi+ + installation + service + subsidies</t>
        </is>
      </c>
      <c r="BI30" s="137" t="n"/>
      <c r="BJ30" s="137" t="n"/>
    </row>
    <row r="31" ht="15.75" customHeight="1" s="349">
      <c r="A31" s="307" t="n"/>
      <c r="B31" s="307" t="n"/>
      <c r="C31" s="307" t="n"/>
      <c r="D31" s="307" t="n"/>
      <c r="E31" s="307" t="n"/>
      <c r="F31" s="307" t="n"/>
      <c r="G31" s="307" t="n"/>
      <c r="H31" s="307" t="n"/>
      <c r="I31" s="307" t="n"/>
      <c r="J31" s="307" t="n"/>
      <c r="K31" s="307" t="n"/>
      <c r="L31" s="307" t="n"/>
      <c r="M31" s="307" t="n"/>
      <c r="N31" s="307" t="n"/>
      <c r="O31" s="307" t="n"/>
      <c r="P31" s="307" t="n"/>
      <c r="Q31" s="307" t="n"/>
      <c r="R31" s="307" t="n"/>
      <c r="S31" s="307" t="n"/>
      <c r="T31" s="307" t="n"/>
      <c r="U31" s="307" t="n"/>
      <c r="V31" s="307" t="n"/>
      <c r="W31" s="307" t="n"/>
      <c r="X31" s="307" t="n"/>
      <c r="Y31" s="307" t="n"/>
      <c r="Z31" s="307" t="n"/>
      <c r="AA31" s="307" t="n"/>
      <c r="AB31" s="307" t="n"/>
      <c r="AC31" s="307" t="n"/>
      <c r="AD31" s="307" t="n"/>
      <c r="AE31" s="307" t="n"/>
      <c r="AF31" s="307" t="n"/>
      <c r="AG31" s="307" t="n"/>
      <c r="AH31" s="307" t="n"/>
      <c r="AI31" s="307" t="n"/>
      <c r="AJ31" s="307" t="n"/>
      <c r="AK31" s="307" t="n"/>
      <c r="AL31" s="307" t="n"/>
      <c r="AM31" s="307" t="n"/>
      <c r="AN31" s="307" t="n"/>
      <c r="AO31" s="307" t="n"/>
      <c r="AP31" s="307" t="n"/>
      <c r="AQ31" s="307" t="n"/>
      <c r="AR31" s="307" t="n"/>
      <c r="AS31" s="307" t="n"/>
      <c r="AT31" s="307" t="n"/>
      <c r="AU31" s="307" t="n"/>
      <c r="AV31" s="307" t="n"/>
      <c r="AW31" s="307" t="n"/>
      <c r="AX31" s="307" t="n"/>
      <c r="AY31" s="307" t="n"/>
      <c r="AZ31" s="307" t="n"/>
      <c r="BA31" s="307" t="n"/>
      <c r="BB31" s="307" t="n"/>
      <c r="BC31" s="307" t="n"/>
      <c r="BD31" s="307" t="n"/>
      <c r="BE31" s="307" t="n"/>
      <c r="BF31" s="307" t="n"/>
      <c r="BG31" s="31" t="n"/>
      <c r="BH31" s="40" t="n"/>
      <c r="BI31" s="31" t="n"/>
      <c r="BJ31" s="31" t="n"/>
    </row>
    <row r="32" ht="15.75" customHeight="1" s="349">
      <c r="A32" s="307" t="n"/>
      <c r="B32" s="307" t="n"/>
      <c r="C32" s="307" t="n"/>
      <c r="D32" s="307" t="n"/>
      <c r="E32" s="307" t="n"/>
      <c r="F32" s="307" t="n"/>
      <c r="G32" s="307" t="n"/>
      <c r="H32" s="307" t="n"/>
      <c r="I32" s="307" t="n"/>
      <c r="J32" s="307" t="n"/>
      <c r="K32" s="307" t="n"/>
      <c r="L32" s="307" t="n"/>
      <c r="M32" s="307" t="n"/>
      <c r="N32" s="307" t="n"/>
      <c r="O32" s="307" t="n"/>
      <c r="P32" s="307" t="n"/>
      <c r="Q32" s="307" t="n"/>
      <c r="R32" s="307" t="n"/>
      <c r="S32" s="307" t="n"/>
      <c r="T32" s="307" t="n"/>
      <c r="U32" s="307" t="n"/>
      <c r="V32" s="307" t="n"/>
      <c r="W32" s="307" t="n"/>
      <c r="X32" s="307" t="n"/>
      <c r="Y32" s="307" t="n"/>
      <c r="Z32" s="307" t="n"/>
      <c r="AA32" s="307" t="n"/>
      <c r="AB32" s="307" t="n"/>
      <c r="AC32" s="307" t="n"/>
      <c r="AD32" s="307" t="n"/>
      <c r="AE32" s="307" t="n"/>
      <c r="AF32" s="307" t="n"/>
      <c r="AG32" s="307" t="n"/>
      <c r="AH32" s="307" t="n"/>
      <c r="AI32" s="307" t="n"/>
      <c r="AJ32" s="307" t="n"/>
      <c r="AK32" s="307" t="n"/>
      <c r="AL32" s="307" t="n"/>
      <c r="AM32" s="307" t="n"/>
      <c r="AN32" s="307" t="n"/>
      <c r="AO32" s="307" t="n"/>
      <c r="AP32" s="307" t="n"/>
      <c r="AQ32" s="307" t="n"/>
      <c r="AR32" s="307" t="n"/>
      <c r="AS32" s="307" t="n"/>
      <c r="AT32" s="307" t="n"/>
      <c r="AU32" s="307" t="n"/>
      <c r="AV32" s="307" t="n"/>
      <c r="AW32" s="307" t="n"/>
      <c r="AX32" s="307" t="n"/>
      <c r="AY32" s="307" t="n"/>
      <c r="AZ32" s="307" t="n"/>
      <c r="BA32" s="307" t="n"/>
      <c r="BB32" s="307" t="n"/>
      <c r="BC32" s="307" t="n"/>
      <c r="BD32" s="307" t="n"/>
      <c r="BE32" s="307" t="n"/>
      <c r="BF32" s="307" t="n"/>
      <c r="BG32" s="31" t="n"/>
      <c r="BH32" s="40" t="n"/>
      <c r="BI32" s="31" t="n"/>
      <c r="BJ32" s="31" t="n"/>
    </row>
    <row r="33" outlineLevel="1" ht="15.75" customHeight="1" s="349">
      <c r="A33" s="107" t="n"/>
      <c r="B33" s="107" t="inlineStr">
        <is>
          <t>Installed Base</t>
        </is>
      </c>
      <c r="C33" s="107" t="n"/>
      <c r="D33" s="107" t="n"/>
      <c r="E33" s="156">
        <f>sum(E22:E23)</f>
        <v/>
      </c>
      <c r="F33" s="156">
        <f>sum(F22:F23)</f>
        <v/>
      </c>
      <c r="G33" s="156">
        <f>sum(G22:G23)</f>
        <v/>
      </c>
      <c r="H33" s="156">
        <f>sum(H22:H23)</f>
        <v/>
      </c>
      <c r="I33" s="156">
        <f>sum(I22:I23)</f>
        <v/>
      </c>
      <c r="J33" s="156">
        <f>sum(J22:J23)</f>
        <v/>
      </c>
      <c r="K33" s="156">
        <f>sum(K22:K23)</f>
        <v/>
      </c>
      <c r="L33" s="156">
        <f>sum(L22:L23)</f>
        <v/>
      </c>
      <c r="M33" s="156">
        <f>sum(M22:M23)</f>
        <v/>
      </c>
      <c r="N33" s="156">
        <f>sum(N22:N23)</f>
        <v/>
      </c>
      <c r="O33" s="156">
        <f>sum(O22:O23)</f>
        <v/>
      </c>
      <c r="P33" s="156">
        <f>sum(P22:P23)</f>
        <v/>
      </c>
      <c r="Q33" s="156">
        <f>sum(Q22:Q23)</f>
        <v/>
      </c>
      <c r="R33" s="156">
        <f>sum(R22:R23)</f>
        <v/>
      </c>
      <c r="S33" s="156">
        <f>sum(S22:S23)</f>
        <v/>
      </c>
      <c r="T33" s="156">
        <f>sum(T22:T23)</f>
        <v/>
      </c>
      <c r="U33" s="156">
        <f>sum(U22:U23)</f>
        <v/>
      </c>
      <c r="V33" s="156">
        <f>sum(V22:V23)</f>
        <v/>
      </c>
      <c r="W33" s="156">
        <f>sum(W22:W23)</f>
        <v/>
      </c>
      <c r="X33" s="156">
        <f>sum(X22:X23)</f>
        <v/>
      </c>
      <c r="Y33" s="156">
        <f>sum(Y22:Y23)</f>
        <v/>
      </c>
      <c r="Z33" s="156">
        <f>sum(Z22:Z23)</f>
        <v/>
      </c>
      <c r="AA33" s="156">
        <f>sum(AA22:AA23)</f>
        <v/>
      </c>
      <c r="AB33" s="156">
        <f>sum(AB22:AB23)</f>
        <v/>
      </c>
      <c r="AC33" s="156">
        <f>sum(AC22:AC23)</f>
        <v/>
      </c>
      <c r="AD33" s="156">
        <f>sum(AD22:AD23)</f>
        <v/>
      </c>
      <c r="AE33" s="156">
        <f>sum(AE22:AE23)</f>
        <v/>
      </c>
      <c r="AF33" s="156">
        <f>sum(AF22:AF23)</f>
        <v/>
      </c>
      <c r="AG33" s="156">
        <f>sum(AG22:AG23)</f>
        <v/>
      </c>
      <c r="AH33" s="156">
        <f>sum(AH22:AH23)</f>
        <v/>
      </c>
      <c r="AI33" s="156">
        <f>sum(AI22:AI23)</f>
        <v/>
      </c>
      <c r="AJ33" s="156">
        <f>sum(AJ22:AJ23)</f>
        <v/>
      </c>
      <c r="AK33" s="156">
        <f>sum(AK22:AK23)</f>
        <v/>
      </c>
      <c r="AL33" s="156">
        <f>sum(AL22:AL23)</f>
        <v/>
      </c>
      <c r="AM33" s="156">
        <f>sum(AM22:AM23)</f>
        <v/>
      </c>
      <c r="AN33" s="156">
        <f>sum(AN22:AN23)</f>
        <v/>
      </c>
      <c r="AO33" s="156">
        <f>sum(AO22:AO23)</f>
        <v/>
      </c>
      <c r="AP33" s="156">
        <f>sum(AP22:AP23)</f>
        <v/>
      </c>
      <c r="AQ33" s="156">
        <f>sum(AQ22:AQ23)</f>
        <v/>
      </c>
      <c r="AR33" s="156">
        <f>sum(AR22:AR23)</f>
        <v/>
      </c>
      <c r="AS33" s="156">
        <f>sum(AS22:AS23)</f>
        <v/>
      </c>
      <c r="AT33" s="156">
        <f>sum(AT22:AT23)</f>
        <v/>
      </c>
      <c r="AU33" s="156">
        <f>sum(AU22:AU23)</f>
        <v/>
      </c>
      <c r="AV33" s="156">
        <f>sum(AV22:AV23)</f>
        <v/>
      </c>
      <c r="AW33" s="156">
        <f>sum(AW22:AW23)</f>
        <v/>
      </c>
      <c r="AX33" s="156">
        <f>sum(AX22:AX23)</f>
        <v/>
      </c>
      <c r="AY33" s="156">
        <f>sum(AY22:AY23)</f>
        <v/>
      </c>
      <c r="AZ33" s="156">
        <f>sum(AZ22:AZ23)</f>
        <v/>
      </c>
      <c r="BA33" s="107" t="n"/>
      <c r="BB33" s="156">
        <f>sum(BB22:BB23)</f>
        <v/>
      </c>
      <c r="BC33" s="156">
        <f>sum(BC22:BC23)</f>
        <v/>
      </c>
      <c r="BD33" s="156">
        <f>sum(BD22:BD23)</f>
        <v/>
      </c>
      <c r="BE33" s="156">
        <f>sum(BE22:BE23)</f>
        <v/>
      </c>
      <c r="BF33" s="156">
        <f>sum(BF22:BF23)</f>
        <v/>
      </c>
      <c r="BG33" s="151" t="n"/>
      <c r="BH33" s="40" t="inlineStr">
        <is>
          <t>total machines in the field (TTK + Combi+)</t>
        </is>
      </c>
      <c r="BI33" s="151" t="n"/>
      <c r="BJ33" s="151" t="n"/>
    </row>
    <row r="34" outlineLevel="1" ht="15.75" customHeight="1" s="349">
      <c r="A34" s="107" t="n"/>
      <c r="B34" s="107" t="inlineStr">
        <is>
          <t>Units sold</t>
        </is>
      </c>
      <c r="C34" s="107" t="n"/>
      <c r="D34" s="107" t="inlineStr">
        <is>
          <t>#</t>
        </is>
      </c>
      <c r="E34" s="156">
        <f>E6+E12</f>
        <v/>
      </c>
      <c r="F34" s="156">
        <f>F6+F12</f>
        <v/>
      </c>
      <c r="G34" s="156">
        <f>G6+G12</f>
        <v/>
      </c>
      <c r="H34" s="156">
        <f>H6+H12</f>
        <v/>
      </c>
      <c r="I34" s="156">
        <f>I6+I12</f>
        <v/>
      </c>
      <c r="J34" s="156">
        <f>J6+J12</f>
        <v/>
      </c>
      <c r="K34" s="156">
        <f>K6+K12</f>
        <v/>
      </c>
      <c r="L34" s="156">
        <f>L6+L12</f>
        <v/>
      </c>
      <c r="M34" s="156">
        <f>M6+M12</f>
        <v/>
      </c>
      <c r="N34" s="156">
        <f>N6+N12</f>
        <v/>
      </c>
      <c r="O34" s="156">
        <f>O6+O12</f>
        <v/>
      </c>
      <c r="P34" s="156">
        <f>P6+P12</f>
        <v/>
      </c>
      <c r="Q34" s="156">
        <f>Q6+Q12</f>
        <v/>
      </c>
      <c r="R34" s="156">
        <f>R6+R12</f>
        <v/>
      </c>
      <c r="S34" s="156">
        <f>S6+S12</f>
        <v/>
      </c>
      <c r="T34" s="156">
        <f>T6+T12</f>
        <v/>
      </c>
      <c r="U34" s="156">
        <f>U6+U12</f>
        <v/>
      </c>
      <c r="V34" s="156">
        <f>V6+V12</f>
        <v/>
      </c>
      <c r="W34" s="156">
        <f>W6+W12</f>
        <v/>
      </c>
      <c r="X34" s="156">
        <f>X6+X12</f>
        <v/>
      </c>
      <c r="Y34" s="156">
        <f>Y6+Y12</f>
        <v/>
      </c>
      <c r="Z34" s="156">
        <f>Z6+Z12</f>
        <v/>
      </c>
      <c r="AA34" s="156">
        <f>AA6+AA12</f>
        <v/>
      </c>
      <c r="AB34" s="156">
        <f>AB6+AB12</f>
        <v/>
      </c>
      <c r="AC34" s="156">
        <f>AC6+AC12</f>
        <v/>
      </c>
      <c r="AD34" s="156">
        <f>AD6+AD12</f>
        <v/>
      </c>
      <c r="AE34" s="156">
        <f>AE6+AE12</f>
        <v/>
      </c>
      <c r="AF34" s="156">
        <f>AF6+AF12</f>
        <v/>
      </c>
      <c r="AG34" s="156">
        <f>AG6+AG12</f>
        <v/>
      </c>
      <c r="AH34" s="156">
        <f>AH6+AH12</f>
        <v/>
      </c>
      <c r="AI34" s="156">
        <f>AI6+AI12</f>
        <v/>
      </c>
      <c r="AJ34" s="156">
        <f>AJ6+AJ12</f>
        <v/>
      </c>
      <c r="AK34" s="156">
        <f>AK6+AK12</f>
        <v/>
      </c>
      <c r="AL34" s="156">
        <f>AL6+AL12</f>
        <v/>
      </c>
      <c r="AM34" s="156">
        <f>AM6+AM12</f>
        <v/>
      </c>
      <c r="AN34" s="156">
        <f>AN6+AN12</f>
        <v/>
      </c>
      <c r="AO34" s="156">
        <f>AO6+AO12</f>
        <v/>
      </c>
      <c r="AP34" s="156">
        <f>AP6+AP12</f>
        <v/>
      </c>
      <c r="AQ34" s="156">
        <f>AQ6+AQ12</f>
        <v/>
      </c>
      <c r="AR34" s="156">
        <f>AR6+AR12</f>
        <v/>
      </c>
      <c r="AS34" s="156">
        <f>AS6+AS12</f>
        <v/>
      </c>
      <c r="AT34" s="156">
        <f>AT6+AT12</f>
        <v/>
      </c>
      <c r="AU34" s="156">
        <f>AU6+AU12</f>
        <v/>
      </c>
      <c r="AV34" s="156">
        <f>AV6+AV12</f>
        <v/>
      </c>
      <c r="AW34" s="156">
        <f>AW6+AW12</f>
        <v/>
      </c>
      <c r="AX34" s="156">
        <f>AX6+AX12</f>
        <v/>
      </c>
      <c r="AY34" s="156">
        <f>AY6+AY12</f>
        <v/>
      </c>
      <c r="AZ34" s="156">
        <f>AZ6+AZ12</f>
        <v/>
      </c>
      <c r="BA34" s="156" t="n"/>
      <c r="BB34" s="156" t="n">
        <v>0</v>
      </c>
      <c r="BC34" s="156" t="n">
        <v>0</v>
      </c>
      <c r="BD34" s="156">
        <f>SUM(AC34:AN34)</f>
        <v/>
      </c>
      <c r="BE34" s="156">
        <f>SUM(AO34:AZ34)</f>
        <v/>
      </c>
      <c r="BF34" s="156">
        <f>BF18</f>
        <v/>
      </c>
      <c r="BG34" s="158" t="n"/>
      <c r="BH34" s="40" t="inlineStr">
        <is>
          <t>units sold this period. the COGS volume tiers look at this row</t>
        </is>
      </c>
      <c r="BI34" s="158" t="n"/>
      <c r="BJ34" s="158" t="n"/>
    </row>
    <row r="35" ht="15.75" customHeight="1" s="349">
      <c r="A35" s="307" t="n"/>
      <c r="B35" s="307" t="n"/>
      <c r="C35" s="307" t="n"/>
      <c r="D35" s="307" t="n"/>
      <c r="E35" s="307" t="n"/>
      <c r="F35" s="307" t="n"/>
      <c r="G35" s="307" t="n"/>
      <c r="H35" s="307" t="n"/>
      <c r="I35" s="307" t="n"/>
      <c r="J35" s="307" t="n"/>
      <c r="K35" s="307" t="n"/>
      <c r="L35" s="307" t="n"/>
      <c r="M35" s="307" t="n"/>
      <c r="N35" s="307" t="n"/>
      <c r="O35" s="307" t="n"/>
      <c r="P35" s="307" t="n"/>
      <c r="Q35" s="307" t="n"/>
      <c r="R35" s="307" t="n"/>
      <c r="S35" s="307" t="n"/>
      <c r="T35" s="307" t="n"/>
      <c r="U35" s="307" t="n"/>
      <c r="V35" s="307" t="n"/>
      <c r="W35" s="307" t="n"/>
      <c r="X35" s="307" t="n"/>
      <c r="Y35" s="307" t="n"/>
      <c r="Z35" s="307" t="n"/>
      <c r="AA35" s="307" t="n"/>
      <c r="AB35" s="307" t="n"/>
      <c r="AC35" s="307" t="n"/>
      <c r="AD35" s="307" t="n"/>
      <c r="AE35" s="307" t="n"/>
      <c r="AF35" s="307" t="n"/>
      <c r="AG35" s="307" t="n"/>
      <c r="AH35" s="307" t="n"/>
      <c r="AI35" s="307" t="n"/>
      <c r="AJ35" s="307" t="n"/>
      <c r="AK35" s="307" t="n"/>
      <c r="AL35" s="307" t="n"/>
      <c r="AM35" s="307" t="n"/>
      <c r="AN35" s="307" t="n"/>
      <c r="AO35" s="307" t="n"/>
      <c r="AP35" s="307" t="n"/>
      <c r="AQ35" s="307" t="n"/>
      <c r="AR35" s="307" t="n"/>
      <c r="AS35" s="307" t="n"/>
      <c r="AT35" s="307" t="n"/>
      <c r="AU35" s="307" t="n"/>
      <c r="AV35" s="307" t="n"/>
      <c r="AW35" s="307" t="n"/>
      <c r="AX35" s="307" t="n"/>
      <c r="AY35" s="307" t="n"/>
      <c r="AZ35" s="307" t="n"/>
      <c r="BA35" s="307" t="n"/>
      <c r="BB35" s="307" t="n"/>
      <c r="BC35" s="307" t="n"/>
      <c r="BD35" s="307" t="n"/>
      <c r="BE35" s="307" t="n"/>
      <c r="BF35" s="307" t="n"/>
      <c r="BG35" s="31" t="n"/>
      <c r="BH35" s="31" t="n"/>
      <c r="BI35" s="31" t="n"/>
      <c r="BJ35" s="31" t="n"/>
    </row>
    <row r="36" ht="15.75" customHeight="1" s="349">
      <c r="A36" s="307" t="n"/>
      <c r="B36" s="307" t="n"/>
      <c r="C36" s="307" t="n"/>
      <c r="D36" s="307" t="n"/>
      <c r="E36" s="307" t="n"/>
      <c r="F36" s="307" t="n"/>
      <c r="G36" s="307" t="n"/>
      <c r="H36" s="307" t="n"/>
      <c r="I36" s="307" t="n"/>
      <c r="J36" s="307" t="n"/>
      <c r="K36" s="307" t="n"/>
      <c r="L36" s="307" t="n"/>
      <c r="M36" s="307" t="n"/>
      <c r="N36" s="307" t="n"/>
      <c r="O36" s="307" t="n"/>
      <c r="P36" s="307" t="n"/>
      <c r="Q36" s="307" t="n"/>
      <c r="R36" s="307" t="n"/>
      <c r="S36" s="307" t="n"/>
      <c r="T36" s="307" t="n"/>
      <c r="U36" s="307" t="n"/>
      <c r="V36" s="307" t="n"/>
      <c r="W36" s="307" t="n"/>
      <c r="X36" s="307" t="n"/>
      <c r="Y36" s="307" t="n"/>
      <c r="Z36" s="307" t="n"/>
      <c r="AA36" s="307" t="n"/>
      <c r="AB36" s="307" t="n"/>
      <c r="AC36" s="307" t="n"/>
      <c r="AD36" s="307" t="n"/>
      <c r="AE36" s="307" t="n"/>
      <c r="AF36" s="307" t="n"/>
      <c r="AG36" s="307" t="n"/>
      <c r="AH36" s="307" t="n"/>
      <c r="AI36" s="307" t="n"/>
      <c r="AJ36" s="307" t="n"/>
      <c r="AK36" s="307" t="n"/>
      <c r="AL36" s="307" t="n"/>
      <c r="AM36" s="307" t="n"/>
      <c r="AN36" s="307" t="n"/>
      <c r="AO36" s="307" t="n"/>
      <c r="AP36" s="307" t="n"/>
      <c r="AQ36" s="307" t="n"/>
      <c r="AR36" s="307" t="n"/>
      <c r="AS36" s="307" t="n"/>
      <c r="AT36" s="307" t="n"/>
      <c r="AU36" s="307" t="n"/>
      <c r="AV36" s="307" t="n"/>
      <c r="AW36" s="307" t="n"/>
      <c r="AX36" s="307" t="n"/>
      <c r="AY36" s="307" t="n"/>
      <c r="AZ36" s="307" t="n"/>
      <c r="BA36" s="307" t="n"/>
      <c r="BB36" s="307" t="n"/>
      <c r="BC36" s="307" t="n"/>
      <c r="BD36" s="307" t="n"/>
      <c r="BE36" s="217" t="n"/>
      <c r="BF36" s="307" t="n"/>
      <c r="BG36" s="31" t="n"/>
      <c r="BH36" s="31" t="n"/>
      <c r="BI36" s="31" t="n"/>
      <c r="BJ36" s="31" t="n"/>
    </row>
    <row r="37" ht="15.75" customHeight="1" s="349">
      <c r="A37" s="307" t="n"/>
      <c r="B37" s="307" t="n"/>
      <c r="C37" s="307" t="n"/>
      <c r="D37" s="307" t="n"/>
      <c r="E37" s="307" t="n"/>
      <c r="F37" s="307" t="n"/>
      <c r="G37" s="307" t="n"/>
      <c r="H37" s="307" t="n"/>
      <c r="I37" s="307" t="n"/>
      <c r="J37" s="307" t="n"/>
      <c r="K37" s="307" t="n"/>
      <c r="L37" s="307" t="n"/>
      <c r="M37" s="307" t="n"/>
      <c r="N37" s="307" t="n"/>
      <c r="O37" s="307" t="n"/>
      <c r="P37" s="307" t="n"/>
      <c r="Q37" s="307" t="n"/>
      <c r="R37" s="307" t="n"/>
      <c r="S37" s="307" t="n"/>
      <c r="T37" s="307" t="n"/>
      <c r="U37" s="307" t="n"/>
      <c r="V37" s="307" t="n"/>
      <c r="W37" s="307" t="n"/>
      <c r="X37" s="307" t="n"/>
      <c r="Y37" s="307" t="n"/>
      <c r="Z37" s="307" t="n"/>
      <c r="AA37" s="307" t="n"/>
      <c r="AB37" s="307" t="n"/>
      <c r="AC37" s="307" t="n"/>
      <c r="AD37" s="307" t="n"/>
      <c r="AE37" s="307" t="n"/>
      <c r="AF37" s="307" t="n"/>
      <c r="AG37" s="307" t="n"/>
      <c r="AH37" s="307" t="n"/>
      <c r="AI37" s="307" t="n"/>
      <c r="AJ37" s="307" t="n"/>
      <c r="AK37" s="307" t="n"/>
      <c r="AL37" s="307" t="n"/>
      <c r="AM37" s="307" t="n"/>
      <c r="AN37" s="307" t="n"/>
      <c r="AO37" s="307" t="n"/>
      <c r="AP37" s="307" t="n"/>
      <c r="AQ37" s="307" t="n"/>
      <c r="AR37" s="307" t="n"/>
      <c r="AS37" s="307" t="n"/>
      <c r="AT37" s="307" t="n"/>
      <c r="AU37" s="307" t="n"/>
      <c r="AV37" s="307" t="n"/>
      <c r="AW37" s="307" t="n"/>
      <c r="AX37" s="307" t="n"/>
      <c r="AY37" s="307" t="n"/>
      <c r="AZ37" s="307" t="n"/>
      <c r="BA37" s="307" t="n"/>
      <c r="BB37" s="307" t="n"/>
      <c r="BC37" s="307" t="n"/>
      <c r="BD37" s="307" t="n"/>
      <c r="BE37" s="217" t="n"/>
      <c r="BF37" s="307" t="n"/>
      <c r="BG37" s="31" t="n"/>
      <c r="BH37" s="31" t="n"/>
      <c r="BI37" s="31" t="n"/>
      <c r="BJ37" s="31" t="n"/>
    </row>
    <row r="38" ht="15.75" customHeight="1" s="349">
      <c r="A38" s="307" t="n"/>
      <c r="B38" s="307" t="n"/>
      <c r="C38" s="307" t="n"/>
      <c r="D38" s="307" t="n"/>
      <c r="E38" s="307" t="n"/>
      <c r="F38" s="307" t="n"/>
      <c r="G38" s="307" t="n"/>
      <c r="H38" s="307" t="n"/>
      <c r="I38" s="307" t="n"/>
      <c r="J38" s="307" t="n"/>
      <c r="K38" s="307" t="n"/>
      <c r="L38" s="307" t="n"/>
      <c r="M38" s="307" t="n"/>
      <c r="N38" s="307" t="n"/>
      <c r="O38" s="307" t="n"/>
      <c r="P38" s="307" t="n"/>
      <c r="Q38" s="307" t="n"/>
      <c r="R38" s="307" t="n"/>
      <c r="S38" s="307" t="n"/>
      <c r="T38" s="307" t="n"/>
      <c r="U38" s="307" t="n"/>
      <c r="V38" s="307" t="n"/>
      <c r="W38" s="307" t="n"/>
      <c r="X38" s="307" t="n"/>
      <c r="Y38" s="307" t="n"/>
      <c r="Z38" s="307" t="n"/>
      <c r="AA38" s="307" t="n"/>
      <c r="AB38" s="307" t="n"/>
      <c r="AC38" s="307" t="n"/>
      <c r="AD38" s="307" t="n"/>
      <c r="AE38" s="307" t="n"/>
      <c r="AF38" s="307" t="n"/>
      <c r="AG38" s="307" t="n"/>
      <c r="AH38" s="307" t="n"/>
      <c r="AI38" s="307" t="n"/>
      <c r="AJ38" s="307" t="n"/>
      <c r="AK38" s="307" t="n"/>
      <c r="AL38" s="307" t="n"/>
      <c r="AM38" s="307" t="n"/>
      <c r="AN38" s="307" t="n"/>
      <c r="AO38" s="307" t="n"/>
      <c r="AP38" s="307" t="n"/>
      <c r="AQ38" s="307" t="n"/>
      <c r="AR38" s="307" t="n"/>
      <c r="AS38" s="307" t="n"/>
      <c r="AT38" s="307" t="n"/>
      <c r="AU38" s="307" t="n"/>
      <c r="AV38" s="307" t="n"/>
      <c r="AW38" s="307" t="n"/>
      <c r="AY38" s="307" t="n"/>
      <c r="AZ38" s="307" t="n"/>
      <c r="BA38" s="307" t="n"/>
      <c r="BB38" s="307" t="n"/>
      <c r="BC38" s="307" t="n"/>
      <c r="BD38" s="217" t="n"/>
      <c r="BE38" s="217" t="n"/>
      <c r="BF38" s="307" t="n"/>
      <c r="BG38" s="31" t="n"/>
      <c r="BH38" s="31" t="n"/>
      <c r="BI38" s="31" t="n"/>
      <c r="BJ38" s="31" t="n"/>
    </row>
    <row r="39" ht="15.75" customHeight="1" s="349">
      <c r="A39" s="307" t="n"/>
      <c r="B39" s="307" t="n"/>
      <c r="C39" s="307" t="n"/>
      <c r="D39" s="307" t="n"/>
      <c r="E39" s="307" t="n"/>
      <c r="F39" s="307" t="n"/>
      <c r="G39" s="307" t="n"/>
      <c r="H39" s="307" t="n"/>
      <c r="I39" s="307" t="n"/>
      <c r="J39" s="307" t="n"/>
      <c r="K39" s="307" t="n"/>
      <c r="L39" s="307" t="n"/>
      <c r="M39" s="307" t="n"/>
      <c r="N39" s="307" t="n"/>
      <c r="O39" s="307" t="n"/>
      <c r="P39" s="307" t="n"/>
      <c r="Q39" s="307" t="n"/>
      <c r="R39" s="307" t="n"/>
      <c r="S39" s="307" t="n"/>
      <c r="T39" s="307" t="n"/>
      <c r="U39" s="307" t="n"/>
      <c r="V39" s="307" t="n"/>
      <c r="W39" s="307" t="n"/>
      <c r="X39" s="307" t="n"/>
      <c r="Y39" s="307" t="n"/>
      <c r="Z39" s="307" t="n"/>
      <c r="AA39" s="307" t="n"/>
      <c r="AB39" s="307" t="n"/>
      <c r="AC39" s="307" t="n"/>
      <c r="AD39" s="307" t="n"/>
      <c r="AE39" s="307" t="n"/>
      <c r="AF39" s="307" t="n"/>
      <c r="AG39" s="307" t="n"/>
      <c r="AH39" s="307" t="n"/>
      <c r="AI39" s="307" t="n"/>
      <c r="AJ39" s="307" t="n"/>
      <c r="AK39" s="307" t="n"/>
      <c r="AL39" s="307" t="n"/>
      <c r="AM39" s="307" t="n"/>
      <c r="AN39" s="307" t="n"/>
      <c r="AO39" s="307" t="n"/>
      <c r="AP39" s="307" t="n"/>
      <c r="AQ39" s="307" t="n"/>
      <c r="AR39" s="307" t="n"/>
      <c r="AS39" s="307" t="n"/>
      <c r="AT39" s="307" t="n"/>
      <c r="AU39" s="307" t="n"/>
      <c r="AV39" s="307" t="n"/>
      <c r="AW39" s="307" t="n"/>
      <c r="AX39" s="307" t="n"/>
      <c r="AY39" s="307" t="n"/>
      <c r="AZ39" s="307" t="n"/>
      <c r="BA39" s="307" t="n"/>
      <c r="BB39" s="307" t="n"/>
      <c r="BC39" s="307" t="n"/>
      <c r="BD39" s="217" t="n"/>
      <c r="BE39" s="217" t="n"/>
      <c r="BF39" s="307" t="n"/>
      <c r="BG39" s="31" t="n"/>
      <c r="BH39" s="31" t="n"/>
      <c r="BI39" s="31" t="n"/>
      <c r="BJ39" s="31" t="n"/>
    </row>
    <row r="40" ht="15.75" customHeight="1" s="349">
      <c r="A40" s="307" t="n"/>
      <c r="B40" s="307" t="n"/>
      <c r="C40" s="307" t="n"/>
      <c r="D40" s="307" t="n"/>
      <c r="E40" s="307" t="n"/>
      <c r="F40" s="307" t="n"/>
      <c r="G40" s="307" t="n"/>
      <c r="H40" s="307" t="n"/>
      <c r="I40" s="307" t="n"/>
      <c r="J40" s="307" t="n"/>
      <c r="K40" s="307" t="n"/>
      <c r="L40" s="307" t="n"/>
      <c r="M40" s="307" t="n"/>
      <c r="N40" s="307" t="n"/>
      <c r="O40" s="307" t="n"/>
      <c r="P40" s="307" t="n"/>
      <c r="Q40" s="307" t="n"/>
      <c r="R40" s="307" t="n"/>
      <c r="S40" s="307" t="n"/>
      <c r="T40" s="307" t="n"/>
      <c r="U40" s="307" t="n"/>
      <c r="V40" s="307" t="n"/>
      <c r="W40" s="307" t="n"/>
      <c r="X40" s="307" t="n"/>
      <c r="Y40" s="307" t="n"/>
      <c r="Z40" s="307" t="n"/>
      <c r="AA40" s="307" t="n"/>
      <c r="AB40" s="307" t="n"/>
      <c r="AC40" s="307" t="n"/>
      <c r="AD40" s="307" t="n"/>
      <c r="AE40" s="307" t="n"/>
      <c r="AF40" s="307" t="n"/>
      <c r="AG40" s="307" t="n"/>
      <c r="AH40" s="307" t="n"/>
      <c r="AI40" s="307" t="n"/>
      <c r="AJ40" s="307" t="n"/>
      <c r="AK40" s="307" t="n"/>
      <c r="AL40" s="307" t="n"/>
      <c r="AM40" s="307" t="n"/>
      <c r="AN40" s="307" t="n"/>
      <c r="AO40" s="307" t="n"/>
      <c r="AP40" s="307" t="n"/>
      <c r="AQ40" s="307" t="n"/>
      <c r="AR40" s="307" t="n"/>
      <c r="AS40" s="307" t="n"/>
      <c r="AT40" s="307" t="n"/>
      <c r="AU40" s="307" t="n"/>
      <c r="AV40" s="307" t="n"/>
      <c r="AW40" s="307" t="n"/>
      <c r="AX40" s="307" t="n"/>
      <c r="AY40" s="307" t="n"/>
      <c r="AZ40" s="307" t="n"/>
      <c r="BA40" s="307" t="n"/>
      <c r="BB40" s="307" t="n"/>
      <c r="BC40" s="307" t="n"/>
      <c r="BD40" s="307" t="n"/>
      <c r="BE40" s="307" t="n"/>
      <c r="BF40" s="307" t="n"/>
      <c r="BG40" s="31" t="n"/>
      <c r="BH40" s="31" t="n"/>
      <c r="BI40" s="31" t="n"/>
      <c r="BJ40" s="31" t="n"/>
    </row>
    <row r="41" ht="15.75" customHeight="1" s="349">
      <c r="A41" s="307" t="n"/>
      <c r="B41" s="307" t="n"/>
      <c r="C41" s="307" t="n"/>
      <c r="D41" s="307" t="n"/>
      <c r="E41" s="307" t="n"/>
      <c r="F41" s="307" t="n"/>
      <c r="G41" s="307" t="n"/>
      <c r="H41" s="307" t="n"/>
      <c r="I41" s="307" t="n"/>
      <c r="J41" s="307" t="n"/>
      <c r="K41" s="307" t="n"/>
      <c r="L41" s="307" t="n"/>
      <c r="M41" s="307" t="n"/>
      <c r="N41" s="307" t="n"/>
      <c r="O41" s="307" t="n"/>
      <c r="P41" s="307" t="n"/>
      <c r="Q41" s="307" t="n"/>
      <c r="R41" s="307" t="n"/>
      <c r="S41" s="307" t="n"/>
      <c r="T41" s="307" t="n"/>
      <c r="U41" s="307" t="n"/>
      <c r="V41" s="307" t="n"/>
      <c r="W41" s="307" t="n"/>
      <c r="X41" s="307" t="n"/>
      <c r="Y41" s="307" t="n"/>
      <c r="Z41" s="307" t="n"/>
      <c r="AA41" s="307" t="n"/>
      <c r="AB41" s="307" t="n"/>
      <c r="AC41" s="307" t="n"/>
      <c r="AD41" s="307" t="n"/>
      <c r="AE41" s="307" t="n"/>
      <c r="AF41" s="307" t="n"/>
      <c r="AG41" s="307" t="n"/>
      <c r="AH41" s="307" t="n"/>
      <c r="AI41" s="307" t="n"/>
      <c r="AJ41" s="307" t="n"/>
      <c r="AK41" s="307" t="n"/>
      <c r="AL41" s="307" t="n"/>
      <c r="AM41" s="307" t="n"/>
      <c r="AN41" s="307" t="n"/>
      <c r="AO41" s="307" t="n"/>
      <c r="AP41" s="307" t="n"/>
      <c r="AQ41" s="307" t="n"/>
      <c r="AR41" s="307" t="n"/>
      <c r="AS41" s="307" t="n"/>
      <c r="AT41" s="307" t="n"/>
      <c r="AU41" s="307" t="n"/>
      <c r="AV41" s="307" t="n"/>
      <c r="AW41" s="307" t="n"/>
      <c r="AX41" s="307" t="n"/>
      <c r="AY41" s="307" t="n"/>
      <c r="AZ41" s="307" t="n"/>
      <c r="BA41" s="307" t="n"/>
      <c r="BB41" s="307" t="n"/>
      <c r="BC41" s="307" t="n"/>
      <c r="BD41" s="307" t="n"/>
      <c r="BE41" s="307" t="n"/>
      <c r="BF41" s="307" t="n"/>
      <c r="BG41" s="31" t="n"/>
      <c r="BH41" s="31" t="n"/>
      <c r="BI41" s="31" t="n"/>
      <c r="BJ41" s="31" t="n"/>
    </row>
    <row r="42" ht="15.75" customHeight="1" s="349">
      <c r="A42" s="307" t="n"/>
      <c r="B42" s="307" t="n"/>
      <c r="C42" s="307" t="n"/>
      <c r="D42" s="307" t="n"/>
      <c r="E42" s="307" t="n"/>
      <c r="F42" s="307" t="n"/>
      <c r="G42" s="307" t="n"/>
      <c r="H42" s="307" t="n"/>
      <c r="I42" s="307" t="n"/>
      <c r="J42" s="307" t="n"/>
      <c r="K42" s="307" t="n"/>
      <c r="L42" s="307" t="n"/>
      <c r="M42" s="307" t="n"/>
      <c r="N42" s="307" t="n"/>
      <c r="O42" s="307" t="n"/>
      <c r="P42" s="307" t="n"/>
      <c r="Q42" s="307" t="n"/>
      <c r="R42" s="307" t="n"/>
      <c r="S42" s="307" t="n"/>
      <c r="T42" s="307" t="n"/>
      <c r="U42" s="307" t="n"/>
      <c r="V42" s="307" t="n"/>
      <c r="W42" s="307" t="n"/>
      <c r="X42" s="307" t="n"/>
      <c r="Y42" s="307" t="n"/>
      <c r="Z42" s="307" t="n"/>
      <c r="AA42" s="307" t="n"/>
      <c r="AB42" s="307" t="n"/>
      <c r="AC42" s="307" t="n"/>
      <c r="AD42" s="307" t="n"/>
      <c r="AE42" s="307" t="n"/>
      <c r="AF42" s="307" t="n"/>
      <c r="AG42" s="307" t="n"/>
      <c r="AH42" s="307" t="n"/>
      <c r="AI42" s="307" t="n"/>
      <c r="AJ42" s="307" t="n"/>
      <c r="AK42" s="307" t="n"/>
      <c r="AL42" s="307" t="n"/>
      <c r="AM42" s="307" t="n"/>
      <c r="AN42" s="307" t="n"/>
      <c r="AO42" s="307" t="n"/>
      <c r="AP42" s="307" t="n"/>
      <c r="AQ42" s="307" t="n"/>
      <c r="AR42" s="307" t="n"/>
      <c r="AS42" s="307" t="n"/>
      <c r="AT42" s="307" t="n"/>
      <c r="AU42" s="307" t="n"/>
      <c r="AV42" s="307" t="n"/>
      <c r="AW42" s="307" t="n"/>
      <c r="AX42" s="307" t="n"/>
      <c r="AY42" s="307" t="n"/>
      <c r="AZ42" s="307" t="n"/>
      <c r="BA42" s="307" t="n"/>
      <c r="BB42" s="307" t="n"/>
      <c r="BC42" s="307" t="n"/>
      <c r="BD42" s="307" t="n"/>
      <c r="BE42" s="307" t="n"/>
      <c r="BF42" s="307" t="n"/>
      <c r="BG42" s="31" t="n"/>
      <c r="BH42" s="31" t="n"/>
      <c r="BI42" s="31" t="n"/>
      <c r="BJ42" s="31" t="n"/>
    </row>
    <row r="43" ht="15.75" customHeight="1" s="349">
      <c r="A43" s="307" t="n"/>
      <c r="B43" s="307" t="n"/>
      <c r="C43" s="307" t="n"/>
      <c r="D43" s="307" t="n"/>
      <c r="E43" s="307" t="n"/>
      <c r="F43" s="307" t="n"/>
      <c r="G43" s="307" t="n"/>
      <c r="H43" s="307" t="n"/>
      <c r="I43" s="307" t="n"/>
      <c r="J43" s="307" t="n"/>
      <c r="K43" s="307" t="n"/>
      <c r="L43" s="307" t="n"/>
      <c r="M43" s="307" t="n"/>
      <c r="N43" s="307" t="n"/>
      <c r="O43" s="307" t="n"/>
      <c r="P43" s="307" t="n"/>
      <c r="Q43" s="307" t="n"/>
      <c r="R43" s="307" t="n"/>
      <c r="S43" s="307" t="n"/>
      <c r="T43" s="307" t="n"/>
      <c r="U43" s="307" t="n"/>
      <c r="V43" s="307" t="n"/>
      <c r="W43" s="307" t="n"/>
      <c r="X43" s="307" t="n"/>
      <c r="Y43" s="307" t="n"/>
      <c r="Z43" s="307" t="n"/>
      <c r="AA43" s="307" t="n"/>
      <c r="AB43" s="307" t="n"/>
      <c r="AC43" s="307" t="n"/>
      <c r="AD43" s="307" t="n"/>
      <c r="AE43" s="307" t="n"/>
      <c r="AF43" s="307" t="n"/>
      <c r="AG43" s="307" t="n"/>
      <c r="AH43" s="307" t="n"/>
      <c r="AI43" s="307" t="n"/>
      <c r="AJ43" s="307" t="n"/>
      <c r="AK43" s="307" t="n"/>
      <c r="AL43" s="307" t="n"/>
      <c r="AM43" s="307" t="n"/>
      <c r="AN43" s="307" t="n"/>
      <c r="AO43" s="307" t="n"/>
      <c r="AP43" s="307" t="n"/>
      <c r="AQ43" s="307" t="n"/>
      <c r="AR43" s="307" t="n"/>
      <c r="AS43" s="307" t="n"/>
      <c r="AT43" s="307" t="n"/>
      <c r="AU43" s="307" t="n"/>
      <c r="AV43" s="307" t="n"/>
      <c r="AW43" s="307" t="n"/>
      <c r="AX43" s="307" t="n"/>
      <c r="AY43" s="307" t="n"/>
      <c r="AZ43" s="307" t="n"/>
      <c r="BA43" s="307" t="n"/>
      <c r="BB43" s="307" t="n"/>
      <c r="BC43" s="307" t="n"/>
      <c r="BD43" s="307" t="n"/>
      <c r="BE43" s="307" t="n"/>
      <c r="BF43" s="307" t="n"/>
      <c r="BG43" s="31" t="n"/>
      <c r="BH43" s="31" t="n"/>
      <c r="BI43" s="31" t="n"/>
      <c r="BJ43" s="31" t="n"/>
    </row>
    <row r="44" ht="15.75" customHeight="1" s="349">
      <c r="A44" s="307" t="n"/>
      <c r="B44" s="307" t="n"/>
      <c r="C44" s="307" t="n"/>
      <c r="D44" s="307" t="n"/>
      <c r="E44" s="307" t="n"/>
      <c r="F44" s="307" t="n"/>
      <c r="G44" s="307" t="n"/>
      <c r="H44" s="307" t="n"/>
      <c r="I44" s="307" t="n"/>
      <c r="J44" s="307" t="n"/>
      <c r="K44" s="307" t="n"/>
      <c r="L44" s="307" t="n"/>
      <c r="M44" s="307" t="n"/>
      <c r="N44" s="307" t="n"/>
      <c r="O44" s="307" t="n"/>
      <c r="P44" s="307" t="n"/>
      <c r="Q44" s="307" t="n"/>
      <c r="R44" s="307" t="n"/>
      <c r="S44" s="307" t="n"/>
      <c r="T44" s="307" t="n"/>
      <c r="U44" s="307" t="n"/>
      <c r="V44" s="307" t="n"/>
      <c r="W44" s="307" t="n"/>
      <c r="X44" s="307" t="n"/>
      <c r="Y44" s="307" t="n"/>
      <c r="Z44" s="307" t="n"/>
      <c r="AA44" s="307" t="n"/>
      <c r="AB44" s="307" t="n"/>
      <c r="AC44" s="307" t="n"/>
      <c r="AD44" s="307" t="n"/>
      <c r="AE44" s="307" t="n"/>
      <c r="AF44" s="307" t="n"/>
      <c r="AG44" s="307" t="n"/>
      <c r="AH44" s="307" t="n"/>
      <c r="AI44" s="307" t="n"/>
      <c r="AJ44" s="307" t="n"/>
      <c r="AK44" s="307" t="n"/>
      <c r="AL44" s="307" t="n"/>
      <c r="AM44" s="307" t="n"/>
      <c r="AN44" s="307" t="n"/>
      <c r="AO44" s="307" t="n"/>
      <c r="AP44" s="307" t="n"/>
      <c r="AQ44" s="307" t="n"/>
      <c r="AR44" s="307" t="n"/>
      <c r="AS44" s="307" t="n"/>
      <c r="AT44" s="307" t="n"/>
      <c r="AU44" s="307" t="n"/>
      <c r="AV44" s="307" t="n"/>
      <c r="AW44" s="307" t="n"/>
      <c r="AX44" s="307" t="n"/>
      <c r="AY44" s="307" t="n"/>
      <c r="AZ44" s="307" t="n"/>
      <c r="BA44" s="307" t="n"/>
      <c r="BB44" s="307" t="n"/>
      <c r="BC44" s="307" t="n"/>
      <c r="BD44" s="307" t="n"/>
      <c r="BE44" s="307" t="n"/>
      <c r="BF44" s="307" t="n"/>
      <c r="BG44" s="31" t="n"/>
      <c r="BH44" s="31" t="n"/>
      <c r="BI44" s="31" t="n"/>
      <c r="BJ44" s="31" t="n"/>
    </row>
    <row r="45" ht="15.75" customHeight="1" s="349">
      <c r="A45" s="307" t="n"/>
      <c r="B45" s="307" t="n"/>
      <c r="C45" s="307" t="n"/>
      <c r="D45" s="307" t="n"/>
      <c r="E45" s="307" t="n"/>
      <c r="F45" s="307" t="n"/>
      <c r="G45" s="307" t="n"/>
      <c r="H45" s="307" t="n"/>
      <c r="I45" s="307" t="n"/>
      <c r="J45" s="307" t="n"/>
      <c r="K45" s="307" t="n"/>
      <c r="L45" s="307" t="n"/>
      <c r="M45" s="307" t="n"/>
      <c r="N45" s="307" t="n"/>
      <c r="O45" s="307" t="n"/>
      <c r="P45" s="307" t="n"/>
      <c r="Q45" s="307" t="n"/>
      <c r="R45" s="307" t="n"/>
      <c r="S45" s="307" t="n"/>
      <c r="T45" s="307" t="n"/>
      <c r="U45" s="307" t="n"/>
      <c r="V45" s="307" t="n"/>
      <c r="W45" s="307" t="n"/>
      <c r="X45" s="307" t="n"/>
      <c r="Y45" s="307" t="n"/>
      <c r="Z45" s="307" t="n"/>
      <c r="AA45" s="307" t="n"/>
      <c r="AB45" s="307" t="n"/>
      <c r="AC45" s="307" t="n"/>
      <c r="AD45" s="307" t="n"/>
      <c r="AE45" s="307" t="n"/>
      <c r="AF45" s="307" t="n"/>
      <c r="AG45" s="307" t="n"/>
      <c r="AH45" s="307" t="n"/>
      <c r="AI45" s="307" t="n"/>
      <c r="AJ45" s="307" t="n"/>
      <c r="AK45" s="307" t="n"/>
      <c r="AL45" s="307" t="n"/>
      <c r="AM45" s="307" t="n"/>
      <c r="AN45" s="307" t="n"/>
      <c r="AO45" s="307" t="n"/>
      <c r="AP45" s="307" t="n"/>
      <c r="AQ45" s="307" t="n"/>
      <c r="AR45" s="307" t="n"/>
      <c r="AS45" s="307" t="n"/>
      <c r="AT45" s="307" t="n"/>
      <c r="AU45" s="307" t="n"/>
      <c r="AV45" s="307" t="n"/>
      <c r="AW45" s="307" t="n"/>
      <c r="AX45" s="307" t="n"/>
      <c r="AY45" s="307" t="n"/>
      <c r="AZ45" s="307" t="n"/>
      <c r="BA45" s="307" t="n"/>
      <c r="BB45" s="307" t="n"/>
      <c r="BC45" s="307" t="n"/>
      <c r="BD45" s="307" t="n"/>
      <c r="BE45" s="307" t="n"/>
      <c r="BF45" s="307" t="n"/>
      <c r="BG45" s="31" t="n"/>
      <c r="BH45" s="31" t="n"/>
      <c r="BI45" s="31" t="n"/>
      <c r="BJ45" s="31" t="n"/>
    </row>
    <row r="46" ht="15.75" customHeight="1" s="349">
      <c r="A46" s="307" t="n"/>
      <c r="B46" s="307" t="n"/>
      <c r="C46" s="307" t="n"/>
      <c r="D46" s="307" t="n"/>
      <c r="E46" s="307" t="n"/>
      <c r="F46" s="307" t="n"/>
      <c r="G46" s="307" t="n"/>
      <c r="H46" s="307" t="n"/>
      <c r="I46" s="307" t="n"/>
      <c r="J46" s="307" t="n"/>
      <c r="K46" s="307" t="n"/>
      <c r="L46" s="307" t="n"/>
      <c r="M46" s="307" t="n"/>
      <c r="N46" s="307" t="n"/>
      <c r="O46" s="307" t="n"/>
      <c r="P46" s="307" t="n"/>
      <c r="Q46" s="307" t="n"/>
      <c r="R46" s="307" t="n"/>
      <c r="S46" s="307" t="n"/>
      <c r="T46" s="307" t="n"/>
      <c r="U46" s="307" t="n"/>
      <c r="V46" s="307" t="n"/>
      <c r="W46" s="307" t="n"/>
      <c r="X46" s="307" t="n"/>
      <c r="Y46" s="307" t="n"/>
      <c r="Z46" s="307" t="n"/>
      <c r="AA46" s="307" t="n"/>
      <c r="AB46" s="307" t="n"/>
      <c r="AC46" s="307" t="n"/>
      <c r="AD46" s="307" t="n"/>
      <c r="AE46" s="307" t="n"/>
      <c r="AF46" s="307" t="n"/>
      <c r="AG46" s="307" t="n"/>
      <c r="AH46" s="307" t="n"/>
      <c r="AI46" s="307" t="n"/>
      <c r="AJ46" s="307" t="n"/>
      <c r="AK46" s="307" t="n"/>
      <c r="AL46" s="307" t="n"/>
      <c r="AM46" s="307" t="n"/>
      <c r="AN46" s="307" t="n"/>
      <c r="AO46" s="307" t="n"/>
      <c r="AP46" s="307" t="n"/>
      <c r="AQ46" s="307" t="n"/>
      <c r="AR46" s="307" t="n"/>
      <c r="AS46" s="307" t="n"/>
      <c r="AT46" s="307" t="n"/>
      <c r="AU46" s="307" t="n"/>
      <c r="AV46" s="307" t="n"/>
      <c r="AW46" s="307" t="n"/>
      <c r="AX46" s="307" t="n"/>
      <c r="AY46" s="307" t="n"/>
      <c r="AZ46" s="307" t="n"/>
      <c r="BA46" s="307" t="n"/>
      <c r="BB46" s="307" t="n"/>
      <c r="BC46" s="307" t="n"/>
      <c r="BD46" s="307" t="n"/>
      <c r="BE46" s="307" t="n"/>
      <c r="BF46" s="307" t="n"/>
      <c r="BG46" s="31" t="n"/>
      <c r="BH46" s="31" t="n"/>
      <c r="BI46" s="31" t="n"/>
      <c r="BJ46" s="31" t="n"/>
    </row>
    <row r="47" ht="15.75" customHeight="1" s="349">
      <c r="A47" s="307" t="n"/>
      <c r="B47" s="307" t="n"/>
      <c r="C47" s="307" t="n"/>
      <c r="D47" s="307" t="n"/>
      <c r="E47" s="307" t="n"/>
      <c r="F47" s="307" t="n"/>
      <c r="G47" s="307" t="n"/>
      <c r="H47" s="307" t="n"/>
      <c r="I47" s="307" t="n"/>
      <c r="J47" s="307" t="n"/>
      <c r="K47" s="307" t="n"/>
      <c r="L47" s="307" t="n"/>
      <c r="M47" s="307" t="n"/>
      <c r="N47" s="307" t="n"/>
      <c r="O47" s="307" t="n"/>
      <c r="P47" s="307" t="n"/>
      <c r="Q47" s="307" t="n"/>
      <c r="R47" s="307" t="n"/>
      <c r="S47" s="307" t="n"/>
      <c r="T47" s="307" t="n"/>
      <c r="U47" s="307" t="n"/>
      <c r="V47" s="307" t="n"/>
      <c r="W47" s="307" t="n"/>
      <c r="X47" s="307" t="n"/>
      <c r="Y47" s="307" t="n"/>
      <c r="Z47" s="307" t="n"/>
      <c r="AA47" s="307" t="n"/>
      <c r="AB47" s="307" t="n"/>
      <c r="AC47" s="307" t="n"/>
      <c r="AD47" s="307" t="n"/>
      <c r="AE47" s="307" t="n"/>
      <c r="AF47" s="307" t="n"/>
      <c r="AG47" s="307" t="n"/>
      <c r="AH47" s="307" t="n"/>
      <c r="AI47" s="307" t="n"/>
      <c r="AJ47" s="307" t="n"/>
      <c r="AK47" s="307" t="n"/>
      <c r="AL47" s="307" t="n"/>
      <c r="AM47" s="307" t="n"/>
      <c r="AN47" s="307" t="n"/>
      <c r="AO47" s="307" t="n"/>
      <c r="AP47" s="307" t="n"/>
      <c r="AQ47" s="307" t="n"/>
      <c r="AR47" s="307" t="n"/>
      <c r="AS47" s="307" t="n"/>
      <c r="AT47" s="307" t="n"/>
      <c r="AU47" s="307" t="n"/>
      <c r="AV47" s="307" t="n"/>
      <c r="AW47" s="307" t="n"/>
      <c r="AX47" s="307" t="n"/>
      <c r="AY47" s="307" t="n"/>
      <c r="AZ47" s="307" t="n"/>
      <c r="BA47" s="307" t="n"/>
      <c r="BB47" s="307" t="n"/>
      <c r="BC47" s="307" t="n"/>
      <c r="BD47" s="307" t="n"/>
      <c r="BE47" s="307" t="n"/>
      <c r="BF47" s="307" t="n"/>
      <c r="BG47" s="31" t="n"/>
      <c r="BH47" s="31" t="n"/>
      <c r="BI47" s="31" t="n"/>
      <c r="BJ47" s="31" t="n"/>
    </row>
    <row r="48" ht="15.75" customHeight="1" s="349">
      <c r="A48" s="307" t="n"/>
      <c r="B48" s="307" t="n"/>
      <c r="C48" s="307" t="n"/>
      <c r="D48" s="307" t="n"/>
      <c r="E48" s="307" t="n"/>
      <c r="F48" s="307" t="n"/>
      <c r="G48" s="307" t="n"/>
      <c r="H48" s="307" t="n"/>
      <c r="I48" s="307" t="n"/>
      <c r="J48" s="307" t="n"/>
      <c r="K48" s="307" t="n"/>
      <c r="L48" s="307" t="n"/>
      <c r="M48" s="307" t="n"/>
      <c r="N48" s="307" t="n"/>
      <c r="O48" s="307" t="n"/>
      <c r="P48" s="307" t="n"/>
      <c r="Q48" s="307" t="n"/>
      <c r="R48" s="307" t="n"/>
      <c r="S48" s="307" t="n"/>
      <c r="T48" s="307" t="n"/>
      <c r="U48" s="307" t="n"/>
      <c r="V48" s="307" t="n"/>
      <c r="W48" s="307" t="n"/>
      <c r="X48" s="307" t="n"/>
      <c r="Y48" s="307" t="n"/>
      <c r="Z48" s="307" t="n"/>
      <c r="AA48" s="307" t="n"/>
      <c r="AB48" s="307" t="n"/>
      <c r="AC48" s="307" t="n"/>
      <c r="AD48" s="307" t="n"/>
      <c r="AE48" s="307" t="n"/>
      <c r="AF48" s="307" t="n"/>
      <c r="AG48" s="307" t="n"/>
      <c r="AH48" s="307" t="n"/>
      <c r="AI48" s="307" t="n"/>
      <c r="AJ48" s="307" t="n"/>
      <c r="AK48" s="307" t="n"/>
      <c r="AL48" s="307" t="n"/>
      <c r="AM48" s="307" t="n"/>
      <c r="AN48" s="307" t="n"/>
      <c r="AO48" s="307" t="n"/>
      <c r="AP48" s="307" t="n"/>
      <c r="AQ48" s="307" t="n"/>
      <c r="AR48" s="307" t="n"/>
      <c r="AS48" s="307" t="n"/>
      <c r="AT48" s="307" t="n"/>
      <c r="AU48" s="307" t="n"/>
      <c r="AV48" s="307" t="n"/>
      <c r="AW48" s="307" t="n"/>
      <c r="AX48" s="307" t="n"/>
      <c r="AY48" s="307" t="n"/>
      <c r="AZ48" s="307" t="n"/>
      <c r="BA48" s="307" t="n"/>
      <c r="BB48" s="307" t="n"/>
      <c r="BC48" s="307" t="n"/>
      <c r="BD48" s="307" t="n"/>
      <c r="BE48" s="307" t="n"/>
      <c r="BF48" s="307" t="n"/>
      <c r="BG48" s="31" t="n"/>
      <c r="BH48" s="31" t="n"/>
      <c r="BI48" s="31" t="n"/>
      <c r="BJ48" s="31" t="n"/>
    </row>
    <row r="49" ht="15.75" customHeight="1" s="349">
      <c r="A49" s="307" t="n"/>
      <c r="B49" s="307" t="n"/>
      <c r="C49" s="307" t="n"/>
      <c r="D49" s="307" t="n"/>
      <c r="E49" s="307" t="n"/>
      <c r="F49" s="307" t="n"/>
      <c r="G49" s="307" t="n"/>
      <c r="H49" s="307" t="n"/>
      <c r="I49" s="307" t="n"/>
      <c r="J49" s="307" t="n"/>
      <c r="K49" s="307" t="n"/>
      <c r="L49" s="307" t="n"/>
      <c r="M49" s="307" t="n"/>
      <c r="N49" s="307" t="n"/>
      <c r="O49" s="307" t="n"/>
      <c r="P49" s="307" t="n"/>
      <c r="Q49" s="307" t="n"/>
      <c r="R49" s="307" t="n"/>
      <c r="S49" s="307" t="n"/>
      <c r="T49" s="307" t="n"/>
      <c r="U49" s="307" t="n"/>
      <c r="V49" s="307" t="n"/>
      <c r="W49" s="307" t="n"/>
      <c r="X49" s="307" t="n"/>
      <c r="Y49" s="307" t="n"/>
      <c r="Z49" s="307" t="n"/>
      <c r="AA49" s="307" t="n"/>
      <c r="AB49" s="307" t="n"/>
      <c r="AC49" s="307" t="n"/>
      <c r="AD49" s="307" t="n"/>
      <c r="AE49" s="307" t="n"/>
      <c r="AF49" s="307" t="n"/>
      <c r="AG49" s="307" t="n"/>
      <c r="AH49" s="307" t="n"/>
      <c r="AI49" s="307" t="n"/>
      <c r="AJ49" s="307" t="n"/>
      <c r="AK49" s="307" t="n"/>
      <c r="AL49" s="307" t="n"/>
      <c r="AM49" s="307" t="n"/>
      <c r="AN49" s="307" t="n"/>
      <c r="AO49" s="307" t="n"/>
      <c r="AP49" s="307" t="n"/>
      <c r="AQ49" s="307" t="n"/>
      <c r="AR49" s="307" t="n"/>
      <c r="AS49" s="307" t="n"/>
      <c r="AT49" s="307" t="n"/>
      <c r="AU49" s="307" t="n"/>
      <c r="AV49" s="307" t="n"/>
      <c r="AW49" s="307" t="n"/>
      <c r="AX49" s="307" t="n"/>
      <c r="AY49" s="307" t="n"/>
      <c r="AZ49" s="307" t="n"/>
      <c r="BA49" s="307" t="n"/>
      <c r="BB49" s="307" t="n"/>
      <c r="BC49" s="307" t="n"/>
      <c r="BD49" s="307" t="n"/>
      <c r="BE49" s="307" t="n"/>
      <c r="BF49" s="307" t="n"/>
      <c r="BG49" s="31" t="n"/>
      <c r="BH49" s="31" t="n"/>
      <c r="BI49" s="31" t="n"/>
      <c r="BJ49" s="31" t="n"/>
    </row>
    <row r="50" ht="15.75" customHeight="1" s="349">
      <c r="A50" s="307" t="n"/>
      <c r="B50" s="307" t="n"/>
      <c r="C50" s="307" t="n"/>
      <c r="D50" s="307" t="n"/>
      <c r="E50" s="307" t="n"/>
      <c r="F50" s="307" t="n"/>
      <c r="G50" s="307" t="n"/>
      <c r="H50" s="307" t="n"/>
      <c r="I50" s="307" t="n"/>
      <c r="J50" s="307" t="n"/>
      <c r="K50" s="307" t="n"/>
      <c r="L50" s="307" t="n"/>
      <c r="M50" s="307" t="n"/>
      <c r="N50" s="307" t="n"/>
      <c r="O50" s="307" t="n"/>
      <c r="P50" s="307" t="n"/>
      <c r="Q50" s="307" t="n"/>
      <c r="R50" s="307" t="n"/>
      <c r="S50" s="307" t="n"/>
      <c r="T50" s="307" t="n"/>
      <c r="U50" s="307" t="n"/>
      <c r="V50" s="307" t="n"/>
      <c r="W50" s="307" t="n"/>
      <c r="X50" s="307" t="n"/>
      <c r="Y50" s="307" t="n"/>
      <c r="Z50" s="307" t="n"/>
      <c r="AA50" s="307" t="n"/>
      <c r="AB50" s="307" t="n"/>
      <c r="AC50" s="307" t="n"/>
      <c r="AD50" s="307" t="n"/>
      <c r="AE50" s="307" t="n"/>
      <c r="AF50" s="307" t="n"/>
      <c r="AG50" s="307" t="n"/>
      <c r="AH50" s="307" t="n"/>
      <c r="AI50" s="307" t="n"/>
      <c r="AJ50" s="307" t="n"/>
      <c r="AK50" s="307" t="n"/>
      <c r="AL50" s="307" t="n"/>
      <c r="AM50" s="307" t="n"/>
      <c r="AN50" s="307" t="n"/>
      <c r="AO50" s="307" t="n"/>
      <c r="AP50" s="307" t="n"/>
      <c r="AQ50" s="307" t="n"/>
      <c r="AR50" s="307" t="n"/>
      <c r="AS50" s="307" t="n"/>
      <c r="AT50" s="307" t="n"/>
      <c r="AU50" s="307" t="n"/>
      <c r="AV50" s="307" t="n"/>
      <c r="AW50" s="307" t="n"/>
      <c r="AX50" s="307" t="n"/>
      <c r="AY50" s="307" t="n"/>
      <c r="AZ50" s="307" t="n"/>
      <c r="BA50" s="307" t="n"/>
      <c r="BB50" s="307" t="n"/>
      <c r="BC50" s="307" t="n"/>
      <c r="BD50" s="307" t="n"/>
      <c r="BE50" s="307" t="n"/>
      <c r="BF50" s="307" t="n"/>
      <c r="BG50" s="31" t="n"/>
      <c r="BH50" s="31" t="n"/>
      <c r="BI50" s="31" t="n"/>
      <c r="BJ50" s="31" t="n"/>
    </row>
    <row r="51" ht="15.75" customHeight="1" s="349">
      <c r="A51" s="307" t="n"/>
      <c r="B51" s="307" t="n"/>
      <c r="C51" s="307" t="n"/>
      <c r="D51" s="307" t="n"/>
      <c r="E51" s="307" t="n"/>
      <c r="F51" s="307" t="n"/>
      <c r="G51" s="307" t="n"/>
      <c r="H51" s="307" t="n"/>
      <c r="I51" s="307" t="n"/>
      <c r="J51" s="307" t="n"/>
      <c r="K51" s="307" t="n"/>
      <c r="L51" s="307" t="n"/>
      <c r="M51" s="307" t="n"/>
      <c r="N51" s="307" t="n"/>
      <c r="O51" s="307" t="n"/>
      <c r="P51" s="307" t="n"/>
      <c r="Q51" s="307" t="n"/>
      <c r="R51" s="307" t="n"/>
      <c r="S51" s="307" t="n"/>
      <c r="T51" s="307" t="n"/>
      <c r="U51" s="307" t="n"/>
      <c r="V51" s="307" t="n"/>
      <c r="W51" s="307" t="n"/>
      <c r="X51" s="307" t="n"/>
      <c r="Y51" s="307" t="n"/>
      <c r="Z51" s="307" t="n"/>
      <c r="AA51" s="307" t="n"/>
      <c r="AB51" s="307" t="n"/>
      <c r="AC51" s="307" t="n"/>
      <c r="AD51" s="307" t="n"/>
      <c r="AE51" s="307" t="n"/>
      <c r="AF51" s="307" t="n"/>
      <c r="AG51" s="307" t="n"/>
      <c r="AH51" s="307" t="n"/>
      <c r="AI51" s="307" t="n"/>
      <c r="AJ51" s="307" t="n"/>
      <c r="AK51" s="307" t="n"/>
      <c r="AL51" s="307" t="n"/>
      <c r="AM51" s="307" t="n"/>
      <c r="AN51" s="307" t="n"/>
      <c r="AO51" s="307" t="n"/>
      <c r="AP51" s="307" t="n"/>
      <c r="AQ51" s="307" t="n"/>
      <c r="AR51" s="307" t="n"/>
      <c r="AS51" s="307" t="n"/>
      <c r="AT51" s="307" t="n"/>
      <c r="AU51" s="307" t="n"/>
      <c r="AV51" s="307" t="n"/>
      <c r="AW51" s="307" t="n"/>
      <c r="AX51" s="307" t="n"/>
      <c r="AY51" s="307" t="n"/>
      <c r="AZ51" s="307" t="n"/>
      <c r="BA51" s="307" t="n"/>
      <c r="BB51" s="307" t="n"/>
      <c r="BC51" s="307" t="n"/>
      <c r="BD51" s="307" t="n"/>
      <c r="BE51" s="307" t="n"/>
      <c r="BF51" s="307" t="n"/>
      <c r="BG51" s="31" t="n"/>
      <c r="BH51" s="31" t="n"/>
      <c r="BI51" s="31" t="n"/>
      <c r="BJ51" s="31" t="n"/>
    </row>
    <row r="52" ht="15.75" customHeight="1" s="349">
      <c r="A52" s="307" t="n"/>
      <c r="B52" s="307" t="n"/>
      <c r="C52" s="307" t="n"/>
      <c r="D52" s="307" t="n"/>
      <c r="E52" s="307" t="n"/>
      <c r="F52" s="307" t="n"/>
      <c r="G52" s="307" t="n"/>
      <c r="H52" s="307" t="n"/>
      <c r="I52" s="307" t="n"/>
      <c r="J52" s="307" t="n"/>
      <c r="K52" s="307" t="n"/>
      <c r="L52" s="307" t="n"/>
      <c r="M52" s="307" t="n"/>
      <c r="N52" s="307" t="n"/>
      <c r="O52" s="307" t="n"/>
      <c r="P52" s="307" t="n"/>
      <c r="Q52" s="307" t="n"/>
      <c r="R52" s="307" t="n"/>
      <c r="S52" s="307" t="n"/>
      <c r="T52" s="307" t="n"/>
      <c r="U52" s="307" t="n"/>
      <c r="V52" s="307" t="n"/>
      <c r="W52" s="307" t="n"/>
      <c r="X52" s="307" t="n"/>
      <c r="Y52" s="307" t="n"/>
      <c r="Z52" s="307" t="n"/>
      <c r="AA52" s="307" t="n"/>
      <c r="AB52" s="307" t="n"/>
      <c r="AC52" s="307" t="n"/>
      <c r="AD52" s="307" t="n"/>
      <c r="AE52" s="307" t="n"/>
      <c r="AF52" s="307" t="n"/>
      <c r="AG52" s="307" t="n"/>
      <c r="AH52" s="307" t="n"/>
      <c r="AI52" s="307" t="n"/>
      <c r="AJ52" s="307" t="n"/>
      <c r="AK52" s="307" t="n"/>
      <c r="AL52" s="307" t="n"/>
      <c r="AM52" s="307" t="n"/>
      <c r="AN52" s="307" t="n"/>
      <c r="AO52" s="307" t="n"/>
      <c r="AP52" s="307" t="n"/>
      <c r="AQ52" s="307" t="n"/>
      <c r="AR52" s="307" t="n"/>
      <c r="AS52" s="307" t="n"/>
      <c r="AT52" s="307" t="n"/>
      <c r="AU52" s="307" t="n"/>
      <c r="AV52" s="307" t="n"/>
      <c r="AW52" s="307" t="n"/>
      <c r="AX52" s="307" t="n"/>
      <c r="AY52" s="307" t="n"/>
      <c r="AZ52" s="307" t="n"/>
      <c r="BA52" s="307" t="n"/>
      <c r="BB52" s="307" t="n"/>
      <c r="BC52" s="307" t="n"/>
      <c r="BD52" s="307" t="n"/>
      <c r="BE52" s="307" t="n"/>
      <c r="BF52" s="307" t="n"/>
      <c r="BG52" s="31" t="n"/>
      <c r="BH52" s="31" t="n"/>
      <c r="BI52" s="31" t="n"/>
      <c r="BJ52" s="31" t="n"/>
    </row>
    <row r="53" ht="15.75" customHeight="1" s="349">
      <c r="A53" s="307" t="n"/>
      <c r="B53" s="307" t="n"/>
      <c r="C53" s="307" t="n"/>
      <c r="D53" s="307" t="n"/>
      <c r="E53" s="307" t="n"/>
      <c r="F53" s="307" t="n"/>
      <c r="G53" s="307" t="n"/>
      <c r="H53" s="307" t="n"/>
      <c r="I53" s="307" t="n"/>
      <c r="J53" s="307" t="n"/>
      <c r="K53" s="307" t="n"/>
      <c r="L53" s="307" t="n"/>
      <c r="M53" s="307" t="n"/>
      <c r="N53" s="307" t="n"/>
      <c r="O53" s="307" t="n"/>
      <c r="P53" s="307" t="n"/>
      <c r="Q53" s="307" t="n"/>
      <c r="R53" s="307" t="n"/>
      <c r="S53" s="307" t="n"/>
      <c r="T53" s="307" t="n"/>
      <c r="U53" s="307" t="n"/>
      <c r="V53" s="307" t="n"/>
      <c r="W53" s="307" t="n"/>
      <c r="X53" s="307" t="n"/>
      <c r="Y53" s="307" t="n"/>
      <c r="Z53" s="307" t="n"/>
      <c r="AA53" s="307" t="n"/>
      <c r="AB53" s="307" t="n"/>
      <c r="AC53" s="307" t="n"/>
      <c r="AD53" s="307" t="n"/>
      <c r="AE53" s="307" t="n"/>
      <c r="AF53" s="307" t="n"/>
      <c r="AG53" s="307" t="n"/>
      <c r="AH53" s="307" t="n"/>
      <c r="AI53" s="307" t="n"/>
      <c r="AJ53" s="307" t="n"/>
      <c r="AK53" s="307" t="n"/>
      <c r="AL53" s="307" t="n"/>
      <c r="AM53" s="307" t="n"/>
      <c r="AN53" s="307" t="n"/>
      <c r="AO53" s="307" t="n"/>
      <c r="AP53" s="307" t="n"/>
      <c r="AQ53" s="307" t="n"/>
      <c r="AR53" s="307" t="n"/>
      <c r="AS53" s="307" t="n"/>
      <c r="AT53" s="307" t="n"/>
      <c r="AU53" s="307" t="n"/>
      <c r="AV53" s="307" t="n"/>
      <c r="AW53" s="307" t="n"/>
      <c r="AX53" s="307" t="n"/>
      <c r="AY53" s="307" t="n"/>
      <c r="AZ53" s="307" t="n"/>
      <c r="BA53" s="307" t="n"/>
      <c r="BB53" s="307" t="n"/>
      <c r="BC53" s="307" t="n"/>
      <c r="BD53" s="307" t="n"/>
      <c r="BE53" s="307" t="n"/>
      <c r="BF53" s="307" t="n"/>
      <c r="BG53" s="31" t="n"/>
      <c r="BH53" s="31" t="n"/>
      <c r="BI53" s="31" t="n"/>
      <c r="BJ53" s="31" t="n"/>
    </row>
    <row r="54" ht="15.75" customHeight="1" s="349">
      <c r="A54" s="307" t="n"/>
      <c r="B54" s="307" t="n"/>
      <c r="C54" s="307" t="n"/>
      <c r="D54" s="307" t="n"/>
      <c r="E54" s="307" t="n"/>
      <c r="F54" s="307" t="n"/>
      <c r="G54" s="307" t="n"/>
      <c r="H54" s="307" t="n"/>
      <c r="I54" s="307" t="n"/>
      <c r="J54" s="307" t="n"/>
      <c r="K54" s="307" t="n"/>
      <c r="L54" s="307" t="n"/>
      <c r="M54" s="307" t="n"/>
      <c r="N54" s="307" t="n"/>
      <c r="O54" s="307" t="n"/>
      <c r="P54" s="307" t="n"/>
      <c r="Q54" s="307" t="n"/>
      <c r="R54" s="307" t="n"/>
      <c r="S54" s="307" t="n"/>
      <c r="T54" s="307" t="n"/>
      <c r="U54" s="307" t="n"/>
      <c r="V54" s="307" t="n"/>
      <c r="W54" s="307" t="n"/>
      <c r="X54" s="307" t="n"/>
      <c r="Y54" s="307" t="n"/>
      <c r="Z54" s="307" t="n"/>
      <c r="AA54" s="307" t="n"/>
      <c r="AB54" s="307" t="n"/>
      <c r="AC54" s="307" t="n"/>
      <c r="AD54" s="307" t="n"/>
      <c r="AE54" s="307" t="n"/>
      <c r="AF54" s="307" t="n"/>
      <c r="AG54" s="307" t="n"/>
      <c r="AH54" s="307" t="n"/>
      <c r="AI54" s="307" t="n"/>
      <c r="AJ54" s="307" t="n"/>
      <c r="AK54" s="307" t="n"/>
      <c r="AL54" s="307" t="n"/>
      <c r="AM54" s="307" t="n"/>
      <c r="AN54" s="307" t="n"/>
      <c r="AO54" s="307" t="n"/>
      <c r="AP54" s="307" t="n"/>
      <c r="AQ54" s="307" t="n"/>
      <c r="AR54" s="307" t="n"/>
      <c r="AS54" s="307" t="n"/>
      <c r="AT54" s="307" t="n"/>
      <c r="AU54" s="307" t="n"/>
      <c r="AV54" s="307" t="n"/>
      <c r="AW54" s="307" t="n"/>
      <c r="AX54" s="307" t="n"/>
      <c r="AY54" s="307" t="n"/>
      <c r="AZ54" s="307" t="n"/>
      <c r="BA54" s="307" t="n"/>
      <c r="BB54" s="307" t="n"/>
      <c r="BC54" s="307" t="n"/>
      <c r="BD54" s="307" t="n"/>
      <c r="BE54" s="307" t="n"/>
      <c r="BF54" s="307" t="n"/>
      <c r="BG54" s="31" t="n"/>
      <c r="BH54" s="31" t="n"/>
      <c r="BI54" s="31" t="n"/>
      <c r="BJ54" s="31" t="n"/>
    </row>
    <row r="55" ht="15.75" customHeight="1" s="349">
      <c r="A55" s="307" t="n"/>
      <c r="B55" s="307" t="n"/>
      <c r="C55" s="307" t="n"/>
      <c r="D55" s="307" t="n"/>
      <c r="E55" s="307" t="n"/>
      <c r="F55" s="307" t="n"/>
      <c r="G55" s="307" t="n"/>
      <c r="H55" s="307" t="n"/>
      <c r="I55" s="307" t="n"/>
      <c r="J55" s="307" t="n"/>
      <c r="K55" s="307" t="n"/>
      <c r="L55" s="307" t="n"/>
      <c r="M55" s="307" t="n"/>
      <c r="N55" s="307" t="n"/>
      <c r="O55" s="307" t="n"/>
      <c r="P55" s="307" t="n"/>
      <c r="Q55" s="307" t="n"/>
      <c r="R55" s="307" t="n"/>
      <c r="S55" s="307" t="n"/>
      <c r="T55" s="307" t="n"/>
      <c r="U55" s="307" t="n"/>
      <c r="V55" s="307" t="n"/>
      <c r="W55" s="307" t="n"/>
      <c r="X55" s="307" t="n"/>
      <c r="Y55" s="307" t="n"/>
      <c r="Z55" s="307" t="n"/>
      <c r="AA55" s="307" t="n"/>
      <c r="AB55" s="307" t="n"/>
      <c r="AC55" s="307" t="n"/>
      <c r="AD55" s="307" t="n"/>
      <c r="AE55" s="307" t="n"/>
      <c r="AF55" s="307" t="n"/>
      <c r="AG55" s="307" t="n"/>
      <c r="AH55" s="307" t="n"/>
      <c r="AI55" s="307" t="n"/>
      <c r="AJ55" s="307" t="n"/>
      <c r="AK55" s="307" t="n"/>
      <c r="AL55" s="307" t="n"/>
      <c r="AM55" s="307" t="n"/>
      <c r="AN55" s="307" t="n"/>
      <c r="AO55" s="307" t="n"/>
      <c r="AP55" s="307" t="n"/>
      <c r="AQ55" s="307" t="n"/>
      <c r="AR55" s="307" t="n"/>
      <c r="AS55" s="307" t="n"/>
      <c r="AT55" s="307" t="n"/>
      <c r="AU55" s="307" t="n"/>
      <c r="AV55" s="307" t="n"/>
      <c r="AW55" s="307" t="n"/>
      <c r="AX55" s="307" t="n"/>
      <c r="AY55" s="307" t="n"/>
      <c r="AZ55" s="307" t="n"/>
      <c r="BA55" s="307" t="n"/>
      <c r="BB55" s="307" t="n"/>
      <c r="BC55" s="307" t="n"/>
      <c r="BD55" s="307" t="n"/>
      <c r="BE55" s="307" t="n"/>
      <c r="BF55" s="307" t="n"/>
      <c r="BG55" s="31" t="n"/>
      <c r="BH55" s="31" t="n"/>
      <c r="BI55" s="31" t="n"/>
      <c r="BJ55" s="31" t="n"/>
    </row>
    <row r="56" ht="15.75" customHeight="1" s="349">
      <c r="A56" s="307" t="n"/>
      <c r="B56" s="307" t="n"/>
      <c r="C56" s="307" t="n"/>
      <c r="D56" s="307" t="n"/>
      <c r="E56" s="307" t="n"/>
      <c r="F56" s="307" t="n"/>
      <c r="G56" s="307" t="n"/>
      <c r="H56" s="307" t="n"/>
      <c r="I56" s="307" t="n"/>
      <c r="J56" s="307" t="n"/>
      <c r="K56" s="307" t="n"/>
      <c r="L56" s="307" t="n"/>
      <c r="M56" s="307" t="n"/>
      <c r="N56" s="307" t="n"/>
      <c r="O56" s="307" t="n"/>
      <c r="P56" s="307" t="n"/>
      <c r="Q56" s="307" t="n"/>
      <c r="R56" s="307" t="n"/>
      <c r="S56" s="307" t="n"/>
      <c r="T56" s="307" t="n"/>
      <c r="U56" s="307" t="n"/>
      <c r="V56" s="307" t="n"/>
      <c r="W56" s="307" t="n"/>
      <c r="X56" s="307" t="n"/>
      <c r="Y56" s="307" t="n"/>
      <c r="Z56" s="307" t="n"/>
      <c r="AA56" s="307" t="n"/>
      <c r="AB56" s="307" t="n"/>
      <c r="AC56" s="307" t="n"/>
      <c r="AD56" s="307" t="n"/>
      <c r="AE56" s="307" t="n"/>
      <c r="AF56" s="307" t="n"/>
      <c r="AG56" s="307" t="n"/>
      <c r="AH56" s="307" t="n"/>
      <c r="AI56" s="307" t="n"/>
      <c r="AJ56" s="307" t="n"/>
      <c r="AK56" s="307" t="n"/>
      <c r="AL56" s="307" t="n"/>
      <c r="AM56" s="307" t="n"/>
      <c r="AN56" s="307" t="n"/>
      <c r="AO56" s="307" t="n"/>
      <c r="AP56" s="307" t="n"/>
      <c r="AQ56" s="307" t="n"/>
      <c r="AR56" s="307" t="n"/>
      <c r="AS56" s="307" t="n"/>
      <c r="AT56" s="307" t="n"/>
      <c r="AU56" s="307" t="n"/>
      <c r="AV56" s="307" t="n"/>
      <c r="AW56" s="307" t="n"/>
      <c r="AX56" s="307" t="n"/>
      <c r="AY56" s="307" t="n"/>
      <c r="AZ56" s="307" t="n"/>
      <c r="BA56" s="307" t="n"/>
      <c r="BB56" s="307" t="n"/>
      <c r="BC56" s="307" t="n"/>
      <c r="BD56" s="307" t="n"/>
      <c r="BE56" s="307" t="n"/>
      <c r="BF56" s="307" t="n"/>
      <c r="BG56" s="31" t="n"/>
      <c r="BH56" s="31" t="n"/>
      <c r="BI56" s="31" t="n"/>
      <c r="BJ56" s="31" t="n"/>
    </row>
    <row r="57" ht="15.75" customHeight="1" s="349">
      <c r="A57" s="307" t="n"/>
      <c r="B57" s="307" t="n"/>
      <c r="C57" s="307" t="n"/>
      <c r="D57" s="307" t="n"/>
      <c r="E57" s="307" t="n"/>
      <c r="F57" s="307" t="n"/>
      <c r="G57" s="307" t="n"/>
      <c r="H57" s="307" t="n"/>
      <c r="I57" s="307" t="n"/>
      <c r="J57" s="307" t="n"/>
      <c r="K57" s="307" t="n"/>
      <c r="L57" s="307" t="n"/>
      <c r="M57" s="307" t="n"/>
      <c r="N57" s="307" t="n"/>
      <c r="O57" s="307" t="n"/>
      <c r="P57" s="307" t="n"/>
      <c r="Q57" s="307" t="n"/>
      <c r="R57" s="307" t="n"/>
      <c r="S57" s="307" t="n"/>
      <c r="T57" s="307" t="n"/>
      <c r="U57" s="307" t="n"/>
      <c r="V57" s="307" t="n"/>
      <c r="W57" s="307" t="n"/>
      <c r="X57" s="307" t="n"/>
      <c r="Y57" s="307" t="n"/>
      <c r="Z57" s="307" t="n"/>
      <c r="AA57" s="307" t="n"/>
      <c r="AB57" s="307" t="n"/>
      <c r="AC57" s="307" t="n"/>
      <c r="AD57" s="307" t="n"/>
      <c r="AE57" s="307" t="n"/>
      <c r="AF57" s="307" t="n"/>
      <c r="AG57" s="307" t="n"/>
      <c r="AH57" s="307" t="n"/>
      <c r="AI57" s="307" t="n"/>
      <c r="AJ57" s="307" t="n"/>
      <c r="AK57" s="307" t="n"/>
      <c r="AL57" s="307" t="n"/>
      <c r="AM57" s="307" t="n"/>
      <c r="AN57" s="307" t="n"/>
      <c r="AO57" s="307" t="n"/>
      <c r="AP57" s="307" t="n"/>
      <c r="AQ57" s="307" t="n"/>
      <c r="AR57" s="307" t="n"/>
      <c r="AS57" s="307" t="n"/>
      <c r="AT57" s="307" t="n"/>
      <c r="AU57" s="307" t="n"/>
      <c r="AV57" s="307" t="n"/>
      <c r="AW57" s="307" t="n"/>
      <c r="AX57" s="307" t="n"/>
      <c r="AY57" s="307" t="n"/>
      <c r="AZ57" s="307" t="n"/>
      <c r="BA57" s="307" t="n"/>
      <c r="BB57" s="307" t="n"/>
      <c r="BC57" s="307" t="n"/>
      <c r="BD57" s="307" t="n"/>
      <c r="BE57" s="307" t="n"/>
      <c r="BF57" s="307" t="n"/>
      <c r="BG57" s="31" t="n"/>
      <c r="BH57" s="31" t="n"/>
      <c r="BI57" s="31" t="n"/>
      <c r="BJ57" s="31" t="n"/>
    </row>
    <row r="58" ht="15.75" customHeight="1" s="349">
      <c r="A58" s="307" t="n"/>
      <c r="B58" s="307" t="n"/>
      <c r="C58" s="307" t="n"/>
      <c r="D58" s="307" t="n"/>
      <c r="E58" s="307" t="n"/>
      <c r="F58" s="307" t="n"/>
      <c r="G58" s="307" t="n"/>
      <c r="H58" s="307" t="n"/>
      <c r="I58" s="307" t="n"/>
      <c r="J58" s="307" t="n"/>
      <c r="K58" s="307" t="n"/>
      <c r="L58" s="307" t="n"/>
      <c r="M58" s="307" t="n"/>
      <c r="N58" s="307" t="n"/>
      <c r="O58" s="307" t="n"/>
      <c r="P58" s="307" t="n"/>
      <c r="Q58" s="307" t="n"/>
      <c r="R58" s="307" t="n"/>
      <c r="S58" s="307" t="n"/>
      <c r="T58" s="307" t="n"/>
      <c r="U58" s="307" t="n"/>
      <c r="V58" s="307" t="n"/>
      <c r="W58" s="307" t="n"/>
      <c r="X58" s="307" t="n"/>
      <c r="Y58" s="307" t="n"/>
      <c r="Z58" s="307" t="n"/>
      <c r="AA58" s="307" t="n"/>
      <c r="AB58" s="307" t="n"/>
      <c r="AC58" s="307" t="n"/>
      <c r="AD58" s="307" t="n"/>
      <c r="AE58" s="307" t="n"/>
      <c r="AF58" s="307" t="n"/>
      <c r="AG58" s="307" t="n"/>
      <c r="AH58" s="307" t="n"/>
      <c r="AI58" s="307" t="n"/>
      <c r="AJ58" s="307" t="n"/>
      <c r="AK58" s="307" t="n"/>
      <c r="AL58" s="307" t="n"/>
      <c r="AM58" s="307" t="n"/>
      <c r="AN58" s="307" t="n"/>
      <c r="AO58" s="307" t="n"/>
      <c r="AP58" s="307" t="n"/>
      <c r="AQ58" s="307" t="n"/>
      <c r="AR58" s="307" t="n"/>
      <c r="AS58" s="307" t="n"/>
      <c r="AT58" s="307" t="n"/>
      <c r="AU58" s="307" t="n"/>
      <c r="AV58" s="307" t="n"/>
      <c r="AW58" s="307" t="n"/>
      <c r="AX58" s="307" t="n"/>
      <c r="AY58" s="307" t="n"/>
      <c r="AZ58" s="307" t="n"/>
      <c r="BA58" s="307" t="n"/>
      <c r="BB58" s="307" t="n"/>
      <c r="BC58" s="307" t="n"/>
      <c r="BD58" s="307" t="n"/>
      <c r="BE58" s="307" t="n"/>
      <c r="BF58" s="307" t="n"/>
      <c r="BG58" s="31" t="n"/>
      <c r="BH58" s="31" t="n"/>
      <c r="BI58" s="31" t="n"/>
      <c r="BJ58" s="31" t="n"/>
    </row>
    <row r="59" ht="15.75" customHeight="1" s="349">
      <c r="A59" s="307" t="n"/>
      <c r="B59" s="307" t="n"/>
      <c r="C59" s="307" t="n"/>
      <c r="D59" s="307" t="n"/>
      <c r="E59" s="307" t="n"/>
      <c r="F59" s="307" t="n"/>
      <c r="G59" s="307" t="n"/>
      <c r="H59" s="307" t="n"/>
      <c r="I59" s="307" t="n"/>
      <c r="J59" s="307" t="n"/>
      <c r="K59" s="307" t="n"/>
      <c r="L59" s="307" t="n"/>
      <c r="M59" s="307" t="n"/>
      <c r="N59" s="307" t="n"/>
      <c r="O59" s="307" t="n"/>
      <c r="P59" s="307" t="n"/>
      <c r="Q59" s="307" t="n"/>
      <c r="R59" s="307" t="n"/>
      <c r="S59" s="307" t="n"/>
      <c r="T59" s="307" t="n"/>
      <c r="U59" s="307" t="n"/>
      <c r="V59" s="307" t="n"/>
      <c r="W59" s="307" t="n"/>
      <c r="X59" s="307" t="n"/>
      <c r="Y59" s="307" t="n"/>
      <c r="Z59" s="307" t="n"/>
      <c r="AA59" s="307" t="n"/>
      <c r="AB59" s="307" t="n"/>
      <c r="AC59" s="307" t="n"/>
      <c r="AD59" s="307" t="n"/>
      <c r="AE59" s="307" t="n"/>
      <c r="AF59" s="307" t="n"/>
      <c r="AG59" s="307" t="n"/>
      <c r="AH59" s="307" t="n"/>
      <c r="AI59" s="307" t="n"/>
      <c r="AJ59" s="307" t="n"/>
      <c r="AK59" s="307" t="n"/>
      <c r="AL59" s="307" t="n"/>
      <c r="AM59" s="307" t="n"/>
      <c r="AN59" s="307" t="n"/>
      <c r="AO59" s="307" t="n"/>
      <c r="AP59" s="307" t="n"/>
      <c r="AQ59" s="307" t="n"/>
      <c r="AR59" s="307" t="n"/>
      <c r="AS59" s="307" t="n"/>
      <c r="AT59" s="307" t="n"/>
      <c r="AU59" s="307" t="n"/>
      <c r="AV59" s="307" t="n"/>
      <c r="AW59" s="307" t="n"/>
      <c r="AX59" s="307" t="n"/>
      <c r="AY59" s="307" t="n"/>
      <c r="AZ59" s="307" t="n"/>
      <c r="BA59" s="307" t="n"/>
      <c r="BB59" s="307" t="n"/>
      <c r="BC59" s="307" t="n"/>
      <c r="BD59" s="307" t="n"/>
      <c r="BE59" s="307" t="n"/>
      <c r="BF59" s="307" t="n"/>
      <c r="BG59" s="31" t="n"/>
      <c r="BH59" s="31" t="n"/>
      <c r="BI59" s="31" t="n"/>
      <c r="BJ59" s="31" t="n"/>
    </row>
    <row r="60" ht="15.75" customHeight="1" s="349">
      <c r="A60" s="307" t="n"/>
      <c r="B60" s="307" t="n"/>
      <c r="C60" s="307" t="n"/>
      <c r="D60" s="307" t="n"/>
      <c r="E60" s="307" t="n"/>
      <c r="F60" s="307" t="n"/>
      <c r="G60" s="307" t="n"/>
      <c r="H60" s="307" t="n"/>
      <c r="I60" s="307" t="n"/>
      <c r="J60" s="307" t="n"/>
      <c r="K60" s="307" t="n"/>
      <c r="L60" s="307" t="n"/>
      <c r="M60" s="307" t="n"/>
      <c r="N60" s="307" t="n"/>
      <c r="O60" s="307" t="n"/>
      <c r="P60" s="307" t="n"/>
      <c r="Q60" s="307" t="n"/>
      <c r="R60" s="307" t="n"/>
      <c r="S60" s="307" t="n"/>
      <c r="T60" s="307" t="n"/>
      <c r="U60" s="307" t="n"/>
      <c r="V60" s="307" t="n"/>
      <c r="W60" s="307" t="n"/>
      <c r="X60" s="307" t="n"/>
      <c r="Y60" s="307" t="n"/>
      <c r="Z60" s="307" t="n"/>
      <c r="AA60" s="307" t="n"/>
      <c r="AB60" s="307" t="n"/>
      <c r="AC60" s="307" t="n"/>
      <c r="AD60" s="307" t="n"/>
      <c r="AE60" s="307" t="n"/>
      <c r="AF60" s="307" t="n"/>
      <c r="AG60" s="307" t="n"/>
      <c r="AH60" s="307" t="n"/>
      <c r="AI60" s="307" t="n"/>
      <c r="AJ60" s="307" t="n"/>
      <c r="AK60" s="307" t="n"/>
      <c r="AL60" s="307" t="n"/>
      <c r="AM60" s="307" t="n"/>
      <c r="AN60" s="307" t="n"/>
      <c r="AO60" s="307" t="n"/>
      <c r="AP60" s="307" t="n"/>
      <c r="AQ60" s="307" t="n"/>
      <c r="AR60" s="307" t="n"/>
      <c r="AS60" s="307" t="n"/>
      <c r="AT60" s="307" t="n"/>
      <c r="AU60" s="307" t="n"/>
      <c r="AV60" s="307" t="n"/>
      <c r="AW60" s="307" t="n"/>
      <c r="AX60" s="307" t="n"/>
      <c r="AY60" s="307" t="n"/>
      <c r="AZ60" s="307" t="n"/>
      <c r="BA60" s="307" t="n"/>
      <c r="BB60" s="307" t="n"/>
      <c r="BC60" s="307" t="n"/>
      <c r="BD60" s="307" t="n"/>
      <c r="BE60" s="307" t="n"/>
      <c r="BF60" s="307" t="n"/>
      <c r="BG60" s="31" t="n"/>
      <c r="BH60" s="31" t="n"/>
      <c r="BI60" s="31" t="n"/>
      <c r="BJ60" s="31" t="n"/>
    </row>
    <row r="61" ht="15.75" customHeight="1" s="349">
      <c r="A61" s="307" t="n"/>
      <c r="B61" s="307" t="n"/>
      <c r="C61" s="307" t="n"/>
      <c r="D61" s="307" t="n"/>
      <c r="E61" s="307" t="n"/>
      <c r="F61" s="307" t="n"/>
      <c r="G61" s="307" t="n"/>
      <c r="H61" s="307" t="n"/>
      <c r="I61" s="307" t="n"/>
      <c r="J61" s="307" t="n"/>
      <c r="K61" s="307" t="n"/>
      <c r="L61" s="307" t="n"/>
      <c r="M61" s="307" t="n"/>
      <c r="N61" s="307" t="n"/>
      <c r="O61" s="307" t="n"/>
      <c r="P61" s="307" t="n"/>
      <c r="Q61" s="307" t="n"/>
      <c r="R61" s="307" t="n"/>
      <c r="S61" s="307" t="n"/>
      <c r="T61" s="307" t="n"/>
      <c r="U61" s="307" t="n"/>
      <c r="V61" s="307" t="n"/>
      <c r="W61" s="307" t="n"/>
      <c r="X61" s="307" t="n"/>
      <c r="Y61" s="307" t="n"/>
      <c r="Z61" s="307" t="n"/>
      <c r="AA61" s="307" t="n"/>
      <c r="AB61" s="307" t="n"/>
      <c r="AC61" s="307" t="n"/>
      <c r="AD61" s="307" t="n"/>
      <c r="AE61" s="307" t="n"/>
      <c r="AF61" s="307" t="n"/>
      <c r="AG61" s="307" t="n"/>
      <c r="AH61" s="307" t="n"/>
      <c r="AI61" s="307" t="n"/>
      <c r="AJ61" s="307" t="n"/>
      <c r="AK61" s="307" t="n"/>
      <c r="AL61" s="307" t="n"/>
      <c r="AM61" s="307" t="n"/>
      <c r="AN61" s="307" t="n"/>
      <c r="AO61" s="307" t="n"/>
      <c r="AP61" s="307" t="n"/>
      <c r="AQ61" s="307" t="n"/>
      <c r="AR61" s="307" t="n"/>
      <c r="AS61" s="307" t="n"/>
      <c r="AT61" s="307" t="n"/>
      <c r="AU61" s="307" t="n"/>
      <c r="AV61" s="307" t="n"/>
      <c r="AW61" s="307" t="n"/>
      <c r="AX61" s="307" t="n"/>
      <c r="AY61" s="307" t="n"/>
      <c r="AZ61" s="307" t="n"/>
      <c r="BA61" s="307" t="n"/>
      <c r="BB61" s="307" t="n"/>
      <c r="BC61" s="307" t="n"/>
      <c r="BD61" s="307" t="n"/>
      <c r="BE61" s="307" t="n"/>
      <c r="BF61" s="307" t="n"/>
      <c r="BG61" s="31" t="n"/>
      <c r="BH61" s="31" t="n"/>
      <c r="BI61" s="31" t="n"/>
      <c r="BJ61" s="31" t="n"/>
    </row>
    <row r="62" ht="15.75" customHeight="1" s="349">
      <c r="A62" s="307" t="n"/>
      <c r="B62" s="307" t="n"/>
      <c r="C62" s="307" t="n"/>
      <c r="D62" s="307" t="n"/>
      <c r="E62" s="307" t="n"/>
      <c r="F62" s="307" t="n"/>
      <c r="G62" s="307" t="n"/>
      <c r="H62" s="307" t="n"/>
      <c r="I62" s="307" t="n"/>
      <c r="J62" s="307" t="n"/>
      <c r="K62" s="307" t="n"/>
      <c r="L62" s="307" t="n"/>
      <c r="M62" s="307" t="n"/>
      <c r="N62" s="307" t="n"/>
      <c r="O62" s="307" t="n"/>
      <c r="P62" s="307" t="n"/>
      <c r="Q62" s="307" t="n"/>
      <c r="R62" s="307" t="n"/>
      <c r="S62" s="307" t="n"/>
      <c r="T62" s="307" t="n"/>
      <c r="U62" s="307" t="n"/>
      <c r="V62" s="307" t="n"/>
      <c r="W62" s="307" t="n"/>
      <c r="X62" s="307" t="n"/>
      <c r="Y62" s="307" t="n"/>
      <c r="Z62" s="307" t="n"/>
      <c r="AA62" s="307" t="n"/>
      <c r="AB62" s="307" t="n"/>
      <c r="AC62" s="307" t="n"/>
      <c r="AD62" s="307" t="n"/>
      <c r="AE62" s="307" t="n"/>
      <c r="AF62" s="307" t="n"/>
      <c r="AG62" s="307" t="n"/>
      <c r="AH62" s="307" t="n"/>
      <c r="AI62" s="307" t="n"/>
      <c r="AJ62" s="307" t="n"/>
      <c r="AK62" s="307" t="n"/>
      <c r="AL62" s="307" t="n"/>
      <c r="AM62" s="307" t="n"/>
      <c r="AN62" s="307" t="n"/>
      <c r="AO62" s="307" t="n"/>
      <c r="AP62" s="307" t="n"/>
      <c r="AQ62" s="307" t="n"/>
      <c r="AR62" s="307" t="n"/>
      <c r="AS62" s="307" t="n"/>
      <c r="AT62" s="307" t="n"/>
      <c r="AU62" s="307" t="n"/>
      <c r="AV62" s="307" t="n"/>
      <c r="AW62" s="307" t="n"/>
      <c r="AX62" s="307" t="n"/>
      <c r="AY62" s="307" t="n"/>
      <c r="AZ62" s="307" t="n"/>
      <c r="BA62" s="307" t="n"/>
      <c r="BB62" s="307" t="n"/>
      <c r="BC62" s="307" t="n"/>
      <c r="BD62" s="307" t="n"/>
      <c r="BE62" s="307" t="n"/>
      <c r="BF62" s="307" t="n"/>
      <c r="BG62" s="31" t="n"/>
      <c r="BH62" s="31" t="n"/>
      <c r="BI62" s="31" t="n"/>
      <c r="BJ62" s="31" t="n"/>
    </row>
    <row r="63" ht="15.75" customHeight="1" s="349">
      <c r="A63" s="307" t="n"/>
      <c r="B63" s="307" t="n"/>
      <c r="C63" s="307" t="n"/>
      <c r="D63" s="307" t="n"/>
      <c r="E63" s="307" t="n"/>
      <c r="F63" s="307" t="n"/>
      <c r="G63" s="307" t="n"/>
      <c r="H63" s="307" t="n"/>
      <c r="I63" s="307" t="n"/>
      <c r="J63" s="307" t="n"/>
      <c r="K63" s="307" t="n"/>
      <c r="L63" s="307" t="n"/>
      <c r="M63" s="307" t="n"/>
      <c r="N63" s="307" t="n"/>
      <c r="O63" s="307" t="n"/>
      <c r="P63" s="307" t="n"/>
      <c r="Q63" s="307" t="n"/>
      <c r="R63" s="307" t="n"/>
      <c r="S63" s="307" t="n"/>
      <c r="T63" s="307" t="n"/>
      <c r="U63" s="307" t="n"/>
      <c r="V63" s="307" t="n"/>
      <c r="W63" s="307" t="n"/>
      <c r="X63" s="307" t="n"/>
      <c r="Y63" s="307" t="n"/>
      <c r="Z63" s="307" t="n"/>
      <c r="AA63" s="307" t="n"/>
      <c r="AB63" s="307" t="n"/>
      <c r="AC63" s="307" t="n"/>
      <c r="AD63" s="307" t="n"/>
      <c r="AE63" s="307" t="n"/>
      <c r="AF63" s="307" t="n"/>
      <c r="AG63" s="307" t="n"/>
      <c r="AH63" s="307" t="n"/>
      <c r="AI63" s="307" t="n"/>
      <c r="AJ63" s="307" t="n"/>
      <c r="AK63" s="307" t="n"/>
      <c r="AL63" s="307" t="n"/>
      <c r="AM63" s="307" t="n"/>
      <c r="AN63" s="307" t="n"/>
      <c r="AO63" s="307" t="n"/>
      <c r="AP63" s="307" t="n"/>
      <c r="AQ63" s="307" t="n"/>
      <c r="AR63" s="307" t="n"/>
      <c r="AS63" s="307" t="n"/>
      <c r="AT63" s="307" t="n"/>
      <c r="AU63" s="307" t="n"/>
      <c r="AV63" s="307" t="n"/>
      <c r="AW63" s="307" t="n"/>
      <c r="AX63" s="307" t="n"/>
      <c r="AY63" s="307" t="n"/>
      <c r="AZ63" s="307" t="n"/>
      <c r="BA63" s="307" t="n"/>
      <c r="BB63" s="307" t="n"/>
      <c r="BC63" s="307" t="n"/>
      <c r="BD63" s="307" t="n"/>
      <c r="BE63" s="307" t="n"/>
      <c r="BF63" s="307" t="n"/>
      <c r="BG63" s="31" t="n"/>
      <c r="BH63" s="31" t="n"/>
      <c r="BI63" s="31" t="n"/>
      <c r="BJ63" s="31" t="n"/>
    </row>
    <row r="64" ht="15.75" customHeight="1" s="349">
      <c r="A64" s="307" t="n"/>
      <c r="B64" s="307" t="n"/>
      <c r="C64" s="307" t="n"/>
      <c r="D64" s="307" t="n"/>
      <c r="E64" s="307" t="n"/>
      <c r="F64" s="307" t="n"/>
      <c r="G64" s="307" t="n"/>
      <c r="H64" s="307" t="n"/>
      <c r="I64" s="307" t="n"/>
      <c r="J64" s="307" t="n"/>
      <c r="K64" s="307" t="n"/>
      <c r="L64" s="307" t="n"/>
      <c r="M64" s="307" t="n"/>
      <c r="N64" s="307" t="n"/>
      <c r="O64" s="307" t="n"/>
      <c r="P64" s="307" t="n"/>
      <c r="Q64" s="307" t="n"/>
      <c r="R64" s="307" t="n"/>
      <c r="S64" s="307" t="n"/>
      <c r="T64" s="307" t="n"/>
      <c r="U64" s="307" t="n"/>
      <c r="V64" s="307" t="n"/>
      <c r="W64" s="307" t="n"/>
      <c r="X64" s="307" t="n"/>
      <c r="Y64" s="307" t="n"/>
      <c r="Z64" s="307" t="n"/>
      <c r="AA64" s="307" t="n"/>
      <c r="AB64" s="307" t="n"/>
      <c r="AC64" s="307" t="n"/>
      <c r="AD64" s="307" t="n"/>
      <c r="AE64" s="307" t="n"/>
      <c r="AF64" s="307" t="n"/>
      <c r="AG64" s="307" t="n"/>
      <c r="AH64" s="307" t="n"/>
      <c r="AI64" s="307" t="n"/>
      <c r="AJ64" s="307" t="n"/>
      <c r="AK64" s="307" t="n"/>
      <c r="AL64" s="307" t="n"/>
      <c r="AM64" s="307" t="n"/>
      <c r="AN64" s="307" t="n"/>
      <c r="AO64" s="307" t="n"/>
      <c r="AP64" s="307" t="n"/>
      <c r="AQ64" s="307" t="n"/>
      <c r="AR64" s="307" t="n"/>
      <c r="AS64" s="307" t="n"/>
      <c r="AT64" s="307" t="n"/>
      <c r="AU64" s="307" t="n"/>
      <c r="AV64" s="307" t="n"/>
      <c r="AW64" s="307" t="n"/>
      <c r="AX64" s="307" t="n"/>
      <c r="AY64" s="307" t="n"/>
      <c r="AZ64" s="307" t="n"/>
      <c r="BA64" s="307" t="n"/>
      <c r="BB64" s="307" t="n"/>
      <c r="BC64" s="307" t="n"/>
      <c r="BD64" s="307" t="n"/>
      <c r="BE64" s="307" t="n"/>
      <c r="BF64" s="307" t="n"/>
      <c r="BG64" s="31" t="n"/>
      <c r="BH64" s="31" t="n"/>
      <c r="BI64" s="31" t="n"/>
      <c r="BJ64" s="31" t="n"/>
    </row>
    <row r="65" ht="15.75" customHeight="1" s="349">
      <c r="A65" s="307" t="n"/>
      <c r="B65" s="307" t="n"/>
      <c r="C65" s="307" t="n"/>
      <c r="D65" s="307" t="n"/>
      <c r="E65" s="307" t="n"/>
      <c r="F65" s="307" t="n"/>
      <c r="G65" s="307" t="n"/>
      <c r="H65" s="307" t="n"/>
      <c r="I65" s="307" t="n"/>
      <c r="J65" s="307" t="n"/>
      <c r="K65" s="307" t="n"/>
      <c r="L65" s="307" t="n"/>
      <c r="M65" s="307" t="n"/>
      <c r="N65" s="307" t="n"/>
      <c r="O65" s="307" t="n"/>
      <c r="P65" s="307" t="n"/>
      <c r="Q65" s="307" t="n"/>
      <c r="R65" s="307" t="n"/>
      <c r="S65" s="307" t="n"/>
      <c r="T65" s="307" t="n"/>
      <c r="U65" s="307" t="n"/>
      <c r="V65" s="307" t="n"/>
      <c r="W65" s="307" t="n"/>
      <c r="X65" s="307" t="n"/>
      <c r="Y65" s="307" t="n"/>
      <c r="Z65" s="307" t="n"/>
      <c r="AA65" s="307" t="n"/>
      <c r="AB65" s="307" t="n"/>
      <c r="AC65" s="307" t="n"/>
      <c r="AD65" s="307" t="n"/>
      <c r="AE65" s="307" t="n"/>
      <c r="AF65" s="307" t="n"/>
      <c r="AG65" s="307" t="n"/>
      <c r="AH65" s="307" t="n"/>
      <c r="AI65" s="307" t="n"/>
      <c r="AJ65" s="307" t="n"/>
      <c r="AK65" s="307" t="n"/>
      <c r="AL65" s="307" t="n"/>
      <c r="AM65" s="307" t="n"/>
      <c r="AN65" s="307" t="n"/>
      <c r="AO65" s="307" t="n"/>
      <c r="AP65" s="307" t="n"/>
      <c r="AQ65" s="307" t="n"/>
      <c r="AR65" s="307" t="n"/>
      <c r="AS65" s="307" t="n"/>
      <c r="AT65" s="307" t="n"/>
      <c r="AU65" s="307" t="n"/>
      <c r="AV65" s="307" t="n"/>
      <c r="AW65" s="307" t="n"/>
      <c r="AX65" s="307" t="n"/>
      <c r="AY65" s="307" t="n"/>
      <c r="AZ65" s="307" t="n"/>
      <c r="BA65" s="307" t="n"/>
      <c r="BB65" s="307" t="n"/>
      <c r="BC65" s="307" t="n"/>
      <c r="BD65" s="307" t="n"/>
      <c r="BE65" s="307" t="n"/>
      <c r="BF65" s="307" t="n"/>
      <c r="BG65" s="31" t="n"/>
      <c r="BH65" s="31" t="n"/>
      <c r="BI65" s="31" t="n"/>
      <c r="BJ65" s="31" t="n"/>
    </row>
    <row r="66" ht="15.75" customHeight="1" s="349">
      <c r="A66" s="307" t="n"/>
      <c r="B66" s="307" t="n"/>
      <c r="C66" s="307" t="n"/>
      <c r="D66" s="307" t="n"/>
      <c r="E66" s="307" t="n"/>
      <c r="F66" s="307" t="n"/>
      <c r="G66" s="307" t="n"/>
      <c r="H66" s="307" t="n"/>
      <c r="I66" s="307" t="n"/>
      <c r="J66" s="307" t="n"/>
      <c r="K66" s="307" t="n"/>
      <c r="L66" s="307" t="n"/>
      <c r="M66" s="307" t="n"/>
      <c r="N66" s="307" t="n"/>
      <c r="O66" s="307" t="n"/>
      <c r="P66" s="307" t="n"/>
      <c r="Q66" s="307" t="n"/>
      <c r="R66" s="307" t="n"/>
      <c r="S66" s="307" t="n"/>
      <c r="T66" s="307" t="n"/>
      <c r="U66" s="307" t="n"/>
      <c r="V66" s="307" t="n"/>
      <c r="W66" s="307" t="n"/>
      <c r="X66" s="307" t="n"/>
      <c r="Y66" s="307" t="n"/>
      <c r="Z66" s="307" t="n"/>
      <c r="AA66" s="307" t="n"/>
      <c r="AB66" s="307" t="n"/>
      <c r="AC66" s="307" t="n"/>
      <c r="AD66" s="307" t="n"/>
      <c r="AE66" s="307" t="n"/>
      <c r="AF66" s="307" t="n"/>
      <c r="AG66" s="307" t="n"/>
      <c r="AH66" s="307" t="n"/>
      <c r="AI66" s="307" t="n"/>
      <c r="AJ66" s="307" t="n"/>
      <c r="AK66" s="307" t="n"/>
      <c r="AL66" s="307" t="n"/>
      <c r="AM66" s="307" t="n"/>
      <c r="AN66" s="307" t="n"/>
      <c r="AO66" s="307" t="n"/>
      <c r="AP66" s="307" t="n"/>
      <c r="AQ66" s="307" t="n"/>
      <c r="AR66" s="307" t="n"/>
      <c r="AS66" s="307" t="n"/>
      <c r="AT66" s="307" t="n"/>
      <c r="AU66" s="307" t="n"/>
      <c r="AV66" s="307" t="n"/>
      <c r="AW66" s="307" t="n"/>
      <c r="AX66" s="307" t="n"/>
      <c r="AY66" s="307" t="n"/>
      <c r="AZ66" s="307" t="n"/>
      <c r="BA66" s="307" t="n"/>
      <c r="BB66" s="307" t="n"/>
      <c r="BC66" s="307" t="n"/>
      <c r="BD66" s="307" t="n"/>
      <c r="BE66" s="307" t="n"/>
      <c r="BF66" s="307" t="n"/>
      <c r="BG66" s="31" t="n"/>
      <c r="BH66" s="31" t="n"/>
      <c r="BI66" s="31" t="n"/>
      <c r="BJ66" s="31" t="n"/>
    </row>
    <row r="67" ht="15.75" customHeight="1" s="349">
      <c r="A67" s="307" t="n"/>
      <c r="B67" s="307" t="n"/>
      <c r="C67" s="307" t="n"/>
      <c r="D67" s="307" t="n"/>
      <c r="E67" s="307" t="n"/>
      <c r="F67" s="307" t="n"/>
      <c r="G67" s="307" t="n"/>
      <c r="H67" s="307" t="n"/>
      <c r="I67" s="307" t="n"/>
      <c r="J67" s="307" t="n"/>
      <c r="K67" s="307" t="n"/>
      <c r="L67" s="307" t="n"/>
      <c r="M67" s="307" t="n"/>
      <c r="N67" s="307" t="n"/>
      <c r="O67" s="307" t="n"/>
      <c r="P67" s="307" t="n"/>
      <c r="Q67" s="307" t="n"/>
      <c r="R67" s="307" t="n"/>
      <c r="S67" s="307" t="n"/>
      <c r="T67" s="307" t="n"/>
      <c r="U67" s="307" t="n"/>
      <c r="V67" s="307" t="n"/>
      <c r="W67" s="307" t="n"/>
      <c r="X67" s="307" t="n"/>
      <c r="Y67" s="307" t="n"/>
      <c r="Z67" s="307" t="n"/>
      <c r="AA67" s="307" t="n"/>
      <c r="AB67" s="307" t="n"/>
      <c r="AC67" s="307" t="n"/>
      <c r="AD67" s="307" t="n"/>
      <c r="AE67" s="307" t="n"/>
      <c r="AF67" s="307" t="n"/>
      <c r="AG67" s="307" t="n"/>
      <c r="AH67" s="307" t="n"/>
      <c r="AI67" s="307" t="n"/>
      <c r="AJ67" s="307" t="n"/>
      <c r="AK67" s="307" t="n"/>
      <c r="AL67" s="307" t="n"/>
      <c r="AM67" s="307" t="n"/>
      <c r="AN67" s="307" t="n"/>
      <c r="AO67" s="307" t="n"/>
      <c r="AP67" s="307" t="n"/>
      <c r="AQ67" s="307" t="n"/>
      <c r="AR67" s="307" t="n"/>
      <c r="AS67" s="307" t="n"/>
      <c r="AT67" s="307" t="n"/>
      <c r="AU67" s="307" t="n"/>
      <c r="AV67" s="307" t="n"/>
      <c r="AW67" s="307" t="n"/>
      <c r="AX67" s="307" t="n"/>
      <c r="AY67" s="307" t="n"/>
      <c r="AZ67" s="307" t="n"/>
      <c r="BA67" s="307" t="n"/>
      <c r="BB67" s="307" t="n"/>
      <c r="BC67" s="307" t="n"/>
      <c r="BD67" s="307" t="n"/>
      <c r="BE67" s="307" t="n"/>
      <c r="BF67" s="307" t="n"/>
      <c r="BG67" s="31" t="n"/>
      <c r="BH67" s="31" t="n"/>
      <c r="BI67" s="31" t="n"/>
      <c r="BJ67" s="31" t="n"/>
    </row>
    <row r="68" ht="15.75" customHeight="1" s="349">
      <c r="A68" s="307" t="n"/>
      <c r="B68" s="307" t="n"/>
      <c r="C68" s="307" t="n"/>
      <c r="D68" s="307" t="n"/>
      <c r="E68" s="307" t="n"/>
      <c r="F68" s="307" t="n"/>
      <c r="G68" s="307" t="n"/>
      <c r="H68" s="307" t="n"/>
      <c r="I68" s="307" t="n"/>
      <c r="J68" s="307" t="n"/>
      <c r="K68" s="307" t="n"/>
      <c r="L68" s="307" t="n"/>
      <c r="M68" s="307" t="n"/>
      <c r="N68" s="307" t="n"/>
      <c r="O68" s="307" t="n"/>
      <c r="P68" s="307" t="n"/>
      <c r="Q68" s="307" t="n"/>
      <c r="R68" s="307" t="n"/>
      <c r="S68" s="307" t="n"/>
      <c r="T68" s="307" t="n"/>
      <c r="U68" s="307" t="n"/>
      <c r="V68" s="307" t="n"/>
      <c r="W68" s="307" t="n"/>
      <c r="X68" s="307" t="n"/>
      <c r="Y68" s="307" t="n"/>
      <c r="Z68" s="307" t="n"/>
      <c r="AA68" s="307" t="n"/>
      <c r="AB68" s="307" t="n"/>
      <c r="AC68" s="307" t="n"/>
      <c r="AD68" s="307" t="n"/>
      <c r="AE68" s="307" t="n"/>
      <c r="AF68" s="307" t="n"/>
      <c r="AG68" s="307" t="n"/>
      <c r="AH68" s="307" t="n"/>
      <c r="AI68" s="307" t="n"/>
      <c r="AJ68" s="307" t="n"/>
      <c r="AK68" s="307" t="n"/>
      <c r="AL68" s="307" t="n"/>
      <c r="AM68" s="307" t="n"/>
      <c r="AN68" s="307" t="n"/>
      <c r="AO68" s="307" t="n"/>
      <c r="AP68" s="307" t="n"/>
      <c r="AQ68" s="307" t="n"/>
      <c r="AR68" s="307" t="n"/>
      <c r="AS68" s="307" t="n"/>
      <c r="AT68" s="307" t="n"/>
      <c r="AU68" s="307" t="n"/>
      <c r="AV68" s="307" t="n"/>
      <c r="AW68" s="307" t="n"/>
      <c r="AX68" s="307" t="n"/>
      <c r="AY68" s="307" t="n"/>
      <c r="AZ68" s="307" t="n"/>
      <c r="BA68" s="307" t="n"/>
      <c r="BB68" s="307" t="n"/>
      <c r="BC68" s="307" t="n"/>
      <c r="BD68" s="307" t="n"/>
      <c r="BE68" s="307" t="n"/>
      <c r="BF68" s="307" t="n"/>
      <c r="BG68" s="31" t="n"/>
      <c r="BH68" s="31" t="n"/>
      <c r="BI68" s="31" t="n"/>
      <c r="BJ68" s="31" t="n"/>
    </row>
    <row r="69" ht="15.75" customHeight="1" s="349">
      <c r="A69" s="307" t="n"/>
      <c r="B69" s="307" t="n"/>
      <c r="C69" s="307" t="n"/>
      <c r="D69" s="307" t="n"/>
      <c r="E69" s="307" t="n"/>
      <c r="F69" s="307" t="n"/>
      <c r="G69" s="307" t="n"/>
      <c r="H69" s="307" t="n"/>
      <c r="I69" s="307" t="n"/>
      <c r="J69" s="307" t="n"/>
      <c r="K69" s="307" t="n"/>
      <c r="L69" s="307" t="n"/>
      <c r="M69" s="307" t="n"/>
      <c r="N69" s="307" t="n"/>
      <c r="O69" s="307" t="n"/>
      <c r="P69" s="307" t="n"/>
      <c r="Q69" s="307" t="n"/>
      <c r="R69" s="307" t="n"/>
      <c r="S69" s="307" t="n"/>
      <c r="T69" s="307" t="n"/>
      <c r="U69" s="307" t="n"/>
      <c r="V69" s="307" t="n"/>
      <c r="W69" s="307" t="n"/>
      <c r="X69" s="307" t="n"/>
      <c r="Y69" s="307" t="n"/>
      <c r="Z69" s="307" t="n"/>
      <c r="AA69" s="307" t="n"/>
      <c r="AB69" s="307" t="n"/>
      <c r="AC69" s="307" t="n"/>
      <c r="AD69" s="307" t="n"/>
      <c r="AE69" s="307" t="n"/>
      <c r="AF69" s="307" t="n"/>
      <c r="AG69" s="307" t="n"/>
      <c r="AH69" s="307" t="n"/>
      <c r="AI69" s="307" t="n"/>
      <c r="AJ69" s="307" t="n"/>
      <c r="AK69" s="307" t="n"/>
      <c r="AL69" s="307" t="n"/>
      <c r="AM69" s="307" t="n"/>
      <c r="AN69" s="307" t="n"/>
      <c r="AO69" s="307" t="n"/>
      <c r="AP69" s="307" t="n"/>
      <c r="AQ69" s="307" t="n"/>
      <c r="AR69" s="307" t="n"/>
      <c r="AS69" s="307" t="n"/>
      <c r="AT69" s="307" t="n"/>
      <c r="AU69" s="307" t="n"/>
      <c r="AV69" s="307" t="n"/>
      <c r="AW69" s="307" t="n"/>
      <c r="AX69" s="307" t="n"/>
      <c r="AY69" s="307" t="n"/>
      <c r="AZ69" s="307" t="n"/>
      <c r="BA69" s="307" t="n"/>
      <c r="BB69" s="307" t="n"/>
      <c r="BC69" s="307" t="n"/>
      <c r="BD69" s="307" t="n"/>
      <c r="BE69" s="307" t="n"/>
      <c r="BF69" s="307" t="n"/>
      <c r="BG69" s="31" t="n"/>
      <c r="BH69" s="31" t="n"/>
      <c r="BI69" s="31" t="n"/>
      <c r="BJ69" s="31" t="n"/>
    </row>
    <row r="70" ht="15.75" customHeight="1" s="349">
      <c r="A70" s="307" t="n"/>
      <c r="B70" s="307" t="n"/>
      <c r="C70" s="307" t="n"/>
      <c r="D70" s="307" t="n"/>
      <c r="E70" s="307" t="n"/>
      <c r="F70" s="307" t="n"/>
      <c r="G70" s="307" t="n"/>
      <c r="H70" s="307" t="n"/>
      <c r="I70" s="307" t="n"/>
      <c r="J70" s="307" t="n"/>
      <c r="K70" s="307" t="n"/>
      <c r="L70" s="307" t="n"/>
      <c r="M70" s="307" t="n"/>
      <c r="N70" s="307" t="n"/>
      <c r="O70" s="307" t="n"/>
      <c r="P70" s="307" t="n"/>
      <c r="Q70" s="307" t="n"/>
      <c r="R70" s="307" t="n"/>
      <c r="S70" s="307" t="n"/>
      <c r="T70" s="307" t="n"/>
      <c r="U70" s="307" t="n"/>
      <c r="V70" s="307" t="n"/>
      <c r="W70" s="307" t="n"/>
      <c r="X70" s="307" t="n"/>
      <c r="Y70" s="307" t="n"/>
      <c r="Z70" s="307" t="n"/>
      <c r="AA70" s="307" t="n"/>
      <c r="AB70" s="307" t="n"/>
      <c r="AC70" s="307" t="n"/>
      <c r="AD70" s="307" t="n"/>
      <c r="AE70" s="307" t="n"/>
      <c r="AF70" s="307" t="n"/>
      <c r="AG70" s="307" t="n"/>
      <c r="AH70" s="307" t="n"/>
      <c r="AI70" s="307" t="n"/>
      <c r="AJ70" s="307" t="n"/>
      <c r="AK70" s="307" t="n"/>
      <c r="AL70" s="307" t="n"/>
      <c r="AM70" s="307" t="n"/>
      <c r="AN70" s="307" t="n"/>
      <c r="AO70" s="307" t="n"/>
      <c r="AP70" s="307" t="n"/>
      <c r="AQ70" s="307" t="n"/>
      <c r="AR70" s="307" t="n"/>
      <c r="AS70" s="307" t="n"/>
      <c r="AT70" s="307" t="n"/>
      <c r="AU70" s="307" t="n"/>
      <c r="AV70" s="307" t="n"/>
      <c r="AW70" s="307" t="n"/>
      <c r="AX70" s="307" t="n"/>
      <c r="AY70" s="307" t="n"/>
      <c r="AZ70" s="307" t="n"/>
      <c r="BA70" s="307" t="n"/>
      <c r="BB70" s="307" t="n"/>
      <c r="BC70" s="307" t="n"/>
      <c r="BD70" s="307" t="n"/>
      <c r="BE70" s="307" t="n"/>
      <c r="BF70" s="307" t="n"/>
      <c r="BG70" s="31" t="n"/>
      <c r="BH70" s="31" t="n"/>
      <c r="BI70" s="31" t="n"/>
      <c r="BJ70" s="31" t="n"/>
    </row>
    <row r="71" ht="15.75" customHeight="1" s="349">
      <c r="A71" s="307" t="n"/>
      <c r="B71" s="307" t="n"/>
      <c r="C71" s="307" t="n"/>
      <c r="D71" s="307" t="n"/>
      <c r="E71" s="307" t="n"/>
      <c r="F71" s="307" t="n"/>
      <c r="G71" s="307" t="n"/>
      <c r="H71" s="307" t="n"/>
      <c r="I71" s="307" t="n"/>
      <c r="J71" s="307" t="n"/>
      <c r="K71" s="307" t="n"/>
      <c r="L71" s="307" t="n"/>
      <c r="M71" s="307" t="n"/>
      <c r="N71" s="307" t="n"/>
      <c r="O71" s="307" t="n"/>
      <c r="P71" s="307" t="n"/>
      <c r="Q71" s="307" t="n"/>
      <c r="R71" s="307" t="n"/>
      <c r="S71" s="307" t="n"/>
      <c r="T71" s="307" t="n"/>
      <c r="U71" s="307" t="n"/>
      <c r="V71" s="307" t="n"/>
      <c r="W71" s="307" t="n"/>
      <c r="X71" s="307" t="n"/>
      <c r="Y71" s="307" t="n"/>
      <c r="Z71" s="307" t="n"/>
      <c r="AA71" s="307" t="n"/>
      <c r="AB71" s="307" t="n"/>
      <c r="AC71" s="307" t="n"/>
      <c r="AD71" s="307" t="n"/>
      <c r="AE71" s="307" t="n"/>
      <c r="AF71" s="307" t="n"/>
      <c r="AG71" s="307" t="n"/>
      <c r="AH71" s="307" t="n"/>
      <c r="AI71" s="307" t="n"/>
      <c r="AJ71" s="307" t="n"/>
      <c r="AK71" s="307" t="n"/>
      <c r="AL71" s="307" t="n"/>
      <c r="AM71" s="307" t="n"/>
      <c r="AN71" s="307" t="n"/>
      <c r="AO71" s="307" t="n"/>
      <c r="AP71" s="307" t="n"/>
      <c r="AQ71" s="307" t="n"/>
      <c r="AR71" s="307" t="n"/>
      <c r="AS71" s="307" t="n"/>
      <c r="AT71" s="307" t="n"/>
      <c r="AU71" s="307" t="n"/>
      <c r="AV71" s="307" t="n"/>
      <c r="AW71" s="307" t="n"/>
      <c r="AX71" s="307" t="n"/>
      <c r="AY71" s="307" t="n"/>
      <c r="AZ71" s="307" t="n"/>
      <c r="BA71" s="307" t="n"/>
      <c r="BB71" s="307" t="n"/>
      <c r="BC71" s="307" t="n"/>
      <c r="BD71" s="307" t="n"/>
      <c r="BE71" s="307" t="n"/>
      <c r="BF71" s="307" t="n"/>
      <c r="BG71" s="31" t="n"/>
      <c r="BH71" s="31" t="n"/>
      <c r="BI71" s="31" t="n"/>
      <c r="BJ71" s="31" t="n"/>
    </row>
    <row r="72" ht="15.75" customHeight="1" s="349">
      <c r="A72" s="307" t="n"/>
      <c r="B72" s="307" t="n"/>
      <c r="C72" s="307" t="n"/>
      <c r="D72" s="307" t="n"/>
      <c r="E72" s="307" t="n"/>
      <c r="F72" s="307" t="n"/>
      <c r="G72" s="307" t="n"/>
      <c r="H72" s="307" t="n"/>
      <c r="I72" s="307" t="n"/>
      <c r="J72" s="307" t="n"/>
      <c r="K72" s="307" t="n"/>
      <c r="L72" s="307" t="n"/>
      <c r="M72" s="307" t="n"/>
      <c r="N72" s="307" t="n"/>
      <c r="O72" s="307" t="n"/>
      <c r="P72" s="307" t="n"/>
      <c r="Q72" s="307" t="n"/>
      <c r="R72" s="307" t="n"/>
      <c r="S72" s="307" t="n"/>
      <c r="T72" s="307" t="n"/>
      <c r="U72" s="307" t="n"/>
      <c r="V72" s="307" t="n"/>
      <c r="W72" s="307" t="n"/>
      <c r="X72" s="307" t="n"/>
      <c r="Y72" s="307" t="n"/>
      <c r="Z72" s="307" t="n"/>
      <c r="AA72" s="307" t="n"/>
      <c r="AB72" s="307" t="n"/>
      <c r="AC72" s="307" t="n"/>
      <c r="AD72" s="307" t="n"/>
      <c r="AE72" s="307" t="n"/>
      <c r="AF72" s="307" t="n"/>
      <c r="AG72" s="307" t="n"/>
      <c r="AH72" s="307" t="n"/>
      <c r="AI72" s="307" t="n"/>
      <c r="AJ72" s="307" t="n"/>
      <c r="AK72" s="307" t="n"/>
      <c r="AL72" s="307" t="n"/>
      <c r="AM72" s="307" t="n"/>
      <c r="AN72" s="307" t="n"/>
      <c r="AO72" s="307" t="n"/>
      <c r="AP72" s="307" t="n"/>
      <c r="AQ72" s="307" t="n"/>
      <c r="AR72" s="307" t="n"/>
      <c r="AS72" s="307" t="n"/>
      <c r="AT72" s="307" t="n"/>
      <c r="AU72" s="307" t="n"/>
      <c r="AV72" s="307" t="n"/>
      <c r="AW72" s="307" t="n"/>
      <c r="AX72" s="307" t="n"/>
      <c r="AY72" s="307" t="n"/>
      <c r="AZ72" s="307" t="n"/>
      <c r="BA72" s="307" t="n"/>
      <c r="BB72" s="307" t="n"/>
      <c r="BC72" s="307" t="n"/>
      <c r="BD72" s="307" t="n"/>
      <c r="BE72" s="307" t="n"/>
      <c r="BF72" s="307" t="n"/>
      <c r="BG72" s="31" t="n"/>
      <c r="BH72" s="31" t="n"/>
      <c r="BI72" s="31" t="n"/>
      <c r="BJ72" s="31" t="n"/>
    </row>
    <row r="73" ht="15.75" customHeight="1" s="349">
      <c r="A73" s="307" t="n"/>
      <c r="B73" s="307" t="n"/>
      <c r="C73" s="307" t="n"/>
      <c r="D73" s="307" t="n"/>
      <c r="E73" s="307" t="n"/>
      <c r="F73" s="307" t="n"/>
      <c r="G73" s="307" t="n"/>
      <c r="H73" s="307" t="n"/>
      <c r="I73" s="307" t="n"/>
      <c r="J73" s="307" t="n"/>
      <c r="K73" s="307" t="n"/>
      <c r="L73" s="307" t="n"/>
      <c r="M73" s="307" t="n"/>
      <c r="N73" s="307" t="n"/>
      <c r="O73" s="307" t="n"/>
      <c r="P73" s="307" t="n"/>
      <c r="Q73" s="307" t="n"/>
      <c r="R73" s="307" t="n"/>
      <c r="S73" s="307" t="n"/>
      <c r="T73" s="307" t="n"/>
      <c r="U73" s="307" t="n"/>
      <c r="V73" s="307" t="n"/>
      <c r="W73" s="307" t="n"/>
      <c r="X73" s="307" t="n"/>
      <c r="Y73" s="307" t="n"/>
      <c r="Z73" s="307" t="n"/>
      <c r="AA73" s="307" t="n"/>
      <c r="AB73" s="307" t="n"/>
      <c r="AC73" s="307" t="n"/>
      <c r="AD73" s="307" t="n"/>
      <c r="AE73" s="307" t="n"/>
      <c r="AF73" s="307" t="n"/>
      <c r="AG73" s="307" t="n"/>
      <c r="AH73" s="307" t="n"/>
      <c r="AI73" s="307" t="n"/>
      <c r="AJ73" s="307" t="n"/>
      <c r="AK73" s="307" t="n"/>
      <c r="AL73" s="307" t="n"/>
      <c r="AM73" s="307" t="n"/>
      <c r="AN73" s="307" t="n"/>
      <c r="AO73" s="307" t="n"/>
      <c r="AP73" s="307" t="n"/>
      <c r="AQ73" s="307" t="n"/>
      <c r="AR73" s="307" t="n"/>
      <c r="AS73" s="307" t="n"/>
      <c r="AT73" s="307" t="n"/>
      <c r="AU73" s="307" t="n"/>
      <c r="AV73" s="307" t="n"/>
      <c r="AW73" s="307" t="n"/>
      <c r="AX73" s="307" t="n"/>
      <c r="AY73" s="307" t="n"/>
      <c r="AZ73" s="307" t="n"/>
      <c r="BA73" s="307" t="n"/>
      <c r="BB73" s="307" t="n"/>
      <c r="BC73" s="307" t="n"/>
      <c r="BD73" s="307" t="n"/>
      <c r="BE73" s="307" t="n"/>
      <c r="BF73" s="307" t="n"/>
      <c r="BG73" s="31" t="n"/>
      <c r="BH73" s="31" t="n"/>
      <c r="BI73" s="31" t="n"/>
      <c r="BJ73" s="31" t="n"/>
    </row>
    <row r="74" ht="15.75" customHeight="1" s="349">
      <c r="A74" s="307" t="n"/>
      <c r="B74" s="307" t="n"/>
      <c r="C74" s="307" t="n"/>
      <c r="D74" s="307" t="n"/>
      <c r="E74" s="307" t="n"/>
      <c r="F74" s="307" t="n"/>
      <c r="G74" s="307" t="n"/>
      <c r="H74" s="307" t="n"/>
      <c r="I74" s="307" t="n"/>
      <c r="J74" s="307" t="n"/>
      <c r="K74" s="307" t="n"/>
      <c r="L74" s="307" t="n"/>
      <c r="M74" s="307" t="n"/>
      <c r="N74" s="307" t="n"/>
      <c r="O74" s="307" t="n"/>
      <c r="P74" s="307" t="n"/>
      <c r="Q74" s="307" t="n"/>
      <c r="R74" s="307" t="n"/>
      <c r="S74" s="307" t="n"/>
      <c r="T74" s="307" t="n"/>
      <c r="U74" s="307" t="n"/>
      <c r="V74" s="307" t="n"/>
      <c r="W74" s="307" t="n"/>
      <c r="X74" s="307" t="n"/>
      <c r="Y74" s="307" t="n"/>
      <c r="Z74" s="307" t="n"/>
      <c r="AA74" s="307" t="n"/>
      <c r="AB74" s="307" t="n"/>
      <c r="AC74" s="307" t="n"/>
      <c r="AD74" s="307" t="n"/>
      <c r="AE74" s="307" t="n"/>
      <c r="AF74" s="307" t="n"/>
      <c r="AG74" s="307" t="n"/>
      <c r="AH74" s="307" t="n"/>
      <c r="AI74" s="307" t="n"/>
      <c r="AJ74" s="307" t="n"/>
      <c r="AK74" s="307" t="n"/>
      <c r="AL74" s="307" t="n"/>
      <c r="AM74" s="307" t="n"/>
      <c r="AN74" s="307" t="n"/>
      <c r="AO74" s="307" t="n"/>
      <c r="AP74" s="307" t="n"/>
      <c r="AQ74" s="307" t="n"/>
      <c r="AR74" s="307" t="n"/>
      <c r="AS74" s="307" t="n"/>
      <c r="AT74" s="307" t="n"/>
      <c r="AU74" s="307" t="n"/>
      <c r="AV74" s="307" t="n"/>
      <c r="AW74" s="307" t="n"/>
      <c r="AX74" s="307" t="n"/>
      <c r="AY74" s="307" t="n"/>
      <c r="AZ74" s="307" t="n"/>
      <c r="BA74" s="307" t="n"/>
      <c r="BB74" s="307" t="n"/>
      <c r="BC74" s="307" t="n"/>
      <c r="BD74" s="307" t="n"/>
      <c r="BE74" s="307" t="n"/>
      <c r="BF74" s="307" t="n"/>
      <c r="BG74" s="31" t="n"/>
      <c r="BH74" s="31" t="n"/>
      <c r="BI74" s="31" t="n"/>
      <c r="BJ74" s="31" t="n"/>
    </row>
    <row r="75" ht="15.75" customHeight="1" s="349">
      <c r="A75" s="307" t="n"/>
      <c r="B75" s="307" t="n"/>
      <c r="C75" s="307" t="n"/>
      <c r="D75" s="307" t="n"/>
      <c r="E75" s="307" t="n"/>
      <c r="F75" s="307" t="n"/>
      <c r="G75" s="307" t="n"/>
      <c r="H75" s="307" t="n"/>
      <c r="I75" s="307" t="n"/>
      <c r="J75" s="307" t="n"/>
      <c r="K75" s="307" t="n"/>
      <c r="L75" s="307" t="n"/>
      <c r="M75" s="307" t="n"/>
      <c r="N75" s="307" t="n"/>
      <c r="O75" s="307" t="n"/>
      <c r="P75" s="307" t="n"/>
      <c r="Q75" s="307" t="n"/>
      <c r="R75" s="307" t="n"/>
      <c r="S75" s="307" t="n"/>
      <c r="T75" s="307" t="n"/>
      <c r="U75" s="307" t="n"/>
      <c r="V75" s="307" t="n"/>
      <c r="W75" s="307" t="n"/>
      <c r="X75" s="307" t="n"/>
      <c r="Y75" s="307" t="n"/>
      <c r="Z75" s="307" t="n"/>
      <c r="AA75" s="307" t="n"/>
      <c r="AB75" s="307" t="n"/>
      <c r="AC75" s="307" t="n"/>
      <c r="AD75" s="307" t="n"/>
      <c r="AE75" s="307" t="n"/>
      <c r="AF75" s="307" t="n"/>
      <c r="AG75" s="307" t="n"/>
      <c r="AH75" s="307" t="n"/>
      <c r="AI75" s="307" t="n"/>
      <c r="AJ75" s="307" t="n"/>
      <c r="AK75" s="307" t="n"/>
      <c r="AL75" s="307" t="n"/>
      <c r="AM75" s="307" t="n"/>
      <c r="AN75" s="307" t="n"/>
      <c r="AO75" s="307" t="n"/>
      <c r="AP75" s="307" t="n"/>
      <c r="AQ75" s="307" t="n"/>
      <c r="AR75" s="307" t="n"/>
      <c r="AS75" s="307" t="n"/>
      <c r="AT75" s="307" t="n"/>
      <c r="AU75" s="307" t="n"/>
      <c r="AV75" s="307" t="n"/>
      <c r="AW75" s="307" t="n"/>
      <c r="AX75" s="307" t="n"/>
      <c r="AY75" s="307" t="n"/>
      <c r="AZ75" s="307" t="n"/>
      <c r="BA75" s="307" t="n"/>
      <c r="BB75" s="307" t="n"/>
      <c r="BC75" s="307" t="n"/>
      <c r="BD75" s="307" t="n"/>
      <c r="BE75" s="307" t="n"/>
      <c r="BF75" s="307" t="n"/>
      <c r="BG75" s="31" t="n"/>
      <c r="BH75" s="31" t="n"/>
      <c r="BI75" s="31" t="n"/>
      <c r="BJ75" s="31" t="n"/>
    </row>
    <row r="76" ht="15.75" customHeight="1" s="349">
      <c r="A76" s="307" t="n"/>
      <c r="B76" s="307" t="n"/>
      <c r="C76" s="307" t="n"/>
      <c r="D76" s="307" t="n"/>
      <c r="E76" s="307" t="n"/>
      <c r="F76" s="307" t="n"/>
      <c r="G76" s="307" t="n"/>
      <c r="H76" s="307" t="n"/>
      <c r="I76" s="307" t="n"/>
      <c r="J76" s="307" t="n"/>
      <c r="K76" s="307" t="n"/>
      <c r="L76" s="307" t="n"/>
      <c r="M76" s="307" t="n"/>
      <c r="N76" s="307" t="n"/>
      <c r="O76" s="307" t="n"/>
      <c r="P76" s="307" t="n"/>
      <c r="Q76" s="307" t="n"/>
      <c r="R76" s="307" t="n"/>
      <c r="S76" s="307" t="n"/>
      <c r="T76" s="307" t="n"/>
      <c r="U76" s="307" t="n"/>
      <c r="V76" s="307" t="n"/>
      <c r="W76" s="307" t="n"/>
      <c r="X76" s="307" t="n"/>
      <c r="Y76" s="307" t="n"/>
      <c r="Z76" s="307" t="n"/>
      <c r="AA76" s="307" t="n"/>
      <c r="AB76" s="307" t="n"/>
      <c r="AC76" s="307" t="n"/>
      <c r="AD76" s="307" t="n"/>
      <c r="AE76" s="307" t="n"/>
      <c r="AF76" s="307" t="n"/>
      <c r="AG76" s="307" t="n"/>
      <c r="AH76" s="307" t="n"/>
      <c r="AI76" s="307" t="n"/>
      <c r="AJ76" s="307" t="n"/>
      <c r="AK76" s="307" t="n"/>
      <c r="AL76" s="307" t="n"/>
      <c r="AM76" s="307" t="n"/>
      <c r="AN76" s="307" t="n"/>
      <c r="AO76" s="307" t="n"/>
      <c r="AP76" s="307" t="n"/>
      <c r="AQ76" s="307" t="n"/>
      <c r="AR76" s="307" t="n"/>
      <c r="AS76" s="307" t="n"/>
      <c r="AT76" s="307" t="n"/>
      <c r="AU76" s="307" t="n"/>
      <c r="AV76" s="307" t="n"/>
      <c r="AW76" s="307" t="n"/>
      <c r="AX76" s="307" t="n"/>
      <c r="AY76" s="307" t="n"/>
      <c r="AZ76" s="307" t="n"/>
      <c r="BA76" s="307" t="n"/>
      <c r="BB76" s="307" t="n"/>
      <c r="BC76" s="307" t="n"/>
      <c r="BD76" s="307" t="n"/>
      <c r="BE76" s="307" t="n"/>
      <c r="BF76" s="307" t="n"/>
      <c r="BG76" s="31" t="n"/>
      <c r="BH76" s="31" t="n"/>
      <c r="BI76" s="31" t="n"/>
      <c r="BJ76" s="31" t="n"/>
    </row>
    <row r="77" ht="15.75" customHeight="1" s="349">
      <c r="A77" s="307" t="n"/>
      <c r="B77" s="307" t="n"/>
      <c r="C77" s="307" t="n"/>
      <c r="D77" s="307" t="n"/>
      <c r="E77" s="307" t="n"/>
      <c r="F77" s="307" t="n"/>
      <c r="G77" s="307" t="n"/>
      <c r="H77" s="307" t="n"/>
      <c r="I77" s="307" t="n"/>
      <c r="J77" s="307" t="n"/>
      <c r="K77" s="307" t="n"/>
      <c r="L77" s="307" t="n"/>
      <c r="M77" s="307" t="n"/>
      <c r="N77" s="307" t="n"/>
      <c r="O77" s="307" t="n"/>
      <c r="P77" s="307" t="n"/>
      <c r="Q77" s="307" t="n"/>
      <c r="R77" s="307" t="n"/>
      <c r="S77" s="307" t="n"/>
      <c r="T77" s="307" t="n"/>
      <c r="U77" s="307" t="n"/>
      <c r="V77" s="307" t="n"/>
      <c r="W77" s="307" t="n"/>
      <c r="X77" s="307" t="n"/>
      <c r="Y77" s="307" t="n"/>
      <c r="Z77" s="307" t="n"/>
      <c r="AA77" s="307" t="n"/>
      <c r="AB77" s="307" t="n"/>
      <c r="AC77" s="307" t="n"/>
      <c r="AD77" s="307" t="n"/>
      <c r="AE77" s="307" t="n"/>
      <c r="AF77" s="307" t="n"/>
      <c r="AG77" s="307" t="n"/>
      <c r="AH77" s="307" t="n"/>
      <c r="AI77" s="307" t="n"/>
      <c r="AJ77" s="307" t="n"/>
      <c r="AK77" s="307" t="n"/>
      <c r="AL77" s="307" t="n"/>
      <c r="AM77" s="307" t="n"/>
      <c r="AN77" s="307" t="n"/>
      <c r="AO77" s="307" t="n"/>
      <c r="AP77" s="307" t="n"/>
      <c r="AQ77" s="307" t="n"/>
      <c r="AR77" s="307" t="n"/>
      <c r="AS77" s="307" t="n"/>
      <c r="AT77" s="307" t="n"/>
      <c r="AU77" s="307" t="n"/>
      <c r="AV77" s="307" t="n"/>
      <c r="AW77" s="307" t="n"/>
      <c r="AX77" s="307" t="n"/>
      <c r="AY77" s="307" t="n"/>
      <c r="AZ77" s="307" t="n"/>
      <c r="BA77" s="307" t="n"/>
      <c r="BB77" s="307" t="n"/>
      <c r="BC77" s="307" t="n"/>
      <c r="BD77" s="307" t="n"/>
      <c r="BE77" s="307" t="n"/>
      <c r="BF77" s="307" t="n"/>
      <c r="BG77" s="31" t="n"/>
      <c r="BH77" s="31" t="n"/>
      <c r="BI77" s="31" t="n"/>
      <c r="BJ77" s="31" t="n"/>
    </row>
    <row r="78" ht="15.75" customHeight="1" s="349">
      <c r="A78" s="307" t="n"/>
      <c r="B78" s="307" t="n"/>
      <c r="C78" s="307" t="n"/>
      <c r="D78" s="307" t="n"/>
      <c r="E78" s="307" t="n"/>
      <c r="F78" s="307" t="n"/>
      <c r="G78" s="307" t="n"/>
      <c r="H78" s="307" t="n"/>
      <c r="I78" s="307" t="n"/>
      <c r="J78" s="307" t="n"/>
      <c r="K78" s="307" t="n"/>
      <c r="L78" s="307" t="n"/>
      <c r="M78" s="307" t="n"/>
      <c r="N78" s="307" t="n"/>
      <c r="O78" s="307" t="n"/>
      <c r="P78" s="307" t="n"/>
      <c r="Q78" s="307" t="n"/>
      <c r="R78" s="307" t="n"/>
      <c r="S78" s="307" t="n"/>
      <c r="T78" s="307" t="n"/>
      <c r="U78" s="307" t="n"/>
      <c r="V78" s="307" t="n"/>
      <c r="W78" s="307" t="n"/>
      <c r="X78" s="307" t="n"/>
      <c r="Y78" s="307" t="n"/>
      <c r="Z78" s="307" t="n"/>
      <c r="AA78" s="307" t="n"/>
      <c r="AB78" s="307" t="n"/>
      <c r="AC78" s="307" t="n"/>
      <c r="AD78" s="307" t="n"/>
      <c r="AE78" s="307" t="n"/>
      <c r="AF78" s="307" t="n"/>
      <c r="AG78" s="307" t="n"/>
      <c r="AH78" s="307" t="n"/>
      <c r="AI78" s="307" t="n"/>
      <c r="AJ78" s="307" t="n"/>
      <c r="AK78" s="307" t="n"/>
      <c r="AL78" s="307" t="n"/>
      <c r="AM78" s="307" t="n"/>
      <c r="AN78" s="307" t="n"/>
      <c r="AO78" s="307" t="n"/>
      <c r="AP78" s="307" t="n"/>
      <c r="AQ78" s="307" t="n"/>
      <c r="AR78" s="307" t="n"/>
      <c r="AS78" s="307" t="n"/>
      <c r="AT78" s="307" t="n"/>
      <c r="AU78" s="307" t="n"/>
      <c r="AV78" s="307" t="n"/>
      <c r="AW78" s="307" t="n"/>
      <c r="AX78" s="307" t="n"/>
      <c r="AY78" s="307" t="n"/>
      <c r="AZ78" s="307" t="n"/>
      <c r="BA78" s="307" t="n"/>
      <c r="BB78" s="307" t="n"/>
      <c r="BC78" s="307" t="n"/>
      <c r="BD78" s="307" t="n"/>
      <c r="BE78" s="307" t="n"/>
      <c r="BF78" s="307" t="n"/>
      <c r="BG78" s="31" t="n"/>
      <c r="BH78" s="31" t="n"/>
      <c r="BI78" s="31" t="n"/>
      <c r="BJ78" s="31" t="n"/>
    </row>
    <row r="79" ht="15.75" customHeight="1" s="349">
      <c r="A79" s="307" t="n"/>
      <c r="B79" s="307" t="n"/>
      <c r="C79" s="307" t="n"/>
      <c r="D79" s="307" t="n"/>
      <c r="E79" s="307" t="n"/>
      <c r="F79" s="307" t="n"/>
      <c r="G79" s="307" t="n"/>
      <c r="H79" s="307" t="n"/>
      <c r="I79" s="307" t="n"/>
      <c r="J79" s="307" t="n"/>
      <c r="K79" s="307" t="n"/>
      <c r="L79" s="307" t="n"/>
      <c r="M79" s="307" t="n"/>
      <c r="N79" s="307" t="n"/>
      <c r="O79" s="307" t="n"/>
      <c r="P79" s="307" t="n"/>
      <c r="Q79" s="307" t="n"/>
      <c r="R79" s="307" t="n"/>
      <c r="S79" s="307" t="n"/>
      <c r="T79" s="307" t="n"/>
      <c r="U79" s="307" t="n"/>
      <c r="V79" s="307" t="n"/>
      <c r="W79" s="307" t="n"/>
      <c r="X79" s="307" t="n"/>
      <c r="Y79" s="307" t="n"/>
      <c r="Z79" s="307" t="n"/>
      <c r="AA79" s="307" t="n"/>
      <c r="AB79" s="307" t="n"/>
      <c r="AC79" s="307" t="n"/>
      <c r="AD79" s="307" t="n"/>
      <c r="AE79" s="307" t="n"/>
      <c r="AF79" s="307" t="n"/>
      <c r="AG79" s="307" t="n"/>
      <c r="AH79" s="307" t="n"/>
      <c r="AI79" s="307" t="n"/>
      <c r="AJ79" s="307" t="n"/>
      <c r="AK79" s="307" t="n"/>
      <c r="AL79" s="307" t="n"/>
      <c r="AM79" s="307" t="n"/>
      <c r="AN79" s="307" t="n"/>
      <c r="AO79" s="307" t="n"/>
      <c r="AP79" s="307" t="n"/>
      <c r="AQ79" s="307" t="n"/>
      <c r="AR79" s="307" t="n"/>
      <c r="AS79" s="307" t="n"/>
      <c r="AT79" s="307" t="n"/>
      <c r="AU79" s="307" t="n"/>
      <c r="AV79" s="307" t="n"/>
      <c r="AW79" s="307" t="n"/>
      <c r="AX79" s="307" t="n"/>
      <c r="AY79" s="307" t="n"/>
      <c r="AZ79" s="307" t="n"/>
      <c r="BA79" s="307" t="n"/>
      <c r="BB79" s="307" t="n"/>
      <c r="BC79" s="307" t="n"/>
      <c r="BD79" s="307" t="n"/>
      <c r="BE79" s="307" t="n"/>
      <c r="BF79" s="307" t="n"/>
      <c r="BG79" s="31" t="n"/>
      <c r="BH79" s="31" t="n"/>
      <c r="BI79" s="31" t="n"/>
      <c r="BJ79" s="31" t="n"/>
    </row>
    <row r="80" ht="15.75" customHeight="1" s="349">
      <c r="A80" s="307" t="n"/>
      <c r="B80" s="307" t="n"/>
      <c r="C80" s="307" t="n"/>
      <c r="D80" s="307" t="n"/>
      <c r="E80" s="307" t="n"/>
      <c r="F80" s="307" t="n"/>
      <c r="G80" s="307" t="n"/>
      <c r="H80" s="307" t="n"/>
      <c r="I80" s="307" t="n"/>
      <c r="J80" s="307" t="n"/>
      <c r="K80" s="307" t="n"/>
      <c r="L80" s="307" t="n"/>
      <c r="M80" s="307" t="n"/>
      <c r="N80" s="307" t="n"/>
      <c r="O80" s="307" t="n"/>
      <c r="P80" s="307" t="n"/>
      <c r="Q80" s="307" t="n"/>
      <c r="R80" s="307" t="n"/>
      <c r="S80" s="307" t="n"/>
      <c r="T80" s="307" t="n"/>
      <c r="U80" s="307" t="n"/>
      <c r="V80" s="307" t="n"/>
      <c r="W80" s="307" t="n"/>
      <c r="X80" s="307" t="n"/>
      <c r="Y80" s="307" t="n"/>
      <c r="Z80" s="307" t="n"/>
      <c r="AA80" s="307" t="n"/>
      <c r="AB80" s="307" t="n"/>
      <c r="AC80" s="307" t="n"/>
      <c r="AD80" s="307" t="n"/>
      <c r="AE80" s="307" t="n"/>
      <c r="AF80" s="307" t="n"/>
      <c r="AG80" s="307" t="n"/>
      <c r="AH80" s="307" t="n"/>
      <c r="AI80" s="307" t="n"/>
      <c r="AJ80" s="307" t="n"/>
      <c r="AK80" s="307" t="n"/>
      <c r="AL80" s="307" t="n"/>
      <c r="AM80" s="307" t="n"/>
      <c r="AN80" s="307" t="n"/>
      <c r="AO80" s="307" t="n"/>
      <c r="AP80" s="307" t="n"/>
      <c r="AQ80" s="307" t="n"/>
      <c r="AR80" s="307" t="n"/>
      <c r="AS80" s="307" t="n"/>
      <c r="AT80" s="307" t="n"/>
      <c r="AU80" s="307" t="n"/>
      <c r="AV80" s="307" t="n"/>
      <c r="AW80" s="307" t="n"/>
      <c r="AX80" s="307" t="n"/>
      <c r="AY80" s="307" t="n"/>
      <c r="AZ80" s="307" t="n"/>
      <c r="BA80" s="307" t="n"/>
      <c r="BB80" s="307" t="n"/>
      <c r="BC80" s="307" t="n"/>
      <c r="BD80" s="307" t="n"/>
      <c r="BE80" s="307" t="n"/>
      <c r="BF80" s="307" t="n"/>
      <c r="BG80" s="31" t="n"/>
      <c r="BH80" s="31" t="n"/>
      <c r="BI80" s="31" t="n"/>
      <c r="BJ80" s="31" t="n"/>
    </row>
    <row r="81" ht="15.75" customHeight="1" s="349">
      <c r="A81" s="307" t="n"/>
      <c r="B81" s="307" t="n"/>
      <c r="C81" s="307" t="n"/>
      <c r="D81" s="307" t="n"/>
      <c r="E81" s="307" t="n"/>
      <c r="F81" s="307" t="n"/>
      <c r="G81" s="307" t="n"/>
      <c r="H81" s="307" t="n"/>
      <c r="I81" s="307" t="n"/>
      <c r="J81" s="307" t="n"/>
      <c r="K81" s="307" t="n"/>
      <c r="L81" s="307" t="n"/>
      <c r="M81" s="307" t="n"/>
      <c r="N81" s="307" t="n"/>
      <c r="O81" s="307" t="n"/>
      <c r="P81" s="307" t="n"/>
      <c r="Q81" s="307" t="n"/>
      <c r="R81" s="307" t="n"/>
      <c r="S81" s="307" t="n"/>
      <c r="T81" s="307" t="n"/>
      <c r="U81" s="307" t="n"/>
      <c r="V81" s="307" t="n"/>
      <c r="W81" s="307" t="n"/>
      <c r="X81" s="307" t="n"/>
      <c r="Y81" s="307" t="n"/>
      <c r="Z81" s="307" t="n"/>
      <c r="AA81" s="307" t="n"/>
      <c r="AB81" s="307" t="n"/>
      <c r="AC81" s="307" t="n"/>
      <c r="AD81" s="307" t="n"/>
      <c r="AE81" s="307" t="n"/>
      <c r="AF81" s="307" t="n"/>
      <c r="AG81" s="307" t="n"/>
      <c r="AH81" s="307" t="n"/>
      <c r="AI81" s="307" t="n"/>
      <c r="AJ81" s="307" t="n"/>
      <c r="AK81" s="307" t="n"/>
      <c r="AL81" s="307" t="n"/>
      <c r="AM81" s="307" t="n"/>
      <c r="AN81" s="307" t="n"/>
      <c r="AO81" s="307" t="n"/>
      <c r="AP81" s="307" t="n"/>
      <c r="AQ81" s="307" t="n"/>
      <c r="AR81" s="307" t="n"/>
      <c r="AS81" s="307" t="n"/>
      <c r="AT81" s="307" t="n"/>
      <c r="AU81" s="307" t="n"/>
      <c r="AV81" s="307" t="n"/>
      <c r="AW81" s="307" t="n"/>
      <c r="AX81" s="307" t="n"/>
      <c r="AY81" s="307" t="n"/>
      <c r="AZ81" s="307" t="n"/>
      <c r="BA81" s="307" t="n"/>
      <c r="BB81" s="307" t="n"/>
      <c r="BC81" s="307" t="n"/>
      <c r="BD81" s="307" t="n"/>
      <c r="BE81" s="307" t="n"/>
      <c r="BF81" s="307" t="n"/>
      <c r="BG81" s="31" t="n"/>
      <c r="BH81" s="31" t="n"/>
      <c r="BI81" s="31" t="n"/>
      <c r="BJ81" s="31" t="n"/>
    </row>
    <row r="82" ht="15.75" customHeight="1" s="349">
      <c r="A82" s="307" t="n"/>
      <c r="B82" s="307" t="n"/>
      <c r="C82" s="307" t="n"/>
      <c r="D82" s="307" t="n"/>
      <c r="E82" s="307" t="n"/>
      <c r="F82" s="307" t="n"/>
      <c r="G82" s="307" t="n"/>
      <c r="H82" s="307" t="n"/>
      <c r="I82" s="307" t="n"/>
      <c r="J82" s="307" t="n"/>
      <c r="K82" s="307" t="n"/>
      <c r="L82" s="307" t="n"/>
      <c r="M82" s="307" t="n"/>
      <c r="N82" s="307" t="n"/>
      <c r="O82" s="307" t="n"/>
      <c r="P82" s="307" t="n"/>
      <c r="Q82" s="307" t="n"/>
      <c r="R82" s="307" t="n"/>
      <c r="S82" s="307" t="n"/>
      <c r="T82" s="307" t="n"/>
      <c r="U82" s="307" t="n"/>
      <c r="V82" s="307" t="n"/>
      <c r="W82" s="307" t="n"/>
      <c r="X82" s="307" t="n"/>
      <c r="Y82" s="307" t="n"/>
      <c r="Z82" s="307" t="n"/>
      <c r="AA82" s="307" t="n"/>
      <c r="AB82" s="307" t="n"/>
      <c r="AC82" s="307" t="n"/>
      <c r="AD82" s="307" t="n"/>
      <c r="AE82" s="307" t="n"/>
      <c r="AF82" s="307" t="n"/>
      <c r="AG82" s="307" t="n"/>
      <c r="AH82" s="307" t="n"/>
      <c r="AI82" s="307" t="n"/>
      <c r="AJ82" s="307" t="n"/>
      <c r="AK82" s="307" t="n"/>
      <c r="AL82" s="307" t="n"/>
      <c r="AM82" s="307" t="n"/>
      <c r="AN82" s="307" t="n"/>
      <c r="AO82" s="307" t="n"/>
      <c r="AP82" s="307" t="n"/>
      <c r="AQ82" s="307" t="n"/>
      <c r="AR82" s="307" t="n"/>
      <c r="AS82" s="307" t="n"/>
      <c r="AT82" s="307" t="n"/>
      <c r="AU82" s="307" t="n"/>
      <c r="AV82" s="307" t="n"/>
      <c r="AW82" s="307" t="n"/>
      <c r="AX82" s="307" t="n"/>
      <c r="AY82" s="307" t="n"/>
      <c r="AZ82" s="307" t="n"/>
      <c r="BA82" s="307" t="n"/>
      <c r="BB82" s="307" t="n"/>
      <c r="BC82" s="307" t="n"/>
      <c r="BD82" s="307" t="n"/>
      <c r="BE82" s="307" t="n"/>
      <c r="BF82" s="307" t="n"/>
      <c r="BG82" s="31" t="n"/>
      <c r="BH82" s="31" t="n"/>
      <c r="BI82" s="31" t="n"/>
      <c r="BJ82" s="31" t="n"/>
    </row>
    <row r="83" ht="15.75" customHeight="1" s="349">
      <c r="A83" s="307" t="n"/>
      <c r="B83" s="307" t="n"/>
      <c r="C83" s="307" t="n"/>
      <c r="D83" s="307" t="n"/>
      <c r="E83" s="307" t="n"/>
      <c r="F83" s="307" t="n"/>
      <c r="G83" s="307" t="n"/>
      <c r="H83" s="307" t="n"/>
      <c r="I83" s="307" t="n"/>
      <c r="J83" s="307" t="n"/>
      <c r="K83" s="307" t="n"/>
      <c r="L83" s="307" t="n"/>
      <c r="M83" s="307" t="n"/>
      <c r="N83" s="307" t="n"/>
      <c r="O83" s="307" t="n"/>
      <c r="P83" s="307" t="n"/>
      <c r="Q83" s="307" t="n"/>
      <c r="R83" s="307" t="n"/>
      <c r="S83" s="307" t="n"/>
      <c r="T83" s="307" t="n"/>
      <c r="U83" s="307" t="n"/>
      <c r="V83" s="307" t="n"/>
      <c r="W83" s="307" t="n"/>
      <c r="X83" s="307" t="n"/>
      <c r="Y83" s="307" t="n"/>
      <c r="Z83" s="307" t="n"/>
      <c r="AA83" s="307" t="n"/>
      <c r="AB83" s="307" t="n"/>
      <c r="AC83" s="307" t="n"/>
      <c r="AD83" s="307" t="n"/>
      <c r="AE83" s="307" t="n"/>
      <c r="AF83" s="307" t="n"/>
      <c r="AG83" s="307" t="n"/>
      <c r="AH83" s="307" t="n"/>
      <c r="AI83" s="307" t="n"/>
      <c r="AJ83" s="307" t="n"/>
      <c r="AK83" s="307" t="n"/>
      <c r="AL83" s="307" t="n"/>
      <c r="AM83" s="307" t="n"/>
      <c r="AN83" s="307" t="n"/>
      <c r="AO83" s="307" t="n"/>
      <c r="AP83" s="307" t="n"/>
      <c r="AQ83" s="307" t="n"/>
      <c r="AR83" s="307" t="n"/>
      <c r="AS83" s="307" t="n"/>
      <c r="AT83" s="307" t="n"/>
      <c r="AU83" s="307" t="n"/>
      <c r="AV83" s="307" t="n"/>
      <c r="AW83" s="307" t="n"/>
      <c r="AX83" s="307" t="n"/>
      <c r="AY83" s="307" t="n"/>
      <c r="AZ83" s="307" t="n"/>
      <c r="BA83" s="307" t="n"/>
      <c r="BB83" s="307" t="n"/>
      <c r="BC83" s="307" t="n"/>
      <c r="BD83" s="307" t="n"/>
      <c r="BE83" s="307" t="n"/>
      <c r="BF83" s="307" t="n"/>
      <c r="BG83" s="31" t="n"/>
      <c r="BH83" s="31" t="n"/>
      <c r="BI83" s="31" t="n"/>
      <c r="BJ83" s="31" t="n"/>
    </row>
    <row r="84" ht="15.75" customHeight="1" s="349">
      <c r="A84" s="307" t="n"/>
      <c r="B84" s="307" t="n"/>
      <c r="C84" s="307" t="n"/>
      <c r="D84" s="307" t="n"/>
      <c r="E84" s="307" t="n"/>
      <c r="F84" s="307" t="n"/>
      <c r="G84" s="307" t="n"/>
      <c r="H84" s="307" t="n"/>
      <c r="I84" s="307" t="n"/>
      <c r="J84" s="307" t="n"/>
      <c r="K84" s="307" t="n"/>
      <c r="L84" s="307" t="n"/>
      <c r="M84" s="307" t="n"/>
      <c r="N84" s="307" t="n"/>
      <c r="O84" s="307" t="n"/>
      <c r="P84" s="307" t="n"/>
      <c r="Q84" s="307" t="n"/>
      <c r="R84" s="307" t="n"/>
      <c r="S84" s="307" t="n"/>
      <c r="T84" s="307" t="n"/>
      <c r="U84" s="307" t="n"/>
      <c r="V84" s="307" t="n"/>
      <c r="W84" s="307" t="n"/>
      <c r="X84" s="307" t="n"/>
      <c r="Y84" s="307" t="n"/>
      <c r="Z84" s="307" t="n"/>
      <c r="AA84" s="307" t="n"/>
      <c r="AB84" s="307" t="n"/>
      <c r="AC84" s="307" t="n"/>
      <c r="AD84" s="307" t="n"/>
      <c r="AE84" s="307" t="n"/>
      <c r="AF84" s="307" t="n"/>
      <c r="AG84" s="307" t="n"/>
      <c r="AH84" s="307" t="n"/>
      <c r="AI84" s="307" t="n"/>
      <c r="AJ84" s="307" t="n"/>
      <c r="AK84" s="307" t="n"/>
      <c r="AL84" s="307" t="n"/>
      <c r="AM84" s="307" t="n"/>
      <c r="AN84" s="307" t="n"/>
      <c r="AO84" s="307" t="n"/>
      <c r="AP84" s="307" t="n"/>
      <c r="AQ84" s="307" t="n"/>
      <c r="AR84" s="307" t="n"/>
      <c r="AS84" s="307" t="n"/>
      <c r="AT84" s="307" t="n"/>
      <c r="AU84" s="307" t="n"/>
      <c r="AV84" s="307" t="n"/>
      <c r="AW84" s="307" t="n"/>
      <c r="AX84" s="307" t="n"/>
      <c r="AY84" s="307" t="n"/>
      <c r="AZ84" s="307" t="n"/>
      <c r="BA84" s="307" t="n"/>
      <c r="BB84" s="307" t="n"/>
      <c r="BC84" s="307" t="n"/>
      <c r="BD84" s="307" t="n"/>
      <c r="BE84" s="307" t="n"/>
      <c r="BF84" s="307" t="n"/>
      <c r="BG84" s="31" t="n"/>
      <c r="BH84" s="31" t="n"/>
      <c r="BI84" s="31" t="n"/>
      <c r="BJ84" s="31" t="n"/>
    </row>
    <row r="85" ht="15.75" customHeight="1" s="349">
      <c r="A85" s="307" t="n"/>
      <c r="B85" s="307" t="n"/>
      <c r="C85" s="307" t="n"/>
      <c r="D85" s="307" t="n"/>
      <c r="E85" s="307" t="n"/>
      <c r="F85" s="307" t="n"/>
      <c r="G85" s="307" t="n"/>
      <c r="H85" s="307" t="n"/>
      <c r="I85" s="307" t="n"/>
      <c r="J85" s="307" t="n"/>
      <c r="K85" s="307" t="n"/>
      <c r="L85" s="307" t="n"/>
      <c r="M85" s="307" t="n"/>
      <c r="N85" s="307" t="n"/>
      <c r="O85" s="307" t="n"/>
      <c r="P85" s="307" t="n"/>
      <c r="Q85" s="307" t="n"/>
      <c r="R85" s="307" t="n"/>
      <c r="S85" s="307" t="n"/>
      <c r="T85" s="307" t="n"/>
      <c r="U85" s="307" t="n"/>
      <c r="V85" s="307" t="n"/>
      <c r="W85" s="307" t="n"/>
      <c r="X85" s="307" t="n"/>
      <c r="Y85" s="307" t="n"/>
      <c r="Z85" s="307" t="n"/>
      <c r="AA85" s="307" t="n"/>
      <c r="AB85" s="307" t="n"/>
      <c r="AC85" s="307" t="n"/>
      <c r="AD85" s="307" t="n"/>
      <c r="AE85" s="307" t="n"/>
      <c r="AF85" s="307" t="n"/>
      <c r="AG85" s="307" t="n"/>
      <c r="AH85" s="307" t="n"/>
      <c r="AI85" s="307" t="n"/>
      <c r="AJ85" s="307" t="n"/>
      <c r="AK85" s="307" t="n"/>
      <c r="AL85" s="307" t="n"/>
      <c r="AM85" s="307" t="n"/>
      <c r="AN85" s="307" t="n"/>
      <c r="AO85" s="307" t="n"/>
      <c r="AP85" s="307" t="n"/>
      <c r="AQ85" s="307" t="n"/>
      <c r="AR85" s="307" t="n"/>
      <c r="AS85" s="307" t="n"/>
      <c r="AT85" s="307" t="n"/>
      <c r="AU85" s="307" t="n"/>
      <c r="AV85" s="307" t="n"/>
      <c r="AW85" s="307" t="n"/>
      <c r="AX85" s="307" t="n"/>
      <c r="AY85" s="307" t="n"/>
      <c r="AZ85" s="307" t="n"/>
      <c r="BA85" s="307" t="n"/>
      <c r="BB85" s="307" t="n"/>
      <c r="BC85" s="307" t="n"/>
      <c r="BD85" s="307" t="n"/>
      <c r="BE85" s="307" t="n"/>
      <c r="BF85" s="307" t="n"/>
      <c r="BG85" s="31" t="n"/>
      <c r="BH85" s="31" t="n"/>
      <c r="BI85" s="31" t="n"/>
      <c r="BJ85" s="31" t="n"/>
    </row>
    <row r="86" ht="15.75" customHeight="1" s="349">
      <c r="A86" s="307" t="n"/>
      <c r="B86" s="307" t="n"/>
      <c r="C86" s="307" t="n"/>
      <c r="D86" s="307" t="n"/>
      <c r="E86" s="307" t="n"/>
      <c r="F86" s="307" t="n"/>
      <c r="G86" s="307" t="n"/>
      <c r="H86" s="307" t="n"/>
      <c r="I86" s="307" t="n"/>
      <c r="J86" s="307" t="n"/>
      <c r="K86" s="307" t="n"/>
      <c r="L86" s="307" t="n"/>
      <c r="M86" s="307" t="n"/>
      <c r="N86" s="307" t="n"/>
      <c r="O86" s="307" t="n"/>
      <c r="P86" s="307" t="n"/>
      <c r="Q86" s="307" t="n"/>
      <c r="R86" s="307" t="n"/>
      <c r="S86" s="307" t="n"/>
      <c r="T86" s="307" t="n"/>
      <c r="U86" s="307" t="n"/>
      <c r="V86" s="307" t="n"/>
      <c r="W86" s="307" t="n"/>
      <c r="X86" s="307" t="n"/>
      <c r="Y86" s="307" t="n"/>
      <c r="Z86" s="307" t="n"/>
      <c r="AA86" s="307" t="n"/>
      <c r="AB86" s="307" t="n"/>
      <c r="AC86" s="307" t="n"/>
      <c r="AD86" s="307" t="n"/>
      <c r="AE86" s="307" t="n"/>
      <c r="AF86" s="307" t="n"/>
      <c r="AG86" s="307" t="n"/>
      <c r="AH86" s="307" t="n"/>
      <c r="AI86" s="307" t="n"/>
      <c r="AJ86" s="307" t="n"/>
      <c r="AK86" s="307" t="n"/>
      <c r="AL86" s="307" t="n"/>
      <c r="AM86" s="307" t="n"/>
      <c r="AN86" s="307" t="n"/>
      <c r="AO86" s="307" t="n"/>
      <c r="AP86" s="307" t="n"/>
      <c r="AQ86" s="307" t="n"/>
      <c r="AR86" s="307" t="n"/>
      <c r="AS86" s="307" t="n"/>
      <c r="AT86" s="307" t="n"/>
      <c r="AU86" s="307" t="n"/>
      <c r="AV86" s="307" t="n"/>
      <c r="AW86" s="307" t="n"/>
      <c r="AX86" s="307" t="n"/>
      <c r="AY86" s="307" t="n"/>
      <c r="AZ86" s="307" t="n"/>
      <c r="BA86" s="307" t="n"/>
      <c r="BB86" s="307" t="n"/>
      <c r="BC86" s="307" t="n"/>
      <c r="BD86" s="307" t="n"/>
      <c r="BE86" s="307" t="n"/>
      <c r="BF86" s="307" t="n"/>
      <c r="BG86" s="31" t="n"/>
      <c r="BH86" s="31" t="n"/>
      <c r="BI86" s="31" t="n"/>
      <c r="BJ86" s="31" t="n"/>
    </row>
    <row r="87" ht="15.75" customHeight="1" s="349">
      <c r="A87" s="307" t="n"/>
      <c r="B87" s="307" t="n"/>
      <c r="C87" s="307" t="n"/>
      <c r="D87" s="307" t="n"/>
      <c r="E87" s="307" t="n"/>
      <c r="F87" s="307" t="n"/>
      <c r="G87" s="307" t="n"/>
      <c r="H87" s="307" t="n"/>
      <c r="I87" s="307" t="n"/>
      <c r="J87" s="307" t="n"/>
      <c r="K87" s="307" t="n"/>
      <c r="L87" s="307" t="n"/>
      <c r="M87" s="307" t="n"/>
      <c r="N87" s="307" t="n"/>
      <c r="O87" s="307" t="n"/>
      <c r="P87" s="307" t="n"/>
      <c r="Q87" s="307" t="n"/>
      <c r="R87" s="307" t="n"/>
      <c r="S87" s="307" t="n"/>
      <c r="T87" s="307" t="n"/>
      <c r="U87" s="307" t="n"/>
      <c r="V87" s="307" t="n"/>
      <c r="W87" s="307" t="n"/>
      <c r="X87" s="307" t="n"/>
      <c r="Y87" s="307" t="n"/>
      <c r="Z87" s="307" t="n"/>
      <c r="AA87" s="307" t="n"/>
      <c r="AB87" s="307" t="n"/>
      <c r="AC87" s="307" t="n"/>
      <c r="AD87" s="307" t="n"/>
      <c r="AE87" s="307" t="n"/>
      <c r="AF87" s="307" t="n"/>
      <c r="AG87" s="307" t="n"/>
      <c r="AH87" s="307" t="n"/>
      <c r="AI87" s="307" t="n"/>
      <c r="AJ87" s="307" t="n"/>
      <c r="AK87" s="307" t="n"/>
      <c r="AL87" s="307" t="n"/>
      <c r="AM87" s="307" t="n"/>
      <c r="AN87" s="307" t="n"/>
      <c r="AO87" s="307" t="n"/>
      <c r="AP87" s="307" t="n"/>
      <c r="AQ87" s="307" t="n"/>
      <c r="AR87" s="307" t="n"/>
      <c r="AS87" s="307" t="n"/>
      <c r="AT87" s="307" t="n"/>
      <c r="AU87" s="307" t="n"/>
      <c r="AV87" s="307" t="n"/>
      <c r="AW87" s="307" t="n"/>
      <c r="AX87" s="307" t="n"/>
      <c r="AY87" s="307" t="n"/>
      <c r="AZ87" s="307" t="n"/>
      <c r="BA87" s="307" t="n"/>
      <c r="BB87" s="307" t="n"/>
      <c r="BC87" s="307" t="n"/>
      <c r="BD87" s="307" t="n"/>
      <c r="BE87" s="307" t="n"/>
      <c r="BF87" s="307" t="n"/>
      <c r="BG87" s="31" t="n"/>
      <c r="BH87" s="31" t="n"/>
      <c r="BI87" s="31" t="n"/>
      <c r="BJ87" s="31" t="n"/>
    </row>
    <row r="88" ht="15.75" customHeight="1" s="349">
      <c r="A88" s="307" t="n"/>
      <c r="B88" s="307" t="n"/>
      <c r="C88" s="307" t="n"/>
      <c r="D88" s="307" t="n"/>
      <c r="E88" s="307" t="n"/>
      <c r="F88" s="307" t="n"/>
      <c r="G88" s="307" t="n"/>
      <c r="H88" s="307" t="n"/>
      <c r="I88" s="307" t="n"/>
      <c r="J88" s="307" t="n"/>
      <c r="K88" s="307" t="n"/>
      <c r="L88" s="307" t="n"/>
      <c r="M88" s="307" t="n"/>
      <c r="N88" s="307" t="n"/>
      <c r="O88" s="307" t="n"/>
      <c r="P88" s="307" t="n"/>
      <c r="Q88" s="307" t="n"/>
      <c r="R88" s="307" t="n"/>
      <c r="S88" s="307" t="n"/>
      <c r="T88" s="307" t="n"/>
      <c r="U88" s="307" t="n"/>
      <c r="V88" s="307" t="n"/>
      <c r="W88" s="307" t="n"/>
      <c r="X88" s="307" t="n"/>
      <c r="Y88" s="307" t="n"/>
      <c r="Z88" s="307" t="n"/>
      <c r="AA88" s="307" t="n"/>
      <c r="AB88" s="307" t="n"/>
      <c r="AC88" s="307" t="n"/>
      <c r="AD88" s="307" t="n"/>
      <c r="AE88" s="307" t="n"/>
      <c r="AF88" s="307" t="n"/>
      <c r="AG88" s="307" t="n"/>
      <c r="AH88" s="307" t="n"/>
      <c r="AI88" s="307" t="n"/>
      <c r="AJ88" s="307" t="n"/>
      <c r="AK88" s="307" t="n"/>
      <c r="AL88" s="307" t="n"/>
      <c r="AM88" s="307" t="n"/>
      <c r="AN88" s="307" t="n"/>
      <c r="AO88" s="307" t="n"/>
      <c r="AP88" s="307" t="n"/>
      <c r="AQ88" s="307" t="n"/>
      <c r="AR88" s="307" t="n"/>
      <c r="AS88" s="307" t="n"/>
      <c r="AT88" s="307" t="n"/>
      <c r="AU88" s="307" t="n"/>
      <c r="AV88" s="307" t="n"/>
      <c r="AW88" s="307" t="n"/>
      <c r="AX88" s="307" t="n"/>
      <c r="AY88" s="307" t="n"/>
      <c r="AZ88" s="307" t="n"/>
      <c r="BA88" s="307" t="n"/>
      <c r="BB88" s="307" t="n"/>
      <c r="BC88" s="307" t="n"/>
      <c r="BD88" s="307" t="n"/>
      <c r="BE88" s="307" t="n"/>
      <c r="BF88" s="307" t="n"/>
      <c r="BG88" s="31" t="n"/>
      <c r="BH88" s="31" t="n"/>
      <c r="BI88" s="31" t="n"/>
      <c r="BJ88" s="31" t="n"/>
    </row>
    <row r="89" ht="15.75" customHeight="1" s="349">
      <c r="A89" s="307" t="n"/>
      <c r="B89" s="307" t="n"/>
      <c r="C89" s="307" t="n"/>
      <c r="D89" s="307" t="n"/>
      <c r="E89" s="307" t="n"/>
      <c r="F89" s="307" t="n"/>
      <c r="G89" s="307" t="n"/>
      <c r="H89" s="307" t="n"/>
      <c r="I89" s="307" t="n"/>
      <c r="J89" s="307" t="n"/>
      <c r="K89" s="307" t="n"/>
      <c r="L89" s="307" t="n"/>
      <c r="M89" s="307" t="n"/>
      <c r="N89" s="307" t="n"/>
      <c r="O89" s="307" t="n"/>
      <c r="P89" s="307" t="n"/>
      <c r="Q89" s="307" t="n"/>
      <c r="R89" s="307" t="n"/>
      <c r="S89" s="307" t="n"/>
      <c r="T89" s="307" t="n"/>
      <c r="U89" s="307" t="n"/>
      <c r="V89" s="307" t="n"/>
      <c r="W89" s="307" t="n"/>
      <c r="X89" s="307" t="n"/>
      <c r="Y89" s="307" t="n"/>
      <c r="Z89" s="307" t="n"/>
      <c r="AA89" s="307" t="n"/>
      <c r="AB89" s="307" t="n"/>
      <c r="AC89" s="307" t="n"/>
      <c r="AD89" s="307" t="n"/>
      <c r="AE89" s="307" t="n"/>
      <c r="AF89" s="307" t="n"/>
      <c r="AG89" s="307" t="n"/>
      <c r="AH89" s="307" t="n"/>
      <c r="AI89" s="307" t="n"/>
      <c r="AJ89" s="307" t="n"/>
      <c r="AK89" s="307" t="n"/>
      <c r="AL89" s="307" t="n"/>
      <c r="AM89" s="307" t="n"/>
      <c r="AN89" s="307" t="n"/>
      <c r="AO89" s="307" t="n"/>
      <c r="AP89" s="307" t="n"/>
      <c r="AQ89" s="307" t="n"/>
      <c r="AR89" s="307" t="n"/>
      <c r="AS89" s="307" t="n"/>
      <c r="AT89" s="307" t="n"/>
      <c r="AU89" s="307" t="n"/>
      <c r="AV89" s="307" t="n"/>
      <c r="AW89" s="307" t="n"/>
      <c r="AX89" s="307" t="n"/>
      <c r="AY89" s="307" t="n"/>
      <c r="AZ89" s="307" t="n"/>
      <c r="BA89" s="307" t="n"/>
      <c r="BB89" s="307" t="n"/>
      <c r="BC89" s="307" t="n"/>
      <c r="BD89" s="307" t="n"/>
      <c r="BE89" s="307" t="n"/>
      <c r="BF89" s="307" t="n"/>
      <c r="BG89" s="31" t="n"/>
      <c r="BH89" s="31" t="n"/>
      <c r="BI89" s="31" t="n"/>
      <c r="BJ89" s="31" t="n"/>
    </row>
    <row r="90" ht="15.75" customHeight="1" s="349">
      <c r="A90" s="307" t="n"/>
      <c r="B90" s="307" t="n"/>
      <c r="C90" s="307" t="n"/>
      <c r="D90" s="307" t="n"/>
      <c r="E90" s="307" t="n"/>
      <c r="F90" s="307" t="n"/>
      <c r="G90" s="307" t="n"/>
      <c r="H90" s="307" t="n"/>
      <c r="I90" s="307" t="n"/>
      <c r="J90" s="307" t="n"/>
      <c r="K90" s="307" t="n"/>
      <c r="L90" s="307" t="n"/>
      <c r="M90" s="307" t="n"/>
      <c r="N90" s="307" t="n"/>
      <c r="O90" s="307" t="n"/>
      <c r="P90" s="307" t="n"/>
      <c r="Q90" s="307" t="n"/>
      <c r="R90" s="307" t="n"/>
      <c r="S90" s="307" t="n"/>
      <c r="T90" s="307" t="n"/>
      <c r="U90" s="307" t="n"/>
      <c r="V90" s="307" t="n"/>
      <c r="W90" s="307" t="n"/>
      <c r="X90" s="307" t="n"/>
      <c r="Y90" s="307" t="n"/>
      <c r="Z90" s="307" t="n"/>
      <c r="AA90" s="307" t="n"/>
      <c r="AB90" s="307" t="n"/>
      <c r="AC90" s="307" t="n"/>
      <c r="AD90" s="307" t="n"/>
      <c r="AE90" s="307" t="n"/>
      <c r="AF90" s="307" t="n"/>
      <c r="AG90" s="307" t="n"/>
      <c r="AH90" s="307" t="n"/>
      <c r="AI90" s="307" t="n"/>
      <c r="AJ90" s="307" t="n"/>
      <c r="AK90" s="307" t="n"/>
      <c r="AL90" s="307" t="n"/>
      <c r="AM90" s="307" t="n"/>
      <c r="AN90" s="307" t="n"/>
      <c r="AO90" s="307" t="n"/>
      <c r="AP90" s="307" t="n"/>
      <c r="AQ90" s="307" t="n"/>
      <c r="AR90" s="307" t="n"/>
      <c r="AS90" s="307" t="n"/>
      <c r="AT90" s="307" t="n"/>
      <c r="AU90" s="307" t="n"/>
      <c r="AV90" s="307" t="n"/>
      <c r="AW90" s="307" t="n"/>
      <c r="AX90" s="307" t="n"/>
      <c r="AY90" s="307" t="n"/>
      <c r="AZ90" s="307" t="n"/>
      <c r="BA90" s="307" t="n"/>
      <c r="BB90" s="307" t="n"/>
      <c r="BC90" s="307" t="n"/>
      <c r="BD90" s="307" t="n"/>
      <c r="BE90" s="307" t="n"/>
      <c r="BF90" s="307" t="n"/>
      <c r="BG90" s="31" t="n"/>
      <c r="BH90" s="31" t="n"/>
      <c r="BI90" s="31" t="n"/>
      <c r="BJ90" s="31" t="n"/>
    </row>
    <row r="91" ht="15.75" customHeight="1" s="349">
      <c r="A91" s="307" t="n"/>
      <c r="B91" s="307" t="n"/>
      <c r="C91" s="307" t="n"/>
      <c r="D91" s="307" t="n"/>
      <c r="E91" s="307" t="n"/>
      <c r="F91" s="307" t="n"/>
      <c r="G91" s="307" t="n"/>
      <c r="H91" s="307" t="n"/>
      <c r="I91" s="307" t="n"/>
      <c r="J91" s="307" t="n"/>
      <c r="K91" s="307" t="n"/>
      <c r="L91" s="307" t="n"/>
      <c r="M91" s="307" t="n"/>
      <c r="N91" s="307" t="n"/>
      <c r="O91" s="307" t="n"/>
      <c r="P91" s="307" t="n"/>
      <c r="Q91" s="307" t="n"/>
      <c r="R91" s="307" t="n"/>
      <c r="S91" s="307" t="n"/>
      <c r="T91" s="307" t="n"/>
      <c r="U91" s="307" t="n"/>
      <c r="V91" s="307" t="n"/>
      <c r="W91" s="307" t="n"/>
      <c r="X91" s="307" t="n"/>
      <c r="Y91" s="307" t="n"/>
      <c r="Z91" s="307" t="n"/>
      <c r="AA91" s="307" t="n"/>
      <c r="AB91" s="307" t="n"/>
      <c r="AC91" s="307" t="n"/>
      <c r="AD91" s="307" t="n"/>
      <c r="AE91" s="307" t="n"/>
      <c r="AF91" s="307" t="n"/>
      <c r="AG91" s="307" t="n"/>
      <c r="AH91" s="307" t="n"/>
      <c r="AI91" s="307" t="n"/>
      <c r="AJ91" s="307" t="n"/>
      <c r="AK91" s="307" t="n"/>
      <c r="AL91" s="307" t="n"/>
      <c r="AM91" s="307" t="n"/>
      <c r="AN91" s="307" t="n"/>
      <c r="AO91" s="307" t="n"/>
      <c r="AP91" s="307" t="n"/>
      <c r="AQ91" s="307" t="n"/>
      <c r="AR91" s="307" t="n"/>
      <c r="AS91" s="307" t="n"/>
      <c r="AT91" s="307" t="n"/>
      <c r="AU91" s="307" t="n"/>
      <c r="AV91" s="307" t="n"/>
      <c r="AW91" s="307" t="n"/>
      <c r="AX91" s="307" t="n"/>
      <c r="AY91" s="307" t="n"/>
      <c r="AZ91" s="307" t="n"/>
      <c r="BA91" s="307" t="n"/>
      <c r="BB91" s="307" t="n"/>
      <c r="BC91" s="307" t="n"/>
      <c r="BD91" s="307" t="n"/>
      <c r="BE91" s="307" t="n"/>
      <c r="BF91" s="307" t="n"/>
      <c r="BG91" s="31" t="n"/>
      <c r="BH91" s="31" t="n"/>
      <c r="BI91" s="31" t="n"/>
      <c r="BJ91" s="31" t="n"/>
    </row>
    <row r="92" ht="15.75" customHeight="1" s="349">
      <c r="A92" s="307" t="n"/>
      <c r="B92" s="307" t="n"/>
      <c r="C92" s="307" t="n"/>
      <c r="D92" s="307" t="n"/>
      <c r="E92" s="307" t="n"/>
      <c r="F92" s="307" t="n"/>
      <c r="G92" s="307" t="n"/>
      <c r="H92" s="307" t="n"/>
      <c r="I92" s="307" t="n"/>
      <c r="J92" s="307" t="n"/>
      <c r="K92" s="307" t="n"/>
      <c r="L92" s="307" t="n"/>
      <c r="M92" s="307" t="n"/>
      <c r="N92" s="307" t="n"/>
      <c r="O92" s="307" t="n"/>
      <c r="P92" s="307" t="n"/>
      <c r="Q92" s="307" t="n"/>
      <c r="R92" s="307" t="n"/>
      <c r="S92" s="307" t="n"/>
      <c r="T92" s="307" t="n"/>
      <c r="U92" s="307" t="n"/>
      <c r="V92" s="307" t="n"/>
      <c r="W92" s="307" t="n"/>
      <c r="X92" s="307" t="n"/>
      <c r="Y92" s="307" t="n"/>
      <c r="Z92" s="307" t="n"/>
      <c r="AA92" s="307" t="n"/>
      <c r="AB92" s="307" t="n"/>
      <c r="AC92" s="307" t="n"/>
      <c r="AD92" s="307" t="n"/>
      <c r="AE92" s="307" t="n"/>
      <c r="AF92" s="307" t="n"/>
      <c r="AG92" s="307" t="n"/>
      <c r="AH92" s="307" t="n"/>
      <c r="AI92" s="307" t="n"/>
      <c r="AJ92" s="307" t="n"/>
      <c r="AK92" s="307" t="n"/>
      <c r="AL92" s="307" t="n"/>
      <c r="AM92" s="307" t="n"/>
      <c r="AN92" s="307" t="n"/>
      <c r="AO92" s="307" t="n"/>
      <c r="AP92" s="307" t="n"/>
      <c r="AQ92" s="307" t="n"/>
      <c r="AR92" s="307" t="n"/>
      <c r="AS92" s="307" t="n"/>
      <c r="AT92" s="307" t="n"/>
      <c r="AU92" s="307" t="n"/>
      <c r="AV92" s="307" t="n"/>
      <c r="AW92" s="307" t="n"/>
      <c r="AX92" s="307" t="n"/>
      <c r="AY92" s="307" t="n"/>
      <c r="AZ92" s="307" t="n"/>
      <c r="BA92" s="307" t="n"/>
      <c r="BB92" s="307" t="n"/>
      <c r="BC92" s="307" t="n"/>
      <c r="BD92" s="307" t="n"/>
      <c r="BE92" s="307" t="n"/>
      <c r="BF92" s="307" t="n"/>
      <c r="BG92" s="31" t="n"/>
      <c r="BH92" s="31" t="n"/>
      <c r="BI92" s="31" t="n"/>
      <c r="BJ92" s="31" t="n"/>
    </row>
    <row r="93" ht="15.75" customHeight="1" s="349">
      <c r="A93" s="307" t="n"/>
      <c r="B93" s="307" t="n"/>
      <c r="C93" s="307" t="n"/>
      <c r="D93" s="307" t="n"/>
      <c r="E93" s="307" t="n"/>
      <c r="F93" s="307" t="n"/>
      <c r="G93" s="307" t="n"/>
      <c r="H93" s="307" t="n"/>
      <c r="I93" s="307" t="n"/>
      <c r="J93" s="307" t="n"/>
      <c r="K93" s="307" t="n"/>
      <c r="L93" s="307" t="n"/>
      <c r="M93" s="307" t="n"/>
      <c r="N93" s="307" t="n"/>
      <c r="O93" s="307" t="n"/>
      <c r="P93" s="307" t="n"/>
      <c r="Q93" s="307" t="n"/>
      <c r="R93" s="307" t="n"/>
      <c r="S93" s="307" t="n"/>
      <c r="T93" s="307" t="n"/>
      <c r="U93" s="307" t="n"/>
      <c r="V93" s="307" t="n"/>
      <c r="W93" s="307" t="n"/>
      <c r="X93" s="307" t="n"/>
      <c r="Y93" s="307" t="n"/>
      <c r="Z93" s="307" t="n"/>
      <c r="AA93" s="307" t="n"/>
      <c r="AB93" s="307" t="n"/>
      <c r="AC93" s="307" t="n"/>
      <c r="AD93" s="307" t="n"/>
      <c r="AE93" s="307" t="n"/>
      <c r="AF93" s="307" t="n"/>
      <c r="AG93" s="307" t="n"/>
      <c r="AH93" s="307" t="n"/>
      <c r="AI93" s="307" t="n"/>
      <c r="AJ93" s="307" t="n"/>
      <c r="AK93" s="307" t="n"/>
      <c r="AL93" s="307" t="n"/>
      <c r="AM93" s="307" t="n"/>
      <c r="AN93" s="307" t="n"/>
      <c r="AO93" s="307" t="n"/>
      <c r="AP93" s="307" t="n"/>
      <c r="AQ93" s="307" t="n"/>
      <c r="AR93" s="307" t="n"/>
      <c r="AS93" s="307" t="n"/>
      <c r="AT93" s="307" t="n"/>
      <c r="AU93" s="307" t="n"/>
      <c r="AV93" s="307" t="n"/>
      <c r="AW93" s="307" t="n"/>
      <c r="AX93" s="307" t="n"/>
      <c r="AY93" s="307" t="n"/>
      <c r="AZ93" s="307" t="n"/>
      <c r="BA93" s="307" t="n"/>
      <c r="BB93" s="307" t="n"/>
      <c r="BC93" s="307" t="n"/>
      <c r="BD93" s="307" t="n"/>
      <c r="BE93" s="307" t="n"/>
      <c r="BF93" s="307" t="n"/>
      <c r="BG93" s="31" t="n"/>
      <c r="BH93" s="31" t="n"/>
      <c r="BI93" s="31" t="n"/>
      <c r="BJ93" s="31" t="n"/>
    </row>
    <row r="94" ht="15.75" customHeight="1" s="349">
      <c r="A94" s="307" t="n"/>
      <c r="B94" s="307" t="n"/>
      <c r="C94" s="307" t="n"/>
      <c r="D94" s="307" t="n"/>
      <c r="E94" s="307" t="n"/>
      <c r="F94" s="307" t="n"/>
      <c r="G94" s="307" t="n"/>
      <c r="H94" s="307" t="n"/>
      <c r="I94" s="307" t="n"/>
      <c r="J94" s="307" t="n"/>
      <c r="K94" s="307" t="n"/>
      <c r="L94" s="307" t="n"/>
      <c r="M94" s="307" t="n"/>
      <c r="N94" s="307" t="n"/>
      <c r="O94" s="307" t="n"/>
      <c r="P94" s="307" t="n"/>
      <c r="Q94" s="307" t="n"/>
      <c r="R94" s="307" t="n"/>
      <c r="S94" s="307" t="n"/>
      <c r="T94" s="307" t="n"/>
      <c r="U94" s="307" t="n"/>
      <c r="V94" s="307" t="n"/>
      <c r="W94" s="307" t="n"/>
      <c r="X94" s="307" t="n"/>
      <c r="Y94" s="307" t="n"/>
      <c r="Z94" s="307" t="n"/>
      <c r="AA94" s="307" t="n"/>
      <c r="AB94" s="307" t="n"/>
      <c r="AC94" s="307" t="n"/>
      <c r="AD94" s="307" t="n"/>
      <c r="AE94" s="307" t="n"/>
      <c r="AF94" s="307" t="n"/>
      <c r="AG94" s="307" t="n"/>
      <c r="AH94" s="307" t="n"/>
      <c r="AI94" s="307" t="n"/>
      <c r="AJ94" s="307" t="n"/>
      <c r="AK94" s="307" t="n"/>
      <c r="AL94" s="307" t="n"/>
      <c r="AM94" s="307" t="n"/>
      <c r="AN94" s="307" t="n"/>
      <c r="AO94" s="307" t="n"/>
      <c r="AP94" s="307" t="n"/>
      <c r="AQ94" s="307" t="n"/>
      <c r="AR94" s="307" t="n"/>
      <c r="AS94" s="307" t="n"/>
      <c r="AT94" s="307" t="n"/>
      <c r="AU94" s="307" t="n"/>
      <c r="AV94" s="307" t="n"/>
      <c r="AW94" s="307" t="n"/>
      <c r="AX94" s="307" t="n"/>
      <c r="AY94" s="307" t="n"/>
      <c r="AZ94" s="307" t="n"/>
      <c r="BA94" s="307" t="n"/>
      <c r="BB94" s="307" t="n"/>
      <c r="BC94" s="307" t="n"/>
      <c r="BD94" s="307" t="n"/>
      <c r="BE94" s="307" t="n"/>
      <c r="BF94" s="307" t="n"/>
      <c r="BG94" s="31" t="n"/>
      <c r="BH94" s="31" t="n"/>
      <c r="BI94" s="31" t="n"/>
      <c r="BJ94" s="31" t="n"/>
    </row>
    <row r="95" ht="15.75" customHeight="1" s="349">
      <c r="A95" s="307" t="n"/>
      <c r="B95" s="307" t="n"/>
      <c r="C95" s="307" t="n"/>
      <c r="D95" s="307" t="n"/>
      <c r="E95" s="307" t="n"/>
      <c r="F95" s="307" t="n"/>
      <c r="G95" s="307" t="n"/>
      <c r="H95" s="307" t="n"/>
      <c r="I95" s="307" t="n"/>
      <c r="J95" s="307" t="n"/>
      <c r="K95" s="307" t="n"/>
      <c r="L95" s="307" t="n"/>
      <c r="M95" s="307" t="n"/>
      <c r="N95" s="307" t="n"/>
      <c r="O95" s="307" t="n"/>
      <c r="P95" s="307" t="n"/>
      <c r="Q95" s="307" t="n"/>
      <c r="R95" s="307" t="n"/>
      <c r="S95" s="307" t="n"/>
      <c r="T95" s="307" t="n"/>
      <c r="U95" s="307" t="n"/>
      <c r="V95" s="307" t="n"/>
      <c r="W95" s="307" t="n"/>
      <c r="X95" s="307" t="n"/>
      <c r="Y95" s="307" t="n"/>
      <c r="Z95" s="307" t="n"/>
      <c r="AA95" s="307" t="n"/>
      <c r="AB95" s="307" t="n"/>
      <c r="AC95" s="307" t="n"/>
      <c r="AD95" s="307" t="n"/>
      <c r="AE95" s="307" t="n"/>
      <c r="AF95" s="307" t="n"/>
      <c r="AG95" s="307" t="n"/>
      <c r="AH95" s="307" t="n"/>
      <c r="AI95" s="307" t="n"/>
      <c r="AJ95" s="307" t="n"/>
      <c r="AK95" s="307" t="n"/>
      <c r="AL95" s="307" t="n"/>
      <c r="AM95" s="307" t="n"/>
      <c r="AN95" s="307" t="n"/>
      <c r="AO95" s="307" t="n"/>
      <c r="AP95" s="307" t="n"/>
      <c r="AQ95" s="307" t="n"/>
      <c r="AR95" s="307" t="n"/>
      <c r="AS95" s="307" t="n"/>
      <c r="AT95" s="307" t="n"/>
      <c r="AU95" s="307" t="n"/>
      <c r="AV95" s="307" t="n"/>
      <c r="AW95" s="307" t="n"/>
      <c r="AX95" s="307" t="n"/>
      <c r="AY95" s="307" t="n"/>
      <c r="AZ95" s="307" t="n"/>
      <c r="BA95" s="307" t="n"/>
      <c r="BB95" s="307" t="n"/>
      <c r="BC95" s="307" t="n"/>
      <c r="BD95" s="307" t="n"/>
      <c r="BE95" s="307" t="n"/>
      <c r="BF95" s="307" t="n"/>
      <c r="BG95" s="31" t="n"/>
      <c r="BH95" s="31" t="n"/>
      <c r="BI95" s="31" t="n"/>
      <c r="BJ95" s="31" t="n"/>
    </row>
    <row r="96" ht="15.75" customHeight="1" s="349">
      <c r="A96" s="307" t="n"/>
      <c r="B96" s="307" t="n"/>
      <c r="C96" s="307" t="n"/>
      <c r="D96" s="307" t="n"/>
      <c r="E96" s="307" t="n"/>
      <c r="F96" s="307" t="n"/>
      <c r="G96" s="307" t="n"/>
      <c r="H96" s="307" t="n"/>
      <c r="I96" s="307" t="n"/>
      <c r="J96" s="307" t="n"/>
      <c r="K96" s="307" t="n"/>
      <c r="L96" s="307" t="n"/>
      <c r="M96" s="307" t="n"/>
      <c r="N96" s="307" t="n"/>
      <c r="O96" s="307" t="n"/>
      <c r="P96" s="307" t="n"/>
      <c r="Q96" s="307" t="n"/>
      <c r="R96" s="307" t="n"/>
      <c r="S96" s="307" t="n"/>
      <c r="T96" s="307" t="n"/>
      <c r="U96" s="307" t="n"/>
      <c r="V96" s="307" t="n"/>
      <c r="W96" s="307" t="n"/>
      <c r="X96" s="307" t="n"/>
      <c r="Y96" s="307" t="n"/>
      <c r="Z96" s="307" t="n"/>
      <c r="AA96" s="307" t="n"/>
      <c r="AB96" s="307" t="n"/>
      <c r="AC96" s="307" t="n"/>
      <c r="AD96" s="307" t="n"/>
      <c r="AE96" s="307" t="n"/>
      <c r="AF96" s="307" t="n"/>
      <c r="AG96" s="307" t="n"/>
      <c r="AH96" s="307" t="n"/>
      <c r="AI96" s="307" t="n"/>
      <c r="AJ96" s="307" t="n"/>
      <c r="AK96" s="307" t="n"/>
      <c r="AL96" s="307" t="n"/>
      <c r="AM96" s="307" t="n"/>
      <c r="AN96" s="307" t="n"/>
      <c r="AO96" s="307" t="n"/>
      <c r="AP96" s="307" t="n"/>
      <c r="AQ96" s="307" t="n"/>
      <c r="AR96" s="307" t="n"/>
      <c r="AS96" s="307" t="n"/>
      <c r="AT96" s="307" t="n"/>
      <c r="AU96" s="307" t="n"/>
      <c r="AV96" s="307" t="n"/>
      <c r="AW96" s="307" t="n"/>
      <c r="AX96" s="307" t="n"/>
      <c r="AY96" s="307" t="n"/>
      <c r="AZ96" s="307" t="n"/>
      <c r="BA96" s="307" t="n"/>
      <c r="BB96" s="307" t="n"/>
      <c r="BC96" s="307" t="n"/>
      <c r="BD96" s="307" t="n"/>
      <c r="BE96" s="307" t="n"/>
      <c r="BF96" s="307" t="n"/>
      <c r="BG96" s="31" t="n"/>
      <c r="BH96" s="31" t="n"/>
      <c r="BI96" s="31" t="n"/>
      <c r="BJ96" s="31" t="n"/>
    </row>
    <row r="97" ht="15.75" customHeight="1" s="349">
      <c r="A97" s="307" t="n"/>
      <c r="B97" s="307" t="n"/>
      <c r="C97" s="307" t="n"/>
      <c r="D97" s="307" t="n"/>
      <c r="E97" s="307" t="n"/>
      <c r="F97" s="307" t="n"/>
      <c r="G97" s="307" t="n"/>
      <c r="H97" s="307" t="n"/>
      <c r="I97" s="307" t="n"/>
      <c r="J97" s="307" t="n"/>
      <c r="K97" s="307" t="n"/>
      <c r="L97" s="307" t="n"/>
      <c r="M97" s="307" t="n"/>
      <c r="N97" s="307" t="n"/>
      <c r="O97" s="307" t="n"/>
      <c r="P97" s="307" t="n"/>
      <c r="Q97" s="307" t="n"/>
      <c r="R97" s="307" t="n"/>
      <c r="S97" s="307" t="n"/>
      <c r="T97" s="307" t="n"/>
      <c r="U97" s="307" t="n"/>
      <c r="V97" s="307" t="n"/>
      <c r="W97" s="307" t="n"/>
      <c r="X97" s="307" t="n"/>
      <c r="Y97" s="307" t="n"/>
      <c r="Z97" s="307" t="n"/>
      <c r="AA97" s="307" t="n"/>
      <c r="AB97" s="307" t="n"/>
      <c r="AC97" s="307" t="n"/>
      <c r="AD97" s="307" t="n"/>
      <c r="AE97" s="307" t="n"/>
      <c r="AF97" s="307" t="n"/>
      <c r="AG97" s="307" t="n"/>
      <c r="AH97" s="307" t="n"/>
      <c r="AI97" s="307" t="n"/>
      <c r="AJ97" s="307" t="n"/>
      <c r="AK97" s="307" t="n"/>
      <c r="AL97" s="307" t="n"/>
      <c r="AM97" s="307" t="n"/>
      <c r="AN97" s="307" t="n"/>
      <c r="AO97" s="307" t="n"/>
      <c r="AP97" s="307" t="n"/>
      <c r="AQ97" s="307" t="n"/>
      <c r="AR97" s="307" t="n"/>
      <c r="AS97" s="307" t="n"/>
      <c r="AT97" s="307" t="n"/>
      <c r="AU97" s="307" t="n"/>
      <c r="AV97" s="307" t="n"/>
      <c r="AW97" s="307" t="n"/>
      <c r="AX97" s="307" t="n"/>
      <c r="AY97" s="307" t="n"/>
      <c r="AZ97" s="307" t="n"/>
      <c r="BA97" s="307" t="n"/>
      <c r="BB97" s="307" t="n"/>
      <c r="BC97" s="307" t="n"/>
      <c r="BD97" s="307" t="n"/>
      <c r="BE97" s="307" t="n"/>
      <c r="BF97" s="307" t="n"/>
      <c r="BG97" s="31" t="n"/>
      <c r="BH97" s="31" t="n"/>
      <c r="BI97" s="31" t="n"/>
      <c r="BJ97" s="31" t="n"/>
    </row>
    <row r="98" ht="15.75" customHeight="1" s="349">
      <c r="A98" s="307" t="n"/>
      <c r="B98" s="307" t="n"/>
      <c r="C98" s="307" t="n"/>
      <c r="D98" s="307" t="n"/>
      <c r="E98" s="307" t="n"/>
      <c r="F98" s="307" t="n"/>
      <c r="G98" s="307" t="n"/>
      <c r="H98" s="307" t="n"/>
      <c r="I98" s="307" t="n"/>
      <c r="J98" s="307" t="n"/>
      <c r="K98" s="307" t="n"/>
      <c r="L98" s="307" t="n"/>
      <c r="M98" s="307" t="n"/>
      <c r="N98" s="307" t="n"/>
      <c r="O98" s="307" t="n"/>
      <c r="P98" s="307" t="n"/>
      <c r="Q98" s="307" t="n"/>
      <c r="R98" s="307" t="n"/>
      <c r="S98" s="307" t="n"/>
      <c r="T98" s="307" t="n"/>
      <c r="U98" s="307" t="n"/>
      <c r="V98" s="307" t="n"/>
      <c r="W98" s="307" t="n"/>
      <c r="X98" s="307" t="n"/>
      <c r="Y98" s="307" t="n"/>
      <c r="Z98" s="307" t="n"/>
      <c r="AA98" s="307" t="n"/>
      <c r="AB98" s="307" t="n"/>
      <c r="AC98" s="307" t="n"/>
      <c r="AD98" s="307" t="n"/>
      <c r="AE98" s="307" t="n"/>
      <c r="AF98" s="307" t="n"/>
      <c r="AG98" s="307" t="n"/>
      <c r="AH98" s="307" t="n"/>
      <c r="AI98" s="307" t="n"/>
      <c r="AJ98" s="307" t="n"/>
      <c r="AK98" s="307" t="n"/>
      <c r="AL98" s="307" t="n"/>
      <c r="AM98" s="307" t="n"/>
      <c r="AN98" s="307" t="n"/>
      <c r="AO98" s="307" t="n"/>
      <c r="AP98" s="307" t="n"/>
      <c r="AQ98" s="307" t="n"/>
      <c r="AR98" s="307" t="n"/>
      <c r="AS98" s="307" t="n"/>
      <c r="AT98" s="307" t="n"/>
      <c r="AU98" s="307" t="n"/>
      <c r="AV98" s="307" t="n"/>
      <c r="AW98" s="307" t="n"/>
      <c r="AX98" s="307" t="n"/>
      <c r="AY98" s="307" t="n"/>
      <c r="AZ98" s="307" t="n"/>
      <c r="BA98" s="307" t="n"/>
      <c r="BB98" s="307" t="n"/>
      <c r="BC98" s="307" t="n"/>
      <c r="BD98" s="307" t="n"/>
      <c r="BE98" s="307" t="n"/>
      <c r="BF98" s="307" t="n"/>
      <c r="BG98" s="31" t="n"/>
      <c r="BH98" s="31" t="n"/>
      <c r="BI98" s="31" t="n"/>
      <c r="BJ98" s="31" t="n"/>
    </row>
    <row r="99" ht="15.75" customHeight="1" s="349">
      <c r="A99" s="307" t="n"/>
      <c r="B99" s="307" t="n"/>
      <c r="C99" s="307" t="n"/>
      <c r="D99" s="307" t="n"/>
      <c r="E99" s="307" t="n"/>
      <c r="F99" s="307" t="n"/>
      <c r="G99" s="307" t="n"/>
      <c r="H99" s="307" t="n"/>
      <c r="I99" s="307" t="n"/>
      <c r="J99" s="307" t="n"/>
      <c r="K99" s="307" t="n"/>
      <c r="L99" s="307" t="n"/>
      <c r="M99" s="307" t="n"/>
      <c r="N99" s="307" t="n"/>
      <c r="O99" s="307" t="n"/>
      <c r="P99" s="307" t="n"/>
      <c r="Q99" s="307" t="n"/>
      <c r="R99" s="307" t="n"/>
      <c r="S99" s="307" t="n"/>
      <c r="T99" s="307" t="n"/>
      <c r="U99" s="307" t="n"/>
      <c r="V99" s="307" t="n"/>
      <c r="W99" s="307" t="n"/>
      <c r="X99" s="307" t="n"/>
      <c r="Y99" s="307" t="n"/>
      <c r="Z99" s="307" t="n"/>
      <c r="AA99" s="307" t="n"/>
      <c r="AB99" s="307" t="n"/>
      <c r="AC99" s="307" t="n"/>
      <c r="AD99" s="307" t="n"/>
      <c r="AE99" s="307" t="n"/>
      <c r="AF99" s="307" t="n"/>
      <c r="AG99" s="307" t="n"/>
      <c r="AH99" s="307" t="n"/>
      <c r="AI99" s="307" t="n"/>
      <c r="AJ99" s="307" t="n"/>
      <c r="AK99" s="307" t="n"/>
      <c r="AL99" s="307" t="n"/>
      <c r="AM99" s="307" t="n"/>
      <c r="AN99" s="307" t="n"/>
      <c r="AO99" s="307" t="n"/>
      <c r="AP99" s="307" t="n"/>
      <c r="AQ99" s="307" t="n"/>
      <c r="AR99" s="307" t="n"/>
      <c r="AS99" s="307" t="n"/>
      <c r="AT99" s="307" t="n"/>
      <c r="AU99" s="307" t="n"/>
      <c r="AV99" s="307" t="n"/>
      <c r="AW99" s="307" t="n"/>
      <c r="AX99" s="307" t="n"/>
      <c r="AY99" s="307" t="n"/>
      <c r="AZ99" s="307" t="n"/>
      <c r="BA99" s="307" t="n"/>
      <c r="BB99" s="307" t="n"/>
      <c r="BC99" s="307" t="n"/>
      <c r="BD99" s="307" t="n"/>
      <c r="BE99" s="307" t="n"/>
      <c r="BF99" s="307" t="n"/>
      <c r="BG99" s="31" t="n"/>
      <c r="BH99" s="31" t="n"/>
      <c r="BI99" s="31" t="n"/>
      <c r="BJ99" s="31" t="n"/>
    </row>
    <row r="100" ht="15.75" customHeight="1" s="349">
      <c r="A100" s="307" t="n"/>
      <c r="B100" s="307" t="n"/>
      <c r="C100" s="307" t="n"/>
      <c r="D100" s="307" t="n"/>
      <c r="E100" s="307" t="n"/>
      <c r="F100" s="307" t="n"/>
      <c r="G100" s="307" t="n"/>
      <c r="H100" s="307" t="n"/>
      <c r="I100" s="307" t="n"/>
      <c r="J100" s="307" t="n"/>
      <c r="K100" s="307" t="n"/>
      <c r="L100" s="307" t="n"/>
      <c r="M100" s="307" t="n"/>
      <c r="N100" s="307" t="n"/>
      <c r="O100" s="307" t="n"/>
      <c r="P100" s="307" t="n"/>
      <c r="Q100" s="307" t="n"/>
      <c r="R100" s="307" t="n"/>
      <c r="S100" s="307" t="n"/>
      <c r="T100" s="307" t="n"/>
      <c r="U100" s="307" t="n"/>
      <c r="V100" s="307" t="n"/>
      <c r="W100" s="307" t="n"/>
      <c r="X100" s="307" t="n"/>
      <c r="Y100" s="307" t="n"/>
      <c r="Z100" s="307" t="n"/>
      <c r="AA100" s="307" t="n"/>
      <c r="AB100" s="307" t="n"/>
      <c r="AC100" s="307" t="n"/>
      <c r="AD100" s="307" t="n"/>
      <c r="AE100" s="307" t="n"/>
      <c r="AF100" s="307" t="n"/>
      <c r="AG100" s="307" t="n"/>
      <c r="AH100" s="307" t="n"/>
      <c r="AI100" s="307" t="n"/>
      <c r="AJ100" s="307" t="n"/>
      <c r="AK100" s="307" t="n"/>
      <c r="AL100" s="307" t="n"/>
      <c r="AM100" s="307" t="n"/>
      <c r="AN100" s="307" t="n"/>
      <c r="AO100" s="307" t="n"/>
      <c r="AP100" s="307" t="n"/>
      <c r="AQ100" s="307" t="n"/>
      <c r="AR100" s="307" t="n"/>
      <c r="AS100" s="307" t="n"/>
      <c r="AT100" s="307" t="n"/>
      <c r="AU100" s="307" t="n"/>
      <c r="AV100" s="307" t="n"/>
      <c r="AW100" s="307" t="n"/>
      <c r="AX100" s="307" t="n"/>
      <c r="AY100" s="307" t="n"/>
      <c r="AZ100" s="307" t="n"/>
      <c r="BA100" s="307" t="n"/>
      <c r="BB100" s="307" t="n"/>
      <c r="BC100" s="307" t="n"/>
      <c r="BD100" s="307" t="n"/>
      <c r="BE100" s="307" t="n"/>
      <c r="BF100" s="307" t="n"/>
      <c r="BG100" s="31" t="n"/>
      <c r="BH100" s="31" t="n"/>
      <c r="BI100" s="31" t="n"/>
      <c r="BJ100" s="31" t="n"/>
    </row>
    <row r="101" ht="15.75" customHeight="1" s="349">
      <c r="A101" s="307" t="n"/>
      <c r="B101" s="307" t="n"/>
      <c r="C101" s="307" t="n"/>
      <c r="D101" s="307" t="n"/>
      <c r="E101" s="307" t="n"/>
      <c r="F101" s="307" t="n"/>
      <c r="G101" s="307" t="n"/>
      <c r="H101" s="307" t="n"/>
      <c r="I101" s="307" t="n"/>
      <c r="J101" s="307" t="n"/>
      <c r="K101" s="307" t="n"/>
      <c r="L101" s="307" t="n"/>
      <c r="M101" s="307" t="n"/>
      <c r="N101" s="307" t="n"/>
      <c r="O101" s="307" t="n"/>
      <c r="P101" s="307" t="n"/>
      <c r="Q101" s="307" t="n"/>
      <c r="R101" s="307" t="n"/>
      <c r="S101" s="307" t="n"/>
      <c r="T101" s="307" t="n"/>
      <c r="U101" s="307" t="n"/>
      <c r="V101" s="307" t="n"/>
      <c r="W101" s="307" t="n"/>
      <c r="X101" s="307" t="n"/>
      <c r="Y101" s="307" t="n"/>
      <c r="Z101" s="307" t="n"/>
      <c r="AA101" s="307" t="n"/>
      <c r="AB101" s="307" t="n"/>
      <c r="AC101" s="307" t="n"/>
      <c r="AD101" s="307" t="n"/>
      <c r="AE101" s="307" t="n"/>
      <c r="AF101" s="307" t="n"/>
      <c r="AG101" s="307" t="n"/>
      <c r="AH101" s="307" t="n"/>
      <c r="AI101" s="307" t="n"/>
      <c r="AJ101" s="307" t="n"/>
      <c r="AK101" s="307" t="n"/>
      <c r="AL101" s="307" t="n"/>
      <c r="AM101" s="307" t="n"/>
      <c r="AN101" s="307" t="n"/>
      <c r="AO101" s="307" t="n"/>
      <c r="AP101" s="307" t="n"/>
      <c r="AQ101" s="307" t="n"/>
      <c r="AR101" s="307" t="n"/>
      <c r="AS101" s="307" t="n"/>
      <c r="AT101" s="307" t="n"/>
      <c r="AU101" s="307" t="n"/>
      <c r="AV101" s="307" t="n"/>
      <c r="AW101" s="307" t="n"/>
      <c r="AX101" s="307" t="n"/>
      <c r="AY101" s="307" t="n"/>
      <c r="AZ101" s="307" t="n"/>
      <c r="BA101" s="307" t="n"/>
      <c r="BB101" s="307" t="n"/>
      <c r="BC101" s="307" t="n"/>
      <c r="BD101" s="307" t="n"/>
      <c r="BE101" s="307" t="n"/>
      <c r="BF101" s="307" t="n"/>
      <c r="BG101" s="31" t="n"/>
      <c r="BH101" s="31" t="n"/>
      <c r="BI101" s="31" t="n"/>
      <c r="BJ101" s="31" t="n"/>
    </row>
    <row r="102" ht="15.75" customHeight="1" s="349">
      <c r="A102" s="307" t="n"/>
      <c r="B102" s="307" t="n"/>
      <c r="C102" s="307" t="n"/>
      <c r="D102" s="307" t="n"/>
      <c r="E102" s="307" t="n"/>
      <c r="F102" s="307" t="n"/>
      <c r="G102" s="307" t="n"/>
      <c r="H102" s="307" t="n"/>
      <c r="I102" s="307" t="n"/>
      <c r="J102" s="307" t="n"/>
      <c r="K102" s="307" t="n"/>
      <c r="L102" s="307" t="n"/>
      <c r="M102" s="307" t="n"/>
      <c r="N102" s="307" t="n"/>
      <c r="O102" s="307" t="n"/>
      <c r="P102" s="307" t="n"/>
      <c r="Q102" s="307" t="n"/>
      <c r="R102" s="307" t="n"/>
      <c r="S102" s="307" t="n"/>
      <c r="T102" s="307" t="n"/>
      <c r="U102" s="307" t="n"/>
      <c r="V102" s="307" t="n"/>
      <c r="W102" s="307" t="n"/>
      <c r="X102" s="307" t="n"/>
      <c r="Y102" s="307" t="n"/>
      <c r="Z102" s="307" t="n"/>
      <c r="AA102" s="307" t="n"/>
      <c r="AB102" s="307" t="n"/>
      <c r="AC102" s="307" t="n"/>
      <c r="AD102" s="307" t="n"/>
      <c r="AE102" s="307" t="n"/>
      <c r="AF102" s="307" t="n"/>
      <c r="AG102" s="307" t="n"/>
      <c r="AH102" s="307" t="n"/>
      <c r="AI102" s="307" t="n"/>
      <c r="AJ102" s="307" t="n"/>
      <c r="AK102" s="307" t="n"/>
      <c r="AL102" s="307" t="n"/>
      <c r="AM102" s="307" t="n"/>
      <c r="AN102" s="307" t="n"/>
      <c r="AO102" s="307" t="n"/>
      <c r="AP102" s="307" t="n"/>
      <c r="AQ102" s="307" t="n"/>
      <c r="AR102" s="307" t="n"/>
      <c r="AS102" s="307" t="n"/>
      <c r="AT102" s="307" t="n"/>
      <c r="AU102" s="307" t="n"/>
      <c r="AV102" s="307" t="n"/>
      <c r="AW102" s="307" t="n"/>
      <c r="AX102" s="307" t="n"/>
      <c r="AY102" s="307" t="n"/>
      <c r="AZ102" s="307" t="n"/>
      <c r="BA102" s="307" t="n"/>
      <c r="BB102" s="307" t="n"/>
      <c r="BC102" s="307" t="n"/>
      <c r="BD102" s="307" t="n"/>
      <c r="BE102" s="307" t="n"/>
      <c r="BF102" s="307" t="n"/>
      <c r="BG102" s="31" t="n"/>
      <c r="BH102" s="31" t="n"/>
      <c r="BI102" s="31" t="n"/>
      <c r="BJ102" s="31" t="n"/>
    </row>
    <row r="103" ht="15.75" customHeight="1" s="349">
      <c r="A103" s="307" t="n"/>
      <c r="B103" s="307" t="n"/>
      <c r="C103" s="307" t="n"/>
      <c r="D103" s="307" t="n"/>
      <c r="E103" s="307" t="n"/>
      <c r="F103" s="307" t="n"/>
      <c r="G103" s="307" t="n"/>
      <c r="H103" s="307" t="n"/>
      <c r="I103" s="307" t="n"/>
      <c r="J103" s="307" t="n"/>
      <c r="K103" s="307" t="n"/>
      <c r="L103" s="307" t="n"/>
      <c r="M103" s="307" t="n"/>
      <c r="N103" s="307" t="n"/>
      <c r="O103" s="307" t="n"/>
      <c r="P103" s="307" t="n"/>
      <c r="Q103" s="307" t="n"/>
      <c r="R103" s="307" t="n"/>
      <c r="S103" s="307" t="n"/>
      <c r="T103" s="307" t="n"/>
      <c r="U103" s="307" t="n"/>
      <c r="V103" s="307" t="n"/>
      <c r="W103" s="307" t="n"/>
      <c r="X103" s="307" t="n"/>
      <c r="Y103" s="307" t="n"/>
      <c r="Z103" s="307" t="n"/>
      <c r="AA103" s="307" t="n"/>
      <c r="AB103" s="307" t="n"/>
      <c r="AC103" s="307" t="n"/>
      <c r="AD103" s="307" t="n"/>
      <c r="AE103" s="307" t="n"/>
      <c r="AF103" s="307" t="n"/>
      <c r="AG103" s="307" t="n"/>
      <c r="AH103" s="307" t="n"/>
      <c r="AI103" s="307" t="n"/>
      <c r="AJ103" s="307" t="n"/>
      <c r="AK103" s="307" t="n"/>
      <c r="AL103" s="307" t="n"/>
      <c r="AM103" s="307" t="n"/>
      <c r="AN103" s="307" t="n"/>
      <c r="AO103" s="307" t="n"/>
      <c r="AP103" s="307" t="n"/>
      <c r="AQ103" s="307" t="n"/>
      <c r="AR103" s="307" t="n"/>
      <c r="AS103" s="307" t="n"/>
      <c r="AT103" s="307" t="n"/>
      <c r="AU103" s="307" t="n"/>
      <c r="AV103" s="307" t="n"/>
      <c r="AW103" s="307" t="n"/>
      <c r="AX103" s="307" t="n"/>
      <c r="AY103" s="307" t="n"/>
      <c r="AZ103" s="307" t="n"/>
      <c r="BA103" s="307" t="n"/>
      <c r="BB103" s="307" t="n"/>
      <c r="BC103" s="307" t="n"/>
      <c r="BD103" s="307" t="n"/>
      <c r="BE103" s="307" t="n"/>
      <c r="BF103" s="307" t="n"/>
      <c r="BG103" s="31" t="n"/>
      <c r="BH103" s="31" t="n"/>
      <c r="BI103" s="31" t="n"/>
      <c r="BJ103" s="31" t="n"/>
    </row>
    <row r="104" ht="15.75" customHeight="1" s="349">
      <c r="A104" s="307" t="n"/>
      <c r="B104" s="307" t="n"/>
      <c r="C104" s="307" t="n"/>
      <c r="D104" s="307" t="n"/>
      <c r="E104" s="307" t="n"/>
      <c r="F104" s="307" t="n"/>
      <c r="G104" s="307" t="n"/>
      <c r="H104" s="307" t="n"/>
      <c r="I104" s="307" t="n"/>
      <c r="J104" s="307" t="n"/>
      <c r="K104" s="307" t="n"/>
      <c r="L104" s="307" t="n"/>
      <c r="M104" s="307" t="n"/>
      <c r="N104" s="307" t="n"/>
      <c r="O104" s="307" t="n"/>
      <c r="P104" s="307" t="n"/>
      <c r="Q104" s="307" t="n"/>
      <c r="R104" s="307" t="n"/>
      <c r="S104" s="307" t="n"/>
      <c r="T104" s="307" t="n"/>
      <c r="U104" s="307" t="n"/>
      <c r="V104" s="307" t="n"/>
      <c r="W104" s="307" t="n"/>
      <c r="X104" s="307" t="n"/>
      <c r="Y104" s="307" t="n"/>
      <c r="Z104" s="307" t="n"/>
      <c r="AA104" s="307" t="n"/>
      <c r="AB104" s="307" t="n"/>
      <c r="AC104" s="307" t="n"/>
      <c r="AD104" s="307" t="n"/>
      <c r="AE104" s="307" t="n"/>
      <c r="AF104" s="307" t="n"/>
      <c r="AG104" s="307" t="n"/>
      <c r="AH104" s="307" t="n"/>
      <c r="AI104" s="307" t="n"/>
      <c r="AJ104" s="307" t="n"/>
      <c r="AK104" s="307" t="n"/>
      <c r="AL104" s="307" t="n"/>
      <c r="AM104" s="307" t="n"/>
      <c r="AN104" s="307" t="n"/>
      <c r="AO104" s="307" t="n"/>
      <c r="AP104" s="307" t="n"/>
      <c r="AQ104" s="307" t="n"/>
      <c r="AR104" s="307" t="n"/>
      <c r="AS104" s="307" t="n"/>
      <c r="AT104" s="307" t="n"/>
      <c r="AU104" s="307" t="n"/>
      <c r="AV104" s="307" t="n"/>
      <c r="AW104" s="307" t="n"/>
      <c r="AX104" s="307" t="n"/>
      <c r="AY104" s="307" t="n"/>
      <c r="AZ104" s="307" t="n"/>
      <c r="BA104" s="307" t="n"/>
      <c r="BB104" s="307" t="n"/>
      <c r="BC104" s="307" t="n"/>
      <c r="BD104" s="307" t="n"/>
      <c r="BE104" s="307" t="n"/>
      <c r="BF104" s="307" t="n"/>
      <c r="BG104" s="31" t="n"/>
      <c r="BH104" s="31" t="n"/>
      <c r="BI104" s="31" t="n"/>
      <c r="BJ104" s="31" t="n"/>
    </row>
    <row r="105" ht="15.75" customHeight="1" s="349">
      <c r="A105" s="307" t="n"/>
      <c r="B105" s="307" t="n"/>
      <c r="C105" s="307" t="n"/>
      <c r="D105" s="307" t="n"/>
      <c r="E105" s="307" t="n"/>
      <c r="F105" s="307" t="n"/>
      <c r="G105" s="307" t="n"/>
      <c r="H105" s="307" t="n"/>
      <c r="I105" s="307" t="n"/>
      <c r="J105" s="307" t="n"/>
      <c r="K105" s="307" t="n"/>
      <c r="L105" s="307" t="n"/>
      <c r="M105" s="307" t="n"/>
      <c r="N105" s="307" t="n"/>
      <c r="O105" s="307" t="n"/>
      <c r="P105" s="307" t="n"/>
      <c r="Q105" s="307" t="n"/>
      <c r="R105" s="307" t="n"/>
      <c r="S105" s="307" t="n"/>
      <c r="T105" s="307" t="n"/>
      <c r="U105" s="307" t="n"/>
      <c r="V105" s="307" t="n"/>
      <c r="W105" s="307" t="n"/>
      <c r="X105" s="307" t="n"/>
      <c r="Y105" s="307" t="n"/>
      <c r="Z105" s="307" t="n"/>
      <c r="AA105" s="307" t="n"/>
      <c r="AB105" s="307" t="n"/>
      <c r="AC105" s="307" t="n"/>
      <c r="AD105" s="307" t="n"/>
      <c r="AE105" s="307" t="n"/>
      <c r="AF105" s="307" t="n"/>
      <c r="AG105" s="307" t="n"/>
      <c r="AH105" s="307" t="n"/>
      <c r="AI105" s="307" t="n"/>
      <c r="AJ105" s="307" t="n"/>
      <c r="AK105" s="307" t="n"/>
      <c r="AL105" s="307" t="n"/>
      <c r="AM105" s="307" t="n"/>
      <c r="AN105" s="307" t="n"/>
      <c r="AO105" s="307" t="n"/>
      <c r="AP105" s="307" t="n"/>
      <c r="AQ105" s="307" t="n"/>
      <c r="AR105" s="307" t="n"/>
      <c r="AS105" s="307" t="n"/>
      <c r="AT105" s="307" t="n"/>
      <c r="AU105" s="307" t="n"/>
      <c r="AV105" s="307" t="n"/>
      <c r="AW105" s="307" t="n"/>
      <c r="AX105" s="307" t="n"/>
      <c r="AY105" s="307" t="n"/>
      <c r="AZ105" s="307" t="n"/>
      <c r="BA105" s="307" t="n"/>
      <c r="BB105" s="307" t="n"/>
      <c r="BC105" s="307" t="n"/>
      <c r="BD105" s="307" t="n"/>
      <c r="BE105" s="307" t="n"/>
      <c r="BF105" s="307" t="n"/>
      <c r="BG105" s="31" t="n"/>
      <c r="BH105" s="31" t="n"/>
      <c r="BI105" s="31" t="n"/>
      <c r="BJ105" s="31" t="n"/>
    </row>
    <row r="106" ht="15.75" customHeight="1" s="349">
      <c r="A106" s="307" t="n"/>
      <c r="B106" s="307" t="n"/>
      <c r="C106" s="307" t="n"/>
      <c r="D106" s="307" t="n"/>
      <c r="E106" s="307" t="n"/>
      <c r="F106" s="307" t="n"/>
      <c r="G106" s="307" t="n"/>
      <c r="H106" s="307" t="n"/>
      <c r="I106" s="307" t="n"/>
      <c r="J106" s="307" t="n"/>
      <c r="K106" s="307" t="n"/>
      <c r="L106" s="307" t="n"/>
      <c r="M106" s="307" t="n"/>
      <c r="N106" s="307" t="n"/>
      <c r="O106" s="307" t="n"/>
      <c r="P106" s="307" t="n"/>
      <c r="Q106" s="307" t="n"/>
      <c r="R106" s="307" t="n"/>
      <c r="S106" s="307" t="n"/>
      <c r="T106" s="307" t="n"/>
      <c r="U106" s="307" t="n"/>
      <c r="V106" s="307" t="n"/>
      <c r="W106" s="307" t="n"/>
      <c r="X106" s="307" t="n"/>
      <c r="Y106" s="307" t="n"/>
      <c r="Z106" s="307" t="n"/>
      <c r="AA106" s="307" t="n"/>
      <c r="AB106" s="307" t="n"/>
      <c r="AC106" s="307" t="n"/>
      <c r="AD106" s="307" t="n"/>
      <c r="AE106" s="307" t="n"/>
      <c r="AF106" s="307" t="n"/>
      <c r="AG106" s="307" t="n"/>
      <c r="AH106" s="307" t="n"/>
      <c r="AI106" s="307" t="n"/>
      <c r="AJ106" s="307" t="n"/>
      <c r="AK106" s="307" t="n"/>
      <c r="AL106" s="307" t="n"/>
      <c r="AM106" s="307" t="n"/>
      <c r="AN106" s="307" t="n"/>
      <c r="AO106" s="307" t="n"/>
      <c r="AP106" s="307" t="n"/>
      <c r="AQ106" s="307" t="n"/>
      <c r="AR106" s="307" t="n"/>
      <c r="AS106" s="307" t="n"/>
      <c r="AT106" s="307" t="n"/>
      <c r="AU106" s="307" t="n"/>
      <c r="AV106" s="307" t="n"/>
      <c r="AW106" s="307" t="n"/>
      <c r="AX106" s="307" t="n"/>
      <c r="AY106" s="307" t="n"/>
      <c r="AZ106" s="307" t="n"/>
      <c r="BA106" s="307" t="n"/>
      <c r="BB106" s="307" t="n"/>
      <c r="BC106" s="307" t="n"/>
      <c r="BD106" s="307" t="n"/>
      <c r="BE106" s="307" t="n"/>
      <c r="BF106" s="307" t="n"/>
      <c r="BG106" s="31" t="n"/>
      <c r="BH106" s="31" t="n"/>
      <c r="BI106" s="31" t="n"/>
      <c r="BJ106" s="31" t="n"/>
    </row>
    <row r="107" ht="15.75" customHeight="1" s="349">
      <c r="A107" s="307" t="n"/>
      <c r="B107" s="307" t="n"/>
      <c r="C107" s="307" t="n"/>
      <c r="D107" s="307" t="n"/>
      <c r="E107" s="307" t="n"/>
      <c r="F107" s="307" t="n"/>
      <c r="G107" s="307" t="n"/>
      <c r="H107" s="307" t="n"/>
      <c r="I107" s="307" t="n"/>
      <c r="J107" s="307" t="n"/>
      <c r="K107" s="307" t="n"/>
      <c r="L107" s="307" t="n"/>
      <c r="M107" s="307" t="n"/>
      <c r="N107" s="307" t="n"/>
      <c r="O107" s="307" t="n"/>
      <c r="P107" s="307" t="n"/>
      <c r="Q107" s="307" t="n"/>
      <c r="R107" s="307" t="n"/>
      <c r="S107" s="307" t="n"/>
      <c r="T107" s="307" t="n"/>
      <c r="U107" s="307" t="n"/>
      <c r="V107" s="307" t="n"/>
      <c r="W107" s="307" t="n"/>
      <c r="X107" s="307" t="n"/>
      <c r="Y107" s="307" t="n"/>
      <c r="Z107" s="307" t="n"/>
      <c r="AA107" s="307" t="n"/>
      <c r="AB107" s="307" t="n"/>
      <c r="AC107" s="307" t="n"/>
      <c r="AD107" s="307" t="n"/>
      <c r="AE107" s="307" t="n"/>
      <c r="AF107" s="307" t="n"/>
      <c r="AG107" s="307" t="n"/>
      <c r="AH107" s="307" t="n"/>
      <c r="AI107" s="307" t="n"/>
      <c r="AJ107" s="307" t="n"/>
      <c r="AK107" s="307" t="n"/>
      <c r="AL107" s="307" t="n"/>
      <c r="AM107" s="307" t="n"/>
      <c r="AN107" s="307" t="n"/>
      <c r="AO107" s="307" t="n"/>
      <c r="AP107" s="307" t="n"/>
      <c r="AQ107" s="307" t="n"/>
      <c r="AR107" s="307" t="n"/>
      <c r="AS107" s="307" t="n"/>
      <c r="AT107" s="307" t="n"/>
      <c r="AU107" s="307" t="n"/>
      <c r="AV107" s="307" t="n"/>
      <c r="AW107" s="307" t="n"/>
      <c r="AX107" s="307" t="n"/>
      <c r="AY107" s="307" t="n"/>
      <c r="AZ107" s="307" t="n"/>
      <c r="BA107" s="307" t="n"/>
      <c r="BB107" s="307" t="n"/>
      <c r="BC107" s="307" t="n"/>
      <c r="BD107" s="307" t="n"/>
      <c r="BE107" s="307" t="n"/>
      <c r="BF107" s="307" t="n"/>
      <c r="BG107" s="31" t="n"/>
      <c r="BH107" s="31" t="n"/>
      <c r="BI107" s="31" t="n"/>
      <c r="BJ107" s="31" t="n"/>
    </row>
    <row r="108" ht="15.75" customHeight="1" s="349">
      <c r="A108" s="307" t="n"/>
      <c r="B108" s="307" t="n"/>
      <c r="C108" s="307" t="n"/>
      <c r="D108" s="307" t="n"/>
      <c r="E108" s="307" t="n"/>
      <c r="F108" s="307" t="n"/>
      <c r="G108" s="307" t="n"/>
      <c r="H108" s="307" t="n"/>
      <c r="I108" s="307" t="n"/>
      <c r="J108" s="307" t="n"/>
      <c r="K108" s="307" t="n"/>
      <c r="L108" s="307" t="n"/>
      <c r="M108" s="307" t="n"/>
      <c r="N108" s="307" t="n"/>
      <c r="O108" s="307" t="n"/>
      <c r="P108" s="307" t="n"/>
      <c r="Q108" s="307" t="n"/>
      <c r="R108" s="307" t="n"/>
      <c r="S108" s="307" t="n"/>
      <c r="T108" s="307" t="n"/>
      <c r="U108" s="307" t="n"/>
      <c r="V108" s="307" t="n"/>
      <c r="W108" s="307" t="n"/>
      <c r="X108" s="307" t="n"/>
      <c r="Y108" s="307" t="n"/>
      <c r="Z108" s="307" t="n"/>
      <c r="AA108" s="307" t="n"/>
      <c r="AB108" s="307" t="n"/>
      <c r="AC108" s="307" t="n"/>
      <c r="AD108" s="307" t="n"/>
      <c r="AE108" s="307" t="n"/>
      <c r="AF108" s="307" t="n"/>
      <c r="AG108" s="307" t="n"/>
      <c r="AH108" s="307" t="n"/>
      <c r="AI108" s="307" t="n"/>
      <c r="AJ108" s="307" t="n"/>
      <c r="AK108" s="307" t="n"/>
      <c r="AL108" s="307" t="n"/>
      <c r="AM108" s="307" t="n"/>
      <c r="AN108" s="307" t="n"/>
      <c r="AO108" s="307" t="n"/>
      <c r="AP108" s="307" t="n"/>
      <c r="AQ108" s="307" t="n"/>
      <c r="AR108" s="307" t="n"/>
      <c r="AS108" s="307" t="n"/>
      <c r="AT108" s="307" t="n"/>
      <c r="AU108" s="307" t="n"/>
      <c r="AV108" s="307" t="n"/>
      <c r="AW108" s="307" t="n"/>
      <c r="AX108" s="307" t="n"/>
      <c r="AY108" s="307" t="n"/>
      <c r="AZ108" s="307" t="n"/>
      <c r="BA108" s="307" t="n"/>
      <c r="BB108" s="307" t="n"/>
      <c r="BC108" s="307" t="n"/>
      <c r="BD108" s="307" t="n"/>
      <c r="BE108" s="307" t="n"/>
      <c r="BF108" s="307" t="n"/>
      <c r="BG108" s="31" t="n"/>
      <c r="BH108" s="31" t="n"/>
      <c r="BI108" s="31" t="n"/>
      <c r="BJ108" s="31" t="n"/>
    </row>
    <row r="109" ht="15.75" customHeight="1" s="349">
      <c r="A109" s="307" t="n"/>
      <c r="B109" s="307" t="n"/>
      <c r="C109" s="307" t="n"/>
      <c r="D109" s="307" t="n"/>
      <c r="E109" s="307" t="n"/>
      <c r="F109" s="307" t="n"/>
      <c r="G109" s="307" t="n"/>
      <c r="H109" s="307" t="n"/>
      <c r="I109" s="307" t="n"/>
      <c r="J109" s="307" t="n"/>
      <c r="K109" s="307" t="n"/>
      <c r="L109" s="307" t="n"/>
      <c r="M109" s="307" t="n"/>
      <c r="N109" s="307" t="n"/>
      <c r="O109" s="307" t="n"/>
      <c r="P109" s="307" t="n"/>
      <c r="Q109" s="307" t="n"/>
      <c r="R109" s="307" t="n"/>
      <c r="S109" s="307" t="n"/>
      <c r="T109" s="307" t="n"/>
      <c r="U109" s="307" t="n"/>
      <c r="V109" s="307" t="n"/>
      <c r="W109" s="307" t="n"/>
      <c r="X109" s="307" t="n"/>
      <c r="Y109" s="307" t="n"/>
      <c r="Z109" s="307" t="n"/>
      <c r="AA109" s="307" t="n"/>
      <c r="AB109" s="307" t="n"/>
      <c r="AC109" s="307" t="n"/>
      <c r="AD109" s="307" t="n"/>
      <c r="AE109" s="307" t="n"/>
      <c r="AF109" s="307" t="n"/>
      <c r="AG109" s="307" t="n"/>
      <c r="AH109" s="307" t="n"/>
      <c r="AI109" s="307" t="n"/>
      <c r="AJ109" s="307" t="n"/>
      <c r="AK109" s="307" t="n"/>
      <c r="AL109" s="307" t="n"/>
      <c r="AM109" s="307" t="n"/>
      <c r="AN109" s="307" t="n"/>
      <c r="AO109" s="307" t="n"/>
      <c r="AP109" s="307" t="n"/>
      <c r="AQ109" s="307" t="n"/>
      <c r="AR109" s="307" t="n"/>
      <c r="AS109" s="307" t="n"/>
      <c r="AT109" s="307" t="n"/>
      <c r="AU109" s="307" t="n"/>
      <c r="AV109" s="307" t="n"/>
      <c r="AW109" s="307" t="n"/>
      <c r="AX109" s="307" t="n"/>
      <c r="AY109" s="307" t="n"/>
      <c r="AZ109" s="307" t="n"/>
      <c r="BA109" s="307" t="n"/>
      <c r="BB109" s="307" t="n"/>
      <c r="BC109" s="307" t="n"/>
      <c r="BD109" s="307" t="n"/>
      <c r="BE109" s="307" t="n"/>
      <c r="BF109" s="307" t="n"/>
      <c r="BG109" s="31" t="n"/>
      <c r="BH109" s="31" t="n"/>
      <c r="BI109" s="31" t="n"/>
      <c r="BJ109" s="31" t="n"/>
    </row>
    <row r="110" ht="15.75" customHeight="1" s="349">
      <c r="A110" s="307" t="n"/>
      <c r="B110" s="307" t="n"/>
      <c r="C110" s="307" t="n"/>
      <c r="D110" s="307" t="n"/>
      <c r="E110" s="307" t="n"/>
      <c r="F110" s="307" t="n"/>
      <c r="G110" s="307" t="n"/>
      <c r="H110" s="307" t="n"/>
      <c r="I110" s="307" t="n"/>
      <c r="J110" s="307" t="n"/>
      <c r="K110" s="307" t="n"/>
      <c r="L110" s="307" t="n"/>
      <c r="M110" s="307" t="n"/>
      <c r="N110" s="307" t="n"/>
      <c r="O110" s="307" t="n"/>
      <c r="P110" s="307" t="n"/>
      <c r="Q110" s="307" t="n"/>
      <c r="R110" s="307" t="n"/>
      <c r="S110" s="307" t="n"/>
      <c r="T110" s="307" t="n"/>
      <c r="U110" s="307" t="n"/>
      <c r="V110" s="307" t="n"/>
      <c r="W110" s="307" t="n"/>
      <c r="X110" s="307" t="n"/>
      <c r="Y110" s="307" t="n"/>
      <c r="Z110" s="307" t="n"/>
      <c r="AA110" s="307" t="n"/>
      <c r="AB110" s="307" t="n"/>
      <c r="AC110" s="307" t="n"/>
      <c r="AD110" s="307" t="n"/>
      <c r="AE110" s="307" t="n"/>
      <c r="AF110" s="307" t="n"/>
      <c r="AG110" s="307" t="n"/>
      <c r="AH110" s="307" t="n"/>
      <c r="AI110" s="307" t="n"/>
      <c r="AJ110" s="307" t="n"/>
      <c r="AK110" s="307" t="n"/>
      <c r="AL110" s="307" t="n"/>
      <c r="AM110" s="307" t="n"/>
      <c r="AN110" s="307" t="n"/>
      <c r="AO110" s="307" t="n"/>
      <c r="AP110" s="307" t="n"/>
      <c r="AQ110" s="307" t="n"/>
      <c r="AR110" s="307" t="n"/>
      <c r="AS110" s="307" t="n"/>
      <c r="AT110" s="307" t="n"/>
      <c r="AU110" s="307" t="n"/>
      <c r="AV110" s="307" t="n"/>
      <c r="AW110" s="307" t="n"/>
      <c r="AX110" s="307" t="n"/>
      <c r="AY110" s="307" t="n"/>
      <c r="AZ110" s="307" t="n"/>
      <c r="BA110" s="307" t="n"/>
      <c r="BB110" s="307" t="n"/>
      <c r="BC110" s="307" t="n"/>
      <c r="BD110" s="307" t="n"/>
      <c r="BE110" s="307" t="n"/>
      <c r="BF110" s="307" t="n"/>
      <c r="BG110" s="31" t="n"/>
      <c r="BH110" s="31" t="n"/>
      <c r="BI110" s="31" t="n"/>
      <c r="BJ110" s="31" t="n"/>
    </row>
    <row r="111" ht="15.75" customHeight="1" s="349">
      <c r="A111" s="307" t="n"/>
      <c r="B111" s="307" t="n"/>
      <c r="C111" s="307" t="n"/>
      <c r="D111" s="307" t="n"/>
      <c r="E111" s="307" t="n"/>
      <c r="F111" s="307" t="n"/>
      <c r="G111" s="307" t="n"/>
      <c r="H111" s="307" t="n"/>
      <c r="I111" s="307" t="n"/>
      <c r="J111" s="307" t="n"/>
      <c r="K111" s="307" t="n"/>
      <c r="L111" s="307" t="n"/>
      <c r="M111" s="307" t="n"/>
      <c r="N111" s="307" t="n"/>
      <c r="O111" s="307" t="n"/>
      <c r="P111" s="307" t="n"/>
      <c r="Q111" s="307" t="n"/>
      <c r="R111" s="307" t="n"/>
      <c r="S111" s="307" t="n"/>
      <c r="T111" s="307" t="n"/>
      <c r="U111" s="307" t="n"/>
      <c r="V111" s="307" t="n"/>
      <c r="W111" s="307" t="n"/>
      <c r="X111" s="307" t="n"/>
      <c r="Y111" s="307" t="n"/>
      <c r="Z111" s="307" t="n"/>
      <c r="AA111" s="307" t="n"/>
      <c r="AB111" s="307" t="n"/>
      <c r="AC111" s="307" t="n"/>
      <c r="AD111" s="307" t="n"/>
      <c r="AE111" s="307" t="n"/>
      <c r="AF111" s="307" t="n"/>
      <c r="AG111" s="307" t="n"/>
      <c r="AH111" s="307" t="n"/>
      <c r="AI111" s="307" t="n"/>
      <c r="AJ111" s="307" t="n"/>
      <c r="AK111" s="307" t="n"/>
      <c r="AL111" s="307" t="n"/>
      <c r="AM111" s="307" t="n"/>
      <c r="AN111" s="307" t="n"/>
      <c r="AO111" s="307" t="n"/>
      <c r="AP111" s="307" t="n"/>
      <c r="AQ111" s="307" t="n"/>
      <c r="AR111" s="307" t="n"/>
      <c r="AS111" s="307" t="n"/>
      <c r="AT111" s="307" t="n"/>
      <c r="AU111" s="307" t="n"/>
      <c r="AV111" s="307" t="n"/>
      <c r="AW111" s="307" t="n"/>
      <c r="AX111" s="307" t="n"/>
      <c r="AY111" s="307" t="n"/>
      <c r="AZ111" s="307" t="n"/>
      <c r="BA111" s="307" t="n"/>
      <c r="BB111" s="307" t="n"/>
      <c r="BC111" s="307" t="n"/>
      <c r="BD111" s="307" t="n"/>
      <c r="BE111" s="307" t="n"/>
      <c r="BF111" s="307" t="n"/>
      <c r="BG111" s="31" t="n"/>
      <c r="BH111" s="31" t="n"/>
      <c r="BI111" s="31" t="n"/>
      <c r="BJ111" s="31" t="n"/>
    </row>
    <row r="112" ht="15.75" customHeight="1" s="349">
      <c r="A112" s="307" t="n"/>
      <c r="B112" s="307" t="n"/>
      <c r="C112" s="307" t="n"/>
      <c r="D112" s="307" t="n"/>
      <c r="E112" s="307" t="n"/>
      <c r="F112" s="307" t="n"/>
      <c r="G112" s="307" t="n"/>
      <c r="H112" s="307" t="n"/>
      <c r="I112" s="307" t="n"/>
      <c r="J112" s="307" t="n"/>
      <c r="K112" s="307" t="n"/>
      <c r="L112" s="307" t="n"/>
      <c r="M112" s="307" t="n"/>
      <c r="N112" s="307" t="n"/>
      <c r="O112" s="307" t="n"/>
      <c r="P112" s="307" t="n"/>
      <c r="Q112" s="307" t="n"/>
      <c r="R112" s="307" t="n"/>
      <c r="S112" s="307" t="n"/>
      <c r="T112" s="307" t="n"/>
      <c r="U112" s="307" t="n"/>
      <c r="V112" s="307" t="n"/>
      <c r="W112" s="307" t="n"/>
      <c r="X112" s="307" t="n"/>
      <c r="Y112" s="307" t="n"/>
      <c r="Z112" s="307" t="n"/>
      <c r="AA112" s="307" t="n"/>
      <c r="AB112" s="307" t="n"/>
      <c r="AC112" s="307" t="n"/>
      <c r="AD112" s="307" t="n"/>
      <c r="AE112" s="307" t="n"/>
      <c r="AF112" s="307" t="n"/>
      <c r="AG112" s="307" t="n"/>
      <c r="AH112" s="307" t="n"/>
      <c r="AI112" s="307" t="n"/>
      <c r="AJ112" s="307" t="n"/>
      <c r="AK112" s="307" t="n"/>
      <c r="AL112" s="307" t="n"/>
      <c r="AM112" s="307" t="n"/>
      <c r="AN112" s="307" t="n"/>
      <c r="AO112" s="307" t="n"/>
      <c r="AP112" s="307" t="n"/>
      <c r="AQ112" s="307" t="n"/>
      <c r="AR112" s="307" t="n"/>
      <c r="AS112" s="307" t="n"/>
      <c r="AT112" s="307" t="n"/>
      <c r="AU112" s="307" t="n"/>
      <c r="AV112" s="307" t="n"/>
      <c r="AW112" s="307" t="n"/>
      <c r="AX112" s="307" t="n"/>
      <c r="AY112" s="307" t="n"/>
      <c r="AZ112" s="307" t="n"/>
      <c r="BA112" s="307" t="n"/>
      <c r="BB112" s="307" t="n"/>
      <c r="BC112" s="307" t="n"/>
      <c r="BD112" s="307" t="n"/>
      <c r="BE112" s="307" t="n"/>
      <c r="BF112" s="307" t="n"/>
      <c r="BG112" s="31" t="n"/>
      <c r="BH112" s="31" t="n"/>
      <c r="BI112" s="31" t="n"/>
      <c r="BJ112" s="31" t="n"/>
    </row>
    <row r="113" ht="15.75" customHeight="1" s="349">
      <c r="A113" s="307" t="n"/>
      <c r="B113" s="307" t="n"/>
      <c r="C113" s="307" t="n"/>
      <c r="D113" s="307" t="n"/>
      <c r="E113" s="307" t="n"/>
      <c r="F113" s="307" t="n"/>
      <c r="G113" s="307" t="n"/>
      <c r="H113" s="307" t="n"/>
      <c r="I113" s="307" t="n"/>
      <c r="J113" s="307" t="n"/>
      <c r="K113" s="307" t="n"/>
      <c r="L113" s="307" t="n"/>
      <c r="M113" s="307" t="n"/>
      <c r="N113" s="307" t="n"/>
      <c r="O113" s="307" t="n"/>
      <c r="P113" s="307" t="n"/>
      <c r="Q113" s="307" t="n"/>
      <c r="R113" s="307" t="n"/>
      <c r="S113" s="307" t="n"/>
      <c r="T113" s="307" t="n"/>
      <c r="U113" s="307" t="n"/>
      <c r="V113" s="307" t="n"/>
      <c r="W113" s="307" t="n"/>
      <c r="X113" s="307" t="n"/>
      <c r="Y113" s="307" t="n"/>
      <c r="Z113" s="307" t="n"/>
      <c r="AA113" s="307" t="n"/>
      <c r="AB113" s="307" t="n"/>
      <c r="AC113" s="307" t="n"/>
      <c r="AD113" s="307" t="n"/>
      <c r="AE113" s="307" t="n"/>
      <c r="AF113" s="307" t="n"/>
      <c r="AG113" s="307" t="n"/>
      <c r="AH113" s="307" t="n"/>
      <c r="AI113" s="307" t="n"/>
      <c r="AJ113" s="307" t="n"/>
      <c r="AK113" s="307" t="n"/>
      <c r="AL113" s="307" t="n"/>
      <c r="AM113" s="307" t="n"/>
      <c r="AN113" s="307" t="n"/>
      <c r="AO113" s="307" t="n"/>
      <c r="AP113" s="307" t="n"/>
      <c r="AQ113" s="307" t="n"/>
      <c r="AR113" s="307" t="n"/>
      <c r="AS113" s="307" t="n"/>
      <c r="AT113" s="307" t="n"/>
      <c r="AU113" s="307" t="n"/>
      <c r="AV113" s="307" t="n"/>
      <c r="AW113" s="307" t="n"/>
      <c r="AX113" s="307" t="n"/>
      <c r="AY113" s="307" t="n"/>
      <c r="AZ113" s="307" t="n"/>
      <c r="BA113" s="307" t="n"/>
      <c r="BB113" s="307" t="n"/>
      <c r="BC113" s="307" t="n"/>
      <c r="BD113" s="307" t="n"/>
      <c r="BE113" s="307" t="n"/>
      <c r="BF113" s="307" t="n"/>
      <c r="BG113" s="31" t="n"/>
      <c r="BH113" s="31" t="n"/>
      <c r="BI113" s="31" t="n"/>
      <c r="BJ113" s="31" t="n"/>
    </row>
    <row r="114" ht="15.75" customHeight="1" s="349">
      <c r="A114" s="307" t="n"/>
      <c r="B114" s="307" t="n"/>
      <c r="C114" s="307" t="n"/>
      <c r="D114" s="307" t="n"/>
      <c r="E114" s="307" t="n"/>
      <c r="F114" s="307" t="n"/>
      <c r="G114" s="307" t="n"/>
      <c r="H114" s="307" t="n"/>
      <c r="I114" s="307" t="n"/>
      <c r="J114" s="307" t="n"/>
      <c r="K114" s="307" t="n"/>
      <c r="L114" s="307" t="n"/>
      <c r="M114" s="307" t="n"/>
      <c r="N114" s="307" t="n"/>
      <c r="O114" s="307" t="n"/>
      <c r="P114" s="307" t="n"/>
      <c r="Q114" s="307" t="n"/>
      <c r="R114" s="307" t="n"/>
      <c r="S114" s="307" t="n"/>
      <c r="T114" s="307" t="n"/>
      <c r="U114" s="307" t="n"/>
      <c r="V114" s="307" t="n"/>
      <c r="W114" s="307" t="n"/>
      <c r="X114" s="307" t="n"/>
      <c r="Y114" s="307" t="n"/>
      <c r="Z114" s="307" t="n"/>
      <c r="AA114" s="307" t="n"/>
      <c r="AB114" s="307" t="n"/>
      <c r="AC114" s="307" t="n"/>
      <c r="AD114" s="307" t="n"/>
      <c r="AE114" s="307" t="n"/>
      <c r="AF114" s="307" t="n"/>
      <c r="AG114" s="307" t="n"/>
      <c r="AH114" s="307" t="n"/>
      <c r="AI114" s="307" t="n"/>
      <c r="AJ114" s="307" t="n"/>
      <c r="AK114" s="307" t="n"/>
      <c r="AL114" s="307" t="n"/>
      <c r="AM114" s="307" t="n"/>
      <c r="AN114" s="307" t="n"/>
      <c r="AO114" s="307" t="n"/>
      <c r="AP114" s="307" t="n"/>
      <c r="AQ114" s="307" t="n"/>
      <c r="AR114" s="307" t="n"/>
      <c r="AS114" s="307" t="n"/>
      <c r="AT114" s="307" t="n"/>
      <c r="AU114" s="307" t="n"/>
      <c r="AV114" s="307" t="n"/>
      <c r="AW114" s="307" t="n"/>
      <c r="AX114" s="307" t="n"/>
      <c r="AY114" s="307" t="n"/>
      <c r="AZ114" s="307" t="n"/>
      <c r="BA114" s="307" t="n"/>
      <c r="BB114" s="307" t="n"/>
      <c r="BC114" s="307" t="n"/>
      <c r="BD114" s="307" t="n"/>
      <c r="BE114" s="307" t="n"/>
      <c r="BF114" s="307" t="n"/>
      <c r="BG114" s="31" t="n"/>
      <c r="BH114" s="31" t="n"/>
      <c r="BI114" s="31" t="n"/>
      <c r="BJ114" s="31" t="n"/>
    </row>
    <row r="115" ht="15.75" customHeight="1" s="349">
      <c r="A115" s="307" t="n"/>
      <c r="B115" s="307" t="n"/>
      <c r="C115" s="307" t="n"/>
      <c r="D115" s="307" t="n"/>
      <c r="E115" s="307" t="n"/>
      <c r="F115" s="307" t="n"/>
      <c r="G115" s="307" t="n"/>
      <c r="H115" s="307" t="n"/>
      <c r="I115" s="307" t="n"/>
      <c r="J115" s="307" t="n"/>
      <c r="K115" s="307" t="n"/>
      <c r="L115" s="307" t="n"/>
      <c r="M115" s="307" t="n"/>
      <c r="N115" s="307" t="n"/>
      <c r="O115" s="307" t="n"/>
      <c r="P115" s="307" t="n"/>
      <c r="Q115" s="307" t="n"/>
      <c r="R115" s="307" t="n"/>
      <c r="S115" s="307" t="n"/>
      <c r="T115" s="307" t="n"/>
      <c r="U115" s="307" t="n"/>
      <c r="V115" s="307" t="n"/>
      <c r="W115" s="307" t="n"/>
      <c r="X115" s="307" t="n"/>
      <c r="Y115" s="307" t="n"/>
      <c r="Z115" s="307" t="n"/>
      <c r="AA115" s="307" t="n"/>
      <c r="AB115" s="307" t="n"/>
      <c r="AC115" s="307" t="n"/>
      <c r="AD115" s="307" t="n"/>
      <c r="AE115" s="307" t="n"/>
      <c r="AF115" s="307" t="n"/>
      <c r="AG115" s="307" t="n"/>
      <c r="AH115" s="307" t="n"/>
      <c r="AI115" s="307" t="n"/>
      <c r="AJ115" s="307" t="n"/>
      <c r="AK115" s="307" t="n"/>
      <c r="AL115" s="307" t="n"/>
      <c r="AM115" s="307" t="n"/>
      <c r="AN115" s="307" t="n"/>
      <c r="AO115" s="307" t="n"/>
      <c r="AP115" s="307" t="n"/>
      <c r="AQ115" s="307" t="n"/>
      <c r="AR115" s="307" t="n"/>
      <c r="AS115" s="307" t="n"/>
      <c r="AT115" s="307" t="n"/>
      <c r="AU115" s="307" t="n"/>
      <c r="AV115" s="307" t="n"/>
      <c r="AW115" s="307" t="n"/>
      <c r="AX115" s="307" t="n"/>
      <c r="AY115" s="307" t="n"/>
      <c r="AZ115" s="307" t="n"/>
      <c r="BA115" s="307" t="n"/>
      <c r="BB115" s="307" t="n"/>
      <c r="BC115" s="307" t="n"/>
      <c r="BD115" s="307" t="n"/>
      <c r="BE115" s="307" t="n"/>
      <c r="BF115" s="307" t="n"/>
      <c r="BG115" s="31" t="n"/>
      <c r="BH115" s="31" t="n"/>
      <c r="BI115" s="31" t="n"/>
      <c r="BJ115" s="31" t="n"/>
    </row>
    <row r="116" ht="15.75" customHeight="1" s="349">
      <c r="A116" s="307" t="n"/>
      <c r="B116" s="307" t="n"/>
      <c r="C116" s="307" t="n"/>
      <c r="D116" s="307" t="n"/>
      <c r="E116" s="307" t="n"/>
      <c r="F116" s="307" t="n"/>
      <c r="G116" s="307" t="n"/>
      <c r="H116" s="307" t="n"/>
      <c r="I116" s="307" t="n"/>
      <c r="J116" s="307" t="n"/>
      <c r="K116" s="307" t="n"/>
      <c r="L116" s="307" t="n"/>
      <c r="M116" s="307" t="n"/>
      <c r="N116" s="307" t="n"/>
      <c r="O116" s="307" t="n"/>
      <c r="P116" s="307" t="n"/>
      <c r="Q116" s="307" t="n"/>
      <c r="R116" s="307" t="n"/>
      <c r="S116" s="307" t="n"/>
      <c r="T116" s="307" t="n"/>
      <c r="U116" s="307" t="n"/>
      <c r="V116" s="307" t="n"/>
      <c r="W116" s="307" t="n"/>
      <c r="X116" s="307" t="n"/>
      <c r="Y116" s="307" t="n"/>
      <c r="Z116" s="307" t="n"/>
      <c r="AA116" s="307" t="n"/>
      <c r="AB116" s="307" t="n"/>
      <c r="AC116" s="307" t="n"/>
      <c r="AD116" s="307" t="n"/>
      <c r="AE116" s="307" t="n"/>
      <c r="AF116" s="307" t="n"/>
      <c r="AG116" s="307" t="n"/>
      <c r="AH116" s="307" t="n"/>
      <c r="AI116" s="307" t="n"/>
      <c r="AJ116" s="307" t="n"/>
      <c r="AK116" s="307" t="n"/>
      <c r="AL116" s="307" t="n"/>
      <c r="AM116" s="307" t="n"/>
      <c r="AN116" s="307" t="n"/>
      <c r="AO116" s="307" t="n"/>
      <c r="AP116" s="307" t="n"/>
      <c r="AQ116" s="307" t="n"/>
      <c r="AR116" s="307" t="n"/>
      <c r="AS116" s="307" t="n"/>
      <c r="AT116" s="307" t="n"/>
      <c r="AU116" s="307" t="n"/>
      <c r="AV116" s="307" t="n"/>
      <c r="AW116" s="307" t="n"/>
      <c r="AX116" s="307" t="n"/>
      <c r="AY116" s="307" t="n"/>
      <c r="AZ116" s="307" t="n"/>
      <c r="BA116" s="307" t="n"/>
      <c r="BB116" s="307" t="n"/>
      <c r="BC116" s="307" t="n"/>
      <c r="BD116" s="307" t="n"/>
      <c r="BE116" s="307" t="n"/>
      <c r="BF116" s="307" t="n"/>
      <c r="BG116" s="31" t="n"/>
      <c r="BH116" s="31" t="n"/>
      <c r="BI116" s="31" t="n"/>
      <c r="BJ116" s="31" t="n"/>
    </row>
    <row r="117" ht="15.75" customHeight="1" s="349">
      <c r="A117" s="307" t="n"/>
      <c r="B117" s="307" t="n"/>
      <c r="C117" s="307" t="n"/>
      <c r="D117" s="307" t="n"/>
      <c r="E117" s="307" t="n"/>
      <c r="F117" s="307" t="n"/>
      <c r="G117" s="307" t="n"/>
      <c r="H117" s="307" t="n"/>
      <c r="I117" s="307" t="n"/>
      <c r="J117" s="307" t="n"/>
      <c r="K117" s="307" t="n"/>
      <c r="L117" s="307" t="n"/>
      <c r="M117" s="307" t="n"/>
      <c r="N117" s="307" t="n"/>
      <c r="O117" s="307" t="n"/>
      <c r="P117" s="307" t="n"/>
      <c r="Q117" s="307" t="n"/>
      <c r="R117" s="307" t="n"/>
      <c r="S117" s="307" t="n"/>
      <c r="T117" s="307" t="n"/>
      <c r="U117" s="307" t="n"/>
      <c r="V117" s="307" t="n"/>
      <c r="W117" s="307" t="n"/>
      <c r="X117" s="307" t="n"/>
      <c r="Y117" s="307" t="n"/>
      <c r="Z117" s="307" t="n"/>
      <c r="AA117" s="307" t="n"/>
      <c r="AB117" s="307" t="n"/>
      <c r="AC117" s="307" t="n"/>
      <c r="AD117" s="307" t="n"/>
      <c r="AE117" s="307" t="n"/>
      <c r="AF117" s="307" t="n"/>
      <c r="AG117" s="307" t="n"/>
      <c r="AH117" s="307" t="n"/>
      <c r="AI117" s="307" t="n"/>
      <c r="AJ117" s="307" t="n"/>
      <c r="AK117" s="307" t="n"/>
      <c r="AL117" s="307" t="n"/>
      <c r="AM117" s="307" t="n"/>
      <c r="AN117" s="307" t="n"/>
      <c r="AO117" s="307" t="n"/>
      <c r="AP117" s="307" t="n"/>
      <c r="AQ117" s="307" t="n"/>
      <c r="AR117" s="307" t="n"/>
      <c r="AS117" s="307" t="n"/>
      <c r="AT117" s="307" t="n"/>
      <c r="AU117" s="307" t="n"/>
      <c r="AV117" s="307" t="n"/>
      <c r="AW117" s="307" t="n"/>
      <c r="AX117" s="307" t="n"/>
      <c r="AY117" s="307" t="n"/>
      <c r="AZ117" s="307" t="n"/>
      <c r="BA117" s="307" t="n"/>
      <c r="BB117" s="307" t="n"/>
      <c r="BC117" s="307" t="n"/>
      <c r="BD117" s="307" t="n"/>
      <c r="BE117" s="307" t="n"/>
      <c r="BF117" s="307" t="n"/>
      <c r="BG117" s="31" t="n"/>
      <c r="BH117" s="31" t="n"/>
      <c r="BI117" s="31" t="n"/>
      <c r="BJ117" s="31" t="n"/>
    </row>
    <row r="118" ht="15.75" customHeight="1" s="349">
      <c r="A118" s="307" t="n"/>
      <c r="B118" s="307" t="n"/>
      <c r="C118" s="307" t="n"/>
      <c r="D118" s="307" t="n"/>
      <c r="E118" s="307" t="n"/>
      <c r="F118" s="307" t="n"/>
      <c r="G118" s="307" t="n"/>
      <c r="H118" s="307" t="n"/>
      <c r="I118" s="307" t="n"/>
      <c r="J118" s="307" t="n"/>
      <c r="K118" s="307" t="n"/>
      <c r="L118" s="307" t="n"/>
      <c r="M118" s="307" t="n"/>
      <c r="N118" s="307" t="n"/>
      <c r="O118" s="307" t="n"/>
      <c r="P118" s="307" t="n"/>
      <c r="Q118" s="307" t="n"/>
      <c r="R118" s="307" t="n"/>
      <c r="S118" s="307" t="n"/>
      <c r="T118" s="307" t="n"/>
      <c r="U118" s="307" t="n"/>
      <c r="V118" s="307" t="n"/>
      <c r="W118" s="307" t="n"/>
      <c r="X118" s="307" t="n"/>
      <c r="Y118" s="307" t="n"/>
      <c r="Z118" s="307" t="n"/>
      <c r="AA118" s="307" t="n"/>
      <c r="AB118" s="307" t="n"/>
      <c r="AC118" s="307" t="n"/>
      <c r="AD118" s="307" t="n"/>
      <c r="AE118" s="307" t="n"/>
      <c r="AF118" s="307" t="n"/>
      <c r="AG118" s="307" t="n"/>
      <c r="AH118" s="307" t="n"/>
      <c r="AI118" s="307" t="n"/>
      <c r="AJ118" s="307" t="n"/>
      <c r="AK118" s="307" t="n"/>
      <c r="AL118" s="307" t="n"/>
      <c r="AM118" s="307" t="n"/>
      <c r="AN118" s="307" t="n"/>
      <c r="AO118" s="307" t="n"/>
      <c r="AP118" s="307" t="n"/>
      <c r="AQ118" s="307" t="n"/>
      <c r="AR118" s="307" t="n"/>
      <c r="AS118" s="307" t="n"/>
      <c r="AT118" s="307" t="n"/>
      <c r="AU118" s="307" t="n"/>
      <c r="AV118" s="307" t="n"/>
      <c r="AW118" s="307" t="n"/>
      <c r="AX118" s="307" t="n"/>
      <c r="AY118" s="307" t="n"/>
      <c r="AZ118" s="307" t="n"/>
      <c r="BA118" s="307" t="n"/>
      <c r="BB118" s="307" t="n"/>
      <c r="BC118" s="307" t="n"/>
      <c r="BD118" s="307" t="n"/>
      <c r="BE118" s="307" t="n"/>
      <c r="BF118" s="307" t="n"/>
      <c r="BG118" s="31" t="n"/>
      <c r="BH118" s="31" t="n"/>
      <c r="BI118" s="31" t="n"/>
      <c r="BJ118" s="31" t="n"/>
    </row>
    <row r="119" ht="15.75" customHeight="1" s="349">
      <c r="A119" s="307" t="n"/>
      <c r="B119" s="307" t="n"/>
      <c r="C119" s="307" t="n"/>
      <c r="D119" s="307" t="n"/>
      <c r="E119" s="307" t="n"/>
      <c r="F119" s="307" t="n"/>
      <c r="G119" s="307" t="n"/>
      <c r="H119" s="307" t="n"/>
      <c r="I119" s="307" t="n"/>
      <c r="J119" s="307" t="n"/>
      <c r="K119" s="307" t="n"/>
      <c r="L119" s="307" t="n"/>
      <c r="M119" s="307" t="n"/>
      <c r="N119" s="307" t="n"/>
      <c r="O119" s="307" t="n"/>
      <c r="P119" s="307" t="n"/>
      <c r="Q119" s="307" t="n"/>
      <c r="R119" s="307" t="n"/>
      <c r="S119" s="307" t="n"/>
      <c r="T119" s="307" t="n"/>
      <c r="U119" s="307" t="n"/>
      <c r="V119" s="307" t="n"/>
      <c r="W119" s="307" t="n"/>
      <c r="X119" s="307" t="n"/>
      <c r="Y119" s="307" t="n"/>
      <c r="Z119" s="307" t="n"/>
      <c r="AA119" s="307" t="n"/>
      <c r="AB119" s="307" t="n"/>
      <c r="AC119" s="307" t="n"/>
      <c r="AD119" s="307" t="n"/>
      <c r="AE119" s="307" t="n"/>
      <c r="AF119" s="307" t="n"/>
      <c r="AG119" s="307" t="n"/>
      <c r="AH119" s="307" t="n"/>
      <c r="AI119" s="307" t="n"/>
      <c r="AJ119" s="307" t="n"/>
      <c r="AK119" s="307" t="n"/>
      <c r="AL119" s="307" t="n"/>
      <c r="AM119" s="307" t="n"/>
      <c r="AN119" s="307" t="n"/>
      <c r="AO119" s="307" t="n"/>
      <c r="AP119" s="307" t="n"/>
      <c r="AQ119" s="307" t="n"/>
      <c r="AR119" s="307" t="n"/>
      <c r="AS119" s="307" t="n"/>
      <c r="AT119" s="307" t="n"/>
      <c r="AU119" s="307" t="n"/>
      <c r="AV119" s="307" t="n"/>
      <c r="AW119" s="307" t="n"/>
      <c r="AX119" s="307" t="n"/>
      <c r="AY119" s="307" t="n"/>
      <c r="AZ119" s="307" t="n"/>
      <c r="BA119" s="307" t="n"/>
      <c r="BB119" s="307" t="n"/>
      <c r="BC119" s="307" t="n"/>
      <c r="BD119" s="307" t="n"/>
      <c r="BE119" s="307" t="n"/>
      <c r="BF119" s="307" t="n"/>
      <c r="BG119" s="31" t="n"/>
      <c r="BH119" s="31" t="n"/>
      <c r="BI119" s="31" t="n"/>
      <c r="BJ119" s="31" t="n"/>
    </row>
    <row r="120" ht="15.75" customHeight="1" s="349">
      <c r="A120" s="307" t="n"/>
      <c r="B120" s="307" t="n"/>
      <c r="C120" s="307" t="n"/>
      <c r="D120" s="307" t="n"/>
      <c r="E120" s="307" t="n"/>
      <c r="F120" s="307" t="n"/>
      <c r="G120" s="307" t="n"/>
      <c r="H120" s="307" t="n"/>
      <c r="I120" s="307" t="n"/>
      <c r="J120" s="307" t="n"/>
      <c r="K120" s="307" t="n"/>
      <c r="L120" s="307" t="n"/>
      <c r="M120" s="307" t="n"/>
      <c r="N120" s="307" t="n"/>
      <c r="O120" s="307" t="n"/>
      <c r="P120" s="307" t="n"/>
      <c r="Q120" s="307" t="n"/>
      <c r="R120" s="307" t="n"/>
      <c r="S120" s="307" t="n"/>
      <c r="T120" s="307" t="n"/>
      <c r="U120" s="307" t="n"/>
      <c r="V120" s="307" t="n"/>
      <c r="W120" s="307" t="n"/>
      <c r="X120" s="307" t="n"/>
      <c r="Y120" s="307" t="n"/>
      <c r="Z120" s="307" t="n"/>
      <c r="AA120" s="307" t="n"/>
      <c r="AB120" s="307" t="n"/>
      <c r="AC120" s="307" t="n"/>
      <c r="AD120" s="307" t="n"/>
      <c r="AE120" s="307" t="n"/>
      <c r="AF120" s="307" t="n"/>
      <c r="AG120" s="307" t="n"/>
      <c r="AH120" s="307" t="n"/>
      <c r="AI120" s="307" t="n"/>
      <c r="AJ120" s="307" t="n"/>
      <c r="AK120" s="307" t="n"/>
      <c r="AL120" s="307" t="n"/>
      <c r="AM120" s="307" t="n"/>
      <c r="AN120" s="307" t="n"/>
      <c r="AO120" s="307" t="n"/>
      <c r="AP120" s="307" t="n"/>
      <c r="AQ120" s="307" t="n"/>
      <c r="AR120" s="307" t="n"/>
      <c r="AS120" s="307" t="n"/>
      <c r="AT120" s="307" t="n"/>
      <c r="AU120" s="307" t="n"/>
      <c r="AV120" s="307" t="n"/>
      <c r="AW120" s="307" t="n"/>
      <c r="AX120" s="307" t="n"/>
      <c r="AY120" s="307" t="n"/>
      <c r="AZ120" s="307" t="n"/>
      <c r="BA120" s="307" t="n"/>
      <c r="BB120" s="307" t="n"/>
      <c r="BC120" s="307" t="n"/>
      <c r="BD120" s="307" t="n"/>
      <c r="BE120" s="307" t="n"/>
      <c r="BF120" s="307" t="n"/>
      <c r="BG120" s="31" t="n"/>
      <c r="BH120" s="31" t="n"/>
      <c r="BI120" s="31" t="n"/>
      <c r="BJ120" s="31" t="n"/>
    </row>
    <row r="121" ht="15.75" customHeight="1" s="349">
      <c r="A121" s="307" t="n"/>
      <c r="B121" s="307" t="n"/>
      <c r="C121" s="307" t="n"/>
      <c r="D121" s="307" t="n"/>
      <c r="E121" s="307" t="n"/>
      <c r="F121" s="307" t="n"/>
      <c r="G121" s="307" t="n"/>
      <c r="H121" s="307" t="n"/>
      <c r="I121" s="307" t="n"/>
      <c r="J121" s="307" t="n"/>
      <c r="K121" s="307" t="n"/>
      <c r="L121" s="307" t="n"/>
      <c r="M121" s="307" t="n"/>
      <c r="N121" s="307" t="n"/>
      <c r="O121" s="307" t="n"/>
      <c r="P121" s="307" t="n"/>
      <c r="Q121" s="307" t="n"/>
      <c r="R121" s="307" t="n"/>
      <c r="S121" s="307" t="n"/>
      <c r="T121" s="307" t="n"/>
      <c r="U121" s="307" t="n"/>
      <c r="V121" s="307" t="n"/>
      <c r="W121" s="307" t="n"/>
      <c r="X121" s="307" t="n"/>
      <c r="Y121" s="307" t="n"/>
      <c r="Z121" s="307" t="n"/>
      <c r="AA121" s="307" t="n"/>
      <c r="AB121" s="307" t="n"/>
      <c r="AC121" s="307" t="n"/>
      <c r="AD121" s="307" t="n"/>
      <c r="AE121" s="307" t="n"/>
      <c r="AF121" s="307" t="n"/>
      <c r="AG121" s="307" t="n"/>
      <c r="AH121" s="307" t="n"/>
      <c r="AI121" s="307" t="n"/>
      <c r="AJ121" s="307" t="n"/>
      <c r="AK121" s="307" t="n"/>
      <c r="AL121" s="307" t="n"/>
      <c r="AM121" s="307" t="n"/>
      <c r="AN121" s="307" t="n"/>
      <c r="AO121" s="307" t="n"/>
      <c r="AP121" s="307" t="n"/>
      <c r="AQ121" s="307" t="n"/>
      <c r="AR121" s="307" t="n"/>
      <c r="AS121" s="307" t="n"/>
      <c r="AT121" s="307" t="n"/>
      <c r="AU121" s="307" t="n"/>
      <c r="AV121" s="307" t="n"/>
      <c r="AW121" s="307" t="n"/>
      <c r="AX121" s="307" t="n"/>
      <c r="AY121" s="307" t="n"/>
      <c r="AZ121" s="307" t="n"/>
      <c r="BA121" s="307" t="n"/>
      <c r="BB121" s="307" t="n"/>
      <c r="BC121" s="307" t="n"/>
      <c r="BD121" s="307" t="n"/>
      <c r="BE121" s="307" t="n"/>
      <c r="BF121" s="307" t="n"/>
      <c r="BG121" s="31" t="n"/>
      <c r="BH121" s="31" t="n"/>
      <c r="BI121" s="31" t="n"/>
      <c r="BJ121" s="31" t="n"/>
    </row>
    <row r="122" ht="15.75" customHeight="1" s="349">
      <c r="A122" s="307" t="n"/>
      <c r="B122" s="307" t="n"/>
      <c r="C122" s="307" t="n"/>
      <c r="D122" s="307" t="n"/>
      <c r="E122" s="307" t="n"/>
      <c r="F122" s="307" t="n"/>
      <c r="G122" s="307" t="n"/>
      <c r="H122" s="307" t="n"/>
      <c r="I122" s="307" t="n"/>
      <c r="J122" s="307" t="n"/>
      <c r="K122" s="307" t="n"/>
      <c r="L122" s="307" t="n"/>
      <c r="M122" s="307" t="n"/>
      <c r="N122" s="307" t="n"/>
      <c r="O122" s="307" t="n"/>
      <c r="P122" s="307" t="n"/>
      <c r="Q122" s="307" t="n"/>
      <c r="R122" s="307" t="n"/>
      <c r="S122" s="307" t="n"/>
      <c r="T122" s="307" t="n"/>
      <c r="U122" s="307" t="n"/>
      <c r="V122" s="307" t="n"/>
      <c r="W122" s="307" t="n"/>
      <c r="X122" s="307" t="n"/>
      <c r="Y122" s="307" t="n"/>
      <c r="Z122" s="307" t="n"/>
      <c r="AA122" s="307" t="n"/>
      <c r="AB122" s="307" t="n"/>
      <c r="AC122" s="307" t="n"/>
      <c r="AD122" s="307" t="n"/>
      <c r="AE122" s="307" t="n"/>
      <c r="AF122" s="307" t="n"/>
      <c r="AG122" s="307" t="n"/>
      <c r="AH122" s="307" t="n"/>
      <c r="AI122" s="307" t="n"/>
      <c r="AJ122" s="307" t="n"/>
      <c r="AK122" s="307" t="n"/>
      <c r="AL122" s="307" t="n"/>
      <c r="AM122" s="307" t="n"/>
      <c r="AN122" s="307" t="n"/>
      <c r="AO122" s="307" t="n"/>
      <c r="AP122" s="307" t="n"/>
      <c r="AQ122" s="307" t="n"/>
      <c r="AR122" s="307" t="n"/>
      <c r="AS122" s="307" t="n"/>
      <c r="AT122" s="307" t="n"/>
      <c r="AU122" s="307" t="n"/>
      <c r="AV122" s="307" t="n"/>
      <c r="AW122" s="307" t="n"/>
      <c r="AX122" s="307" t="n"/>
      <c r="AY122" s="307" t="n"/>
      <c r="AZ122" s="307" t="n"/>
      <c r="BA122" s="307" t="n"/>
      <c r="BB122" s="307" t="n"/>
      <c r="BC122" s="307" t="n"/>
      <c r="BD122" s="307" t="n"/>
      <c r="BE122" s="307" t="n"/>
      <c r="BF122" s="307" t="n"/>
      <c r="BG122" s="31" t="n"/>
      <c r="BH122" s="31" t="n"/>
      <c r="BI122" s="31" t="n"/>
      <c r="BJ122" s="31" t="n"/>
    </row>
    <row r="123" ht="15.75" customHeight="1" s="349">
      <c r="A123" s="307" t="n"/>
      <c r="B123" s="307" t="n"/>
      <c r="C123" s="307" t="n"/>
      <c r="D123" s="307" t="n"/>
      <c r="E123" s="307" t="n"/>
      <c r="F123" s="307" t="n"/>
      <c r="G123" s="307" t="n"/>
      <c r="H123" s="307" t="n"/>
      <c r="I123" s="307" t="n"/>
      <c r="J123" s="307" t="n"/>
      <c r="K123" s="307" t="n"/>
      <c r="L123" s="307" t="n"/>
      <c r="M123" s="307" t="n"/>
      <c r="N123" s="307" t="n"/>
      <c r="O123" s="307" t="n"/>
      <c r="P123" s="307" t="n"/>
      <c r="Q123" s="307" t="n"/>
      <c r="R123" s="307" t="n"/>
      <c r="S123" s="307" t="n"/>
      <c r="T123" s="307" t="n"/>
      <c r="U123" s="307" t="n"/>
      <c r="V123" s="307" t="n"/>
      <c r="W123" s="307" t="n"/>
      <c r="X123" s="307" t="n"/>
      <c r="Y123" s="307" t="n"/>
      <c r="Z123" s="307" t="n"/>
      <c r="AA123" s="307" t="n"/>
      <c r="AB123" s="307" t="n"/>
      <c r="AC123" s="307" t="n"/>
      <c r="AD123" s="307" t="n"/>
      <c r="AE123" s="307" t="n"/>
      <c r="AF123" s="307" t="n"/>
      <c r="AG123" s="307" t="n"/>
      <c r="AH123" s="307" t="n"/>
      <c r="AI123" s="307" t="n"/>
      <c r="AJ123" s="307" t="n"/>
      <c r="AK123" s="307" t="n"/>
      <c r="AL123" s="307" t="n"/>
      <c r="AM123" s="307" t="n"/>
      <c r="AN123" s="307" t="n"/>
      <c r="AO123" s="307" t="n"/>
      <c r="AP123" s="307" t="n"/>
      <c r="AQ123" s="307" t="n"/>
      <c r="AR123" s="307" t="n"/>
      <c r="AS123" s="307" t="n"/>
      <c r="AT123" s="307" t="n"/>
      <c r="AU123" s="307" t="n"/>
      <c r="AV123" s="307" t="n"/>
      <c r="AW123" s="307" t="n"/>
      <c r="AX123" s="307" t="n"/>
      <c r="AY123" s="307" t="n"/>
      <c r="AZ123" s="307" t="n"/>
      <c r="BA123" s="307" t="n"/>
      <c r="BB123" s="307" t="n"/>
      <c r="BC123" s="307" t="n"/>
      <c r="BD123" s="307" t="n"/>
      <c r="BE123" s="307" t="n"/>
      <c r="BF123" s="307" t="n"/>
      <c r="BG123" s="31" t="n"/>
      <c r="BH123" s="31" t="n"/>
      <c r="BI123" s="31" t="n"/>
      <c r="BJ123" s="31" t="n"/>
    </row>
    <row r="124" ht="15.75" customHeight="1" s="349">
      <c r="A124" s="307" t="n"/>
      <c r="B124" s="307" t="n"/>
      <c r="C124" s="307" t="n"/>
      <c r="D124" s="307" t="n"/>
      <c r="E124" s="307" t="n"/>
      <c r="F124" s="307" t="n"/>
      <c r="G124" s="307" t="n"/>
      <c r="H124" s="307" t="n"/>
      <c r="I124" s="307" t="n"/>
      <c r="J124" s="307" t="n"/>
      <c r="K124" s="307" t="n"/>
      <c r="L124" s="307" t="n"/>
      <c r="M124" s="307" t="n"/>
      <c r="N124" s="307" t="n"/>
      <c r="O124" s="307" t="n"/>
      <c r="P124" s="307" t="n"/>
      <c r="Q124" s="307" t="n"/>
      <c r="R124" s="307" t="n"/>
      <c r="S124" s="307" t="n"/>
      <c r="T124" s="307" t="n"/>
      <c r="U124" s="307" t="n"/>
      <c r="V124" s="307" t="n"/>
      <c r="W124" s="307" t="n"/>
      <c r="X124" s="307" t="n"/>
      <c r="Y124" s="307" t="n"/>
      <c r="Z124" s="307" t="n"/>
      <c r="AA124" s="307" t="n"/>
      <c r="AB124" s="307" t="n"/>
      <c r="AC124" s="307" t="n"/>
      <c r="AD124" s="307" t="n"/>
      <c r="AE124" s="307" t="n"/>
      <c r="AF124" s="307" t="n"/>
      <c r="AG124" s="307" t="n"/>
      <c r="AH124" s="307" t="n"/>
      <c r="AI124" s="307" t="n"/>
      <c r="AJ124" s="307" t="n"/>
      <c r="AK124" s="307" t="n"/>
      <c r="AL124" s="307" t="n"/>
      <c r="AM124" s="307" t="n"/>
      <c r="AN124" s="307" t="n"/>
      <c r="AO124" s="307" t="n"/>
      <c r="AP124" s="307" t="n"/>
      <c r="AQ124" s="307" t="n"/>
      <c r="AR124" s="307" t="n"/>
      <c r="AS124" s="307" t="n"/>
      <c r="AT124" s="307" t="n"/>
      <c r="AU124" s="307" t="n"/>
      <c r="AV124" s="307" t="n"/>
      <c r="AW124" s="307" t="n"/>
      <c r="AX124" s="307" t="n"/>
      <c r="AY124" s="307" t="n"/>
      <c r="AZ124" s="307" t="n"/>
      <c r="BA124" s="307" t="n"/>
      <c r="BB124" s="307" t="n"/>
      <c r="BC124" s="307" t="n"/>
      <c r="BD124" s="307" t="n"/>
      <c r="BE124" s="307" t="n"/>
      <c r="BF124" s="307" t="n"/>
      <c r="BG124" s="31" t="n"/>
      <c r="BH124" s="31" t="n"/>
      <c r="BI124" s="31" t="n"/>
      <c r="BJ124" s="31" t="n"/>
    </row>
    <row r="125" ht="15.75" customHeight="1" s="349">
      <c r="A125" s="307" t="n"/>
      <c r="B125" s="307" t="n"/>
      <c r="C125" s="307" t="n"/>
      <c r="D125" s="307" t="n"/>
      <c r="E125" s="307" t="n"/>
      <c r="F125" s="307" t="n"/>
      <c r="G125" s="307" t="n"/>
      <c r="H125" s="307" t="n"/>
      <c r="I125" s="307" t="n"/>
      <c r="J125" s="307" t="n"/>
      <c r="K125" s="307" t="n"/>
      <c r="L125" s="307" t="n"/>
      <c r="M125" s="307" t="n"/>
      <c r="N125" s="307" t="n"/>
      <c r="O125" s="307" t="n"/>
      <c r="P125" s="307" t="n"/>
      <c r="Q125" s="307" t="n"/>
      <c r="R125" s="307" t="n"/>
      <c r="S125" s="307" t="n"/>
      <c r="T125" s="307" t="n"/>
      <c r="U125" s="307" t="n"/>
      <c r="V125" s="307" t="n"/>
      <c r="W125" s="307" t="n"/>
      <c r="X125" s="307" t="n"/>
      <c r="Y125" s="307" t="n"/>
      <c r="Z125" s="307" t="n"/>
      <c r="AA125" s="307" t="n"/>
      <c r="AB125" s="307" t="n"/>
      <c r="AC125" s="307" t="n"/>
      <c r="AD125" s="307" t="n"/>
      <c r="AE125" s="307" t="n"/>
      <c r="AF125" s="307" t="n"/>
      <c r="AG125" s="307" t="n"/>
      <c r="AH125" s="307" t="n"/>
      <c r="AI125" s="307" t="n"/>
      <c r="AJ125" s="307" t="n"/>
      <c r="AK125" s="307" t="n"/>
      <c r="AL125" s="307" t="n"/>
      <c r="AM125" s="307" t="n"/>
      <c r="AN125" s="307" t="n"/>
      <c r="AO125" s="307" t="n"/>
      <c r="AP125" s="307" t="n"/>
      <c r="AQ125" s="307" t="n"/>
      <c r="AR125" s="307" t="n"/>
      <c r="AS125" s="307" t="n"/>
      <c r="AT125" s="307" t="n"/>
      <c r="AU125" s="307" t="n"/>
      <c r="AV125" s="307" t="n"/>
      <c r="AW125" s="307" t="n"/>
      <c r="AX125" s="307" t="n"/>
      <c r="AY125" s="307" t="n"/>
      <c r="AZ125" s="307" t="n"/>
      <c r="BA125" s="307" t="n"/>
      <c r="BB125" s="307" t="n"/>
      <c r="BC125" s="307" t="n"/>
      <c r="BD125" s="307" t="n"/>
      <c r="BE125" s="307" t="n"/>
      <c r="BF125" s="307" t="n"/>
      <c r="BG125" s="31" t="n"/>
      <c r="BH125" s="31" t="n"/>
      <c r="BI125" s="31" t="n"/>
      <c r="BJ125" s="31" t="n"/>
    </row>
    <row r="126" ht="15.75" customHeight="1" s="349">
      <c r="A126" s="307" t="n"/>
      <c r="B126" s="307" t="n"/>
      <c r="C126" s="307" t="n"/>
      <c r="D126" s="307" t="n"/>
      <c r="E126" s="307" t="n"/>
      <c r="F126" s="307" t="n"/>
      <c r="G126" s="307" t="n"/>
      <c r="H126" s="307" t="n"/>
      <c r="I126" s="307" t="n"/>
      <c r="J126" s="307" t="n"/>
      <c r="K126" s="307" t="n"/>
      <c r="L126" s="307" t="n"/>
      <c r="M126" s="307" t="n"/>
      <c r="N126" s="307" t="n"/>
      <c r="O126" s="307" t="n"/>
      <c r="P126" s="307" t="n"/>
      <c r="Q126" s="307" t="n"/>
      <c r="R126" s="307" t="n"/>
      <c r="S126" s="307" t="n"/>
      <c r="T126" s="307" t="n"/>
      <c r="U126" s="307" t="n"/>
      <c r="V126" s="307" t="n"/>
      <c r="W126" s="307" t="n"/>
      <c r="X126" s="307" t="n"/>
      <c r="Y126" s="307" t="n"/>
      <c r="Z126" s="307" t="n"/>
      <c r="AA126" s="307" t="n"/>
      <c r="AB126" s="307" t="n"/>
      <c r="AC126" s="307" t="n"/>
      <c r="AD126" s="307" t="n"/>
      <c r="AE126" s="307" t="n"/>
      <c r="AF126" s="307" t="n"/>
      <c r="AG126" s="307" t="n"/>
      <c r="AH126" s="307" t="n"/>
      <c r="AI126" s="307" t="n"/>
      <c r="AJ126" s="307" t="n"/>
      <c r="AK126" s="307" t="n"/>
      <c r="AL126" s="307" t="n"/>
      <c r="AM126" s="307" t="n"/>
      <c r="AN126" s="307" t="n"/>
      <c r="AO126" s="307" t="n"/>
      <c r="AP126" s="307" t="n"/>
      <c r="AQ126" s="307" t="n"/>
      <c r="AR126" s="307" t="n"/>
      <c r="AS126" s="307" t="n"/>
      <c r="AT126" s="307" t="n"/>
      <c r="AU126" s="307" t="n"/>
      <c r="AV126" s="307" t="n"/>
      <c r="AW126" s="307" t="n"/>
      <c r="AX126" s="307" t="n"/>
      <c r="AY126" s="307" t="n"/>
      <c r="AZ126" s="307" t="n"/>
      <c r="BA126" s="307" t="n"/>
      <c r="BB126" s="307" t="n"/>
      <c r="BC126" s="307" t="n"/>
      <c r="BD126" s="307" t="n"/>
      <c r="BE126" s="307" t="n"/>
      <c r="BF126" s="307" t="n"/>
      <c r="BG126" s="31" t="n"/>
      <c r="BH126" s="31" t="n"/>
      <c r="BI126" s="31" t="n"/>
      <c r="BJ126" s="31" t="n"/>
    </row>
    <row r="127" ht="15.75" customHeight="1" s="349">
      <c r="A127" s="307" t="n"/>
      <c r="B127" s="307" t="n"/>
      <c r="C127" s="307" t="n"/>
      <c r="D127" s="307" t="n"/>
      <c r="E127" s="307" t="n"/>
      <c r="F127" s="307" t="n"/>
      <c r="G127" s="307" t="n"/>
      <c r="H127" s="307" t="n"/>
      <c r="I127" s="307" t="n"/>
      <c r="J127" s="307" t="n"/>
      <c r="K127" s="307" t="n"/>
      <c r="L127" s="307" t="n"/>
      <c r="M127" s="307" t="n"/>
      <c r="N127" s="307" t="n"/>
      <c r="O127" s="307" t="n"/>
      <c r="P127" s="307" t="n"/>
      <c r="Q127" s="307" t="n"/>
      <c r="R127" s="307" t="n"/>
      <c r="S127" s="307" t="n"/>
      <c r="T127" s="307" t="n"/>
      <c r="U127" s="307" t="n"/>
      <c r="V127" s="307" t="n"/>
      <c r="W127" s="307" t="n"/>
      <c r="X127" s="307" t="n"/>
      <c r="Y127" s="307" t="n"/>
      <c r="Z127" s="307" t="n"/>
      <c r="AA127" s="307" t="n"/>
      <c r="AB127" s="307" t="n"/>
      <c r="AC127" s="307" t="n"/>
      <c r="AD127" s="307" t="n"/>
      <c r="AE127" s="307" t="n"/>
      <c r="AF127" s="307" t="n"/>
      <c r="AG127" s="307" t="n"/>
      <c r="AH127" s="307" t="n"/>
      <c r="AI127" s="307" t="n"/>
      <c r="AJ127" s="307" t="n"/>
      <c r="AK127" s="307" t="n"/>
      <c r="AL127" s="307" t="n"/>
      <c r="AM127" s="307" t="n"/>
      <c r="AN127" s="307" t="n"/>
      <c r="AO127" s="307" t="n"/>
      <c r="AP127" s="307" t="n"/>
      <c r="AQ127" s="307" t="n"/>
      <c r="AR127" s="307" t="n"/>
      <c r="AS127" s="307" t="n"/>
      <c r="AT127" s="307" t="n"/>
      <c r="AU127" s="307" t="n"/>
      <c r="AV127" s="307" t="n"/>
      <c r="AW127" s="307" t="n"/>
      <c r="AX127" s="307" t="n"/>
      <c r="AY127" s="307" t="n"/>
      <c r="AZ127" s="307" t="n"/>
      <c r="BA127" s="307" t="n"/>
      <c r="BB127" s="307" t="n"/>
      <c r="BC127" s="307" t="n"/>
      <c r="BD127" s="307" t="n"/>
      <c r="BE127" s="307" t="n"/>
      <c r="BF127" s="307" t="n"/>
      <c r="BG127" s="31" t="n"/>
      <c r="BH127" s="31" t="n"/>
      <c r="BI127" s="31" t="n"/>
      <c r="BJ127" s="31" t="n"/>
    </row>
    <row r="128" ht="15.75" customHeight="1" s="349">
      <c r="A128" s="307" t="n"/>
      <c r="B128" s="307" t="n"/>
      <c r="C128" s="307" t="n"/>
      <c r="D128" s="307" t="n"/>
      <c r="E128" s="307" t="n"/>
      <c r="F128" s="307" t="n"/>
      <c r="G128" s="307" t="n"/>
      <c r="H128" s="307" t="n"/>
      <c r="I128" s="307" t="n"/>
      <c r="J128" s="307" t="n"/>
      <c r="K128" s="307" t="n"/>
      <c r="L128" s="307" t="n"/>
      <c r="M128" s="307" t="n"/>
      <c r="N128" s="307" t="n"/>
      <c r="O128" s="307" t="n"/>
      <c r="P128" s="307" t="n"/>
      <c r="Q128" s="307" t="n"/>
      <c r="R128" s="307" t="n"/>
      <c r="S128" s="307" t="n"/>
      <c r="T128" s="307" t="n"/>
      <c r="U128" s="307" t="n"/>
      <c r="V128" s="307" t="n"/>
      <c r="W128" s="307" t="n"/>
      <c r="X128" s="307" t="n"/>
      <c r="Y128" s="307" t="n"/>
      <c r="Z128" s="307" t="n"/>
      <c r="AA128" s="307" t="n"/>
      <c r="AB128" s="307" t="n"/>
      <c r="AC128" s="307" t="n"/>
      <c r="AD128" s="307" t="n"/>
      <c r="AE128" s="307" t="n"/>
      <c r="AF128" s="307" t="n"/>
      <c r="AG128" s="307" t="n"/>
      <c r="AH128" s="307" t="n"/>
      <c r="AI128" s="307" t="n"/>
      <c r="AJ128" s="307" t="n"/>
      <c r="AK128" s="307" t="n"/>
      <c r="AL128" s="307" t="n"/>
      <c r="AM128" s="307" t="n"/>
      <c r="AN128" s="307" t="n"/>
      <c r="AO128" s="307" t="n"/>
      <c r="AP128" s="307" t="n"/>
      <c r="AQ128" s="307" t="n"/>
      <c r="AR128" s="307" t="n"/>
      <c r="AS128" s="307" t="n"/>
      <c r="AT128" s="307" t="n"/>
      <c r="AU128" s="307" t="n"/>
      <c r="AV128" s="307" t="n"/>
      <c r="AW128" s="307" t="n"/>
      <c r="AX128" s="307" t="n"/>
      <c r="AY128" s="307" t="n"/>
      <c r="AZ128" s="307" t="n"/>
      <c r="BA128" s="307" t="n"/>
      <c r="BB128" s="307" t="n"/>
      <c r="BC128" s="307" t="n"/>
      <c r="BD128" s="307" t="n"/>
      <c r="BE128" s="307" t="n"/>
      <c r="BF128" s="307" t="n"/>
      <c r="BG128" s="31" t="n"/>
      <c r="BH128" s="31" t="n"/>
      <c r="BI128" s="31" t="n"/>
      <c r="BJ128" s="31" t="n"/>
    </row>
    <row r="129" ht="15.75" customHeight="1" s="349">
      <c r="A129" s="307" t="n"/>
      <c r="B129" s="307" t="n"/>
      <c r="C129" s="307" t="n"/>
      <c r="D129" s="307" t="n"/>
      <c r="E129" s="307" t="n"/>
      <c r="F129" s="307" t="n"/>
      <c r="G129" s="307" t="n"/>
      <c r="H129" s="307" t="n"/>
      <c r="I129" s="307" t="n"/>
      <c r="J129" s="307" t="n"/>
      <c r="K129" s="307" t="n"/>
      <c r="L129" s="307" t="n"/>
      <c r="M129" s="307" t="n"/>
      <c r="N129" s="307" t="n"/>
      <c r="O129" s="307" t="n"/>
      <c r="P129" s="307" t="n"/>
      <c r="Q129" s="307" t="n"/>
      <c r="R129" s="307" t="n"/>
      <c r="S129" s="307" t="n"/>
      <c r="T129" s="307" t="n"/>
      <c r="U129" s="307" t="n"/>
      <c r="V129" s="307" t="n"/>
      <c r="W129" s="307" t="n"/>
      <c r="X129" s="307" t="n"/>
      <c r="Y129" s="307" t="n"/>
      <c r="Z129" s="307" t="n"/>
      <c r="AA129" s="307" t="n"/>
      <c r="AB129" s="307" t="n"/>
      <c r="AC129" s="307" t="n"/>
      <c r="AD129" s="307" t="n"/>
      <c r="AE129" s="307" t="n"/>
      <c r="AF129" s="307" t="n"/>
      <c r="AG129" s="307" t="n"/>
      <c r="AH129" s="307" t="n"/>
      <c r="AI129" s="307" t="n"/>
      <c r="AJ129" s="307" t="n"/>
      <c r="AK129" s="307" t="n"/>
      <c r="AL129" s="307" t="n"/>
      <c r="AM129" s="307" t="n"/>
      <c r="AN129" s="307" t="n"/>
      <c r="AO129" s="307" t="n"/>
      <c r="AP129" s="307" t="n"/>
      <c r="AQ129" s="307" t="n"/>
      <c r="AR129" s="307" t="n"/>
      <c r="AS129" s="307" t="n"/>
      <c r="AT129" s="307" t="n"/>
      <c r="AU129" s="307" t="n"/>
      <c r="AV129" s="307" t="n"/>
      <c r="AW129" s="307" t="n"/>
      <c r="AX129" s="307" t="n"/>
      <c r="AY129" s="307" t="n"/>
      <c r="AZ129" s="307" t="n"/>
      <c r="BA129" s="307" t="n"/>
      <c r="BB129" s="307" t="n"/>
      <c r="BC129" s="307" t="n"/>
      <c r="BD129" s="307" t="n"/>
      <c r="BE129" s="307" t="n"/>
      <c r="BF129" s="307" t="n"/>
      <c r="BG129" s="31" t="n"/>
      <c r="BH129" s="31" t="n"/>
      <c r="BI129" s="31" t="n"/>
      <c r="BJ129" s="31" t="n"/>
    </row>
    <row r="130" ht="15.75" customHeight="1" s="349">
      <c r="A130" s="307" t="n"/>
      <c r="B130" s="307" t="n"/>
      <c r="C130" s="307" t="n"/>
      <c r="D130" s="307" t="n"/>
      <c r="E130" s="307" t="n"/>
      <c r="F130" s="307" t="n"/>
      <c r="G130" s="307" t="n"/>
      <c r="H130" s="307" t="n"/>
      <c r="I130" s="307" t="n"/>
      <c r="J130" s="307" t="n"/>
      <c r="K130" s="307" t="n"/>
      <c r="L130" s="307" t="n"/>
      <c r="M130" s="307" t="n"/>
      <c r="N130" s="307" t="n"/>
      <c r="O130" s="307" t="n"/>
      <c r="P130" s="307" t="n"/>
      <c r="Q130" s="307" t="n"/>
      <c r="R130" s="307" t="n"/>
      <c r="S130" s="307" t="n"/>
      <c r="T130" s="307" t="n"/>
      <c r="U130" s="307" t="n"/>
      <c r="V130" s="307" t="n"/>
      <c r="W130" s="307" t="n"/>
      <c r="X130" s="307" t="n"/>
      <c r="Y130" s="307" t="n"/>
      <c r="Z130" s="307" t="n"/>
      <c r="AA130" s="307" t="n"/>
      <c r="AB130" s="307" t="n"/>
      <c r="AC130" s="307" t="n"/>
      <c r="AD130" s="307" t="n"/>
      <c r="AE130" s="307" t="n"/>
      <c r="AF130" s="307" t="n"/>
      <c r="AG130" s="307" t="n"/>
      <c r="AH130" s="307" t="n"/>
      <c r="AI130" s="307" t="n"/>
      <c r="AJ130" s="307" t="n"/>
      <c r="AK130" s="307" t="n"/>
      <c r="AL130" s="307" t="n"/>
      <c r="AM130" s="307" t="n"/>
      <c r="AN130" s="307" t="n"/>
      <c r="AO130" s="307" t="n"/>
      <c r="AP130" s="307" t="n"/>
      <c r="AQ130" s="307" t="n"/>
      <c r="AR130" s="307" t="n"/>
      <c r="AS130" s="307" t="n"/>
      <c r="AT130" s="307" t="n"/>
      <c r="AU130" s="307" t="n"/>
      <c r="AV130" s="307" t="n"/>
      <c r="AW130" s="307" t="n"/>
      <c r="AX130" s="307" t="n"/>
      <c r="AY130" s="307" t="n"/>
      <c r="AZ130" s="307" t="n"/>
      <c r="BA130" s="307" t="n"/>
      <c r="BB130" s="307" t="n"/>
      <c r="BC130" s="307" t="n"/>
      <c r="BD130" s="307" t="n"/>
      <c r="BE130" s="307" t="n"/>
      <c r="BF130" s="307" t="n"/>
      <c r="BG130" s="31" t="n"/>
      <c r="BH130" s="31" t="n"/>
      <c r="BI130" s="31" t="n"/>
      <c r="BJ130" s="31" t="n"/>
    </row>
    <row r="131" ht="15.75" customHeight="1" s="349">
      <c r="A131" s="307" t="n"/>
      <c r="B131" s="307" t="n"/>
      <c r="C131" s="307" t="n"/>
      <c r="D131" s="307" t="n"/>
      <c r="E131" s="307" t="n"/>
      <c r="F131" s="307" t="n"/>
      <c r="G131" s="307" t="n"/>
      <c r="H131" s="307" t="n"/>
      <c r="I131" s="307" t="n"/>
      <c r="J131" s="307" t="n"/>
      <c r="K131" s="307" t="n"/>
      <c r="L131" s="307" t="n"/>
      <c r="M131" s="307" t="n"/>
      <c r="N131" s="307" t="n"/>
      <c r="O131" s="307" t="n"/>
      <c r="P131" s="307" t="n"/>
      <c r="Q131" s="307" t="n"/>
      <c r="R131" s="307" t="n"/>
      <c r="S131" s="307" t="n"/>
      <c r="T131" s="307" t="n"/>
      <c r="U131" s="307" t="n"/>
      <c r="V131" s="307" t="n"/>
      <c r="W131" s="307" t="n"/>
      <c r="X131" s="307" t="n"/>
      <c r="Y131" s="307" t="n"/>
      <c r="Z131" s="307" t="n"/>
      <c r="AA131" s="307" t="n"/>
      <c r="AB131" s="307" t="n"/>
      <c r="AC131" s="307" t="n"/>
      <c r="AD131" s="307" t="n"/>
      <c r="AE131" s="307" t="n"/>
      <c r="AF131" s="307" t="n"/>
      <c r="AG131" s="307" t="n"/>
      <c r="AH131" s="307" t="n"/>
      <c r="AI131" s="307" t="n"/>
      <c r="AJ131" s="307" t="n"/>
      <c r="AK131" s="307" t="n"/>
      <c r="AL131" s="307" t="n"/>
      <c r="AM131" s="307" t="n"/>
      <c r="AN131" s="307" t="n"/>
      <c r="AO131" s="307" t="n"/>
      <c r="AP131" s="307" t="n"/>
      <c r="AQ131" s="307" t="n"/>
      <c r="AR131" s="307" t="n"/>
      <c r="AS131" s="307" t="n"/>
      <c r="AT131" s="307" t="n"/>
      <c r="AU131" s="307" t="n"/>
      <c r="AV131" s="307" t="n"/>
      <c r="AW131" s="307" t="n"/>
      <c r="AX131" s="307" t="n"/>
      <c r="AY131" s="307" t="n"/>
      <c r="AZ131" s="307" t="n"/>
      <c r="BA131" s="307" t="n"/>
      <c r="BB131" s="307" t="n"/>
      <c r="BC131" s="307" t="n"/>
      <c r="BD131" s="307" t="n"/>
      <c r="BE131" s="307" t="n"/>
      <c r="BF131" s="307" t="n"/>
      <c r="BG131" s="31" t="n"/>
      <c r="BH131" s="31" t="n"/>
      <c r="BI131" s="31" t="n"/>
      <c r="BJ131" s="31" t="n"/>
    </row>
    <row r="132" ht="15.75" customHeight="1" s="349">
      <c r="A132" s="307" t="n"/>
      <c r="B132" s="307" t="n"/>
      <c r="C132" s="307" t="n"/>
      <c r="D132" s="307" t="n"/>
      <c r="E132" s="307" t="n"/>
      <c r="F132" s="307" t="n"/>
      <c r="G132" s="307" t="n"/>
      <c r="H132" s="307" t="n"/>
      <c r="I132" s="307" t="n"/>
      <c r="J132" s="307" t="n"/>
      <c r="K132" s="307" t="n"/>
      <c r="L132" s="307" t="n"/>
      <c r="M132" s="307" t="n"/>
      <c r="N132" s="307" t="n"/>
      <c r="O132" s="307" t="n"/>
      <c r="P132" s="307" t="n"/>
      <c r="Q132" s="307" t="n"/>
      <c r="R132" s="307" t="n"/>
      <c r="S132" s="307" t="n"/>
      <c r="T132" s="307" t="n"/>
      <c r="U132" s="307" t="n"/>
      <c r="V132" s="307" t="n"/>
      <c r="W132" s="307" t="n"/>
      <c r="X132" s="307" t="n"/>
      <c r="Y132" s="307" t="n"/>
      <c r="Z132" s="307" t="n"/>
      <c r="AA132" s="307" t="n"/>
      <c r="AB132" s="307" t="n"/>
      <c r="AC132" s="307" t="n"/>
      <c r="AD132" s="307" t="n"/>
      <c r="AE132" s="307" t="n"/>
      <c r="AF132" s="307" t="n"/>
      <c r="AG132" s="307" t="n"/>
      <c r="AH132" s="307" t="n"/>
      <c r="AI132" s="307" t="n"/>
      <c r="AJ132" s="307" t="n"/>
      <c r="AK132" s="307" t="n"/>
      <c r="AL132" s="307" t="n"/>
      <c r="AM132" s="307" t="n"/>
      <c r="AN132" s="307" t="n"/>
      <c r="AO132" s="307" t="n"/>
      <c r="AP132" s="307" t="n"/>
      <c r="AQ132" s="307" t="n"/>
      <c r="AR132" s="307" t="n"/>
      <c r="AS132" s="307" t="n"/>
      <c r="AT132" s="307" t="n"/>
      <c r="AU132" s="307" t="n"/>
      <c r="AV132" s="307" t="n"/>
      <c r="AW132" s="307" t="n"/>
      <c r="AX132" s="307" t="n"/>
      <c r="AY132" s="307" t="n"/>
      <c r="AZ132" s="307" t="n"/>
      <c r="BA132" s="307" t="n"/>
      <c r="BB132" s="307" t="n"/>
      <c r="BC132" s="307" t="n"/>
      <c r="BD132" s="307" t="n"/>
      <c r="BE132" s="307" t="n"/>
      <c r="BF132" s="307" t="n"/>
      <c r="BG132" s="31" t="n"/>
      <c r="BH132" s="31" t="n"/>
      <c r="BI132" s="31" t="n"/>
      <c r="BJ132" s="31" t="n"/>
    </row>
    <row r="133" ht="15.75" customHeight="1" s="349">
      <c r="A133" s="307" t="n"/>
      <c r="B133" s="307" t="n"/>
      <c r="C133" s="307" t="n"/>
      <c r="D133" s="307" t="n"/>
      <c r="E133" s="307" t="n"/>
      <c r="F133" s="307" t="n"/>
      <c r="G133" s="307" t="n"/>
      <c r="H133" s="307" t="n"/>
      <c r="I133" s="307" t="n"/>
      <c r="J133" s="307" t="n"/>
      <c r="K133" s="307" t="n"/>
      <c r="L133" s="307" t="n"/>
      <c r="M133" s="307" t="n"/>
      <c r="N133" s="307" t="n"/>
      <c r="O133" s="307" t="n"/>
      <c r="P133" s="307" t="n"/>
      <c r="Q133" s="307" t="n"/>
      <c r="R133" s="307" t="n"/>
      <c r="S133" s="307" t="n"/>
      <c r="T133" s="307" t="n"/>
      <c r="U133" s="307" t="n"/>
      <c r="V133" s="307" t="n"/>
      <c r="W133" s="307" t="n"/>
      <c r="X133" s="307" t="n"/>
      <c r="Y133" s="307" t="n"/>
      <c r="Z133" s="307" t="n"/>
      <c r="AA133" s="307" t="n"/>
      <c r="AB133" s="307" t="n"/>
      <c r="AC133" s="307" t="n"/>
      <c r="AD133" s="307" t="n"/>
      <c r="AE133" s="307" t="n"/>
      <c r="AF133" s="307" t="n"/>
      <c r="AG133" s="307" t="n"/>
      <c r="AH133" s="307" t="n"/>
      <c r="AI133" s="307" t="n"/>
      <c r="AJ133" s="307" t="n"/>
      <c r="AK133" s="307" t="n"/>
      <c r="AL133" s="307" t="n"/>
      <c r="AM133" s="307" t="n"/>
      <c r="AN133" s="307" t="n"/>
      <c r="AO133" s="307" t="n"/>
      <c r="AP133" s="307" t="n"/>
      <c r="AQ133" s="307" t="n"/>
      <c r="AR133" s="307" t="n"/>
      <c r="AS133" s="307" t="n"/>
      <c r="AT133" s="307" t="n"/>
      <c r="AU133" s="307" t="n"/>
      <c r="AV133" s="307" t="n"/>
      <c r="AW133" s="307" t="n"/>
      <c r="AX133" s="307" t="n"/>
      <c r="AY133" s="307" t="n"/>
      <c r="AZ133" s="307" t="n"/>
      <c r="BA133" s="307" t="n"/>
      <c r="BB133" s="307" t="n"/>
      <c r="BC133" s="307" t="n"/>
      <c r="BD133" s="307" t="n"/>
      <c r="BE133" s="307" t="n"/>
      <c r="BF133" s="307" t="n"/>
      <c r="BG133" s="31" t="n"/>
      <c r="BH133" s="31" t="n"/>
      <c r="BI133" s="31" t="n"/>
      <c r="BJ133" s="31" t="n"/>
    </row>
    <row r="134" ht="15.75" customHeight="1" s="349">
      <c r="A134" s="307" t="n"/>
      <c r="B134" s="307" t="n"/>
      <c r="C134" s="307" t="n"/>
      <c r="D134" s="307" t="n"/>
      <c r="E134" s="307" t="n"/>
      <c r="F134" s="307" t="n"/>
      <c r="G134" s="307" t="n"/>
      <c r="H134" s="307" t="n"/>
      <c r="I134" s="307" t="n"/>
      <c r="J134" s="307" t="n"/>
      <c r="K134" s="307" t="n"/>
      <c r="L134" s="307" t="n"/>
      <c r="M134" s="307" t="n"/>
      <c r="N134" s="307" t="n"/>
      <c r="O134" s="307" t="n"/>
      <c r="P134" s="307" t="n"/>
      <c r="Q134" s="307" t="n"/>
      <c r="R134" s="307" t="n"/>
      <c r="S134" s="307" t="n"/>
      <c r="T134" s="307" t="n"/>
      <c r="U134" s="307" t="n"/>
      <c r="V134" s="307" t="n"/>
      <c r="W134" s="307" t="n"/>
      <c r="X134" s="307" t="n"/>
      <c r="Y134" s="307" t="n"/>
      <c r="Z134" s="307" t="n"/>
      <c r="AA134" s="307" t="n"/>
      <c r="AB134" s="307" t="n"/>
      <c r="AC134" s="307" t="n"/>
      <c r="AD134" s="307" t="n"/>
      <c r="AE134" s="307" t="n"/>
      <c r="AF134" s="307" t="n"/>
      <c r="AG134" s="307" t="n"/>
      <c r="AH134" s="307" t="n"/>
      <c r="AI134" s="307" t="n"/>
      <c r="AJ134" s="307" t="n"/>
      <c r="AK134" s="307" t="n"/>
      <c r="AL134" s="307" t="n"/>
      <c r="AM134" s="307" t="n"/>
      <c r="AN134" s="307" t="n"/>
      <c r="AO134" s="307" t="n"/>
      <c r="AP134" s="307" t="n"/>
      <c r="AQ134" s="307" t="n"/>
      <c r="AR134" s="307" t="n"/>
      <c r="AS134" s="307" t="n"/>
      <c r="AT134" s="307" t="n"/>
      <c r="AU134" s="307" t="n"/>
      <c r="AV134" s="307" t="n"/>
      <c r="AW134" s="307" t="n"/>
      <c r="AX134" s="307" t="n"/>
      <c r="AY134" s="307" t="n"/>
      <c r="AZ134" s="307" t="n"/>
      <c r="BA134" s="307" t="n"/>
      <c r="BB134" s="307" t="n"/>
      <c r="BC134" s="307" t="n"/>
      <c r="BD134" s="307" t="n"/>
      <c r="BE134" s="307" t="n"/>
      <c r="BF134" s="307" t="n"/>
      <c r="BG134" s="31" t="n"/>
      <c r="BH134" s="31" t="n"/>
      <c r="BI134" s="31" t="n"/>
      <c r="BJ134" s="31" t="n"/>
    </row>
    <row r="135" ht="15.75" customHeight="1" s="349">
      <c r="A135" s="307" t="n"/>
      <c r="B135" s="307" t="n"/>
      <c r="C135" s="307" t="n"/>
      <c r="D135" s="307" t="n"/>
      <c r="E135" s="307" t="n"/>
      <c r="F135" s="307" t="n"/>
      <c r="G135" s="307" t="n"/>
      <c r="H135" s="307" t="n"/>
      <c r="I135" s="307" t="n"/>
      <c r="J135" s="307" t="n"/>
      <c r="K135" s="307" t="n"/>
      <c r="L135" s="307" t="n"/>
      <c r="M135" s="307" t="n"/>
      <c r="N135" s="307" t="n"/>
      <c r="O135" s="307" t="n"/>
      <c r="P135" s="307" t="n"/>
      <c r="Q135" s="307" t="n"/>
      <c r="R135" s="307" t="n"/>
      <c r="S135" s="307" t="n"/>
      <c r="T135" s="307" t="n"/>
      <c r="U135" s="307" t="n"/>
      <c r="V135" s="307" t="n"/>
      <c r="W135" s="307" t="n"/>
      <c r="X135" s="307" t="n"/>
      <c r="Y135" s="307" t="n"/>
      <c r="Z135" s="307" t="n"/>
      <c r="AA135" s="307" t="n"/>
      <c r="AB135" s="307" t="n"/>
      <c r="AC135" s="307" t="n"/>
      <c r="AD135" s="307" t="n"/>
      <c r="AE135" s="307" t="n"/>
      <c r="AF135" s="307" t="n"/>
      <c r="AG135" s="307" t="n"/>
      <c r="AH135" s="307" t="n"/>
      <c r="AI135" s="307" t="n"/>
      <c r="AJ135" s="307" t="n"/>
      <c r="AK135" s="307" t="n"/>
      <c r="AL135" s="307" t="n"/>
      <c r="AM135" s="307" t="n"/>
      <c r="AN135" s="307" t="n"/>
      <c r="AO135" s="307" t="n"/>
      <c r="AP135" s="307" t="n"/>
      <c r="AQ135" s="307" t="n"/>
      <c r="AR135" s="307" t="n"/>
      <c r="AS135" s="307" t="n"/>
      <c r="AT135" s="307" t="n"/>
      <c r="AU135" s="307" t="n"/>
      <c r="AV135" s="307" t="n"/>
      <c r="AW135" s="307" t="n"/>
      <c r="AX135" s="307" t="n"/>
      <c r="AY135" s="307" t="n"/>
      <c r="AZ135" s="307" t="n"/>
      <c r="BA135" s="307" t="n"/>
      <c r="BB135" s="307" t="n"/>
      <c r="BC135" s="307" t="n"/>
      <c r="BD135" s="307" t="n"/>
      <c r="BE135" s="307" t="n"/>
      <c r="BF135" s="307" t="n"/>
      <c r="BG135" s="31" t="n"/>
      <c r="BH135" s="31" t="n"/>
      <c r="BI135" s="31" t="n"/>
      <c r="BJ135" s="31" t="n"/>
    </row>
    <row r="136" ht="15.75" customHeight="1" s="349">
      <c r="A136" s="307" t="n"/>
      <c r="B136" s="307" t="n"/>
      <c r="C136" s="307" t="n"/>
      <c r="D136" s="307" t="n"/>
      <c r="E136" s="307" t="n"/>
      <c r="F136" s="307" t="n"/>
      <c r="G136" s="307" t="n"/>
      <c r="H136" s="307" t="n"/>
      <c r="I136" s="307" t="n"/>
      <c r="J136" s="307" t="n"/>
      <c r="K136" s="307" t="n"/>
      <c r="L136" s="307" t="n"/>
      <c r="M136" s="307" t="n"/>
      <c r="N136" s="307" t="n"/>
      <c r="O136" s="307" t="n"/>
      <c r="P136" s="307" t="n"/>
      <c r="Q136" s="307" t="n"/>
      <c r="R136" s="307" t="n"/>
      <c r="S136" s="307" t="n"/>
      <c r="T136" s="307" t="n"/>
      <c r="U136" s="307" t="n"/>
      <c r="V136" s="307" t="n"/>
      <c r="W136" s="307" t="n"/>
      <c r="X136" s="307" t="n"/>
      <c r="Y136" s="307" t="n"/>
      <c r="Z136" s="307" t="n"/>
      <c r="AA136" s="307" t="n"/>
      <c r="AB136" s="307" t="n"/>
      <c r="AC136" s="307" t="n"/>
      <c r="AD136" s="307" t="n"/>
      <c r="AE136" s="307" t="n"/>
      <c r="AF136" s="307" t="n"/>
      <c r="AG136" s="307" t="n"/>
      <c r="AH136" s="307" t="n"/>
      <c r="AI136" s="307" t="n"/>
      <c r="AJ136" s="307" t="n"/>
      <c r="AK136" s="307" t="n"/>
      <c r="AL136" s="307" t="n"/>
      <c r="AM136" s="307" t="n"/>
      <c r="AN136" s="307" t="n"/>
      <c r="AO136" s="307" t="n"/>
      <c r="AP136" s="307" t="n"/>
      <c r="AQ136" s="307" t="n"/>
      <c r="AR136" s="307" t="n"/>
      <c r="AS136" s="307" t="n"/>
      <c r="AT136" s="307" t="n"/>
      <c r="AU136" s="307" t="n"/>
      <c r="AV136" s="307" t="n"/>
      <c r="AW136" s="307" t="n"/>
      <c r="AX136" s="307" t="n"/>
      <c r="AY136" s="307" t="n"/>
      <c r="AZ136" s="307" t="n"/>
      <c r="BA136" s="307" t="n"/>
      <c r="BB136" s="307" t="n"/>
      <c r="BC136" s="307" t="n"/>
      <c r="BD136" s="307" t="n"/>
      <c r="BE136" s="307" t="n"/>
      <c r="BF136" s="307" t="n"/>
      <c r="BG136" s="31" t="n"/>
      <c r="BH136" s="31" t="n"/>
      <c r="BI136" s="31" t="n"/>
      <c r="BJ136" s="31" t="n"/>
    </row>
    <row r="137" ht="15.75" customHeight="1" s="349">
      <c r="A137" s="307" t="n"/>
      <c r="B137" s="307" t="n"/>
      <c r="C137" s="307" t="n"/>
      <c r="D137" s="307" t="n"/>
      <c r="E137" s="307" t="n"/>
      <c r="F137" s="307" t="n"/>
      <c r="G137" s="307" t="n"/>
      <c r="H137" s="307" t="n"/>
      <c r="I137" s="307" t="n"/>
      <c r="J137" s="307" t="n"/>
      <c r="K137" s="307" t="n"/>
      <c r="L137" s="307" t="n"/>
      <c r="M137" s="307" t="n"/>
      <c r="N137" s="307" t="n"/>
      <c r="O137" s="307" t="n"/>
      <c r="P137" s="307" t="n"/>
      <c r="Q137" s="307" t="n"/>
      <c r="R137" s="307" t="n"/>
      <c r="S137" s="307" t="n"/>
      <c r="T137" s="307" t="n"/>
      <c r="U137" s="307" t="n"/>
      <c r="V137" s="307" t="n"/>
      <c r="W137" s="307" t="n"/>
      <c r="X137" s="307" t="n"/>
      <c r="Y137" s="307" t="n"/>
      <c r="Z137" s="307" t="n"/>
      <c r="AA137" s="307" t="n"/>
      <c r="AB137" s="307" t="n"/>
      <c r="AC137" s="307" t="n"/>
      <c r="AD137" s="307" t="n"/>
      <c r="AE137" s="307" t="n"/>
      <c r="AF137" s="307" t="n"/>
      <c r="AG137" s="307" t="n"/>
      <c r="AH137" s="307" t="n"/>
      <c r="AI137" s="307" t="n"/>
      <c r="AJ137" s="307" t="n"/>
      <c r="AK137" s="307" t="n"/>
      <c r="AL137" s="307" t="n"/>
      <c r="AM137" s="307" t="n"/>
      <c r="AN137" s="307" t="n"/>
      <c r="AO137" s="307" t="n"/>
      <c r="AP137" s="307" t="n"/>
      <c r="AQ137" s="307" t="n"/>
      <c r="AR137" s="307" t="n"/>
      <c r="AS137" s="307" t="n"/>
      <c r="AT137" s="307" t="n"/>
      <c r="AU137" s="307" t="n"/>
      <c r="AV137" s="307" t="n"/>
      <c r="AW137" s="307" t="n"/>
      <c r="AX137" s="307" t="n"/>
      <c r="AY137" s="307" t="n"/>
      <c r="AZ137" s="307" t="n"/>
      <c r="BA137" s="307" t="n"/>
      <c r="BB137" s="307" t="n"/>
      <c r="BC137" s="307" t="n"/>
      <c r="BD137" s="307" t="n"/>
      <c r="BE137" s="307" t="n"/>
      <c r="BF137" s="307" t="n"/>
      <c r="BG137" s="31" t="n"/>
      <c r="BH137" s="31" t="n"/>
      <c r="BI137" s="31" t="n"/>
      <c r="BJ137" s="31" t="n"/>
    </row>
    <row r="138" ht="15.75" customHeight="1" s="349">
      <c r="A138" s="307" t="n"/>
      <c r="B138" s="307" t="n"/>
      <c r="C138" s="307" t="n"/>
      <c r="D138" s="307" t="n"/>
      <c r="E138" s="307" t="n"/>
      <c r="F138" s="307" t="n"/>
      <c r="G138" s="307" t="n"/>
      <c r="H138" s="307" t="n"/>
      <c r="I138" s="307" t="n"/>
      <c r="J138" s="307" t="n"/>
      <c r="K138" s="307" t="n"/>
      <c r="L138" s="307" t="n"/>
      <c r="M138" s="307" t="n"/>
      <c r="N138" s="307" t="n"/>
      <c r="O138" s="307" t="n"/>
      <c r="P138" s="307" t="n"/>
      <c r="Q138" s="307" t="n"/>
      <c r="R138" s="307" t="n"/>
      <c r="S138" s="307" t="n"/>
      <c r="T138" s="307" t="n"/>
      <c r="U138" s="307" t="n"/>
      <c r="V138" s="307" t="n"/>
      <c r="W138" s="307" t="n"/>
      <c r="X138" s="307" t="n"/>
      <c r="Y138" s="307" t="n"/>
      <c r="Z138" s="307" t="n"/>
      <c r="AA138" s="307" t="n"/>
      <c r="AB138" s="307" t="n"/>
      <c r="AC138" s="307" t="n"/>
      <c r="AD138" s="307" t="n"/>
      <c r="AE138" s="307" t="n"/>
      <c r="AF138" s="307" t="n"/>
      <c r="AG138" s="307" t="n"/>
      <c r="AH138" s="307" t="n"/>
      <c r="AI138" s="307" t="n"/>
      <c r="AJ138" s="307" t="n"/>
      <c r="AK138" s="307" t="n"/>
      <c r="AL138" s="307" t="n"/>
      <c r="AM138" s="307" t="n"/>
      <c r="AN138" s="307" t="n"/>
      <c r="AO138" s="307" t="n"/>
      <c r="AP138" s="307" t="n"/>
      <c r="AQ138" s="307" t="n"/>
      <c r="AR138" s="307" t="n"/>
      <c r="AS138" s="307" t="n"/>
      <c r="AT138" s="307" t="n"/>
      <c r="AU138" s="307" t="n"/>
      <c r="AV138" s="307" t="n"/>
      <c r="AW138" s="307" t="n"/>
      <c r="AX138" s="307" t="n"/>
      <c r="AY138" s="307" t="n"/>
      <c r="AZ138" s="307" t="n"/>
      <c r="BA138" s="307" t="n"/>
      <c r="BB138" s="307" t="n"/>
      <c r="BC138" s="307" t="n"/>
      <c r="BD138" s="307" t="n"/>
      <c r="BE138" s="307" t="n"/>
      <c r="BF138" s="307" t="n"/>
      <c r="BG138" s="31" t="n"/>
      <c r="BH138" s="31" t="n"/>
      <c r="BI138" s="31" t="n"/>
      <c r="BJ138" s="31" t="n"/>
    </row>
    <row r="139" ht="15.75" customHeight="1" s="349">
      <c r="A139" s="307" t="n"/>
      <c r="B139" s="307" t="n"/>
      <c r="C139" s="307" t="n"/>
      <c r="D139" s="307" t="n"/>
      <c r="E139" s="307" t="n"/>
      <c r="F139" s="307" t="n"/>
      <c r="G139" s="307" t="n"/>
      <c r="H139" s="307" t="n"/>
      <c r="I139" s="307" t="n"/>
      <c r="J139" s="307" t="n"/>
      <c r="K139" s="307" t="n"/>
      <c r="L139" s="307" t="n"/>
      <c r="M139" s="307" t="n"/>
      <c r="N139" s="307" t="n"/>
      <c r="O139" s="307" t="n"/>
      <c r="P139" s="307" t="n"/>
      <c r="Q139" s="307" t="n"/>
      <c r="R139" s="307" t="n"/>
      <c r="S139" s="307" t="n"/>
      <c r="T139" s="307" t="n"/>
      <c r="U139" s="307" t="n"/>
      <c r="V139" s="307" t="n"/>
      <c r="W139" s="307" t="n"/>
      <c r="X139" s="307" t="n"/>
      <c r="Y139" s="307" t="n"/>
      <c r="Z139" s="307" t="n"/>
      <c r="AA139" s="307" t="n"/>
      <c r="AB139" s="307" t="n"/>
      <c r="AC139" s="307" t="n"/>
      <c r="AD139" s="307" t="n"/>
      <c r="AE139" s="307" t="n"/>
      <c r="AF139" s="307" t="n"/>
      <c r="AG139" s="307" t="n"/>
      <c r="AH139" s="307" t="n"/>
      <c r="AI139" s="307" t="n"/>
      <c r="AJ139" s="307" t="n"/>
      <c r="AK139" s="307" t="n"/>
      <c r="AL139" s="307" t="n"/>
      <c r="AM139" s="307" t="n"/>
      <c r="AN139" s="307" t="n"/>
      <c r="AO139" s="307" t="n"/>
      <c r="AP139" s="307" t="n"/>
      <c r="AQ139" s="307" t="n"/>
      <c r="AR139" s="307" t="n"/>
      <c r="AS139" s="307" t="n"/>
      <c r="AT139" s="307" t="n"/>
      <c r="AU139" s="307" t="n"/>
      <c r="AV139" s="307" t="n"/>
      <c r="AW139" s="307" t="n"/>
      <c r="AX139" s="307" t="n"/>
      <c r="AY139" s="307" t="n"/>
      <c r="AZ139" s="307" t="n"/>
      <c r="BA139" s="307" t="n"/>
      <c r="BB139" s="307" t="n"/>
      <c r="BC139" s="307" t="n"/>
      <c r="BD139" s="307" t="n"/>
      <c r="BE139" s="307" t="n"/>
      <c r="BF139" s="307" t="n"/>
      <c r="BG139" s="31" t="n"/>
      <c r="BH139" s="31" t="n"/>
      <c r="BI139" s="31" t="n"/>
      <c r="BJ139" s="31" t="n"/>
    </row>
    <row r="140" ht="15.75" customHeight="1" s="349">
      <c r="A140" s="307" t="n"/>
      <c r="B140" s="307" t="n"/>
      <c r="C140" s="307" t="n"/>
      <c r="D140" s="307" t="n"/>
      <c r="E140" s="307" t="n"/>
      <c r="F140" s="307" t="n"/>
      <c r="G140" s="307" t="n"/>
      <c r="H140" s="307" t="n"/>
      <c r="I140" s="307" t="n"/>
      <c r="J140" s="307" t="n"/>
      <c r="K140" s="307" t="n"/>
      <c r="L140" s="307" t="n"/>
      <c r="M140" s="307" t="n"/>
      <c r="N140" s="307" t="n"/>
      <c r="O140" s="307" t="n"/>
      <c r="P140" s="307" t="n"/>
      <c r="Q140" s="307" t="n"/>
      <c r="R140" s="307" t="n"/>
      <c r="S140" s="307" t="n"/>
      <c r="T140" s="307" t="n"/>
      <c r="U140" s="307" t="n"/>
      <c r="V140" s="307" t="n"/>
      <c r="W140" s="307" t="n"/>
      <c r="X140" s="307" t="n"/>
      <c r="Y140" s="307" t="n"/>
      <c r="Z140" s="307" t="n"/>
      <c r="AA140" s="307" t="n"/>
      <c r="AB140" s="307" t="n"/>
      <c r="AC140" s="307" t="n"/>
      <c r="AD140" s="307" t="n"/>
      <c r="AE140" s="307" t="n"/>
      <c r="AF140" s="307" t="n"/>
      <c r="AG140" s="307" t="n"/>
      <c r="AH140" s="307" t="n"/>
      <c r="AI140" s="307" t="n"/>
      <c r="AJ140" s="307" t="n"/>
      <c r="AK140" s="307" t="n"/>
      <c r="AL140" s="307" t="n"/>
      <c r="AM140" s="307" t="n"/>
      <c r="AN140" s="307" t="n"/>
      <c r="AO140" s="307" t="n"/>
      <c r="AP140" s="307" t="n"/>
      <c r="AQ140" s="307" t="n"/>
      <c r="AR140" s="307" t="n"/>
      <c r="AS140" s="307" t="n"/>
      <c r="AT140" s="307" t="n"/>
      <c r="AU140" s="307" t="n"/>
      <c r="AV140" s="307" t="n"/>
      <c r="AW140" s="307" t="n"/>
      <c r="AX140" s="307" t="n"/>
      <c r="AY140" s="307" t="n"/>
      <c r="AZ140" s="307" t="n"/>
      <c r="BA140" s="307" t="n"/>
      <c r="BB140" s="307" t="n"/>
      <c r="BC140" s="307" t="n"/>
      <c r="BD140" s="307" t="n"/>
      <c r="BE140" s="307" t="n"/>
      <c r="BF140" s="307" t="n"/>
      <c r="BG140" s="31" t="n"/>
      <c r="BH140" s="31" t="n"/>
      <c r="BI140" s="31" t="n"/>
      <c r="BJ140" s="31" t="n"/>
    </row>
    <row r="141" ht="15.75" customHeight="1" s="349">
      <c r="A141" s="307" t="n"/>
      <c r="B141" s="307" t="n"/>
      <c r="C141" s="307" t="n"/>
      <c r="D141" s="307" t="n"/>
      <c r="E141" s="307" t="n"/>
      <c r="F141" s="307" t="n"/>
      <c r="G141" s="307" t="n"/>
      <c r="H141" s="307" t="n"/>
      <c r="I141" s="307" t="n"/>
      <c r="J141" s="307" t="n"/>
      <c r="K141" s="307" t="n"/>
      <c r="L141" s="307" t="n"/>
      <c r="M141" s="307" t="n"/>
      <c r="N141" s="307" t="n"/>
      <c r="O141" s="307" t="n"/>
      <c r="P141" s="307" t="n"/>
      <c r="Q141" s="307" t="n"/>
      <c r="R141" s="307" t="n"/>
      <c r="S141" s="307" t="n"/>
      <c r="T141" s="307" t="n"/>
      <c r="U141" s="307" t="n"/>
      <c r="V141" s="307" t="n"/>
      <c r="W141" s="307" t="n"/>
      <c r="X141" s="307" t="n"/>
      <c r="Y141" s="307" t="n"/>
      <c r="Z141" s="307" t="n"/>
      <c r="AA141" s="307" t="n"/>
      <c r="AB141" s="307" t="n"/>
      <c r="AC141" s="307" t="n"/>
      <c r="AD141" s="307" t="n"/>
      <c r="AE141" s="307" t="n"/>
      <c r="AF141" s="307" t="n"/>
      <c r="AG141" s="307" t="n"/>
      <c r="AH141" s="307" t="n"/>
      <c r="AI141" s="307" t="n"/>
      <c r="AJ141" s="307" t="n"/>
      <c r="AK141" s="307" t="n"/>
      <c r="AL141" s="307" t="n"/>
      <c r="AM141" s="307" t="n"/>
      <c r="AN141" s="307" t="n"/>
      <c r="AO141" s="307" t="n"/>
      <c r="AP141" s="307" t="n"/>
      <c r="AQ141" s="307" t="n"/>
      <c r="AR141" s="307" t="n"/>
      <c r="AS141" s="307" t="n"/>
      <c r="AT141" s="307" t="n"/>
      <c r="AU141" s="307" t="n"/>
      <c r="AV141" s="307" t="n"/>
      <c r="AW141" s="307" t="n"/>
      <c r="AX141" s="307" t="n"/>
      <c r="AY141" s="307" t="n"/>
      <c r="AZ141" s="307" t="n"/>
      <c r="BA141" s="307" t="n"/>
      <c r="BB141" s="307" t="n"/>
      <c r="BC141" s="307" t="n"/>
      <c r="BD141" s="307" t="n"/>
      <c r="BE141" s="307" t="n"/>
      <c r="BF141" s="307" t="n"/>
      <c r="BG141" s="31" t="n"/>
      <c r="BH141" s="31" t="n"/>
      <c r="BI141" s="31" t="n"/>
      <c r="BJ141" s="31" t="n"/>
    </row>
    <row r="142" ht="15.75" customHeight="1" s="349">
      <c r="A142" s="307" t="n"/>
      <c r="B142" s="307" t="n"/>
      <c r="C142" s="307" t="n"/>
      <c r="D142" s="307" t="n"/>
      <c r="E142" s="307" t="n"/>
      <c r="F142" s="307" t="n"/>
      <c r="G142" s="307" t="n"/>
      <c r="H142" s="307" t="n"/>
      <c r="I142" s="307" t="n"/>
      <c r="J142" s="307" t="n"/>
      <c r="K142" s="307" t="n"/>
      <c r="L142" s="307" t="n"/>
      <c r="M142" s="307" t="n"/>
      <c r="N142" s="307" t="n"/>
      <c r="O142" s="307" t="n"/>
      <c r="P142" s="307" t="n"/>
      <c r="Q142" s="307" t="n"/>
      <c r="R142" s="307" t="n"/>
      <c r="S142" s="307" t="n"/>
      <c r="T142" s="307" t="n"/>
      <c r="U142" s="307" t="n"/>
      <c r="V142" s="307" t="n"/>
      <c r="W142" s="307" t="n"/>
      <c r="X142" s="307" t="n"/>
      <c r="Y142" s="307" t="n"/>
      <c r="Z142" s="307" t="n"/>
      <c r="AA142" s="307" t="n"/>
      <c r="AB142" s="307" t="n"/>
      <c r="AC142" s="307" t="n"/>
      <c r="AD142" s="307" t="n"/>
      <c r="AE142" s="307" t="n"/>
      <c r="AF142" s="307" t="n"/>
      <c r="AG142" s="307" t="n"/>
      <c r="AH142" s="307" t="n"/>
      <c r="AI142" s="307" t="n"/>
      <c r="AJ142" s="307" t="n"/>
      <c r="AK142" s="307" t="n"/>
      <c r="AL142" s="307" t="n"/>
      <c r="AM142" s="307" t="n"/>
      <c r="AN142" s="307" t="n"/>
      <c r="AO142" s="307" t="n"/>
      <c r="AP142" s="307" t="n"/>
      <c r="AQ142" s="307" t="n"/>
      <c r="AR142" s="307" t="n"/>
      <c r="AS142" s="307" t="n"/>
      <c r="AT142" s="307" t="n"/>
      <c r="AU142" s="307" t="n"/>
      <c r="AV142" s="307" t="n"/>
      <c r="AW142" s="307" t="n"/>
      <c r="AX142" s="307" t="n"/>
      <c r="AY142" s="307" t="n"/>
      <c r="AZ142" s="307" t="n"/>
      <c r="BA142" s="307" t="n"/>
      <c r="BB142" s="307" t="n"/>
      <c r="BC142" s="307" t="n"/>
      <c r="BD142" s="307" t="n"/>
      <c r="BE142" s="307" t="n"/>
      <c r="BF142" s="307" t="n"/>
      <c r="BG142" s="31" t="n"/>
      <c r="BH142" s="31" t="n"/>
      <c r="BI142" s="31" t="n"/>
      <c r="BJ142" s="31" t="n"/>
    </row>
    <row r="143" ht="15.75" customHeight="1" s="349">
      <c r="A143" s="307" t="n"/>
      <c r="B143" s="307" t="n"/>
      <c r="C143" s="307" t="n"/>
      <c r="D143" s="307" t="n"/>
      <c r="E143" s="307" t="n"/>
      <c r="F143" s="307" t="n"/>
      <c r="G143" s="307" t="n"/>
      <c r="H143" s="307" t="n"/>
      <c r="I143" s="307" t="n"/>
      <c r="J143" s="307" t="n"/>
      <c r="K143" s="307" t="n"/>
      <c r="L143" s="307" t="n"/>
      <c r="M143" s="307" t="n"/>
      <c r="N143" s="307" t="n"/>
      <c r="O143" s="307" t="n"/>
      <c r="P143" s="307" t="n"/>
      <c r="Q143" s="307" t="n"/>
      <c r="R143" s="307" t="n"/>
      <c r="S143" s="307" t="n"/>
      <c r="T143" s="307" t="n"/>
      <c r="U143" s="307" t="n"/>
      <c r="V143" s="307" t="n"/>
      <c r="W143" s="307" t="n"/>
      <c r="X143" s="307" t="n"/>
      <c r="Y143" s="307" t="n"/>
      <c r="Z143" s="307" t="n"/>
      <c r="AA143" s="307" t="n"/>
      <c r="AB143" s="307" t="n"/>
      <c r="AC143" s="307" t="n"/>
      <c r="AD143" s="307" t="n"/>
      <c r="AE143" s="307" t="n"/>
      <c r="AF143" s="307" t="n"/>
      <c r="AG143" s="307" t="n"/>
      <c r="AH143" s="307" t="n"/>
      <c r="AI143" s="307" t="n"/>
      <c r="AJ143" s="307" t="n"/>
      <c r="AK143" s="307" t="n"/>
      <c r="AL143" s="307" t="n"/>
      <c r="AM143" s="307" t="n"/>
      <c r="AN143" s="307" t="n"/>
      <c r="AO143" s="307" t="n"/>
      <c r="AP143" s="307" t="n"/>
      <c r="AQ143" s="307" t="n"/>
      <c r="AR143" s="307" t="n"/>
      <c r="AS143" s="307" t="n"/>
      <c r="AT143" s="307" t="n"/>
      <c r="AU143" s="307" t="n"/>
      <c r="AV143" s="307" t="n"/>
      <c r="AW143" s="307" t="n"/>
      <c r="AX143" s="307" t="n"/>
      <c r="AY143" s="307" t="n"/>
      <c r="AZ143" s="307" t="n"/>
      <c r="BA143" s="307" t="n"/>
      <c r="BB143" s="307" t="n"/>
      <c r="BC143" s="307" t="n"/>
      <c r="BD143" s="307" t="n"/>
      <c r="BE143" s="307" t="n"/>
      <c r="BF143" s="307" t="n"/>
      <c r="BG143" s="31" t="n"/>
      <c r="BH143" s="31" t="n"/>
      <c r="BI143" s="31" t="n"/>
      <c r="BJ143" s="31" t="n"/>
    </row>
    <row r="144" ht="15.75" customHeight="1" s="349">
      <c r="A144" s="307" t="n"/>
      <c r="B144" s="307" t="n"/>
      <c r="C144" s="307" t="n"/>
      <c r="D144" s="307" t="n"/>
      <c r="E144" s="307" t="n"/>
      <c r="F144" s="307" t="n"/>
      <c r="G144" s="307" t="n"/>
      <c r="H144" s="307" t="n"/>
      <c r="I144" s="307" t="n"/>
      <c r="J144" s="307" t="n"/>
      <c r="K144" s="307" t="n"/>
      <c r="L144" s="307" t="n"/>
      <c r="M144" s="307" t="n"/>
      <c r="N144" s="307" t="n"/>
      <c r="O144" s="307" t="n"/>
      <c r="P144" s="307" t="n"/>
      <c r="Q144" s="307" t="n"/>
      <c r="R144" s="307" t="n"/>
      <c r="S144" s="307" t="n"/>
      <c r="T144" s="307" t="n"/>
      <c r="U144" s="307" t="n"/>
      <c r="V144" s="307" t="n"/>
      <c r="W144" s="307" t="n"/>
      <c r="X144" s="307" t="n"/>
      <c r="Y144" s="307" t="n"/>
      <c r="Z144" s="307" t="n"/>
      <c r="AA144" s="307" t="n"/>
      <c r="AB144" s="307" t="n"/>
      <c r="AC144" s="307" t="n"/>
      <c r="AD144" s="307" t="n"/>
      <c r="AE144" s="307" t="n"/>
      <c r="AF144" s="307" t="n"/>
      <c r="AG144" s="307" t="n"/>
      <c r="AH144" s="307" t="n"/>
      <c r="AI144" s="307" t="n"/>
      <c r="AJ144" s="307" t="n"/>
      <c r="AK144" s="307" t="n"/>
      <c r="AL144" s="307" t="n"/>
      <c r="AM144" s="307" t="n"/>
      <c r="AN144" s="307" t="n"/>
      <c r="AO144" s="307" t="n"/>
      <c r="AP144" s="307" t="n"/>
      <c r="AQ144" s="307" t="n"/>
      <c r="AR144" s="307" t="n"/>
      <c r="AS144" s="307" t="n"/>
      <c r="AT144" s="307" t="n"/>
      <c r="AU144" s="307" t="n"/>
      <c r="AV144" s="307" t="n"/>
      <c r="AW144" s="307" t="n"/>
      <c r="AX144" s="307" t="n"/>
      <c r="AY144" s="307" t="n"/>
      <c r="AZ144" s="307" t="n"/>
      <c r="BA144" s="307" t="n"/>
      <c r="BB144" s="307" t="n"/>
      <c r="BC144" s="307" t="n"/>
      <c r="BD144" s="307" t="n"/>
      <c r="BE144" s="307" t="n"/>
      <c r="BF144" s="307" t="n"/>
      <c r="BG144" s="31" t="n"/>
      <c r="BH144" s="31" t="n"/>
      <c r="BI144" s="31" t="n"/>
      <c r="BJ144" s="31" t="n"/>
    </row>
    <row r="145" ht="15.75" customHeight="1" s="349">
      <c r="A145" s="307" t="n"/>
      <c r="B145" s="307" t="n"/>
      <c r="C145" s="307" t="n"/>
      <c r="D145" s="307" t="n"/>
      <c r="E145" s="307" t="n"/>
      <c r="F145" s="307" t="n"/>
      <c r="G145" s="307" t="n"/>
      <c r="H145" s="307" t="n"/>
      <c r="I145" s="307" t="n"/>
      <c r="J145" s="307" t="n"/>
      <c r="K145" s="307" t="n"/>
      <c r="L145" s="307" t="n"/>
      <c r="M145" s="307" t="n"/>
      <c r="N145" s="307" t="n"/>
      <c r="O145" s="307" t="n"/>
      <c r="P145" s="307" t="n"/>
      <c r="Q145" s="307" t="n"/>
      <c r="R145" s="307" t="n"/>
      <c r="S145" s="307" t="n"/>
      <c r="T145" s="307" t="n"/>
      <c r="U145" s="307" t="n"/>
      <c r="V145" s="307" t="n"/>
      <c r="W145" s="307" t="n"/>
      <c r="X145" s="307" t="n"/>
      <c r="Y145" s="307" t="n"/>
      <c r="Z145" s="307" t="n"/>
      <c r="AA145" s="307" t="n"/>
      <c r="AB145" s="307" t="n"/>
      <c r="AC145" s="307" t="n"/>
      <c r="AD145" s="307" t="n"/>
      <c r="AE145" s="307" t="n"/>
      <c r="AF145" s="307" t="n"/>
      <c r="AG145" s="307" t="n"/>
      <c r="AH145" s="307" t="n"/>
      <c r="AI145" s="307" t="n"/>
      <c r="AJ145" s="307" t="n"/>
      <c r="AK145" s="307" t="n"/>
      <c r="AL145" s="307" t="n"/>
      <c r="AM145" s="307" t="n"/>
      <c r="AN145" s="307" t="n"/>
      <c r="AO145" s="307" t="n"/>
      <c r="AP145" s="307" t="n"/>
      <c r="AQ145" s="307" t="n"/>
      <c r="AR145" s="307" t="n"/>
      <c r="AS145" s="307" t="n"/>
      <c r="AT145" s="307" t="n"/>
      <c r="AU145" s="307" t="n"/>
      <c r="AV145" s="307" t="n"/>
      <c r="AW145" s="307" t="n"/>
      <c r="AX145" s="307" t="n"/>
      <c r="AY145" s="307" t="n"/>
      <c r="AZ145" s="307" t="n"/>
      <c r="BA145" s="307" t="n"/>
      <c r="BB145" s="307" t="n"/>
      <c r="BC145" s="307" t="n"/>
      <c r="BD145" s="307" t="n"/>
      <c r="BE145" s="307" t="n"/>
      <c r="BF145" s="307" t="n"/>
      <c r="BG145" s="31" t="n"/>
      <c r="BH145" s="31" t="n"/>
      <c r="BI145" s="31" t="n"/>
      <c r="BJ145" s="31" t="n"/>
    </row>
    <row r="146" ht="15.75" customHeight="1" s="349">
      <c r="A146" s="307" t="n"/>
      <c r="B146" s="307" t="n"/>
      <c r="C146" s="307" t="n"/>
      <c r="D146" s="307" t="n"/>
      <c r="E146" s="307" t="n"/>
      <c r="F146" s="307" t="n"/>
      <c r="G146" s="307" t="n"/>
      <c r="H146" s="307" t="n"/>
      <c r="I146" s="307" t="n"/>
      <c r="J146" s="307" t="n"/>
      <c r="K146" s="307" t="n"/>
      <c r="L146" s="307" t="n"/>
      <c r="M146" s="307" t="n"/>
      <c r="N146" s="307" t="n"/>
      <c r="O146" s="307" t="n"/>
      <c r="P146" s="307" t="n"/>
      <c r="Q146" s="307" t="n"/>
      <c r="R146" s="307" t="n"/>
      <c r="S146" s="307" t="n"/>
      <c r="T146" s="307" t="n"/>
      <c r="U146" s="307" t="n"/>
      <c r="V146" s="307" t="n"/>
      <c r="W146" s="307" t="n"/>
      <c r="X146" s="307" t="n"/>
      <c r="Y146" s="307" t="n"/>
      <c r="Z146" s="307" t="n"/>
      <c r="AA146" s="307" t="n"/>
      <c r="AB146" s="307" t="n"/>
      <c r="AC146" s="307" t="n"/>
      <c r="AD146" s="307" t="n"/>
      <c r="AE146" s="307" t="n"/>
      <c r="AF146" s="307" t="n"/>
      <c r="AG146" s="307" t="n"/>
      <c r="AH146" s="307" t="n"/>
      <c r="AI146" s="307" t="n"/>
      <c r="AJ146" s="307" t="n"/>
      <c r="AK146" s="307" t="n"/>
      <c r="AL146" s="307" t="n"/>
      <c r="AM146" s="307" t="n"/>
      <c r="AN146" s="307" t="n"/>
      <c r="AO146" s="307" t="n"/>
      <c r="AP146" s="307" t="n"/>
      <c r="AQ146" s="307" t="n"/>
      <c r="AR146" s="307" t="n"/>
      <c r="AS146" s="307" t="n"/>
      <c r="AT146" s="307" t="n"/>
      <c r="AU146" s="307" t="n"/>
      <c r="AV146" s="307" t="n"/>
      <c r="AW146" s="307" t="n"/>
      <c r="AX146" s="307" t="n"/>
      <c r="AY146" s="307" t="n"/>
      <c r="AZ146" s="307" t="n"/>
      <c r="BA146" s="307" t="n"/>
      <c r="BB146" s="307" t="n"/>
      <c r="BC146" s="307" t="n"/>
      <c r="BD146" s="307" t="n"/>
      <c r="BE146" s="307" t="n"/>
      <c r="BF146" s="307" t="n"/>
      <c r="BG146" s="31" t="n"/>
      <c r="BH146" s="31" t="n"/>
      <c r="BI146" s="31" t="n"/>
      <c r="BJ146" s="31" t="n"/>
    </row>
    <row r="147" ht="15.75" customHeight="1" s="349">
      <c r="A147" s="307" t="n"/>
      <c r="B147" s="307" t="n"/>
      <c r="C147" s="307" t="n"/>
      <c r="D147" s="307" t="n"/>
      <c r="E147" s="307" t="n"/>
      <c r="F147" s="307" t="n"/>
      <c r="G147" s="307" t="n"/>
      <c r="H147" s="307" t="n"/>
      <c r="I147" s="307" t="n"/>
      <c r="J147" s="307" t="n"/>
      <c r="K147" s="307" t="n"/>
      <c r="L147" s="307" t="n"/>
      <c r="M147" s="307" t="n"/>
      <c r="N147" s="307" t="n"/>
      <c r="O147" s="307" t="n"/>
      <c r="P147" s="307" t="n"/>
      <c r="Q147" s="307" t="n"/>
      <c r="R147" s="307" t="n"/>
      <c r="S147" s="307" t="n"/>
      <c r="T147" s="307" t="n"/>
      <c r="U147" s="307" t="n"/>
      <c r="V147" s="307" t="n"/>
      <c r="W147" s="307" t="n"/>
      <c r="X147" s="307" t="n"/>
      <c r="Y147" s="307" t="n"/>
      <c r="Z147" s="307" t="n"/>
      <c r="AA147" s="307" t="n"/>
      <c r="AB147" s="307" t="n"/>
      <c r="AC147" s="307" t="n"/>
      <c r="AD147" s="307" t="n"/>
      <c r="AE147" s="307" t="n"/>
      <c r="AF147" s="307" t="n"/>
      <c r="AG147" s="307" t="n"/>
      <c r="AH147" s="307" t="n"/>
      <c r="AI147" s="307" t="n"/>
      <c r="AJ147" s="307" t="n"/>
      <c r="AK147" s="307" t="n"/>
      <c r="AL147" s="307" t="n"/>
      <c r="AM147" s="307" t="n"/>
      <c r="AN147" s="307" t="n"/>
      <c r="AO147" s="307" t="n"/>
      <c r="AP147" s="307" t="n"/>
      <c r="AQ147" s="307" t="n"/>
      <c r="AR147" s="307" t="n"/>
      <c r="AS147" s="307" t="n"/>
      <c r="AT147" s="307" t="n"/>
      <c r="AU147" s="307" t="n"/>
      <c r="AV147" s="307" t="n"/>
      <c r="AW147" s="307" t="n"/>
      <c r="AX147" s="307" t="n"/>
      <c r="AY147" s="307" t="n"/>
      <c r="AZ147" s="307" t="n"/>
      <c r="BA147" s="307" t="n"/>
      <c r="BB147" s="307" t="n"/>
      <c r="BC147" s="307" t="n"/>
      <c r="BD147" s="307" t="n"/>
      <c r="BE147" s="307" t="n"/>
      <c r="BF147" s="307" t="n"/>
      <c r="BG147" s="31" t="n"/>
      <c r="BH147" s="31" t="n"/>
      <c r="BI147" s="31" t="n"/>
      <c r="BJ147" s="31" t="n"/>
    </row>
    <row r="148" ht="15.75" customHeight="1" s="349">
      <c r="A148" s="307" t="n"/>
      <c r="B148" s="307" t="n"/>
      <c r="C148" s="307" t="n"/>
      <c r="D148" s="307" t="n"/>
      <c r="E148" s="307" t="n"/>
      <c r="F148" s="307" t="n"/>
      <c r="G148" s="307" t="n"/>
      <c r="H148" s="307" t="n"/>
      <c r="I148" s="307" t="n"/>
      <c r="J148" s="307" t="n"/>
      <c r="K148" s="307" t="n"/>
      <c r="L148" s="307" t="n"/>
      <c r="M148" s="307" t="n"/>
      <c r="N148" s="307" t="n"/>
      <c r="O148" s="307" t="n"/>
      <c r="P148" s="307" t="n"/>
      <c r="Q148" s="307" t="n"/>
      <c r="R148" s="307" t="n"/>
      <c r="S148" s="307" t="n"/>
      <c r="T148" s="307" t="n"/>
      <c r="U148" s="307" t="n"/>
      <c r="V148" s="307" t="n"/>
      <c r="W148" s="307" t="n"/>
      <c r="X148" s="307" t="n"/>
      <c r="Y148" s="307" t="n"/>
      <c r="Z148" s="307" t="n"/>
      <c r="AA148" s="307" t="n"/>
      <c r="AB148" s="307" t="n"/>
      <c r="AC148" s="307" t="n"/>
      <c r="AD148" s="307" t="n"/>
      <c r="AE148" s="307" t="n"/>
      <c r="AF148" s="307" t="n"/>
      <c r="AG148" s="307" t="n"/>
      <c r="AH148" s="307" t="n"/>
      <c r="AI148" s="307" t="n"/>
      <c r="AJ148" s="307" t="n"/>
      <c r="AK148" s="307" t="n"/>
      <c r="AL148" s="307" t="n"/>
      <c r="AM148" s="307" t="n"/>
      <c r="AN148" s="307" t="n"/>
      <c r="AO148" s="307" t="n"/>
      <c r="AP148" s="307" t="n"/>
      <c r="AQ148" s="307" t="n"/>
      <c r="AR148" s="307" t="n"/>
      <c r="AS148" s="307" t="n"/>
      <c r="AT148" s="307" t="n"/>
      <c r="AU148" s="307" t="n"/>
      <c r="AV148" s="307" t="n"/>
      <c r="AW148" s="307" t="n"/>
      <c r="AX148" s="307" t="n"/>
      <c r="AY148" s="307" t="n"/>
      <c r="AZ148" s="307" t="n"/>
      <c r="BA148" s="307" t="n"/>
      <c r="BB148" s="307" t="n"/>
      <c r="BC148" s="307" t="n"/>
      <c r="BD148" s="307" t="n"/>
      <c r="BE148" s="307" t="n"/>
      <c r="BF148" s="307" t="n"/>
      <c r="BG148" s="31" t="n"/>
      <c r="BH148" s="31" t="n"/>
      <c r="BI148" s="31" t="n"/>
      <c r="BJ148" s="31" t="n"/>
    </row>
    <row r="149" ht="15.75" customHeight="1" s="349">
      <c r="A149" s="307" t="n"/>
      <c r="B149" s="307" t="n"/>
      <c r="C149" s="307" t="n"/>
      <c r="D149" s="307" t="n"/>
      <c r="E149" s="307" t="n"/>
      <c r="F149" s="307" t="n"/>
      <c r="G149" s="307" t="n"/>
      <c r="H149" s="307" t="n"/>
      <c r="I149" s="307" t="n"/>
      <c r="J149" s="307" t="n"/>
      <c r="K149" s="307" t="n"/>
      <c r="L149" s="307" t="n"/>
      <c r="M149" s="307" t="n"/>
      <c r="N149" s="307" t="n"/>
      <c r="O149" s="307" t="n"/>
      <c r="P149" s="307" t="n"/>
      <c r="Q149" s="307" t="n"/>
      <c r="R149" s="307" t="n"/>
      <c r="S149" s="307" t="n"/>
      <c r="T149" s="307" t="n"/>
      <c r="U149" s="307" t="n"/>
      <c r="V149" s="307" t="n"/>
      <c r="W149" s="307" t="n"/>
      <c r="X149" s="307" t="n"/>
      <c r="Y149" s="307" t="n"/>
      <c r="Z149" s="307" t="n"/>
      <c r="AA149" s="307" t="n"/>
      <c r="AB149" s="307" t="n"/>
      <c r="AC149" s="307" t="n"/>
      <c r="AD149" s="307" t="n"/>
      <c r="AE149" s="307" t="n"/>
      <c r="AF149" s="307" t="n"/>
      <c r="AG149" s="307" t="n"/>
      <c r="AH149" s="307" t="n"/>
      <c r="AI149" s="307" t="n"/>
      <c r="AJ149" s="307" t="n"/>
      <c r="AK149" s="307" t="n"/>
      <c r="AL149" s="307" t="n"/>
      <c r="AM149" s="307" t="n"/>
      <c r="AN149" s="307" t="n"/>
      <c r="AO149" s="307" t="n"/>
      <c r="AP149" s="307" t="n"/>
      <c r="AQ149" s="307" t="n"/>
      <c r="AR149" s="307" t="n"/>
      <c r="AS149" s="307" t="n"/>
      <c r="AT149" s="307" t="n"/>
      <c r="AU149" s="307" t="n"/>
      <c r="AV149" s="307" t="n"/>
      <c r="AW149" s="307" t="n"/>
      <c r="AX149" s="307" t="n"/>
      <c r="AY149" s="307" t="n"/>
      <c r="AZ149" s="307" t="n"/>
      <c r="BA149" s="307" t="n"/>
      <c r="BB149" s="307" t="n"/>
      <c r="BC149" s="307" t="n"/>
      <c r="BD149" s="307" t="n"/>
      <c r="BE149" s="307" t="n"/>
      <c r="BF149" s="307" t="n"/>
      <c r="BG149" s="31" t="n"/>
      <c r="BH149" s="31" t="n"/>
      <c r="BI149" s="31" t="n"/>
      <c r="BJ149" s="31" t="n"/>
    </row>
    <row r="150" ht="15.75" customHeight="1" s="349">
      <c r="A150" s="307" t="n"/>
      <c r="B150" s="307" t="n"/>
      <c r="C150" s="307" t="n"/>
      <c r="D150" s="307" t="n"/>
      <c r="E150" s="307" t="n"/>
      <c r="F150" s="307" t="n"/>
      <c r="G150" s="307" t="n"/>
      <c r="H150" s="307" t="n"/>
      <c r="I150" s="307" t="n"/>
      <c r="J150" s="307" t="n"/>
      <c r="K150" s="307" t="n"/>
      <c r="L150" s="307" t="n"/>
      <c r="M150" s="307" t="n"/>
      <c r="N150" s="307" t="n"/>
      <c r="O150" s="307" t="n"/>
      <c r="P150" s="307" t="n"/>
      <c r="Q150" s="307" t="n"/>
      <c r="R150" s="307" t="n"/>
      <c r="S150" s="307" t="n"/>
      <c r="T150" s="307" t="n"/>
      <c r="U150" s="307" t="n"/>
      <c r="V150" s="307" t="n"/>
      <c r="W150" s="307" t="n"/>
      <c r="X150" s="307" t="n"/>
      <c r="Y150" s="307" t="n"/>
      <c r="Z150" s="307" t="n"/>
      <c r="AA150" s="307" t="n"/>
      <c r="AB150" s="307" t="n"/>
      <c r="AC150" s="307" t="n"/>
      <c r="AD150" s="307" t="n"/>
      <c r="AE150" s="307" t="n"/>
      <c r="AF150" s="307" t="n"/>
      <c r="AG150" s="307" t="n"/>
      <c r="AH150" s="307" t="n"/>
      <c r="AI150" s="307" t="n"/>
      <c r="AJ150" s="307" t="n"/>
      <c r="AK150" s="307" t="n"/>
      <c r="AL150" s="307" t="n"/>
      <c r="AM150" s="307" t="n"/>
      <c r="AN150" s="307" t="n"/>
      <c r="AO150" s="307" t="n"/>
      <c r="AP150" s="307" t="n"/>
      <c r="AQ150" s="307" t="n"/>
      <c r="AR150" s="307" t="n"/>
      <c r="AS150" s="307" t="n"/>
      <c r="AT150" s="307" t="n"/>
      <c r="AU150" s="307" t="n"/>
      <c r="AV150" s="307" t="n"/>
      <c r="AW150" s="307" t="n"/>
      <c r="AX150" s="307" t="n"/>
      <c r="AY150" s="307" t="n"/>
      <c r="AZ150" s="307" t="n"/>
      <c r="BA150" s="307" t="n"/>
      <c r="BB150" s="307" t="n"/>
      <c r="BC150" s="307" t="n"/>
      <c r="BD150" s="307" t="n"/>
      <c r="BE150" s="307" t="n"/>
      <c r="BF150" s="307" t="n"/>
      <c r="BG150" s="31" t="n"/>
      <c r="BH150" s="31" t="n"/>
      <c r="BI150" s="31" t="n"/>
      <c r="BJ150" s="31" t="n"/>
    </row>
    <row r="151" ht="15.75" customHeight="1" s="349">
      <c r="A151" s="307" t="n"/>
      <c r="B151" s="307" t="n"/>
      <c r="C151" s="307" t="n"/>
      <c r="D151" s="307" t="n"/>
      <c r="E151" s="307" t="n"/>
      <c r="F151" s="307" t="n"/>
      <c r="G151" s="307" t="n"/>
      <c r="H151" s="307" t="n"/>
      <c r="I151" s="307" t="n"/>
      <c r="J151" s="307" t="n"/>
      <c r="K151" s="307" t="n"/>
      <c r="L151" s="307" t="n"/>
      <c r="M151" s="307" t="n"/>
      <c r="N151" s="307" t="n"/>
      <c r="O151" s="307" t="n"/>
      <c r="P151" s="307" t="n"/>
      <c r="Q151" s="307" t="n"/>
      <c r="R151" s="307" t="n"/>
      <c r="S151" s="307" t="n"/>
      <c r="T151" s="307" t="n"/>
      <c r="U151" s="307" t="n"/>
      <c r="V151" s="307" t="n"/>
      <c r="W151" s="307" t="n"/>
      <c r="X151" s="307" t="n"/>
      <c r="Y151" s="307" t="n"/>
      <c r="Z151" s="307" t="n"/>
      <c r="AA151" s="307" t="n"/>
      <c r="AB151" s="307" t="n"/>
      <c r="AC151" s="307" t="n"/>
      <c r="AD151" s="307" t="n"/>
      <c r="AE151" s="307" t="n"/>
      <c r="AF151" s="307" t="n"/>
      <c r="AG151" s="307" t="n"/>
      <c r="AH151" s="307" t="n"/>
      <c r="AI151" s="307" t="n"/>
      <c r="AJ151" s="307" t="n"/>
      <c r="AK151" s="307" t="n"/>
      <c r="AL151" s="307" t="n"/>
      <c r="AM151" s="307" t="n"/>
      <c r="AN151" s="307" t="n"/>
      <c r="AO151" s="307" t="n"/>
      <c r="AP151" s="307" t="n"/>
      <c r="AQ151" s="307" t="n"/>
      <c r="AR151" s="307" t="n"/>
      <c r="AS151" s="307" t="n"/>
      <c r="AT151" s="307" t="n"/>
      <c r="AU151" s="307" t="n"/>
      <c r="AV151" s="307" t="n"/>
      <c r="AW151" s="307" t="n"/>
      <c r="AX151" s="307" t="n"/>
      <c r="AY151" s="307" t="n"/>
      <c r="AZ151" s="307" t="n"/>
      <c r="BA151" s="307" t="n"/>
      <c r="BB151" s="307" t="n"/>
      <c r="BC151" s="307" t="n"/>
      <c r="BD151" s="307" t="n"/>
      <c r="BE151" s="307" t="n"/>
      <c r="BF151" s="307" t="n"/>
      <c r="BG151" s="31" t="n"/>
      <c r="BH151" s="31" t="n"/>
      <c r="BI151" s="31" t="n"/>
      <c r="BJ151" s="31" t="n"/>
    </row>
    <row r="152" ht="15.75" customHeight="1" s="349">
      <c r="A152" s="307" t="n"/>
      <c r="B152" s="307" t="n"/>
      <c r="C152" s="307" t="n"/>
      <c r="D152" s="307" t="n"/>
      <c r="E152" s="307" t="n"/>
      <c r="F152" s="307" t="n"/>
      <c r="G152" s="307" t="n"/>
      <c r="H152" s="307" t="n"/>
      <c r="I152" s="307" t="n"/>
      <c r="J152" s="307" t="n"/>
      <c r="K152" s="307" t="n"/>
      <c r="L152" s="307" t="n"/>
      <c r="M152" s="307" t="n"/>
      <c r="N152" s="307" t="n"/>
      <c r="O152" s="307" t="n"/>
      <c r="P152" s="307" t="n"/>
      <c r="Q152" s="307" t="n"/>
      <c r="R152" s="307" t="n"/>
      <c r="S152" s="307" t="n"/>
      <c r="T152" s="307" t="n"/>
      <c r="U152" s="307" t="n"/>
      <c r="V152" s="307" t="n"/>
      <c r="W152" s="307" t="n"/>
      <c r="X152" s="307" t="n"/>
      <c r="Y152" s="307" t="n"/>
      <c r="Z152" s="307" t="n"/>
      <c r="AA152" s="307" t="n"/>
      <c r="AB152" s="307" t="n"/>
      <c r="AC152" s="307" t="n"/>
      <c r="AD152" s="307" t="n"/>
      <c r="AE152" s="307" t="n"/>
      <c r="AF152" s="307" t="n"/>
      <c r="AG152" s="307" t="n"/>
      <c r="AH152" s="307" t="n"/>
      <c r="AI152" s="307" t="n"/>
      <c r="AJ152" s="307" t="n"/>
      <c r="AK152" s="307" t="n"/>
      <c r="AL152" s="307" t="n"/>
      <c r="AM152" s="307" t="n"/>
      <c r="AN152" s="307" t="n"/>
      <c r="AO152" s="307" t="n"/>
      <c r="AP152" s="307" t="n"/>
      <c r="AQ152" s="307" t="n"/>
      <c r="AR152" s="307" t="n"/>
      <c r="AS152" s="307" t="n"/>
      <c r="AT152" s="307" t="n"/>
      <c r="AU152" s="307" t="n"/>
      <c r="AV152" s="307" t="n"/>
      <c r="AW152" s="307" t="n"/>
      <c r="AX152" s="307" t="n"/>
      <c r="AY152" s="307" t="n"/>
      <c r="AZ152" s="307" t="n"/>
      <c r="BA152" s="307" t="n"/>
      <c r="BB152" s="307" t="n"/>
      <c r="BC152" s="307" t="n"/>
      <c r="BD152" s="307" t="n"/>
      <c r="BE152" s="307" t="n"/>
      <c r="BF152" s="307" t="n"/>
      <c r="BG152" s="31" t="n"/>
      <c r="BH152" s="31" t="n"/>
      <c r="BI152" s="31" t="n"/>
      <c r="BJ152" s="31" t="n"/>
    </row>
    <row r="153" ht="15.75" customHeight="1" s="349">
      <c r="A153" s="307" t="n"/>
      <c r="B153" s="307" t="n"/>
      <c r="C153" s="307" t="n"/>
      <c r="D153" s="307" t="n"/>
      <c r="E153" s="307" t="n"/>
      <c r="F153" s="307" t="n"/>
      <c r="G153" s="307" t="n"/>
      <c r="H153" s="307" t="n"/>
      <c r="I153" s="307" t="n"/>
      <c r="J153" s="307" t="n"/>
      <c r="K153" s="307" t="n"/>
      <c r="L153" s="307" t="n"/>
      <c r="M153" s="307" t="n"/>
      <c r="N153" s="307" t="n"/>
      <c r="O153" s="307" t="n"/>
      <c r="P153" s="307" t="n"/>
      <c r="Q153" s="307" t="n"/>
      <c r="R153" s="307" t="n"/>
      <c r="S153" s="307" t="n"/>
      <c r="T153" s="307" t="n"/>
      <c r="U153" s="307" t="n"/>
      <c r="V153" s="307" t="n"/>
      <c r="W153" s="307" t="n"/>
      <c r="X153" s="307" t="n"/>
      <c r="Y153" s="307" t="n"/>
      <c r="Z153" s="307" t="n"/>
      <c r="AA153" s="307" t="n"/>
      <c r="AB153" s="307" t="n"/>
      <c r="AC153" s="307" t="n"/>
      <c r="AD153" s="307" t="n"/>
      <c r="AE153" s="307" t="n"/>
      <c r="AF153" s="307" t="n"/>
      <c r="AG153" s="307" t="n"/>
      <c r="AH153" s="307" t="n"/>
      <c r="AI153" s="307" t="n"/>
      <c r="AJ153" s="307" t="n"/>
      <c r="AK153" s="307" t="n"/>
      <c r="AL153" s="307" t="n"/>
      <c r="AM153" s="307" t="n"/>
      <c r="AN153" s="307" t="n"/>
      <c r="AO153" s="307" t="n"/>
      <c r="AP153" s="307" t="n"/>
      <c r="AQ153" s="307" t="n"/>
      <c r="AR153" s="307" t="n"/>
      <c r="AS153" s="307" t="n"/>
      <c r="AT153" s="307" t="n"/>
      <c r="AU153" s="307" t="n"/>
      <c r="AV153" s="307" t="n"/>
      <c r="AW153" s="307" t="n"/>
      <c r="AX153" s="307" t="n"/>
      <c r="AY153" s="307" t="n"/>
      <c r="AZ153" s="307" t="n"/>
      <c r="BA153" s="307" t="n"/>
      <c r="BB153" s="307" t="n"/>
      <c r="BC153" s="307" t="n"/>
      <c r="BD153" s="307" t="n"/>
      <c r="BE153" s="307" t="n"/>
      <c r="BF153" s="307" t="n"/>
      <c r="BG153" s="31" t="n"/>
      <c r="BH153" s="31" t="n"/>
      <c r="BI153" s="31" t="n"/>
      <c r="BJ153" s="31" t="n"/>
    </row>
    <row r="154" ht="15.75" customHeight="1" s="349">
      <c r="A154" s="307" t="n"/>
      <c r="B154" s="307" t="n"/>
      <c r="C154" s="307" t="n"/>
      <c r="D154" s="307" t="n"/>
      <c r="E154" s="307" t="n"/>
      <c r="F154" s="307" t="n"/>
      <c r="G154" s="307" t="n"/>
      <c r="H154" s="307" t="n"/>
      <c r="I154" s="307" t="n"/>
      <c r="J154" s="307" t="n"/>
      <c r="K154" s="307" t="n"/>
      <c r="L154" s="307" t="n"/>
      <c r="M154" s="307" t="n"/>
      <c r="N154" s="307" t="n"/>
      <c r="O154" s="307" t="n"/>
      <c r="P154" s="307" t="n"/>
      <c r="Q154" s="307" t="n"/>
      <c r="R154" s="307" t="n"/>
      <c r="S154" s="307" t="n"/>
      <c r="T154" s="307" t="n"/>
      <c r="U154" s="307" t="n"/>
      <c r="V154" s="307" t="n"/>
      <c r="W154" s="307" t="n"/>
      <c r="X154" s="307" t="n"/>
      <c r="Y154" s="307" t="n"/>
      <c r="Z154" s="307" t="n"/>
      <c r="AA154" s="307" t="n"/>
      <c r="AB154" s="307" t="n"/>
      <c r="AC154" s="307" t="n"/>
      <c r="AD154" s="307" t="n"/>
      <c r="AE154" s="307" t="n"/>
      <c r="AF154" s="307" t="n"/>
      <c r="AG154" s="307" t="n"/>
      <c r="AH154" s="307" t="n"/>
      <c r="AI154" s="307" t="n"/>
      <c r="AJ154" s="307" t="n"/>
      <c r="AK154" s="307" t="n"/>
      <c r="AL154" s="307" t="n"/>
      <c r="AM154" s="307" t="n"/>
      <c r="AN154" s="307" t="n"/>
      <c r="AO154" s="307" t="n"/>
      <c r="AP154" s="307" t="n"/>
      <c r="AQ154" s="307" t="n"/>
      <c r="AR154" s="307" t="n"/>
      <c r="AS154" s="307" t="n"/>
      <c r="AT154" s="307" t="n"/>
      <c r="AU154" s="307" t="n"/>
      <c r="AV154" s="307" t="n"/>
      <c r="AW154" s="307" t="n"/>
      <c r="AX154" s="307" t="n"/>
      <c r="AY154" s="307" t="n"/>
      <c r="AZ154" s="307" t="n"/>
      <c r="BA154" s="307" t="n"/>
      <c r="BB154" s="307" t="n"/>
      <c r="BC154" s="307" t="n"/>
      <c r="BD154" s="307" t="n"/>
      <c r="BE154" s="307" t="n"/>
      <c r="BF154" s="307" t="n"/>
      <c r="BG154" s="31" t="n"/>
      <c r="BH154" s="31" t="n"/>
      <c r="BI154" s="31" t="n"/>
      <c r="BJ154" s="31" t="n"/>
    </row>
    <row r="155" ht="15.75" customHeight="1" s="349">
      <c r="A155" s="307" t="n"/>
      <c r="B155" s="307" t="n"/>
      <c r="C155" s="307" t="n"/>
      <c r="D155" s="307" t="n"/>
      <c r="E155" s="307" t="n"/>
      <c r="F155" s="307" t="n"/>
      <c r="G155" s="307" t="n"/>
      <c r="H155" s="307" t="n"/>
      <c r="I155" s="307" t="n"/>
      <c r="J155" s="307" t="n"/>
      <c r="K155" s="307" t="n"/>
      <c r="L155" s="307" t="n"/>
      <c r="M155" s="307" t="n"/>
      <c r="N155" s="307" t="n"/>
      <c r="O155" s="307" t="n"/>
      <c r="P155" s="307" t="n"/>
      <c r="Q155" s="307" t="n"/>
      <c r="R155" s="307" t="n"/>
      <c r="S155" s="307" t="n"/>
      <c r="T155" s="307" t="n"/>
      <c r="U155" s="307" t="n"/>
      <c r="V155" s="307" t="n"/>
      <c r="W155" s="307" t="n"/>
      <c r="X155" s="307" t="n"/>
      <c r="Y155" s="307" t="n"/>
      <c r="Z155" s="307" t="n"/>
      <c r="AA155" s="307" t="n"/>
      <c r="AB155" s="307" t="n"/>
      <c r="AC155" s="307" t="n"/>
      <c r="AD155" s="307" t="n"/>
      <c r="AE155" s="307" t="n"/>
      <c r="AF155" s="307" t="n"/>
      <c r="AG155" s="307" t="n"/>
      <c r="AH155" s="307" t="n"/>
      <c r="AI155" s="307" t="n"/>
      <c r="AJ155" s="307" t="n"/>
      <c r="AK155" s="307" t="n"/>
      <c r="AL155" s="307" t="n"/>
      <c r="AM155" s="307" t="n"/>
      <c r="AN155" s="307" t="n"/>
      <c r="AO155" s="307" t="n"/>
      <c r="AP155" s="307" t="n"/>
      <c r="AQ155" s="307" t="n"/>
      <c r="AR155" s="307" t="n"/>
      <c r="AS155" s="307" t="n"/>
      <c r="AT155" s="307" t="n"/>
      <c r="AU155" s="307" t="n"/>
      <c r="AV155" s="307" t="n"/>
      <c r="AW155" s="307" t="n"/>
      <c r="AX155" s="307" t="n"/>
      <c r="AY155" s="307" t="n"/>
      <c r="AZ155" s="307" t="n"/>
      <c r="BA155" s="307" t="n"/>
      <c r="BB155" s="307" t="n"/>
      <c r="BC155" s="307" t="n"/>
      <c r="BD155" s="307" t="n"/>
      <c r="BE155" s="307" t="n"/>
      <c r="BF155" s="307" t="n"/>
      <c r="BG155" s="31" t="n"/>
      <c r="BH155" s="31" t="n"/>
      <c r="BI155" s="31" t="n"/>
      <c r="BJ155" s="31" t="n"/>
    </row>
    <row r="156" ht="15.75" customHeight="1" s="349">
      <c r="A156" s="307" t="n"/>
      <c r="B156" s="307" t="n"/>
      <c r="C156" s="307" t="n"/>
      <c r="D156" s="307" t="n"/>
      <c r="E156" s="307" t="n"/>
      <c r="F156" s="307" t="n"/>
      <c r="G156" s="307" t="n"/>
      <c r="H156" s="307" t="n"/>
      <c r="I156" s="307" t="n"/>
      <c r="J156" s="307" t="n"/>
      <c r="K156" s="307" t="n"/>
      <c r="L156" s="307" t="n"/>
      <c r="M156" s="307" t="n"/>
      <c r="N156" s="307" t="n"/>
      <c r="O156" s="307" t="n"/>
      <c r="P156" s="307" t="n"/>
      <c r="Q156" s="307" t="n"/>
      <c r="R156" s="307" t="n"/>
      <c r="S156" s="307" t="n"/>
      <c r="T156" s="307" t="n"/>
      <c r="U156" s="307" t="n"/>
      <c r="V156" s="307" t="n"/>
      <c r="W156" s="307" t="n"/>
      <c r="X156" s="307" t="n"/>
      <c r="Y156" s="307" t="n"/>
      <c r="Z156" s="307" t="n"/>
      <c r="AA156" s="307" t="n"/>
      <c r="AB156" s="307" t="n"/>
      <c r="AC156" s="307" t="n"/>
      <c r="AD156" s="307" t="n"/>
      <c r="AE156" s="307" t="n"/>
      <c r="AF156" s="307" t="n"/>
      <c r="AG156" s="307" t="n"/>
      <c r="AH156" s="307" t="n"/>
      <c r="AI156" s="307" t="n"/>
      <c r="AJ156" s="307" t="n"/>
      <c r="AK156" s="307" t="n"/>
      <c r="AL156" s="307" t="n"/>
      <c r="AM156" s="307" t="n"/>
      <c r="AN156" s="307" t="n"/>
      <c r="AO156" s="307" t="n"/>
      <c r="AP156" s="307" t="n"/>
      <c r="AQ156" s="307" t="n"/>
      <c r="AR156" s="307" t="n"/>
      <c r="AS156" s="307" t="n"/>
      <c r="AT156" s="307" t="n"/>
      <c r="AU156" s="307" t="n"/>
      <c r="AV156" s="307" t="n"/>
      <c r="AW156" s="307" t="n"/>
      <c r="AX156" s="307" t="n"/>
      <c r="AY156" s="307" t="n"/>
      <c r="AZ156" s="307" t="n"/>
      <c r="BA156" s="307" t="n"/>
      <c r="BB156" s="307" t="n"/>
      <c r="BC156" s="307" t="n"/>
      <c r="BD156" s="307" t="n"/>
      <c r="BE156" s="307" t="n"/>
      <c r="BF156" s="307" t="n"/>
      <c r="BG156" s="31" t="n"/>
      <c r="BH156" s="31" t="n"/>
      <c r="BI156" s="31" t="n"/>
      <c r="BJ156" s="31" t="n"/>
    </row>
    <row r="157" ht="15.75" customHeight="1" s="349">
      <c r="A157" s="307" t="n"/>
      <c r="B157" s="307" t="n"/>
      <c r="C157" s="307" t="n"/>
      <c r="D157" s="307" t="n"/>
      <c r="E157" s="307" t="n"/>
      <c r="F157" s="307" t="n"/>
      <c r="G157" s="307" t="n"/>
      <c r="H157" s="307" t="n"/>
      <c r="I157" s="307" t="n"/>
      <c r="J157" s="307" t="n"/>
      <c r="K157" s="307" t="n"/>
      <c r="L157" s="307" t="n"/>
      <c r="M157" s="307" t="n"/>
      <c r="N157" s="307" t="n"/>
      <c r="O157" s="307" t="n"/>
      <c r="P157" s="307" t="n"/>
      <c r="Q157" s="307" t="n"/>
      <c r="R157" s="307" t="n"/>
      <c r="S157" s="307" t="n"/>
      <c r="T157" s="307" t="n"/>
      <c r="U157" s="307" t="n"/>
      <c r="V157" s="307" t="n"/>
      <c r="W157" s="307" t="n"/>
      <c r="X157" s="307" t="n"/>
      <c r="Y157" s="307" t="n"/>
      <c r="Z157" s="307" t="n"/>
      <c r="AA157" s="307" t="n"/>
      <c r="AB157" s="307" t="n"/>
      <c r="AC157" s="307" t="n"/>
      <c r="AD157" s="307" t="n"/>
      <c r="AE157" s="307" t="n"/>
      <c r="AF157" s="307" t="n"/>
      <c r="AG157" s="307" t="n"/>
      <c r="AH157" s="307" t="n"/>
      <c r="AI157" s="307" t="n"/>
      <c r="AJ157" s="307" t="n"/>
      <c r="AK157" s="307" t="n"/>
      <c r="AL157" s="307" t="n"/>
      <c r="AM157" s="307" t="n"/>
      <c r="AN157" s="307" t="n"/>
      <c r="AO157" s="307" t="n"/>
      <c r="AP157" s="307" t="n"/>
      <c r="AQ157" s="307" t="n"/>
      <c r="AR157" s="307" t="n"/>
      <c r="AS157" s="307" t="n"/>
      <c r="AT157" s="307" t="n"/>
      <c r="AU157" s="307" t="n"/>
      <c r="AV157" s="307" t="n"/>
      <c r="AW157" s="307" t="n"/>
      <c r="AX157" s="307" t="n"/>
      <c r="AY157" s="307" t="n"/>
      <c r="AZ157" s="307" t="n"/>
      <c r="BA157" s="307" t="n"/>
      <c r="BB157" s="307" t="n"/>
      <c r="BC157" s="307" t="n"/>
      <c r="BD157" s="307" t="n"/>
      <c r="BE157" s="307" t="n"/>
      <c r="BF157" s="307" t="n"/>
      <c r="BG157" s="31" t="n"/>
      <c r="BH157" s="31" t="n"/>
      <c r="BI157" s="31" t="n"/>
      <c r="BJ157" s="31" t="n"/>
    </row>
    <row r="158" ht="15.75" customHeight="1" s="349">
      <c r="A158" s="307" t="n"/>
      <c r="B158" s="307" t="n"/>
      <c r="C158" s="307" t="n"/>
      <c r="D158" s="307" t="n"/>
      <c r="E158" s="307" t="n"/>
      <c r="F158" s="307" t="n"/>
      <c r="G158" s="307" t="n"/>
      <c r="H158" s="307" t="n"/>
      <c r="I158" s="307" t="n"/>
      <c r="J158" s="307" t="n"/>
      <c r="K158" s="307" t="n"/>
      <c r="L158" s="307" t="n"/>
      <c r="M158" s="307" t="n"/>
      <c r="N158" s="307" t="n"/>
      <c r="O158" s="307" t="n"/>
      <c r="P158" s="307" t="n"/>
      <c r="Q158" s="307" t="n"/>
      <c r="R158" s="307" t="n"/>
      <c r="S158" s="307" t="n"/>
      <c r="T158" s="307" t="n"/>
      <c r="U158" s="307" t="n"/>
      <c r="V158" s="307" t="n"/>
      <c r="W158" s="307" t="n"/>
      <c r="X158" s="307" t="n"/>
      <c r="Y158" s="307" t="n"/>
      <c r="Z158" s="307" t="n"/>
      <c r="AA158" s="307" t="n"/>
      <c r="AB158" s="307" t="n"/>
      <c r="AC158" s="307" t="n"/>
      <c r="AD158" s="307" t="n"/>
      <c r="AE158" s="307" t="n"/>
      <c r="AF158" s="307" t="n"/>
      <c r="AG158" s="307" t="n"/>
      <c r="AH158" s="307" t="n"/>
      <c r="AI158" s="307" t="n"/>
      <c r="AJ158" s="307" t="n"/>
      <c r="AK158" s="307" t="n"/>
      <c r="AL158" s="307" t="n"/>
      <c r="AM158" s="307" t="n"/>
      <c r="AN158" s="307" t="n"/>
      <c r="AO158" s="307" t="n"/>
      <c r="AP158" s="307" t="n"/>
      <c r="AQ158" s="307" t="n"/>
      <c r="AR158" s="307" t="n"/>
      <c r="AS158" s="307" t="n"/>
      <c r="AT158" s="307" t="n"/>
      <c r="AU158" s="307" t="n"/>
      <c r="AV158" s="307" t="n"/>
      <c r="AW158" s="307" t="n"/>
      <c r="AX158" s="307" t="n"/>
      <c r="AY158" s="307" t="n"/>
      <c r="AZ158" s="307" t="n"/>
      <c r="BA158" s="307" t="n"/>
      <c r="BB158" s="307" t="n"/>
      <c r="BC158" s="307" t="n"/>
      <c r="BD158" s="307" t="n"/>
      <c r="BE158" s="307" t="n"/>
      <c r="BF158" s="307" t="n"/>
      <c r="BG158" s="31" t="n"/>
      <c r="BH158" s="31" t="n"/>
      <c r="BI158" s="31" t="n"/>
      <c r="BJ158" s="31" t="n"/>
    </row>
    <row r="159" ht="15.75" customHeight="1" s="349">
      <c r="A159" s="307" t="n"/>
      <c r="B159" s="307" t="n"/>
      <c r="C159" s="307" t="n"/>
      <c r="D159" s="307" t="n"/>
      <c r="E159" s="307" t="n"/>
      <c r="F159" s="307" t="n"/>
      <c r="G159" s="307" t="n"/>
      <c r="H159" s="307" t="n"/>
      <c r="I159" s="307" t="n"/>
      <c r="J159" s="307" t="n"/>
      <c r="K159" s="307" t="n"/>
      <c r="L159" s="307" t="n"/>
      <c r="M159" s="307" t="n"/>
      <c r="N159" s="307" t="n"/>
      <c r="O159" s="307" t="n"/>
      <c r="P159" s="307" t="n"/>
      <c r="Q159" s="307" t="n"/>
      <c r="R159" s="307" t="n"/>
      <c r="S159" s="307" t="n"/>
      <c r="T159" s="307" t="n"/>
      <c r="U159" s="307" t="n"/>
      <c r="V159" s="307" t="n"/>
      <c r="W159" s="307" t="n"/>
      <c r="X159" s="307" t="n"/>
      <c r="Y159" s="307" t="n"/>
      <c r="Z159" s="307" t="n"/>
      <c r="AA159" s="307" t="n"/>
      <c r="AB159" s="307" t="n"/>
      <c r="AC159" s="307" t="n"/>
      <c r="AD159" s="307" t="n"/>
      <c r="AE159" s="307" t="n"/>
      <c r="AF159" s="307" t="n"/>
      <c r="AG159" s="307" t="n"/>
      <c r="AH159" s="307" t="n"/>
      <c r="AI159" s="307" t="n"/>
      <c r="AJ159" s="307" t="n"/>
      <c r="AK159" s="307" t="n"/>
      <c r="AL159" s="307" t="n"/>
      <c r="AM159" s="307" t="n"/>
      <c r="AN159" s="307" t="n"/>
      <c r="AO159" s="307" t="n"/>
      <c r="AP159" s="307" t="n"/>
      <c r="AQ159" s="307" t="n"/>
      <c r="AR159" s="307" t="n"/>
      <c r="AS159" s="307" t="n"/>
      <c r="AT159" s="307" t="n"/>
      <c r="AU159" s="307" t="n"/>
      <c r="AV159" s="307" t="n"/>
      <c r="AW159" s="307" t="n"/>
      <c r="AX159" s="307" t="n"/>
      <c r="AY159" s="307" t="n"/>
      <c r="AZ159" s="307" t="n"/>
      <c r="BA159" s="307" t="n"/>
      <c r="BB159" s="307" t="n"/>
      <c r="BC159" s="307" t="n"/>
      <c r="BD159" s="307" t="n"/>
      <c r="BE159" s="307" t="n"/>
      <c r="BF159" s="307" t="n"/>
      <c r="BG159" s="31" t="n"/>
      <c r="BH159" s="31" t="n"/>
      <c r="BI159" s="31" t="n"/>
      <c r="BJ159" s="31" t="n"/>
    </row>
    <row r="160" ht="15.75" customHeight="1" s="349">
      <c r="A160" s="307" t="n"/>
      <c r="B160" s="307" t="n"/>
      <c r="C160" s="307" t="n"/>
      <c r="D160" s="307" t="n"/>
      <c r="E160" s="307" t="n"/>
      <c r="F160" s="307" t="n"/>
      <c r="G160" s="307" t="n"/>
      <c r="H160" s="307" t="n"/>
      <c r="I160" s="307" t="n"/>
      <c r="J160" s="307" t="n"/>
      <c r="K160" s="307" t="n"/>
      <c r="L160" s="307" t="n"/>
      <c r="M160" s="307" t="n"/>
      <c r="N160" s="307" t="n"/>
      <c r="O160" s="307" t="n"/>
      <c r="P160" s="307" t="n"/>
      <c r="Q160" s="307" t="n"/>
      <c r="R160" s="307" t="n"/>
      <c r="S160" s="307" t="n"/>
      <c r="T160" s="307" t="n"/>
      <c r="U160" s="307" t="n"/>
      <c r="V160" s="307" t="n"/>
      <c r="W160" s="307" t="n"/>
      <c r="X160" s="307" t="n"/>
      <c r="Y160" s="307" t="n"/>
      <c r="Z160" s="307" t="n"/>
      <c r="AA160" s="307" t="n"/>
      <c r="AB160" s="307" t="n"/>
      <c r="AC160" s="307" t="n"/>
      <c r="AD160" s="307" t="n"/>
      <c r="AE160" s="307" t="n"/>
      <c r="AF160" s="307" t="n"/>
      <c r="AG160" s="307" t="n"/>
      <c r="AH160" s="307" t="n"/>
      <c r="AI160" s="307" t="n"/>
      <c r="AJ160" s="307" t="n"/>
      <c r="AK160" s="307" t="n"/>
      <c r="AL160" s="307" t="n"/>
      <c r="AM160" s="307" t="n"/>
      <c r="AN160" s="307" t="n"/>
      <c r="AO160" s="307" t="n"/>
      <c r="AP160" s="307" t="n"/>
      <c r="AQ160" s="307" t="n"/>
      <c r="AR160" s="307" t="n"/>
      <c r="AS160" s="307" t="n"/>
      <c r="AT160" s="307" t="n"/>
      <c r="AU160" s="307" t="n"/>
      <c r="AV160" s="307" t="n"/>
      <c r="AW160" s="307" t="n"/>
      <c r="AX160" s="307" t="n"/>
      <c r="AY160" s="307" t="n"/>
      <c r="AZ160" s="307" t="n"/>
      <c r="BA160" s="307" t="n"/>
      <c r="BB160" s="307" t="n"/>
      <c r="BC160" s="307" t="n"/>
      <c r="BD160" s="307" t="n"/>
      <c r="BE160" s="307" t="n"/>
      <c r="BF160" s="307" t="n"/>
      <c r="BG160" s="31" t="n"/>
      <c r="BH160" s="31" t="n"/>
      <c r="BI160" s="31" t="n"/>
      <c r="BJ160" s="31" t="n"/>
    </row>
    <row r="161" ht="15.75" customHeight="1" s="349">
      <c r="A161" s="307" t="n"/>
      <c r="B161" s="307" t="n"/>
      <c r="C161" s="307" t="n"/>
      <c r="D161" s="307" t="n"/>
      <c r="E161" s="307" t="n"/>
      <c r="F161" s="307" t="n"/>
      <c r="G161" s="307" t="n"/>
      <c r="H161" s="307" t="n"/>
      <c r="I161" s="307" t="n"/>
      <c r="J161" s="307" t="n"/>
      <c r="K161" s="307" t="n"/>
      <c r="L161" s="307" t="n"/>
      <c r="M161" s="307" t="n"/>
      <c r="N161" s="307" t="n"/>
      <c r="O161" s="307" t="n"/>
      <c r="P161" s="307" t="n"/>
      <c r="Q161" s="307" t="n"/>
      <c r="R161" s="307" t="n"/>
      <c r="S161" s="307" t="n"/>
      <c r="T161" s="307" t="n"/>
      <c r="U161" s="307" t="n"/>
      <c r="V161" s="307" t="n"/>
      <c r="W161" s="307" t="n"/>
      <c r="X161" s="307" t="n"/>
      <c r="Y161" s="307" t="n"/>
      <c r="Z161" s="307" t="n"/>
      <c r="AA161" s="307" t="n"/>
      <c r="AB161" s="307" t="n"/>
      <c r="AC161" s="307" t="n"/>
      <c r="AD161" s="307" t="n"/>
      <c r="AE161" s="307" t="n"/>
      <c r="AF161" s="307" t="n"/>
      <c r="AG161" s="307" t="n"/>
      <c r="AH161" s="307" t="n"/>
      <c r="AI161" s="307" t="n"/>
      <c r="AJ161" s="307" t="n"/>
      <c r="AK161" s="307" t="n"/>
      <c r="AL161" s="307" t="n"/>
      <c r="AM161" s="307" t="n"/>
      <c r="AN161" s="307" t="n"/>
      <c r="AO161" s="307" t="n"/>
      <c r="AP161" s="307" t="n"/>
      <c r="AQ161" s="307" t="n"/>
      <c r="AR161" s="307" t="n"/>
      <c r="AS161" s="307" t="n"/>
      <c r="AT161" s="307" t="n"/>
      <c r="AU161" s="307" t="n"/>
      <c r="AV161" s="307" t="n"/>
      <c r="AW161" s="307" t="n"/>
      <c r="AX161" s="307" t="n"/>
      <c r="AY161" s="307" t="n"/>
      <c r="AZ161" s="307" t="n"/>
      <c r="BA161" s="307" t="n"/>
      <c r="BB161" s="307" t="n"/>
      <c r="BC161" s="307" t="n"/>
      <c r="BD161" s="307" t="n"/>
      <c r="BE161" s="307" t="n"/>
      <c r="BF161" s="307" t="n"/>
      <c r="BG161" s="31" t="n"/>
      <c r="BH161" s="31" t="n"/>
      <c r="BI161" s="31" t="n"/>
      <c r="BJ161" s="31" t="n"/>
    </row>
    <row r="162" ht="15.75" customHeight="1" s="349">
      <c r="A162" s="307" t="n"/>
      <c r="B162" s="307" t="n"/>
      <c r="C162" s="307" t="n"/>
      <c r="D162" s="307" t="n"/>
      <c r="E162" s="307" t="n"/>
      <c r="F162" s="307" t="n"/>
      <c r="G162" s="307" t="n"/>
      <c r="H162" s="307" t="n"/>
      <c r="I162" s="307" t="n"/>
      <c r="J162" s="307" t="n"/>
      <c r="K162" s="307" t="n"/>
      <c r="L162" s="307" t="n"/>
      <c r="M162" s="307" t="n"/>
      <c r="N162" s="307" t="n"/>
      <c r="O162" s="307" t="n"/>
      <c r="P162" s="307" t="n"/>
      <c r="Q162" s="307" t="n"/>
      <c r="R162" s="307" t="n"/>
      <c r="S162" s="307" t="n"/>
      <c r="T162" s="307" t="n"/>
      <c r="U162" s="307" t="n"/>
      <c r="V162" s="307" t="n"/>
      <c r="W162" s="307" t="n"/>
      <c r="X162" s="307" t="n"/>
      <c r="Y162" s="307" t="n"/>
      <c r="Z162" s="307" t="n"/>
      <c r="AA162" s="307" t="n"/>
      <c r="AB162" s="307" t="n"/>
      <c r="AC162" s="307" t="n"/>
      <c r="AD162" s="307" t="n"/>
      <c r="AE162" s="307" t="n"/>
      <c r="AF162" s="307" t="n"/>
      <c r="AG162" s="307" t="n"/>
      <c r="AH162" s="307" t="n"/>
      <c r="AI162" s="307" t="n"/>
      <c r="AJ162" s="307" t="n"/>
      <c r="AK162" s="307" t="n"/>
      <c r="AL162" s="307" t="n"/>
      <c r="AM162" s="307" t="n"/>
      <c r="AN162" s="307" t="n"/>
      <c r="AO162" s="307" t="n"/>
      <c r="AP162" s="307" t="n"/>
      <c r="AQ162" s="307" t="n"/>
      <c r="AR162" s="307" t="n"/>
      <c r="AS162" s="307" t="n"/>
      <c r="AT162" s="307" t="n"/>
      <c r="AU162" s="307" t="n"/>
      <c r="AV162" s="307" t="n"/>
      <c r="AW162" s="307" t="n"/>
      <c r="AX162" s="307" t="n"/>
      <c r="AY162" s="307" t="n"/>
      <c r="AZ162" s="307" t="n"/>
      <c r="BA162" s="307" t="n"/>
      <c r="BB162" s="307" t="n"/>
      <c r="BC162" s="307" t="n"/>
      <c r="BD162" s="307" t="n"/>
      <c r="BE162" s="307" t="n"/>
      <c r="BF162" s="307" t="n"/>
      <c r="BG162" s="31" t="n"/>
      <c r="BH162" s="31" t="n"/>
      <c r="BI162" s="31" t="n"/>
      <c r="BJ162" s="31" t="n"/>
    </row>
    <row r="163" ht="15.75" customHeight="1" s="349">
      <c r="A163" s="307" t="n"/>
      <c r="B163" s="307" t="n"/>
      <c r="C163" s="307" t="n"/>
      <c r="D163" s="307" t="n"/>
      <c r="E163" s="307" t="n"/>
      <c r="F163" s="307" t="n"/>
      <c r="G163" s="307" t="n"/>
      <c r="H163" s="307" t="n"/>
      <c r="I163" s="307" t="n"/>
      <c r="J163" s="307" t="n"/>
      <c r="K163" s="307" t="n"/>
      <c r="L163" s="307" t="n"/>
      <c r="M163" s="307" t="n"/>
      <c r="N163" s="307" t="n"/>
      <c r="O163" s="307" t="n"/>
      <c r="P163" s="307" t="n"/>
      <c r="Q163" s="307" t="n"/>
      <c r="R163" s="307" t="n"/>
      <c r="S163" s="307" t="n"/>
      <c r="T163" s="307" t="n"/>
      <c r="U163" s="307" t="n"/>
      <c r="V163" s="307" t="n"/>
      <c r="W163" s="307" t="n"/>
      <c r="X163" s="307" t="n"/>
      <c r="Y163" s="307" t="n"/>
      <c r="Z163" s="307" t="n"/>
      <c r="AA163" s="307" t="n"/>
      <c r="AB163" s="307" t="n"/>
      <c r="AC163" s="307" t="n"/>
      <c r="AD163" s="307" t="n"/>
      <c r="AE163" s="307" t="n"/>
      <c r="AF163" s="307" t="n"/>
      <c r="AG163" s="307" t="n"/>
      <c r="AH163" s="307" t="n"/>
      <c r="AI163" s="307" t="n"/>
      <c r="AJ163" s="307" t="n"/>
      <c r="AK163" s="307" t="n"/>
      <c r="AL163" s="307" t="n"/>
      <c r="AM163" s="307" t="n"/>
      <c r="AN163" s="307" t="n"/>
      <c r="AO163" s="307" t="n"/>
      <c r="AP163" s="307" t="n"/>
      <c r="AQ163" s="307" t="n"/>
      <c r="AR163" s="307" t="n"/>
      <c r="AS163" s="307" t="n"/>
      <c r="AT163" s="307" t="n"/>
      <c r="AU163" s="307" t="n"/>
      <c r="AV163" s="307" t="n"/>
      <c r="AW163" s="307" t="n"/>
      <c r="AX163" s="307" t="n"/>
      <c r="AY163" s="307" t="n"/>
      <c r="AZ163" s="307" t="n"/>
      <c r="BA163" s="307" t="n"/>
      <c r="BB163" s="307" t="n"/>
      <c r="BC163" s="307" t="n"/>
      <c r="BD163" s="307" t="n"/>
      <c r="BE163" s="307" t="n"/>
      <c r="BF163" s="307" t="n"/>
      <c r="BG163" s="31" t="n"/>
      <c r="BH163" s="31" t="n"/>
      <c r="BI163" s="31" t="n"/>
      <c r="BJ163" s="31" t="n"/>
    </row>
    <row r="164" ht="15.75" customHeight="1" s="349">
      <c r="A164" s="307" t="n"/>
      <c r="B164" s="307" t="n"/>
      <c r="C164" s="307" t="n"/>
      <c r="D164" s="307" t="n"/>
      <c r="E164" s="307" t="n"/>
      <c r="F164" s="307" t="n"/>
      <c r="G164" s="307" t="n"/>
      <c r="H164" s="307" t="n"/>
      <c r="I164" s="307" t="n"/>
      <c r="J164" s="307" t="n"/>
      <c r="K164" s="307" t="n"/>
      <c r="L164" s="307" t="n"/>
      <c r="M164" s="307" t="n"/>
      <c r="N164" s="307" t="n"/>
      <c r="O164" s="307" t="n"/>
      <c r="P164" s="307" t="n"/>
      <c r="Q164" s="307" t="n"/>
      <c r="R164" s="307" t="n"/>
      <c r="S164" s="307" t="n"/>
      <c r="T164" s="307" t="n"/>
      <c r="U164" s="307" t="n"/>
      <c r="V164" s="307" t="n"/>
      <c r="W164" s="307" t="n"/>
      <c r="X164" s="307" t="n"/>
      <c r="Y164" s="307" t="n"/>
      <c r="Z164" s="307" t="n"/>
      <c r="AA164" s="307" t="n"/>
      <c r="AB164" s="307" t="n"/>
      <c r="AC164" s="307" t="n"/>
      <c r="AD164" s="307" t="n"/>
      <c r="AE164" s="307" t="n"/>
      <c r="AF164" s="307" t="n"/>
      <c r="AG164" s="307" t="n"/>
      <c r="AH164" s="307" t="n"/>
      <c r="AI164" s="307" t="n"/>
      <c r="AJ164" s="307" t="n"/>
      <c r="AK164" s="307" t="n"/>
      <c r="AL164" s="307" t="n"/>
      <c r="AM164" s="307" t="n"/>
      <c r="AN164" s="307" t="n"/>
      <c r="AO164" s="307" t="n"/>
      <c r="AP164" s="307" t="n"/>
      <c r="AQ164" s="307" t="n"/>
      <c r="AR164" s="307" t="n"/>
      <c r="AS164" s="307" t="n"/>
      <c r="AT164" s="307" t="n"/>
      <c r="AU164" s="307" t="n"/>
      <c r="AV164" s="307" t="n"/>
      <c r="AW164" s="307" t="n"/>
      <c r="AX164" s="307" t="n"/>
      <c r="AY164" s="307" t="n"/>
      <c r="AZ164" s="307" t="n"/>
      <c r="BA164" s="307" t="n"/>
      <c r="BB164" s="307" t="n"/>
      <c r="BC164" s="307" t="n"/>
      <c r="BD164" s="307" t="n"/>
      <c r="BE164" s="307" t="n"/>
      <c r="BF164" s="307" t="n"/>
      <c r="BG164" s="31" t="n"/>
      <c r="BH164" s="31" t="n"/>
      <c r="BI164" s="31" t="n"/>
      <c r="BJ164" s="31" t="n"/>
    </row>
    <row r="165" ht="15.75" customHeight="1" s="349">
      <c r="A165" s="307" t="n"/>
      <c r="B165" s="307" t="n"/>
      <c r="C165" s="307" t="n"/>
      <c r="D165" s="307" t="n"/>
      <c r="E165" s="307" t="n"/>
      <c r="F165" s="307" t="n"/>
      <c r="G165" s="307" t="n"/>
      <c r="H165" s="307" t="n"/>
      <c r="I165" s="307" t="n"/>
      <c r="J165" s="307" t="n"/>
      <c r="K165" s="307" t="n"/>
      <c r="L165" s="307" t="n"/>
      <c r="M165" s="307" t="n"/>
      <c r="N165" s="307" t="n"/>
      <c r="O165" s="307" t="n"/>
      <c r="P165" s="307" t="n"/>
      <c r="Q165" s="307" t="n"/>
      <c r="R165" s="307" t="n"/>
      <c r="S165" s="307" t="n"/>
      <c r="T165" s="307" t="n"/>
      <c r="U165" s="307" t="n"/>
      <c r="V165" s="307" t="n"/>
      <c r="W165" s="307" t="n"/>
      <c r="X165" s="307" t="n"/>
      <c r="Y165" s="307" t="n"/>
      <c r="Z165" s="307" t="n"/>
      <c r="AA165" s="307" t="n"/>
      <c r="AB165" s="307" t="n"/>
      <c r="AC165" s="307" t="n"/>
      <c r="AD165" s="307" t="n"/>
      <c r="AE165" s="307" t="n"/>
      <c r="AF165" s="307" t="n"/>
      <c r="AG165" s="307" t="n"/>
      <c r="AH165" s="307" t="n"/>
      <c r="AI165" s="307" t="n"/>
      <c r="AJ165" s="307" t="n"/>
      <c r="AK165" s="307" t="n"/>
      <c r="AL165" s="307" t="n"/>
      <c r="AM165" s="307" t="n"/>
      <c r="AN165" s="307" t="n"/>
      <c r="AO165" s="307" t="n"/>
      <c r="AP165" s="307" t="n"/>
      <c r="AQ165" s="307" t="n"/>
      <c r="AR165" s="307" t="n"/>
      <c r="AS165" s="307" t="n"/>
      <c r="AT165" s="307" t="n"/>
      <c r="AU165" s="307" t="n"/>
      <c r="AV165" s="307" t="n"/>
      <c r="AW165" s="307" t="n"/>
      <c r="AX165" s="307" t="n"/>
      <c r="AY165" s="307" t="n"/>
      <c r="AZ165" s="307" t="n"/>
      <c r="BA165" s="307" t="n"/>
      <c r="BB165" s="307" t="n"/>
      <c r="BC165" s="307" t="n"/>
      <c r="BD165" s="307" t="n"/>
      <c r="BE165" s="307" t="n"/>
      <c r="BF165" s="307" t="n"/>
      <c r="BG165" s="31" t="n"/>
      <c r="BH165" s="31" t="n"/>
      <c r="BI165" s="31" t="n"/>
      <c r="BJ165" s="31" t="n"/>
    </row>
    <row r="166" ht="15.75" customHeight="1" s="349">
      <c r="A166" s="307" t="n"/>
      <c r="B166" s="307" t="n"/>
      <c r="C166" s="307" t="n"/>
      <c r="D166" s="307" t="n"/>
      <c r="E166" s="307" t="n"/>
      <c r="F166" s="307" t="n"/>
      <c r="G166" s="307" t="n"/>
      <c r="H166" s="307" t="n"/>
      <c r="I166" s="307" t="n"/>
      <c r="J166" s="307" t="n"/>
      <c r="K166" s="307" t="n"/>
      <c r="L166" s="307" t="n"/>
      <c r="M166" s="307" t="n"/>
      <c r="N166" s="307" t="n"/>
      <c r="O166" s="307" t="n"/>
      <c r="P166" s="307" t="n"/>
      <c r="Q166" s="307" t="n"/>
      <c r="R166" s="307" t="n"/>
      <c r="S166" s="307" t="n"/>
      <c r="T166" s="307" t="n"/>
      <c r="U166" s="307" t="n"/>
      <c r="V166" s="307" t="n"/>
      <c r="W166" s="307" t="n"/>
      <c r="X166" s="307" t="n"/>
      <c r="Y166" s="307" t="n"/>
      <c r="Z166" s="307" t="n"/>
      <c r="AA166" s="307" t="n"/>
      <c r="AB166" s="307" t="n"/>
      <c r="AC166" s="307" t="n"/>
      <c r="AD166" s="307" t="n"/>
      <c r="AE166" s="307" t="n"/>
      <c r="AF166" s="307" t="n"/>
      <c r="AG166" s="307" t="n"/>
      <c r="AH166" s="307" t="n"/>
      <c r="AI166" s="307" t="n"/>
      <c r="AJ166" s="307" t="n"/>
      <c r="AK166" s="307" t="n"/>
      <c r="AL166" s="307" t="n"/>
      <c r="AM166" s="307" t="n"/>
      <c r="AN166" s="307" t="n"/>
      <c r="AO166" s="307" t="n"/>
      <c r="AP166" s="307" t="n"/>
      <c r="AQ166" s="307" t="n"/>
      <c r="AR166" s="307" t="n"/>
      <c r="AS166" s="307" t="n"/>
      <c r="AT166" s="307" t="n"/>
      <c r="AU166" s="307" t="n"/>
      <c r="AV166" s="307" t="n"/>
      <c r="AW166" s="307" t="n"/>
      <c r="AX166" s="307" t="n"/>
      <c r="AY166" s="307" t="n"/>
      <c r="AZ166" s="307" t="n"/>
      <c r="BA166" s="307" t="n"/>
      <c r="BB166" s="307" t="n"/>
      <c r="BC166" s="307" t="n"/>
      <c r="BD166" s="307" t="n"/>
      <c r="BE166" s="307" t="n"/>
      <c r="BF166" s="307" t="n"/>
      <c r="BG166" s="31" t="n"/>
      <c r="BH166" s="31" t="n"/>
      <c r="BI166" s="31" t="n"/>
      <c r="BJ166" s="31" t="n"/>
    </row>
    <row r="167" ht="15.75" customHeight="1" s="349">
      <c r="A167" s="307" t="n"/>
      <c r="B167" s="307" t="n"/>
      <c r="C167" s="307" t="n"/>
      <c r="D167" s="307" t="n"/>
      <c r="E167" s="307" t="n"/>
      <c r="F167" s="307" t="n"/>
      <c r="G167" s="307" t="n"/>
      <c r="H167" s="307" t="n"/>
      <c r="I167" s="307" t="n"/>
      <c r="J167" s="307" t="n"/>
      <c r="K167" s="307" t="n"/>
      <c r="L167" s="307" t="n"/>
      <c r="M167" s="307" t="n"/>
      <c r="N167" s="307" t="n"/>
      <c r="O167" s="307" t="n"/>
      <c r="P167" s="307" t="n"/>
      <c r="Q167" s="307" t="n"/>
      <c r="R167" s="307" t="n"/>
      <c r="S167" s="307" t="n"/>
      <c r="T167" s="307" t="n"/>
      <c r="U167" s="307" t="n"/>
      <c r="V167" s="307" t="n"/>
      <c r="W167" s="307" t="n"/>
      <c r="X167" s="307" t="n"/>
      <c r="Y167" s="307" t="n"/>
      <c r="Z167" s="307" t="n"/>
      <c r="AA167" s="307" t="n"/>
      <c r="AB167" s="307" t="n"/>
      <c r="AC167" s="307" t="n"/>
      <c r="AD167" s="307" t="n"/>
      <c r="AE167" s="307" t="n"/>
      <c r="AF167" s="307" t="n"/>
      <c r="AG167" s="307" t="n"/>
      <c r="AH167" s="307" t="n"/>
      <c r="AI167" s="307" t="n"/>
      <c r="AJ167" s="307" t="n"/>
      <c r="AK167" s="307" t="n"/>
      <c r="AL167" s="307" t="n"/>
      <c r="AM167" s="307" t="n"/>
      <c r="AN167" s="307" t="n"/>
      <c r="AO167" s="307" t="n"/>
      <c r="AP167" s="307" t="n"/>
      <c r="AQ167" s="307" t="n"/>
      <c r="AR167" s="307" t="n"/>
      <c r="AS167" s="307" t="n"/>
      <c r="AT167" s="307" t="n"/>
      <c r="AU167" s="307" t="n"/>
      <c r="AV167" s="307" t="n"/>
      <c r="AW167" s="307" t="n"/>
      <c r="AX167" s="307" t="n"/>
      <c r="AY167" s="307" t="n"/>
      <c r="AZ167" s="307" t="n"/>
      <c r="BA167" s="307" t="n"/>
      <c r="BB167" s="307" t="n"/>
      <c r="BC167" s="307" t="n"/>
      <c r="BD167" s="307" t="n"/>
      <c r="BE167" s="307" t="n"/>
      <c r="BF167" s="307" t="n"/>
      <c r="BG167" s="31" t="n"/>
      <c r="BH167" s="31" t="n"/>
      <c r="BI167" s="31" t="n"/>
      <c r="BJ167" s="31" t="n"/>
    </row>
    <row r="168" ht="15.75" customHeight="1" s="349">
      <c r="A168" s="307" t="n"/>
      <c r="B168" s="307" t="n"/>
      <c r="C168" s="307" t="n"/>
      <c r="D168" s="307" t="n"/>
      <c r="E168" s="307" t="n"/>
      <c r="F168" s="307" t="n"/>
      <c r="G168" s="307" t="n"/>
      <c r="H168" s="307" t="n"/>
      <c r="I168" s="307" t="n"/>
      <c r="J168" s="307" t="n"/>
      <c r="K168" s="307" t="n"/>
      <c r="L168" s="307" t="n"/>
      <c r="M168" s="307" t="n"/>
      <c r="N168" s="307" t="n"/>
      <c r="O168" s="307" t="n"/>
      <c r="P168" s="307" t="n"/>
      <c r="Q168" s="307" t="n"/>
      <c r="R168" s="307" t="n"/>
      <c r="S168" s="307" t="n"/>
      <c r="T168" s="307" t="n"/>
      <c r="U168" s="307" t="n"/>
      <c r="V168" s="307" t="n"/>
      <c r="W168" s="307" t="n"/>
      <c r="X168" s="307" t="n"/>
      <c r="Y168" s="307" t="n"/>
      <c r="Z168" s="307" t="n"/>
      <c r="AA168" s="307" t="n"/>
      <c r="AB168" s="307" t="n"/>
      <c r="AC168" s="307" t="n"/>
      <c r="AD168" s="307" t="n"/>
      <c r="AE168" s="307" t="n"/>
      <c r="AF168" s="307" t="n"/>
      <c r="AG168" s="307" t="n"/>
      <c r="AH168" s="307" t="n"/>
      <c r="AI168" s="307" t="n"/>
      <c r="AJ168" s="307" t="n"/>
      <c r="AK168" s="307" t="n"/>
      <c r="AL168" s="307" t="n"/>
      <c r="AM168" s="307" t="n"/>
      <c r="AN168" s="307" t="n"/>
      <c r="AO168" s="307" t="n"/>
      <c r="AP168" s="307" t="n"/>
      <c r="AQ168" s="307" t="n"/>
      <c r="AR168" s="307" t="n"/>
      <c r="AS168" s="307" t="n"/>
      <c r="AT168" s="307" t="n"/>
      <c r="AU168" s="307" t="n"/>
      <c r="AV168" s="307" t="n"/>
      <c r="AW168" s="307" t="n"/>
      <c r="AX168" s="307" t="n"/>
      <c r="AY168" s="307" t="n"/>
      <c r="AZ168" s="307" t="n"/>
      <c r="BA168" s="307" t="n"/>
      <c r="BB168" s="307" t="n"/>
      <c r="BC168" s="307" t="n"/>
      <c r="BD168" s="307" t="n"/>
      <c r="BE168" s="307" t="n"/>
      <c r="BF168" s="307" t="n"/>
      <c r="BG168" s="31" t="n"/>
      <c r="BH168" s="31" t="n"/>
      <c r="BI168" s="31" t="n"/>
      <c r="BJ168" s="31" t="n"/>
    </row>
    <row r="169" ht="15.75" customHeight="1" s="349">
      <c r="A169" s="307" t="n"/>
      <c r="B169" s="307" t="n"/>
      <c r="C169" s="307" t="n"/>
      <c r="D169" s="307" t="n"/>
      <c r="E169" s="307" t="n"/>
      <c r="F169" s="307" t="n"/>
      <c r="G169" s="307" t="n"/>
      <c r="H169" s="307" t="n"/>
      <c r="I169" s="307" t="n"/>
      <c r="J169" s="307" t="n"/>
      <c r="K169" s="307" t="n"/>
      <c r="L169" s="307" t="n"/>
      <c r="M169" s="307" t="n"/>
      <c r="N169" s="307" t="n"/>
      <c r="O169" s="307" t="n"/>
      <c r="P169" s="307" t="n"/>
      <c r="Q169" s="307" t="n"/>
      <c r="R169" s="307" t="n"/>
      <c r="S169" s="307" t="n"/>
      <c r="T169" s="307" t="n"/>
      <c r="U169" s="307" t="n"/>
      <c r="V169" s="307" t="n"/>
      <c r="W169" s="307" t="n"/>
      <c r="X169" s="307" t="n"/>
      <c r="Y169" s="307" t="n"/>
      <c r="Z169" s="307" t="n"/>
      <c r="AA169" s="307" t="n"/>
      <c r="AB169" s="307" t="n"/>
      <c r="AC169" s="307" t="n"/>
      <c r="AD169" s="307" t="n"/>
      <c r="AE169" s="307" t="n"/>
      <c r="AF169" s="307" t="n"/>
      <c r="AG169" s="307" t="n"/>
      <c r="AH169" s="307" t="n"/>
      <c r="AI169" s="307" t="n"/>
      <c r="AJ169" s="307" t="n"/>
      <c r="AK169" s="307" t="n"/>
      <c r="AL169" s="307" t="n"/>
      <c r="AM169" s="307" t="n"/>
      <c r="AN169" s="307" t="n"/>
      <c r="AO169" s="307" t="n"/>
      <c r="AP169" s="307" t="n"/>
      <c r="AQ169" s="307" t="n"/>
      <c r="AR169" s="307" t="n"/>
      <c r="AS169" s="307" t="n"/>
      <c r="AT169" s="307" t="n"/>
      <c r="AU169" s="307" t="n"/>
      <c r="AV169" s="307" t="n"/>
      <c r="AW169" s="307" t="n"/>
      <c r="AX169" s="307" t="n"/>
      <c r="AY169" s="307" t="n"/>
      <c r="AZ169" s="307" t="n"/>
      <c r="BA169" s="307" t="n"/>
      <c r="BB169" s="307" t="n"/>
      <c r="BC169" s="307" t="n"/>
      <c r="BD169" s="307" t="n"/>
      <c r="BE169" s="307" t="n"/>
      <c r="BF169" s="307" t="n"/>
      <c r="BG169" s="31" t="n"/>
      <c r="BH169" s="31" t="n"/>
      <c r="BI169" s="31" t="n"/>
      <c r="BJ169" s="31" t="n"/>
    </row>
    <row r="170" ht="15.75" customHeight="1" s="349">
      <c r="A170" s="307" t="n"/>
      <c r="B170" s="307" t="n"/>
      <c r="C170" s="307" t="n"/>
      <c r="D170" s="307" t="n"/>
      <c r="E170" s="307" t="n"/>
      <c r="F170" s="307" t="n"/>
      <c r="G170" s="307" t="n"/>
      <c r="H170" s="307" t="n"/>
      <c r="I170" s="307" t="n"/>
      <c r="J170" s="307" t="n"/>
      <c r="K170" s="307" t="n"/>
      <c r="L170" s="307" t="n"/>
      <c r="M170" s="307" t="n"/>
      <c r="N170" s="307" t="n"/>
      <c r="O170" s="307" t="n"/>
      <c r="P170" s="307" t="n"/>
      <c r="Q170" s="307" t="n"/>
      <c r="R170" s="307" t="n"/>
      <c r="S170" s="307" t="n"/>
      <c r="T170" s="307" t="n"/>
      <c r="U170" s="307" t="n"/>
      <c r="V170" s="307" t="n"/>
      <c r="W170" s="307" t="n"/>
      <c r="X170" s="307" t="n"/>
      <c r="Y170" s="307" t="n"/>
      <c r="Z170" s="307" t="n"/>
      <c r="AA170" s="307" t="n"/>
      <c r="AB170" s="307" t="n"/>
      <c r="AC170" s="307" t="n"/>
      <c r="AD170" s="307" t="n"/>
      <c r="AE170" s="307" t="n"/>
      <c r="AF170" s="307" t="n"/>
      <c r="AG170" s="307" t="n"/>
      <c r="AH170" s="307" t="n"/>
      <c r="AI170" s="307" t="n"/>
      <c r="AJ170" s="307" t="n"/>
      <c r="AK170" s="307" t="n"/>
      <c r="AL170" s="307" t="n"/>
      <c r="AM170" s="307" t="n"/>
      <c r="AN170" s="307" t="n"/>
      <c r="AO170" s="307" t="n"/>
      <c r="AP170" s="307" t="n"/>
      <c r="AQ170" s="307" t="n"/>
      <c r="AR170" s="307" t="n"/>
      <c r="AS170" s="307" t="n"/>
      <c r="AT170" s="307" t="n"/>
      <c r="AU170" s="307" t="n"/>
      <c r="AV170" s="307" t="n"/>
      <c r="AW170" s="307" t="n"/>
      <c r="AX170" s="307" t="n"/>
      <c r="AY170" s="307" t="n"/>
      <c r="AZ170" s="307" t="n"/>
      <c r="BA170" s="307" t="n"/>
      <c r="BB170" s="307" t="n"/>
      <c r="BC170" s="307" t="n"/>
      <c r="BD170" s="307" t="n"/>
      <c r="BE170" s="307" t="n"/>
      <c r="BF170" s="307" t="n"/>
      <c r="BG170" s="31" t="n"/>
      <c r="BH170" s="31" t="n"/>
      <c r="BI170" s="31" t="n"/>
      <c r="BJ170" s="31" t="n"/>
    </row>
    <row r="171" ht="15.75" customHeight="1" s="349">
      <c r="A171" s="307" t="n"/>
      <c r="B171" s="307" t="n"/>
      <c r="C171" s="307" t="n"/>
      <c r="D171" s="307" t="n"/>
      <c r="E171" s="307" t="n"/>
      <c r="F171" s="307" t="n"/>
      <c r="G171" s="307" t="n"/>
      <c r="H171" s="307" t="n"/>
      <c r="I171" s="307" t="n"/>
      <c r="J171" s="307" t="n"/>
      <c r="K171" s="307" t="n"/>
      <c r="L171" s="307" t="n"/>
      <c r="M171" s="307" t="n"/>
      <c r="N171" s="307" t="n"/>
      <c r="O171" s="307" t="n"/>
      <c r="P171" s="307" t="n"/>
      <c r="Q171" s="307" t="n"/>
      <c r="R171" s="307" t="n"/>
      <c r="S171" s="307" t="n"/>
      <c r="T171" s="307" t="n"/>
      <c r="U171" s="307" t="n"/>
      <c r="V171" s="307" t="n"/>
      <c r="W171" s="307" t="n"/>
      <c r="X171" s="307" t="n"/>
      <c r="Y171" s="307" t="n"/>
      <c r="Z171" s="307" t="n"/>
      <c r="AA171" s="307" t="n"/>
      <c r="AB171" s="307" t="n"/>
      <c r="AC171" s="307" t="n"/>
      <c r="AD171" s="307" t="n"/>
      <c r="AE171" s="307" t="n"/>
      <c r="AF171" s="307" t="n"/>
      <c r="AG171" s="307" t="n"/>
      <c r="AH171" s="307" t="n"/>
      <c r="AI171" s="307" t="n"/>
      <c r="AJ171" s="307" t="n"/>
      <c r="AK171" s="307" t="n"/>
      <c r="AL171" s="307" t="n"/>
      <c r="AM171" s="307" t="n"/>
      <c r="AN171" s="307" t="n"/>
      <c r="AO171" s="307" t="n"/>
      <c r="AP171" s="307" t="n"/>
      <c r="AQ171" s="307" t="n"/>
      <c r="AR171" s="307" t="n"/>
      <c r="AS171" s="307" t="n"/>
      <c r="AT171" s="307" t="n"/>
      <c r="AU171" s="307" t="n"/>
      <c r="AV171" s="307" t="n"/>
      <c r="AW171" s="307" t="n"/>
      <c r="AX171" s="307" t="n"/>
      <c r="AY171" s="307" t="n"/>
      <c r="AZ171" s="307" t="n"/>
      <c r="BA171" s="307" t="n"/>
      <c r="BB171" s="307" t="n"/>
      <c r="BC171" s="307" t="n"/>
      <c r="BD171" s="307" t="n"/>
      <c r="BE171" s="307" t="n"/>
      <c r="BF171" s="307" t="n"/>
      <c r="BG171" s="31" t="n"/>
      <c r="BH171" s="31" t="n"/>
      <c r="BI171" s="31" t="n"/>
      <c r="BJ171" s="31" t="n"/>
    </row>
    <row r="172" ht="15.75" customHeight="1" s="349">
      <c r="A172" s="307" t="n"/>
      <c r="B172" s="307" t="n"/>
      <c r="C172" s="307" t="n"/>
      <c r="D172" s="307" t="n"/>
      <c r="E172" s="307" t="n"/>
      <c r="F172" s="307" t="n"/>
      <c r="G172" s="307" t="n"/>
      <c r="H172" s="307" t="n"/>
      <c r="I172" s="307" t="n"/>
      <c r="J172" s="307" t="n"/>
      <c r="K172" s="307" t="n"/>
      <c r="L172" s="307" t="n"/>
      <c r="M172" s="307" t="n"/>
      <c r="N172" s="307" t="n"/>
      <c r="O172" s="307" t="n"/>
      <c r="P172" s="307" t="n"/>
      <c r="Q172" s="307" t="n"/>
      <c r="R172" s="307" t="n"/>
      <c r="S172" s="307" t="n"/>
      <c r="T172" s="307" t="n"/>
      <c r="U172" s="307" t="n"/>
      <c r="V172" s="307" t="n"/>
      <c r="W172" s="307" t="n"/>
      <c r="X172" s="307" t="n"/>
      <c r="Y172" s="307" t="n"/>
      <c r="Z172" s="307" t="n"/>
      <c r="AA172" s="307" t="n"/>
      <c r="AB172" s="307" t="n"/>
      <c r="AC172" s="307" t="n"/>
      <c r="AD172" s="307" t="n"/>
      <c r="AE172" s="307" t="n"/>
      <c r="AF172" s="307" t="n"/>
      <c r="AG172" s="307" t="n"/>
      <c r="AH172" s="307" t="n"/>
      <c r="AI172" s="307" t="n"/>
      <c r="AJ172" s="307" t="n"/>
      <c r="AK172" s="307" t="n"/>
      <c r="AL172" s="307" t="n"/>
      <c r="AM172" s="307" t="n"/>
      <c r="AN172" s="307" t="n"/>
      <c r="AO172" s="307" t="n"/>
      <c r="AP172" s="307" t="n"/>
      <c r="AQ172" s="307" t="n"/>
      <c r="AR172" s="307" t="n"/>
      <c r="AS172" s="307" t="n"/>
      <c r="AT172" s="307" t="n"/>
      <c r="AU172" s="307" t="n"/>
      <c r="AV172" s="307" t="n"/>
      <c r="AW172" s="307" t="n"/>
      <c r="AX172" s="307" t="n"/>
      <c r="AY172" s="307" t="n"/>
      <c r="AZ172" s="307" t="n"/>
      <c r="BA172" s="307" t="n"/>
      <c r="BB172" s="307" t="n"/>
      <c r="BC172" s="307" t="n"/>
      <c r="BD172" s="307" t="n"/>
      <c r="BE172" s="307" t="n"/>
      <c r="BF172" s="307" t="n"/>
      <c r="BG172" s="31" t="n"/>
      <c r="BH172" s="31" t="n"/>
      <c r="BI172" s="31" t="n"/>
      <c r="BJ172" s="31" t="n"/>
    </row>
    <row r="173" ht="15.75" customHeight="1" s="349">
      <c r="A173" s="307" t="n"/>
      <c r="B173" s="307" t="n"/>
      <c r="C173" s="307" t="n"/>
      <c r="D173" s="307" t="n"/>
      <c r="E173" s="307" t="n"/>
      <c r="F173" s="307" t="n"/>
      <c r="G173" s="307" t="n"/>
      <c r="H173" s="307" t="n"/>
      <c r="I173" s="307" t="n"/>
      <c r="J173" s="307" t="n"/>
      <c r="K173" s="307" t="n"/>
      <c r="L173" s="307" t="n"/>
      <c r="M173" s="307" t="n"/>
      <c r="N173" s="307" t="n"/>
      <c r="O173" s="307" t="n"/>
      <c r="P173" s="307" t="n"/>
      <c r="Q173" s="307" t="n"/>
      <c r="R173" s="307" t="n"/>
      <c r="S173" s="307" t="n"/>
      <c r="T173" s="307" t="n"/>
      <c r="U173" s="307" t="n"/>
      <c r="V173" s="307" t="n"/>
      <c r="W173" s="307" t="n"/>
      <c r="X173" s="307" t="n"/>
      <c r="Y173" s="307" t="n"/>
      <c r="Z173" s="307" t="n"/>
      <c r="AA173" s="307" t="n"/>
      <c r="AB173" s="307" t="n"/>
      <c r="AC173" s="307" t="n"/>
      <c r="AD173" s="307" t="n"/>
      <c r="AE173" s="307" t="n"/>
      <c r="AF173" s="307" t="n"/>
      <c r="AG173" s="307" t="n"/>
      <c r="AH173" s="307" t="n"/>
      <c r="AI173" s="307" t="n"/>
      <c r="AJ173" s="307" t="n"/>
      <c r="AK173" s="307" t="n"/>
      <c r="AL173" s="307" t="n"/>
      <c r="AM173" s="307" t="n"/>
      <c r="AN173" s="307" t="n"/>
      <c r="AO173" s="307" t="n"/>
      <c r="AP173" s="307" t="n"/>
      <c r="AQ173" s="307" t="n"/>
      <c r="AR173" s="307" t="n"/>
      <c r="AS173" s="307" t="n"/>
      <c r="AT173" s="307" t="n"/>
      <c r="AU173" s="307" t="n"/>
      <c r="AV173" s="307" t="n"/>
      <c r="AW173" s="307" t="n"/>
      <c r="AX173" s="307" t="n"/>
      <c r="AY173" s="307" t="n"/>
      <c r="AZ173" s="307" t="n"/>
      <c r="BA173" s="307" t="n"/>
      <c r="BB173" s="307" t="n"/>
      <c r="BC173" s="307" t="n"/>
      <c r="BD173" s="307" t="n"/>
      <c r="BE173" s="307" t="n"/>
      <c r="BF173" s="307" t="n"/>
      <c r="BG173" s="31" t="n"/>
      <c r="BH173" s="31" t="n"/>
      <c r="BI173" s="31" t="n"/>
      <c r="BJ173" s="31" t="n"/>
    </row>
    <row r="174" ht="15.75" customHeight="1" s="349">
      <c r="A174" s="307" t="n"/>
      <c r="B174" s="307" t="n"/>
      <c r="C174" s="307" t="n"/>
      <c r="D174" s="307" t="n"/>
      <c r="E174" s="307" t="n"/>
      <c r="F174" s="307" t="n"/>
      <c r="G174" s="307" t="n"/>
      <c r="H174" s="307" t="n"/>
      <c r="I174" s="307" t="n"/>
      <c r="J174" s="307" t="n"/>
      <c r="K174" s="307" t="n"/>
      <c r="L174" s="307" t="n"/>
      <c r="M174" s="307" t="n"/>
      <c r="N174" s="307" t="n"/>
      <c r="O174" s="307" t="n"/>
      <c r="P174" s="307" t="n"/>
      <c r="Q174" s="307" t="n"/>
      <c r="R174" s="307" t="n"/>
      <c r="S174" s="307" t="n"/>
      <c r="T174" s="307" t="n"/>
      <c r="U174" s="307" t="n"/>
      <c r="V174" s="307" t="n"/>
      <c r="W174" s="307" t="n"/>
      <c r="X174" s="307" t="n"/>
      <c r="Y174" s="307" t="n"/>
      <c r="Z174" s="307" t="n"/>
      <c r="AA174" s="307" t="n"/>
      <c r="AB174" s="307" t="n"/>
      <c r="AC174" s="307" t="n"/>
      <c r="AD174" s="307" t="n"/>
      <c r="AE174" s="307" t="n"/>
      <c r="AF174" s="307" t="n"/>
      <c r="AG174" s="307" t="n"/>
      <c r="AH174" s="307" t="n"/>
      <c r="AI174" s="307" t="n"/>
      <c r="AJ174" s="307" t="n"/>
      <c r="AK174" s="307" t="n"/>
      <c r="AL174" s="307" t="n"/>
      <c r="AM174" s="307" t="n"/>
      <c r="AN174" s="307" t="n"/>
      <c r="AO174" s="307" t="n"/>
      <c r="AP174" s="307" t="n"/>
      <c r="AQ174" s="307" t="n"/>
      <c r="AR174" s="307" t="n"/>
      <c r="AS174" s="307" t="n"/>
      <c r="AT174" s="307" t="n"/>
      <c r="AU174" s="307" t="n"/>
      <c r="AV174" s="307" t="n"/>
      <c r="AW174" s="307" t="n"/>
      <c r="AX174" s="307" t="n"/>
      <c r="AY174" s="307" t="n"/>
      <c r="AZ174" s="307" t="n"/>
      <c r="BA174" s="307" t="n"/>
      <c r="BB174" s="307" t="n"/>
      <c r="BC174" s="307" t="n"/>
      <c r="BD174" s="307" t="n"/>
      <c r="BE174" s="307" t="n"/>
      <c r="BF174" s="307" t="n"/>
      <c r="BG174" s="31" t="n"/>
      <c r="BH174" s="31" t="n"/>
      <c r="BI174" s="31" t="n"/>
      <c r="BJ174" s="31" t="n"/>
    </row>
    <row r="175" ht="15.75" customHeight="1" s="349">
      <c r="A175" s="307" t="n"/>
      <c r="B175" s="307" t="n"/>
      <c r="C175" s="307" t="n"/>
      <c r="D175" s="307" t="n"/>
      <c r="E175" s="307" t="n"/>
      <c r="F175" s="307" t="n"/>
      <c r="G175" s="307" t="n"/>
      <c r="H175" s="307" t="n"/>
      <c r="I175" s="307" t="n"/>
      <c r="J175" s="307" t="n"/>
      <c r="K175" s="307" t="n"/>
      <c r="L175" s="307" t="n"/>
      <c r="M175" s="307" t="n"/>
      <c r="N175" s="307" t="n"/>
      <c r="O175" s="307" t="n"/>
      <c r="P175" s="307" t="n"/>
      <c r="Q175" s="307" t="n"/>
      <c r="R175" s="307" t="n"/>
      <c r="S175" s="307" t="n"/>
      <c r="T175" s="307" t="n"/>
      <c r="U175" s="307" t="n"/>
      <c r="V175" s="307" t="n"/>
      <c r="W175" s="307" t="n"/>
      <c r="X175" s="307" t="n"/>
      <c r="Y175" s="307" t="n"/>
      <c r="Z175" s="307" t="n"/>
      <c r="AA175" s="307" t="n"/>
      <c r="AB175" s="307" t="n"/>
      <c r="AC175" s="307" t="n"/>
      <c r="AD175" s="307" t="n"/>
      <c r="AE175" s="307" t="n"/>
      <c r="AF175" s="307" t="n"/>
      <c r="AG175" s="307" t="n"/>
      <c r="AH175" s="307" t="n"/>
      <c r="AI175" s="307" t="n"/>
      <c r="AJ175" s="307" t="n"/>
      <c r="AK175" s="307" t="n"/>
      <c r="AL175" s="307" t="n"/>
      <c r="AM175" s="307" t="n"/>
      <c r="AN175" s="307" t="n"/>
      <c r="AO175" s="307" t="n"/>
      <c r="AP175" s="307" t="n"/>
      <c r="AQ175" s="307" t="n"/>
      <c r="AR175" s="307" t="n"/>
      <c r="AS175" s="307" t="n"/>
      <c r="AT175" s="307" t="n"/>
      <c r="AU175" s="307" t="n"/>
      <c r="AV175" s="307" t="n"/>
      <c r="AW175" s="307" t="n"/>
      <c r="AX175" s="307" t="n"/>
      <c r="AY175" s="307" t="n"/>
      <c r="AZ175" s="307" t="n"/>
      <c r="BA175" s="307" t="n"/>
      <c r="BB175" s="307" t="n"/>
      <c r="BC175" s="307" t="n"/>
      <c r="BD175" s="307" t="n"/>
      <c r="BE175" s="307" t="n"/>
      <c r="BF175" s="307" t="n"/>
      <c r="BG175" s="31" t="n"/>
      <c r="BH175" s="31" t="n"/>
      <c r="BI175" s="31" t="n"/>
      <c r="BJ175" s="31" t="n"/>
    </row>
    <row r="176" ht="15.75" customHeight="1" s="349">
      <c r="A176" s="307" t="n"/>
      <c r="B176" s="307" t="n"/>
      <c r="C176" s="307" t="n"/>
      <c r="D176" s="307" t="n"/>
      <c r="E176" s="307" t="n"/>
      <c r="F176" s="307" t="n"/>
      <c r="G176" s="307" t="n"/>
      <c r="H176" s="307" t="n"/>
      <c r="I176" s="307" t="n"/>
      <c r="J176" s="307" t="n"/>
      <c r="K176" s="307" t="n"/>
      <c r="L176" s="307" t="n"/>
      <c r="M176" s="307" t="n"/>
      <c r="N176" s="307" t="n"/>
      <c r="O176" s="307" t="n"/>
      <c r="P176" s="307" t="n"/>
      <c r="Q176" s="307" t="n"/>
      <c r="R176" s="307" t="n"/>
      <c r="S176" s="307" t="n"/>
      <c r="T176" s="307" t="n"/>
      <c r="U176" s="307" t="n"/>
      <c r="V176" s="307" t="n"/>
      <c r="W176" s="307" t="n"/>
      <c r="X176" s="307" t="n"/>
      <c r="Y176" s="307" t="n"/>
      <c r="Z176" s="307" t="n"/>
      <c r="AA176" s="307" t="n"/>
      <c r="AB176" s="307" t="n"/>
      <c r="AC176" s="307" t="n"/>
      <c r="AD176" s="307" t="n"/>
      <c r="AE176" s="307" t="n"/>
      <c r="AF176" s="307" t="n"/>
      <c r="AG176" s="307" t="n"/>
      <c r="AH176" s="307" t="n"/>
      <c r="AI176" s="307" t="n"/>
      <c r="AJ176" s="307" t="n"/>
      <c r="AK176" s="307" t="n"/>
      <c r="AL176" s="307" t="n"/>
      <c r="AM176" s="307" t="n"/>
      <c r="AN176" s="307" t="n"/>
      <c r="AO176" s="307" t="n"/>
      <c r="AP176" s="307" t="n"/>
      <c r="AQ176" s="307" t="n"/>
      <c r="AR176" s="307" t="n"/>
      <c r="AS176" s="307" t="n"/>
      <c r="AT176" s="307" t="n"/>
      <c r="AU176" s="307" t="n"/>
      <c r="AV176" s="307" t="n"/>
      <c r="AW176" s="307" t="n"/>
      <c r="AX176" s="307" t="n"/>
      <c r="AY176" s="307" t="n"/>
      <c r="AZ176" s="307" t="n"/>
      <c r="BA176" s="307" t="n"/>
      <c r="BB176" s="307" t="n"/>
      <c r="BC176" s="307" t="n"/>
      <c r="BD176" s="307" t="n"/>
      <c r="BE176" s="307" t="n"/>
      <c r="BF176" s="307" t="n"/>
      <c r="BG176" s="31" t="n"/>
      <c r="BH176" s="31" t="n"/>
      <c r="BI176" s="31" t="n"/>
      <c r="BJ176" s="31" t="n"/>
    </row>
    <row r="177" ht="15.75" customHeight="1" s="349">
      <c r="A177" s="307" t="n"/>
      <c r="B177" s="307" t="n"/>
      <c r="C177" s="307" t="n"/>
      <c r="D177" s="307" t="n"/>
      <c r="E177" s="307" t="n"/>
      <c r="F177" s="307" t="n"/>
      <c r="G177" s="307" t="n"/>
      <c r="H177" s="307" t="n"/>
      <c r="I177" s="307" t="n"/>
      <c r="J177" s="307" t="n"/>
      <c r="K177" s="307" t="n"/>
      <c r="L177" s="307" t="n"/>
      <c r="M177" s="307" t="n"/>
      <c r="N177" s="307" t="n"/>
      <c r="O177" s="307" t="n"/>
      <c r="P177" s="307" t="n"/>
      <c r="Q177" s="307" t="n"/>
      <c r="R177" s="307" t="n"/>
      <c r="S177" s="307" t="n"/>
      <c r="T177" s="307" t="n"/>
      <c r="U177" s="307" t="n"/>
      <c r="V177" s="307" t="n"/>
      <c r="W177" s="307" t="n"/>
      <c r="X177" s="307" t="n"/>
      <c r="Y177" s="307" t="n"/>
      <c r="Z177" s="307" t="n"/>
      <c r="AA177" s="307" t="n"/>
      <c r="AB177" s="307" t="n"/>
      <c r="AC177" s="307" t="n"/>
      <c r="AD177" s="307" t="n"/>
      <c r="AE177" s="307" t="n"/>
      <c r="AF177" s="307" t="n"/>
      <c r="AG177" s="307" t="n"/>
      <c r="AH177" s="307" t="n"/>
      <c r="AI177" s="307" t="n"/>
      <c r="AJ177" s="307" t="n"/>
      <c r="AK177" s="307" t="n"/>
      <c r="AL177" s="307" t="n"/>
      <c r="AM177" s="307" t="n"/>
      <c r="AN177" s="307" t="n"/>
      <c r="AO177" s="307" t="n"/>
      <c r="AP177" s="307" t="n"/>
      <c r="AQ177" s="307" t="n"/>
      <c r="AR177" s="307" t="n"/>
      <c r="AS177" s="307" t="n"/>
      <c r="AT177" s="307" t="n"/>
      <c r="AU177" s="307" t="n"/>
      <c r="AV177" s="307" t="n"/>
      <c r="AW177" s="307" t="n"/>
      <c r="AX177" s="307" t="n"/>
      <c r="AY177" s="307" t="n"/>
      <c r="AZ177" s="307" t="n"/>
      <c r="BA177" s="307" t="n"/>
      <c r="BB177" s="307" t="n"/>
      <c r="BC177" s="307" t="n"/>
      <c r="BD177" s="307" t="n"/>
      <c r="BE177" s="307" t="n"/>
      <c r="BF177" s="307" t="n"/>
      <c r="BG177" s="31" t="n"/>
      <c r="BH177" s="31" t="n"/>
      <c r="BI177" s="31" t="n"/>
      <c r="BJ177" s="31" t="n"/>
    </row>
    <row r="178" ht="15.75" customHeight="1" s="349">
      <c r="A178" s="307" t="n"/>
      <c r="B178" s="307" t="n"/>
      <c r="C178" s="307" t="n"/>
      <c r="D178" s="307" t="n"/>
      <c r="E178" s="307" t="n"/>
      <c r="F178" s="307" t="n"/>
      <c r="G178" s="307" t="n"/>
      <c r="H178" s="307" t="n"/>
      <c r="I178" s="307" t="n"/>
      <c r="J178" s="307" t="n"/>
      <c r="K178" s="307" t="n"/>
      <c r="L178" s="307" t="n"/>
      <c r="M178" s="307" t="n"/>
      <c r="N178" s="307" t="n"/>
      <c r="O178" s="307" t="n"/>
      <c r="P178" s="307" t="n"/>
      <c r="Q178" s="307" t="n"/>
      <c r="R178" s="307" t="n"/>
      <c r="S178" s="307" t="n"/>
      <c r="T178" s="307" t="n"/>
      <c r="U178" s="307" t="n"/>
      <c r="V178" s="307" t="n"/>
      <c r="W178" s="307" t="n"/>
      <c r="X178" s="307" t="n"/>
      <c r="Y178" s="307" t="n"/>
      <c r="Z178" s="307" t="n"/>
      <c r="AA178" s="307" t="n"/>
      <c r="AB178" s="307" t="n"/>
      <c r="AC178" s="307" t="n"/>
      <c r="AD178" s="307" t="n"/>
      <c r="AE178" s="307" t="n"/>
      <c r="AF178" s="307" t="n"/>
      <c r="AG178" s="307" t="n"/>
      <c r="AH178" s="307" t="n"/>
      <c r="AI178" s="307" t="n"/>
      <c r="AJ178" s="307" t="n"/>
      <c r="AK178" s="307" t="n"/>
      <c r="AL178" s="307" t="n"/>
      <c r="AM178" s="307" t="n"/>
      <c r="AN178" s="307" t="n"/>
      <c r="AO178" s="307" t="n"/>
      <c r="AP178" s="307" t="n"/>
      <c r="AQ178" s="307" t="n"/>
      <c r="AR178" s="307" t="n"/>
      <c r="AS178" s="307" t="n"/>
      <c r="AT178" s="307" t="n"/>
      <c r="AU178" s="307" t="n"/>
      <c r="AV178" s="307" t="n"/>
      <c r="AW178" s="307" t="n"/>
      <c r="AX178" s="307" t="n"/>
      <c r="AY178" s="307" t="n"/>
      <c r="AZ178" s="307" t="n"/>
      <c r="BA178" s="307" t="n"/>
      <c r="BB178" s="307" t="n"/>
      <c r="BC178" s="307" t="n"/>
      <c r="BD178" s="307" t="n"/>
      <c r="BE178" s="307" t="n"/>
      <c r="BF178" s="307" t="n"/>
      <c r="BG178" s="31" t="n"/>
      <c r="BH178" s="31" t="n"/>
      <c r="BI178" s="31" t="n"/>
      <c r="BJ178" s="31" t="n"/>
    </row>
    <row r="179" ht="15.75" customHeight="1" s="349">
      <c r="A179" s="307" t="n"/>
      <c r="B179" s="307" t="n"/>
      <c r="C179" s="307" t="n"/>
      <c r="D179" s="307" t="n"/>
      <c r="E179" s="307" t="n"/>
      <c r="F179" s="307" t="n"/>
      <c r="G179" s="307" t="n"/>
      <c r="H179" s="307" t="n"/>
      <c r="I179" s="307" t="n"/>
      <c r="J179" s="307" t="n"/>
      <c r="K179" s="307" t="n"/>
      <c r="L179" s="307" t="n"/>
      <c r="M179" s="307" t="n"/>
      <c r="N179" s="307" t="n"/>
      <c r="O179" s="307" t="n"/>
      <c r="P179" s="307" t="n"/>
      <c r="Q179" s="307" t="n"/>
      <c r="R179" s="307" t="n"/>
      <c r="S179" s="307" t="n"/>
      <c r="T179" s="307" t="n"/>
      <c r="U179" s="307" t="n"/>
      <c r="V179" s="307" t="n"/>
      <c r="W179" s="307" t="n"/>
      <c r="X179" s="307" t="n"/>
      <c r="Y179" s="307" t="n"/>
      <c r="Z179" s="307" t="n"/>
      <c r="AA179" s="307" t="n"/>
      <c r="AB179" s="307" t="n"/>
      <c r="AC179" s="307" t="n"/>
      <c r="AD179" s="307" t="n"/>
      <c r="AE179" s="307" t="n"/>
      <c r="AF179" s="307" t="n"/>
      <c r="AG179" s="307" t="n"/>
      <c r="AH179" s="307" t="n"/>
      <c r="AI179" s="307" t="n"/>
      <c r="AJ179" s="307" t="n"/>
      <c r="AK179" s="307" t="n"/>
      <c r="AL179" s="307" t="n"/>
      <c r="AM179" s="307" t="n"/>
      <c r="AN179" s="307" t="n"/>
      <c r="AO179" s="307" t="n"/>
      <c r="AP179" s="307" t="n"/>
      <c r="AQ179" s="307" t="n"/>
      <c r="AR179" s="307" t="n"/>
      <c r="AS179" s="307" t="n"/>
      <c r="AT179" s="307" t="n"/>
      <c r="AU179" s="307" t="n"/>
      <c r="AV179" s="307" t="n"/>
      <c r="AW179" s="307" t="n"/>
      <c r="AX179" s="307" t="n"/>
      <c r="AY179" s="307" t="n"/>
      <c r="AZ179" s="307" t="n"/>
      <c r="BA179" s="307" t="n"/>
      <c r="BB179" s="307" t="n"/>
      <c r="BC179" s="307" t="n"/>
      <c r="BD179" s="307" t="n"/>
      <c r="BE179" s="307" t="n"/>
      <c r="BF179" s="307" t="n"/>
      <c r="BG179" s="31" t="n"/>
      <c r="BH179" s="31" t="n"/>
      <c r="BI179" s="31" t="n"/>
      <c r="BJ179" s="31" t="n"/>
    </row>
    <row r="180" ht="15.75" customHeight="1" s="349">
      <c r="A180" s="307" t="n"/>
      <c r="B180" s="307" t="n"/>
      <c r="C180" s="307" t="n"/>
      <c r="D180" s="307" t="n"/>
      <c r="E180" s="307" t="n"/>
      <c r="F180" s="307" t="n"/>
      <c r="G180" s="307" t="n"/>
      <c r="H180" s="307" t="n"/>
      <c r="I180" s="307" t="n"/>
      <c r="J180" s="307" t="n"/>
      <c r="K180" s="307" t="n"/>
      <c r="L180" s="307" t="n"/>
      <c r="M180" s="307" t="n"/>
      <c r="N180" s="307" t="n"/>
      <c r="O180" s="307" t="n"/>
      <c r="P180" s="307" t="n"/>
      <c r="Q180" s="307" t="n"/>
      <c r="R180" s="307" t="n"/>
      <c r="S180" s="307" t="n"/>
      <c r="T180" s="307" t="n"/>
      <c r="U180" s="307" t="n"/>
      <c r="V180" s="307" t="n"/>
      <c r="W180" s="307" t="n"/>
      <c r="X180" s="307" t="n"/>
      <c r="Y180" s="307" t="n"/>
      <c r="Z180" s="307" t="n"/>
      <c r="AA180" s="307" t="n"/>
      <c r="AB180" s="307" t="n"/>
      <c r="AC180" s="307" t="n"/>
      <c r="AD180" s="307" t="n"/>
      <c r="AE180" s="307" t="n"/>
      <c r="AF180" s="307" t="n"/>
      <c r="AG180" s="307" t="n"/>
      <c r="AH180" s="307" t="n"/>
      <c r="AI180" s="307" t="n"/>
      <c r="AJ180" s="307" t="n"/>
      <c r="AK180" s="307" t="n"/>
      <c r="AL180" s="307" t="n"/>
      <c r="AM180" s="307" t="n"/>
      <c r="AN180" s="307" t="n"/>
      <c r="AO180" s="307" t="n"/>
      <c r="AP180" s="307" t="n"/>
      <c r="AQ180" s="307" t="n"/>
      <c r="AR180" s="307" t="n"/>
      <c r="AS180" s="307" t="n"/>
      <c r="AT180" s="307" t="n"/>
      <c r="AU180" s="307" t="n"/>
      <c r="AV180" s="307" t="n"/>
      <c r="AW180" s="307" t="n"/>
      <c r="AX180" s="307" t="n"/>
      <c r="AY180" s="307" t="n"/>
      <c r="AZ180" s="307" t="n"/>
      <c r="BA180" s="307" t="n"/>
      <c r="BB180" s="307" t="n"/>
      <c r="BC180" s="307" t="n"/>
      <c r="BD180" s="307" t="n"/>
      <c r="BE180" s="307" t="n"/>
      <c r="BF180" s="307" t="n"/>
      <c r="BG180" s="31" t="n"/>
      <c r="BH180" s="31" t="n"/>
      <c r="BI180" s="31" t="n"/>
      <c r="BJ180" s="31" t="n"/>
    </row>
    <row r="181" ht="15.75" customHeight="1" s="349">
      <c r="A181" s="307" t="n"/>
      <c r="B181" s="307" t="n"/>
      <c r="C181" s="307" t="n"/>
      <c r="D181" s="307" t="n"/>
      <c r="E181" s="307" t="n"/>
      <c r="F181" s="307" t="n"/>
      <c r="G181" s="307" t="n"/>
      <c r="H181" s="307" t="n"/>
      <c r="I181" s="307" t="n"/>
      <c r="J181" s="307" t="n"/>
      <c r="K181" s="307" t="n"/>
      <c r="L181" s="307" t="n"/>
      <c r="M181" s="307" t="n"/>
      <c r="N181" s="307" t="n"/>
      <c r="O181" s="307" t="n"/>
      <c r="P181" s="307" t="n"/>
      <c r="Q181" s="307" t="n"/>
      <c r="R181" s="307" t="n"/>
      <c r="S181" s="307" t="n"/>
      <c r="T181" s="307" t="n"/>
      <c r="U181" s="307" t="n"/>
      <c r="V181" s="307" t="n"/>
      <c r="W181" s="307" t="n"/>
      <c r="X181" s="307" t="n"/>
      <c r="Y181" s="307" t="n"/>
      <c r="Z181" s="307" t="n"/>
      <c r="AA181" s="307" t="n"/>
      <c r="AB181" s="307" t="n"/>
      <c r="AC181" s="307" t="n"/>
      <c r="AD181" s="307" t="n"/>
      <c r="AE181" s="307" t="n"/>
      <c r="AF181" s="307" t="n"/>
      <c r="AG181" s="307" t="n"/>
      <c r="AH181" s="307" t="n"/>
      <c r="AI181" s="307" t="n"/>
      <c r="AJ181" s="307" t="n"/>
      <c r="AK181" s="307" t="n"/>
      <c r="AL181" s="307" t="n"/>
      <c r="AM181" s="307" t="n"/>
      <c r="AN181" s="307" t="n"/>
      <c r="AO181" s="307" t="n"/>
      <c r="AP181" s="307" t="n"/>
      <c r="AQ181" s="307" t="n"/>
      <c r="AR181" s="307" t="n"/>
      <c r="AS181" s="307" t="n"/>
      <c r="AT181" s="307" t="n"/>
      <c r="AU181" s="307" t="n"/>
      <c r="AV181" s="307" t="n"/>
      <c r="AW181" s="307" t="n"/>
      <c r="AX181" s="307" t="n"/>
      <c r="AY181" s="307" t="n"/>
      <c r="AZ181" s="307" t="n"/>
      <c r="BA181" s="307" t="n"/>
      <c r="BB181" s="307" t="n"/>
      <c r="BC181" s="307" t="n"/>
      <c r="BD181" s="307" t="n"/>
      <c r="BE181" s="307" t="n"/>
      <c r="BF181" s="307" t="n"/>
      <c r="BG181" s="31" t="n"/>
      <c r="BH181" s="31" t="n"/>
      <c r="BI181" s="31" t="n"/>
      <c r="BJ181" s="31" t="n"/>
    </row>
    <row r="182" ht="15.75" customHeight="1" s="349">
      <c r="A182" s="307" t="n"/>
      <c r="B182" s="307" t="n"/>
      <c r="C182" s="307" t="n"/>
      <c r="D182" s="307" t="n"/>
      <c r="E182" s="307" t="n"/>
      <c r="F182" s="307" t="n"/>
      <c r="G182" s="307" t="n"/>
      <c r="H182" s="307" t="n"/>
      <c r="I182" s="307" t="n"/>
      <c r="J182" s="307" t="n"/>
      <c r="K182" s="307" t="n"/>
      <c r="L182" s="307" t="n"/>
      <c r="M182" s="307" t="n"/>
      <c r="N182" s="307" t="n"/>
      <c r="O182" s="307" t="n"/>
      <c r="P182" s="307" t="n"/>
      <c r="Q182" s="307" t="n"/>
      <c r="R182" s="307" t="n"/>
      <c r="S182" s="307" t="n"/>
      <c r="T182" s="307" t="n"/>
      <c r="U182" s="307" t="n"/>
      <c r="V182" s="307" t="n"/>
      <c r="W182" s="307" t="n"/>
      <c r="X182" s="307" t="n"/>
      <c r="Y182" s="307" t="n"/>
      <c r="Z182" s="307" t="n"/>
      <c r="AA182" s="307" t="n"/>
      <c r="AB182" s="307" t="n"/>
      <c r="AC182" s="307" t="n"/>
      <c r="AD182" s="307" t="n"/>
      <c r="AE182" s="307" t="n"/>
      <c r="AF182" s="307" t="n"/>
      <c r="AG182" s="307" t="n"/>
      <c r="AH182" s="307" t="n"/>
      <c r="AI182" s="307" t="n"/>
      <c r="AJ182" s="307" t="n"/>
      <c r="AK182" s="307" t="n"/>
      <c r="AL182" s="307" t="n"/>
      <c r="AM182" s="307" t="n"/>
      <c r="AN182" s="307" t="n"/>
      <c r="AO182" s="307" t="n"/>
      <c r="AP182" s="307" t="n"/>
      <c r="AQ182" s="307" t="n"/>
      <c r="AR182" s="307" t="n"/>
      <c r="AS182" s="307" t="n"/>
      <c r="AT182" s="307" t="n"/>
      <c r="AU182" s="307" t="n"/>
      <c r="AV182" s="307" t="n"/>
      <c r="AW182" s="307" t="n"/>
      <c r="AX182" s="307" t="n"/>
      <c r="AY182" s="307" t="n"/>
      <c r="AZ182" s="307" t="n"/>
      <c r="BA182" s="307" t="n"/>
      <c r="BB182" s="307" t="n"/>
      <c r="BC182" s="307" t="n"/>
      <c r="BD182" s="307" t="n"/>
      <c r="BE182" s="307" t="n"/>
      <c r="BF182" s="307" t="n"/>
      <c r="BG182" s="31" t="n"/>
      <c r="BH182" s="31" t="n"/>
      <c r="BI182" s="31" t="n"/>
      <c r="BJ182" s="31" t="n"/>
    </row>
    <row r="183" ht="15.75" customHeight="1" s="349">
      <c r="A183" s="307" t="n"/>
      <c r="B183" s="307" t="n"/>
      <c r="C183" s="307" t="n"/>
      <c r="D183" s="307" t="n"/>
      <c r="E183" s="307" t="n"/>
      <c r="F183" s="307" t="n"/>
      <c r="G183" s="307" t="n"/>
      <c r="H183" s="307" t="n"/>
      <c r="I183" s="307" t="n"/>
      <c r="J183" s="307" t="n"/>
      <c r="K183" s="307" t="n"/>
      <c r="L183" s="307" t="n"/>
      <c r="M183" s="307" t="n"/>
      <c r="N183" s="307" t="n"/>
      <c r="O183" s="307" t="n"/>
      <c r="P183" s="307" t="n"/>
      <c r="Q183" s="307" t="n"/>
      <c r="R183" s="307" t="n"/>
      <c r="S183" s="307" t="n"/>
      <c r="T183" s="307" t="n"/>
      <c r="U183" s="307" t="n"/>
      <c r="V183" s="307" t="n"/>
      <c r="W183" s="307" t="n"/>
      <c r="X183" s="307" t="n"/>
      <c r="Y183" s="307" t="n"/>
      <c r="Z183" s="307" t="n"/>
      <c r="AA183" s="307" t="n"/>
      <c r="AB183" s="307" t="n"/>
      <c r="AC183" s="307" t="n"/>
      <c r="AD183" s="307" t="n"/>
      <c r="AE183" s="307" t="n"/>
      <c r="AF183" s="307" t="n"/>
      <c r="AG183" s="307" t="n"/>
      <c r="AH183" s="307" t="n"/>
      <c r="AI183" s="307" t="n"/>
      <c r="AJ183" s="307" t="n"/>
      <c r="AK183" s="307" t="n"/>
      <c r="AL183" s="307" t="n"/>
      <c r="AM183" s="307" t="n"/>
      <c r="AN183" s="307" t="n"/>
      <c r="AO183" s="307" t="n"/>
      <c r="AP183" s="307" t="n"/>
      <c r="AQ183" s="307" t="n"/>
      <c r="AR183" s="307" t="n"/>
      <c r="AS183" s="307" t="n"/>
      <c r="AT183" s="307" t="n"/>
      <c r="AU183" s="307" t="n"/>
      <c r="AV183" s="307" t="n"/>
      <c r="AW183" s="307" t="n"/>
      <c r="AX183" s="307" t="n"/>
      <c r="AY183" s="307" t="n"/>
      <c r="AZ183" s="307" t="n"/>
      <c r="BA183" s="307" t="n"/>
      <c r="BB183" s="307" t="n"/>
      <c r="BC183" s="307" t="n"/>
      <c r="BD183" s="307" t="n"/>
      <c r="BE183" s="307" t="n"/>
      <c r="BF183" s="307" t="n"/>
      <c r="BG183" s="31" t="n"/>
      <c r="BH183" s="31" t="n"/>
      <c r="BI183" s="31" t="n"/>
      <c r="BJ183" s="31" t="n"/>
    </row>
    <row r="184" ht="15.75" customHeight="1" s="349">
      <c r="A184" s="307" t="n"/>
      <c r="B184" s="307" t="n"/>
      <c r="C184" s="307" t="n"/>
      <c r="D184" s="307" t="n"/>
      <c r="E184" s="307" t="n"/>
      <c r="F184" s="307" t="n"/>
      <c r="G184" s="307" t="n"/>
      <c r="H184" s="307" t="n"/>
      <c r="I184" s="307" t="n"/>
      <c r="J184" s="307" t="n"/>
      <c r="K184" s="307" t="n"/>
      <c r="L184" s="307" t="n"/>
      <c r="M184" s="307" t="n"/>
      <c r="N184" s="307" t="n"/>
      <c r="O184" s="307" t="n"/>
      <c r="P184" s="307" t="n"/>
      <c r="Q184" s="307" t="n"/>
      <c r="R184" s="307" t="n"/>
      <c r="S184" s="307" t="n"/>
      <c r="T184" s="307" t="n"/>
      <c r="U184" s="307" t="n"/>
      <c r="V184" s="307" t="n"/>
      <c r="W184" s="307" t="n"/>
      <c r="X184" s="307" t="n"/>
      <c r="Y184" s="307" t="n"/>
      <c r="Z184" s="307" t="n"/>
      <c r="AA184" s="307" t="n"/>
      <c r="AB184" s="307" t="n"/>
      <c r="AC184" s="307" t="n"/>
      <c r="AD184" s="307" t="n"/>
      <c r="AE184" s="307" t="n"/>
      <c r="AF184" s="307" t="n"/>
      <c r="AG184" s="307" t="n"/>
      <c r="AH184" s="307" t="n"/>
      <c r="AI184" s="307" t="n"/>
      <c r="AJ184" s="307" t="n"/>
      <c r="AK184" s="307" t="n"/>
      <c r="AL184" s="307" t="n"/>
      <c r="AM184" s="307" t="n"/>
      <c r="AN184" s="307" t="n"/>
      <c r="AO184" s="307" t="n"/>
      <c r="AP184" s="307" t="n"/>
      <c r="AQ184" s="307" t="n"/>
      <c r="AR184" s="307" t="n"/>
      <c r="AS184" s="307" t="n"/>
      <c r="AT184" s="307" t="n"/>
      <c r="AU184" s="307" t="n"/>
      <c r="AV184" s="307" t="n"/>
      <c r="AW184" s="307" t="n"/>
      <c r="AX184" s="307" t="n"/>
      <c r="AY184" s="307" t="n"/>
      <c r="AZ184" s="307" t="n"/>
      <c r="BA184" s="307" t="n"/>
      <c r="BB184" s="307" t="n"/>
      <c r="BC184" s="307" t="n"/>
      <c r="BD184" s="307" t="n"/>
      <c r="BE184" s="307" t="n"/>
      <c r="BF184" s="307" t="n"/>
      <c r="BG184" s="31" t="n"/>
      <c r="BH184" s="31" t="n"/>
      <c r="BI184" s="31" t="n"/>
      <c r="BJ184" s="31" t="n"/>
    </row>
    <row r="185" ht="15.75" customHeight="1" s="349">
      <c r="A185" s="307" t="n"/>
      <c r="B185" s="307" t="n"/>
      <c r="C185" s="307" t="n"/>
      <c r="D185" s="307" t="n"/>
      <c r="E185" s="307" t="n"/>
      <c r="F185" s="307" t="n"/>
      <c r="G185" s="307" t="n"/>
      <c r="H185" s="307" t="n"/>
      <c r="I185" s="307" t="n"/>
      <c r="J185" s="307" t="n"/>
      <c r="K185" s="307" t="n"/>
      <c r="L185" s="307" t="n"/>
      <c r="M185" s="307" t="n"/>
      <c r="N185" s="307" t="n"/>
      <c r="O185" s="307" t="n"/>
      <c r="P185" s="307" t="n"/>
      <c r="Q185" s="307" t="n"/>
      <c r="R185" s="307" t="n"/>
      <c r="S185" s="307" t="n"/>
      <c r="T185" s="307" t="n"/>
      <c r="U185" s="307" t="n"/>
      <c r="V185" s="307" t="n"/>
      <c r="W185" s="307" t="n"/>
      <c r="X185" s="307" t="n"/>
      <c r="Y185" s="307" t="n"/>
      <c r="Z185" s="307" t="n"/>
      <c r="AA185" s="307" t="n"/>
      <c r="AB185" s="307" t="n"/>
      <c r="AC185" s="307" t="n"/>
      <c r="AD185" s="307" t="n"/>
      <c r="AE185" s="307" t="n"/>
      <c r="AF185" s="307" t="n"/>
      <c r="AG185" s="307" t="n"/>
      <c r="AH185" s="307" t="n"/>
      <c r="AI185" s="307" t="n"/>
      <c r="AJ185" s="307" t="n"/>
      <c r="AK185" s="307" t="n"/>
      <c r="AL185" s="307" t="n"/>
      <c r="AM185" s="307" t="n"/>
      <c r="AN185" s="307" t="n"/>
      <c r="AO185" s="307" t="n"/>
      <c r="AP185" s="307" t="n"/>
      <c r="AQ185" s="307" t="n"/>
      <c r="AR185" s="307" t="n"/>
      <c r="AS185" s="307" t="n"/>
      <c r="AT185" s="307" t="n"/>
      <c r="AU185" s="307" t="n"/>
      <c r="AV185" s="307" t="n"/>
      <c r="AW185" s="307" t="n"/>
      <c r="AX185" s="307" t="n"/>
      <c r="AY185" s="307" t="n"/>
      <c r="AZ185" s="307" t="n"/>
      <c r="BA185" s="307" t="n"/>
      <c r="BB185" s="307" t="n"/>
      <c r="BC185" s="307" t="n"/>
      <c r="BD185" s="307" t="n"/>
      <c r="BE185" s="307" t="n"/>
      <c r="BF185" s="307" t="n"/>
      <c r="BG185" s="31" t="n"/>
      <c r="BH185" s="31" t="n"/>
      <c r="BI185" s="31" t="n"/>
      <c r="BJ185" s="31" t="n"/>
    </row>
    <row r="186" ht="15.75" customHeight="1" s="349">
      <c r="A186" s="307" t="n"/>
      <c r="B186" s="307" t="n"/>
      <c r="C186" s="307" t="n"/>
      <c r="D186" s="307" t="n"/>
      <c r="E186" s="307" t="n"/>
      <c r="F186" s="307" t="n"/>
      <c r="G186" s="307" t="n"/>
      <c r="H186" s="307" t="n"/>
      <c r="I186" s="307" t="n"/>
      <c r="J186" s="307" t="n"/>
      <c r="K186" s="307" t="n"/>
      <c r="L186" s="307" t="n"/>
      <c r="M186" s="307" t="n"/>
      <c r="N186" s="307" t="n"/>
      <c r="O186" s="307" t="n"/>
      <c r="P186" s="307" t="n"/>
      <c r="Q186" s="307" t="n"/>
      <c r="R186" s="307" t="n"/>
      <c r="S186" s="307" t="n"/>
      <c r="T186" s="307" t="n"/>
      <c r="U186" s="307" t="n"/>
      <c r="V186" s="307" t="n"/>
      <c r="W186" s="307" t="n"/>
      <c r="X186" s="307" t="n"/>
      <c r="Y186" s="307" t="n"/>
      <c r="Z186" s="307" t="n"/>
      <c r="AA186" s="307" t="n"/>
      <c r="AB186" s="307" t="n"/>
      <c r="AC186" s="307" t="n"/>
      <c r="AD186" s="307" t="n"/>
      <c r="AE186" s="307" t="n"/>
      <c r="AF186" s="307" t="n"/>
      <c r="AG186" s="307" t="n"/>
      <c r="AH186" s="307" t="n"/>
      <c r="AI186" s="307" t="n"/>
      <c r="AJ186" s="307" t="n"/>
      <c r="AK186" s="307" t="n"/>
      <c r="AL186" s="307" t="n"/>
      <c r="AM186" s="307" t="n"/>
      <c r="AN186" s="307" t="n"/>
      <c r="AO186" s="307" t="n"/>
      <c r="AP186" s="307" t="n"/>
      <c r="AQ186" s="307" t="n"/>
      <c r="AR186" s="307" t="n"/>
      <c r="AS186" s="307" t="n"/>
      <c r="AT186" s="307" t="n"/>
      <c r="AU186" s="307" t="n"/>
      <c r="AV186" s="307" t="n"/>
      <c r="AW186" s="307" t="n"/>
      <c r="AX186" s="307" t="n"/>
      <c r="AY186" s="307" t="n"/>
      <c r="AZ186" s="307" t="n"/>
      <c r="BA186" s="307" t="n"/>
      <c r="BB186" s="307" t="n"/>
      <c r="BC186" s="307" t="n"/>
      <c r="BD186" s="307" t="n"/>
      <c r="BE186" s="307" t="n"/>
      <c r="BF186" s="307" t="n"/>
      <c r="BG186" s="31" t="n"/>
      <c r="BH186" s="31" t="n"/>
      <c r="BI186" s="31" t="n"/>
      <c r="BJ186" s="31" t="n"/>
    </row>
    <row r="187" ht="15.75" customHeight="1" s="349">
      <c r="A187" s="307" t="n"/>
      <c r="B187" s="307" t="n"/>
      <c r="C187" s="307" t="n"/>
      <c r="D187" s="307" t="n"/>
      <c r="E187" s="307" t="n"/>
      <c r="F187" s="307" t="n"/>
      <c r="G187" s="307" t="n"/>
      <c r="H187" s="307" t="n"/>
      <c r="I187" s="307" t="n"/>
      <c r="J187" s="307" t="n"/>
      <c r="K187" s="307" t="n"/>
      <c r="L187" s="307" t="n"/>
      <c r="M187" s="307" t="n"/>
      <c r="N187" s="307" t="n"/>
      <c r="O187" s="307" t="n"/>
      <c r="P187" s="307" t="n"/>
      <c r="Q187" s="307" t="n"/>
      <c r="R187" s="307" t="n"/>
      <c r="S187" s="307" t="n"/>
      <c r="T187" s="307" t="n"/>
      <c r="U187" s="307" t="n"/>
      <c r="V187" s="307" t="n"/>
      <c r="W187" s="307" t="n"/>
      <c r="X187" s="307" t="n"/>
      <c r="Y187" s="307" t="n"/>
      <c r="Z187" s="307" t="n"/>
      <c r="AA187" s="307" t="n"/>
      <c r="AB187" s="307" t="n"/>
      <c r="AC187" s="307" t="n"/>
      <c r="AD187" s="307" t="n"/>
      <c r="AE187" s="307" t="n"/>
      <c r="AF187" s="307" t="n"/>
      <c r="AG187" s="307" t="n"/>
      <c r="AH187" s="307" t="n"/>
      <c r="AI187" s="307" t="n"/>
      <c r="AJ187" s="307" t="n"/>
      <c r="AK187" s="307" t="n"/>
      <c r="AL187" s="307" t="n"/>
      <c r="AM187" s="307" t="n"/>
      <c r="AN187" s="307" t="n"/>
      <c r="AO187" s="307" t="n"/>
      <c r="AP187" s="307" t="n"/>
      <c r="AQ187" s="307" t="n"/>
      <c r="AR187" s="307" t="n"/>
      <c r="AS187" s="307" t="n"/>
      <c r="AT187" s="307" t="n"/>
      <c r="AU187" s="307" t="n"/>
      <c r="AV187" s="307" t="n"/>
      <c r="AW187" s="307" t="n"/>
      <c r="AX187" s="307" t="n"/>
      <c r="AY187" s="307" t="n"/>
      <c r="AZ187" s="307" t="n"/>
      <c r="BA187" s="307" t="n"/>
      <c r="BB187" s="307" t="n"/>
      <c r="BC187" s="307" t="n"/>
      <c r="BD187" s="307" t="n"/>
      <c r="BE187" s="307" t="n"/>
      <c r="BF187" s="307" t="n"/>
      <c r="BG187" s="31" t="n"/>
      <c r="BH187" s="31" t="n"/>
      <c r="BI187" s="31" t="n"/>
      <c r="BJ187" s="31" t="n"/>
    </row>
    <row r="188" ht="15.75" customHeight="1" s="349">
      <c r="A188" s="307" t="n"/>
      <c r="B188" s="307" t="n"/>
      <c r="C188" s="307" t="n"/>
      <c r="D188" s="307" t="n"/>
      <c r="E188" s="307" t="n"/>
      <c r="F188" s="307" t="n"/>
      <c r="G188" s="307" t="n"/>
      <c r="H188" s="307" t="n"/>
      <c r="I188" s="307" t="n"/>
      <c r="J188" s="307" t="n"/>
      <c r="K188" s="307" t="n"/>
      <c r="L188" s="307" t="n"/>
      <c r="M188" s="307" t="n"/>
      <c r="N188" s="307" t="n"/>
      <c r="O188" s="307" t="n"/>
      <c r="P188" s="307" t="n"/>
      <c r="Q188" s="307" t="n"/>
      <c r="R188" s="307" t="n"/>
      <c r="S188" s="307" t="n"/>
      <c r="T188" s="307" t="n"/>
      <c r="U188" s="307" t="n"/>
      <c r="V188" s="307" t="n"/>
      <c r="W188" s="307" t="n"/>
      <c r="X188" s="307" t="n"/>
      <c r="Y188" s="307" t="n"/>
      <c r="Z188" s="307" t="n"/>
      <c r="AA188" s="307" t="n"/>
      <c r="AB188" s="307" t="n"/>
      <c r="AC188" s="307" t="n"/>
      <c r="AD188" s="307" t="n"/>
      <c r="AE188" s="307" t="n"/>
      <c r="AF188" s="307" t="n"/>
      <c r="AG188" s="307" t="n"/>
      <c r="AH188" s="307" t="n"/>
      <c r="AI188" s="307" t="n"/>
      <c r="AJ188" s="307" t="n"/>
      <c r="AK188" s="307" t="n"/>
      <c r="AL188" s="307" t="n"/>
      <c r="AM188" s="307" t="n"/>
      <c r="AN188" s="307" t="n"/>
      <c r="AO188" s="307" t="n"/>
      <c r="AP188" s="307" t="n"/>
      <c r="AQ188" s="307" t="n"/>
      <c r="AR188" s="307" t="n"/>
      <c r="AS188" s="307" t="n"/>
      <c r="AT188" s="307" t="n"/>
      <c r="AU188" s="307" t="n"/>
      <c r="AV188" s="307" t="n"/>
      <c r="AW188" s="307" t="n"/>
      <c r="AX188" s="307" t="n"/>
      <c r="AY188" s="307" t="n"/>
      <c r="AZ188" s="307" t="n"/>
      <c r="BA188" s="307" t="n"/>
      <c r="BB188" s="307" t="n"/>
      <c r="BC188" s="307" t="n"/>
      <c r="BD188" s="307" t="n"/>
      <c r="BE188" s="307" t="n"/>
      <c r="BF188" s="307" t="n"/>
      <c r="BG188" s="31" t="n"/>
      <c r="BH188" s="31" t="n"/>
      <c r="BI188" s="31" t="n"/>
      <c r="BJ188" s="31" t="n"/>
    </row>
    <row r="189" ht="15.75" customHeight="1" s="349">
      <c r="A189" s="307" t="n"/>
      <c r="B189" s="307" t="n"/>
      <c r="C189" s="307" t="n"/>
      <c r="D189" s="307" t="n"/>
      <c r="E189" s="307" t="n"/>
      <c r="F189" s="307" t="n"/>
      <c r="G189" s="307" t="n"/>
      <c r="H189" s="307" t="n"/>
      <c r="I189" s="307" t="n"/>
      <c r="J189" s="307" t="n"/>
      <c r="K189" s="307" t="n"/>
      <c r="L189" s="307" t="n"/>
      <c r="M189" s="307" t="n"/>
      <c r="N189" s="307" t="n"/>
      <c r="O189" s="307" t="n"/>
      <c r="P189" s="307" t="n"/>
      <c r="Q189" s="307" t="n"/>
      <c r="R189" s="307" t="n"/>
      <c r="S189" s="307" t="n"/>
      <c r="T189" s="307" t="n"/>
      <c r="U189" s="307" t="n"/>
      <c r="V189" s="307" t="n"/>
      <c r="W189" s="307" t="n"/>
      <c r="X189" s="307" t="n"/>
      <c r="Y189" s="307" t="n"/>
      <c r="Z189" s="307" t="n"/>
      <c r="AA189" s="307" t="n"/>
      <c r="AB189" s="307" t="n"/>
      <c r="AC189" s="307" t="n"/>
      <c r="AD189" s="307" t="n"/>
      <c r="AE189" s="307" t="n"/>
      <c r="AF189" s="307" t="n"/>
      <c r="AG189" s="307" t="n"/>
      <c r="AH189" s="307" t="n"/>
      <c r="AI189" s="307" t="n"/>
      <c r="AJ189" s="307" t="n"/>
      <c r="AK189" s="307" t="n"/>
      <c r="AL189" s="307" t="n"/>
      <c r="AM189" s="307" t="n"/>
      <c r="AN189" s="307" t="n"/>
      <c r="AO189" s="307" t="n"/>
      <c r="AP189" s="307" t="n"/>
      <c r="AQ189" s="307" t="n"/>
      <c r="AR189" s="307" t="n"/>
      <c r="AS189" s="307" t="n"/>
      <c r="AT189" s="307" t="n"/>
      <c r="AU189" s="307" t="n"/>
      <c r="AV189" s="307" t="n"/>
      <c r="AW189" s="307" t="n"/>
      <c r="AX189" s="307" t="n"/>
      <c r="AY189" s="307" t="n"/>
      <c r="AZ189" s="307" t="n"/>
      <c r="BA189" s="307" t="n"/>
      <c r="BB189" s="307" t="n"/>
      <c r="BC189" s="307" t="n"/>
      <c r="BD189" s="307" t="n"/>
      <c r="BE189" s="307" t="n"/>
      <c r="BF189" s="307" t="n"/>
      <c r="BG189" s="31" t="n"/>
      <c r="BH189" s="31" t="n"/>
      <c r="BI189" s="31" t="n"/>
      <c r="BJ189" s="31" t="n"/>
    </row>
    <row r="190" ht="15.75" customHeight="1" s="349">
      <c r="A190" s="307" t="n"/>
      <c r="B190" s="307" t="n"/>
      <c r="C190" s="307" t="n"/>
      <c r="D190" s="307" t="n"/>
      <c r="E190" s="307" t="n"/>
      <c r="F190" s="307" t="n"/>
      <c r="G190" s="307" t="n"/>
      <c r="H190" s="307" t="n"/>
      <c r="I190" s="307" t="n"/>
      <c r="J190" s="307" t="n"/>
      <c r="K190" s="307" t="n"/>
      <c r="L190" s="307" t="n"/>
      <c r="M190" s="307" t="n"/>
      <c r="N190" s="307" t="n"/>
      <c r="O190" s="307" t="n"/>
      <c r="P190" s="307" t="n"/>
      <c r="Q190" s="307" t="n"/>
      <c r="R190" s="307" t="n"/>
      <c r="S190" s="307" t="n"/>
      <c r="T190" s="307" t="n"/>
      <c r="U190" s="307" t="n"/>
      <c r="V190" s="307" t="n"/>
      <c r="W190" s="307" t="n"/>
      <c r="X190" s="307" t="n"/>
      <c r="Y190" s="307" t="n"/>
      <c r="Z190" s="307" t="n"/>
      <c r="AA190" s="307" t="n"/>
      <c r="AB190" s="307" t="n"/>
      <c r="AC190" s="307" t="n"/>
      <c r="AD190" s="307" t="n"/>
      <c r="AE190" s="307" t="n"/>
      <c r="AF190" s="307" t="n"/>
      <c r="AG190" s="307" t="n"/>
      <c r="AH190" s="307" t="n"/>
      <c r="AI190" s="307" t="n"/>
      <c r="AJ190" s="307" t="n"/>
      <c r="AK190" s="307" t="n"/>
      <c r="AL190" s="307" t="n"/>
      <c r="AM190" s="307" t="n"/>
      <c r="AN190" s="307" t="n"/>
      <c r="AO190" s="307" t="n"/>
      <c r="AP190" s="307" t="n"/>
      <c r="AQ190" s="307" t="n"/>
      <c r="AR190" s="307" t="n"/>
      <c r="AS190" s="307" t="n"/>
      <c r="AT190" s="307" t="n"/>
      <c r="AU190" s="307" t="n"/>
      <c r="AV190" s="307" t="n"/>
      <c r="AW190" s="307" t="n"/>
      <c r="AX190" s="307" t="n"/>
      <c r="AY190" s="307" t="n"/>
      <c r="AZ190" s="307" t="n"/>
      <c r="BA190" s="307" t="n"/>
      <c r="BB190" s="307" t="n"/>
      <c r="BC190" s="307" t="n"/>
      <c r="BD190" s="307" t="n"/>
      <c r="BE190" s="307" t="n"/>
      <c r="BF190" s="307" t="n"/>
      <c r="BG190" s="31" t="n"/>
      <c r="BH190" s="31" t="n"/>
      <c r="BI190" s="31" t="n"/>
      <c r="BJ190" s="31" t="n"/>
    </row>
    <row r="191" ht="15.75" customHeight="1" s="349">
      <c r="A191" s="307" t="n"/>
      <c r="B191" s="307" t="n"/>
      <c r="C191" s="307" t="n"/>
      <c r="D191" s="307" t="n"/>
      <c r="E191" s="307" t="n"/>
      <c r="F191" s="307" t="n"/>
      <c r="G191" s="307" t="n"/>
      <c r="H191" s="307" t="n"/>
      <c r="I191" s="307" t="n"/>
      <c r="J191" s="307" t="n"/>
      <c r="K191" s="307" t="n"/>
      <c r="L191" s="307" t="n"/>
      <c r="M191" s="307" t="n"/>
      <c r="N191" s="307" t="n"/>
      <c r="O191" s="307" t="n"/>
      <c r="P191" s="307" t="n"/>
      <c r="Q191" s="307" t="n"/>
      <c r="R191" s="307" t="n"/>
      <c r="S191" s="307" t="n"/>
      <c r="T191" s="307" t="n"/>
      <c r="U191" s="307" t="n"/>
      <c r="V191" s="307" t="n"/>
      <c r="W191" s="307" t="n"/>
      <c r="X191" s="307" t="n"/>
      <c r="Y191" s="307" t="n"/>
      <c r="Z191" s="307" t="n"/>
      <c r="AA191" s="307" t="n"/>
      <c r="AB191" s="307" t="n"/>
      <c r="AC191" s="307" t="n"/>
      <c r="AD191" s="307" t="n"/>
      <c r="AE191" s="307" t="n"/>
      <c r="AF191" s="307" t="n"/>
      <c r="AG191" s="307" t="n"/>
      <c r="AH191" s="307" t="n"/>
      <c r="AI191" s="307" t="n"/>
      <c r="AJ191" s="307" t="n"/>
      <c r="AK191" s="307" t="n"/>
      <c r="AL191" s="307" t="n"/>
      <c r="AM191" s="307" t="n"/>
      <c r="AN191" s="307" t="n"/>
      <c r="AO191" s="307" t="n"/>
      <c r="AP191" s="307" t="n"/>
      <c r="AQ191" s="307" t="n"/>
      <c r="AR191" s="307" t="n"/>
      <c r="AS191" s="307" t="n"/>
      <c r="AT191" s="307" t="n"/>
      <c r="AU191" s="307" t="n"/>
      <c r="AV191" s="307" t="n"/>
      <c r="AW191" s="307" t="n"/>
      <c r="AX191" s="307" t="n"/>
      <c r="AY191" s="307" t="n"/>
      <c r="AZ191" s="307" t="n"/>
      <c r="BA191" s="307" t="n"/>
      <c r="BB191" s="307" t="n"/>
      <c r="BC191" s="307" t="n"/>
      <c r="BD191" s="307" t="n"/>
      <c r="BE191" s="307" t="n"/>
      <c r="BF191" s="307" t="n"/>
      <c r="BG191" s="31" t="n"/>
      <c r="BH191" s="31" t="n"/>
      <c r="BI191" s="31" t="n"/>
      <c r="BJ191" s="31" t="n"/>
    </row>
    <row r="192" ht="15.75" customHeight="1" s="349">
      <c r="A192" s="307" t="n"/>
      <c r="B192" s="307" t="n"/>
      <c r="C192" s="307" t="n"/>
      <c r="D192" s="307" t="n"/>
      <c r="E192" s="307" t="n"/>
      <c r="F192" s="307" t="n"/>
      <c r="G192" s="307" t="n"/>
      <c r="H192" s="307" t="n"/>
      <c r="I192" s="307" t="n"/>
      <c r="J192" s="307" t="n"/>
      <c r="K192" s="307" t="n"/>
      <c r="L192" s="307" t="n"/>
      <c r="M192" s="307" t="n"/>
      <c r="N192" s="307" t="n"/>
      <c r="O192" s="307" t="n"/>
      <c r="P192" s="307" t="n"/>
      <c r="Q192" s="307" t="n"/>
      <c r="R192" s="307" t="n"/>
      <c r="S192" s="307" t="n"/>
      <c r="T192" s="307" t="n"/>
      <c r="U192" s="307" t="n"/>
      <c r="V192" s="307" t="n"/>
      <c r="W192" s="307" t="n"/>
      <c r="X192" s="307" t="n"/>
      <c r="Y192" s="307" t="n"/>
      <c r="Z192" s="307" t="n"/>
      <c r="AA192" s="307" t="n"/>
      <c r="AB192" s="307" t="n"/>
      <c r="AC192" s="307" t="n"/>
      <c r="AD192" s="307" t="n"/>
      <c r="AE192" s="307" t="n"/>
      <c r="AF192" s="307" t="n"/>
      <c r="AG192" s="307" t="n"/>
      <c r="AH192" s="307" t="n"/>
      <c r="AI192" s="307" t="n"/>
      <c r="AJ192" s="307" t="n"/>
      <c r="AK192" s="307" t="n"/>
      <c r="AL192" s="307" t="n"/>
      <c r="AM192" s="307" t="n"/>
      <c r="AN192" s="307" t="n"/>
      <c r="AO192" s="307" t="n"/>
      <c r="AP192" s="307" t="n"/>
      <c r="AQ192" s="307" t="n"/>
      <c r="AR192" s="307" t="n"/>
      <c r="AS192" s="307" t="n"/>
      <c r="AT192" s="307" t="n"/>
      <c r="AU192" s="307" t="n"/>
      <c r="AV192" s="307" t="n"/>
      <c r="AW192" s="307" t="n"/>
      <c r="AX192" s="307" t="n"/>
      <c r="AY192" s="307" t="n"/>
      <c r="AZ192" s="307" t="n"/>
      <c r="BA192" s="307" t="n"/>
      <c r="BB192" s="307" t="n"/>
      <c r="BC192" s="307" t="n"/>
      <c r="BD192" s="307" t="n"/>
      <c r="BE192" s="307" t="n"/>
      <c r="BF192" s="307" t="n"/>
      <c r="BG192" s="31" t="n"/>
      <c r="BH192" s="31" t="n"/>
      <c r="BI192" s="31" t="n"/>
      <c r="BJ192" s="31" t="n"/>
    </row>
    <row r="193" ht="15.75" customHeight="1" s="349">
      <c r="A193" s="307" t="n"/>
      <c r="B193" s="307" t="n"/>
      <c r="C193" s="307" t="n"/>
      <c r="D193" s="307" t="n"/>
      <c r="E193" s="307" t="n"/>
      <c r="F193" s="307" t="n"/>
      <c r="G193" s="307" t="n"/>
      <c r="H193" s="307" t="n"/>
      <c r="I193" s="307" t="n"/>
      <c r="J193" s="307" t="n"/>
      <c r="K193" s="307" t="n"/>
      <c r="L193" s="307" t="n"/>
      <c r="M193" s="307" t="n"/>
      <c r="N193" s="307" t="n"/>
      <c r="O193" s="307" t="n"/>
      <c r="P193" s="307" t="n"/>
      <c r="Q193" s="307" t="n"/>
      <c r="R193" s="307" t="n"/>
      <c r="S193" s="307" t="n"/>
      <c r="T193" s="307" t="n"/>
      <c r="U193" s="307" t="n"/>
      <c r="V193" s="307" t="n"/>
      <c r="W193" s="307" t="n"/>
      <c r="X193" s="307" t="n"/>
      <c r="Y193" s="307" t="n"/>
      <c r="Z193" s="307" t="n"/>
      <c r="AA193" s="307" t="n"/>
      <c r="AB193" s="307" t="n"/>
      <c r="AC193" s="307" t="n"/>
      <c r="AD193" s="307" t="n"/>
      <c r="AE193" s="307" t="n"/>
      <c r="AF193" s="307" t="n"/>
      <c r="AG193" s="307" t="n"/>
      <c r="AH193" s="307" t="n"/>
      <c r="AI193" s="307" t="n"/>
      <c r="AJ193" s="307" t="n"/>
      <c r="AK193" s="307" t="n"/>
      <c r="AL193" s="307" t="n"/>
      <c r="AM193" s="307" t="n"/>
      <c r="AN193" s="307" t="n"/>
      <c r="AO193" s="307" t="n"/>
      <c r="AP193" s="307" t="n"/>
      <c r="AQ193" s="307" t="n"/>
      <c r="AR193" s="307" t="n"/>
      <c r="AS193" s="307" t="n"/>
      <c r="AT193" s="307" t="n"/>
      <c r="AU193" s="307" t="n"/>
      <c r="AV193" s="307" t="n"/>
      <c r="AW193" s="307" t="n"/>
      <c r="AX193" s="307" t="n"/>
      <c r="AY193" s="307" t="n"/>
      <c r="AZ193" s="307" t="n"/>
      <c r="BA193" s="307" t="n"/>
      <c r="BB193" s="307" t="n"/>
      <c r="BC193" s="307" t="n"/>
      <c r="BD193" s="307" t="n"/>
      <c r="BE193" s="307" t="n"/>
      <c r="BF193" s="307" t="n"/>
      <c r="BG193" s="31" t="n"/>
      <c r="BH193" s="31" t="n"/>
      <c r="BI193" s="31" t="n"/>
      <c r="BJ193" s="31" t="n"/>
    </row>
    <row r="194" ht="15.75" customHeight="1" s="349">
      <c r="A194" s="307" t="n"/>
      <c r="B194" s="307" t="n"/>
      <c r="C194" s="307" t="n"/>
      <c r="D194" s="307" t="n"/>
      <c r="E194" s="307" t="n"/>
      <c r="F194" s="307" t="n"/>
      <c r="G194" s="307" t="n"/>
      <c r="H194" s="307" t="n"/>
      <c r="I194" s="307" t="n"/>
      <c r="J194" s="307" t="n"/>
      <c r="K194" s="307" t="n"/>
      <c r="L194" s="307" t="n"/>
      <c r="M194" s="307" t="n"/>
      <c r="N194" s="307" t="n"/>
      <c r="O194" s="307" t="n"/>
      <c r="P194" s="307" t="n"/>
      <c r="Q194" s="307" t="n"/>
      <c r="R194" s="307" t="n"/>
      <c r="S194" s="307" t="n"/>
      <c r="T194" s="307" t="n"/>
      <c r="U194" s="307" t="n"/>
      <c r="V194" s="307" t="n"/>
      <c r="W194" s="307" t="n"/>
      <c r="X194" s="307" t="n"/>
      <c r="Y194" s="307" t="n"/>
      <c r="Z194" s="307" t="n"/>
      <c r="AA194" s="307" t="n"/>
      <c r="AB194" s="307" t="n"/>
      <c r="AC194" s="307" t="n"/>
      <c r="AD194" s="307" t="n"/>
      <c r="AE194" s="307" t="n"/>
      <c r="AF194" s="307" t="n"/>
      <c r="AG194" s="307" t="n"/>
      <c r="AH194" s="307" t="n"/>
      <c r="AI194" s="307" t="n"/>
      <c r="AJ194" s="307" t="n"/>
      <c r="AK194" s="307" t="n"/>
      <c r="AL194" s="307" t="n"/>
      <c r="AM194" s="307" t="n"/>
      <c r="AN194" s="307" t="n"/>
      <c r="AO194" s="307" t="n"/>
      <c r="AP194" s="307" t="n"/>
      <c r="AQ194" s="307" t="n"/>
      <c r="AR194" s="307" t="n"/>
      <c r="AS194" s="307" t="n"/>
      <c r="AT194" s="307" t="n"/>
      <c r="AU194" s="307" t="n"/>
      <c r="AV194" s="307" t="n"/>
      <c r="AW194" s="307" t="n"/>
      <c r="AX194" s="307" t="n"/>
      <c r="AY194" s="307" t="n"/>
      <c r="AZ194" s="307" t="n"/>
      <c r="BA194" s="307" t="n"/>
      <c r="BB194" s="307" t="n"/>
      <c r="BC194" s="307" t="n"/>
      <c r="BD194" s="307" t="n"/>
      <c r="BE194" s="307" t="n"/>
      <c r="BF194" s="307" t="n"/>
      <c r="BG194" s="31" t="n"/>
      <c r="BH194" s="31" t="n"/>
      <c r="BI194" s="31" t="n"/>
      <c r="BJ194" s="31" t="n"/>
    </row>
    <row r="195" ht="15.75" customHeight="1" s="349">
      <c r="A195" s="307" t="n"/>
      <c r="B195" s="307" t="n"/>
      <c r="C195" s="307" t="n"/>
      <c r="D195" s="307" t="n"/>
      <c r="E195" s="307" t="n"/>
      <c r="F195" s="307" t="n"/>
      <c r="G195" s="307" t="n"/>
      <c r="H195" s="307" t="n"/>
      <c r="I195" s="307" t="n"/>
      <c r="J195" s="307" t="n"/>
      <c r="K195" s="307" t="n"/>
      <c r="L195" s="307" t="n"/>
      <c r="M195" s="307" t="n"/>
      <c r="N195" s="307" t="n"/>
      <c r="O195" s="307" t="n"/>
      <c r="P195" s="307" t="n"/>
      <c r="Q195" s="307" t="n"/>
      <c r="R195" s="307" t="n"/>
      <c r="S195" s="307" t="n"/>
      <c r="T195" s="307" t="n"/>
      <c r="U195" s="307" t="n"/>
      <c r="V195" s="307" t="n"/>
      <c r="W195" s="307" t="n"/>
      <c r="X195" s="307" t="n"/>
      <c r="Y195" s="307" t="n"/>
      <c r="Z195" s="307" t="n"/>
      <c r="AA195" s="307" t="n"/>
      <c r="AB195" s="307" t="n"/>
      <c r="AC195" s="307" t="n"/>
      <c r="AD195" s="307" t="n"/>
      <c r="AE195" s="307" t="n"/>
      <c r="AF195" s="307" t="n"/>
      <c r="AG195" s="307" t="n"/>
      <c r="AH195" s="307" t="n"/>
      <c r="AI195" s="307" t="n"/>
      <c r="AJ195" s="307" t="n"/>
      <c r="AK195" s="307" t="n"/>
      <c r="AL195" s="307" t="n"/>
      <c r="AM195" s="307" t="n"/>
      <c r="AN195" s="307" t="n"/>
      <c r="AO195" s="307" t="n"/>
      <c r="AP195" s="307" t="n"/>
      <c r="AQ195" s="307" t="n"/>
      <c r="AR195" s="307" t="n"/>
      <c r="AS195" s="307" t="n"/>
      <c r="AT195" s="307" t="n"/>
      <c r="AU195" s="307" t="n"/>
      <c r="AV195" s="307" t="n"/>
      <c r="AW195" s="307" t="n"/>
      <c r="AX195" s="307" t="n"/>
      <c r="AY195" s="307" t="n"/>
      <c r="AZ195" s="307" t="n"/>
      <c r="BA195" s="307" t="n"/>
      <c r="BB195" s="307" t="n"/>
      <c r="BC195" s="307" t="n"/>
      <c r="BD195" s="307" t="n"/>
      <c r="BE195" s="307" t="n"/>
      <c r="BF195" s="307" t="n"/>
      <c r="BG195" s="31" t="n"/>
      <c r="BH195" s="31" t="n"/>
      <c r="BI195" s="31" t="n"/>
      <c r="BJ195" s="31" t="n"/>
    </row>
    <row r="196" ht="15.75" customHeight="1" s="349">
      <c r="A196" s="307" t="n"/>
      <c r="B196" s="307" t="n"/>
      <c r="C196" s="307" t="n"/>
      <c r="D196" s="307" t="n"/>
      <c r="E196" s="307" t="n"/>
      <c r="F196" s="307" t="n"/>
      <c r="G196" s="307" t="n"/>
      <c r="H196" s="307" t="n"/>
      <c r="I196" s="307" t="n"/>
      <c r="J196" s="307" t="n"/>
      <c r="K196" s="307" t="n"/>
      <c r="L196" s="307" t="n"/>
      <c r="M196" s="307" t="n"/>
      <c r="N196" s="307" t="n"/>
      <c r="O196" s="307" t="n"/>
      <c r="P196" s="307" t="n"/>
      <c r="Q196" s="307" t="n"/>
      <c r="R196" s="307" t="n"/>
      <c r="S196" s="307" t="n"/>
      <c r="T196" s="307" t="n"/>
      <c r="U196" s="307" t="n"/>
      <c r="V196" s="307" t="n"/>
      <c r="W196" s="307" t="n"/>
      <c r="X196" s="307" t="n"/>
      <c r="Y196" s="307" t="n"/>
      <c r="Z196" s="307" t="n"/>
      <c r="AA196" s="307" t="n"/>
      <c r="AB196" s="307" t="n"/>
      <c r="AC196" s="307" t="n"/>
      <c r="AD196" s="307" t="n"/>
      <c r="AE196" s="307" t="n"/>
      <c r="AF196" s="307" t="n"/>
      <c r="AG196" s="307" t="n"/>
      <c r="AH196" s="307" t="n"/>
      <c r="AI196" s="307" t="n"/>
      <c r="AJ196" s="307" t="n"/>
      <c r="AK196" s="307" t="n"/>
      <c r="AL196" s="307" t="n"/>
      <c r="AM196" s="307" t="n"/>
      <c r="AN196" s="307" t="n"/>
      <c r="AO196" s="307" t="n"/>
      <c r="AP196" s="307" t="n"/>
      <c r="AQ196" s="307" t="n"/>
      <c r="AR196" s="307" t="n"/>
      <c r="AS196" s="307" t="n"/>
      <c r="AT196" s="307" t="n"/>
      <c r="AU196" s="307" t="n"/>
      <c r="AV196" s="307" t="n"/>
      <c r="AW196" s="307" t="n"/>
      <c r="AX196" s="307" t="n"/>
      <c r="AY196" s="307" t="n"/>
      <c r="AZ196" s="307" t="n"/>
      <c r="BA196" s="307" t="n"/>
      <c r="BB196" s="307" t="n"/>
      <c r="BC196" s="307" t="n"/>
      <c r="BD196" s="307" t="n"/>
      <c r="BE196" s="307" t="n"/>
      <c r="BF196" s="307" t="n"/>
      <c r="BG196" s="31" t="n"/>
      <c r="BH196" s="31" t="n"/>
      <c r="BI196" s="31" t="n"/>
      <c r="BJ196" s="31" t="n"/>
    </row>
    <row r="197" ht="15.75" customHeight="1" s="349">
      <c r="A197" s="307" t="n"/>
      <c r="B197" s="307" t="n"/>
      <c r="C197" s="307" t="n"/>
      <c r="D197" s="307" t="n"/>
      <c r="E197" s="307" t="n"/>
      <c r="F197" s="307" t="n"/>
      <c r="G197" s="307" t="n"/>
      <c r="H197" s="307" t="n"/>
      <c r="I197" s="307" t="n"/>
      <c r="J197" s="307" t="n"/>
      <c r="K197" s="307" t="n"/>
      <c r="L197" s="307" t="n"/>
      <c r="M197" s="307" t="n"/>
      <c r="N197" s="307" t="n"/>
      <c r="O197" s="307" t="n"/>
      <c r="P197" s="307" t="n"/>
      <c r="Q197" s="307" t="n"/>
      <c r="R197" s="307" t="n"/>
      <c r="S197" s="307" t="n"/>
      <c r="T197" s="307" t="n"/>
      <c r="U197" s="307" t="n"/>
      <c r="V197" s="307" t="n"/>
      <c r="W197" s="307" t="n"/>
      <c r="X197" s="307" t="n"/>
      <c r="Y197" s="307" t="n"/>
      <c r="Z197" s="307" t="n"/>
      <c r="AA197" s="307" t="n"/>
      <c r="AB197" s="307" t="n"/>
      <c r="AC197" s="307" t="n"/>
      <c r="AD197" s="307" t="n"/>
      <c r="AE197" s="307" t="n"/>
      <c r="AF197" s="307" t="n"/>
      <c r="AG197" s="307" t="n"/>
      <c r="AH197" s="307" t="n"/>
      <c r="AI197" s="307" t="n"/>
      <c r="AJ197" s="307" t="n"/>
      <c r="AK197" s="307" t="n"/>
      <c r="AL197" s="307" t="n"/>
      <c r="AM197" s="307" t="n"/>
      <c r="AN197" s="307" t="n"/>
      <c r="AO197" s="307" t="n"/>
      <c r="AP197" s="307" t="n"/>
      <c r="AQ197" s="307" t="n"/>
      <c r="AR197" s="307" t="n"/>
      <c r="AS197" s="307" t="n"/>
      <c r="AT197" s="307" t="n"/>
      <c r="AU197" s="307" t="n"/>
      <c r="AV197" s="307" t="n"/>
      <c r="AW197" s="307" t="n"/>
      <c r="AX197" s="307" t="n"/>
      <c r="AY197" s="307" t="n"/>
      <c r="AZ197" s="307" t="n"/>
      <c r="BA197" s="307" t="n"/>
      <c r="BB197" s="307" t="n"/>
      <c r="BC197" s="307" t="n"/>
      <c r="BD197" s="307" t="n"/>
      <c r="BE197" s="307" t="n"/>
      <c r="BF197" s="307" t="n"/>
      <c r="BG197" s="31" t="n"/>
      <c r="BH197" s="31" t="n"/>
      <c r="BI197" s="31" t="n"/>
      <c r="BJ197" s="31" t="n"/>
    </row>
    <row r="198" ht="15.75" customHeight="1" s="349">
      <c r="A198" s="307" t="n"/>
      <c r="B198" s="307" t="n"/>
      <c r="C198" s="307" t="n"/>
      <c r="D198" s="307" t="n"/>
      <c r="E198" s="307" t="n"/>
      <c r="F198" s="307" t="n"/>
      <c r="G198" s="307" t="n"/>
      <c r="H198" s="307" t="n"/>
      <c r="I198" s="307" t="n"/>
      <c r="J198" s="307" t="n"/>
      <c r="K198" s="307" t="n"/>
      <c r="L198" s="307" t="n"/>
      <c r="M198" s="307" t="n"/>
      <c r="N198" s="307" t="n"/>
      <c r="O198" s="307" t="n"/>
      <c r="P198" s="307" t="n"/>
      <c r="Q198" s="307" t="n"/>
      <c r="R198" s="307" t="n"/>
      <c r="S198" s="307" t="n"/>
      <c r="T198" s="307" t="n"/>
      <c r="U198" s="307" t="n"/>
      <c r="V198" s="307" t="n"/>
      <c r="W198" s="307" t="n"/>
      <c r="X198" s="307" t="n"/>
      <c r="Y198" s="307" t="n"/>
      <c r="Z198" s="307" t="n"/>
      <c r="AA198" s="307" t="n"/>
      <c r="AB198" s="307" t="n"/>
      <c r="AC198" s="307" t="n"/>
      <c r="AD198" s="307" t="n"/>
      <c r="AE198" s="307" t="n"/>
      <c r="AF198" s="307" t="n"/>
      <c r="AG198" s="307" t="n"/>
      <c r="AH198" s="307" t="n"/>
      <c r="AI198" s="307" t="n"/>
      <c r="AJ198" s="307" t="n"/>
      <c r="AK198" s="307" t="n"/>
      <c r="AL198" s="307" t="n"/>
      <c r="AM198" s="307" t="n"/>
      <c r="AN198" s="307" t="n"/>
      <c r="AO198" s="307" t="n"/>
      <c r="AP198" s="307" t="n"/>
      <c r="AQ198" s="307" t="n"/>
      <c r="AR198" s="307" t="n"/>
      <c r="AS198" s="307" t="n"/>
      <c r="AT198" s="307" t="n"/>
      <c r="AU198" s="307" t="n"/>
      <c r="AV198" s="307" t="n"/>
      <c r="AW198" s="307" t="n"/>
      <c r="AX198" s="307" t="n"/>
      <c r="AY198" s="307" t="n"/>
      <c r="AZ198" s="307" t="n"/>
      <c r="BA198" s="307" t="n"/>
      <c r="BB198" s="307" t="n"/>
      <c r="BC198" s="307" t="n"/>
      <c r="BD198" s="307" t="n"/>
      <c r="BE198" s="307" t="n"/>
      <c r="BF198" s="307" t="n"/>
      <c r="BG198" s="31" t="n"/>
      <c r="BH198" s="31" t="n"/>
      <c r="BI198" s="31" t="n"/>
      <c r="BJ198" s="31" t="n"/>
    </row>
    <row r="199" ht="15.75" customHeight="1" s="349">
      <c r="A199" s="307" t="n"/>
      <c r="B199" s="307" t="n"/>
      <c r="C199" s="307" t="n"/>
      <c r="D199" s="307" t="n"/>
      <c r="E199" s="307" t="n"/>
      <c r="F199" s="307" t="n"/>
      <c r="G199" s="307" t="n"/>
      <c r="H199" s="307" t="n"/>
      <c r="I199" s="307" t="n"/>
      <c r="J199" s="307" t="n"/>
      <c r="K199" s="307" t="n"/>
      <c r="L199" s="307" t="n"/>
      <c r="M199" s="307" t="n"/>
      <c r="N199" s="307" t="n"/>
      <c r="O199" s="307" t="n"/>
      <c r="P199" s="307" t="n"/>
      <c r="Q199" s="307" t="n"/>
      <c r="R199" s="307" t="n"/>
      <c r="S199" s="307" t="n"/>
      <c r="T199" s="307" t="n"/>
      <c r="U199" s="307" t="n"/>
      <c r="V199" s="307" t="n"/>
      <c r="W199" s="307" t="n"/>
      <c r="X199" s="307" t="n"/>
      <c r="Y199" s="307" t="n"/>
      <c r="Z199" s="307" t="n"/>
      <c r="AA199" s="307" t="n"/>
      <c r="AB199" s="307" t="n"/>
      <c r="AC199" s="307" t="n"/>
      <c r="AD199" s="307" t="n"/>
      <c r="AE199" s="307" t="n"/>
      <c r="AF199" s="307" t="n"/>
      <c r="AG199" s="307" t="n"/>
      <c r="AH199" s="307" t="n"/>
      <c r="AI199" s="307" t="n"/>
      <c r="AJ199" s="307" t="n"/>
      <c r="AK199" s="307" t="n"/>
      <c r="AL199" s="307" t="n"/>
      <c r="AM199" s="307" t="n"/>
      <c r="AN199" s="307" t="n"/>
      <c r="AO199" s="307" t="n"/>
      <c r="AP199" s="307" t="n"/>
      <c r="AQ199" s="307" t="n"/>
      <c r="AR199" s="307" t="n"/>
      <c r="AS199" s="307" t="n"/>
      <c r="AT199" s="307" t="n"/>
      <c r="AU199" s="307" t="n"/>
      <c r="AV199" s="307" t="n"/>
      <c r="AW199" s="307" t="n"/>
      <c r="AX199" s="307" t="n"/>
      <c r="AY199" s="307" t="n"/>
      <c r="AZ199" s="307" t="n"/>
      <c r="BA199" s="307" t="n"/>
      <c r="BB199" s="307" t="n"/>
      <c r="BC199" s="307" t="n"/>
      <c r="BD199" s="307" t="n"/>
      <c r="BE199" s="307" t="n"/>
      <c r="BF199" s="307" t="n"/>
      <c r="BG199" s="31" t="n"/>
      <c r="BH199" s="31" t="n"/>
      <c r="BI199" s="31" t="n"/>
      <c r="BJ199" s="31" t="n"/>
    </row>
    <row r="200" ht="15.75" customHeight="1" s="349">
      <c r="A200" s="307" t="n"/>
      <c r="B200" s="307" t="n"/>
      <c r="C200" s="307" t="n"/>
      <c r="D200" s="307" t="n"/>
      <c r="E200" s="307" t="n"/>
      <c r="F200" s="307" t="n"/>
      <c r="G200" s="307" t="n"/>
      <c r="H200" s="307" t="n"/>
      <c r="I200" s="307" t="n"/>
      <c r="J200" s="307" t="n"/>
      <c r="K200" s="307" t="n"/>
      <c r="L200" s="307" t="n"/>
      <c r="M200" s="307" t="n"/>
      <c r="N200" s="307" t="n"/>
      <c r="O200" s="307" t="n"/>
      <c r="P200" s="307" t="n"/>
      <c r="Q200" s="307" t="n"/>
      <c r="R200" s="307" t="n"/>
      <c r="S200" s="307" t="n"/>
      <c r="T200" s="307" t="n"/>
      <c r="U200" s="307" t="n"/>
      <c r="V200" s="307" t="n"/>
      <c r="W200" s="307" t="n"/>
      <c r="X200" s="307" t="n"/>
      <c r="Y200" s="307" t="n"/>
      <c r="Z200" s="307" t="n"/>
      <c r="AA200" s="307" t="n"/>
      <c r="AB200" s="307" t="n"/>
      <c r="AC200" s="307" t="n"/>
      <c r="AD200" s="307" t="n"/>
      <c r="AE200" s="307" t="n"/>
      <c r="AF200" s="307" t="n"/>
      <c r="AG200" s="307" t="n"/>
      <c r="AH200" s="307" t="n"/>
      <c r="AI200" s="307" t="n"/>
      <c r="AJ200" s="307" t="n"/>
      <c r="AK200" s="307" t="n"/>
      <c r="AL200" s="307" t="n"/>
      <c r="AM200" s="307" t="n"/>
      <c r="AN200" s="307" t="n"/>
      <c r="AO200" s="307" t="n"/>
      <c r="AP200" s="307" t="n"/>
      <c r="AQ200" s="307" t="n"/>
      <c r="AR200" s="307" t="n"/>
      <c r="AS200" s="307" t="n"/>
      <c r="AT200" s="307" t="n"/>
      <c r="AU200" s="307" t="n"/>
      <c r="AV200" s="307" t="n"/>
      <c r="AW200" s="307" t="n"/>
      <c r="AX200" s="307" t="n"/>
      <c r="AY200" s="307" t="n"/>
      <c r="AZ200" s="307" t="n"/>
      <c r="BA200" s="307" t="n"/>
      <c r="BB200" s="307" t="n"/>
      <c r="BC200" s="307" t="n"/>
      <c r="BD200" s="307" t="n"/>
      <c r="BE200" s="307" t="n"/>
      <c r="BF200" s="307" t="n"/>
      <c r="BG200" s="31" t="n"/>
      <c r="BH200" s="31" t="n"/>
      <c r="BI200" s="31" t="n"/>
      <c r="BJ200" s="31" t="n"/>
    </row>
    <row r="201" ht="15.75" customHeight="1" s="349">
      <c r="A201" s="307" t="n"/>
      <c r="B201" s="307" t="n"/>
      <c r="C201" s="307" t="n"/>
      <c r="D201" s="307" t="n"/>
      <c r="E201" s="307" t="n"/>
      <c r="F201" s="307" t="n"/>
      <c r="G201" s="307" t="n"/>
      <c r="H201" s="307" t="n"/>
      <c r="I201" s="307" t="n"/>
      <c r="J201" s="307" t="n"/>
      <c r="K201" s="307" t="n"/>
      <c r="L201" s="307" t="n"/>
      <c r="M201" s="307" t="n"/>
      <c r="N201" s="307" t="n"/>
      <c r="O201" s="307" t="n"/>
      <c r="P201" s="307" t="n"/>
      <c r="Q201" s="307" t="n"/>
      <c r="R201" s="307" t="n"/>
      <c r="S201" s="307" t="n"/>
      <c r="T201" s="307" t="n"/>
      <c r="U201" s="307" t="n"/>
      <c r="V201" s="307" t="n"/>
      <c r="W201" s="307" t="n"/>
      <c r="X201" s="307" t="n"/>
      <c r="Y201" s="307" t="n"/>
      <c r="Z201" s="307" t="n"/>
      <c r="AA201" s="307" t="n"/>
      <c r="AB201" s="307" t="n"/>
      <c r="AC201" s="307" t="n"/>
      <c r="AD201" s="307" t="n"/>
      <c r="AE201" s="307" t="n"/>
      <c r="AF201" s="307" t="n"/>
      <c r="AG201" s="307" t="n"/>
      <c r="AH201" s="307" t="n"/>
      <c r="AI201" s="307" t="n"/>
      <c r="AJ201" s="307" t="n"/>
      <c r="AK201" s="307" t="n"/>
      <c r="AL201" s="307" t="n"/>
      <c r="AM201" s="307" t="n"/>
      <c r="AN201" s="307" t="n"/>
      <c r="AO201" s="307" t="n"/>
      <c r="AP201" s="307" t="n"/>
      <c r="AQ201" s="307" t="n"/>
      <c r="AR201" s="307" t="n"/>
      <c r="AS201" s="307" t="n"/>
      <c r="AT201" s="307" t="n"/>
      <c r="AU201" s="307" t="n"/>
      <c r="AV201" s="307" t="n"/>
      <c r="AW201" s="307" t="n"/>
      <c r="AX201" s="307" t="n"/>
      <c r="AY201" s="307" t="n"/>
      <c r="AZ201" s="307" t="n"/>
      <c r="BA201" s="307" t="n"/>
      <c r="BB201" s="307" t="n"/>
      <c r="BC201" s="307" t="n"/>
      <c r="BD201" s="307" t="n"/>
      <c r="BE201" s="307" t="n"/>
      <c r="BF201" s="307" t="n"/>
      <c r="BG201" s="31" t="n"/>
      <c r="BH201" s="31" t="n"/>
      <c r="BI201" s="31" t="n"/>
      <c r="BJ201" s="31" t="n"/>
    </row>
    <row r="202" ht="15.75" customHeight="1" s="349">
      <c r="A202" s="307" t="n"/>
      <c r="B202" s="307" t="n"/>
      <c r="C202" s="307" t="n"/>
      <c r="D202" s="307" t="n"/>
      <c r="E202" s="307" t="n"/>
      <c r="F202" s="307" t="n"/>
      <c r="G202" s="307" t="n"/>
      <c r="H202" s="307" t="n"/>
      <c r="I202" s="307" t="n"/>
      <c r="J202" s="307" t="n"/>
      <c r="K202" s="307" t="n"/>
      <c r="L202" s="307" t="n"/>
      <c r="M202" s="307" t="n"/>
      <c r="N202" s="307" t="n"/>
      <c r="O202" s="307" t="n"/>
      <c r="P202" s="307" t="n"/>
      <c r="Q202" s="307" t="n"/>
      <c r="R202" s="307" t="n"/>
      <c r="S202" s="307" t="n"/>
      <c r="T202" s="307" t="n"/>
      <c r="U202" s="307" t="n"/>
      <c r="V202" s="307" t="n"/>
      <c r="W202" s="307" t="n"/>
      <c r="X202" s="307" t="n"/>
      <c r="Y202" s="307" t="n"/>
      <c r="Z202" s="307" t="n"/>
      <c r="AA202" s="307" t="n"/>
      <c r="AB202" s="307" t="n"/>
      <c r="AC202" s="307" t="n"/>
      <c r="AD202" s="307" t="n"/>
      <c r="AE202" s="307" t="n"/>
      <c r="AF202" s="307" t="n"/>
      <c r="AG202" s="307" t="n"/>
      <c r="AH202" s="307" t="n"/>
      <c r="AI202" s="307" t="n"/>
      <c r="AJ202" s="307" t="n"/>
      <c r="AK202" s="307" t="n"/>
      <c r="AL202" s="307" t="n"/>
      <c r="AM202" s="307" t="n"/>
      <c r="AN202" s="307" t="n"/>
      <c r="AO202" s="307" t="n"/>
      <c r="AP202" s="307" t="n"/>
      <c r="AQ202" s="307" t="n"/>
      <c r="AR202" s="307" t="n"/>
      <c r="AS202" s="307" t="n"/>
      <c r="AT202" s="307" t="n"/>
      <c r="AU202" s="307" t="n"/>
      <c r="AV202" s="307" t="n"/>
      <c r="AW202" s="307" t="n"/>
      <c r="AX202" s="307" t="n"/>
      <c r="AY202" s="307" t="n"/>
      <c r="AZ202" s="307" t="n"/>
      <c r="BA202" s="307" t="n"/>
      <c r="BB202" s="307" t="n"/>
      <c r="BC202" s="307" t="n"/>
      <c r="BD202" s="307" t="n"/>
      <c r="BE202" s="307" t="n"/>
      <c r="BF202" s="307" t="n"/>
      <c r="BG202" s="31" t="n"/>
      <c r="BH202" s="31" t="n"/>
      <c r="BI202" s="31" t="n"/>
      <c r="BJ202" s="31" t="n"/>
    </row>
    <row r="203" ht="15.75" customHeight="1" s="349">
      <c r="A203" s="307" t="n"/>
      <c r="B203" s="307" t="n"/>
      <c r="C203" s="307" t="n"/>
      <c r="D203" s="307" t="n"/>
      <c r="E203" s="307" t="n"/>
      <c r="F203" s="307" t="n"/>
      <c r="G203" s="307" t="n"/>
      <c r="H203" s="307" t="n"/>
      <c r="I203" s="307" t="n"/>
      <c r="J203" s="307" t="n"/>
      <c r="K203" s="307" t="n"/>
      <c r="L203" s="307" t="n"/>
      <c r="M203" s="307" t="n"/>
      <c r="N203" s="307" t="n"/>
      <c r="O203" s="307" t="n"/>
      <c r="P203" s="307" t="n"/>
      <c r="Q203" s="307" t="n"/>
      <c r="R203" s="307" t="n"/>
      <c r="S203" s="307" t="n"/>
      <c r="T203" s="307" t="n"/>
      <c r="U203" s="307" t="n"/>
      <c r="V203" s="307" t="n"/>
      <c r="W203" s="307" t="n"/>
      <c r="X203" s="307" t="n"/>
      <c r="Y203" s="307" t="n"/>
      <c r="Z203" s="307" t="n"/>
      <c r="AA203" s="307" t="n"/>
      <c r="AB203" s="307" t="n"/>
      <c r="AC203" s="307" t="n"/>
      <c r="AD203" s="307" t="n"/>
      <c r="AE203" s="307" t="n"/>
      <c r="AF203" s="307" t="n"/>
      <c r="AG203" s="307" t="n"/>
      <c r="AH203" s="307" t="n"/>
      <c r="AI203" s="307" t="n"/>
      <c r="AJ203" s="307" t="n"/>
      <c r="AK203" s="307" t="n"/>
      <c r="AL203" s="307" t="n"/>
      <c r="AM203" s="307" t="n"/>
      <c r="AN203" s="307" t="n"/>
      <c r="AO203" s="307" t="n"/>
      <c r="AP203" s="307" t="n"/>
      <c r="AQ203" s="307" t="n"/>
      <c r="AR203" s="307" t="n"/>
      <c r="AS203" s="307" t="n"/>
      <c r="AT203" s="307" t="n"/>
      <c r="AU203" s="307" t="n"/>
      <c r="AV203" s="307" t="n"/>
      <c r="AW203" s="307" t="n"/>
      <c r="AX203" s="307" t="n"/>
      <c r="AY203" s="307" t="n"/>
      <c r="AZ203" s="307" t="n"/>
      <c r="BA203" s="307" t="n"/>
      <c r="BB203" s="307" t="n"/>
      <c r="BC203" s="307" t="n"/>
      <c r="BD203" s="307" t="n"/>
      <c r="BE203" s="307" t="n"/>
      <c r="BF203" s="307" t="n"/>
      <c r="BG203" s="31" t="n"/>
      <c r="BH203" s="31" t="n"/>
      <c r="BI203" s="31" t="n"/>
      <c r="BJ203" s="31" t="n"/>
    </row>
    <row r="204" ht="15.75" customHeight="1" s="349">
      <c r="A204" s="307" t="n"/>
      <c r="B204" s="307" t="n"/>
      <c r="C204" s="307" t="n"/>
      <c r="D204" s="307" t="n"/>
      <c r="E204" s="307" t="n"/>
      <c r="F204" s="307" t="n"/>
      <c r="G204" s="307" t="n"/>
      <c r="H204" s="307" t="n"/>
      <c r="I204" s="307" t="n"/>
      <c r="J204" s="307" t="n"/>
      <c r="K204" s="307" t="n"/>
      <c r="L204" s="307" t="n"/>
      <c r="M204" s="307" t="n"/>
      <c r="N204" s="307" t="n"/>
      <c r="O204" s="307" t="n"/>
      <c r="P204" s="307" t="n"/>
      <c r="Q204" s="307" t="n"/>
      <c r="R204" s="307" t="n"/>
      <c r="S204" s="307" t="n"/>
      <c r="T204" s="307" t="n"/>
      <c r="U204" s="307" t="n"/>
      <c r="V204" s="307" t="n"/>
      <c r="W204" s="307" t="n"/>
      <c r="X204" s="307" t="n"/>
      <c r="Y204" s="307" t="n"/>
      <c r="Z204" s="307" t="n"/>
      <c r="AA204" s="307" t="n"/>
      <c r="AB204" s="307" t="n"/>
      <c r="AC204" s="307" t="n"/>
      <c r="AD204" s="307" t="n"/>
      <c r="AE204" s="307" t="n"/>
      <c r="AF204" s="307" t="n"/>
      <c r="AG204" s="307" t="n"/>
      <c r="AH204" s="307" t="n"/>
      <c r="AI204" s="307" t="n"/>
      <c r="AJ204" s="307" t="n"/>
      <c r="AK204" s="307" t="n"/>
      <c r="AL204" s="307" t="n"/>
      <c r="AM204" s="307" t="n"/>
      <c r="AN204" s="307" t="n"/>
      <c r="AO204" s="307" t="n"/>
      <c r="AP204" s="307" t="n"/>
      <c r="AQ204" s="307" t="n"/>
      <c r="AR204" s="307" t="n"/>
      <c r="AS204" s="307" t="n"/>
      <c r="AT204" s="307" t="n"/>
      <c r="AU204" s="307" t="n"/>
      <c r="AV204" s="307" t="n"/>
      <c r="AW204" s="307" t="n"/>
      <c r="AX204" s="307" t="n"/>
      <c r="AY204" s="307" t="n"/>
      <c r="AZ204" s="307" t="n"/>
      <c r="BA204" s="307" t="n"/>
      <c r="BB204" s="307" t="n"/>
      <c r="BC204" s="307" t="n"/>
      <c r="BD204" s="307" t="n"/>
      <c r="BE204" s="307" t="n"/>
      <c r="BF204" s="307" t="n"/>
      <c r="BG204" s="31" t="n"/>
      <c r="BH204" s="31" t="n"/>
      <c r="BI204" s="31" t="n"/>
      <c r="BJ204" s="31" t="n"/>
    </row>
    <row r="205" ht="15.75" customHeight="1" s="349">
      <c r="A205" s="307" t="n"/>
      <c r="B205" s="307" t="n"/>
      <c r="C205" s="307" t="n"/>
      <c r="D205" s="307" t="n"/>
      <c r="E205" s="307" t="n"/>
      <c r="F205" s="307" t="n"/>
      <c r="G205" s="307" t="n"/>
      <c r="H205" s="307" t="n"/>
      <c r="I205" s="307" t="n"/>
      <c r="J205" s="307" t="n"/>
      <c r="K205" s="307" t="n"/>
      <c r="L205" s="307" t="n"/>
      <c r="M205" s="307" t="n"/>
      <c r="N205" s="307" t="n"/>
      <c r="O205" s="307" t="n"/>
      <c r="P205" s="307" t="n"/>
      <c r="Q205" s="307" t="n"/>
      <c r="R205" s="307" t="n"/>
      <c r="S205" s="307" t="n"/>
      <c r="T205" s="307" t="n"/>
      <c r="U205" s="307" t="n"/>
      <c r="V205" s="307" t="n"/>
      <c r="W205" s="307" t="n"/>
      <c r="X205" s="307" t="n"/>
      <c r="Y205" s="307" t="n"/>
      <c r="Z205" s="307" t="n"/>
      <c r="AA205" s="307" t="n"/>
      <c r="AB205" s="307" t="n"/>
      <c r="AC205" s="307" t="n"/>
      <c r="AD205" s="307" t="n"/>
      <c r="AE205" s="307" t="n"/>
      <c r="AF205" s="307" t="n"/>
      <c r="AG205" s="307" t="n"/>
      <c r="AH205" s="307" t="n"/>
      <c r="AI205" s="307" t="n"/>
      <c r="AJ205" s="307" t="n"/>
      <c r="AK205" s="307" t="n"/>
      <c r="AL205" s="307" t="n"/>
      <c r="AM205" s="307" t="n"/>
      <c r="AN205" s="307" t="n"/>
      <c r="AO205" s="307" t="n"/>
      <c r="AP205" s="307" t="n"/>
      <c r="AQ205" s="307" t="n"/>
      <c r="AR205" s="307" t="n"/>
      <c r="AS205" s="307" t="n"/>
      <c r="AT205" s="307" t="n"/>
      <c r="AU205" s="307" t="n"/>
      <c r="AV205" s="307" t="n"/>
      <c r="AW205" s="307" t="n"/>
      <c r="AX205" s="307" t="n"/>
      <c r="AY205" s="307" t="n"/>
      <c r="AZ205" s="307" t="n"/>
      <c r="BA205" s="307" t="n"/>
      <c r="BB205" s="307" t="n"/>
      <c r="BC205" s="307" t="n"/>
      <c r="BD205" s="307" t="n"/>
      <c r="BE205" s="307" t="n"/>
      <c r="BF205" s="307" t="n"/>
      <c r="BG205" s="31" t="n"/>
      <c r="BH205" s="31" t="n"/>
      <c r="BI205" s="31" t="n"/>
      <c r="BJ205" s="31" t="n"/>
    </row>
    <row r="206" ht="15.75" customHeight="1" s="349">
      <c r="A206" s="307" t="n"/>
      <c r="B206" s="307" t="n"/>
      <c r="C206" s="307" t="n"/>
      <c r="D206" s="307" t="n"/>
      <c r="E206" s="307" t="n"/>
      <c r="F206" s="307" t="n"/>
      <c r="G206" s="307" t="n"/>
      <c r="H206" s="307" t="n"/>
      <c r="I206" s="307" t="n"/>
      <c r="J206" s="307" t="n"/>
      <c r="K206" s="307" t="n"/>
      <c r="L206" s="307" t="n"/>
      <c r="M206" s="307" t="n"/>
      <c r="N206" s="307" t="n"/>
      <c r="O206" s="307" t="n"/>
      <c r="P206" s="307" t="n"/>
      <c r="Q206" s="307" t="n"/>
      <c r="R206" s="307" t="n"/>
      <c r="S206" s="307" t="n"/>
      <c r="T206" s="307" t="n"/>
      <c r="U206" s="307" t="n"/>
      <c r="V206" s="307" t="n"/>
      <c r="W206" s="307" t="n"/>
      <c r="X206" s="307" t="n"/>
      <c r="Y206" s="307" t="n"/>
      <c r="Z206" s="307" t="n"/>
      <c r="AA206" s="307" t="n"/>
      <c r="AB206" s="307" t="n"/>
      <c r="AC206" s="307" t="n"/>
      <c r="AD206" s="307" t="n"/>
      <c r="AE206" s="307" t="n"/>
      <c r="AF206" s="307" t="n"/>
      <c r="AG206" s="307" t="n"/>
      <c r="AH206" s="307" t="n"/>
      <c r="AI206" s="307" t="n"/>
      <c r="AJ206" s="307" t="n"/>
      <c r="AK206" s="307" t="n"/>
      <c r="AL206" s="307" t="n"/>
      <c r="AM206" s="307" t="n"/>
      <c r="AN206" s="307" t="n"/>
      <c r="AO206" s="307" t="n"/>
      <c r="AP206" s="307" t="n"/>
      <c r="AQ206" s="307" t="n"/>
      <c r="AR206" s="307" t="n"/>
      <c r="AS206" s="307" t="n"/>
      <c r="AT206" s="307" t="n"/>
      <c r="AU206" s="307" t="n"/>
      <c r="AV206" s="307" t="n"/>
      <c r="AW206" s="307" t="n"/>
      <c r="AX206" s="307" t="n"/>
      <c r="AY206" s="307" t="n"/>
      <c r="AZ206" s="307" t="n"/>
      <c r="BA206" s="307" t="n"/>
      <c r="BB206" s="307" t="n"/>
      <c r="BC206" s="307" t="n"/>
      <c r="BD206" s="307" t="n"/>
      <c r="BE206" s="307" t="n"/>
      <c r="BF206" s="307" t="n"/>
      <c r="BG206" s="31" t="n"/>
      <c r="BH206" s="31" t="n"/>
      <c r="BI206" s="31" t="n"/>
      <c r="BJ206" s="31" t="n"/>
    </row>
    <row r="207" ht="15.75" customHeight="1" s="349">
      <c r="A207" s="307" t="n"/>
      <c r="B207" s="307" t="n"/>
      <c r="C207" s="307" t="n"/>
      <c r="D207" s="307" t="n"/>
      <c r="E207" s="307" t="n"/>
      <c r="F207" s="307" t="n"/>
      <c r="G207" s="307" t="n"/>
      <c r="H207" s="307" t="n"/>
      <c r="I207" s="307" t="n"/>
      <c r="J207" s="307" t="n"/>
      <c r="K207" s="307" t="n"/>
      <c r="L207" s="307" t="n"/>
      <c r="M207" s="307" t="n"/>
      <c r="N207" s="307" t="n"/>
      <c r="O207" s="307" t="n"/>
      <c r="P207" s="307" t="n"/>
      <c r="Q207" s="307" t="n"/>
      <c r="R207" s="307" t="n"/>
      <c r="S207" s="307" t="n"/>
      <c r="T207" s="307" t="n"/>
      <c r="U207" s="307" t="n"/>
      <c r="V207" s="307" t="n"/>
      <c r="W207" s="307" t="n"/>
      <c r="X207" s="307" t="n"/>
      <c r="Y207" s="307" t="n"/>
      <c r="Z207" s="307" t="n"/>
      <c r="AA207" s="307" t="n"/>
      <c r="AB207" s="307" t="n"/>
      <c r="AC207" s="307" t="n"/>
      <c r="AD207" s="307" t="n"/>
      <c r="AE207" s="307" t="n"/>
      <c r="AF207" s="307" t="n"/>
      <c r="AG207" s="307" t="n"/>
      <c r="AH207" s="307" t="n"/>
      <c r="AI207" s="307" t="n"/>
      <c r="AJ207" s="307" t="n"/>
      <c r="AK207" s="307" t="n"/>
      <c r="AL207" s="307" t="n"/>
      <c r="AM207" s="307" t="n"/>
      <c r="AN207" s="307" t="n"/>
      <c r="AO207" s="307" t="n"/>
      <c r="AP207" s="307" t="n"/>
      <c r="AQ207" s="307" t="n"/>
      <c r="AR207" s="307" t="n"/>
      <c r="AS207" s="307" t="n"/>
      <c r="AT207" s="307" t="n"/>
      <c r="AU207" s="307" t="n"/>
      <c r="AV207" s="307" t="n"/>
      <c r="AW207" s="307" t="n"/>
      <c r="AX207" s="307" t="n"/>
      <c r="AY207" s="307" t="n"/>
      <c r="AZ207" s="307" t="n"/>
      <c r="BA207" s="307" t="n"/>
      <c r="BB207" s="307" t="n"/>
      <c r="BC207" s="307" t="n"/>
      <c r="BD207" s="307" t="n"/>
      <c r="BE207" s="307" t="n"/>
      <c r="BF207" s="307" t="n"/>
      <c r="BG207" s="31" t="n"/>
      <c r="BH207" s="31" t="n"/>
      <c r="BI207" s="31" t="n"/>
      <c r="BJ207" s="31" t="n"/>
    </row>
    <row r="208" ht="15.75" customHeight="1" s="349">
      <c r="A208" s="307" t="n"/>
      <c r="B208" s="307" t="n"/>
      <c r="C208" s="307" t="n"/>
      <c r="D208" s="307" t="n"/>
      <c r="E208" s="307" t="n"/>
      <c r="F208" s="307" t="n"/>
      <c r="G208" s="307" t="n"/>
      <c r="H208" s="307" t="n"/>
      <c r="I208" s="307" t="n"/>
      <c r="J208" s="307" t="n"/>
      <c r="K208" s="307" t="n"/>
      <c r="L208" s="307" t="n"/>
      <c r="M208" s="307" t="n"/>
      <c r="N208" s="307" t="n"/>
      <c r="O208" s="307" t="n"/>
      <c r="P208" s="307" t="n"/>
      <c r="Q208" s="307" t="n"/>
      <c r="R208" s="307" t="n"/>
      <c r="S208" s="307" t="n"/>
      <c r="T208" s="307" t="n"/>
      <c r="U208" s="307" t="n"/>
      <c r="V208" s="307" t="n"/>
      <c r="W208" s="307" t="n"/>
      <c r="X208" s="307" t="n"/>
      <c r="Y208" s="307" t="n"/>
      <c r="Z208" s="307" t="n"/>
      <c r="AA208" s="307" t="n"/>
      <c r="AB208" s="307" t="n"/>
      <c r="AC208" s="307" t="n"/>
      <c r="AD208" s="307" t="n"/>
      <c r="AE208" s="307" t="n"/>
      <c r="AF208" s="307" t="n"/>
      <c r="AG208" s="307" t="n"/>
      <c r="AH208" s="307" t="n"/>
      <c r="AI208" s="307" t="n"/>
      <c r="AJ208" s="307" t="n"/>
      <c r="AK208" s="307" t="n"/>
      <c r="AL208" s="307" t="n"/>
      <c r="AM208" s="307" t="n"/>
      <c r="AN208" s="307" t="n"/>
      <c r="AO208" s="307" t="n"/>
      <c r="AP208" s="307" t="n"/>
      <c r="AQ208" s="307" t="n"/>
      <c r="AR208" s="307" t="n"/>
      <c r="AS208" s="307" t="n"/>
      <c r="AT208" s="307" t="n"/>
      <c r="AU208" s="307" t="n"/>
      <c r="AV208" s="307" t="n"/>
      <c r="AW208" s="307" t="n"/>
      <c r="AX208" s="307" t="n"/>
      <c r="AY208" s="307" t="n"/>
      <c r="AZ208" s="307" t="n"/>
      <c r="BA208" s="307" t="n"/>
      <c r="BB208" s="307" t="n"/>
      <c r="BC208" s="307" t="n"/>
      <c r="BD208" s="307" t="n"/>
      <c r="BE208" s="307" t="n"/>
      <c r="BF208" s="307" t="n"/>
      <c r="BG208" s="31" t="n"/>
      <c r="BH208" s="31" t="n"/>
      <c r="BI208" s="31" t="n"/>
      <c r="BJ208" s="31" t="n"/>
    </row>
    <row r="209" ht="15.75" customHeight="1" s="349">
      <c r="A209" s="307" t="n"/>
      <c r="B209" s="307" t="n"/>
      <c r="C209" s="307" t="n"/>
      <c r="D209" s="307" t="n"/>
      <c r="E209" s="307" t="n"/>
      <c r="F209" s="307" t="n"/>
      <c r="G209" s="307" t="n"/>
      <c r="H209" s="307" t="n"/>
      <c r="I209" s="307" t="n"/>
      <c r="J209" s="307" t="n"/>
      <c r="K209" s="307" t="n"/>
      <c r="L209" s="307" t="n"/>
      <c r="M209" s="307" t="n"/>
      <c r="N209" s="307" t="n"/>
      <c r="O209" s="307" t="n"/>
      <c r="P209" s="307" t="n"/>
      <c r="Q209" s="307" t="n"/>
      <c r="R209" s="307" t="n"/>
      <c r="S209" s="307" t="n"/>
      <c r="T209" s="307" t="n"/>
      <c r="U209" s="307" t="n"/>
      <c r="V209" s="307" t="n"/>
      <c r="W209" s="307" t="n"/>
      <c r="X209" s="307" t="n"/>
      <c r="Y209" s="307" t="n"/>
      <c r="Z209" s="307" t="n"/>
      <c r="AA209" s="307" t="n"/>
      <c r="AB209" s="307" t="n"/>
      <c r="AC209" s="307" t="n"/>
      <c r="AD209" s="307" t="n"/>
      <c r="AE209" s="307" t="n"/>
      <c r="AF209" s="307" t="n"/>
      <c r="AG209" s="307" t="n"/>
      <c r="AH209" s="307" t="n"/>
      <c r="AI209" s="307" t="n"/>
      <c r="AJ209" s="307" t="n"/>
      <c r="AK209" s="307" t="n"/>
      <c r="AL209" s="307" t="n"/>
      <c r="AM209" s="307" t="n"/>
      <c r="AN209" s="307" t="n"/>
      <c r="AO209" s="307" t="n"/>
      <c r="AP209" s="307" t="n"/>
      <c r="AQ209" s="307" t="n"/>
      <c r="AR209" s="307" t="n"/>
      <c r="AS209" s="307" t="n"/>
      <c r="AT209" s="307" t="n"/>
      <c r="AU209" s="307" t="n"/>
      <c r="AV209" s="307" t="n"/>
      <c r="AW209" s="307" t="n"/>
      <c r="AX209" s="307" t="n"/>
      <c r="AY209" s="307" t="n"/>
      <c r="AZ209" s="307" t="n"/>
      <c r="BA209" s="307" t="n"/>
      <c r="BB209" s="307" t="n"/>
      <c r="BC209" s="307" t="n"/>
      <c r="BD209" s="307" t="n"/>
      <c r="BE209" s="307" t="n"/>
      <c r="BF209" s="307" t="n"/>
      <c r="BG209" s="31" t="n"/>
      <c r="BH209" s="31" t="n"/>
      <c r="BI209" s="31" t="n"/>
      <c r="BJ209" s="31" t="n"/>
    </row>
    <row r="210" ht="15.75" customHeight="1" s="349">
      <c r="A210" s="307" t="n"/>
      <c r="B210" s="307" t="n"/>
      <c r="C210" s="307" t="n"/>
      <c r="D210" s="307" t="n"/>
      <c r="E210" s="307" t="n"/>
      <c r="F210" s="307" t="n"/>
      <c r="G210" s="307" t="n"/>
      <c r="H210" s="307" t="n"/>
      <c r="I210" s="307" t="n"/>
      <c r="J210" s="307" t="n"/>
      <c r="K210" s="307" t="n"/>
      <c r="L210" s="307" t="n"/>
      <c r="M210" s="307" t="n"/>
      <c r="N210" s="307" t="n"/>
      <c r="O210" s="307" t="n"/>
      <c r="P210" s="307" t="n"/>
      <c r="Q210" s="307" t="n"/>
      <c r="R210" s="307" t="n"/>
      <c r="S210" s="307" t="n"/>
      <c r="T210" s="307" t="n"/>
      <c r="U210" s="307" t="n"/>
      <c r="V210" s="307" t="n"/>
      <c r="W210" s="307" t="n"/>
      <c r="X210" s="307" t="n"/>
      <c r="Y210" s="307" t="n"/>
      <c r="Z210" s="307" t="n"/>
      <c r="AA210" s="307" t="n"/>
      <c r="AB210" s="307" t="n"/>
      <c r="AC210" s="307" t="n"/>
      <c r="AD210" s="307" t="n"/>
      <c r="AE210" s="307" t="n"/>
      <c r="AF210" s="307" t="n"/>
      <c r="AG210" s="307" t="n"/>
      <c r="AH210" s="307" t="n"/>
      <c r="AI210" s="307" t="n"/>
      <c r="AJ210" s="307" t="n"/>
      <c r="AK210" s="307" t="n"/>
      <c r="AL210" s="307" t="n"/>
      <c r="AM210" s="307" t="n"/>
      <c r="AN210" s="307" t="n"/>
      <c r="AO210" s="307" t="n"/>
      <c r="AP210" s="307" t="n"/>
      <c r="AQ210" s="307" t="n"/>
      <c r="AR210" s="307" t="n"/>
      <c r="AS210" s="307" t="n"/>
      <c r="AT210" s="307" t="n"/>
      <c r="AU210" s="307" t="n"/>
      <c r="AV210" s="307" t="n"/>
      <c r="AW210" s="307" t="n"/>
      <c r="AX210" s="307" t="n"/>
      <c r="AY210" s="307" t="n"/>
      <c r="AZ210" s="307" t="n"/>
      <c r="BA210" s="307" t="n"/>
      <c r="BB210" s="307" t="n"/>
      <c r="BC210" s="307" t="n"/>
      <c r="BD210" s="307" t="n"/>
      <c r="BE210" s="307" t="n"/>
      <c r="BF210" s="307" t="n"/>
      <c r="BG210" s="31" t="n"/>
      <c r="BH210" s="31" t="n"/>
      <c r="BI210" s="31" t="n"/>
      <c r="BJ210" s="31" t="n"/>
    </row>
    <row r="211" ht="15.75" customHeight="1" s="349">
      <c r="A211" s="307" t="n"/>
      <c r="B211" s="307" t="n"/>
      <c r="C211" s="307" t="n"/>
      <c r="D211" s="307" t="n"/>
      <c r="E211" s="307" t="n"/>
      <c r="F211" s="307" t="n"/>
      <c r="G211" s="307" t="n"/>
      <c r="H211" s="307" t="n"/>
      <c r="I211" s="307" t="n"/>
      <c r="J211" s="307" t="n"/>
      <c r="K211" s="307" t="n"/>
      <c r="L211" s="307" t="n"/>
      <c r="M211" s="307" t="n"/>
      <c r="N211" s="307" t="n"/>
      <c r="O211" s="307" t="n"/>
      <c r="P211" s="307" t="n"/>
      <c r="Q211" s="307" t="n"/>
      <c r="R211" s="307" t="n"/>
      <c r="S211" s="307" t="n"/>
      <c r="T211" s="307" t="n"/>
      <c r="U211" s="307" t="n"/>
      <c r="V211" s="307" t="n"/>
      <c r="W211" s="307" t="n"/>
      <c r="X211" s="307" t="n"/>
      <c r="Y211" s="307" t="n"/>
      <c r="Z211" s="307" t="n"/>
      <c r="AA211" s="307" t="n"/>
      <c r="AB211" s="307" t="n"/>
      <c r="AC211" s="307" t="n"/>
      <c r="AD211" s="307" t="n"/>
      <c r="AE211" s="307" t="n"/>
      <c r="AF211" s="307" t="n"/>
      <c r="AG211" s="307" t="n"/>
      <c r="AH211" s="307" t="n"/>
      <c r="AI211" s="307" t="n"/>
      <c r="AJ211" s="307" t="n"/>
      <c r="AK211" s="307" t="n"/>
      <c r="AL211" s="307" t="n"/>
      <c r="AM211" s="307" t="n"/>
      <c r="AN211" s="307" t="n"/>
      <c r="AO211" s="307" t="n"/>
      <c r="AP211" s="307" t="n"/>
      <c r="AQ211" s="307" t="n"/>
      <c r="AR211" s="307" t="n"/>
      <c r="AS211" s="307" t="n"/>
      <c r="AT211" s="307" t="n"/>
      <c r="AU211" s="307" t="n"/>
      <c r="AV211" s="307" t="n"/>
      <c r="AW211" s="307" t="n"/>
      <c r="AX211" s="307" t="n"/>
      <c r="AY211" s="307" t="n"/>
      <c r="AZ211" s="307" t="n"/>
      <c r="BA211" s="307" t="n"/>
      <c r="BB211" s="307" t="n"/>
      <c r="BC211" s="307" t="n"/>
      <c r="BD211" s="307" t="n"/>
      <c r="BE211" s="307" t="n"/>
      <c r="BF211" s="307" t="n"/>
      <c r="BG211" s="31" t="n"/>
      <c r="BH211" s="31" t="n"/>
      <c r="BI211" s="31" t="n"/>
      <c r="BJ211" s="31" t="n"/>
    </row>
    <row r="212" ht="15.75" customHeight="1" s="349">
      <c r="A212" s="307" t="n"/>
      <c r="B212" s="307" t="n"/>
      <c r="C212" s="307" t="n"/>
      <c r="D212" s="307" t="n"/>
      <c r="E212" s="307" t="n"/>
      <c r="F212" s="307" t="n"/>
      <c r="G212" s="307" t="n"/>
      <c r="H212" s="307" t="n"/>
      <c r="I212" s="307" t="n"/>
      <c r="J212" s="307" t="n"/>
      <c r="K212" s="307" t="n"/>
      <c r="L212" s="307" t="n"/>
      <c r="M212" s="307" t="n"/>
      <c r="N212" s="307" t="n"/>
      <c r="O212" s="307" t="n"/>
      <c r="P212" s="307" t="n"/>
      <c r="Q212" s="307" t="n"/>
      <c r="R212" s="307" t="n"/>
      <c r="S212" s="307" t="n"/>
      <c r="T212" s="307" t="n"/>
      <c r="U212" s="307" t="n"/>
      <c r="V212" s="307" t="n"/>
      <c r="W212" s="307" t="n"/>
      <c r="X212" s="307" t="n"/>
      <c r="Y212" s="307" t="n"/>
      <c r="Z212" s="307" t="n"/>
      <c r="AA212" s="307" t="n"/>
      <c r="AB212" s="307" t="n"/>
      <c r="AC212" s="307" t="n"/>
      <c r="AD212" s="307" t="n"/>
      <c r="AE212" s="307" t="n"/>
      <c r="AF212" s="307" t="n"/>
      <c r="AG212" s="307" t="n"/>
      <c r="AH212" s="307" t="n"/>
      <c r="AI212" s="307" t="n"/>
      <c r="AJ212" s="307" t="n"/>
      <c r="AK212" s="307" t="n"/>
      <c r="AL212" s="307" t="n"/>
      <c r="AM212" s="307" t="n"/>
      <c r="AN212" s="307" t="n"/>
      <c r="AO212" s="307" t="n"/>
      <c r="AP212" s="307" t="n"/>
      <c r="AQ212" s="307" t="n"/>
      <c r="AR212" s="307" t="n"/>
      <c r="AS212" s="307" t="n"/>
      <c r="AT212" s="307" t="n"/>
      <c r="AU212" s="307" t="n"/>
      <c r="AV212" s="307" t="n"/>
      <c r="AW212" s="307" t="n"/>
      <c r="AX212" s="307" t="n"/>
      <c r="AY212" s="307" t="n"/>
      <c r="AZ212" s="307" t="n"/>
      <c r="BA212" s="307" t="n"/>
      <c r="BB212" s="307" t="n"/>
      <c r="BC212" s="307" t="n"/>
      <c r="BD212" s="307" t="n"/>
      <c r="BE212" s="307" t="n"/>
      <c r="BF212" s="307" t="n"/>
      <c r="BG212" s="31" t="n"/>
      <c r="BH212" s="31" t="n"/>
      <c r="BI212" s="31" t="n"/>
      <c r="BJ212" s="31" t="n"/>
    </row>
    <row r="213" ht="15.75" customHeight="1" s="349">
      <c r="A213" s="307" t="n"/>
      <c r="B213" s="307" t="n"/>
      <c r="C213" s="307" t="n"/>
      <c r="D213" s="307" t="n"/>
      <c r="E213" s="307" t="n"/>
      <c r="F213" s="307" t="n"/>
      <c r="G213" s="307" t="n"/>
      <c r="H213" s="307" t="n"/>
      <c r="I213" s="307" t="n"/>
      <c r="J213" s="307" t="n"/>
      <c r="K213" s="307" t="n"/>
      <c r="L213" s="307" t="n"/>
      <c r="M213" s="307" t="n"/>
      <c r="N213" s="307" t="n"/>
      <c r="O213" s="307" t="n"/>
      <c r="P213" s="307" t="n"/>
      <c r="Q213" s="307" t="n"/>
      <c r="R213" s="307" t="n"/>
      <c r="S213" s="307" t="n"/>
      <c r="T213" s="307" t="n"/>
      <c r="U213" s="307" t="n"/>
      <c r="V213" s="307" t="n"/>
      <c r="W213" s="307" t="n"/>
      <c r="X213" s="307" t="n"/>
      <c r="Y213" s="307" t="n"/>
      <c r="Z213" s="307" t="n"/>
      <c r="AA213" s="307" t="n"/>
      <c r="AB213" s="307" t="n"/>
      <c r="AC213" s="307" t="n"/>
      <c r="AD213" s="307" t="n"/>
      <c r="AE213" s="307" t="n"/>
      <c r="AF213" s="307" t="n"/>
      <c r="AG213" s="307" t="n"/>
      <c r="AH213" s="307" t="n"/>
      <c r="AI213" s="307" t="n"/>
      <c r="AJ213" s="307" t="n"/>
      <c r="AK213" s="307" t="n"/>
      <c r="AL213" s="307" t="n"/>
      <c r="AM213" s="307" t="n"/>
      <c r="AN213" s="307" t="n"/>
      <c r="AO213" s="307" t="n"/>
      <c r="AP213" s="307" t="n"/>
      <c r="AQ213" s="307" t="n"/>
      <c r="AR213" s="307" t="n"/>
      <c r="AS213" s="307" t="n"/>
      <c r="AT213" s="307" t="n"/>
      <c r="AU213" s="307" t="n"/>
      <c r="AV213" s="307" t="n"/>
      <c r="AW213" s="307" t="n"/>
      <c r="AX213" s="307" t="n"/>
      <c r="AY213" s="307" t="n"/>
      <c r="AZ213" s="307" t="n"/>
      <c r="BA213" s="307" t="n"/>
      <c r="BB213" s="307" t="n"/>
      <c r="BC213" s="307" t="n"/>
      <c r="BD213" s="307" t="n"/>
      <c r="BE213" s="307" t="n"/>
      <c r="BF213" s="307" t="n"/>
      <c r="BG213" s="31" t="n"/>
      <c r="BH213" s="31" t="n"/>
      <c r="BI213" s="31" t="n"/>
      <c r="BJ213" s="31" t="n"/>
    </row>
    <row r="214" ht="15.75" customHeight="1" s="349">
      <c r="A214" s="307" t="n"/>
      <c r="B214" s="307" t="n"/>
      <c r="C214" s="307" t="n"/>
      <c r="D214" s="307" t="n"/>
      <c r="E214" s="307" t="n"/>
      <c r="F214" s="307" t="n"/>
      <c r="G214" s="307" t="n"/>
      <c r="H214" s="307" t="n"/>
      <c r="I214" s="307" t="n"/>
      <c r="J214" s="307" t="n"/>
      <c r="K214" s="307" t="n"/>
      <c r="L214" s="307" t="n"/>
      <c r="M214" s="307" t="n"/>
      <c r="N214" s="307" t="n"/>
      <c r="O214" s="307" t="n"/>
      <c r="P214" s="307" t="n"/>
      <c r="Q214" s="307" t="n"/>
      <c r="R214" s="307" t="n"/>
      <c r="S214" s="307" t="n"/>
      <c r="T214" s="307" t="n"/>
      <c r="U214" s="307" t="n"/>
      <c r="V214" s="307" t="n"/>
      <c r="W214" s="307" t="n"/>
      <c r="X214" s="307" t="n"/>
      <c r="Y214" s="307" t="n"/>
      <c r="Z214" s="307" t="n"/>
      <c r="AA214" s="307" t="n"/>
      <c r="AB214" s="307" t="n"/>
      <c r="AC214" s="307" t="n"/>
      <c r="AD214" s="307" t="n"/>
      <c r="AE214" s="307" t="n"/>
      <c r="AF214" s="307" t="n"/>
      <c r="AG214" s="307" t="n"/>
      <c r="AH214" s="307" t="n"/>
      <c r="AI214" s="307" t="n"/>
      <c r="AJ214" s="307" t="n"/>
      <c r="AK214" s="307" t="n"/>
      <c r="AL214" s="307" t="n"/>
      <c r="AM214" s="307" t="n"/>
      <c r="AN214" s="307" t="n"/>
      <c r="AO214" s="307" t="n"/>
      <c r="AP214" s="307" t="n"/>
      <c r="AQ214" s="307" t="n"/>
      <c r="AR214" s="307" t="n"/>
      <c r="AS214" s="307" t="n"/>
      <c r="AT214" s="307" t="n"/>
      <c r="AU214" s="307" t="n"/>
      <c r="AV214" s="307" t="n"/>
      <c r="AW214" s="307" t="n"/>
      <c r="AX214" s="307" t="n"/>
      <c r="AY214" s="307" t="n"/>
      <c r="AZ214" s="307" t="n"/>
      <c r="BA214" s="307" t="n"/>
      <c r="BB214" s="307" t="n"/>
      <c r="BC214" s="307" t="n"/>
      <c r="BD214" s="307" t="n"/>
      <c r="BE214" s="307" t="n"/>
      <c r="BF214" s="307" t="n"/>
      <c r="BG214" s="31" t="n"/>
      <c r="BH214" s="31" t="n"/>
      <c r="BI214" s="31" t="n"/>
      <c r="BJ214" s="31" t="n"/>
    </row>
    <row r="215" ht="15.75" customHeight="1" s="349">
      <c r="A215" s="307" t="n"/>
      <c r="B215" s="307" t="n"/>
      <c r="C215" s="307" t="n"/>
      <c r="D215" s="307" t="n"/>
      <c r="E215" s="307" t="n"/>
      <c r="F215" s="307" t="n"/>
      <c r="G215" s="307" t="n"/>
      <c r="H215" s="307" t="n"/>
      <c r="I215" s="307" t="n"/>
      <c r="J215" s="307" t="n"/>
      <c r="K215" s="307" t="n"/>
      <c r="L215" s="307" t="n"/>
      <c r="M215" s="307" t="n"/>
      <c r="N215" s="307" t="n"/>
      <c r="O215" s="307" t="n"/>
      <c r="P215" s="307" t="n"/>
      <c r="Q215" s="307" t="n"/>
      <c r="R215" s="307" t="n"/>
      <c r="S215" s="307" t="n"/>
      <c r="T215" s="307" t="n"/>
      <c r="U215" s="307" t="n"/>
      <c r="V215" s="307" t="n"/>
      <c r="W215" s="307" t="n"/>
      <c r="X215" s="307" t="n"/>
      <c r="Y215" s="307" t="n"/>
      <c r="Z215" s="307" t="n"/>
      <c r="AA215" s="307" t="n"/>
      <c r="AB215" s="307" t="n"/>
      <c r="AC215" s="307" t="n"/>
      <c r="AD215" s="307" t="n"/>
      <c r="AE215" s="307" t="n"/>
      <c r="AF215" s="307" t="n"/>
      <c r="AG215" s="307" t="n"/>
      <c r="AH215" s="307" t="n"/>
      <c r="AI215" s="307" t="n"/>
      <c r="AJ215" s="307" t="n"/>
      <c r="AK215" s="307" t="n"/>
      <c r="AL215" s="307" t="n"/>
      <c r="AM215" s="307" t="n"/>
      <c r="AN215" s="307" t="n"/>
      <c r="AO215" s="307" t="n"/>
      <c r="AP215" s="307" t="n"/>
      <c r="AQ215" s="307" t="n"/>
      <c r="AR215" s="307" t="n"/>
      <c r="AS215" s="307" t="n"/>
      <c r="AT215" s="307" t="n"/>
      <c r="AU215" s="307" t="n"/>
      <c r="AV215" s="307" t="n"/>
      <c r="AW215" s="307" t="n"/>
      <c r="AX215" s="307" t="n"/>
      <c r="AY215" s="307" t="n"/>
      <c r="AZ215" s="307" t="n"/>
      <c r="BA215" s="307" t="n"/>
      <c r="BB215" s="307" t="n"/>
      <c r="BC215" s="307" t="n"/>
      <c r="BD215" s="307" t="n"/>
      <c r="BE215" s="307" t="n"/>
      <c r="BF215" s="307" t="n"/>
      <c r="BG215" s="31" t="n"/>
      <c r="BH215" s="31" t="n"/>
      <c r="BI215" s="31" t="n"/>
      <c r="BJ215" s="31" t="n"/>
    </row>
    <row r="216" ht="15.75" customHeight="1" s="349">
      <c r="A216" s="307" t="n"/>
      <c r="B216" s="307" t="n"/>
      <c r="C216" s="307" t="n"/>
      <c r="D216" s="307" t="n"/>
      <c r="E216" s="307" t="n"/>
      <c r="F216" s="307" t="n"/>
      <c r="G216" s="307" t="n"/>
      <c r="H216" s="307" t="n"/>
      <c r="I216" s="307" t="n"/>
      <c r="J216" s="307" t="n"/>
      <c r="K216" s="307" t="n"/>
      <c r="L216" s="307" t="n"/>
      <c r="M216" s="307" t="n"/>
      <c r="N216" s="307" t="n"/>
      <c r="O216" s="307" t="n"/>
      <c r="P216" s="307" t="n"/>
      <c r="Q216" s="307" t="n"/>
      <c r="R216" s="307" t="n"/>
      <c r="S216" s="307" t="n"/>
      <c r="T216" s="307" t="n"/>
      <c r="U216" s="307" t="n"/>
      <c r="V216" s="307" t="n"/>
      <c r="W216" s="307" t="n"/>
      <c r="X216" s="307" t="n"/>
      <c r="Y216" s="307" t="n"/>
      <c r="Z216" s="307" t="n"/>
      <c r="AA216" s="307" t="n"/>
      <c r="AB216" s="307" t="n"/>
      <c r="AC216" s="307" t="n"/>
      <c r="AD216" s="307" t="n"/>
      <c r="AE216" s="307" t="n"/>
      <c r="AF216" s="307" t="n"/>
      <c r="AG216" s="307" t="n"/>
      <c r="AH216" s="307" t="n"/>
      <c r="AI216" s="307" t="n"/>
      <c r="AJ216" s="307" t="n"/>
      <c r="AK216" s="307" t="n"/>
      <c r="AL216" s="307" t="n"/>
      <c r="AM216" s="307" t="n"/>
      <c r="AN216" s="307" t="n"/>
      <c r="AO216" s="307" t="n"/>
      <c r="AP216" s="307" t="n"/>
      <c r="AQ216" s="307" t="n"/>
      <c r="AR216" s="307" t="n"/>
      <c r="AS216" s="307" t="n"/>
      <c r="AT216" s="307" t="n"/>
      <c r="AU216" s="307" t="n"/>
      <c r="AV216" s="307" t="n"/>
      <c r="AW216" s="307" t="n"/>
      <c r="AX216" s="307" t="n"/>
      <c r="AY216" s="307" t="n"/>
      <c r="AZ216" s="307" t="n"/>
      <c r="BA216" s="307" t="n"/>
      <c r="BB216" s="307" t="n"/>
      <c r="BC216" s="307" t="n"/>
      <c r="BD216" s="307" t="n"/>
      <c r="BE216" s="307" t="n"/>
      <c r="BF216" s="307" t="n"/>
      <c r="BG216" s="31" t="n"/>
      <c r="BH216" s="31" t="n"/>
      <c r="BI216" s="31" t="n"/>
      <c r="BJ216" s="31" t="n"/>
    </row>
    <row r="217" ht="15.75" customHeight="1" s="349">
      <c r="A217" s="307" t="n"/>
      <c r="B217" s="307" t="n"/>
      <c r="C217" s="307" t="n"/>
      <c r="D217" s="307" t="n"/>
      <c r="E217" s="307" t="n"/>
      <c r="F217" s="307" t="n"/>
      <c r="G217" s="307" t="n"/>
      <c r="H217" s="307" t="n"/>
      <c r="I217" s="307" t="n"/>
      <c r="J217" s="307" t="n"/>
      <c r="K217" s="307" t="n"/>
      <c r="L217" s="307" t="n"/>
      <c r="M217" s="307" t="n"/>
      <c r="N217" s="307" t="n"/>
      <c r="O217" s="307" t="n"/>
      <c r="P217" s="307" t="n"/>
      <c r="Q217" s="307" t="n"/>
      <c r="R217" s="307" t="n"/>
      <c r="S217" s="307" t="n"/>
      <c r="T217" s="307" t="n"/>
      <c r="U217" s="307" t="n"/>
      <c r="V217" s="307" t="n"/>
      <c r="W217" s="307" t="n"/>
      <c r="X217" s="307" t="n"/>
      <c r="Y217" s="307" t="n"/>
      <c r="Z217" s="307" t="n"/>
      <c r="AA217" s="307" t="n"/>
      <c r="AB217" s="307" t="n"/>
      <c r="AC217" s="307" t="n"/>
      <c r="AD217" s="307" t="n"/>
      <c r="AE217" s="307" t="n"/>
      <c r="AF217" s="307" t="n"/>
      <c r="AG217" s="307" t="n"/>
      <c r="AH217" s="307" t="n"/>
      <c r="AI217" s="307" t="n"/>
      <c r="AJ217" s="307" t="n"/>
      <c r="AK217" s="307" t="n"/>
      <c r="AL217" s="307" t="n"/>
      <c r="AM217" s="307" t="n"/>
      <c r="AN217" s="307" t="n"/>
      <c r="AO217" s="307" t="n"/>
      <c r="AP217" s="307" t="n"/>
      <c r="AQ217" s="307" t="n"/>
      <c r="AR217" s="307" t="n"/>
      <c r="AS217" s="307" t="n"/>
      <c r="AT217" s="307" t="n"/>
      <c r="AU217" s="307" t="n"/>
      <c r="AV217" s="307" t="n"/>
      <c r="AW217" s="307" t="n"/>
      <c r="AX217" s="307" t="n"/>
      <c r="AY217" s="307" t="n"/>
      <c r="AZ217" s="307" t="n"/>
      <c r="BA217" s="307" t="n"/>
      <c r="BB217" s="307" t="n"/>
      <c r="BC217" s="307" t="n"/>
      <c r="BD217" s="307" t="n"/>
      <c r="BE217" s="307" t="n"/>
      <c r="BF217" s="307" t="n"/>
      <c r="BG217" s="31" t="n"/>
      <c r="BH217" s="31" t="n"/>
      <c r="BI217" s="31" t="n"/>
      <c r="BJ217" s="31" t="n"/>
    </row>
    <row r="218" ht="15.75" customHeight="1" s="349">
      <c r="A218" s="307" t="n"/>
      <c r="B218" s="307" t="n"/>
      <c r="C218" s="307" t="n"/>
      <c r="D218" s="307" t="n"/>
      <c r="E218" s="307" t="n"/>
      <c r="F218" s="307" t="n"/>
      <c r="G218" s="307" t="n"/>
      <c r="H218" s="307" t="n"/>
      <c r="I218" s="307" t="n"/>
      <c r="J218" s="307" t="n"/>
      <c r="K218" s="307" t="n"/>
      <c r="L218" s="307" t="n"/>
      <c r="M218" s="307" t="n"/>
      <c r="N218" s="307" t="n"/>
      <c r="O218" s="307" t="n"/>
      <c r="P218" s="307" t="n"/>
      <c r="Q218" s="307" t="n"/>
      <c r="R218" s="307" t="n"/>
      <c r="S218" s="307" t="n"/>
      <c r="T218" s="307" t="n"/>
      <c r="U218" s="307" t="n"/>
      <c r="V218" s="307" t="n"/>
      <c r="W218" s="307" t="n"/>
      <c r="X218" s="307" t="n"/>
      <c r="Y218" s="307" t="n"/>
      <c r="Z218" s="307" t="n"/>
      <c r="AA218" s="307" t="n"/>
      <c r="AB218" s="307" t="n"/>
      <c r="AC218" s="307" t="n"/>
      <c r="AD218" s="307" t="n"/>
      <c r="AE218" s="307" t="n"/>
      <c r="AF218" s="307" t="n"/>
      <c r="AG218" s="307" t="n"/>
      <c r="AH218" s="307" t="n"/>
      <c r="AI218" s="307" t="n"/>
      <c r="AJ218" s="307" t="n"/>
      <c r="AK218" s="307" t="n"/>
      <c r="AL218" s="307" t="n"/>
      <c r="AM218" s="307" t="n"/>
      <c r="AN218" s="307" t="n"/>
      <c r="AO218" s="307" t="n"/>
      <c r="AP218" s="307" t="n"/>
      <c r="AQ218" s="307" t="n"/>
      <c r="AR218" s="307" t="n"/>
      <c r="AS218" s="307" t="n"/>
      <c r="AT218" s="307" t="n"/>
      <c r="AU218" s="307" t="n"/>
      <c r="AV218" s="307" t="n"/>
      <c r="AW218" s="307" t="n"/>
      <c r="AX218" s="307" t="n"/>
      <c r="AY218" s="307" t="n"/>
      <c r="AZ218" s="307" t="n"/>
      <c r="BA218" s="307" t="n"/>
      <c r="BB218" s="307" t="n"/>
      <c r="BC218" s="307" t="n"/>
      <c r="BD218" s="307" t="n"/>
      <c r="BE218" s="307" t="n"/>
      <c r="BF218" s="307" t="n"/>
      <c r="BG218" s="31" t="n"/>
      <c r="BH218" s="31" t="n"/>
      <c r="BI218" s="31" t="n"/>
      <c r="BJ218" s="31" t="n"/>
    </row>
    <row r="219" ht="15.75" customHeight="1" s="349">
      <c r="A219" s="307" t="n"/>
      <c r="B219" s="307" t="n"/>
      <c r="C219" s="307" t="n"/>
      <c r="D219" s="307" t="n"/>
      <c r="E219" s="307" t="n"/>
      <c r="F219" s="307" t="n"/>
      <c r="G219" s="307" t="n"/>
      <c r="H219" s="307" t="n"/>
      <c r="I219" s="307" t="n"/>
      <c r="J219" s="307" t="n"/>
      <c r="K219" s="307" t="n"/>
      <c r="L219" s="307" t="n"/>
      <c r="M219" s="307" t="n"/>
      <c r="N219" s="307" t="n"/>
      <c r="O219" s="307" t="n"/>
      <c r="P219" s="307" t="n"/>
      <c r="Q219" s="307" t="n"/>
      <c r="R219" s="307" t="n"/>
      <c r="S219" s="307" t="n"/>
      <c r="T219" s="307" t="n"/>
      <c r="U219" s="307" t="n"/>
      <c r="V219" s="307" t="n"/>
      <c r="W219" s="307" t="n"/>
      <c r="X219" s="307" t="n"/>
      <c r="Y219" s="307" t="n"/>
      <c r="Z219" s="307" t="n"/>
      <c r="AA219" s="307" t="n"/>
      <c r="AB219" s="307" t="n"/>
      <c r="AC219" s="307" t="n"/>
      <c r="AD219" s="307" t="n"/>
      <c r="AE219" s="307" t="n"/>
      <c r="AF219" s="307" t="n"/>
      <c r="AG219" s="307" t="n"/>
      <c r="AH219" s="307" t="n"/>
      <c r="AI219" s="307" t="n"/>
      <c r="AJ219" s="307" t="n"/>
      <c r="AK219" s="307" t="n"/>
      <c r="AL219" s="307" t="n"/>
      <c r="AM219" s="307" t="n"/>
      <c r="AN219" s="307" t="n"/>
      <c r="AO219" s="307" t="n"/>
      <c r="AP219" s="307" t="n"/>
      <c r="AQ219" s="307" t="n"/>
      <c r="AR219" s="307" t="n"/>
      <c r="AS219" s="307" t="n"/>
      <c r="AT219" s="307" t="n"/>
      <c r="AU219" s="307" t="n"/>
      <c r="AV219" s="307" t="n"/>
      <c r="AW219" s="307" t="n"/>
      <c r="AX219" s="307" t="n"/>
      <c r="AY219" s="307" t="n"/>
      <c r="AZ219" s="307" t="n"/>
      <c r="BA219" s="307" t="n"/>
      <c r="BB219" s="307" t="n"/>
      <c r="BC219" s="307" t="n"/>
      <c r="BD219" s="307" t="n"/>
      <c r="BE219" s="307" t="n"/>
      <c r="BF219" s="307" t="n"/>
      <c r="BG219" s="31" t="n"/>
      <c r="BH219" s="31" t="n"/>
      <c r="BI219" s="31" t="n"/>
      <c r="BJ219" s="31" t="n"/>
    </row>
    <row r="220" ht="15.75" customHeight="1" s="349">
      <c r="A220" s="307" t="n"/>
      <c r="B220" s="307" t="n"/>
      <c r="C220" s="307" t="n"/>
      <c r="D220" s="307" t="n"/>
      <c r="E220" s="307" t="n"/>
      <c r="F220" s="307" t="n"/>
      <c r="G220" s="307" t="n"/>
      <c r="H220" s="307" t="n"/>
      <c r="I220" s="307" t="n"/>
      <c r="J220" s="307" t="n"/>
      <c r="K220" s="307" t="n"/>
      <c r="L220" s="307" t="n"/>
      <c r="M220" s="307" t="n"/>
      <c r="N220" s="307" t="n"/>
      <c r="O220" s="307" t="n"/>
      <c r="P220" s="307" t="n"/>
      <c r="Q220" s="307" t="n"/>
      <c r="R220" s="307" t="n"/>
      <c r="S220" s="307" t="n"/>
      <c r="T220" s="307" t="n"/>
      <c r="U220" s="307" t="n"/>
      <c r="V220" s="307" t="n"/>
      <c r="W220" s="307" t="n"/>
      <c r="X220" s="307" t="n"/>
      <c r="Y220" s="307" t="n"/>
      <c r="Z220" s="307" t="n"/>
      <c r="AA220" s="307" t="n"/>
      <c r="AB220" s="307" t="n"/>
      <c r="AC220" s="307" t="n"/>
      <c r="AD220" s="307" t="n"/>
      <c r="AE220" s="307" t="n"/>
      <c r="AF220" s="307" t="n"/>
      <c r="AG220" s="307" t="n"/>
      <c r="AH220" s="307" t="n"/>
      <c r="AI220" s="307" t="n"/>
      <c r="AJ220" s="307" t="n"/>
      <c r="AK220" s="307" t="n"/>
      <c r="AL220" s="307" t="n"/>
      <c r="AM220" s="307" t="n"/>
      <c r="AN220" s="307" t="n"/>
      <c r="AO220" s="307" t="n"/>
      <c r="AP220" s="307" t="n"/>
      <c r="AQ220" s="307" t="n"/>
      <c r="AR220" s="307" t="n"/>
      <c r="AS220" s="307" t="n"/>
      <c r="AT220" s="307" t="n"/>
      <c r="AU220" s="307" t="n"/>
      <c r="AV220" s="307" t="n"/>
      <c r="AW220" s="307" t="n"/>
      <c r="AX220" s="307" t="n"/>
      <c r="AY220" s="307" t="n"/>
      <c r="AZ220" s="307" t="n"/>
      <c r="BA220" s="307" t="n"/>
      <c r="BB220" s="307" t="n"/>
      <c r="BC220" s="307" t="n"/>
      <c r="BD220" s="307" t="n"/>
      <c r="BE220" s="307" t="n"/>
      <c r="BF220" s="307" t="n"/>
      <c r="BG220" s="31" t="n"/>
      <c r="BH220" s="31" t="n"/>
      <c r="BI220" s="31" t="n"/>
      <c r="BJ220" s="31" t="n"/>
    </row>
    <row r="221" ht="15.75" customHeight="1" s="349">
      <c r="A221" s="307" t="n"/>
      <c r="B221" s="307" t="n"/>
      <c r="C221" s="307" t="n"/>
      <c r="D221" s="307" t="n"/>
      <c r="E221" s="307" t="n"/>
      <c r="F221" s="307" t="n"/>
      <c r="G221" s="307" t="n"/>
      <c r="H221" s="307" t="n"/>
      <c r="I221" s="307" t="n"/>
      <c r="J221" s="307" t="n"/>
      <c r="K221" s="307" t="n"/>
      <c r="L221" s="307" t="n"/>
      <c r="M221" s="307" t="n"/>
      <c r="N221" s="307" t="n"/>
      <c r="O221" s="307" t="n"/>
      <c r="P221" s="307" t="n"/>
      <c r="Q221" s="307" t="n"/>
      <c r="R221" s="307" t="n"/>
      <c r="S221" s="307" t="n"/>
      <c r="T221" s="307" t="n"/>
      <c r="U221" s="307" t="n"/>
      <c r="V221" s="307" t="n"/>
      <c r="W221" s="307" t="n"/>
      <c r="X221" s="307" t="n"/>
      <c r="Y221" s="307" t="n"/>
      <c r="Z221" s="307" t="n"/>
      <c r="AA221" s="307" t="n"/>
      <c r="AB221" s="307" t="n"/>
      <c r="AC221" s="307" t="n"/>
      <c r="AD221" s="307" t="n"/>
      <c r="AE221" s="307" t="n"/>
      <c r="AF221" s="307" t="n"/>
      <c r="AG221" s="307" t="n"/>
      <c r="AH221" s="307" t="n"/>
      <c r="AI221" s="307" t="n"/>
      <c r="AJ221" s="307" t="n"/>
      <c r="AK221" s="307" t="n"/>
      <c r="AL221" s="307" t="n"/>
      <c r="AM221" s="307" t="n"/>
      <c r="AN221" s="307" t="n"/>
      <c r="AO221" s="307" t="n"/>
      <c r="AP221" s="307" t="n"/>
      <c r="AQ221" s="307" t="n"/>
      <c r="AR221" s="307" t="n"/>
      <c r="AS221" s="307" t="n"/>
      <c r="AT221" s="307" t="n"/>
      <c r="AU221" s="307" t="n"/>
      <c r="AV221" s="307" t="n"/>
      <c r="AW221" s="307" t="n"/>
      <c r="AX221" s="307" t="n"/>
      <c r="AY221" s="307" t="n"/>
      <c r="AZ221" s="307" t="n"/>
      <c r="BA221" s="307" t="n"/>
      <c r="BB221" s="307" t="n"/>
      <c r="BC221" s="307" t="n"/>
      <c r="BD221" s="307" t="n"/>
      <c r="BE221" s="307" t="n"/>
      <c r="BF221" s="307" t="n"/>
      <c r="BG221" s="31" t="n"/>
      <c r="BH221" s="31" t="n"/>
      <c r="BI221" s="31" t="n"/>
      <c r="BJ221" s="31" t="n"/>
    </row>
    <row r="222" ht="15.75" customHeight="1" s="349">
      <c r="A222" s="307" t="n"/>
      <c r="B222" s="307" t="n"/>
      <c r="C222" s="307" t="n"/>
      <c r="D222" s="307" t="n"/>
      <c r="E222" s="307" t="n"/>
      <c r="F222" s="307" t="n"/>
      <c r="G222" s="307" t="n"/>
      <c r="H222" s="307" t="n"/>
      <c r="I222" s="307" t="n"/>
      <c r="J222" s="307" t="n"/>
      <c r="K222" s="307" t="n"/>
      <c r="L222" s="307" t="n"/>
      <c r="M222" s="307" t="n"/>
      <c r="N222" s="307" t="n"/>
      <c r="O222" s="307" t="n"/>
      <c r="P222" s="307" t="n"/>
      <c r="Q222" s="307" t="n"/>
      <c r="R222" s="307" t="n"/>
      <c r="S222" s="307" t="n"/>
      <c r="T222" s="307" t="n"/>
      <c r="U222" s="307" t="n"/>
      <c r="V222" s="307" t="n"/>
      <c r="W222" s="307" t="n"/>
      <c r="X222" s="307" t="n"/>
      <c r="Y222" s="307" t="n"/>
      <c r="Z222" s="307" t="n"/>
      <c r="AA222" s="307" t="n"/>
      <c r="AB222" s="307" t="n"/>
      <c r="AC222" s="307" t="n"/>
      <c r="AD222" s="307" t="n"/>
      <c r="AE222" s="307" t="n"/>
      <c r="AF222" s="307" t="n"/>
      <c r="AG222" s="307" t="n"/>
      <c r="AH222" s="307" t="n"/>
      <c r="AI222" s="307" t="n"/>
      <c r="AJ222" s="307" t="n"/>
      <c r="AK222" s="307" t="n"/>
      <c r="AL222" s="307" t="n"/>
      <c r="AM222" s="307" t="n"/>
      <c r="AN222" s="307" t="n"/>
      <c r="AO222" s="307" t="n"/>
      <c r="AP222" s="307" t="n"/>
      <c r="AQ222" s="307" t="n"/>
      <c r="AR222" s="307" t="n"/>
      <c r="AS222" s="307" t="n"/>
      <c r="AT222" s="307" t="n"/>
      <c r="AU222" s="307" t="n"/>
      <c r="AV222" s="307" t="n"/>
      <c r="AW222" s="307" t="n"/>
      <c r="AX222" s="307" t="n"/>
      <c r="AY222" s="307" t="n"/>
      <c r="AZ222" s="307" t="n"/>
      <c r="BA222" s="307" t="n"/>
      <c r="BB222" s="307" t="n"/>
      <c r="BC222" s="307" t="n"/>
      <c r="BD222" s="307" t="n"/>
      <c r="BE222" s="307" t="n"/>
      <c r="BF222" s="307" t="n"/>
      <c r="BG222" s="31" t="n"/>
      <c r="BH222" s="31" t="n"/>
      <c r="BI222" s="31" t="n"/>
      <c r="BJ222" s="31" t="n"/>
    </row>
    <row r="223" ht="15.75" customHeight="1" s="349">
      <c r="A223" s="307" t="n"/>
      <c r="B223" s="307" t="n"/>
      <c r="C223" s="307" t="n"/>
      <c r="D223" s="307" t="n"/>
      <c r="E223" s="307" t="n"/>
      <c r="F223" s="307" t="n"/>
      <c r="G223" s="307" t="n"/>
      <c r="H223" s="307" t="n"/>
      <c r="I223" s="307" t="n"/>
      <c r="J223" s="307" t="n"/>
      <c r="K223" s="307" t="n"/>
      <c r="L223" s="307" t="n"/>
      <c r="M223" s="307" t="n"/>
      <c r="N223" s="307" t="n"/>
      <c r="O223" s="307" t="n"/>
      <c r="P223" s="307" t="n"/>
      <c r="Q223" s="307" t="n"/>
      <c r="R223" s="307" t="n"/>
      <c r="S223" s="307" t="n"/>
      <c r="T223" s="307" t="n"/>
      <c r="U223" s="307" t="n"/>
      <c r="V223" s="307" t="n"/>
      <c r="W223" s="307" t="n"/>
      <c r="X223" s="307" t="n"/>
      <c r="Y223" s="307" t="n"/>
      <c r="Z223" s="307" t="n"/>
      <c r="AA223" s="307" t="n"/>
      <c r="AB223" s="307" t="n"/>
      <c r="AC223" s="307" t="n"/>
      <c r="AD223" s="307" t="n"/>
      <c r="AE223" s="307" t="n"/>
      <c r="AF223" s="307" t="n"/>
      <c r="AG223" s="307" t="n"/>
      <c r="AH223" s="307" t="n"/>
      <c r="AI223" s="307" t="n"/>
      <c r="AJ223" s="307" t="n"/>
      <c r="AK223" s="307" t="n"/>
      <c r="AL223" s="307" t="n"/>
      <c r="AM223" s="307" t="n"/>
      <c r="AN223" s="307" t="n"/>
      <c r="AO223" s="307" t="n"/>
      <c r="AP223" s="307" t="n"/>
      <c r="AQ223" s="307" t="n"/>
      <c r="AR223" s="307" t="n"/>
      <c r="AS223" s="307" t="n"/>
      <c r="AT223" s="307" t="n"/>
      <c r="AU223" s="307" t="n"/>
      <c r="AV223" s="307" t="n"/>
      <c r="AW223" s="307" t="n"/>
      <c r="AX223" s="307" t="n"/>
      <c r="AY223" s="307" t="n"/>
      <c r="AZ223" s="307" t="n"/>
      <c r="BA223" s="307" t="n"/>
      <c r="BB223" s="307" t="n"/>
      <c r="BC223" s="307" t="n"/>
      <c r="BD223" s="307" t="n"/>
      <c r="BE223" s="307" t="n"/>
      <c r="BF223" s="307" t="n"/>
      <c r="BG223" s="31" t="n"/>
      <c r="BH223" s="31" t="n"/>
      <c r="BI223" s="31" t="n"/>
      <c r="BJ223" s="31" t="n"/>
    </row>
    <row r="224" ht="15.75" customHeight="1" s="349">
      <c r="A224" s="307" t="n"/>
      <c r="B224" s="307" t="n"/>
      <c r="C224" s="307" t="n"/>
      <c r="D224" s="307" t="n"/>
      <c r="E224" s="307" t="n"/>
      <c r="F224" s="307" t="n"/>
      <c r="G224" s="307" t="n"/>
      <c r="H224" s="307" t="n"/>
      <c r="I224" s="307" t="n"/>
      <c r="J224" s="307" t="n"/>
      <c r="K224" s="307" t="n"/>
      <c r="L224" s="307" t="n"/>
      <c r="M224" s="307" t="n"/>
      <c r="N224" s="307" t="n"/>
      <c r="O224" s="307" t="n"/>
      <c r="P224" s="307" t="n"/>
      <c r="Q224" s="307" t="n"/>
      <c r="R224" s="307" t="n"/>
      <c r="S224" s="307" t="n"/>
      <c r="T224" s="307" t="n"/>
      <c r="U224" s="307" t="n"/>
      <c r="V224" s="307" t="n"/>
      <c r="W224" s="307" t="n"/>
      <c r="X224" s="307" t="n"/>
      <c r="Y224" s="307" t="n"/>
      <c r="Z224" s="307" t="n"/>
      <c r="AA224" s="307" t="n"/>
      <c r="AB224" s="307" t="n"/>
      <c r="AC224" s="307" t="n"/>
      <c r="AD224" s="307" t="n"/>
      <c r="AE224" s="307" t="n"/>
      <c r="AF224" s="307" t="n"/>
      <c r="AG224" s="307" t="n"/>
      <c r="AH224" s="307" t="n"/>
      <c r="AI224" s="307" t="n"/>
      <c r="AJ224" s="307" t="n"/>
      <c r="AK224" s="307" t="n"/>
      <c r="AL224" s="307" t="n"/>
      <c r="AM224" s="307" t="n"/>
      <c r="AN224" s="307" t="n"/>
      <c r="AO224" s="307" t="n"/>
      <c r="AP224" s="307" t="n"/>
      <c r="AQ224" s="307" t="n"/>
      <c r="AR224" s="307" t="n"/>
      <c r="AS224" s="307" t="n"/>
      <c r="AT224" s="307" t="n"/>
      <c r="AU224" s="307" t="n"/>
      <c r="AV224" s="307" t="n"/>
      <c r="AW224" s="307" t="n"/>
      <c r="AX224" s="307" t="n"/>
      <c r="AY224" s="307" t="n"/>
      <c r="AZ224" s="307" t="n"/>
      <c r="BA224" s="307" t="n"/>
      <c r="BB224" s="307" t="n"/>
      <c r="BC224" s="307" t="n"/>
      <c r="BD224" s="307" t="n"/>
      <c r="BE224" s="307" t="n"/>
      <c r="BF224" s="307" t="n"/>
      <c r="BG224" s="31" t="n"/>
      <c r="BH224" s="31" t="n"/>
      <c r="BI224" s="31" t="n"/>
      <c r="BJ224" s="31" t="n"/>
    </row>
    <row r="225" ht="15.75" customHeight="1" s="349">
      <c r="A225" s="307" t="n"/>
      <c r="B225" s="307" t="n"/>
      <c r="C225" s="307" t="n"/>
      <c r="D225" s="307" t="n"/>
      <c r="E225" s="307" t="n"/>
      <c r="F225" s="307" t="n"/>
      <c r="G225" s="307" t="n"/>
      <c r="H225" s="307" t="n"/>
      <c r="I225" s="307" t="n"/>
      <c r="J225" s="307" t="n"/>
      <c r="K225" s="307" t="n"/>
      <c r="L225" s="307" t="n"/>
      <c r="M225" s="307" t="n"/>
      <c r="N225" s="307" t="n"/>
      <c r="O225" s="307" t="n"/>
      <c r="P225" s="307" t="n"/>
      <c r="Q225" s="307" t="n"/>
      <c r="R225" s="307" t="n"/>
      <c r="S225" s="307" t="n"/>
      <c r="T225" s="307" t="n"/>
      <c r="U225" s="307" t="n"/>
      <c r="V225" s="307" t="n"/>
      <c r="W225" s="307" t="n"/>
      <c r="X225" s="307" t="n"/>
      <c r="Y225" s="307" t="n"/>
      <c r="Z225" s="307" t="n"/>
      <c r="AA225" s="307" t="n"/>
      <c r="AB225" s="307" t="n"/>
      <c r="AC225" s="307" t="n"/>
      <c r="AD225" s="307" t="n"/>
      <c r="AE225" s="307" t="n"/>
      <c r="AF225" s="307" t="n"/>
      <c r="AG225" s="307" t="n"/>
      <c r="AH225" s="307" t="n"/>
      <c r="AI225" s="307" t="n"/>
      <c r="AJ225" s="307" t="n"/>
      <c r="AK225" s="307" t="n"/>
      <c r="AL225" s="307" t="n"/>
      <c r="AM225" s="307" t="n"/>
      <c r="AN225" s="307" t="n"/>
      <c r="AO225" s="307" t="n"/>
      <c r="AP225" s="307" t="n"/>
      <c r="AQ225" s="307" t="n"/>
      <c r="AR225" s="307" t="n"/>
      <c r="AS225" s="307" t="n"/>
      <c r="AT225" s="307" t="n"/>
      <c r="AU225" s="307" t="n"/>
      <c r="AV225" s="307" t="n"/>
      <c r="AW225" s="307" t="n"/>
      <c r="AX225" s="307" t="n"/>
      <c r="AY225" s="307" t="n"/>
      <c r="AZ225" s="307" t="n"/>
      <c r="BA225" s="307" t="n"/>
      <c r="BB225" s="307" t="n"/>
      <c r="BC225" s="307" t="n"/>
      <c r="BD225" s="307" t="n"/>
      <c r="BE225" s="307" t="n"/>
      <c r="BF225" s="307" t="n"/>
      <c r="BG225" s="31" t="n"/>
      <c r="BH225" s="31" t="n"/>
      <c r="BI225" s="31" t="n"/>
      <c r="BJ225" s="31" t="n"/>
    </row>
    <row r="226" ht="15.75" customHeight="1" s="349">
      <c r="A226" s="307" t="n"/>
      <c r="B226" s="307" t="n"/>
      <c r="C226" s="307" t="n"/>
      <c r="D226" s="307" t="n"/>
      <c r="E226" s="307" t="n"/>
      <c r="F226" s="307" t="n"/>
      <c r="G226" s="307" t="n"/>
      <c r="H226" s="307" t="n"/>
      <c r="I226" s="307" t="n"/>
      <c r="J226" s="307" t="n"/>
      <c r="K226" s="307" t="n"/>
      <c r="L226" s="307" t="n"/>
      <c r="M226" s="307" t="n"/>
      <c r="N226" s="307" t="n"/>
      <c r="O226" s="307" t="n"/>
      <c r="P226" s="307" t="n"/>
      <c r="Q226" s="307" t="n"/>
      <c r="R226" s="307" t="n"/>
      <c r="S226" s="307" t="n"/>
      <c r="T226" s="307" t="n"/>
      <c r="U226" s="307" t="n"/>
      <c r="V226" s="307" t="n"/>
      <c r="W226" s="307" t="n"/>
      <c r="X226" s="307" t="n"/>
      <c r="Y226" s="307" t="n"/>
      <c r="Z226" s="307" t="n"/>
      <c r="AA226" s="307" t="n"/>
      <c r="AB226" s="307" t="n"/>
      <c r="AC226" s="307" t="n"/>
      <c r="AD226" s="307" t="n"/>
      <c r="AE226" s="307" t="n"/>
      <c r="AF226" s="307" t="n"/>
      <c r="AG226" s="307" t="n"/>
      <c r="AH226" s="307" t="n"/>
      <c r="AI226" s="307" t="n"/>
      <c r="AJ226" s="307" t="n"/>
      <c r="AK226" s="307" t="n"/>
      <c r="AL226" s="307" t="n"/>
      <c r="AM226" s="307" t="n"/>
      <c r="AN226" s="307" t="n"/>
      <c r="AO226" s="307" t="n"/>
      <c r="AP226" s="307" t="n"/>
      <c r="AQ226" s="307" t="n"/>
      <c r="AR226" s="307" t="n"/>
      <c r="AS226" s="307" t="n"/>
      <c r="AT226" s="307" t="n"/>
      <c r="AU226" s="307" t="n"/>
      <c r="AV226" s="307" t="n"/>
      <c r="AW226" s="307" t="n"/>
      <c r="AX226" s="307" t="n"/>
      <c r="AY226" s="307" t="n"/>
      <c r="AZ226" s="307" t="n"/>
      <c r="BA226" s="307" t="n"/>
      <c r="BB226" s="307" t="n"/>
      <c r="BC226" s="307" t="n"/>
      <c r="BD226" s="307" t="n"/>
      <c r="BE226" s="307" t="n"/>
      <c r="BF226" s="307" t="n"/>
      <c r="BG226" s="31" t="n"/>
      <c r="BH226" s="31" t="n"/>
      <c r="BI226" s="31" t="n"/>
      <c r="BJ226" s="31" t="n"/>
    </row>
    <row r="227" ht="15.75" customHeight="1" s="349">
      <c r="A227" s="307" t="n"/>
      <c r="B227" s="307" t="n"/>
      <c r="C227" s="307" t="n"/>
      <c r="D227" s="307" t="n"/>
      <c r="E227" s="307" t="n"/>
      <c r="F227" s="307" t="n"/>
      <c r="G227" s="307" t="n"/>
      <c r="H227" s="307" t="n"/>
      <c r="I227" s="307" t="n"/>
      <c r="J227" s="307" t="n"/>
      <c r="K227" s="307" t="n"/>
      <c r="L227" s="307" t="n"/>
      <c r="M227" s="307" t="n"/>
      <c r="N227" s="307" t="n"/>
      <c r="O227" s="307" t="n"/>
      <c r="P227" s="307" t="n"/>
      <c r="Q227" s="307" t="n"/>
      <c r="R227" s="307" t="n"/>
      <c r="S227" s="307" t="n"/>
      <c r="T227" s="307" t="n"/>
      <c r="U227" s="307" t="n"/>
      <c r="V227" s="307" t="n"/>
      <c r="W227" s="307" t="n"/>
      <c r="X227" s="307" t="n"/>
      <c r="Y227" s="307" t="n"/>
      <c r="Z227" s="307" t="n"/>
      <c r="AA227" s="307" t="n"/>
      <c r="AB227" s="307" t="n"/>
      <c r="AC227" s="307" t="n"/>
      <c r="AD227" s="307" t="n"/>
      <c r="AE227" s="307" t="n"/>
      <c r="AF227" s="307" t="n"/>
      <c r="AG227" s="307" t="n"/>
      <c r="AH227" s="307" t="n"/>
      <c r="AI227" s="307" t="n"/>
      <c r="AJ227" s="307" t="n"/>
      <c r="AK227" s="307" t="n"/>
      <c r="AL227" s="307" t="n"/>
      <c r="AM227" s="307" t="n"/>
      <c r="AN227" s="307" t="n"/>
      <c r="AO227" s="307" t="n"/>
      <c r="AP227" s="307" t="n"/>
      <c r="AQ227" s="307" t="n"/>
      <c r="AR227" s="307" t="n"/>
      <c r="AS227" s="307" t="n"/>
      <c r="AT227" s="307" t="n"/>
      <c r="AU227" s="307" t="n"/>
      <c r="AV227" s="307" t="n"/>
      <c r="AW227" s="307" t="n"/>
      <c r="AX227" s="307" t="n"/>
      <c r="AY227" s="307" t="n"/>
      <c r="AZ227" s="307" t="n"/>
      <c r="BA227" s="307" t="n"/>
      <c r="BB227" s="307" t="n"/>
      <c r="BC227" s="307" t="n"/>
      <c r="BD227" s="307" t="n"/>
      <c r="BE227" s="307" t="n"/>
      <c r="BF227" s="307" t="n"/>
      <c r="BG227" s="31" t="n"/>
      <c r="BH227" s="31" t="n"/>
      <c r="BI227" s="31" t="n"/>
      <c r="BJ227" s="31" t="n"/>
    </row>
    <row r="228" ht="15.75" customHeight="1" s="349">
      <c r="A228" s="307" t="n"/>
      <c r="B228" s="307" t="n"/>
      <c r="C228" s="307" t="n"/>
      <c r="D228" s="307" t="n"/>
      <c r="E228" s="307" t="n"/>
      <c r="F228" s="307" t="n"/>
      <c r="G228" s="307" t="n"/>
      <c r="H228" s="307" t="n"/>
      <c r="I228" s="307" t="n"/>
      <c r="J228" s="307" t="n"/>
      <c r="K228" s="307" t="n"/>
      <c r="L228" s="307" t="n"/>
      <c r="M228" s="307" t="n"/>
      <c r="N228" s="307" t="n"/>
      <c r="O228" s="307" t="n"/>
      <c r="P228" s="307" t="n"/>
      <c r="Q228" s="307" t="n"/>
      <c r="R228" s="307" t="n"/>
      <c r="S228" s="307" t="n"/>
      <c r="T228" s="307" t="n"/>
      <c r="U228" s="307" t="n"/>
      <c r="V228" s="307" t="n"/>
      <c r="W228" s="307" t="n"/>
      <c r="X228" s="307" t="n"/>
      <c r="Y228" s="307" t="n"/>
      <c r="Z228" s="307" t="n"/>
      <c r="AA228" s="307" t="n"/>
      <c r="AB228" s="307" t="n"/>
      <c r="AC228" s="307" t="n"/>
      <c r="AD228" s="307" t="n"/>
      <c r="AE228" s="307" t="n"/>
      <c r="AF228" s="307" t="n"/>
      <c r="AG228" s="307" t="n"/>
      <c r="AH228" s="307" t="n"/>
      <c r="AI228" s="307" t="n"/>
      <c r="AJ228" s="307" t="n"/>
      <c r="AK228" s="307" t="n"/>
      <c r="AL228" s="307" t="n"/>
      <c r="AM228" s="307" t="n"/>
      <c r="AN228" s="307" t="n"/>
      <c r="AO228" s="307" t="n"/>
      <c r="AP228" s="307" t="n"/>
      <c r="AQ228" s="307" t="n"/>
      <c r="AR228" s="307" t="n"/>
      <c r="AS228" s="307" t="n"/>
      <c r="AT228" s="307" t="n"/>
      <c r="AU228" s="307" t="n"/>
      <c r="AV228" s="307" t="n"/>
      <c r="AW228" s="307" t="n"/>
      <c r="AX228" s="307" t="n"/>
      <c r="AY228" s="307" t="n"/>
      <c r="AZ228" s="307" t="n"/>
      <c r="BA228" s="307" t="n"/>
      <c r="BB228" s="307" t="n"/>
      <c r="BC228" s="307" t="n"/>
      <c r="BD228" s="307" t="n"/>
      <c r="BE228" s="307" t="n"/>
      <c r="BF228" s="307" t="n"/>
      <c r="BG228" s="31" t="n"/>
      <c r="BH228" s="31" t="n"/>
      <c r="BI228" s="31" t="n"/>
      <c r="BJ228" s="31" t="n"/>
    </row>
    <row r="229" ht="15.75" customHeight="1" s="349">
      <c r="A229" s="307" t="n"/>
      <c r="B229" s="307" t="n"/>
      <c r="C229" s="307" t="n"/>
      <c r="D229" s="307" t="n"/>
      <c r="E229" s="307" t="n"/>
      <c r="F229" s="307" t="n"/>
      <c r="G229" s="307" t="n"/>
      <c r="H229" s="307" t="n"/>
      <c r="I229" s="307" t="n"/>
      <c r="J229" s="307" t="n"/>
      <c r="K229" s="307" t="n"/>
      <c r="L229" s="307" t="n"/>
      <c r="M229" s="307" t="n"/>
      <c r="N229" s="307" t="n"/>
      <c r="O229" s="307" t="n"/>
      <c r="P229" s="307" t="n"/>
      <c r="Q229" s="307" t="n"/>
      <c r="R229" s="307" t="n"/>
      <c r="S229" s="307" t="n"/>
      <c r="T229" s="307" t="n"/>
      <c r="U229" s="307" t="n"/>
      <c r="V229" s="307" t="n"/>
      <c r="W229" s="307" t="n"/>
      <c r="X229" s="307" t="n"/>
      <c r="Y229" s="307" t="n"/>
      <c r="Z229" s="307" t="n"/>
      <c r="AA229" s="307" t="n"/>
      <c r="AB229" s="307" t="n"/>
      <c r="AC229" s="307" t="n"/>
      <c r="AD229" s="307" t="n"/>
      <c r="AE229" s="307" t="n"/>
      <c r="AF229" s="307" t="n"/>
      <c r="AG229" s="307" t="n"/>
      <c r="AH229" s="307" t="n"/>
      <c r="AI229" s="307" t="n"/>
      <c r="AJ229" s="307" t="n"/>
      <c r="AK229" s="307" t="n"/>
      <c r="AL229" s="307" t="n"/>
      <c r="AM229" s="307" t="n"/>
      <c r="AN229" s="307" t="n"/>
      <c r="AO229" s="307" t="n"/>
      <c r="AP229" s="307" t="n"/>
      <c r="AQ229" s="307" t="n"/>
      <c r="AR229" s="307" t="n"/>
      <c r="AS229" s="307" t="n"/>
      <c r="AT229" s="307" t="n"/>
      <c r="AU229" s="307" t="n"/>
      <c r="AV229" s="307" t="n"/>
      <c r="AW229" s="307" t="n"/>
      <c r="AX229" s="307" t="n"/>
      <c r="AY229" s="307" t="n"/>
      <c r="AZ229" s="307" t="n"/>
      <c r="BA229" s="307" t="n"/>
      <c r="BB229" s="307" t="n"/>
      <c r="BC229" s="307" t="n"/>
      <c r="BD229" s="307" t="n"/>
      <c r="BE229" s="307" t="n"/>
      <c r="BF229" s="307" t="n"/>
      <c r="BG229" s="31" t="n"/>
      <c r="BH229" s="31" t="n"/>
      <c r="BI229" s="31" t="n"/>
      <c r="BJ229" s="31" t="n"/>
    </row>
    <row r="230" ht="15.75" customHeight="1" s="349">
      <c r="A230" s="307" t="n"/>
      <c r="B230" s="307" t="n"/>
      <c r="C230" s="307" t="n"/>
      <c r="D230" s="307" t="n"/>
      <c r="E230" s="307" t="n"/>
      <c r="F230" s="307" t="n"/>
      <c r="G230" s="307" t="n"/>
      <c r="H230" s="307" t="n"/>
      <c r="I230" s="307" t="n"/>
      <c r="J230" s="307" t="n"/>
      <c r="K230" s="307" t="n"/>
      <c r="L230" s="307" t="n"/>
      <c r="M230" s="307" t="n"/>
      <c r="N230" s="307" t="n"/>
      <c r="O230" s="307" t="n"/>
      <c r="P230" s="307" t="n"/>
      <c r="Q230" s="307" t="n"/>
      <c r="R230" s="307" t="n"/>
      <c r="S230" s="307" t="n"/>
      <c r="T230" s="307" t="n"/>
      <c r="U230" s="307" t="n"/>
      <c r="V230" s="307" t="n"/>
      <c r="W230" s="307" t="n"/>
      <c r="X230" s="307" t="n"/>
      <c r="Y230" s="307" t="n"/>
      <c r="Z230" s="307" t="n"/>
      <c r="AA230" s="307" t="n"/>
      <c r="AB230" s="307" t="n"/>
      <c r="AC230" s="307" t="n"/>
      <c r="AD230" s="307" t="n"/>
      <c r="AE230" s="307" t="n"/>
      <c r="AF230" s="307" t="n"/>
      <c r="AG230" s="307" t="n"/>
      <c r="AH230" s="307" t="n"/>
      <c r="AI230" s="307" t="n"/>
      <c r="AJ230" s="307" t="n"/>
      <c r="AK230" s="307" t="n"/>
      <c r="AL230" s="307" t="n"/>
      <c r="AM230" s="307" t="n"/>
      <c r="AN230" s="307" t="n"/>
      <c r="AO230" s="307" t="n"/>
      <c r="AP230" s="307" t="n"/>
      <c r="AQ230" s="307" t="n"/>
      <c r="AR230" s="307" t="n"/>
      <c r="AS230" s="307" t="n"/>
      <c r="AT230" s="307" t="n"/>
      <c r="AU230" s="307" t="n"/>
      <c r="AV230" s="307" t="n"/>
      <c r="AW230" s="307" t="n"/>
      <c r="AX230" s="307" t="n"/>
      <c r="AY230" s="307" t="n"/>
      <c r="AZ230" s="307" t="n"/>
      <c r="BA230" s="307" t="n"/>
      <c r="BB230" s="307" t="n"/>
      <c r="BC230" s="307" t="n"/>
      <c r="BD230" s="307" t="n"/>
      <c r="BE230" s="307" t="n"/>
      <c r="BF230" s="307" t="n"/>
      <c r="BG230" s="31" t="n"/>
      <c r="BH230" s="31" t="n"/>
      <c r="BI230" s="31" t="n"/>
      <c r="BJ230" s="31" t="n"/>
    </row>
    <row r="231" ht="15.75" customHeight="1" s="349">
      <c r="A231" s="307" t="n"/>
      <c r="B231" s="307" t="n"/>
      <c r="C231" s="307" t="n"/>
      <c r="D231" s="307" t="n"/>
      <c r="E231" s="307" t="n"/>
      <c r="F231" s="307" t="n"/>
      <c r="G231" s="307" t="n"/>
      <c r="H231" s="307" t="n"/>
      <c r="I231" s="307" t="n"/>
      <c r="J231" s="307" t="n"/>
      <c r="K231" s="307" t="n"/>
      <c r="L231" s="307" t="n"/>
      <c r="M231" s="307" t="n"/>
      <c r="N231" s="307" t="n"/>
      <c r="O231" s="307" t="n"/>
      <c r="P231" s="307" t="n"/>
      <c r="Q231" s="307" t="n"/>
      <c r="R231" s="307" t="n"/>
      <c r="S231" s="307" t="n"/>
      <c r="T231" s="307" t="n"/>
      <c r="U231" s="307" t="n"/>
      <c r="V231" s="307" t="n"/>
      <c r="W231" s="307" t="n"/>
      <c r="X231" s="307" t="n"/>
      <c r="Y231" s="307" t="n"/>
      <c r="Z231" s="307" t="n"/>
      <c r="AA231" s="307" t="n"/>
      <c r="AB231" s="307" t="n"/>
      <c r="AC231" s="307" t="n"/>
      <c r="AD231" s="307" t="n"/>
      <c r="AE231" s="307" t="n"/>
      <c r="AF231" s="307" t="n"/>
      <c r="AG231" s="307" t="n"/>
      <c r="AH231" s="307" t="n"/>
      <c r="AI231" s="307" t="n"/>
      <c r="AJ231" s="307" t="n"/>
      <c r="AK231" s="307" t="n"/>
      <c r="AL231" s="307" t="n"/>
      <c r="AM231" s="307" t="n"/>
      <c r="AN231" s="307" t="n"/>
      <c r="AO231" s="307" t="n"/>
      <c r="AP231" s="307" t="n"/>
      <c r="AQ231" s="307" t="n"/>
      <c r="AR231" s="307" t="n"/>
      <c r="AS231" s="307" t="n"/>
      <c r="AT231" s="307" t="n"/>
      <c r="AU231" s="307" t="n"/>
      <c r="AV231" s="307" t="n"/>
      <c r="AW231" s="307" t="n"/>
      <c r="AX231" s="307" t="n"/>
      <c r="AY231" s="307" t="n"/>
      <c r="AZ231" s="307" t="n"/>
      <c r="BA231" s="307" t="n"/>
      <c r="BB231" s="307" t="n"/>
      <c r="BC231" s="307" t="n"/>
      <c r="BD231" s="307" t="n"/>
      <c r="BE231" s="307" t="n"/>
      <c r="BF231" s="307" t="n"/>
      <c r="BG231" s="31" t="n"/>
      <c r="BH231" s="31" t="n"/>
      <c r="BI231" s="31" t="n"/>
      <c r="BJ231" s="31" t="n"/>
    </row>
    <row r="232" ht="15.75" customHeight="1" s="349">
      <c r="A232" s="307" t="n"/>
      <c r="B232" s="307" t="n"/>
      <c r="C232" s="307" t="n"/>
      <c r="D232" s="307" t="n"/>
      <c r="E232" s="307" t="n"/>
      <c r="F232" s="307" t="n"/>
      <c r="G232" s="307" t="n"/>
      <c r="H232" s="307" t="n"/>
      <c r="I232" s="307" t="n"/>
      <c r="J232" s="307" t="n"/>
      <c r="K232" s="307" t="n"/>
      <c r="L232" s="307" t="n"/>
      <c r="M232" s="307" t="n"/>
      <c r="N232" s="307" t="n"/>
      <c r="O232" s="307" t="n"/>
      <c r="P232" s="307" t="n"/>
      <c r="Q232" s="307" t="n"/>
      <c r="R232" s="307" t="n"/>
      <c r="S232" s="307" t="n"/>
      <c r="T232" s="307" t="n"/>
      <c r="U232" s="307" t="n"/>
      <c r="V232" s="307" t="n"/>
      <c r="W232" s="307" t="n"/>
      <c r="X232" s="307" t="n"/>
      <c r="Y232" s="307" t="n"/>
      <c r="Z232" s="307" t="n"/>
      <c r="AA232" s="307" t="n"/>
      <c r="AB232" s="307" t="n"/>
      <c r="AC232" s="307" t="n"/>
      <c r="AD232" s="307" t="n"/>
      <c r="AE232" s="307" t="n"/>
      <c r="AF232" s="307" t="n"/>
      <c r="AG232" s="307" t="n"/>
      <c r="AH232" s="307" t="n"/>
      <c r="AI232" s="307" t="n"/>
      <c r="AJ232" s="307" t="n"/>
      <c r="AK232" s="307" t="n"/>
      <c r="AL232" s="307" t="n"/>
      <c r="AM232" s="307" t="n"/>
      <c r="AN232" s="307" t="n"/>
      <c r="AO232" s="307" t="n"/>
      <c r="AP232" s="307" t="n"/>
      <c r="AQ232" s="307" t="n"/>
      <c r="AR232" s="307" t="n"/>
      <c r="AS232" s="307" t="n"/>
      <c r="AT232" s="307" t="n"/>
      <c r="AU232" s="307" t="n"/>
      <c r="AV232" s="307" t="n"/>
      <c r="AW232" s="307" t="n"/>
      <c r="AX232" s="307" t="n"/>
      <c r="AY232" s="307" t="n"/>
      <c r="AZ232" s="307" t="n"/>
      <c r="BA232" s="307" t="n"/>
      <c r="BB232" s="307" t="n"/>
      <c r="BC232" s="307" t="n"/>
      <c r="BD232" s="307" t="n"/>
      <c r="BE232" s="307" t="n"/>
      <c r="BF232" s="307" t="n"/>
      <c r="BG232" s="31" t="n"/>
      <c r="BH232" s="31" t="n"/>
      <c r="BI232" s="31" t="n"/>
      <c r="BJ232" s="31" t="n"/>
    </row>
    <row r="233" ht="15.75" customHeight="1" s="349">
      <c r="A233" s="307" t="n"/>
      <c r="B233" s="307" t="n"/>
      <c r="C233" s="307" t="n"/>
      <c r="D233" s="307" t="n"/>
      <c r="E233" s="307" t="n"/>
      <c r="F233" s="307" t="n"/>
      <c r="G233" s="307" t="n"/>
      <c r="H233" s="307" t="n"/>
      <c r="I233" s="307" t="n"/>
      <c r="J233" s="307" t="n"/>
      <c r="K233" s="307" t="n"/>
      <c r="L233" s="307" t="n"/>
      <c r="M233" s="307" t="n"/>
      <c r="N233" s="307" t="n"/>
      <c r="O233" s="307" t="n"/>
      <c r="P233" s="307" t="n"/>
      <c r="Q233" s="307" t="n"/>
      <c r="R233" s="307" t="n"/>
      <c r="S233" s="307" t="n"/>
      <c r="T233" s="307" t="n"/>
      <c r="U233" s="307" t="n"/>
      <c r="V233" s="307" t="n"/>
      <c r="W233" s="307" t="n"/>
      <c r="X233" s="307" t="n"/>
      <c r="Y233" s="307" t="n"/>
      <c r="Z233" s="307" t="n"/>
      <c r="AA233" s="307" t="n"/>
      <c r="AB233" s="307" t="n"/>
      <c r="AC233" s="307" t="n"/>
      <c r="AD233" s="307" t="n"/>
      <c r="AE233" s="307" t="n"/>
      <c r="AF233" s="307" t="n"/>
      <c r="AG233" s="307" t="n"/>
      <c r="AH233" s="307" t="n"/>
      <c r="AI233" s="307" t="n"/>
      <c r="AJ233" s="307" t="n"/>
      <c r="AK233" s="307" t="n"/>
      <c r="AL233" s="307" t="n"/>
      <c r="AM233" s="307" t="n"/>
      <c r="AN233" s="307" t="n"/>
      <c r="AO233" s="307" t="n"/>
      <c r="AP233" s="307" t="n"/>
      <c r="AQ233" s="307" t="n"/>
      <c r="AR233" s="307" t="n"/>
      <c r="AS233" s="307" t="n"/>
      <c r="AT233" s="307" t="n"/>
      <c r="AU233" s="307" t="n"/>
      <c r="AV233" s="307" t="n"/>
      <c r="AW233" s="307" t="n"/>
      <c r="AX233" s="307" t="n"/>
      <c r="AY233" s="307" t="n"/>
      <c r="AZ233" s="307" t="n"/>
      <c r="BA233" s="307" t="n"/>
      <c r="BB233" s="307" t="n"/>
      <c r="BC233" s="307" t="n"/>
      <c r="BD233" s="307" t="n"/>
      <c r="BE233" s="307" t="n"/>
      <c r="BF233" s="307" t="n"/>
      <c r="BG233" s="31" t="n"/>
      <c r="BH233" s="31" t="n"/>
      <c r="BI233" s="31" t="n"/>
      <c r="BJ233" s="31" t="n"/>
    </row>
    <row r="234" ht="15.75" customHeight="1" s="349">
      <c r="A234" s="307" t="n"/>
      <c r="B234" s="307" t="n"/>
      <c r="C234" s="307" t="n"/>
      <c r="D234" s="307" t="n"/>
      <c r="E234" s="307" t="n"/>
      <c r="F234" s="307" t="n"/>
      <c r="G234" s="307" t="n"/>
      <c r="H234" s="307" t="n"/>
      <c r="I234" s="307" t="n"/>
      <c r="J234" s="307" t="n"/>
      <c r="K234" s="307" t="n"/>
      <c r="L234" s="307" t="n"/>
      <c r="M234" s="307" t="n"/>
      <c r="N234" s="307" t="n"/>
      <c r="O234" s="307" t="n"/>
      <c r="P234" s="307" t="n"/>
      <c r="Q234" s="307" t="n"/>
      <c r="R234" s="307" t="n"/>
      <c r="S234" s="307" t="n"/>
      <c r="T234" s="307" t="n"/>
      <c r="U234" s="307" t="n"/>
      <c r="V234" s="307" t="n"/>
      <c r="W234" s="307" t="n"/>
      <c r="X234" s="307" t="n"/>
      <c r="Y234" s="307" t="n"/>
      <c r="Z234" s="307" t="n"/>
      <c r="AA234" s="307" t="n"/>
      <c r="AB234" s="307" t="n"/>
      <c r="AC234" s="307" t="n"/>
      <c r="AD234" s="307" t="n"/>
      <c r="AE234" s="307" t="n"/>
      <c r="AF234" s="307" t="n"/>
      <c r="AG234" s="307" t="n"/>
      <c r="AH234" s="307" t="n"/>
      <c r="AI234" s="307" t="n"/>
      <c r="AJ234" s="307" t="n"/>
      <c r="AK234" s="307" t="n"/>
      <c r="AL234" s="307" t="n"/>
      <c r="AM234" s="307" t="n"/>
      <c r="AN234" s="307" t="n"/>
      <c r="AO234" s="307" t="n"/>
      <c r="AP234" s="307" t="n"/>
      <c r="AQ234" s="307" t="n"/>
      <c r="AR234" s="307" t="n"/>
      <c r="AS234" s="307" t="n"/>
      <c r="AT234" s="307" t="n"/>
      <c r="AU234" s="307" t="n"/>
      <c r="AV234" s="307" t="n"/>
      <c r="AW234" s="307" t="n"/>
      <c r="AX234" s="307" t="n"/>
      <c r="AY234" s="307" t="n"/>
      <c r="AZ234" s="307" t="n"/>
      <c r="BA234" s="307" t="n"/>
      <c r="BB234" s="307" t="n"/>
      <c r="BC234" s="307" t="n"/>
      <c r="BD234" s="307" t="n"/>
      <c r="BE234" s="307" t="n"/>
      <c r="BF234" s="307" t="n"/>
      <c r="BG234" s="31" t="n"/>
      <c r="BH234" s="31" t="n"/>
      <c r="BI234" s="31" t="n"/>
      <c r="BJ234" s="31" t="n"/>
    </row>
    <row r="235" ht="15.75" customHeight="1" s="349"/>
    <row r="236" ht="15.75" customHeight="1" s="349"/>
    <row r="237" ht="15.75" customHeight="1" s="349"/>
    <row r="238" ht="15.75" customHeight="1" s="349"/>
    <row r="239" ht="15.75" customHeight="1" s="349"/>
    <row r="240" ht="15.75" customHeight="1" s="349"/>
    <row r="241" ht="15.75" customHeight="1" s="349"/>
    <row r="242" ht="15.75" customHeight="1" s="349"/>
    <row r="243" ht="15.75" customHeight="1" s="349"/>
    <row r="244" ht="15.75" customHeight="1" s="349"/>
    <row r="245" ht="15.75" customHeight="1" s="349"/>
    <row r="246" ht="15.75" customHeight="1" s="349"/>
    <row r="247" ht="15.75" customHeight="1" s="349"/>
    <row r="248" ht="15.75" customHeight="1" s="349"/>
    <row r="249" ht="15.75" customHeight="1" s="349"/>
    <row r="250" ht="15.75" customHeight="1" s="349"/>
    <row r="251" ht="15.75" customHeight="1" s="349"/>
    <row r="252" ht="15.75" customHeight="1" s="349"/>
    <row r="253" ht="15.75" customHeight="1" s="349"/>
    <row r="254" ht="15.75" customHeight="1" s="349"/>
    <row r="255" ht="15.75" customHeight="1" s="349"/>
    <row r="256" ht="15.75" customHeight="1" s="349"/>
    <row r="257" ht="15.75" customHeight="1" s="349"/>
    <row r="258" ht="15.75" customHeight="1" s="349"/>
    <row r="259" ht="15.75" customHeight="1" s="349"/>
    <row r="260" ht="15.75" customHeight="1" s="349"/>
    <row r="261" ht="15.75" customHeight="1" s="349"/>
    <row r="262" ht="15.75" customHeight="1" s="349"/>
    <row r="263" ht="15.75" customHeight="1" s="349"/>
    <row r="264" ht="15.75" customHeight="1" s="349"/>
    <row r="265" ht="15.75" customHeight="1" s="349"/>
    <row r="266" ht="15.75" customHeight="1" s="349"/>
    <row r="267" ht="15.75" customHeight="1" s="349"/>
    <row r="268" ht="15.75" customHeight="1" s="349"/>
    <row r="269" ht="15.75" customHeight="1" s="349"/>
    <row r="270" ht="15.75" customHeight="1" s="349"/>
    <row r="271" ht="15.75" customHeight="1" s="349"/>
    <row r="272" ht="15.75" customHeight="1" s="349"/>
    <row r="273" ht="15.75" customHeight="1" s="349"/>
    <row r="274" ht="15.75" customHeight="1" s="349"/>
    <row r="275" ht="15.75" customHeight="1" s="349"/>
    <row r="276" ht="15.75" customHeight="1" s="349"/>
    <row r="277" ht="15.75" customHeight="1" s="349"/>
    <row r="278" ht="15.75" customHeight="1" s="349"/>
    <row r="279" ht="15.75" customHeight="1" s="349"/>
    <row r="280" ht="15.75" customHeight="1" s="349"/>
    <row r="281" ht="15.75" customHeight="1" s="349"/>
    <row r="282" ht="15.75" customHeight="1" s="349"/>
    <row r="283" ht="15.75" customHeight="1" s="349"/>
    <row r="284" ht="15.75" customHeight="1" s="349"/>
    <row r="285" ht="15.75" customHeight="1" s="349"/>
    <row r="286" ht="15.75" customHeight="1" s="349"/>
    <row r="287" ht="15.75" customHeight="1" s="349"/>
    <row r="288" ht="15.75" customHeight="1" s="349"/>
    <row r="289" ht="15.75" customHeight="1" s="349"/>
    <row r="290" ht="15.75" customHeight="1" s="349"/>
    <row r="291" ht="15.75" customHeight="1" s="349"/>
    <row r="292" ht="15.75" customHeight="1" s="349"/>
    <row r="293" ht="15.75" customHeight="1" s="349"/>
    <row r="294" ht="15.75" customHeight="1" s="349"/>
    <row r="295" ht="15.75" customHeight="1" s="349"/>
    <row r="296" ht="15.75" customHeight="1" s="349"/>
    <row r="297" ht="15.75" customHeight="1" s="349"/>
    <row r="298" ht="15.75" customHeight="1" s="349"/>
    <row r="299" ht="15.75" customHeight="1" s="349"/>
    <row r="300" ht="15.75" customHeight="1" s="349"/>
    <row r="301" ht="15.75" customHeight="1" s="349"/>
    <row r="302" ht="15.75" customHeight="1" s="349"/>
    <row r="303" ht="15.75" customHeight="1" s="349"/>
    <row r="304" ht="15.75" customHeight="1" s="349"/>
    <row r="305" ht="15.75" customHeight="1" s="349"/>
    <row r="306" ht="15.75" customHeight="1" s="349"/>
    <row r="307" ht="15.75" customHeight="1" s="349"/>
    <row r="308" ht="15.75" customHeight="1" s="349"/>
    <row r="309" ht="15.75" customHeight="1" s="349"/>
    <row r="310" ht="15.75" customHeight="1" s="349"/>
    <row r="311" ht="15.75" customHeight="1" s="349"/>
    <row r="312" ht="15.75" customHeight="1" s="349"/>
    <row r="313" ht="15.75" customHeight="1" s="349"/>
    <row r="314" ht="15.75" customHeight="1" s="349"/>
    <row r="315" ht="15.75" customHeight="1" s="349"/>
    <row r="316" ht="15.75" customHeight="1" s="349"/>
    <row r="317" ht="15.75" customHeight="1" s="349"/>
    <row r="318" ht="15.75" customHeight="1" s="349"/>
    <row r="319" ht="15.75" customHeight="1" s="349"/>
    <row r="320" ht="15.75" customHeight="1" s="349"/>
    <row r="321" ht="15.75" customHeight="1" s="349"/>
    <row r="322" ht="15.75" customHeight="1" s="349"/>
    <row r="323" ht="15.75" customHeight="1" s="349"/>
    <row r="324" ht="15.75" customHeight="1" s="349"/>
    <row r="325" ht="15.75" customHeight="1" s="349"/>
    <row r="326" ht="15.75" customHeight="1" s="349"/>
    <row r="327" ht="15.75" customHeight="1" s="349"/>
    <row r="328" ht="15.75" customHeight="1" s="349"/>
    <row r="329" ht="15.75" customHeight="1" s="349"/>
    <row r="330" ht="15.75" customHeight="1" s="349"/>
    <row r="331" ht="15.75" customHeight="1" s="349"/>
    <row r="332" ht="15.75" customHeight="1" s="349"/>
    <row r="333" ht="15.75" customHeight="1" s="349"/>
    <row r="334" ht="15.75" customHeight="1" s="349"/>
    <row r="335" ht="15.75" customHeight="1" s="349"/>
    <row r="336" ht="15.75" customHeight="1" s="349"/>
    <row r="337" ht="15.75" customHeight="1" s="349"/>
    <row r="338" ht="15.75" customHeight="1" s="349"/>
    <row r="339" ht="15.75" customHeight="1" s="349"/>
    <row r="340" ht="15.75" customHeight="1" s="349"/>
    <row r="341" ht="15.75" customHeight="1" s="349"/>
    <row r="342" ht="15.75" customHeight="1" s="349"/>
    <row r="343" ht="15.75" customHeight="1" s="349"/>
    <row r="344" ht="15.75" customHeight="1" s="349"/>
    <row r="345" ht="15.75" customHeight="1" s="349"/>
    <row r="346" ht="15.75" customHeight="1" s="349"/>
    <row r="347" ht="15.75" customHeight="1" s="349"/>
    <row r="348" ht="15.75" customHeight="1" s="349"/>
    <row r="349" ht="15.75" customHeight="1" s="349"/>
    <row r="350" ht="15.75" customHeight="1" s="349"/>
    <row r="351" ht="15.75" customHeight="1" s="349"/>
    <row r="352" ht="15.75" customHeight="1" s="349"/>
    <row r="353" ht="15.75" customHeight="1" s="349"/>
    <row r="354" ht="15.75" customHeight="1" s="349"/>
    <row r="355" ht="15.75" customHeight="1" s="349"/>
    <row r="356" ht="15.75" customHeight="1" s="349"/>
    <row r="357" ht="15.75" customHeight="1" s="349"/>
    <row r="358" ht="15.75" customHeight="1" s="349"/>
    <row r="359" ht="15.75" customHeight="1" s="349"/>
    <row r="360" ht="15.75" customHeight="1" s="349"/>
    <row r="361" ht="15.75" customHeight="1" s="349"/>
    <row r="362" ht="15.75" customHeight="1" s="349"/>
    <row r="363" ht="15.75" customHeight="1" s="349"/>
    <row r="364" ht="15.75" customHeight="1" s="349"/>
    <row r="365" ht="15.75" customHeight="1" s="349"/>
    <row r="366" ht="15.75" customHeight="1" s="349"/>
    <row r="367" ht="15.75" customHeight="1" s="349"/>
    <row r="368" ht="15.75" customHeight="1" s="349"/>
    <row r="369" ht="15.75" customHeight="1" s="349"/>
    <row r="370" ht="15.75" customHeight="1" s="349"/>
    <row r="371" ht="15.75" customHeight="1" s="349"/>
    <row r="372" ht="15.75" customHeight="1" s="349"/>
    <row r="373" ht="15.75" customHeight="1" s="349"/>
    <row r="374" ht="15.75" customHeight="1" s="349"/>
    <row r="375" ht="15.75" customHeight="1" s="349"/>
    <row r="376" ht="15.75" customHeight="1" s="349"/>
    <row r="377" ht="15.75" customHeight="1" s="349"/>
    <row r="378" ht="15.75" customHeight="1" s="349"/>
    <row r="379" ht="15.75" customHeight="1" s="349"/>
    <row r="380" ht="15.75" customHeight="1" s="349"/>
    <row r="381" ht="15.75" customHeight="1" s="349"/>
    <row r="382" ht="15.75" customHeight="1" s="349"/>
    <row r="383" ht="15.75" customHeight="1" s="349"/>
    <row r="384" ht="15.75" customHeight="1" s="349"/>
    <row r="385" ht="15.75" customHeight="1" s="349"/>
    <row r="386" ht="15.75" customHeight="1" s="349"/>
    <row r="387" ht="15.75" customHeight="1" s="349"/>
    <row r="388" ht="15.75" customHeight="1" s="349"/>
    <row r="389" ht="15.75" customHeight="1" s="349"/>
    <row r="390" ht="15.75" customHeight="1" s="349"/>
    <row r="391" ht="15.75" customHeight="1" s="349"/>
    <row r="392" ht="15.75" customHeight="1" s="349"/>
    <row r="393" ht="15.75" customHeight="1" s="349"/>
    <row r="394" ht="15.75" customHeight="1" s="349"/>
    <row r="395" ht="15.75" customHeight="1" s="349"/>
    <row r="396" ht="15.75" customHeight="1" s="349"/>
    <row r="397" ht="15.75" customHeight="1" s="349"/>
    <row r="398" ht="15.75" customHeight="1" s="349"/>
    <row r="399" ht="15.75" customHeight="1" s="349"/>
    <row r="400" ht="15.75" customHeight="1" s="349"/>
    <row r="401" ht="15.75" customHeight="1" s="349"/>
    <row r="402" ht="15.75" customHeight="1" s="349"/>
    <row r="403" ht="15.75" customHeight="1" s="349"/>
    <row r="404" ht="15.75" customHeight="1" s="349"/>
    <row r="405" ht="15.75" customHeight="1" s="349"/>
    <row r="406" ht="15.75" customHeight="1" s="349"/>
    <row r="407" ht="15.75" customHeight="1" s="349"/>
    <row r="408" ht="15.75" customHeight="1" s="349"/>
    <row r="409" ht="15.75" customHeight="1" s="349"/>
    <row r="410" ht="15.75" customHeight="1" s="349"/>
    <row r="411" ht="15.75" customHeight="1" s="349"/>
    <row r="412" ht="15.75" customHeight="1" s="349"/>
    <row r="413" ht="15.75" customHeight="1" s="349"/>
    <row r="414" ht="15.75" customHeight="1" s="349"/>
    <row r="415" ht="15.75" customHeight="1" s="349"/>
    <row r="416" ht="15.75" customHeight="1" s="349"/>
    <row r="417" ht="15.75" customHeight="1" s="349"/>
    <row r="418" ht="15.75" customHeight="1" s="349"/>
    <row r="419" ht="15.75" customHeight="1" s="349"/>
    <row r="420" ht="15.75" customHeight="1" s="349"/>
    <row r="421" ht="15.75" customHeight="1" s="349"/>
    <row r="422" ht="15.75" customHeight="1" s="349"/>
    <row r="423" ht="15.75" customHeight="1" s="349"/>
    <row r="424" ht="15.75" customHeight="1" s="349"/>
    <row r="425" ht="15.75" customHeight="1" s="349"/>
    <row r="426" ht="15.75" customHeight="1" s="349"/>
    <row r="427" ht="15.75" customHeight="1" s="349"/>
    <row r="428" ht="15.75" customHeight="1" s="349"/>
    <row r="429" ht="15.75" customHeight="1" s="349"/>
    <row r="430" ht="15.75" customHeight="1" s="349"/>
    <row r="431" ht="15.75" customHeight="1" s="349"/>
    <row r="432" ht="15.75" customHeight="1" s="349"/>
    <row r="433" ht="15.75" customHeight="1" s="349"/>
    <row r="434" ht="15.75" customHeight="1" s="349"/>
    <row r="435" ht="15.75" customHeight="1" s="349"/>
    <row r="436" ht="15.75" customHeight="1" s="349"/>
    <row r="437" ht="15.75" customHeight="1" s="349"/>
    <row r="438" ht="15.75" customHeight="1" s="349"/>
    <row r="439" ht="15.75" customHeight="1" s="349"/>
    <row r="440" ht="15.75" customHeight="1" s="349"/>
    <row r="441" ht="15.75" customHeight="1" s="349"/>
    <row r="442" ht="15.75" customHeight="1" s="349"/>
    <row r="443" ht="15.75" customHeight="1" s="349"/>
    <row r="444" ht="15.75" customHeight="1" s="349"/>
    <row r="445" ht="15.75" customHeight="1" s="349"/>
    <row r="446" ht="15.75" customHeight="1" s="349"/>
    <row r="447" ht="15.75" customHeight="1" s="349"/>
    <row r="448" ht="15.75" customHeight="1" s="349"/>
    <row r="449" ht="15.75" customHeight="1" s="349"/>
    <row r="450" ht="15.75" customHeight="1" s="349"/>
    <row r="451" ht="15.75" customHeight="1" s="349"/>
    <row r="452" ht="15.75" customHeight="1" s="349"/>
    <row r="453" ht="15.75" customHeight="1" s="349"/>
    <row r="454" ht="15.75" customHeight="1" s="349"/>
    <row r="455" ht="15.75" customHeight="1" s="349"/>
    <row r="456" ht="15.75" customHeight="1" s="349"/>
    <row r="457" ht="15.75" customHeight="1" s="349"/>
    <row r="458" ht="15.75" customHeight="1" s="349"/>
    <row r="459" ht="15.75" customHeight="1" s="349"/>
    <row r="460" ht="15.75" customHeight="1" s="349"/>
    <row r="461" ht="15.75" customHeight="1" s="349"/>
    <row r="462" ht="15.75" customHeight="1" s="349"/>
    <row r="463" ht="15.75" customHeight="1" s="349"/>
    <row r="464" ht="15.75" customHeight="1" s="349"/>
    <row r="465" ht="15.75" customHeight="1" s="349"/>
    <row r="466" ht="15.75" customHeight="1" s="349"/>
    <row r="467" ht="15.75" customHeight="1" s="349"/>
    <row r="468" ht="15.75" customHeight="1" s="349"/>
    <row r="469" ht="15.75" customHeight="1" s="349"/>
    <row r="470" ht="15.75" customHeight="1" s="349"/>
    <row r="471" ht="15.75" customHeight="1" s="349"/>
    <row r="472" ht="15.75" customHeight="1" s="349"/>
    <row r="473" ht="15.75" customHeight="1" s="349"/>
    <row r="474" ht="15.75" customHeight="1" s="349"/>
    <row r="475" ht="15.75" customHeight="1" s="349"/>
    <row r="476" ht="15.75" customHeight="1" s="349"/>
    <row r="477" ht="15.75" customHeight="1" s="349"/>
    <row r="478" ht="15.75" customHeight="1" s="349"/>
    <row r="479" ht="15.75" customHeight="1" s="349"/>
    <row r="480" ht="15.75" customHeight="1" s="349"/>
    <row r="481" ht="15.75" customHeight="1" s="349"/>
    <row r="482" ht="15.75" customHeight="1" s="349"/>
    <row r="483" ht="15.75" customHeight="1" s="349"/>
    <row r="484" ht="15.75" customHeight="1" s="349"/>
    <row r="485" ht="15.75" customHeight="1" s="349"/>
    <row r="486" ht="15.75" customHeight="1" s="349"/>
    <row r="487" ht="15.75" customHeight="1" s="349"/>
    <row r="488" ht="15.75" customHeight="1" s="349"/>
    <row r="489" ht="15.75" customHeight="1" s="349"/>
    <row r="490" ht="15.75" customHeight="1" s="349"/>
    <row r="491" ht="15.75" customHeight="1" s="349"/>
    <row r="492" ht="15.75" customHeight="1" s="349"/>
    <row r="493" ht="15.75" customHeight="1" s="349"/>
    <row r="494" ht="15.75" customHeight="1" s="349"/>
    <row r="495" ht="15.75" customHeight="1" s="349"/>
    <row r="496" ht="15.75" customHeight="1" s="349"/>
    <row r="497" ht="15.75" customHeight="1" s="349"/>
    <row r="498" ht="15.75" customHeight="1" s="349"/>
    <row r="499" ht="15.75" customHeight="1" s="349"/>
    <row r="500" ht="15.75" customHeight="1" s="349"/>
    <row r="501" ht="15.75" customHeight="1" s="349"/>
    <row r="502" ht="15.75" customHeight="1" s="349"/>
    <row r="503" ht="15.75" customHeight="1" s="349"/>
    <row r="504" ht="15.75" customHeight="1" s="349"/>
    <row r="505" ht="15.75" customHeight="1" s="349"/>
    <row r="506" ht="15.75" customHeight="1" s="349"/>
    <row r="507" ht="15.75" customHeight="1" s="349"/>
    <row r="508" ht="15.75" customHeight="1" s="349"/>
    <row r="509" ht="15.75" customHeight="1" s="349"/>
    <row r="510" ht="15.75" customHeight="1" s="349"/>
    <row r="511" ht="15.75" customHeight="1" s="349"/>
    <row r="512" ht="15.75" customHeight="1" s="349"/>
    <row r="513" ht="15.75" customHeight="1" s="349"/>
    <row r="514" ht="15.75" customHeight="1" s="349"/>
    <row r="515" ht="15.75" customHeight="1" s="349"/>
    <row r="516" ht="15.75" customHeight="1" s="349"/>
    <row r="517" ht="15.75" customHeight="1" s="349"/>
    <row r="518" ht="15.75" customHeight="1" s="349"/>
    <row r="519" ht="15.75" customHeight="1" s="349"/>
    <row r="520" ht="15.75" customHeight="1" s="349"/>
    <row r="521" ht="15.75" customHeight="1" s="349"/>
    <row r="522" ht="15.75" customHeight="1" s="349"/>
    <row r="523" ht="15.75" customHeight="1" s="349"/>
    <row r="524" ht="15.75" customHeight="1" s="349"/>
    <row r="525" ht="15.75" customHeight="1" s="349"/>
    <row r="526" ht="15.75" customHeight="1" s="349"/>
    <row r="527" ht="15.75" customHeight="1" s="349"/>
    <row r="528" ht="15.75" customHeight="1" s="349"/>
    <row r="529" ht="15.75" customHeight="1" s="349"/>
    <row r="530" ht="15.75" customHeight="1" s="349"/>
    <row r="531" ht="15.75" customHeight="1" s="349"/>
    <row r="532" ht="15.75" customHeight="1" s="349"/>
    <row r="533" ht="15.75" customHeight="1" s="349"/>
    <row r="534" ht="15.75" customHeight="1" s="349"/>
    <row r="535" ht="15.75" customHeight="1" s="349"/>
    <row r="536" ht="15.75" customHeight="1" s="349"/>
    <row r="537" ht="15.75" customHeight="1" s="349"/>
    <row r="538" ht="15.75" customHeight="1" s="349"/>
    <row r="539" ht="15.75" customHeight="1" s="349"/>
    <row r="540" ht="15.75" customHeight="1" s="349"/>
    <row r="541" ht="15.75" customHeight="1" s="349"/>
    <row r="542" ht="15.75" customHeight="1" s="349"/>
    <row r="543" ht="15.75" customHeight="1" s="349"/>
    <row r="544" ht="15.75" customHeight="1" s="349"/>
    <row r="545" ht="15.75" customHeight="1" s="349"/>
    <row r="546" ht="15.75" customHeight="1" s="349"/>
    <row r="547" ht="15.75" customHeight="1" s="349"/>
    <row r="548" ht="15.75" customHeight="1" s="349"/>
    <row r="549" ht="15.75" customHeight="1" s="349"/>
    <row r="550" ht="15.75" customHeight="1" s="349"/>
    <row r="551" ht="15.75" customHeight="1" s="349"/>
    <row r="552" ht="15.75" customHeight="1" s="349"/>
    <row r="553" ht="15.75" customHeight="1" s="349"/>
    <row r="554" ht="15.75" customHeight="1" s="349"/>
    <row r="555" ht="15.75" customHeight="1" s="349"/>
    <row r="556" ht="15.75" customHeight="1" s="349"/>
    <row r="557" ht="15.75" customHeight="1" s="349"/>
    <row r="558" ht="15.75" customHeight="1" s="349"/>
    <row r="559" ht="15.75" customHeight="1" s="349"/>
    <row r="560" ht="15.75" customHeight="1" s="349"/>
    <row r="561" ht="15.75" customHeight="1" s="349"/>
    <row r="562" ht="15.75" customHeight="1" s="349"/>
    <row r="563" ht="15.75" customHeight="1" s="349"/>
    <row r="564" ht="15.75" customHeight="1" s="349"/>
    <row r="565" ht="15.75" customHeight="1" s="349"/>
    <row r="566" ht="15.75" customHeight="1" s="349"/>
    <row r="567" ht="15.75" customHeight="1" s="349"/>
    <row r="568" ht="15.75" customHeight="1" s="349"/>
    <row r="569" ht="15.75" customHeight="1" s="349"/>
    <row r="570" ht="15.75" customHeight="1" s="349"/>
    <row r="571" ht="15.75" customHeight="1" s="349"/>
    <row r="572" ht="15.75" customHeight="1" s="349"/>
    <row r="573" ht="15.75" customHeight="1" s="349"/>
    <row r="574" ht="15.75" customHeight="1" s="349"/>
    <row r="575" ht="15.75" customHeight="1" s="349"/>
    <row r="576" ht="15.75" customHeight="1" s="349"/>
    <row r="577" ht="15.75" customHeight="1" s="349"/>
    <row r="578" ht="15.75" customHeight="1" s="349"/>
    <row r="579" ht="15.75" customHeight="1" s="349"/>
    <row r="580" ht="15.75" customHeight="1" s="349"/>
    <row r="581" ht="15.75" customHeight="1" s="349"/>
    <row r="582" ht="15.75" customHeight="1" s="349"/>
    <row r="583" ht="15.75" customHeight="1" s="349"/>
    <row r="584" ht="15.75" customHeight="1" s="349"/>
    <row r="585" ht="15.75" customHeight="1" s="349"/>
    <row r="586" ht="15.75" customHeight="1" s="349"/>
    <row r="587" ht="15.75" customHeight="1" s="349"/>
    <row r="588" ht="15.75" customHeight="1" s="349"/>
    <row r="589" ht="15.75" customHeight="1" s="349"/>
    <row r="590" ht="15.75" customHeight="1" s="349"/>
    <row r="591" ht="15.75" customHeight="1" s="349"/>
    <row r="592" ht="15.75" customHeight="1" s="349"/>
    <row r="593" ht="15.75" customHeight="1" s="349"/>
    <row r="594" ht="15.75" customHeight="1" s="349"/>
    <row r="595" ht="15.75" customHeight="1" s="349"/>
    <row r="596" ht="15.75" customHeight="1" s="349"/>
    <row r="597" ht="15.75" customHeight="1" s="349"/>
    <row r="598" ht="15.75" customHeight="1" s="349"/>
    <row r="599" ht="15.75" customHeight="1" s="349"/>
    <row r="600" ht="15.75" customHeight="1" s="349"/>
    <row r="601" ht="15.75" customHeight="1" s="349"/>
    <row r="602" ht="15.75" customHeight="1" s="349"/>
    <row r="603" ht="15.75" customHeight="1" s="349"/>
    <row r="604" ht="15.75" customHeight="1" s="349"/>
    <row r="605" ht="15.75" customHeight="1" s="349"/>
    <row r="606" ht="15.75" customHeight="1" s="349"/>
    <row r="607" ht="15.75" customHeight="1" s="349"/>
    <row r="608" ht="15.75" customHeight="1" s="349"/>
    <row r="609" ht="15.75" customHeight="1" s="349"/>
    <row r="610" ht="15.75" customHeight="1" s="349"/>
    <row r="611" ht="15.75" customHeight="1" s="349"/>
    <row r="612" ht="15.75" customHeight="1" s="349"/>
    <row r="613" ht="15.75" customHeight="1" s="349"/>
    <row r="614" ht="15.75" customHeight="1" s="349"/>
    <row r="615" ht="15.75" customHeight="1" s="349"/>
    <row r="616" ht="15.75" customHeight="1" s="349"/>
    <row r="617" ht="15.75" customHeight="1" s="349"/>
    <row r="618" ht="15.75" customHeight="1" s="349"/>
    <row r="619" ht="15.75" customHeight="1" s="349"/>
    <row r="620" ht="15.75" customHeight="1" s="349"/>
    <row r="621" ht="15.75" customHeight="1" s="349"/>
    <row r="622" ht="15.75" customHeight="1" s="349"/>
    <row r="623" ht="15.75" customHeight="1" s="349"/>
    <row r="624" ht="15.75" customHeight="1" s="349"/>
    <row r="625" ht="15.75" customHeight="1" s="349"/>
    <row r="626" ht="15.75" customHeight="1" s="349"/>
    <row r="627" ht="15.75" customHeight="1" s="349"/>
    <row r="628" ht="15.75" customHeight="1" s="349"/>
    <row r="629" ht="15.75" customHeight="1" s="349"/>
    <row r="630" ht="15.75" customHeight="1" s="349"/>
    <row r="631" ht="15.75" customHeight="1" s="349"/>
    <row r="632" ht="15.75" customHeight="1" s="349"/>
    <row r="633" ht="15.75" customHeight="1" s="349"/>
    <row r="634" ht="15.75" customHeight="1" s="349"/>
    <row r="635" ht="15.75" customHeight="1" s="349"/>
    <row r="636" ht="15.75" customHeight="1" s="349"/>
    <row r="637" ht="15.75" customHeight="1" s="349"/>
    <row r="638" ht="15.75" customHeight="1" s="349"/>
    <row r="639" ht="15.75" customHeight="1" s="349"/>
    <row r="640" ht="15.75" customHeight="1" s="349"/>
    <row r="641" ht="15.75" customHeight="1" s="349"/>
    <row r="642" ht="15.75" customHeight="1" s="349"/>
    <row r="643" ht="15.75" customHeight="1" s="349"/>
    <row r="644" ht="15.75" customHeight="1" s="349"/>
    <row r="645" ht="15.75" customHeight="1" s="349"/>
    <row r="646" ht="15.75" customHeight="1" s="349"/>
    <row r="647" ht="15.75" customHeight="1" s="349"/>
    <row r="648" ht="15.75" customHeight="1" s="349"/>
    <row r="649" ht="15.75" customHeight="1" s="349"/>
    <row r="650" ht="15.75" customHeight="1" s="349"/>
    <row r="651" ht="15.75" customHeight="1" s="349"/>
    <row r="652" ht="15.75" customHeight="1" s="349"/>
    <row r="653" ht="15.75" customHeight="1" s="349"/>
    <row r="654" ht="15.75" customHeight="1" s="349"/>
    <row r="655" ht="15.75" customHeight="1" s="349"/>
    <row r="656" ht="15.75" customHeight="1" s="349"/>
    <row r="657" ht="15.75" customHeight="1" s="349"/>
    <row r="658" ht="15.75" customHeight="1" s="349"/>
    <row r="659" ht="15.75" customHeight="1" s="349"/>
    <row r="660" ht="15.75" customHeight="1" s="349"/>
    <row r="661" ht="15.75" customHeight="1" s="349"/>
    <row r="662" ht="15.75" customHeight="1" s="349"/>
    <row r="663" ht="15.75" customHeight="1" s="349"/>
    <row r="664" ht="15.75" customHeight="1" s="349"/>
    <row r="665" ht="15.75" customHeight="1" s="349"/>
    <row r="666" ht="15.75" customHeight="1" s="349"/>
    <row r="667" ht="15.75" customHeight="1" s="349"/>
    <row r="668" ht="15.75" customHeight="1" s="349"/>
    <row r="669" ht="15.75" customHeight="1" s="349"/>
    <row r="670" ht="15.75" customHeight="1" s="349"/>
    <row r="671" ht="15.75" customHeight="1" s="349"/>
    <row r="672" ht="15.75" customHeight="1" s="349"/>
    <row r="673" ht="15.75" customHeight="1" s="349"/>
    <row r="674" ht="15.75" customHeight="1" s="349"/>
    <row r="675" ht="15.75" customHeight="1" s="349"/>
    <row r="676" ht="15.75" customHeight="1" s="349"/>
    <row r="677" ht="15.75" customHeight="1" s="349"/>
    <row r="678" ht="15.75" customHeight="1" s="349"/>
    <row r="679" ht="15.75" customHeight="1" s="349"/>
    <row r="680" ht="15.75" customHeight="1" s="349"/>
    <row r="681" ht="15.75" customHeight="1" s="349"/>
    <row r="682" ht="15.75" customHeight="1" s="349"/>
    <row r="683" ht="15.75" customHeight="1" s="349"/>
    <row r="684" ht="15.75" customHeight="1" s="349"/>
    <row r="685" ht="15.75" customHeight="1" s="349"/>
    <row r="686" ht="15.75" customHeight="1" s="349"/>
    <row r="687" ht="15.75" customHeight="1" s="349"/>
    <row r="688" ht="15.75" customHeight="1" s="349"/>
    <row r="689" ht="15.75" customHeight="1" s="349"/>
    <row r="690" ht="15.75" customHeight="1" s="349"/>
    <row r="691" ht="15.75" customHeight="1" s="349"/>
    <row r="692" ht="15.75" customHeight="1" s="349"/>
    <row r="693" ht="15.75" customHeight="1" s="349"/>
    <row r="694" ht="15.75" customHeight="1" s="349"/>
    <row r="695" ht="15.75" customHeight="1" s="349"/>
    <row r="696" ht="15.75" customHeight="1" s="349"/>
    <row r="697" ht="15.75" customHeight="1" s="349"/>
    <row r="698" ht="15.75" customHeight="1" s="349"/>
    <row r="699" ht="15.75" customHeight="1" s="349"/>
    <row r="700" ht="15.75" customHeight="1" s="349"/>
    <row r="701" ht="15.75" customHeight="1" s="349"/>
    <row r="702" ht="15.75" customHeight="1" s="349"/>
    <row r="703" ht="15.75" customHeight="1" s="349"/>
    <row r="704" ht="15.75" customHeight="1" s="349"/>
    <row r="705" ht="15.75" customHeight="1" s="349"/>
    <row r="706" ht="15.75" customHeight="1" s="349"/>
    <row r="707" ht="15.75" customHeight="1" s="349"/>
    <row r="708" ht="15.75" customHeight="1" s="349"/>
    <row r="709" ht="15.75" customHeight="1" s="349"/>
    <row r="710" ht="15.75" customHeight="1" s="349"/>
    <row r="711" ht="15.75" customHeight="1" s="349"/>
    <row r="712" ht="15.75" customHeight="1" s="349"/>
    <row r="713" ht="15.75" customHeight="1" s="349"/>
    <row r="714" ht="15.75" customHeight="1" s="349"/>
    <row r="715" ht="15.75" customHeight="1" s="349"/>
    <row r="716" ht="15.75" customHeight="1" s="349"/>
    <row r="717" ht="15.75" customHeight="1" s="349"/>
    <row r="718" ht="15.75" customHeight="1" s="349"/>
    <row r="719" ht="15.75" customHeight="1" s="349"/>
    <row r="720" ht="15.75" customHeight="1" s="349"/>
    <row r="721" ht="15.75" customHeight="1" s="349"/>
    <row r="722" ht="15.75" customHeight="1" s="349"/>
    <row r="723" ht="15.75" customHeight="1" s="349"/>
    <row r="724" ht="15.75" customHeight="1" s="349"/>
    <row r="725" ht="15.75" customHeight="1" s="349"/>
    <row r="726" ht="15.75" customHeight="1" s="349"/>
    <row r="727" ht="15.75" customHeight="1" s="349"/>
    <row r="728" ht="15.75" customHeight="1" s="349"/>
    <row r="729" ht="15.75" customHeight="1" s="349"/>
    <row r="730" ht="15.75" customHeight="1" s="349"/>
    <row r="731" ht="15.75" customHeight="1" s="349"/>
    <row r="732" ht="15.75" customHeight="1" s="349"/>
    <row r="733" ht="15.75" customHeight="1" s="349"/>
    <row r="734" ht="15.75" customHeight="1" s="349"/>
    <row r="735" ht="15.75" customHeight="1" s="349"/>
    <row r="736" ht="15.75" customHeight="1" s="349"/>
    <row r="737" ht="15.75" customHeight="1" s="349"/>
    <row r="738" ht="15.75" customHeight="1" s="349"/>
    <row r="739" ht="15.75" customHeight="1" s="349"/>
    <row r="740" ht="15.75" customHeight="1" s="349"/>
    <row r="741" ht="15.75" customHeight="1" s="349"/>
    <row r="742" ht="15.75" customHeight="1" s="349"/>
    <row r="743" ht="15.75" customHeight="1" s="349"/>
    <row r="744" ht="15.75" customHeight="1" s="349"/>
    <row r="745" ht="15.75" customHeight="1" s="349"/>
    <row r="746" ht="15.75" customHeight="1" s="349"/>
    <row r="747" ht="15.75" customHeight="1" s="349"/>
    <row r="748" ht="15.75" customHeight="1" s="349"/>
    <row r="749" ht="15.75" customHeight="1" s="349"/>
    <row r="750" ht="15.75" customHeight="1" s="349"/>
    <row r="751" ht="15.75" customHeight="1" s="349"/>
    <row r="752" ht="15.75" customHeight="1" s="349"/>
    <row r="753" ht="15.75" customHeight="1" s="349"/>
    <row r="754" ht="15.75" customHeight="1" s="349"/>
    <row r="755" ht="15.75" customHeight="1" s="349"/>
    <row r="756" ht="15.75" customHeight="1" s="349"/>
    <row r="757" ht="15.75" customHeight="1" s="349"/>
    <row r="758" ht="15.75" customHeight="1" s="349"/>
    <row r="759" ht="15.75" customHeight="1" s="349"/>
    <row r="760" ht="15.75" customHeight="1" s="349"/>
    <row r="761" ht="15.75" customHeight="1" s="349"/>
    <row r="762" ht="15.75" customHeight="1" s="349"/>
    <row r="763" ht="15.75" customHeight="1" s="349"/>
    <row r="764" ht="15.75" customHeight="1" s="349"/>
    <row r="765" ht="15.75" customHeight="1" s="349"/>
    <row r="766" ht="15.75" customHeight="1" s="349"/>
    <row r="767" ht="15.75" customHeight="1" s="349"/>
    <row r="768" ht="15.75" customHeight="1" s="349"/>
    <row r="769" ht="15.75" customHeight="1" s="349"/>
    <row r="770" ht="15.75" customHeight="1" s="349"/>
    <row r="771" ht="15.75" customHeight="1" s="349"/>
    <row r="772" ht="15.75" customHeight="1" s="349"/>
    <row r="773" ht="15.75" customHeight="1" s="349"/>
    <row r="774" ht="15.75" customHeight="1" s="349"/>
    <row r="775" ht="15.75" customHeight="1" s="349"/>
    <row r="776" ht="15.75" customHeight="1" s="349"/>
    <row r="777" ht="15.75" customHeight="1" s="349"/>
    <row r="778" ht="15.75" customHeight="1" s="349"/>
    <row r="779" ht="15.75" customHeight="1" s="349"/>
    <row r="780" ht="15.75" customHeight="1" s="349"/>
    <row r="781" ht="15.75" customHeight="1" s="349"/>
    <row r="782" ht="15.75" customHeight="1" s="349"/>
    <row r="783" ht="15.75" customHeight="1" s="349"/>
    <row r="784" ht="15.75" customHeight="1" s="349"/>
    <row r="785" ht="15.75" customHeight="1" s="349"/>
    <row r="786" ht="15.75" customHeight="1" s="349"/>
    <row r="787" ht="15.75" customHeight="1" s="349"/>
    <row r="788" ht="15.75" customHeight="1" s="349"/>
    <row r="789" ht="15.75" customHeight="1" s="349"/>
    <row r="790" ht="15.75" customHeight="1" s="349"/>
    <row r="791" ht="15.75" customHeight="1" s="349"/>
    <row r="792" ht="15.75" customHeight="1" s="349"/>
    <row r="793" ht="15.75" customHeight="1" s="349"/>
    <row r="794" ht="15.75" customHeight="1" s="349"/>
    <row r="795" ht="15.75" customHeight="1" s="349"/>
    <row r="796" ht="15.75" customHeight="1" s="349"/>
    <row r="797" ht="15.75" customHeight="1" s="349"/>
    <row r="798" ht="15.75" customHeight="1" s="349"/>
    <row r="799" ht="15.75" customHeight="1" s="349"/>
    <row r="800" ht="15.75" customHeight="1" s="349"/>
    <row r="801" ht="15.75" customHeight="1" s="349"/>
    <row r="802" ht="15.75" customHeight="1" s="349"/>
    <row r="803" ht="15.75" customHeight="1" s="349"/>
    <row r="804" ht="15.75" customHeight="1" s="349"/>
    <row r="805" ht="15.75" customHeight="1" s="349"/>
    <row r="806" ht="15.75" customHeight="1" s="349"/>
    <row r="807" ht="15.75" customHeight="1" s="349"/>
    <row r="808" ht="15.75" customHeight="1" s="349"/>
    <row r="809" ht="15.75" customHeight="1" s="349"/>
    <row r="810" ht="15.75" customHeight="1" s="349"/>
    <row r="811" ht="15.75" customHeight="1" s="349"/>
    <row r="812" ht="15.75" customHeight="1" s="349"/>
    <row r="813" ht="15.75" customHeight="1" s="349"/>
    <row r="814" ht="15.75" customHeight="1" s="349"/>
    <row r="815" ht="15.75" customHeight="1" s="349"/>
    <row r="816" ht="15.75" customHeight="1" s="349"/>
    <row r="817" ht="15.75" customHeight="1" s="349"/>
    <row r="818" ht="15.75" customHeight="1" s="349"/>
    <row r="819" ht="15.75" customHeight="1" s="349"/>
    <row r="820" ht="15.75" customHeight="1" s="349"/>
    <row r="821" ht="15.75" customHeight="1" s="349"/>
    <row r="822" ht="15.75" customHeight="1" s="349"/>
    <row r="823" ht="15.75" customHeight="1" s="349"/>
    <row r="824" ht="15.75" customHeight="1" s="349"/>
    <row r="825" ht="15.75" customHeight="1" s="349"/>
    <row r="826" ht="15.75" customHeight="1" s="349"/>
    <row r="827" ht="15.75" customHeight="1" s="349"/>
    <row r="828" ht="15.75" customHeight="1" s="349"/>
    <row r="829" ht="15.75" customHeight="1" s="349"/>
    <row r="830" ht="15.75" customHeight="1" s="349"/>
    <row r="831" ht="15.75" customHeight="1" s="349"/>
    <row r="832" ht="15.75" customHeight="1" s="349"/>
    <row r="833" ht="15.75" customHeight="1" s="349"/>
    <row r="834" ht="15.75" customHeight="1" s="349"/>
    <row r="835" ht="15.75" customHeight="1" s="349"/>
    <row r="836" ht="15.75" customHeight="1" s="349"/>
    <row r="837" ht="15.75" customHeight="1" s="349"/>
    <row r="838" ht="15.75" customHeight="1" s="349"/>
    <row r="839" ht="15.75" customHeight="1" s="349"/>
    <row r="840" ht="15.75" customHeight="1" s="349"/>
    <row r="841" ht="15.75" customHeight="1" s="349"/>
    <row r="842" ht="15.75" customHeight="1" s="349"/>
    <row r="843" ht="15.75" customHeight="1" s="349"/>
    <row r="844" ht="15.75" customHeight="1" s="349"/>
    <row r="845" ht="15.75" customHeight="1" s="349"/>
    <row r="846" ht="15.75" customHeight="1" s="349"/>
    <row r="847" ht="15.75" customHeight="1" s="349"/>
    <row r="848" ht="15.75" customHeight="1" s="349"/>
    <row r="849" ht="15.75" customHeight="1" s="349"/>
    <row r="850" ht="15.75" customHeight="1" s="349"/>
    <row r="851" ht="15.75" customHeight="1" s="349"/>
    <row r="852" ht="15.75" customHeight="1" s="349"/>
    <row r="853" ht="15.75" customHeight="1" s="349"/>
    <row r="854" ht="15.75" customHeight="1" s="349"/>
    <row r="855" ht="15.75" customHeight="1" s="349"/>
    <row r="856" ht="15.75" customHeight="1" s="349"/>
    <row r="857" ht="15.75" customHeight="1" s="349"/>
    <row r="858" ht="15.75" customHeight="1" s="349"/>
    <row r="859" ht="15.75" customHeight="1" s="349"/>
    <row r="860" ht="15.75" customHeight="1" s="349"/>
    <row r="861" ht="15.75" customHeight="1" s="349"/>
    <row r="862" ht="15.75" customHeight="1" s="349"/>
    <row r="863" ht="15.75" customHeight="1" s="349"/>
    <row r="864" ht="15.75" customHeight="1" s="349"/>
    <row r="865" ht="15.75" customHeight="1" s="349"/>
    <row r="866" ht="15.75" customHeight="1" s="349"/>
    <row r="867" ht="15.75" customHeight="1" s="349"/>
    <row r="868" ht="15.75" customHeight="1" s="349"/>
    <row r="869" ht="15.75" customHeight="1" s="349"/>
    <row r="870" ht="15.75" customHeight="1" s="349"/>
    <row r="871" ht="15.75" customHeight="1" s="349"/>
    <row r="872" ht="15.75" customHeight="1" s="349"/>
    <row r="873" ht="15.75" customHeight="1" s="349"/>
    <row r="874" ht="15.75" customHeight="1" s="349"/>
    <row r="875" ht="15.75" customHeight="1" s="349"/>
    <row r="876" ht="15.75" customHeight="1" s="349"/>
    <row r="877" ht="15.75" customHeight="1" s="349"/>
    <row r="878" ht="15.75" customHeight="1" s="349"/>
    <row r="879" ht="15.75" customHeight="1" s="349"/>
    <row r="880" ht="15.75" customHeight="1" s="349"/>
    <row r="881" ht="15.75" customHeight="1" s="349"/>
    <row r="882" ht="15.75" customHeight="1" s="349"/>
    <row r="883" ht="15.75" customHeight="1" s="349"/>
    <row r="884" ht="15.75" customHeight="1" s="349"/>
    <row r="885" ht="15.75" customHeight="1" s="349"/>
    <row r="886" ht="15.75" customHeight="1" s="349"/>
    <row r="887" ht="15.75" customHeight="1" s="349"/>
    <row r="888" ht="15.75" customHeight="1" s="349"/>
    <row r="889" ht="15.75" customHeight="1" s="349"/>
    <row r="890" ht="15.75" customHeight="1" s="349"/>
    <row r="891" ht="15.75" customHeight="1" s="349"/>
    <row r="892" ht="15.75" customHeight="1" s="349"/>
    <row r="893" ht="15.75" customHeight="1" s="349"/>
    <row r="894" ht="15.75" customHeight="1" s="349"/>
    <row r="895" ht="15.75" customHeight="1" s="349"/>
    <row r="896" ht="15.75" customHeight="1" s="349"/>
    <row r="897" ht="15.75" customHeight="1" s="349"/>
    <row r="898" ht="15.75" customHeight="1" s="349"/>
    <row r="899" ht="15.75" customHeight="1" s="349"/>
    <row r="900" ht="15.75" customHeight="1" s="349"/>
    <row r="901" ht="15.75" customHeight="1" s="349"/>
    <row r="902" ht="15.75" customHeight="1" s="349"/>
    <row r="903" ht="15.75" customHeight="1" s="349"/>
    <row r="904" ht="15.75" customHeight="1" s="349"/>
    <row r="905" ht="15.75" customHeight="1" s="349"/>
    <row r="906" ht="15.75" customHeight="1" s="349"/>
    <row r="907" ht="15.75" customHeight="1" s="349"/>
    <row r="908" ht="15.75" customHeight="1" s="349"/>
    <row r="909" ht="15.75" customHeight="1" s="349"/>
    <row r="910" ht="15.75" customHeight="1" s="349"/>
    <row r="911" ht="15.75" customHeight="1" s="349"/>
    <row r="912" ht="15.75" customHeight="1" s="349"/>
    <row r="913" ht="15.75" customHeight="1" s="349"/>
    <row r="914" ht="15.75" customHeight="1" s="349"/>
    <row r="915" ht="15.75" customHeight="1" s="349"/>
    <row r="916" ht="15.75" customHeight="1" s="349"/>
    <row r="917" ht="15.75" customHeight="1" s="349"/>
    <row r="918" ht="15.75" customHeight="1" s="349"/>
    <row r="919" ht="15.75" customHeight="1" s="349"/>
    <row r="920" ht="15.75" customHeight="1" s="349"/>
    <row r="921" ht="15.75" customHeight="1" s="349"/>
    <row r="922" ht="15.75" customHeight="1" s="349"/>
    <row r="923" ht="15.75" customHeight="1" s="349"/>
    <row r="924" ht="15.75" customHeight="1" s="349"/>
    <row r="925" ht="15.75" customHeight="1" s="349"/>
    <row r="926" ht="15.75" customHeight="1" s="349"/>
    <row r="927" ht="15.75" customHeight="1" s="349"/>
    <row r="928" ht="15.75" customHeight="1" s="349"/>
    <row r="929" ht="15.75" customHeight="1" s="349"/>
    <row r="930" ht="15.75" customHeight="1" s="349"/>
    <row r="931" ht="15.75" customHeight="1" s="349"/>
    <row r="932" ht="15.75" customHeight="1" s="349"/>
    <row r="933" ht="15.75" customHeight="1" s="349"/>
    <row r="934" ht="15.75" customHeight="1" s="349"/>
    <row r="935" ht="15.75" customHeight="1" s="349"/>
    <row r="936" ht="15.75" customHeight="1" s="349"/>
    <row r="937" ht="15.75" customHeight="1" s="349"/>
    <row r="938" ht="15.75" customHeight="1" s="349"/>
    <row r="939" ht="15.75" customHeight="1" s="349"/>
    <row r="940" ht="15.75" customHeight="1" s="349"/>
    <row r="941" ht="15.75" customHeight="1" s="349"/>
    <row r="942" ht="15.75" customHeight="1" s="349"/>
    <row r="943" ht="15.75" customHeight="1" s="349"/>
    <row r="944" ht="15.75" customHeight="1" s="349"/>
    <row r="945" ht="15.75" customHeight="1" s="349"/>
    <row r="946" ht="15.75" customHeight="1" s="349"/>
    <row r="947" ht="15.75" customHeight="1" s="349"/>
    <row r="948" ht="15.75" customHeight="1" s="349"/>
    <row r="949" ht="15.75" customHeight="1" s="349"/>
    <row r="950" ht="15.75" customHeight="1" s="349"/>
    <row r="951" ht="15.75" customHeight="1" s="349"/>
    <row r="952" ht="15.75" customHeight="1" s="349"/>
    <row r="953" ht="15.75" customHeight="1" s="349"/>
    <row r="954" ht="15.75" customHeight="1" s="349"/>
    <row r="955" ht="15.75" customHeight="1" s="349"/>
    <row r="956" ht="15.75" customHeight="1" s="349"/>
    <row r="957" ht="15.75" customHeight="1" s="349"/>
    <row r="958" ht="15.75" customHeight="1" s="349"/>
    <row r="959" ht="15.75" customHeight="1" s="349"/>
    <row r="960" ht="15.75" customHeight="1" s="349"/>
    <row r="961" ht="15.75" customHeight="1" s="349"/>
    <row r="962" ht="15.75" customHeight="1" s="349"/>
    <row r="963" ht="15.75" customHeight="1" s="349"/>
    <row r="964" ht="15.75" customHeight="1" s="349"/>
    <row r="965" ht="15.75" customHeight="1" s="349"/>
    <row r="966" ht="15.75" customHeight="1" s="349"/>
    <row r="967" ht="15.75" customHeight="1" s="349"/>
    <row r="968" ht="15.75" customHeight="1" s="349"/>
    <row r="969" ht="15.75" customHeight="1" s="349"/>
    <row r="970" ht="15.75" customHeight="1" s="349"/>
    <row r="971" ht="15.75" customHeight="1" s="349"/>
    <row r="972" ht="15.75" customHeight="1" s="349"/>
    <row r="973" ht="15.75" customHeight="1" s="349"/>
    <row r="974" ht="15.75" customHeight="1" s="349"/>
    <row r="975" ht="15.75" customHeight="1" s="349"/>
    <row r="976" ht="15.75" customHeight="1" s="349"/>
    <row r="977" ht="15.75" customHeight="1" s="349"/>
    <row r="978" ht="15.75" customHeight="1" s="349"/>
    <row r="979" ht="15.75" customHeight="1" s="349"/>
    <row r="980" ht="15.75" customHeight="1" s="349"/>
    <row r="981" ht="15.75" customHeight="1" s="349"/>
    <row r="982" ht="15.75" customHeight="1" s="349"/>
    <row r="983" ht="15.75" customHeight="1" s="349"/>
    <row r="984" ht="15.75" customHeight="1" s="349"/>
    <row r="985" ht="15.75" customHeight="1" s="349"/>
    <row r="986" ht="15.75" customHeight="1" s="349"/>
    <row r="987" ht="15.75" customHeight="1" s="349"/>
    <row r="988" ht="15.75" customHeight="1" s="349"/>
    <row r="989" ht="15.75" customHeight="1" s="349"/>
    <row r="990" ht="15.75" customHeight="1" s="349"/>
    <row r="991" ht="15.75" customHeight="1" s="349"/>
    <row r="992" ht="15.75" customHeight="1" s="349"/>
    <row r="993" ht="15.75" customHeight="1" s="349"/>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BJ222"/>
  <sheetViews>
    <sheetView showGridLines="0" workbookViewId="0">
      <pane xSplit="3" topLeftCell="D1" activePane="topRight" state="frozen"/>
      <selection pane="topRight" activeCell="E2" sqref="E2"/>
    </sheetView>
  </sheetViews>
  <sheetFormatPr baseColWidth="8" defaultColWidth="14.43" defaultRowHeight="15" customHeight="1"/>
  <cols>
    <col width="2" customWidth="1" style="349" min="1" max="1"/>
    <col width="37.57" customWidth="1" style="349" min="2" max="2"/>
    <col width="12" customWidth="1" style="349" min="3" max="3"/>
    <col width="2.57" customWidth="1" style="349" min="4" max="4"/>
    <col hidden="1" outlineLevel="1" width="9.710000000000001" customWidth="1" style="349" min="5" max="5"/>
    <col hidden="1" outlineLevel="1" width="9.57" customWidth="1" style="349" min="6" max="6"/>
    <col hidden="1" outlineLevel="1" width="9.859999999999999" customWidth="1" style="349" min="7" max="7"/>
    <col hidden="1" outlineLevel="1" width="9.43" customWidth="1" style="349" min="8" max="8"/>
    <col hidden="1" outlineLevel="1" width="10" customWidth="1" style="349" min="9" max="9"/>
    <col hidden="1" outlineLevel="1" width="9.710000000000001" customWidth="1" style="349" min="10" max="10"/>
    <col hidden="1" outlineLevel="1" width="9.140000000000001" customWidth="1" style="349" min="11" max="11"/>
    <col hidden="1" outlineLevel="1" width="9.859999999999999" customWidth="1" style="349" min="12" max="13"/>
    <col hidden="1" outlineLevel="1" width="9.57" customWidth="1" style="349" min="14" max="14"/>
    <col hidden="1" outlineLevel="1" width="9.859999999999999" customWidth="1" style="349" min="15" max="16"/>
    <col width="9.710000000000001" customWidth="1" style="349" min="17" max="17"/>
    <col width="9.57" customWidth="1" style="349" min="18" max="18"/>
    <col width="9.710000000000001" customWidth="1" style="349" min="19" max="19"/>
    <col width="9.43" customWidth="1" style="349" min="20" max="20"/>
    <col width="10" customWidth="1" style="349" min="21" max="21"/>
    <col width="9.710000000000001" customWidth="1" style="349" min="22" max="22"/>
    <col width="9.140000000000001" customWidth="1" style="349" min="23" max="23"/>
    <col width="9.859999999999999" customWidth="1" style="349" min="24" max="25"/>
    <col width="9.57" customWidth="1" style="349" min="26" max="26"/>
    <col width="9.859999999999999" customWidth="1" style="349" min="27" max="28"/>
    <col width="9.43" customWidth="1" style="349" min="29" max="30"/>
    <col width="9.57" customWidth="1" style="349" min="31" max="31"/>
    <col width="10.14" customWidth="1" style="349" min="32" max="32"/>
    <col width="9.859999999999999" customWidth="1" style="349" min="33" max="33"/>
    <col width="10" customWidth="1" style="349" min="34" max="34"/>
    <col width="10.14" customWidth="1" style="349" min="35" max="35"/>
    <col width="10.43" customWidth="1" style="349" min="36" max="36"/>
    <col width="10.29" customWidth="1" style="349" min="37" max="37"/>
    <col width="10.43" customWidth="1" style="349" min="38" max="38"/>
    <col width="10.57" customWidth="1" style="349" min="39" max="40"/>
    <col width="10.43" customWidth="1" style="349" min="41" max="42"/>
    <col width="10.86" customWidth="1" style="349" min="43" max="44"/>
    <col width="11" customWidth="1" style="349" min="45" max="45"/>
    <col width="10" customWidth="1" style="349" min="46" max="46"/>
    <col width="10.86" customWidth="1" style="349" min="47" max="48"/>
    <col width="10.57" customWidth="1" style="349" min="49" max="49"/>
    <col width="10.71" customWidth="1" style="349" min="50" max="50"/>
    <col width="10.43" customWidth="1" style="349" min="51" max="51"/>
    <col width="10.57" customWidth="1" style="349" min="52" max="52"/>
    <col width="17.43" customWidth="1" style="349" min="53" max="53"/>
    <col hidden="1" width="14.43" customWidth="1" style="349" min="54" max="54"/>
    <col width="6.14" customWidth="1" style="349" min="55" max="55"/>
    <col width="10.86" customWidth="1" style="349" min="56" max="56"/>
    <col width="11.29" customWidth="1" style="349" min="57" max="57"/>
    <col outlineLevel="1" width="11.71" customWidth="1" style="349" min="58" max="58"/>
    <col width="43" customWidth="1" style="349" min="60" max="60"/>
  </cols>
  <sheetData>
    <row r="1" ht="15.75" customHeight="1" s="349">
      <c r="A1" s="13" t="n"/>
      <c r="B1" s="8" t="inlineStr">
        <is>
          <t>Tarnoc B.V. — COGS Schedule (€)</t>
        </is>
      </c>
      <c r="C1" s="13" t="n"/>
      <c r="D1" s="13" t="n"/>
      <c r="E1" s="13" t="n"/>
      <c r="F1" s="13" t="n"/>
      <c r="G1" s="13" t="n"/>
      <c r="H1" s="13" t="n"/>
      <c r="I1" s="13" t="n"/>
      <c r="J1" s="13" t="n"/>
      <c r="K1" s="13" t="n"/>
      <c r="L1" s="13" t="n"/>
      <c r="M1" s="13" t="n"/>
      <c r="N1" s="13" t="n"/>
      <c r="O1" s="13" t="n"/>
      <c r="P1" s="13" t="n"/>
      <c r="Q1" s="13" t="n"/>
      <c r="R1" s="13" t="n"/>
      <c r="S1" s="13" t="n"/>
      <c r="T1" s="13" t="n"/>
      <c r="U1" s="13" t="n"/>
      <c r="V1" s="13" t="n"/>
      <c r="W1" s="13" t="n"/>
      <c r="X1" s="13" t="n"/>
      <c r="Y1" s="13" t="n"/>
      <c r="Z1" s="13" t="n"/>
      <c r="AA1" s="13" t="n"/>
      <c r="AB1" s="13" t="n"/>
      <c r="AC1" s="13" t="n"/>
      <c r="AD1" s="13" t="n"/>
      <c r="AE1" s="13" t="n"/>
      <c r="AF1" s="13" t="n"/>
      <c r="AG1" s="13" t="n"/>
      <c r="AH1" s="13" t="n"/>
      <c r="AI1" s="13" t="n"/>
      <c r="AJ1" s="13" t="n"/>
      <c r="AK1" s="13" t="n"/>
      <c r="AL1" s="13" t="n"/>
      <c r="AM1" s="13" t="n"/>
      <c r="AN1" s="13" t="n"/>
      <c r="AO1" s="18" t="n"/>
      <c r="AP1" s="18" t="n"/>
      <c r="AQ1" s="18" t="n"/>
      <c r="AR1" s="18" t="n"/>
      <c r="AS1" s="18" t="n"/>
      <c r="AT1" s="18" t="n"/>
      <c r="AU1" s="18" t="n"/>
      <c r="AV1" s="18" t="n"/>
      <c r="AW1" s="18" t="n"/>
      <c r="AX1" s="18" t="n"/>
      <c r="AY1" s="18" t="n"/>
      <c r="AZ1" s="18" t="n"/>
      <c r="BA1" s="233" t="n"/>
      <c r="BB1" s="13" t="n"/>
      <c r="BC1" s="18" t="n"/>
      <c r="BD1" s="18" t="n"/>
      <c r="BE1" s="18" t="n"/>
      <c r="BF1" s="18" t="n"/>
      <c r="BG1" s="35" t="n"/>
      <c r="BH1" s="35" t="n"/>
      <c r="BI1" s="35" t="n"/>
      <c r="BJ1" s="35" t="n"/>
    </row>
    <row r="2" ht="13.5" customHeight="1" s="349">
      <c r="A2" s="13" t="n"/>
      <c r="B2" s="13" t="n"/>
      <c r="C2" s="13" t="n"/>
      <c r="D2" s="13" t="n"/>
      <c r="E2" s="213" t="n">
        <v>2025</v>
      </c>
      <c r="F2" s="213" t="n"/>
      <c r="G2" s="213" t="n"/>
      <c r="H2" s="213" t="n"/>
      <c r="I2" s="213" t="n"/>
      <c r="J2" s="213" t="n"/>
      <c r="K2" s="213" t="n"/>
      <c r="L2" s="213" t="n"/>
      <c r="M2" s="213" t="n"/>
      <c r="N2" s="213" t="n"/>
      <c r="O2" s="213" t="n"/>
      <c r="P2" s="213" t="n"/>
      <c r="Q2" s="38" t="inlineStr">
        <is>
          <t>2026</t>
        </is>
      </c>
      <c r="R2" s="213" t="n"/>
      <c r="S2" s="213" t="n"/>
      <c r="T2" s="213" t="n"/>
      <c r="U2" s="213" t="n"/>
      <c r="V2" s="213" t="n"/>
      <c r="W2" s="213" t="n"/>
      <c r="X2" s="213" t="n"/>
      <c r="Y2" s="213" t="n"/>
      <c r="Z2" s="213" t="n"/>
      <c r="AA2" s="213" t="n"/>
      <c r="AB2" s="213" t="n"/>
      <c r="AC2" s="38" t="inlineStr">
        <is>
          <t>2027</t>
        </is>
      </c>
      <c r="AD2" s="213" t="n"/>
      <c r="AE2" s="213" t="n"/>
      <c r="AF2" s="213" t="n"/>
      <c r="AG2" s="213" t="n"/>
      <c r="AH2" s="213" t="n"/>
      <c r="AI2" s="213" t="n"/>
      <c r="AJ2" s="213" t="n"/>
      <c r="AK2" s="213" t="n"/>
      <c r="AL2" s="213" t="n"/>
      <c r="AM2" s="213" t="n"/>
      <c r="AN2" s="213" t="n"/>
      <c r="AO2" s="38" t="inlineStr">
        <is>
          <t>2028</t>
        </is>
      </c>
      <c r="AP2" s="213" t="n"/>
      <c r="AQ2" s="213" t="n"/>
      <c r="AR2" s="213" t="n"/>
      <c r="AS2" s="213" t="n"/>
      <c r="AT2" s="213" t="n"/>
      <c r="AU2" s="213" t="n"/>
      <c r="AV2" s="213" t="n"/>
      <c r="AW2" s="213" t="n"/>
      <c r="AX2" s="213" t="n"/>
      <c r="AY2" s="213" t="n"/>
      <c r="AZ2" s="213" t="n"/>
      <c r="BA2" s="233" t="n"/>
      <c r="BB2" s="13" t="n"/>
      <c r="BC2" s="214" t="n"/>
      <c r="BD2" s="214" t="n"/>
      <c r="BE2" s="214" t="n"/>
      <c r="BF2" s="13" t="n"/>
      <c r="BG2" s="35" t="n"/>
      <c r="BH2" s="35" t="n"/>
      <c r="BI2" s="35" t="n"/>
      <c r="BJ2" s="35" t="n"/>
    </row>
    <row r="3" ht="13.5" customHeight="1" s="349">
      <c r="A3" s="13" t="n"/>
      <c r="B3" s="13" t="n"/>
      <c r="C3" s="13" t="n"/>
      <c r="D3" s="13" t="n"/>
      <c r="E3" s="55" t="n">
        <v>45658</v>
      </c>
      <c r="F3" s="55" t="n">
        <v>45689</v>
      </c>
      <c r="G3" s="55" t="n">
        <v>45717</v>
      </c>
      <c r="H3" s="55" t="n">
        <v>45748</v>
      </c>
      <c r="I3" s="55" t="n">
        <v>45778</v>
      </c>
      <c r="J3" s="55" t="n">
        <v>45809</v>
      </c>
      <c r="K3" s="55" t="n">
        <v>45839</v>
      </c>
      <c r="L3" s="55" t="n">
        <v>45870</v>
      </c>
      <c r="M3" s="55" t="n">
        <v>45901</v>
      </c>
      <c r="N3" s="55" t="n">
        <v>45931</v>
      </c>
      <c r="O3" s="55" t="n">
        <v>45962</v>
      </c>
      <c r="P3" s="55" t="n">
        <v>45992</v>
      </c>
      <c r="Q3" s="55" t="n">
        <v>46023</v>
      </c>
      <c r="R3" s="55" t="n">
        <v>46054</v>
      </c>
      <c r="S3" s="55" t="n">
        <v>46082</v>
      </c>
      <c r="T3" s="55" t="n">
        <v>46113</v>
      </c>
      <c r="U3" s="55" t="n">
        <v>46143</v>
      </c>
      <c r="V3" s="55" t="n">
        <v>46174</v>
      </c>
      <c r="W3" s="55" t="n">
        <v>46204</v>
      </c>
      <c r="X3" s="55" t="n">
        <v>46235</v>
      </c>
      <c r="Y3" s="55" t="n">
        <v>46266</v>
      </c>
      <c r="Z3" s="55" t="n">
        <v>46296</v>
      </c>
      <c r="AA3" s="55" t="n">
        <v>46327</v>
      </c>
      <c r="AB3" s="55" t="n">
        <v>46357</v>
      </c>
      <c r="AC3" s="55" t="n">
        <v>46388</v>
      </c>
      <c r="AD3" s="55" t="n">
        <v>46419</v>
      </c>
      <c r="AE3" s="55" t="n">
        <v>46447</v>
      </c>
      <c r="AF3" s="55" t="n">
        <v>46478</v>
      </c>
      <c r="AG3" s="55" t="n">
        <v>46508</v>
      </c>
      <c r="AH3" s="55" t="n">
        <v>46539</v>
      </c>
      <c r="AI3" s="55" t="n">
        <v>46569</v>
      </c>
      <c r="AJ3" s="55" t="n">
        <v>46600</v>
      </c>
      <c r="AK3" s="55" t="n">
        <v>46631</v>
      </c>
      <c r="AL3" s="55" t="n">
        <v>46661</v>
      </c>
      <c r="AM3" s="55" t="n">
        <v>46692</v>
      </c>
      <c r="AN3" s="55" t="n">
        <v>46722</v>
      </c>
      <c r="AO3" s="55" t="n">
        <v>46753</v>
      </c>
      <c r="AP3" s="55" t="n">
        <v>46784</v>
      </c>
      <c r="AQ3" s="55" t="n">
        <v>46813</v>
      </c>
      <c r="AR3" s="55" t="n">
        <v>46844</v>
      </c>
      <c r="AS3" s="55" t="n">
        <v>46874</v>
      </c>
      <c r="AT3" s="55" t="n">
        <v>46905</v>
      </c>
      <c r="AU3" s="55" t="n">
        <v>46935</v>
      </c>
      <c r="AV3" s="55" t="n">
        <v>46966</v>
      </c>
      <c r="AW3" s="55" t="n">
        <v>46997</v>
      </c>
      <c r="AX3" s="55" t="n">
        <v>47027</v>
      </c>
      <c r="AY3" s="55" t="n">
        <v>47058</v>
      </c>
      <c r="AZ3" s="55" t="n">
        <v>47088</v>
      </c>
      <c r="BA3" s="233" t="n"/>
      <c r="BB3" s="214" t="n">
        <v>2025</v>
      </c>
      <c r="BC3" s="214" t="n">
        <v>2026</v>
      </c>
      <c r="BD3" s="214" t="n">
        <v>2027</v>
      </c>
      <c r="BE3" s="214" t="n">
        <v>2028</v>
      </c>
      <c r="BF3" s="214" t="n">
        <v>2029</v>
      </c>
      <c r="BG3" s="35" t="n"/>
      <c r="BH3" s="40" t="n"/>
      <c r="BI3" s="35" t="n"/>
      <c r="BJ3" s="35" t="n"/>
    </row>
    <row r="4">
      <c r="A4" s="307" t="n"/>
      <c r="B4" s="307" t="n"/>
      <c r="C4" s="307" t="n"/>
      <c r="D4" s="307" t="n"/>
      <c r="E4" s="307" t="n"/>
      <c r="F4" s="307" t="n"/>
      <c r="G4" s="307" t="n"/>
      <c r="H4" s="307" t="n"/>
      <c r="I4" s="307" t="n"/>
      <c r="J4" s="307" t="n"/>
      <c r="K4" s="307" t="n"/>
      <c r="L4" s="307" t="n"/>
      <c r="M4" s="233" t="n"/>
      <c r="N4" s="233" t="n"/>
      <c r="O4" s="233" t="n"/>
      <c r="P4" s="233" t="n"/>
      <c r="Q4" s="233" t="n"/>
      <c r="R4" s="233" t="n"/>
      <c r="S4" s="233" t="n"/>
      <c r="T4" s="233" t="n"/>
      <c r="U4" s="233" t="n"/>
      <c r="V4" s="233" t="n"/>
      <c r="W4" s="233" t="n"/>
      <c r="X4" s="233" t="n"/>
      <c r="Y4" s="233" t="n"/>
      <c r="Z4" s="233" t="n"/>
      <c r="AA4" s="233" t="n"/>
      <c r="AB4" s="233" t="n"/>
      <c r="AC4" s="233" t="n"/>
      <c r="AD4" s="233" t="n"/>
      <c r="AE4" s="233" t="n"/>
      <c r="AF4" s="233" t="n"/>
      <c r="AG4" s="233" t="n"/>
      <c r="AH4" s="233" t="n"/>
      <c r="AI4" s="233" t="n"/>
      <c r="AJ4" s="233" t="n"/>
      <c r="AK4" s="233" t="n"/>
      <c r="AL4" s="233" t="n"/>
      <c r="AM4" s="233" t="n"/>
      <c r="AN4" s="233" t="n"/>
      <c r="AO4" s="233" t="n"/>
      <c r="AP4" s="233" t="n"/>
      <c r="AQ4" s="233" t="n"/>
      <c r="AR4" s="233" t="n"/>
      <c r="AS4" s="233" t="n"/>
      <c r="AT4" s="233" t="n"/>
      <c r="AU4" s="233" t="n"/>
      <c r="AV4" s="233" t="n"/>
      <c r="AW4" s="233" t="n"/>
      <c r="AX4" s="233" t="n"/>
      <c r="AY4" s="233" t="n"/>
      <c r="AZ4" s="233" t="n"/>
      <c r="BA4" s="233" t="n"/>
      <c r="BB4" s="233" t="n"/>
      <c r="BC4" s="233" t="n"/>
      <c r="BD4" s="233" t="n"/>
      <c r="BE4" s="233" t="n"/>
      <c r="BF4" s="233" t="n"/>
      <c r="BG4" s="226" t="n"/>
      <c r="BH4" s="40" t="n"/>
      <c r="BI4" s="226" t="n"/>
      <c r="BJ4" s="226" t="n"/>
    </row>
    <row r="5" ht="13.5" customHeight="1" s="349">
      <c r="A5" s="31" t="n"/>
      <c r="B5" s="109" t="n"/>
      <c r="C5" s="31" t="n"/>
      <c r="D5" s="31" t="n"/>
      <c r="E5" s="31" t="n"/>
      <c r="F5" s="31" t="n"/>
      <c r="G5" s="31" t="n"/>
      <c r="H5" s="31" t="n"/>
      <c r="I5" s="31" t="n"/>
      <c r="J5" s="31" t="n"/>
      <c r="K5" s="31" t="n"/>
      <c r="L5" s="31" t="n"/>
      <c r="M5" s="226" t="n"/>
      <c r="N5" s="226" t="n"/>
      <c r="O5" s="226" t="n"/>
      <c r="P5" s="226" t="n"/>
      <c r="Q5" s="226" t="n"/>
      <c r="R5" s="226" t="n"/>
      <c r="S5" s="226" t="n"/>
      <c r="T5" s="226" t="n"/>
      <c r="U5" s="226" t="n"/>
      <c r="V5" s="226" t="n"/>
      <c r="W5" s="226" t="n"/>
      <c r="X5" s="226" t="n"/>
      <c r="Y5" s="226" t="n"/>
      <c r="Z5" s="226" t="n"/>
      <c r="AA5" s="226" t="n"/>
      <c r="AB5" s="226" t="n"/>
      <c r="AC5" s="226" t="n"/>
      <c r="AD5" s="226" t="n"/>
      <c r="AE5" s="226" t="n"/>
      <c r="AF5" s="226" t="n"/>
      <c r="AG5" s="226" t="n"/>
      <c r="AH5" s="226" t="n"/>
      <c r="AI5" s="226" t="n"/>
      <c r="AJ5" s="226" t="n"/>
      <c r="AK5" s="226" t="n"/>
      <c r="AL5" s="226" t="n"/>
      <c r="AM5" s="226" t="n"/>
      <c r="AN5" s="226" t="n"/>
      <c r="AO5" s="226" t="n"/>
      <c r="AP5" s="226" t="n"/>
      <c r="AQ5" s="226" t="n"/>
      <c r="AR5" s="226" t="n"/>
      <c r="AS5" s="226" t="n"/>
      <c r="AT5" s="226" t="n"/>
      <c r="AU5" s="226" t="n"/>
      <c r="AV5" s="226" t="n"/>
      <c r="AW5" s="226" t="n"/>
      <c r="AX5" s="226" t="n"/>
      <c r="AY5" s="226" t="n"/>
      <c r="AZ5" s="226" t="n"/>
      <c r="BA5" s="233" t="n"/>
      <c r="BB5" s="233" t="n"/>
      <c r="BC5" s="233" t="n"/>
      <c r="BD5" s="233" t="n"/>
      <c r="BE5" s="233" t="n"/>
      <c r="BF5" s="233" t="n"/>
      <c r="BG5" s="226" t="n"/>
      <c r="BH5" s="40" t="n"/>
      <c r="BI5" s="226" t="n"/>
      <c r="BJ5" s="226" t="n"/>
    </row>
    <row r="6" ht="13.5" customHeight="1" s="349">
      <c r="A6" s="104" t="n"/>
      <c r="B6" s="144" t="inlineStr">
        <is>
          <t>TTK</t>
        </is>
      </c>
      <c r="C6" s="104" t="n"/>
      <c r="D6" s="104" t="n"/>
      <c r="E6" s="104" t="n"/>
      <c r="F6" s="104" t="n"/>
      <c r="G6" s="104" t="n"/>
      <c r="H6" s="104" t="n"/>
      <c r="I6" s="104" t="n"/>
      <c r="J6" s="104" t="n"/>
      <c r="K6" s="104" t="n"/>
      <c r="L6" s="104" t="n"/>
      <c r="M6" s="80" t="n"/>
      <c r="N6" s="80" t="n"/>
      <c r="O6" s="80" t="n"/>
      <c r="P6" s="80" t="n"/>
      <c r="Q6" s="80" t="n"/>
      <c r="R6" s="80" t="n"/>
      <c r="S6" s="80" t="n"/>
      <c r="T6" s="80" t="n"/>
      <c r="U6" s="80" t="n"/>
      <c r="V6" s="80" t="n"/>
      <c r="W6" s="80" t="n"/>
      <c r="X6" s="80" t="n"/>
      <c r="Y6" s="80" t="n"/>
      <c r="Z6" s="80" t="n"/>
      <c r="AA6" s="80" t="n"/>
      <c r="AB6" s="80" t="n"/>
      <c r="AC6" s="80" t="n"/>
      <c r="AD6" s="80" t="n"/>
      <c r="AE6" s="80" t="n"/>
      <c r="AF6" s="80" t="n"/>
      <c r="AG6" s="80" t="n"/>
      <c r="AH6" s="80" t="n"/>
      <c r="AI6" s="80" t="n"/>
      <c r="AJ6" s="80" t="n"/>
      <c r="AK6" s="80" t="n"/>
      <c r="AL6" s="80" t="n"/>
      <c r="AM6" s="80" t="n"/>
      <c r="AN6" s="80" t="n"/>
      <c r="AO6" s="80" t="n"/>
      <c r="AP6" s="80" t="n"/>
      <c r="AQ6" s="80" t="n"/>
      <c r="AR6" s="80" t="n"/>
      <c r="AS6" s="80" t="n"/>
      <c r="AT6" s="80" t="n"/>
      <c r="AU6" s="80" t="n"/>
      <c r="AV6" s="80" t="n"/>
      <c r="AW6" s="80" t="n"/>
      <c r="AX6" s="80" t="n"/>
      <c r="AY6" s="80" t="n"/>
      <c r="AZ6" s="80" t="n"/>
      <c r="BA6" s="233" t="n"/>
      <c r="BB6" s="80" t="n"/>
      <c r="BC6" s="85" t="n"/>
      <c r="BD6" s="85" t="n"/>
      <c r="BE6" s="85" t="n"/>
      <c r="BF6" s="85" t="n"/>
      <c r="BG6" s="226" t="n"/>
      <c r="BH6" s="40" t="n"/>
      <c r="BI6" s="226" t="n"/>
      <c r="BJ6" s="226" t="n"/>
    </row>
    <row r="7" ht="15" customHeight="1" s="349">
      <c r="A7" s="307" t="n"/>
      <c r="B7" s="237" t="inlineStr">
        <is>
          <t>TTK</t>
        </is>
      </c>
      <c r="C7" s="307" t="n"/>
      <c r="D7" s="223" t="inlineStr">
        <is>
          <t>€</t>
        </is>
      </c>
      <c r="E7" s="224" t="n"/>
      <c r="F7" s="224" t="n"/>
      <c r="G7" s="224" t="n"/>
      <c r="H7" s="224" t="n"/>
      <c r="I7" s="224" t="n"/>
      <c r="J7" s="224" t="n"/>
      <c r="K7" s="224" t="n"/>
      <c r="L7" s="224" t="n"/>
      <c r="M7" s="241" t="n"/>
      <c r="N7" s="241" t="n"/>
      <c r="O7" s="241" t="n"/>
      <c r="P7" s="241" t="n"/>
      <c r="Q7" s="241">
        <f>IFNA('Revenue Forecast'!Q6*VLOOKUP('Revenue Forecast'!$BC$34,Assumptions!$B$67:$C$69,2,TRUE),0)</f>
        <v/>
      </c>
      <c r="R7" s="241">
        <f>IFNA('Revenue Forecast'!R6*VLOOKUP('Revenue Forecast'!$BC$34,Assumptions!$B$67:$C$69,2,TRUE),0)</f>
        <v/>
      </c>
      <c r="S7" s="241">
        <f>IFNA('Revenue Forecast'!S6*VLOOKUP('Revenue Forecast'!$BC$34,Assumptions!$B$67:$C$69,2,TRUE),0)</f>
        <v/>
      </c>
      <c r="T7" s="241">
        <f>IFNA('Revenue Forecast'!T6*VLOOKUP('Revenue Forecast'!$BC$34,Assumptions!$B$67:$C$69,2,TRUE),0)</f>
        <v/>
      </c>
      <c r="U7" s="241">
        <f>IFNA('Revenue Forecast'!U6*VLOOKUP('Revenue Forecast'!$BC$34,Assumptions!$B$67:$C$69,2,TRUE),0)</f>
        <v/>
      </c>
      <c r="V7" s="241">
        <f>IFNA('Revenue Forecast'!V6*VLOOKUP('Revenue Forecast'!$BC$34,Assumptions!$B$67:$C$69,2,TRUE),0)</f>
        <v/>
      </c>
      <c r="W7" s="241">
        <f>IFNA('Revenue Forecast'!W6*VLOOKUP('Revenue Forecast'!$BC$34,Assumptions!$B$67:$C$69,2,TRUE),0)</f>
        <v/>
      </c>
      <c r="X7" s="241">
        <f>IFNA('Revenue Forecast'!X6*VLOOKUP('Revenue Forecast'!$BC$34,Assumptions!$B$67:$C$69,2,TRUE),0)</f>
        <v/>
      </c>
      <c r="Y7" s="241">
        <f>IFNA('Revenue Forecast'!Y6*VLOOKUP('Revenue Forecast'!$BC$34,Assumptions!$B$67:$C$69,2,TRUE),0)</f>
        <v/>
      </c>
      <c r="Z7" s="241">
        <f>IFNA('Revenue Forecast'!Z6*VLOOKUP('Revenue Forecast'!$BC$34,Assumptions!$B$67:$C$69,2,TRUE),0)</f>
        <v/>
      </c>
      <c r="AA7" s="241">
        <f>IFNA('Revenue Forecast'!AA6*VLOOKUP('Revenue Forecast'!$BC$34,Assumptions!$B$67:$C$69,2,TRUE),0)</f>
        <v/>
      </c>
      <c r="AB7" s="241">
        <f>IFNA('Revenue Forecast'!AB6*VLOOKUP('Revenue Forecast'!$BC$34,Assumptions!$B$67:$C$69,2,TRUE),0)</f>
        <v/>
      </c>
      <c r="AC7" s="241">
        <f>IFNA('Revenue Forecast'!AC6*VLOOKUP(IF(Assumptions!$D$83=2,'Revenue Forecast'!$BD$34+'Revenue Forecast'!$BE$34,'Revenue Forecast'!$BD$34),Assumptions!$B$67:$C$69,2,TRUE),0)</f>
        <v/>
      </c>
      <c r="AD7" s="241">
        <f>IFNA('Revenue Forecast'!AD6*VLOOKUP(IF(Assumptions!$D$83=2,'Revenue Forecast'!$BD$34+'Revenue Forecast'!$BE$34,'Revenue Forecast'!$BD$34),Assumptions!$B$67:$C$69,2,TRUE),0)</f>
        <v/>
      </c>
      <c r="AE7" s="241">
        <f>IFNA('Revenue Forecast'!AE6*VLOOKUP(IF(Assumptions!$D$83=2,'Revenue Forecast'!$BD$34+'Revenue Forecast'!$BE$34,'Revenue Forecast'!$BD$34),Assumptions!$B$67:$C$69,2,TRUE),0)</f>
        <v/>
      </c>
      <c r="AF7" s="241">
        <f>IFNA('Revenue Forecast'!AF6*VLOOKUP(IF(Assumptions!$D$83=2,'Revenue Forecast'!$BD$34+'Revenue Forecast'!$BE$34,'Revenue Forecast'!$BD$34),Assumptions!$B$67:$C$69,2,TRUE),0)</f>
        <v/>
      </c>
      <c r="AG7" s="241">
        <f>IFNA('Revenue Forecast'!AG6*VLOOKUP(IF(Assumptions!$D$83=2,'Revenue Forecast'!$BD$34+'Revenue Forecast'!$BE$34,'Revenue Forecast'!$BD$34),Assumptions!$B$67:$C$69,2,TRUE),0)</f>
        <v/>
      </c>
      <c r="AH7" s="241">
        <f>IFNA('Revenue Forecast'!AH6*VLOOKUP(IF(Assumptions!$D$83=2,'Revenue Forecast'!$BD$34+'Revenue Forecast'!$BE$34,'Revenue Forecast'!$BD$34),Assumptions!$B$67:$C$69,2,TRUE),0)</f>
        <v/>
      </c>
      <c r="AI7" s="241">
        <f>IFNA('Revenue Forecast'!AI6*VLOOKUP(IF(Assumptions!$D$83=2,'Revenue Forecast'!$BD$34+'Revenue Forecast'!$BE$34,'Revenue Forecast'!$BD$34),Assumptions!$B$67:$C$69,2,TRUE),0)</f>
        <v/>
      </c>
      <c r="AJ7" s="241">
        <f>IFNA('Revenue Forecast'!AJ6*VLOOKUP(IF(Assumptions!$D$83=2,'Revenue Forecast'!$BD$34+'Revenue Forecast'!$BE$34,'Revenue Forecast'!$BD$34),Assumptions!$B$67:$C$69,2,TRUE),0)</f>
        <v/>
      </c>
      <c r="AK7" s="241">
        <f>IFNA('Revenue Forecast'!AK6*VLOOKUP(IF(Assumptions!$D$83=2,'Revenue Forecast'!$BD$34+'Revenue Forecast'!$BE$34,'Revenue Forecast'!$BD$34),Assumptions!$B$67:$C$69,2,TRUE),0)</f>
        <v/>
      </c>
      <c r="AL7" s="241">
        <f>IFNA('Revenue Forecast'!AL6*VLOOKUP(IF(Assumptions!$D$83=2,'Revenue Forecast'!$BD$34+'Revenue Forecast'!$BE$34,'Revenue Forecast'!$BD$34),Assumptions!$B$67:$C$69,2,TRUE),0)</f>
        <v/>
      </c>
      <c r="AM7" s="241">
        <f>IFNA('Revenue Forecast'!AM6*VLOOKUP(IF(Assumptions!$D$83=2,'Revenue Forecast'!$BD$34+'Revenue Forecast'!$BE$34,'Revenue Forecast'!$BD$34),Assumptions!$B$67:$C$69,2,TRUE),0)</f>
        <v/>
      </c>
      <c r="AN7" s="241">
        <f>IFNA('Revenue Forecast'!AN6*VLOOKUP(IF(Assumptions!$D$83=2,'Revenue Forecast'!$BD$34+'Revenue Forecast'!$BE$34,'Revenue Forecast'!$BD$34),Assumptions!$B$67:$C$69,2,TRUE),0)</f>
        <v/>
      </c>
      <c r="AO7" s="241">
        <f>IFNA('Revenue Forecast'!AO6*VLOOKUP(IF(Assumptions!$D$83=2,'Revenue Forecast'!$BE$34+'Revenue Forecast'!$BF$34,'Revenue Forecast'!$BE$34),Assumptions!$B$67:$C$69,2,TRUE),0)</f>
        <v/>
      </c>
      <c r="AP7" s="241">
        <f>IFNA('Revenue Forecast'!AP6*VLOOKUP(IF(Assumptions!$D$83=2,'Revenue Forecast'!$BE$34+'Revenue Forecast'!$BF$34,'Revenue Forecast'!$BE$34),Assumptions!$B$67:$C$69,2,TRUE),0)</f>
        <v/>
      </c>
      <c r="AQ7" s="241">
        <f>IFNA('Revenue Forecast'!AQ6*VLOOKUP(IF(Assumptions!$D$83=2,'Revenue Forecast'!$BE$34+'Revenue Forecast'!$BF$34,'Revenue Forecast'!$BE$34),Assumptions!$B$67:$C$69,2,TRUE),0)</f>
        <v/>
      </c>
      <c r="AR7" s="241">
        <f>IFNA('Revenue Forecast'!AR6*VLOOKUP(IF(Assumptions!$D$83=2,'Revenue Forecast'!$BE$34+'Revenue Forecast'!$BF$34,'Revenue Forecast'!$BE$34),Assumptions!$B$67:$C$69,2,TRUE),0)</f>
        <v/>
      </c>
      <c r="AS7" s="241">
        <f>IFNA('Revenue Forecast'!AS6*VLOOKUP(IF(Assumptions!$D$83=2,'Revenue Forecast'!$BE$34+'Revenue Forecast'!$BF$34,'Revenue Forecast'!$BE$34),Assumptions!$B$67:$C$69,2,TRUE),0)</f>
        <v/>
      </c>
      <c r="AT7" s="241">
        <f>IFNA('Revenue Forecast'!AT6*VLOOKUP(IF(Assumptions!$D$83=2,'Revenue Forecast'!$BE$34+'Revenue Forecast'!$BF$34,'Revenue Forecast'!$BE$34),Assumptions!$B$67:$C$69,2,TRUE),0)</f>
        <v/>
      </c>
      <c r="AU7" s="241">
        <f>IFNA('Revenue Forecast'!AU6*VLOOKUP(IF(Assumptions!$D$83=2,'Revenue Forecast'!$BE$34+'Revenue Forecast'!$BF$34,'Revenue Forecast'!$BE$34),Assumptions!$B$67:$C$69,2,TRUE),0)</f>
        <v/>
      </c>
      <c r="AV7" s="241">
        <f>IFNA('Revenue Forecast'!AV6*VLOOKUP(IF(Assumptions!$D$83=2,'Revenue Forecast'!$BE$34+'Revenue Forecast'!$BF$34,'Revenue Forecast'!$BE$34),Assumptions!$B$67:$C$69,2,TRUE),0)</f>
        <v/>
      </c>
      <c r="AW7" s="241">
        <f>IFNA('Revenue Forecast'!AW6*VLOOKUP(IF(Assumptions!$D$83=2,'Revenue Forecast'!$BE$34+'Revenue Forecast'!$BF$34,'Revenue Forecast'!$BE$34),Assumptions!$B$67:$C$69,2,TRUE),0)</f>
        <v/>
      </c>
      <c r="AX7" s="241">
        <f>IFNA('Revenue Forecast'!AX6*VLOOKUP(IF(Assumptions!$D$83=2,'Revenue Forecast'!$BE$34+'Revenue Forecast'!$BF$34,'Revenue Forecast'!$BE$34),Assumptions!$B$67:$C$69,2,TRUE),0)</f>
        <v/>
      </c>
      <c r="AY7" s="241">
        <f>IFNA('Revenue Forecast'!AY6*VLOOKUP(IF(Assumptions!$D$83=2,'Revenue Forecast'!$BE$34+'Revenue Forecast'!$BF$34,'Revenue Forecast'!$BE$34),Assumptions!$B$67:$C$69,2,TRUE),0)</f>
        <v/>
      </c>
      <c r="AZ7" s="241">
        <f>IFNA('Revenue Forecast'!AZ6*VLOOKUP(IF(Assumptions!$D$83=2,'Revenue Forecast'!$BE$34+'Revenue Forecast'!$BF$34,'Revenue Forecast'!$BE$34),Assumptions!$B$67:$C$69,2,TRUE),0)</f>
        <v/>
      </c>
      <c r="BA7" s="233" t="n"/>
      <c r="BB7" s="233" t="n"/>
      <c r="BC7" s="233">
        <f>SUM(Q7:AB7)</f>
        <v/>
      </c>
      <c r="BD7" s="233">
        <f>SUM(AC7:AN7)</f>
        <v/>
      </c>
      <c r="BE7" s="233">
        <f>SUM(AO7:AZ7)</f>
        <v/>
      </c>
      <c r="BF7" s="233">
        <f>'Revenue Forecast'!BF6*VLOOKUP(IF(Assumptions!$D$83=2,'Revenue Forecast'!$BF$34+Assumptions!$G$21,'Revenue Forecast'!$BF$34),Assumptions!$B$67:$C$69,2,TRUE)</f>
        <v/>
      </c>
      <c r="BG7" s="226" t="n"/>
      <c r="BH7" s="40" t="inlineStr">
        <is>
          <t>units x ketel build cost. the tier basis is set by the switch on Assumptions row 83</t>
        </is>
      </c>
      <c r="BI7" s="226" t="n"/>
      <c r="BJ7" s="226" t="n"/>
    </row>
    <row r="8">
      <c r="A8" s="307" t="n"/>
      <c r="B8" s="307" t="inlineStr">
        <is>
          <t>Upsell</t>
        </is>
      </c>
      <c r="C8" s="307" t="n"/>
      <c r="D8" s="223" t="inlineStr">
        <is>
          <t>€</t>
        </is>
      </c>
      <c r="E8" s="307" t="n"/>
      <c r="F8" s="307" t="n"/>
      <c r="G8" s="307" t="n"/>
      <c r="H8" s="307" t="n"/>
      <c r="I8" s="307" t="n"/>
      <c r="J8" s="307" t="n"/>
      <c r="K8" s="307" t="n"/>
      <c r="L8" s="307" t="n"/>
      <c r="M8" s="233" t="n"/>
      <c r="N8" s="233" t="n"/>
      <c r="O8" s="233" t="n"/>
      <c r="P8" s="233" t="n"/>
      <c r="Q8" s="233">
        <f>'Revenue Forecast'!Q6*SUMPRODUCT(Assumptions!$E$112:$E$114,Assumptions!$G$112:$G$114)</f>
        <v/>
      </c>
      <c r="R8" s="233">
        <f>'Revenue Forecast'!R6*SUMPRODUCT(Assumptions!$E$112:$E$114,Assumptions!$G$112:$G$114)</f>
        <v/>
      </c>
      <c r="S8" s="233">
        <f>'Revenue Forecast'!S6*SUMPRODUCT(Assumptions!$E$112:$E$114,Assumptions!$G$112:$G$114)</f>
        <v/>
      </c>
      <c r="T8" s="233">
        <f>'Revenue Forecast'!T6*SUMPRODUCT(Assumptions!$E$112:$E$114,Assumptions!$G$112:$G$114)</f>
        <v/>
      </c>
      <c r="U8" s="233">
        <f>'Revenue Forecast'!U6*SUMPRODUCT(Assumptions!$E$112:$E$114,Assumptions!$G$112:$G$114)</f>
        <v/>
      </c>
      <c r="V8" s="233">
        <f>'Revenue Forecast'!V6*SUMPRODUCT(Assumptions!$E$112:$E$114,Assumptions!$G$112:$G$114)</f>
        <v/>
      </c>
      <c r="W8" s="233">
        <f>'Revenue Forecast'!W6*SUMPRODUCT(Assumptions!$E$112:$E$114,Assumptions!$G$112:$G$114)</f>
        <v/>
      </c>
      <c r="X8" s="233">
        <f>'Revenue Forecast'!X6*SUMPRODUCT(Assumptions!$E$112:$E$114,Assumptions!$G$112:$G$114)</f>
        <v/>
      </c>
      <c r="Y8" s="233">
        <f>'Revenue Forecast'!Y6*SUMPRODUCT(Assumptions!$E$112:$E$114,Assumptions!$G$112:$G$114)</f>
        <v/>
      </c>
      <c r="Z8" s="233">
        <f>'Revenue Forecast'!Z6*SUMPRODUCT(Assumptions!$E$112:$E$114,Assumptions!$G$112:$G$114)</f>
        <v/>
      </c>
      <c r="AA8" s="233">
        <f>'Revenue Forecast'!AA6*SUMPRODUCT(Assumptions!$E$112:$E$114,Assumptions!$G$112:$G$114)</f>
        <v/>
      </c>
      <c r="AB8" s="233">
        <f>'Revenue Forecast'!AB6*SUMPRODUCT(Assumptions!$E$112:$E$114,Assumptions!$G$112:$G$114)</f>
        <v/>
      </c>
      <c r="AC8" s="233">
        <f>'Revenue Forecast'!AC6*SUMPRODUCT(Assumptions!$E$112:$E$114,Assumptions!$G$112:$G$114)</f>
        <v/>
      </c>
      <c r="AD8" s="233">
        <f>'Revenue Forecast'!AD6*SUMPRODUCT(Assumptions!$E$112:$E$114,Assumptions!$G$112:$G$114)</f>
        <v/>
      </c>
      <c r="AE8" s="233">
        <f>'Revenue Forecast'!AE6*SUMPRODUCT(Assumptions!$E$112:$E$114,Assumptions!$G$112:$G$114)</f>
        <v/>
      </c>
      <c r="AF8" s="233">
        <f>'Revenue Forecast'!AF6*SUMPRODUCT(Assumptions!$E$112:$E$114,Assumptions!$G$112:$G$114)</f>
        <v/>
      </c>
      <c r="AG8" s="233">
        <f>'Revenue Forecast'!AG6*SUMPRODUCT(Assumptions!$E$112:$E$114,Assumptions!$G$112:$G$114)</f>
        <v/>
      </c>
      <c r="AH8" s="233">
        <f>'Revenue Forecast'!AH6*SUMPRODUCT(Assumptions!$E$112:$E$114,Assumptions!$G$112:$G$114)</f>
        <v/>
      </c>
      <c r="AI8" s="233">
        <f>'Revenue Forecast'!AI6*SUMPRODUCT(Assumptions!$E$112:$E$114,Assumptions!$G$112:$G$114)</f>
        <v/>
      </c>
      <c r="AJ8" s="233">
        <f>'Revenue Forecast'!AJ6*SUMPRODUCT(Assumptions!$E$112:$E$114,Assumptions!$G$112:$G$114)</f>
        <v/>
      </c>
      <c r="AK8" s="233">
        <f>'Revenue Forecast'!AK6*SUMPRODUCT(Assumptions!$E$112:$E$114,Assumptions!$G$112:$G$114)</f>
        <v/>
      </c>
      <c r="AL8" s="233">
        <f>'Revenue Forecast'!AL6*SUMPRODUCT(Assumptions!$E$112:$E$114,Assumptions!$G$112:$G$114)</f>
        <v/>
      </c>
      <c r="AM8" s="233">
        <f>'Revenue Forecast'!AM6*SUMPRODUCT(Assumptions!$E$112:$E$114,Assumptions!$G$112:$G$114)</f>
        <v/>
      </c>
      <c r="AN8" s="233">
        <f>'Revenue Forecast'!AN6*SUMPRODUCT(Assumptions!$E$112:$E$114,Assumptions!$G$112:$G$114)</f>
        <v/>
      </c>
      <c r="AO8" s="233">
        <f>'Revenue Forecast'!AO6*SUMPRODUCT(Assumptions!$E$112:$E$114,Assumptions!$G$112:$G$114)</f>
        <v/>
      </c>
      <c r="AP8" s="233">
        <f>'Revenue Forecast'!AP6*SUMPRODUCT(Assumptions!$E$112:$E$114,Assumptions!$G$112:$G$114)</f>
        <v/>
      </c>
      <c r="AQ8" s="233">
        <f>'Revenue Forecast'!AQ6*SUMPRODUCT(Assumptions!$E$112:$E$114,Assumptions!$G$112:$G$114)</f>
        <v/>
      </c>
      <c r="AR8" s="233">
        <f>'Revenue Forecast'!AR6*SUMPRODUCT(Assumptions!$E$112:$E$114,Assumptions!$G$112:$G$114)</f>
        <v/>
      </c>
      <c r="AS8" s="233">
        <f>'Revenue Forecast'!AS6*SUMPRODUCT(Assumptions!$E$112:$E$114,Assumptions!$G$112:$G$114)</f>
        <v/>
      </c>
      <c r="AT8" s="233">
        <f>'Revenue Forecast'!AT6*SUMPRODUCT(Assumptions!$E$112:$E$114,Assumptions!$G$112:$G$114)</f>
        <v/>
      </c>
      <c r="AU8" s="233">
        <f>'Revenue Forecast'!AU6*SUMPRODUCT(Assumptions!$E$112:$E$114,Assumptions!$G$112:$G$114)</f>
        <v/>
      </c>
      <c r="AV8" s="233">
        <f>'Revenue Forecast'!AV6*SUMPRODUCT(Assumptions!$E$112:$E$114,Assumptions!$G$112:$G$114)</f>
        <v/>
      </c>
      <c r="AW8" s="233">
        <f>'Revenue Forecast'!AW6*SUMPRODUCT(Assumptions!$E$112:$E$114,Assumptions!$G$112:$G$114)</f>
        <v/>
      </c>
      <c r="AX8" s="233">
        <f>'Revenue Forecast'!AX6*SUMPRODUCT(Assumptions!$E$112:$E$114,Assumptions!$G$112:$G$114)</f>
        <v/>
      </c>
      <c r="AY8" s="233">
        <f>'Revenue Forecast'!AY6*SUMPRODUCT(Assumptions!$E$112:$E$114,Assumptions!$G$112:$G$114)</f>
        <v/>
      </c>
      <c r="AZ8" s="233">
        <f>'Revenue Forecast'!AZ6*SUMPRODUCT(Assumptions!$E$112:$E$114,Assumptions!$G$112:$G$114)</f>
        <v/>
      </c>
      <c r="BA8" s="233" t="n"/>
      <c r="BB8" s="233" t="n"/>
      <c r="BC8" s="233">
        <f>SUM(Q8:AB8)</f>
        <v/>
      </c>
      <c r="BD8" s="233">
        <f>SUM(AC8:AN8)</f>
        <v/>
      </c>
      <c r="BE8" s="233">
        <f>SUM(AO8:AZ8)</f>
        <v/>
      </c>
      <c r="BF8" s="233">
        <f>'Revenue Forecast'!BF6*SUMPRODUCT(Assumptions!$E$112:$E$114,Assumptions!$G$112:$G$114)</f>
        <v/>
      </c>
      <c r="BG8" s="226" t="n"/>
      <c r="BH8" s="40" t="inlineStr">
        <is>
          <t>units x upsell cost (attach % x cost of each item)</t>
        </is>
      </c>
      <c r="BI8" s="226" t="n"/>
      <c r="BJ8" s="226" t="n"/>
    </row>
    <row r="9" ht="12.75" customHeight="1" s="349">
      <c r="A9" s="307" t="n"/>
      <c r="B9" s="144" t="inlineStr">
        <is>
          <t>Total TTK COGS</t>
        </is>
      </c>
      <c r="C9" s="105" t="n"/>
      <c r="D9" s="144" t="inlineStr">
        <is>
          <t>€</t>
        </is>
      </c>
      <c r="E9" s="79" t="n"/>
      <c r="F9" s="79" t="n"/>
      <c r="G9" s="79" t="n"/>
      <c r="H9" s="79" t="n"/>
      <c r="I9" s="79" t="n"/>
      <c r="J9" s="79" t="n"/>
      <c r="K9" s="79" t="n"/>
      <c r="L9" s="79" t="n"/>
      <c r="M9" s="79" t="n"/>
      <c r="N9" s="79" t="n"/>
      <c r="O9" s="79" t="n"/>
      <c r="P9" s="79" t="n"/>
      <c r="Q9" s="79">
        <f>sum(Q7:Q8)</f>
        <v/>
      </c>
      <c r="R9" s="79">
        <f>sum(R7:R8)</f>
        <v/>
      </c>
      <c r="S9" s="79">
        <f>sum(S7:S8)</f>
        <v/>
      </c>
      <c r="T9" s="79">
        <f>sum(T7:T8)</f>
        <v/>
      </c>
      <c r="U9" s="79">
        <f>sum(U7:U8)</f>
        <v/>
      </c>
      <c r="V9" s="79">
        <f>sum(V7:V8)</f>
        <v/>
      </c>
      <c r="W9" s="79">
        <f>sum(W7:W8)</f>
        <v/>
      </c>
      <c r="X9" s="79">
        <f>sum(X7:X8)</f>
        <v/>
      </c>
      <c r="Y9" s="79">
        <f>sum(Y7:Y8)</f>
        <v/>
      </c>
      <c r="Z9" s="79">
        <f>sum(Z7:Z8)</f>
        <v/>
      </c>
      <c r="AA9" s="79">
        <f>sum(AA7:AA8)</f>
        <v/>
      </c>
      <c r="AB9" s="79">
        <f>sum(AB7:AB8)</f>
        <v/>
      </c>
      <c r="AC9" s="79">
        <f>sum(AC7:AC8)</f>
        <v/>
      </c>
      <c r="AD9" s="79">
        <f>sum(AD7:AD8)</f>
        <v/>
      </c>
      <c r="AE9" s="79">
        <f>sum(AE7:AE8)</f>
        <v/>
      </c>
      <c r="AF9" s="79">
        <f>sum(AF7:AF8)</f>
        <v/>
      </c>
      <c r="AG9" s="79">
        <f>sum(AG7:AG8)</f>
        <v/>
      </c>
      <c r="AH9" s="79">
        <f>sum(AH7:AH8)</f>
        <v/>
      </c>
      <c r="AI9" s="79">
        <f>sum(AI7:AI8)</f>
        <v/>
      </c>
      <c r="AJ9" s="79">
        <f>sum(AJ7:AJ8)</f>
        <v/>
      </c>
      <c r="AK9" s="79">
        <f>sum(AK7:AK8)</f>
        <v/>
      </c>
      <c r="AL9" s="79">
        <f>sum(AL7:AL8)</f>
        <v/>
      </c>
      <c r="AM9" s="79">
        <f>sum(AM7:AM8)</f>
        <v/>
      </c>
      <c r="AN9" s="79">
        <f>sum(AN7:AN8)</f>
        <v/>
      </c>
      <c r="AO9" s="79">
        <f>sum(AO7:AO8)</f>
        <v/>
      </c>
      <c r="AP9" s="79">
        <f>sum(AP7:AP8)</f>
        <v/>
      </c>
      <c r="AQ9" s="79">
        <f>sum(AQ7:AQ8)</f>
        <v/>
      </c>
      <c r="AR9" s="79">
        <f>sum(AR7:AR8)</f>
        <v/>
      </c>
      <c r="AS9" s="79">
        <f>sum(AS7:AS8)</f>
        <v/>
      </c>
      <c r="AT9" s="79">
        <f>sum(AT7:AT8)</f>
        <v/>
      </c>
      <c r="AU9" s="79">
        <f>sum(AU7:AU8)</f>
        <v/>
      </c>
      <c r="AV9" s="79">
        <f>sum(AV7:AV8)</f>
        <v/>
      </c>
      <c r="AW9" s="79">
        <f>sum(AW7:AW8)</f>
        <v/>
      </c>
      <c r="AX9" s="79">
        <f>sum(AX7:AX8)</f>
        <v/>
      </c>
      <c r="AY9" s="79">
        <f>sum(AY7:AY8)</f>
        <v/>
      </c>
      <c r="AZ9" s="79">
        <f>sum(AZ7:AZ8)</f>
        <v/>
      </c>
      <c r="BA9" s="233" t="n"/>
      <c r="BB9" s="157">
        <f>SUM(E9:P9)</f>
        <v/>
      </c>
      <c r="BC9" s="157">
        <f>SUM(Q9:AB9)</f>
        <v/>
      </c>
      <c r="BD9" s="157">
        <f>SUM(AC9:AN9)</f>
        <v/>
      </c>
      <c r="BE9" s="157">
        <f>SUM(AO9:AZ9)</f>
        <v/>
      </c>
      <c r="BF9" s="157">
        <f>sum(BF7:BF8)</f>
        <v/>
      </c>
      <c r="BG9" s="158" t="n"/>
      <c r="BH9" s="40" t="inlineStr">
        <is>
          <t>machine cost + upsell cost</t>
        </is>
      </c>
      <c r="BI9" s="158" t="n"/>
      <c r="BJ9" s="158" t="n"/>
    </row>
    <row r="10">
      <c r="A10" s="307" t="n"/>
      <c r="B10" s="307" t="n"/>
      <c r="C10" s="307" t="n"/>
      <c r="D10" s="307" t="n"/>
      <c r="E10" s="307" t="n"/>
      <c r="F10" s="307" t="n"/>
      <c r="G10" s="307" t="n"/>
      <c r="H10" s="307" t="n"/>
      <c r="I10" s="307" t="n"/>
      <c r="J10" s="307" t="n"/>
      <c r="K10" s="307" t="n"/>
      <c r="L10" s="307" t="n"/>
      <c r="M10" s="233" t="n"/>
      <c r="N10" s="233" t="n"/>
      <c r="O10" s="233" t="n"/>
      <c r="P10" s="233" t="n"/>
      <c r="Q10" s="233" t="n"/>
      <c r="R10" s="233" t="n"/>
      <c r="S10" s="233" t="n"/>
      <c r="T10" s="233" t="n"/>
      <c r="U10" s="233" t="n"/>
      <c r="V10" s="233" t="n"/>
      <c r="W10" s="233" t="n"/>
      <c r="X10" s="233" t="n"/>
      <c r="Y10" s="233" t="n"/>
      <c r="Z10" s="233" t="n"/>
      <c r="AA10" s="233" t="n"/>
      <c r="AB10" s="233" t="n"/>
      <c r="AC10" s="233" t="n"/>
      <c r="AD10" s="233" t="n"/>
      <c r="AE10" s="233" t="n"/>
      <c r="AF10" s="233" t="n"/>
      <c r="AG10" s="233" t="n"/>
      <c r="AH10" s="233" t="n"/>
      <c r="AI10" s="233" t="n"/>
      <c r="AJ10" s="233" t="n"/>
      <c r="AK10" s="233" t="n"/>
      <c r="AL10" s="233" t="n"/>
      <c r="AM10" s="233" t="n"/>
      <c r="AN10" s="233" t="n"/>
      <c r="AO10" s="233" t="n"/>
      <c r="AP10" s="233" t="n"/>
      <c r="AQ10" s="233" t="n"/>
      <c r="AR10" s="233" t="n"/>
      <c r="AS10" s="233" t="n"/>
      <c r="AT10" s="233" t="n"/>
      <c r="AU10" s="233" t="n"/>
      <c r="AV10" s="233" t="n"/>
      <c r="AW10" s="233" t="n"/>
      <c r="AX10" s="233" t="n"/>
      <c r="AY10" s="233" t="n"/>
      <c r="AZ10" s="233" t="n"/>
      <c r="BA10" s="233" t="n"/>
      <c r="BB10" s="233" t="n"/>
      <c r="BC10" s="233" t="n"/>
      <c r="BD10" s="233" t="n"/>
      <c r="BE10" s="233" t="n"/>
      <c r="BF10" s="233" t="n"/>
      <c r="BG10" s="226" t="n"/>
      <c r="BH10" s="40" t="n"/>
      <c r="BI10" s="226" t="n"/>
      <c r="BJ10" s="226" t="n"/>
    </row>
    <row r="11" ht="12.75" customHeight="1" s="349">
      <c r="A11" s="307" t="n"/>
      <c r="B11" s="234" t="inlineStr">
        <is>
          <t>COMBI+</t>
        </is>
      </c>
      <c r="C11" s="235" t="n"/>
      <c r="D11" s="234" t="n"/>
      <c r="E11" s="236" t="n"/>
      <c r="F11" s="236" t="n"/>
      <c r="G11" s="236" t="n"/>
      <c r="H11" s="236" t="n"/>
      <c r="I11" s="236" t="n"/>
      <c r="J11" s="236" t="n"/>
      <c r="K11" s="236" t="n"/>
      <c r="L11" s="236" t="n"/>
      <c r="M11" s="236" t="n"/>
      <c r="N11" s="236" t="n"/>
      <c r="O11" s="236" t="n"/>
      <c r="P11" s="236" t="n"/>
      <c r="Q11" s="236" t="n"/>
      <c r="R11" s="236" t="n"/>
      <c r="S11" s="236" t="n"/>
      <c r="T11" s="236" t="n"/>
      <c r="U11" s="236" t="n"/>
      <c r="V11" s="236" t="n"/>
      <c r="W11" s="236" t="n"/>
      <c r="X11" s="236" t="n"/>
      <c r="Y11" s="236" t="n"/>
      <c r="Z11" s="236" t="n"/>
      <c r="AA11" s="236" t="n"/>
      <c r="AB11" s="236" t="n"/>
      <c r="AC11" s="236" t="n"/>
      <c r="AD11" s="236" t="n"/>
      <c r="AE11" s="236" t="n"/>
      <c r="AF11" s="236" t="n"/>
      <c r="AG11" s="236" t="n"/>
      <c r="AH11" s="236" t="n"/>
      <c r="AI11" s="236" t="n"/>
      <c r="AJ11" s="236" t="n"/>
      <c r="AK11" s="236" t="n"/>
      <c r="AL11" s="236" t="n"/>
      <c r="AM11" s="236" t="n"/>
      <c r="AN11" s="236" t="n"/>
      <c r="AO11" s="236" t="n"/>
      <c r="AP11" s="236" t="n"/>
      <c r="AQ11" s="236" t="n"/>
      <c r="AR11" s="236" t="n"/>
      <c r="AS11" s="236" t="n"/>
      <c r="AT11" s="236" t="n"/>
      <c r="AU11" s="236" t="n"/>
      <c r="AV11" s="236" t="n"/>
      <c r="AW11" s="236" t="n"/>
      <c r="AX11" s="236" t="n"/>
      <c r="AY11" s="236" t="n"/>
      <c r="AZ11" s="236" t="n"/>
      <c r="BA11" s="233" t="n"/>
      <c r="BB11" s="157" t="n"/>
      <c r="BC11" s="157" t="n"/>
      <c r="BD11" s="157" t="n"/>
      <c r="BE11" s="157" t="n"/>
      <c r="BF11" s="157" t="n"/>
      <c r="BG11" s="158" t="n"/>
      <c r="BH11" s="40" t="n"/>
      <c r="BI11" s="158" t="n"/>
      <c r="BJ11" s="158" t="n"/>
    </row>
    <row r="12" ht="15" customHeight="1" s="349">
      <c r="A12" s="307" t="n"/>
      <c r="B12" s="237" t="inlineStr">
        <is>
          <t>Combi+</t>
        </is>
      </c>
      <c r="C12" s="307" t="n"/>
      <c r="D12" s="223" t="n"/>
      <c r="E12" s="224" t="n"/>
      <c r="F12" s="224" t="n"/>
      <c r="G12" s="224" t="n"/>
      <c r="H12" s="224" t="n"/>
      <c r="I12" s="224" t="n"/>
      <c r="J12" s="224" t="n"/>
      <c r="K12" s="224" t="n"/>
      <c r="L12" s="224" t="n"/>
      <c r="M12" s="241" t="n"/>
      <c r="N12" s="241" t="n"/>
      <c r="O12" s="241" t="n"/>
      <c r="P12" s="241" t="n"/>
      <c r="Q12" s="241">
        <f>IFNA('Revenue Forecast'!Q12*(VLOOKUP('Revenue Forecast'!$BC$34,Assumptions!$B$67:$C$69,2,TRUE)+VLOOKUP('Revenue Forecast'!$BC$12,Assumptions!$B$78:$C$80,2,TRUE)+Assumptions!$E$74),0)</f>
        <v/>
      </c>
      <c r="R12" s="241">
        <f>IFNA('Revenue Forecast'!R12*(VLOOKUP('Revenue Forecast'!$BC$34,Assumptions!$B$67:$C$69,2,TRUE)+VLOOKUP('Revenue Forecast'!$BC$12,Assumptions!$B$78:$C$80,2,TRUE)+Assumptions!$E$74),0)</f>
        <v/>
      </c>
      <c r="S12" s="241">
        <f>IFNA('Revenue Forecast'!S12*(VLOOKUP('Revenue Forecast'!$BC$34,Assumptions!$B$67:$C$69,2,TRUE)+VLOOKUP('Revenue Forecast'!$BC$12,Assumptions!$B$78:$C$80,2,TRUE)+Assumptions!$E$74),0)</f>
        <v/>
      </c>
      <c r="T12" s="241">
        <f>IFNA('Revenue Forecast'!T12*(VLOOKUP('Revenue Forecast'!$BC$34,Assumptions!$B$67:$C$69,2,TRUE)+VLOOKUP('Revenue Forecast'!$BC$12,Assumptions!$B$78:$C$80,2,TRUE)+Assumptions!$E$74),0)</f>
        <v/>
      </c>
      <c r="U12" s="241">
        <f>IFNA('Revenue Forecast'!U12*(VLOOKUP('Revenue Forecast'!$BC$34,Assumptions!$B$67:$C$69,2,TRUE)+VLOOKUP('Revenue Forecast'!$BC$12,Assumptions!$B$78:$C$80,2,TRUE)+Assumptions!$E$74),0)</f>
        <v/>
      </c>
      <c r="V12" s="241">
        <f>IFNA('Revenue Forecast'!V12*(VLOOKUP('Revenue Forecast'!$BC$34,Assumptions!$B$67:$C$69,2,TRUE)+VLOOKUP('Revenue Forecast'!$BC$12,Assumptions!$B$78:$C$80,2,TRUE)+Assumptions!$E$74),0)</f>
        <v/>
      </c>
      <c r="W12" s="241">
        <f>IFNA('Revenue Forecast'!W12*(VLOOKUP('Revenue Forecast'!$BC$34,Assumptions!$B$67:$C$69,2,TRUE)+VLOOKUP('Revenue Forecast'!$BC$12,Assumptions!$B$78:$C$80,2,TRUE)+Assumptions!$E$74),0)</f>
        <v/>
      </c>
      <c r="X12" s="241">
        <f>IFNA('Revenue Forecast'!X12*(VLOOKUP('Revenue Forecast'!$BC$34,Assumptions!$B$67:$C$69,2,TRUE)+VLOOKUP('Revenue Forecast'!$BC$12,Assumptions!$B$78:$C$80,2,TRUE)+Assumptions!$E$74),0)</f>
        <v/>
      </c>
      <c r="Y12" s="241">
        <f>IFNA('Revenue Forecast'!Y12*(VLOOKUP('Revenue Forecast'!$BC$34,Assumptions!$B$67:$C$69,2,TRUE)+VLOOKUP('Revenue Forecast'!$BC$12,Assumptions!$B$78:$C$80,2,TRUE)+Assumptions!$E$74),0)</f>
        <v/>
      </c>
      <c r="Z12" s="241">
        <f>IFNA('Revenue Forecast'!Z12*(VLOOKUP('Revenue Forecast'!$BC$34,Assumptions!$B$67:$C$69,2,TRUE)+VLOOKUP('Revenue Forecast'!$BC$12,Assumptions!$B$78:$C$80,2,TRUE)+Assumptions!$E$74),0)</f>
        <v/>
      </c>
      <c r="AA12" s="241">
        <f>IFNA('Revenue Forecast'!AA12*(VLOOKUP('Revenue Forecast'!$BC$34,Assumptions!$B$67:$C$69,2,TRUE)+VLOOKUP('Revenue Forecast'!$BC$12,Assumptions!$B$78:$C$80,2,TRUE)+Assumptions!$E$74),0)</f>
        <v/>
      </c>
      <c r="AB12" s="241">
        <f>IFNA('Revenue Forecast'!AB12*(VLOOKUP('Revenue Forecast'!$BC$34,Assumptions!$B$67:$C$69,2,TRUE)+VLOOKUP('Revenue Forecast'!$BC$12,Assumptions!$B$78:$C$80,2,TRUE)+Assumptions!$E$74),0)</f>
        <v/>
      </c>
      <c r="AC12" s="241">
        <f>IFNA('Revenue Forecast'!AC12*(VLOOKUP(IF(Assumptions!$D$83=2,'Revenue Forecast'!$BD$34+'Revenue Forecast'!$BE$34,'Revenue Forecast'!$BD$34),Assumptions!$B$67:$C$69,2,TRUE)+VLOOKUP(IF(Assumptions!$D$83=2,'Revenue Forecast'!$BD$12+'Revenue Forecast'!$BE$12,'Revenue Forecast'!$BD$12),Assumptions!$B$78:$C$80,2,TRUE)+Assumptions!$E$74),0)</f>
        <v/>
      </c>
      <c r="AD12" s="241">
        <f>IFNA('Revenue Forecast'!AD12*(VLOOKUP(IF(Assumptions!$D$83=2,'Revenue Forecast'!$BD$34+'Revenue Forecast'!$BE$34,'Revenue Forecast'!$BD$34),Assumptions!$B$67:$C$69,2,TRUE)+VLOOKUP(IF(Assumptions!$D$83=2,'Revenue Forecast'!$BD$12+'Revenue Forecast'!$BE$12,'Revenue Forecast'!$BD$12),Assumptions!$B$78:$C$80,2,TRUE)+Assumptions!$E$74),0)</f>
        <v/>
      </c>
      <c r="AE12" s="241">
        <f>IFNA('Revenue Forecast'!AE12*(VLOOKUP(IF(Assumptions!$D$83=2,'Revenue Forecast'!$BD$34+'Revenue Forecast'!$BE$34,'Revenue Forecast'!$BD$34),Assumptions!$B$67:$C$69,2,TRUE)+VLOOKUP(IF(Assumptions!$D$83=2,'Revenue Forecast'!$BD$12+'Revenue Forecast'!$BE$12,'Revenue Forecast'!$BD$12),Assumptions!$B$78:$C$80,2,TRUE)+Assumptions!$E$74),0)</f>
        <v/>
      </c>
      <c r="AF12" s="241">
        <f>IFNA('Revenue Forecast'!AF12*(VLOOKUP(IF(Assumptions!$D$83=2,'Revenue Forecast'!$BD$34+'Revenue Forecast'!$BE$34,'Revenue Forecast'!$BD$34),Assumptions!$B$67:$C$69,2,TRUE)+VLOOKUP(IF(Assumptions!$D$83=2,'Revenue Forecast'!$BD$12+'Revenue Forecast'!$BE$12,'Revenue Forecast'!$BD$12),Assumptions!$B$78:$C$80,2,TRUE)+Assumptions!$E$74),0)</f>
        <v/>
      </c>
      <c r="AG12" s="241">
        <f>IFNA('Revenue Forecast'!AG12*(VLOOKUP(IF(Assumptions!$D$83=2,'Revenue Forecast'!$BD$34+'Revenue Forecast'!$BE$34,'Revenue Forecast'!$BD$34),Assumptions!$B$67:$C$69,2,TRUE)+VLOOKUP(IF(Assumptions!$D$83=2,'Revenue Forecast'!$BD$12+'Revenue Forecast'!$BE$12,'Revenue Forecast'!$BD$12),Assumptions!$B$78:$C$80,2,TRUE)+Assumptions!$E$74),0)</f>
        <v/>
      </c>
      <c r="AH12" s="241">
        <f>IFNA('Revenue Forecast'!AH12*(VLOOKUP(IF(Assumptions!$D$83=2,'Revenue Forecast'!$BD$34+'Revenue Forecast'!$BE$34,'Revenue Forecast'!$BD$34),Assumptions!$B$67:$C$69,2,TRUE)+VLOOKUP(IF(Assumptions!$D$83=2,'Revenue Forecast'!$BD$12+'Revenue Forecast'!$BE$12,'Revenue Forecast'!$BD$12),Assumptions!$B$78:$C$80,2,TRUE)+Assumptions!$E$74),0)</f>
        <v/>
      </c>
      <c r="AI12" s="241">
        <f>IFNA('Revenue Forecast'!AI12*(VLOOKUP(IF(Assumptions!$D$83=2,'Revenue Forecast'!$BD$34+'Revenue Forecast'!$BE$34,'Revenue Forecast'!$BD$34),Assumptions!$B$67:$C$69,2,TRUE)+VLOOKUP(IF(Assumptions!$D$83=2,'Revenue Forecast'!$BD$12+'Revenue Forecast'!$BE$12,'Revenue Forecast'!$BD$12),Assumptions!$B$78:$C$80,2,TRUE)+Assumptions!$E$74),0)</f>
        <v/>
      </c>
      <c r="AJ12" s="241">
        <f>IFNA('Revenue Forecast'!AJ12*(VLOOKUP(IF(Assumptions!$D$83=2,'Revenue Forecast'!$BD$34+'Revenue Forecast'!$BE$34,'Revenue Forecast'!$BD$34),Assumptions!$B$67:$C$69,2,TRUE)+VLOOKUP(IF(Assumptions!$D$83=2,'Revenue Forecast'!$BD$12+'Revenue Forecast'!$BE$12,'Revenue Forecast'!$BD$12),Assumptions!$B$78:$C$80,2,TRUE)+Assumptions!$E$74),0)</f>
        <v/>
      </c>
      <c r="AK12" s="241">
        <f>IFNA('Revenue Forecast'!AK12*(VLOOKUP(IF(Assumptions!$D$83=2,'Revenue Forecast'!$BD$34+'Revenue Forecast'!$BE$34,'Revenue Forecast'!$BD$34),Assumptions!$B$67:$C$69,2,TRUE)+VLOOKUP(IF(Assumptions!$D$83=2,'Revenue Forecast'!$BD$12+'Revenue Forecast'!$BE$12,'Revenue Forecast'!$BD$12),Assumptions!$B$78:$C$80,2,TRUE)+Assumptions!$E$74),0)</f>
        <v/>
      </c>
      <c r="AL12" s="241">
        <f>IFNA('Revenue Forecast'!AL12*(VLOOKUP(IF(Assumptions!$D$83=2,'Revenue Forecast'!$BD$34+'Revenue Forecast'!$BE$34,'Revenue Forecast'!$BD$34),Assumptions!$B$67:$C$69,2,TRUE)+VLOOKUP(IF(Assumptions!$D$83=2,'Revenue Forecast'!$BD$12+'Revenue Forecast'!$BE$12,'Revenue Forecast'!$BD$12),Assumptions!$B$78:$C$80,2,TRUE)+Assumptions!$E$74),0)</f>
        <v/>
      </c>
      <c r="AM12" s="241">
        <f>IFNA('Revenue Forecast'!AM12*(VLOOKUP(IF(Assumptions!$D$83=2,'Revenue Forecast'!$BD$34+'Revenue Forecast'!$BE$34,'Revenue Forecast'!$BD$34),Assumptions!$B$67:$C$69,2,TRUE)+VLOOKUP(IF(Assumptions!$D$83=2,'Revenue Forecast'!$BD$12+'Revenue Forecast'!$BE$12,'Revenue Forecast'!$BD$12),Assumptions!$B$78:$C$80,2,TRUE)+Assumptions!$E$74),0)</f>
        <v/>
      </c>
      <c r="AN12" s="241">
        <f>IFNA('Revenue Forecast'!AN12*(VLOOKUP(IF(Assumptions!$D$83=2,'Revenue Forecast'!$BD$34+'Revenue Forecast'!$BE$34,'Revenue Forecast'!$BD$34),Assumptions!$B$67:$C$69,2,TRUE)+VLOOKUP(IF(Assumptions!$D$83=2,'Revenue Forecast'!$BD$12+'Revenue Forecast'!$BE$12,'Revenue Forecast'!$BD$12),Assumptions!$B$78:$C$80,2,TRUE)+Assumptions!$E$74),0)</f>
        <v/>
      </c>
      <c r="AO12" s="241">
        <f>IFNA('Revenue Forecast'!AO12*(VLOOKUP(IF(Assumptions!$D$83=2,'Revenue Forecast'!$BE$34+'Revenue Forecast'!$BF$34,'Revenue Forecast'!$BE$34),Assumptions!$B$67:$C$69,2,TRUE)+VLOOKUP(IF(Assumptions!$D$83=2,'Revenue Forecast'!$BE$12+'Revenue Forecast'!$BF$12,'Revenue Forecast'!$BE$12),Assumptions!$B$78:$C$80,2,TRUE)+Assumptions!$E$74),0)</f>
        <v/>
      </c>
      <c r="AP12" s="241">
        <f>IFNA('Revenue Forecast'!AP12*(VLOOKUP(IF(Assumptions!$D$83=2,'Revenue Forecast'!$BE$34+'Revenue Forecast'!$BF$34,'Revenue Forecast'!$BE$34),Assumptions!$B$67:$C$69,2,TRUE)+VLOOKUP(IF(Assumptions!$D$83=2,'Revenue Forecast'!$BE$12+'Revenue Forecast'!$BF$12,'Revenue Forecast'!$BE$12),Assumptions!$B$78:$C$80,2,TRUE)+Assumptions!$E$74),0)</f>
        <v/>
      </c>
      <c r="AQ12" s="241">
        <f>IFNA('Revenue Forecast'!AQ12*(VLOOKUP(IF(Assumptions!$D$83=2,'Revenue Forecast'!$BE$34+'Revenue Forecast'!$BF$34,'Revenue Forecast'!$BE$34),Assumptions!$B$67:$C$69,2,TRUE)+VLOOKUP(IF(Assumptions!$D$83=2,'Revenue Forecast'!$BE$12+'Revenue Forecast'!$BF$12,'Revenue Forecast'!$BE$12),Assumptions!$B$78:$C$80,2,TRUE)+Assumptions!$E$74),0)</f>
        <v/>
      </c>
      <c r="AR12" s="241">
        <f>IFNA('Revenue Forecast'!AR12*(VLOOKUP(IF(Assumptions!$D$83=2,'Revenue Forecast'!$BE$34+'Revenue Forecast'!$BF$34,'Revenue Forecast'!$BE$34),Assumptions!$B$67:$C$69,2,TRUE)+VLOOKUP(IF(Assumptions!$D$83=2,'Revenue Forecast'!$BE$12+'Revenue Forecast'!$BF$12,'Revenue Forecast'!$BE$12),Assumptions!$B$78:$C$80,2,TRUE)+Assumptions!$E$74),0)</f>
        <v/>
      </c>
      <c r="AS12" s="241">
        <f>IFNA('Revenue Forecast'!AS12*(VLOOKUP(IF(Assumptions!$D$83=2,'Revenue Forecast'!$BE$34+'Revenue Forecast'!$BF$34,'Revenue Forecast'!$BE$34),Assumptions!$B$67:$C$69,2,TRUE)+VLOOKUP(IF(Assumptions!$D$83=2,'Revenue Forecast'!$BE$12+'Revenue Forecast'!$BF$12,'Revenue Forecast'!$BE$12),Assumptions!$B$78:$C$80,2,TRUE)+Assumptions!$E$74),0)</f>
        <v/>
      </c>
      <c r="AT12" s="241">
        <f>IFNA('Revenue Forecast'!AT12*(VLOOKUP(IF(Assumptions!$D$83=2,'Revenue Forecast'!$BE$34+'Revenue Forecast'!$BF$34,'Revenue Forecast'!$BE$34),Assumptions!$B$67:$C$69,2,TRUE)+VLOOKUP(IF(Assumptions!$D$83=2,'Revenue Forecast'!$BE$12+'Revenue Forecast'!$BF$12,'Revenue Forecast'!$BE$12),Assumptions!$B$78:$C$80,2,TRUE)+Assumptions!$E$74),0)</f>
        <v/>
      </c>
      <c r="AU12" s="241">
        <f>IFNA('Revenue Forecast'!AU12*(VLOOKUP(IF(Assumptions!$D$83=2,'Revenue Forecast'!$BE$34+'Revenue Forecast'!$BF$34,'Revenue Forecast'!$BE$34),Assumptions!$B$67:$C$69,2,TRUE)+VLOOKUP(IF(Assumptions!$D$83=2,'Revenue Forecast'!$BE$12+'Revenue Forecast'!$BF$12,'Revenue Forecast'!$BE$12),Assumptions!$B$78:$C$80,2,TRUE)+Assumptions!$E$74),0)</f>
        <v/>
      </c>
      <c r="AV12" s="241">
        <f>IFNA('Revenue Forecast'!AV12*(VLOOKUP(IF(Assumptions!$D$83=2,'Revenue Forecast'!$BE$34+'Revenue Forecast'!$BF$34,'Revenue Forecast'!$BE$34),Assumptions!$B$67:$C$69,2,TRUE)+VLOOKUP(IF(Assumptions!$D$83=2,'Revenue Forecast'!$BE$12+'Revenue Forecast'!$BF$12,'Revenue Forecast'!$BE$12),Assumptions!$B$78:$C$80,2,TRUE)+Assumptions!$E$74),0)</f>
        <v/>
      </c>
      <c r="AW12" s="241">
        <f>IFNA('Revenue Forecast'!AW12*(VLOOKUP(IF(Assumptions!$D$83=2,'Revenue Forecast'!$BE$34+'Revenue Forecast'!$BF$34,'Revenue Forecast'!$BE$34),Assumptions!$B$67:$C$69,2,TRUE)+VLOOKUP(IF(Assumptions!$D$83=2,'Revenue Forecast'!$BE$12+'Revenue Forecast'!$BF$12,'Revenue Forecast'!$BE$12),Assumptions!$B$78:$C$80,2,TRUE)+Assumptions!$E$74),0)</f>
        <v/>
      </c>
      <c r="AX12" s="241">
        <f>IFNA('Revenue Forecast'!AX12*(VLOOKUP(IF(Assumptions!$D$83=2,'Revenue Forecast'!$BE$34+'Revenue Forecast'!$BF$34,'Revenue Forecast'!$BE$34),Assumptions!$B$67:$C$69,2,TRUE)+VLOOKUP(IF(Assumptions!$D$83=2,'Revenue Forecast'!$BE$12+'Revenue Forecast'!$BF$12,'Revenue Forecast'!$BE$12),Assumptions!$B$78:$C$80,2,TRUE)+Assumptions!$E$74),0)</f>
        <v/>
      </c>
      <c r="AY12" s="241">
        <f>IFNA('Revenue Forecast'!AY12*(VLOOKUP(IF(Assumptions!$D$83=2,'Revenue Forecast'!$BE$34+'Revenue Forecast'!$BF$34,'Revenue Forecast'!$BE$34),Assumptions!$B$67:$C$69,2,TRUE)+VLOOKUP(IF(Assumptions!$D$83=2,'Revenue Forecast'!$BE$12+'Revenue Forecast'!$BF$12,'Revenue Forecast'!$BE$12),Assumptions!$B$78:$C$80,2,TRUE)+Assumptions!$E$74),0)</f>
        <v/>
      </c>
      <c r="AZ12" s="241">
        <f>IFNA('Revenue Forecast'!AZ12*(VLOOKUP(IF(Assumptions!$D$83=2,'Revenue Forecast'!$BE$34+'Revenue Forecast'!$BF$34,'Revenue Forecast'!$BE$34),Assumptions!$B$67:$C$69,2,TRUE)+VLOOKUP(IF(Assumptions!$D$83=2,'Revenue Forecast'!$BE$12+'Revenue Forecast'!$BF$12,'Revenue Forecast'!$BE$12),Assumptions!$B$78:$C$80,2,TRUE)+Assumptions!$E$74),0)</f>
        <v/>
      </c>
      <c r="BA12" s="233" t="n"/>
      <c r="BB12" s="233" t="n"/>
      <c r="BC12" s="233">
        <f>SUM(Q12:AB12)</f>
        <v/>
      </c>
      <c r="BD12" s="233">
        <f>SUM(AC12:AN12)</f>
        <v/>
      </c>
      <c r="BE12" s="233">
        <f>SUM(AO12:AZ12)</f>
        <v/>
      </c>
      <c r="BF12" s="233">
        <f>'Revenue Forecast'!BF12*(VLOOKUP(IF(Assumptions!$D$83=2,'Revenue Forecast'!$BF$34+Assumptions!$G$21,'Revenue Forecast'!$BF$34),Assumptions!$B$67:$C$69,2,TRUE)+VLOOKUP(IF(Assumptions!$D$83=2,'Revenue Forecast'!$BF$12+Assumptions!$G$24,'Revenue Forecast'!$BF$12),Assumptions!$B$78:$C$80,2,TRUE)+Assumptions!$E$74)</f>
        <v/>
      </c>
      <c r="BG12" s="226" t="n"/>
      <c r="BH12" s="40" t="inlineStr">
        <is>
          <t>units x (ketel tier + outdoor unit tier + shipping), ketel tier per the row-83 switch</t>
        </is>
      </c>
      <c r="BI12" s="226" t="n"/>
      <c r="BJ12" s="226" t="n"/>
    </row>
    <row r="13">
      <c r="A13" s="307" t="n"/>
      <c r="B13" s="307" t="inlineStr">
        <is>
          <t>Upsell</t>
        </is>
      </c>
      <c r="C13" s="307" t="n"/>
      <c r="D13" s="223" t="n"/>
      <c r="E13" s="307" t="n"/>
      <c r="F13" s="307" t="n"/>
      <c r="G13" s="307" t="n"/>
      <c r="H13" s="307" t="n"/>
      <c r="I13" s="307" t="n"/>
      <c r="J13" s="307" t="n"/>
      <c r="K13" s="307" t="n"/>
      <c r="L13" s="307" t="n"/>
      <c r="M13" s="233" t="n"/>
      <c r="N13" s="233" t="n"/>
      <c r="O13" s="233" t="n"/>
      <c r="P13" s="233" t="n"/>
      <c r="Q13" s="233">
        <f>'Revenue Forecast'!Q12*SUMPRODUCT(Assumptions!$E$112:$E$114,Assumptions!$G$112:$G$114)</f>
        <v/>
      </c>
      <c r="R13" s="233">
        <f>'Revenue Forecast'!R12*SUMPRODUCT(Assumptions!$E$112:$E$114,Assumptions!$G$112:$G$114)</f>
        <v/>
      </c>
      <c r="S13" s="233">
        <f>'Revenue Forecast'!S12*SUMPRODUCT(Assumptions!$E$112:$E$114,Assumptions!$G$112:$G$114)</f>
        <v/>
      </c>
      <c r="T13" s="233">
        <f>'Revenue Forecast'!T12*SUMPRODUCT(Assumptions!$E$112:$E$114,Assumptions!$G$112:$G$114)</f>
        <v/>
      </c>
      <c r="U13" s="233">
        <f>'Revenue Forecast'!U12*SUMPRODUCT(Assumptions!$E$112:$E$114,Assumptions!$G$112:$G$114)</f>
        <v/>
      </c>
      <c r="V13" s="233">
        <f>'Revenue Forecast'!V12*SUMPRODUCT(Assumptions!$E$112:$E$114,Assumptions!$G$112:$G$114)</f>
        <v/>
      </c>
      <c r="W13" s="233">
        <f>'Revenue Forecast'!W12*SUMPRODUCT(Assumptions!$E$112:$E$114,Assumptions!$G$112:$G$114)</f>
        <v/>
      </c>
      <c r="X13" s="233">
        <f>'Revenue Forecast'!X12*SUMPRODUCT(Assumptions!$E$112:$E$114,Assumptions!$G$112:$G$114)</f>
        <v/>
      </c>
      <c r="Y13" s="233">
        <f>'Revenue Forecast'!Y12*SUMPRODUCT(Assumptions!$E$112:$E$114,Assumptions!$G$112:$G$114)</f>
        <v/>
      </c>
      <c r="Z13" s="233">
        <f>'Revenue Forecast'!Z12*SUMPRODUCT(Assumptions!$E$112:$E$114,Assumptions!$G$112:$G$114)</f>
        <v/>
      </c>
      <c r="AA13" s="233">
        <f>'Revenue Forecast'!AA12*SUMPRODUCT(Assumptions!$E$112:$E$114,Assumptions!$G$112:$G$114)</f>
        <v/>
      </c>
      <c r="AB13" s="233">
        <f>'Revenue Forecast'!AB12*SUMPRODUCT(Assumptions!$E$112:$E$114,Assumptions!$G$112:$G$114)</f>
        <v/>
      </c>
      <c r="AC13" s="233">
        <f>'Revenue Forecast'!AC12*SUMPRODUCT(Assumptions!$E$112:$E$114,Assumptions!$G$112:$G$114)</f>
        <v/>
      </c>
      <c r="AD13" s="233">
        <f>'Revenue Forecast'!AD12*SUMPRODUCT(Assumptions!$E$112:$E$114,Assumptions!$G$112:$G$114)</f>
        <v/>
      </c>
      <c r="AE13" s="233">
        <f>'Revenue Forecast'!AE12*SUMPRODUCT(Assumptions!$E$112:$E$114,Assumptions!$G$112:$G$114)</f>
        <v/>
      </c>
      <c r="AF13" s="233">
        <f>'Revenue Forecast'!AF12*SUMPRODUCT(Assumptions!$E$112:$E$114,Assumptions!$G$112:$G$114)</f>
        <v/>
      </c>
      <c r="AG13" s="233">
        <f>'Revenue Forecast'!AG12*SUMPRODUCT(Assumptions!$E$112:$E$114,Assumptions!$G$112:$G$114)</f>
        <v/>
      </c>
      <c r="AH13" s="233">
        <f>'Revenue Forecast'!AH12*SUMPRODUCT(Assumptions!$E$112:$E$114,Assumptions!$G$112:$G$114)</f>
        <v/>
      </c>
      <c r="AI13" s="233">
        <f>'Revenue Forecast'!AI12*SUMPRODUCT(Assumptions!$E$112:$E$114,Assumptions!$G$112:$G$114)</f>
        <v/>
      </c>
      <c r="AJ13" s="233">
        <f>'Revenue Forecast'!AJ12*SUMPRODUCT(Assumptions!$E$112:$E$114,Assumptions!$G$112:$G$114)</f>
        <v/>
      </c>
      <c r="AK13" s="233">
        <f>'Revenue Forecast'!AK12*SUMPRODUCT(Assumptions!$E$112:$E$114,Assumptions!$G$112:$G$114)</f>
        <v/>
      </c>
      <c r="AL13" s="233">
        <f>'Revenue Forecast'!AL12*SUMPRODUCT(Assumptions!$E$112:$E$114,Assumptions!$G$112:$G$114)</f>
        <v/>
      </c>
      <c r="AM13" s="233">
        <f>'Revenue Forecast'!AM12*SUMPRODUCT(Assumptions!$E$112:$E$114,Assumptions!$G$112:$G$114)</f>
        <v/>
      </c>
      <c r="AN13" s="233">
        <f>'Revenue Forecast'!AN12*SUMPRODUCT(Assumptions!$E$112:$E$114,Assumptions!$G$112:$G$114)</f>
        <v/>
      </c>
      <c r="AO13" s="233">
        <f>'Revenue Forecast'!AO12*SUMPRODUCT(Assumptions!$E$112:$E$114,Assumptions!$G$112:$G$114)</f>
        <v/>
      </c>
      <c r="AP13" s="233">
        <f>'Revenue Forecast'!AP12*SUMPRODUCT(Assumptions!$E$112:$E$114,Assumptions!$G$112:$G$114)</f>
        <v/>
      </c>
      <c r="AQ13" s="233">
        <f>'Revenue Forecast'!AQ12*SUMPRODUCT(Assumptions!$E$112:$E$114,Assumptions!$G$112:$G$114)</f>
        <v/>
      </c>
      <c r="AR13" s="233">
        <f>'Revenue Forecast'!AR12*SUMPRODUCT(Assumptions!$E$112:$E$114,Assumptions!$G$112:$G$114)</f>
        <v/>
      </c>
      <c r="AS13" s="233">
        <f>'Revenue Forecast'!AS12*SUMPRODUCT(Assumptions!$E$112:$E$114,Assumptions!$G$112:$G$114)</f>
        <v/>
      </c>
      <c r="AT13" s="233">
        <f>'Revenue Forecast'!AT12*SUMPRODUCT(Assumptions!$E$112:$E$114,Assumptions!$G$112:$G$114)</f>
        <v/>
      </c>
      <c r="AU13" s="233">
        <f>'Revenue Forecast'!AU12*SUMPRODUCT(Assumptions!$E$112:$E$114,Assumptions!$G$112:$G$114)</f>
        <v/>
      </c>
      <c r="AV13" s="233">
        <f>'Revenue Forecast'!AV12*SUMPRODUCT(Assumptions!$E$112:$E$114,Assumptions!$G$112:$G$114)</f>
        <v/>
      </c>
      <c r="AW13" s="233">
        <f>'Revenue Forecast'!AW12*SUMPRODUCT(Assumptions!$E$112:$E$114,Assumptions!$G$112:$G$114)</f>
        <v/>
      </c>
      <c r="AX13" s="233">
        <f>'Revenue Forecast'!AX12*SUMPRODUCT(Assumptions!$E$112:$E$114,Assumptions!$G$112:$G$114)</f>
        <v/>
      </c>
      <c r="AY13" s="233">
        <f>'Revenue Forecast'!AY12*SUMPRODUCT(Assumptions!$E$112:$E$114,Assumptions!$G$112:$G$114)</f>
        <v/>
      </c>
      <c r="AZ13" s="233">
        <f>'Revenue Forecast'!AZ12*SUMPRODUCT(Assumptions!$E$112:$E$114,Assumptions!$G$112:$G$114)</f>
        <v/>
      </c>
      <c r="BA13" s="233" t="n"/>
      <c r="BB13" s="233" t="n"/>
      <c r="BC13" s="233">
        <f>SUM(Q13:AB13)</f>
        <v/>
      </c>
      <c r="BD13" s="233">
        <f>SUM(AC13:AN13)</f>
        <v/>
      </c>
      <c r="BE13" s="233">
        <f>SUM(AO13:AZ13)</f>
        <v/>
      </c>
      <c r="BF13" s="233">
        <f>'Revenue Forecast'!BF12*SUMPRODUCT(Assumptions!$E$112:$E$114,Assumptions!$G$112:$G$114)</f>
        <v/>
      </c>
      <c r="BG13" s="226" t="n"/>
      <c r="BH13" s="40" t="inlineStr">
        <is>
          <t>units x upsell cost</t>
        </is>
      </c>
      <c r="BI13" s="226" t="n"/>
      <c r="BJ13" s="226" t="n"/>
    </row>
    <row r="14" ht="12.75" customHeight="1" s="349">
      <c r="A14" s="307" t="n"/>
      <c r="B14" s="234" t="inlineStr">
        <is>
          <t>Total Combi+ COGS</t>
        </is>
      </c>
      <c r="C14" s="235" t="n"/>
      <c r="D14" s="234" t="n"/>
      <c r="E14" s="236" t="n"/>
      <c r="F14" s="236" t="n"/>
      <c r="G14" s="236" t="n"/>
      <c r="H14" s="236" t="n"/>
      <c r="I14" s="236" t="n"/>
      <c r="J14" s="236" t="n"/>
      <c r="K14" s="236" t="n"/>
      <c r="L14" s="236" t="n"/>
      <c r="M14" s="236" t="n"/>
      <c r="N14" s="236" t="n"/>
      <c r="O14" s="236" t="n"/>
      <c r="P14" s="236" t="n"/>
      <c r="Q14" s="236">
        <f>sum(Q12:Q13)</f>
        <v/>
      </c>
      <c r="R14" s="236">
        <f>sum(R12:R13)</f>
        <v/>
      </c>
      <c r="S14" s="236">
        <f>sum(S12:S13)</f>
        <v/>
      </c>
      <c r="T14" s="236">
        <f>sum(T12:T13)</f>
        <v/>
      </c>
      <c r="U14" s="236">
        <f>sum(U12:U13)</f>
        <v/>
      </c>
      <c r="V14" s="236">
        <f>sum(V12:V13)</f>
        <v/>
      </c>
      <c r="W14" s="236">
        <f>sum(W12:W13)</f>
        <v/>
      </c>
      <c r="X14" s="236">
        <f>sum(X12:X13)</f>
        <v/>
      </c>
      <c r="Y14" s="236">
        <f>sum(Y12:Y13)</f>
        <v/>
      </c>
      <c r="Z14" s="236">
        <f>sum(Z12:Z13)</f>
        <v/>
      </c>
      <c r="AA14" s="236">
        <f>sum(AA12:AA13)</f>
        <v/>
      </c>
      <c r="AB14" s="236">
        <f>sum(AB12:AB13)</f>
        <v/>
      </c>
      <c r="AC14" s="236">
        <f>sum(AC12:AC13)</f>
        <v/>
      </c>
      <c r="AD14" s="236">
        <f>sum(AD12:AD13)</f>
        <v/>
      </c>
      <c r="AE14" s="236">
        <f>sum(AE12:AE13)</f>
        <v/>
      </c>
      <c r="AF14" s="236">
        <f>sum(AF12:AF13)</f>
        <v/>
      </c>
      <c r="AG14" s="236">
        <f>sum(AG12:AG13)</f>
        <v/>
      </c>
      <c r="AH14" s="236">
        <f>sum(AH12:AH13)</f>
        <v/>
      </c>
      <c r="AI14" s="236">
        <f>sum(AI12:AI13)</f>
        <v/>
      </c>
      <c r="AJ14" s="236">
        <f>sum(AJ12:AJ13)</f>
        <v/>
      </c>
      <c r="AK14" s="236">
        <f>sum(AK12:AK13)</f>
        <v/>
      </c>
      <c r="AL14" s="236">
        <f>sum(AL12:AL13)</f>
        <v/>
      </c>
      <c r="AM14" s="236">
        <f>sum(AM12:AM13)</f>
        <v/>
      </c>
      <c r="AN14" s="236">
        <f>sum(AN12:AN13)</f>
        <v/>
      </c>
      <c r="AO14" s="236">
        <f>sum(AO12:AO13)</f>
        <v/>
      </c>
      <c r="AP14" s="236">
        <f>sum(AP12:AP13)</f>
        <v/>
      </c>
      <c r="AQ14" s="236">
        <f>sum(AQ12:AQ13)</f>
        <v/>
      </c>
      <c r="AR14" s="236">
        <f>sum(AR12:AR13)</f>
        <v/>
      </c>
      <c r="AS14" s="236">
        <f>sum(AS12:AS13)</f>
        <v/>
      </c>
      <c r="AT14" s="236">
        <f>sum(AT12:AT13)</f>
        <v/>
      </c>
      <c r="AU14" s="236">
        <f>sum(AU12:AU13)</f>
        <v/>
      </c>
      <c r="AV14" s="236">
        <f>sum(AV12:AV13)</f>
        <v/>
      </c>
      <c r="AW14" s="236">
        <f>sum(AW12:AW13)</f>
        <v/>
      </c>
      <c r="AX14" s="236">
        <f>sum(AX12:AX13)</f>
        <v/>
      </c>
      <c r="AY14" s="236">
        <f>sum(AY12:AY13)</f>
        <v/>
      </c>
      <c r="AZ14" s="236">
        <f>sum(AZ12:AZ13)</f>
        <v/>
      </c>
      <c r="BA14" s="233" t="n"/>
      <c r="BB14" s="157" t="n"/>
      <c r="BC14" s="157">
        <f>sum(BC12:BC13)</f>
        <v/>
      </c>
      <c r="BD14" s="157">
        <f>sum(BD12:BD13)</f>
        <v/>
      </c>
      <c r="BE14" s="157">
        <f>sum(BE12:BE13)</f>
        <v/>
      </c>
      <c r="BF14" s="157">
        <f>sum(BF12:BF13)</f>
        <v/>
      </c>
      <c r="BG14" s="158" t="n"/>
      <c r="BH14" s="40" t="inlineStr">
        <is>
          <t>machine cost + upsell cost</t>
        </is>
      </c>
      <c r="BI14" s="158" t="n"/>
      <c r="BJ14" s="158" t="n"/>
    </row>
    <row r="15">
      <c r="BA15" s="233" t="n"/>
      <c r="BH15" s="83" t="n"/>
    </row>
    <row r="16" ht="13.5" customHeight="1" s="349">
      <c r="A16" s="104" t="n"/>
      <c r="B16" s="144" t="inlineStr">
        <is>
          <t>INSTALLATION</t>
        </is>
      </c>
      <c r="C16" s="104" t="n"/>
      <c r="D16" s="104" t="n"/>
      <c r="E16" s="104" t="n"/>
      <c r="F16" s="104" t="n"/>
      <c r="G16" s="104" t="n"/>
      <c r="H16" s="104" t="n"/>
      <c r="I16" s="104" t="n"/>
      <c r="J16" s="104" t="n"/>
      <c r="K16" s="104" t="n"/>
      <c r="L16" s="104" t="n"/>
      <c r="M16" s="80" t="n"/>
      <c r="N16" s="80" t="n"/>
      <c r="O16" s="80" t="n"/>
      <c r="P16" s="80" t="n"/>
      <c r="Q16" s="80" t="n"/>
      <c r="R16" s="80" t="n"/>
      <c r="S16" s="80" t="n"/>
      <c r="T16" s="80" t="n"/>
      <c r="U16" s="80" t="n"/>
      <c r="V16" s="80" t="n"/>
      <c r="W16" s="80" t="n"/>
      <c r="X16" s="80" t="n"/>
      <c r="Y16" s="80" t="n"/>
      <c r="Z16" s="80" t="n"/>
      <c r="AA16" s="80" t="n"/>
      <c r="AB16" s="80" t="n"/>
      <c r="AC16" s="79" t="n"/>
      <c r="AD16" s="79" t="n"/>
      <c r="AE16" s="79" t="n"/>
      <c r="AF16" s="79" t="n"/>
      <c r="AG16" s="79" t="n"/>
      <c r="AH16" s="79" t="n"/>
      <c r="AI16" s="79" t="n"/>
      <c r="AJ16" s="79" t="n"/>
      <c r="AK16" s="79" t="n"/>
      <c r="AL16" s="79" t="n"/>
      <c r="AM16" s="79" t="n"/>
      <c r="AN16" s="79" t="n"/>
      <c r="AO16" s="79" t="n"/>
      <c r="AP16" s="79" t="n"/>
      <c r="AQ16" s="79" t="n"/>
      <c r="AR16" s="79" t="n"/>
      <c r="AS16" s="79" t="n"/>
      <c r="AT16" s="79" t="n"/>
      <c r="AU16" s="79" t="n"/>
      <c r="AV16" s="79" t="n"/>
      <c r="AW16" s="79" t="n"/>
      <c r="AX16" s="79" t="n"/>
      <c r="AY16" s="79" t="n"/>
      <c r="AZ16" s="79" t="n"/>
      <c r="BA16" s="233" t="n"/>
      <c r="BB16" s="80" t="n"/>
      <c r="BC16" s="85" t="n"/>
      <c r="BD16" s="85" t="n"/>
      <c r="BE16" s="85" t="n"/>
      <c r="BF16" s="85" t="n"/>
      <c r="BG16" s="226" t="n"/>
      <c r="BH16" s="40" t="n"/>
      <c r="BI16" s="226" t="n"/>
      <c r="BJ16" s="226" t="n"/>
    </row>
    <row r="17" ht="15" customHeight="1" s="349">
      <c r="A17" s="307" t="n"/>
      <c r="B17" s="237" t="inlineStr">
        <is>
          <t>Installation COGS (pass-through, = installation revenue)</t>
        </is>
      </c>
      <c r="C17" s="307" t="n"/>
      <c r="D17" s="223" t="inlineStr">
        <is>
          <t>€</t>
        </is>
      </c>
      <c r="E17" s="224" t="n"/>
      <c r="F17" s="224" t="n"/>
      <c r="G17" s="224" t="n"/>
      <c r="H17" s="224" t="n"/>
      <c r="I17" s="224" t="n"/>
      <c r="J17" s="224" t="n"/>
      <c r="K17" s="224" t="n"/>
      <c r="L17" s="224" t="n"/>
      <c r="M17" s="241" t="n"/>
      <c r="N17" s="241" t="n"/>
      <c r="O17" s="241" t="n"/>
      <c r="P17" s="241" t="n"/>
      <c r="Q17" s="241">
        <f>'Revenue Forecast'!Q19</f>
        <v/>
      </c>
      <c r="R17" s="241">
        <f>'Revenue Forecast'!R19</f>
        <v/>
      </c>
      <c r="S17" s="241">
        <f>'Revenue Forecast'!S19</f>
        <v/>
      </c>
      <c r="T17" s="241">
        <f>'Revenue Forecast'!T19</f>
        <v/>
      </c>
      <c r="U17" s="241">
        <f>'Revenue Forecast'!U19</f>
        <v/>
      </c>
      <c r="V17" s="241">
        <f>'Revenue Forecast'!V19</f>
        <v/>
      </c>
      <c r="W17" s="241">
        <f>'Revenue Forecast'!W19</f>
        <v/>
      </c>
      <c r="X17" s="241">
        <f>'Revenue Forecast'!X19</f>
        <v/>
      </c>
      <c r="Y17" s="241">
        <f>'Revenue Forecast'!Y19</f>
        <v/>
      </c>
      <c r="Z17" s="241">
        <f>'Revenue Forecast'!Z19</f>
        <v/>
      </c>
      <c r="AA17" s="241">
        <f>'Revenue Forecast'!AA19</f>
        <v/>
      </c>
      <c r="AB17" s="241">
        <f>'Revenue Forecast'!AB19</f>
        <v/>
      </c>
      <c r="AC17" s="241">
        <f>'Revenue Forecast'!AC19</f>
        <v/>
      </c>
      <c r="AD17" s="241">
        <f>'Revenue Forecast'!AD19</f>
        <v/>
      </c>
      <c r="AE17" s="241">
        <f>'Revenue Forecast'!AE19</f>
        <v/>
      </c>
      <c r="AF17" s="241">
        <f>'Revenue Forecast'!AF19</f>
        <v/>
      </c>
      <c r="AG17" s="241">
        <f>'Revenue Forecast'!AG19</f>
        <v/>
      </c>
      <c r="AH17" s="241">
        <f>'Revenue Forecast'!AH19</f>
        <v/>
      </c>
      <c r="AI17" s="241">
        <f>'Revenue Forecast'!AI19</f>
        <v/>
      </c>
      <c r="AJ17" s="241">
        <f>'Revenue Forecast'!AJ19</f>
        <v/>
      </c>
      <c r="AK17" s="241">
        <f>'Revenue Forecast'!AK19</f>
        <v/>
      </c>
      <c r="AL17" s="241">
        <f>'Revenue Forecast'!AL19</f>
        <v/>
      </c>
      <c r="AM17" s="241">
        <f>'Revenue Forecast'!AM19</f>
        <v/>
      </c>
      <c r="AN17" s="241">
        <f>'Revenue Forecast'!AN19</f>
        <v/>
      </c>
      <c r="AO17" s="241">
        <f>'Revenue Forecast'!AO19</f>
        <v/>
      </c>
      <c r="AP17" s="241">
        <f>'Revenue Forecast'!AP19</f>
        <v/>
      </c>
      <c r="AQ17" s="241">
        <f>'Revenue Forecast'!AQ19</f>
        <v/>
      </c>
      <c r="AR17" s="241">
        <f>'Revenue Forecast'!AR19</f>
        <v/>
      </c>
      <c r="AS17" s="241">
        <f>'Revenue Forecast'!AS19</f>
        <v/>
      </c>
      <c r="AT17" s="241">
        <f>'Revenue Forecast'!AT19</f>
        <v/>
      </c>
      <c r="AU17" s="241">
        <f>'Revenue Forecast'!AU19</f>
        <v/>
      </c>
      <c r="AV17" s="241">
        <f>'Revenue Forecast'!AV19</f>
        <v/>
      </c>
      <c r="AW17" s="241">
        <f>'Revenue Forecast'!AW19</f>
        <v/>
      </c>
      <c r="AX17" s="241">
        <f>'Revenue Forecast'!AX19</f>
        <v/>
      </c>
      <c r="AY17" s="241">
        <f>'Revenue Forecast'!AY19</f>
        <v/>
      </c>
      <c r="AZ17" s="241">
        <f>'Revenue Forecast'!AZ19</f>
        <v/>
      </c>
      <c r="BA17" s="233" t="n"/>
      <c r="BB17" s="233">
        <f>'Revenue Forecast'!BB19</f>
        <v/>
      </c>
      <c r="BC17" s="233">
        <f>'Revenue Forecast'!BC19</f>
        <v/>
      </c>
      <c r="BD17" s="233">
        <f>'Revenue Forecast'!BD19</f>
        <v/>
      </c>
      <c r="BE17" s="233">
        <f>'Revenue Forecast'!BE19</f>
        <v/>
      </c>
      <c r="BF17" s="233">
        <f>'Revenue Forecast'!BF19</f>
        <v/>
      </c>
      <c r="BG17" s="233" t="n"/>
      <c r="BH17" s="83" t="inlineStr">
        <is>
          <t>same number as installation revenue. pass-through, zero margin</t>
        </is>
      </c>
      <c r="BI17" s="233" t="n"/>
      <c r="BJ17" s="233" t="n"/>
    </row>
    <row r="18" ht="15.75" customHeight="1" s="349">
      <c r="A18" s="307" t="n"/>
      <c r="B18" s="307" t="n"/>
      <c r="C18" s="307" t="n"/>
      <c r="D18" s="307" t="n"/>
      <c r="E18" s="307" t="n"/>
      <c r="F18" s="307" t="n"/>
      <c r="G18" s="307" t="n"/>
      <c r="H18" s="307" t="n"/>
      <c r="I18" s="307" t="n"/>
      <c r="J18" s="307" t="n"/>
      <c r="K18" s="307" t="n"/>
      <c r="L18" s="307" t="n"/>
      <c r="M18" s="233" t="n"/>
      <c r="N18" s="233" t="n"/>
      <c r="O18" s="233" t="n"/>
      <c r="P18" s="233" t="n"/>
      <c r="Q18" s="233" t="n"/>
      <c r="R18" s="233" t="n"/>
      <c r="S18" s="233" t="n"/>
      <c r="T18" s="233" t="n"/>
      <c r="U18" s="233" t="n"/>
      <c r="V18" s="233" t="n"/>
      <c r="W18" s="233" t="n"/>
      <c r="X18" s="233" t="n"/>
      <c r="Y18" s="233" t="n"/>
      <c r="Z18" s="233" t="n"/>
      <c r="AA18" s="233" t="n"/>
      <c r="AB18" s="233" t="n"/>
      <c r="AC18" s="233" t="n"/>
      <c r="AD18" s="233" t="n"/>
      <c r="AE18" s="233" t="n"/>
      <c r="AF18" s="233" t="n"/>
      <c r="AG18" s="233" t="n"/>
      <c r="AH18" s="233" t="n"/>
      <c r="AI18" s="233" t="n"/>
      <c r="AJ18" s="233" t="n"/>
      <c r="AK18" s="233" t="n"/>
      <c r="AL18" s="233" t="n"/>
      <c r="AM18" s="233" t="n"/>
      <c r="AN18" s="233" t="n"/>
      <c r="AO18" s="233" t="n"/>
      <c r="AP18" s="233" t="n"/>
      <c r="AQ18" s="233" t="n"/>
      <c r="AR18" s="233" t="n"/>
      <c r="AS18" s="233" t="n"/>
      <c r="AT18" s="233" t="n"/>
      <c r="AU18" s="233" t="n"/>
      <c r="AV18" s="233" t="n"/>
      <c r="AW18" s="233" t="n"/>
      <c r="AX18" s="233" t="n"/>
      <c r="AY18" s="233" t="n"/>
      <c r="AZ18" s="233" t="n"/>
      <c r="BA18" s="233" t="n"/>
      <c r="BB18" s="233" t="n"/>
      <c r="BC18" s="233" t="n"/>
      <c r="BD18" s="233" t="n"/>
      <c r="BE18" s="233" t="n"/>
      <c r="BF18" s="233" t="n"/>
      <c r="BG18" s="226" t="n"/>
      <c r="BH18" s="40" t="n"/>
      <c r="BI18" s="226" t="n"/>
      <c r="BJ18" s="226" t="n"/>
    </row>
    <row r="19" ht="13.5" customHeight="1" s="349">
      <c r="A19" s="104" t="n"/>
      <c r="B19" s="105" t="inlineStr">
        <is>
          <t>SERVICE REVENUES</t>
        </is>
      </c>
      <c r="C19" s="104" t="n"/>
      <c r="D19" s="104" t="n"/>
      <c r="E19" s="80" t="n"/>
      <c r="F19" s="80" t="n"/>
      <c r="G19" s="80" t="n"/>
      <c r="H19" s="80" t="n"/>
      <c r="I19" s="80" t="n"/>
      <c r="J19" s="80" t="n"/>
      <c r="K19" s="80" t="n"/>
      <c r="L19" s="80" t="n"/>
      <c r="M19" s="80" t="n"/>
      <c r="N19" s="80" t="n"/>
      <c r="O19" s="80" t="n"/>
      <c r="P19" s="80" t="n"/>
      <c r="Q19" s="80" t="n"/>
      <c r="R19" s="80" t="n"/>
      <c r="S19" s="80" t="n"/>
      <c r="T19" s="80" t="n"/>
      <c r="U19" s="80" t="n"/>
      <c r="V19" s="80" t="n"/>
      <c r="W19" s="80" t="n"/>
      <c r="X19" s="80" t="n"/>
      <c r="Y19" s="80" t="n"/>
      <c r="Z19" s="80" t="n"/>
      <c r="AA19" s="80" t="n"/>
      <c r="AB19" s="80" t="n"/>
      <c r="AC19" s="80" t="n"/>
      <c r="AD19" s="80" t="n"/>
      <c r="AE19" s="80" t="n"/>
      <c r="AF19" s="80" t="n"/>
      <c r="AG19" s="80" t="n"/>
      <c r="AH19" s="80" t="n"/>
      <c r="AI19" s="80" t="n"/>
      <c r="AJ19" s="80" t="n"/>
      <c r="AK19" s="80" t="n"/>
      <c r="AL19" s="80" t="n"/>
      <c r="AM19" s="80" t="n"/>
      <c r="AN19" s="80" t="n"/>
      <c r="AO19" s="80" t="n"/>
      <c r="AP19" s="80" t="n"/>
      <c r="AQ19" s="80" t="n"/>
      <c r="AR19" s="80" t="n"/>
      <c r="AS19" s="80" t="n"/>
      <c r="AT19" s="80" t="n"/>
      <c r="AU19" s="80" t="n"/>
      <c r="AV19" s="80" t="n"/>
      <c r="AW19" s="80" t="n"/>
      <c r="AX19" s="80" t="n"/>
      <c r="AY19" s="80" t="n"/>
      <c r="AZ19" s="80" t="n"/>
      <c r="BA19" s="233" t="n"/>
      <c r="BB19" s="85" t="n"/>
      <c r="BC19" s="85" t="n"/>
      <c r="BD19" s="85" t="n"/>
      <c r="BE19" s="85" t="n"/>
      <c r="BF19" s="85" t="n"/>
      <c r="BG19" s="226" t="n"/>
      <c r="BH19" s="40" t="n"/>
      <c r="BI19" s="226" t="n"/>
      <c r="BJ19" s="226" t="n"/>
    </row>
    <row r="20" ht="12.75" customHeight="1" s="349">
      <c r="A20" s="107" t="n"/>
      <c r="B20" s="144" t="inlineStr">
        <is>
          <t>Total Service Revenue</t>
        </is>
      </c>
      <c r="C20" s="105" t="n"/>
      <c r="D20" s="144" t="inlineStr">
        <is>
          <t>€</t>
        </is>
      </c>
      <c r="E20" s="79" t="n"/>
      <c r="F20" s="79" t="n"/>
      <c r="G20" s="79" t="n"/>
      <c r="H20" s="79" t="n"/>
      <c r="I20" s="79" t="n"/>
      <c r="J20" s="79" t="n"/>
      <c r="K20" s="79" t="n"/>
      <c r="L20" s="79" t="n"/>
      <c r="M20" s="79" t="n"/>
      <c r="N20" s="79" t="n"/>
      <c r="O20" s="79" t="n"/>
      <c r="P20" s="79" t="n"/>
      <c r="Q20" s="79">
        <f>'Revenue Forecast'!Q34*SUMPRODUCT(Assumptions!$E$120:$E$121,Assumptions!$G$120:$G$121)+E20</f>
        <v/>
      </c>
      <c r="R20" s="79">
        <f>'Revenue Forecast'!R34*SUMPRODUCT(Assumptions!$E$120:$E$121,Assumptions!$G$120:$G$121)+F20</f>
        <v/>
      </c>
      <c r="S20" s="79">
        <f>'Revenue Forecast'!S34*SUMPRODUCT(Assumptions!$E$120:$E$121,Assumptions!$G$120:$G$121)+G20</f>
        <v/>
      </c>
      <c r="T20" s="79">
        <f>'Revenue Forecast'!T34*SUMPRODUCT(Assumptions!$E$120:$E$121,Assumptions!$G$120:$G$121)+H20</f>
        <v/>
      </c>
      <c r="U20" s="79">
        <f>'Revenue Forecast'!U34*SUMPRODUCT(Assumptions!$E$120:$E$121,Assumptions!$G$120:$G$121)+I20</f>
        <v/>
      </c>
      <c r="V20" s="79">
        <f>'Revenue Forecast'!V34*SUMPRODUCT(Assumptions!$E$120:$E$121,Assumptions!$G$120:$G$121)+J20</f>
        <v/>
      </c>
      <c r="W20" s="79">
        <f>'Revenue Forecast'!W34*SUMPRODUCT(Assumptions!$E$120:$E$121,Assumptions!$G$120:$G$121)+K20</f>
        <v/>
      </c>
      <c r="X20" s="79">
        <f>'Revenue Forecast'!X34*SUMPRODUCT(Assumptions!$E$120:$E$121,Assumptions!$G$120:$G$121)+L20</f>
        <v/>
      </c>
      <c r="Y20" s="79">
        <f>'Revenue Forecast'!Y34*SUMPRODUCT(Assumptions!$E$120:$E$121,Assumptions!$G$120:$G$121)+M20</f>
        <v/>
      </c>
      <c r="Z20" s="79">
        <f>'Revenue Forecast'!Z34*SUMPRODUCT(Assumptions!$E$120:$E$121,Assumptions!$G$120:$G$121)+N20</f>
        <v/>
      </c>
      <c r="AA20" s="79">
        <f>'Revenue Forecast'!AA34*SUMPRODUCT(Assumptions!$E$120:$E$121,Assumptions!$G$120:$G$121)+O20</f>
        <v/>
      </c>
      <c r="AB20" s="79">
        <f>'Revenue Forecast'!AB34*SUMPRODUCT(Assumptions!$E$120:$E$121,Assumptions!$G$120:$G$121)+P20</f>
        <v/>
      </c>
      <c r="AC20" s="79">
        <f>'Revenue Forecast'!AC34*SUMPRODUCT(Assumptions!$E$120:$E$121,Assumptions!$G$120:$G$121)+Q20</f>
        <v/>
      </c>
      <c r="AD20" s="79">
        <f>'Revenue Forecast'!AD34*SUMPRODUCT(Assumptions!$E$120:$E$121,Assumptions!$G$120:$G$121)+R20</f>
        <v/>
      </c>
      <c r="AE20" s="79">
        <f>'Revenue Forecast'!AE34*SUMPRODUCT(Assumptions!$E$120:$E$121,Assumptions!$G$120:$G$121)+S20</f>
        <v/>
      </c>
      <c r="AF20" s="79">
        <f>'Revenue Forecast'!AF34*SUMPRODUCT(Assumptions!$E$120:$E$121,Assumptions!$G$120:$G$121)+T20</f>
        <v/>
      </c>
      <c r="AG20" s="79">
        <f>'Revenue Forecast'!AG34*SUMPRODUCT(Assumptions!$E$120:$E$121,Assumptions!$G$120:$G$121)+U20</f>
        <v/>
      </c>
      <c r="AH20" s="79">
        <f>'Revenue Forecast'!AH34*SUMPRODUCT(Assumptions!$E$120:$E$121,Assumptions!$G$120:$G$121)+V20</f>
        <v/>
      </c>
      <c r="AI20" s="79">
        <f>'Revenue Forecast'!AI34*SUMPRODUCT(Assumptions!$E$120:$E$121,Assumptions!$G$120:$G$121)+W20</f>
        <v/>
      </c>
      <c r="AJ20" s="79">
        <f>'Revenue Forecast'!AJ34*SUMPRODUCT(Assumptions!$E$120:$E$121,Assumptions!$G$120:$G$121)+X20</f>
        <v/>
      </c>
      <c r="AK20" s="79">
        <f>'Revenue Forecast'!AK34*SUMPRODUCT(Assumptions!$E$120:$E$121,Assumptions!$G$120:$G$121)+Y20</f>
        <v/>
      </c>
      <c r="AL20" s="79">
        <f>'Revenue Forecast'!AL34*SUMPRODUCT(Assumptions!$E$120:$E$121,Assumptions!$G$120:$G$121)+Z20</f>
        <v/>
      </c>
      <c r="AM20" s="79">
        <f>'Revenue Forecast'!AM34*SUMPRODUCT(Assumptions!$E$120:$E$121,Assumptions!$G$120:$G$121)+AA20</f>
        <v/>
      </c>
      <c r="AN20" s="79">
        <f>'Revenue Forecast'!AN34*SUMPRODUCT(Assumptions!$E$120:$E$121,Assumptions!$G$120:$G$121)+AB20</f>
        <v/>
      </c>
      <c r="AO20" s="79">
        <f>'Revenue Forecast'!AO34*SUMPRODUCT(Assumptions!$E$120:$E$121,Assumptions!$G$120:$G$121)+AC20</f>
        <v/>
      </c>
      <c r="AP20" s="79">
        <f>'Revenue Forecast'!AP34*SUMPRODUCT(Assumptions!$E$120:$E$121,Assumptions!$G$120:$G$121)+AD20</f>
        <v/>
      </c>
      <c r="AQ20" s="79">
        <f>'Revenue Forecast'!AQ34*SUMPRODUCT(Assumptions!$E$120:$E$121,Assumptions!$G$120:$G$121)+AE20</f>
        <v/>
      </c>
      <c r="AR20" s="79">
        <f>'Revenue Forecast'!AR34*SUMPRODUCT(Assumptions!$E$120:$E$121,Assumptions!$G$120:$G$121)+AF20</f>
        <v/>
      </c>
      <c r="AS20" s="79">
        <f>'Revenue Forecast'!AS34*SUMPRODUCT(Assumptions!$E$120:$E$121,Assumptions!$G$120:$G$121)+AG20</f>
        <v/>
      </c>
      <c r="AT20" s="79">
        <f>'Revenue Forecast'!AT34*SUMPRODUCT(Assumptions!$E$120:$E$121,Assumptions!$G$120:$G$121)+AH20</f>
        <v/>
      </c>
      <c r="AU20" s="79">
        <f>'Revenue Forecast'!AU34*SUMPRODUCT(Assumptions!$E$120:$E$121,Assumptions!$G$120:$G$121)+AI20</f>
        <v/>
      </c>
      <c r="AV20" s="79">
        <f>'Revenue Forecast'!AV34*SUMPRODUCT(Assumptions!$E$120:$E$121,Assumptions!$G$120:$G$121)+AJ20</f>
        <v/>
      </c>
      <c r="AW20" s="79">
        <f>'Revenue Forecast'!AW34*SUMPRODUCT(Assumptions!$E$120:$E$121,Assumptions!$G$120:$G$121)+AK20</f>
        <v/>
      </c>
      <c r="AX20" s="79">
        <f>'Revenue Forecast'!AX34*SUMPRODUCT(Assumptions!$E$120:$E$121,Assumptions!$G$120:$G$121)+AL20</f>
        <v/>
      </c>
      <c r="AY20" s="79">
        <f>'Revenue Forecast'!AY34*SUMPRODUCT(Assumptions!$E$120:$E$121,Assumptions!$G$120:$G$121)+AM20</f>
        <v/>
      </c>
      <c r="AZ20" s="79">
        <f>'Revenue Forecast'!AZ34*SUMPRODUCT(Assumptions!$E$120:$E$121,Assumptions!$G$120:$G$121)+AN20</f>
        <v/>
      </c>
      <c r="BA20" s="156" t="n"/>
      <c r="BB20" s="157">
        <f>SUM(E20:P20)</f>
        <v/>
      </c>
      <c r="BC20" s="157">
        <f>SUM(Q20:AB20)</f>
        <v/>
      </c>
      <c r="BD20" s="157">
        <f>sum(AC20:AN20)</f>
        <v/>
      </c>
      <c r="BE20" s="157">
        <f>sum(AO20:AZ20)+BD20</f>
        <v/>
      </c>
      <c r="BF20" s="157">
        <f>'Revenue Forecast'!BF34*SUMPRODUCT(Assumptions!$E$120:$E$121,Assumptions!$G$120:$G$121)+BE20</f>
        <v/>
      </c>
      <c r="BG20" s="158" t="n"/>
      <c r="BH20" s="40" t="inlineStr">
        <is>
          <t>units x cost per service contract + last year's, stacks like the revenue</t>
        </is>
      </c>
      <c r="BI20" s="158" t="n"/>
      <c r="BJ20" s="158" t="n"/>
    </row>
    <row r="21" ht="15.75" customHeight="1" s="349">
      <c r="A21" s="307" t="n"/>
      <c r="B21" s="307" t="n"/>
      <c r="C21" s="307" t="n"/>
      <c r="D21" s="307" t="n"/>
      <c r="E21" s="307" t="n"/>
      <c r="F21" s="307" t="n"/>
      <c r="G21" s="307" t="n"/>
      <c r="H21" s="307" t="n"/>
      <c r="I21" s="307" t="n"/>
      <c r="J21" s="307" t="n"/>
      <c r="K21" s="307" t="n"/>
      <c r="L21" s="307" t="n"/>
      <c r="M21" s="233" t="n"/>
      <c r="N21" s="233" t="n"/>
      <c r="O21" s="233" t="n"/>
      <c r="P21" s="233" t="n"/>
      <c r="Q21" s="233" t="n"/>
      <c r="R21" s="233" t="n"/>
      <c r="S21" s="233" t="n"/>
      <c r="T21" s="233" t="n"/>
      <c r="U21" s="233" t="n"/>
      <c r="V21" s="233" t="n"/>
      <c r="W21" s="233" t="n"/>
      <c r="X21" s="233" t="n"/>
      <c r="Y21" s="233" t="n"/>
      <c r="Z21" s="233" t="n"/>
      <c r="AA21" s="233" t="n"/>
      <c r="AB21" s="233" t="n"/>
      <c r="AC21" s="233" t="n"/>
      <c r="AD21" s="233" t="n"/>
      <c r="AE21" s="233" t="n"/>
      <c r="AF21" s="233" t="n"/>
      <c r="AG21" s="233" t="n"/>
      <c r="AH21" s="233" t="n"/>
      <c r="AI21" s="233" t="n"/>
      <c r="AJ21" s="233" t="n"/>
      <c r="AK21" s="233" t="n"/>
      <c r="AL21" s="233" t="n"/>
      <c r="AM21" s="233" t="n"/>
      <c r="AN21" s="233" t="n"/>
      <c r="AO21" s="233" t="n"/>
      <c r="AP21" s="233" t="n"/>
      <c r="AQ21" s="233" t="n"/>
      <c r="AR21" s="233" t="n"/>
      <c r="AS21" s="233" t="n"/>
      <c r="AT21" s="233" t="n"/>
      <c r="AU21" s="233" t="n"/>
      <c r="AV21" s="233" t="n"/>
      <c r="AW21" s="233" t="n"/>
      <c r="AX21" s="233" t="n"/>
      <c r="AY21" s="233" t="n"/>
      <c r="AZ21" s="233" t="n"/>
      <c r="BA21" s="233" t="n"/>
      <c r="BB21" s="233" t="n"/>
      <c r="BC21" s="233" t="n"/>
      <c r="BD21" s="233" t="n"/>
      <c r="BE21" s="233" t="n"/>
      <c r="BF21" s="233" t="n"/>
      <c r="BG21" s="226" t="n"/>
      <c r="BH21" s="40" t="n"/>
      <c r="BI21" s="226" t="n"/>
      <c r="BJ21" s="226" t="n"/>
    </row>
    <row r="22" ht="15.75" customHeight="1" s="349">
      <c r="A22" s="214" t="n"/>
      <c r="B22" s="8" t="inlineStr">
        <is>
          <t>TOTAL COGS</t>
        </is>
      </c>
      <c r="C22" s="214" t="n"/>
      <c r="D22" s="214" t="n"/>
      <c r="E22" s="214" t="n"/>
      <c r="F22" s="214" t="n"/>
      <c r="G22" s="214" t="n"/>
      <c r="H22" s="214" t="n"/>
      <c r="I22" s="214" t="n"/>
      <c r="J22" s="214" t="n"/>
      <c r="K22" s="214" t="n"/>
      <c r="L22" s="214" t="n"/>
      <c r="M22" s="126">
        <f>M7</f>
        <v/>
      </c>
      <c r="N22" s="126">
        <f>N9+N17+N20</f>
        <v/>
      </c>
      <c r="O22" s="126">
        <f>O9+O17+O20</f>
        <v/>
      </c>
      <c r="P22" s="126">
        <f>P9+P17+P20</f>
        <v/>
      </c>
      <c r="Q22" s="126">
        <f>Q9+Q14+Q17+Q20</f>
        <v/>
      </c>
      <c r="R22" s="126">
        <f>R9+R14+R17+R20</f>
        <v/>
      </c>
      <c r="S22" s="126">
        <f>S9+S14+S17+S20</f>
        <v/>
      </c>
      <c r="T22" s="126">
        <f>T9+T14+T17+T20</f>
        <v/>
      </c>
      <c r="U22" s="126">
        <f>U9+U14+U17+U20</f>
        <v/>
      </c>
      <c r="V22" s="126">
        <f>V9+V14+V17+V20</f>
        <v/>
      </c>
      <c r="W22" s="126">
        <f>W9+W14+W17+W20</f>
        <v/>
      </c>
      <c r="X22" s="126">
        <f>X9+X14+X17+X20</f>
        <v/>
      </c>
      <c r="Y22" s="126">
        <f>Y9+Y14+Y17+Y20</f>
        <v/>
      </c>
      <c r="Z22" s="126">
        <f>Z9+Z14+Z17+Z20</f>
        <v/>
      </c>
      <c r="AA22" s="126">
        <f>AA9+AA14+AA17+AA20</f>
        <v/>
      </c>
      <c r="AB22" s="126">
        <f>AB9+AB14+AB17+AB20</f>
        <v/>
      </c>
      <c r="AC22" s="126">
        <f>AC9+AC14+AC17+AC20</f>
        <v/>
      </c>
      <c r="AD22" s="126">
        <f>AD9+AD14+AD17+AD20</f>
        <v/>
      </c>
      <c r="AE22" s="126">
        <f>AE9+AE14+AE17+AE20</f>
        <v/>
      </c>
      <c r="AF22" s="126">
        <f>AF9+AF14+AF17+AF20</f>
        <v/>
      </c>
      <c r="AG22" s="126">
        <f>AG9+AG14+AG17+AG20</f>
        <v/>
      </c>
      <c r="AH22" s="126">
        <f>AH9+AH14+AH17+AH20</f>
        <v/>
      </c>
      <c r="AI22" s="126">
        <f>AI9+AI14+AI17+AI20</f>
        <v/>
      </c>
      <c r="AJ22" s="126">
        <f>AJ9+AJ14+AJ17+AJ20</f>
        <v/>
      </c>
      <c r="AK22" s="126">
        <f>AK9+AK14+AK17+AK20</f>
        <v/>
      </c>
      <c r="AL22" s="126">
        <f>AL9+AL14+AL17+AL20</f>
        <v/>
      </c>
      <c r="AM22" s="126">
        <f>AM9+AM14+AM17+AM20</f>
        <v/>
      </c>
      <c r="AN22" s="126">
        <f>AN9+AN14+AN17+AN20</f>
        <v/>
      </c>
      <c r="AO22" s="126">
        <f>AO9+AO14+AO17+AO20</f>
        <v/>
      </c>
      <c r="AP22" s="126">
        <f>AP9+AP14+AP17+AP20</f>
        <v/>
      </c>
      <c r="AQ22" s="126">
        <f>AQ9+AQ14+AQ17+AQ20</f>
        <v/>
      </c>
      <c r="AR22" s="126">
        <f>AR9+AR14+AR17+AR20</f>
        <v/>
      </c>
      <c r="AS22" s="126">
        <f>AS9+AS14+AS17+AS20</f>
        <v/>
      </c>
      <c r="AT22" s="126">
        <f>AT9+AT14+AT17+AT20</f>
        <v/>
      </c>
      <c r="AU22" s="126">
        <f>AU9+AU14+AU17+AU20</f>
        <v/>
      </c>
      <c r="AV22" s="126">
        <f>AV9+AV14+AV17+AV20</f>
        <v/>
      </c>
      <c r="AW22" s="126">
        <f>AW9+AW14+AW17+AW20</f>
        <v/>
      </c>
      <c r="AX22" s="126">
        <f>AX9+AX14+AX17+AX20</f>
        <v/>
      </c>
      <c r="AY22" s="126">
        <f>AY9+AY14+AY17+AY20</f>
        <v/>
      </c>
      <c r="AZ22" s="126">
        <f>AZ9+AZ14+AZ17+AZ20</f>
        <v/>
      </c>
      <c r="BA22" s="156" t="n"/>
      <c r="BB22" s="126">
        <f>BB9+BB14+BB17+BB20</f>
        <v/>
      </c>
      <c r="BC22" s="257">
        <f>BC9+BC14+BC17+BC20</f>
        <v/>
      </c>
      <c r="BD22" s="257">
        <f>BD9+BD14+BD17+BD20</f>
        <v/>
      </c>
      <c r="BE22" s="257">
        <f>BE9+BE14+BE17+BE20</f>
        <v/>
      </c>
      <c r="BF22" s="257">
        <f>BF9+BF14+BF17+BF20</f>
        <v/>
      </c>
      <c r="BG22" s="137" t="n"/>
      <c r="BH22" s="40" t="inlineStr">
        <is>
          <t>TTK + Combi+ + installation + service costs</t>
        </is>
      </c>
      <c r="BI22" s="137" t="n"/>
      <c r="BJ22" s="137" t="n"/>
    </row>
    <row r="23" ht="15.75" customHeight="1" s="349">
      <c r="A23" s="307" t="n"/>
      <c r="B23" s="307" t="n"/>
      <c r="C23" s="307" t="n"/>
      <c r="D23" s="307" t="n"/>
      <c r="E23" s="307" t="n"/>
      <c r="F23" s="307" t="n"/>
      <c r="G23" s="307" t="n"/>
      <c r="H23" s="307" t="n"/>
      <c r="I23" s="307" t="n"/>
      <c r="J23" s="307" t="n"/>
      <c r="K23" s="307" t="n"/>
      <c r="L23" s="307" t="n"/>
      <c r="M23" s="233" t="n"/>
      <c r="N23" s="233" t="n"/>
      <c r="O23" s="233" t="n"/>
      <c r="P23" s="233" t="n"/>
      <c r="Q23" s="233" t="n"/>
      <c r="R23" s="233" t="n"/>
      <c r="S23" s="233" t="n"/>
      <c r="T23" s="233" t="n"/>
      <c r="U23" s="233" t="n"/>
      <c r="V23" s="233" t="n"/>
      <c r="W23" s="233" t="n"/>
      <c r="X23" s="233" t="n"/>
      <c r="Y23" s="233" t="n"/>
      <c r="Z23" s="233" t="n"/>
      <c r="AA23" s="233" t="n"/>
      <c r="AB23" s="233" t="n"/>
      <c r="AC23" s="233" t="n"/>
      <c r="AD23" s="233" t="n"/>
      <c r="AE23" s="233" t="n"/>
      <c r="AF23" s="233" t="n"/>
      <c r="AG23" s="233" t="n"/>
      <c r="AH23" s="233" t="n"/>
      <c r="AI23" s="233" t="n"/>
      <c r="AJ23" s="233" t="n"/>
      <c r="AK23" s="233" t="n"/>
      <c r="AL23" s="233" t="n"/>
      <c r="AM23" s="233" t="n"/>
      <c r="AN23" s="233" t="n"/>
      <c r="AO23" s="233" t="n"/>
      <c r="AP23" s="233" t="n"/>
      <c r="AQ23" s="233" t="n"/>
      <c r="AR23" s="233" t="n"/>
      <c r="AS23" s="233" t="n"/>
      <c r="AT23" s="233" t="n"/>
      <c r="AU23" s="233" t="n"/>
      <c r="AV23" s="233" t="n"/>
      <c r="AW23" s="233" t="n"/>
      <c r="AX23" s="233" t="n"/>
      <c r="AY23" s="233" t="n"/>
      <c r="AZ23" s="233" t="n"/>
      <c r="BA23" s="233" t="n"/>
      <c r="BB23" s="233" t="n"/>
      <c r="BC23" s="233" t="n"/>
      <c r="BD23" s="233" t="n"/>
      <c r="BE23" s="240" t="n"/>
      <c r="BF23" s="240" t="n"/>
      <c r="BG23" s="226" t="n"/>
      <c r="BH23" s="226" t="n"/>
      <c r="BI23" s="226" t="n"/>
      <c r="BJ23" s="226" t="n"/>
    </row>
    <row r="24" ht="15.75" customHeight="1" s="349">
      <c r="A24" s="307" t="n"/>
      <c r="B24" s="307" t="n"/>
      <c r="C24" s="307" t="n"/>
      <c r="D24" s="307" t="n"/>
      <c r="E24" s="307" t="n"/>
      <c r="F24" s="307" t="n"/>
      <c r="G24" s="307" t="n"/>
      <c r="H24" s="307" t="n"/>
      <c r="I24" s="307" t="n"/>
      <c r="J24" s="307" t="n"/>
      <c r="K24" s="307" t="n"/>
      <c r="L24" s="307" t="n"/>
      <c r="M24" s="233" t="n"/>
      <c r="N24" s="233" t="n"/>
      <c r="O24" s="233" t="n"/>
      <c r="P24" s="233" t="n"/>
      <c r="Q24" s="233" t="n"/>
      <c r="R24" s="233" t="n"/>
      <c r="S24" s="233" t="n"/>
      <c r="T24" s="233" t="n"/>
      <c r="U24" s="233" t="n"/>
      <c r="V24" s="233" t="n"/>
      <c r="W24" s="233" t="n"/>
      <c r="X24" s="233" t="n"/>
      <c r="Y24" s="233" t="n"/>
      <c r="Z24" s="233" t="n"/>
      <c r="AA24" s="233" t="n"/>
      <c r="AB24" s="233" t="n"/>
      <c r="AC24" s="233" t="n"/>
      <c r="AD24" s="233" t="n"/>
      <c r="AE24" s="233" t="n"/>
      <c r="AF24" s="233" t="n"/>
      <c r="AG24" s="233" t="n"/>
      <c r="AH24" s="233" t="n"/>
      <c r="AI24" s="233" t="n"/>
      <c r="AJ24" s="233" t="n"/>
      <c r="AK24" s="233" t="n"/>
      <c r="AL24" s="233" t="n"/>
      <c r="AM24" s="233" t="n"/>
      <c r="AN24" s="233" t="n"/>
      <c r="AO24" s="233" t="n"/>
      <c r="AP24" s="233" t="n"/>
      <c r="AQ24" s="233" t="n"/>
      <c r="AR24" s="233" t="n"/>
      <c r="AS24" s="233" t="n"/>
      <c r="AT24" s="233" t="n"/>
      <c r="AU24" s="233" t="n"/>
      <c r="AV24" s="233" t="n"/>
      <c r="AW24" s="233" t="n"/>
      <c r="AX24" s="233" t="n"/>
      <c r="AY24" s="233" t="n"/>
      <c r="AZ24" s="233" t="n"/>
      <c r="BA24" s="233" t="n"/>
      <c r="BB24" s="233" t="n"/>
      <c r="BC24" s="233" t="n"/>
      <c r="BD24" s="233" t="n"/>
      <c r="BE24" s="233" t="n"/>
      <c r="BF24" s="233" t="n"/>
      <c r="BG24" s="226" t="n"/>
      <c r="BH24" s="226" t="n"/>
      <c r="BI24" s="226" t="n"/>
      <c r="BJ24" s="226" t="n"/>
    </row>
    <row r="25" ht="15.75" customHeight="1" s="349">
      <c r="A25" s="307" t="n"/>
      <c r="B25" s="307" t="n"/>
      <c r="C25" s="307" t="n"/>
      <c r="D25" s="307" t="n"/>
      <c r="E25" s="307" t="n"/>
      <c r="F25" s="307" t="n"/>
      <c r="G25" s="307" t="n"/>
      <c r="H25" s="307" t="n"/>
      <c r="I25" s="307" t="n"/>
      <c r="J25" s="307" t="n"/>
      <c r="K25" s="307" t="n"/>
      <c r="L25" s="307" t="n"/>
      <c r="M25" s="233" t="n"/>
      <c r="N25" s="233" t="n"/>
      <c r="O25" s="233" t="n"/>
      <c r="P25" s="233" t="n"/>
      <c r="Q25" s="233" t="n"/>
      <c r="R25" s="233" t="n"/>
      <c r="S25" s="233" t="n"/>
      <c r="T25" s="233" t="n"/>
      <c r="U25" s="233" t="n"/>
      <c r="V25" s="233" t="n"/>
      <c r="W25" s="233" t="n"/>
      <c r="X25" s="233" t="n"/>
      <c r="Y25" s="233" t="n"/>
      <c r="Z25" s="233" t="n"/>
      <c r="AA25" s="233" t="n"/>
      <c r="AB25" s="233" t="n"/>
      <c r="AC25" s="233" t="n"/>
      <c r="AD25" s="233" t="n"/>
      <c r="AE25" s="233" t="n"/>
      <c r="AF25" s="233" t="n"/>
      <c r="AG25" s="233" t="n"/>
      <c r="AH25" s="233" t="n"/>
      <c r="AI25" s="233" t="n"/>
      <c r="AJ25" s="233" t="n"/>
      <c r="AK25" s="233" t="n"/>
      <c r="AL25" s="233" t="n"/>
      <c r="AM25" s="233" t="n"/>
      <c r="AN25" s="233" t="n"/>
      <c r="AO25" s="233" t="n"/>
      <c r="AP25" s="233" t="n"/>
      <c r="AQ25" s="233" t="n"/>
      <c r="AR25" s="233" t="n"/>
      <c r="AS25" s="233" t="n"/>
      <c r="AT25" s="233" t="n"/>
      <c r="AU25" s="260" t="n"/>
      <c r="AV25" s="233" t="n"/>
      <c r="AW25" s="233" t="n"/>
      <c r="AX25" s="233" t="n"/>
      <c r="AY25" s="233" t="n"/>
      <c r="AZ25" s="233" t="n"/>
      <c r="BA25" s="233" t="n"/>
      <c r="BB25" s="233" t="n"/>
      <c r="BC25" s="233" t="n"/>
      <c r="BD25" s="233" t="n"/>
      <c r="BE25" s="233" t="n"/>
      <c r="BF25" s="233" t="n"/>
      <c r="BG25" s="226" t="n"/>
      <c r="BH25" s="226" t="n"/>
      <c r="BI25" s="226" t="n"/>
      <c r="BJ25" s="226" t="n"/>
    </row>
    <row r="26" ht="15.75" customHeight="1" s="349">
      <c r="A26" s="307" t="n"/>
      <c r="B26" s="307" t="n"/>
      <c r="C26" s="307" t="n"/>
      <c r="D26" s="307" t="n"/>
      <c r="E26" s="307" t="n"/>
      <c r="F26" s="307" t="n"/>
      <c r="G26" s="307" t="n"/>
      <c r="H26" s="307" t="n"/>
      <c r="I26" s="307" t="n"/>
      <c r="J26" s="307" t="n"/>
      <c r="K26" s="307" t="n"/>
      <c r="L26" s="307" t="n"/>
      <c r="M26" s="233" t="n"/>
      <c r="N26" s="233" t="n"/>
      <c r="O26" s="233" t="n"/>
      <c r="P26" s="233" t="n"/>
      <c r="Q26" s="233" t="n"/>
      <c r="R26" s="233" t="n"/>
      <c r="S26" s="233" t="n"/>
      <c r="T26" s="233" t="n"/>
      <c r="U26" s="233" t="n"/>
      <c r="V26" s="233" t="n"/>
      <c r="W26" s="233" t="n"/>
      <c r="X26" s="233" t="n"/>
      <c r="Y26" s="233" t="n"/>
      <c r="Z26" s="233" t="n"/>
      <c r="AA26" s="233" t="n"/>
      <c r="AB26" s="233" t="n"/>
      <c r="AC26" s="233" t="n"/>
      <c r="AD26" s="233" t="n"/>
      <c r="AE26" s="233" t="n"/>
      <c r="AF26" s="233" t="n"/>
      <c r="AG26" s="233" t="n"/>
      <c r="AH26" s="233" t="n"/>
      <c r="AI26" s="233" t="n"/>
      <c r="AJ26" s="233" t="n"/>
      <c r="AK26" s="233" t="n"/>
      <c r="AL26" s="233" t="n"/>
      <c r="AM26" s="233" t="n"/>
      <c r="AN26" s="233" t="n"/>
      <c r="AO26" s="233" t="n"/>
      <c r="AP26" s="233" t="n"/>
      <c r="AQ26" s="233" t="n"/>
      <c r="AR26" s="233" t="n"/>
      <c r="AS26" s="233" t="n"/>
      <c r="AT26" s="233" t="n"/>
      <c r="AU26" s="233" t="n"/>
      <c r="AV26" s="233" t="n"/>
      <c r="AW26" s="233" t="n"/>
      <c r="AX26" s="233" t="n"/>
      <c r="AY26" s="233" t="n"/>
      <c r="AZ26" s="233" t="n"/>
      <c r="BA26" s="233" t="n"/>
      <c r="BB26" s="233" t="n"/>
      <c r="BC26" s="233" t="n"/>
      <c r="BD26" s="233" t="n"/>
      <c r="BE26" s="233" t="n"/>
      <c r="BF26" s="233" t="n"/>
      <c r="BG26" s="226" t="n"/>
      <c r="BH26" s="226" t="n"/>
      <c r="BI26" s="226" t="n"/>
      <c r="BJ26" s="226" t="n"/>
    </row>
    <row r="27" ht="15.75" customHeight="1" s="349">
      <c r="A27" s="307" t="n"/>
      <c r="B27" s="307" t="n"/>
      <c r="C27" s="307" t="n"/>
      <c r="D27" s="307" t="n"/>
      <c r="E27" s="307" t="n"/>
      <c r="F27" s="307" t="n"/>
      <c r="G27" s="307" t="n"/>
      <c r="H27" s="307" t="n"/>
      <c r="I27" s="307" t="n"/>
      <c r="J27" s="307" t="n"/>
      <c r="K27" s="307" t="n"/>
      <c r="L27" s="307" t="n"/>
      <c r="M27" s="233" t="n"/>
      <c r="N27" s="233" t="n"/>
      <c r="O27" s="233" t="n"/>
      <c r="P27" s="233" t="n"/>
      <c r="Q27" s="233" t="n"/>
      <c r="R27" s="233" t="n"/>
      <c r="S27" s="233" t="n"/>
      <c r="T27" s="233" t="n"/>
      <c r="U27" s="233" t="n"/>
      <c r="V27" s="233" t="n"/>
      <c r="W27" s="233" t="n"/>
      <c r="X27" s="233" t="n"/>
      <c r="Y27" s="233" t="n"/>
      <c r="Z27" s="233" t="n"/>
      <c r="AA27" s="233" t="n"/>
      <c r="AB27" s="233" t="n"/>
      <c r="AC27" s="233" t="n"/>
      <c r="AD27" s="233" t="n"/>
      <c r="AE27" s="233" t="n"/>
      <c r="AF27" s="233" t="n"/>
      <c r="AG27" s="233" t="n"/>
      <c r="AH27" s="233" t="n"/>
      <c r="AI27" s="233" t="n"/>
      <c r="AJ27" s="233" t="n"/>
      <c r="AK27" s="233" t="n"/>
      <c r="AL27" s="233" t="n"/>
      <c r="AM27" s="233" t="n"/>
      <c r="AN27" s="233" t="n"/>
      <c r="AO27" s="233" t="n"/>
      <c r="AP27" s="233" t="n"/>
      <c r="AQ27" s="233" t="n"/>
      <c r="AR27" s="233" t="n"/>
      <c r="AS27" s="233" t="n"/>
      <c r="AT27" s="233" t="n"/>
      <c r="AU27" s="233" t="n"/>
      <c r="AV27" s="233" t="n"/>
      <c r="AW27" s="233" t="n"/>
      <c r="AX27" s="233" t="n"/>
      <c r="AY27" s="233" t="n"/>
      <c r="AZ27" s="233" t="n"/>
      <c r="BA27" s="233" t="n"/>
      <c r="BB27" s="233" t="n"/>
      <c r="BC27" s="233" t="n"/>
      <c r="BD27" s="233" t="n"/>
      <c r="BE27" s="233" t="n"/>
      <c r="BF27" s="233" t="n"/>
      <c r="BG27" s="226" t="n"/>
      <c r="BH27" s="226" t="n"/>
      <c r="BI27" s="226" t="n"/>
      <c r="BJ27" s="226" t="n"/>
    </row>
    <row r="28" ht="15.75" customHeight="1" s="349">
      <c r="A28" s="307" t="n"/>
      <c r="B28" s="307" t="n"/>
      <c r="C28" s="307" t="n"/>
      <c r="D28" s="307" t="n"/>
      <c r="E28" s="307" t="n"/>
      <c r="F28" s="307" t="n"/>
      <c r="G28" s="307" t="n"/>
      <c r="H28" s="307" t="n"/>
      <c r="I28" s="307" t="n"/>
      <c r="J28" s="307" t="n"/>
      <c r="K28" s="307" t="n"/>
      <c r="L28" s="307" t="n"/>
      <c r="M28" s="233" t="n"/>
      <c r="N28" s="233" t="n"/>
      <c r="O28" s="233" t="n"/>
      <c r="P28" s="233" t="n"/>
      <c r="Q28" s="233" t="n"/>
      <c r="R28" s="233" t="n"/>
      <c r="S28" s="233" t="n"/>
      <c r="T28" s="233" t="n"/>
      <c r="U28" s="233" t="n"/>
      <c r="V28" s="233" t="n"/>
      <c r="W28" s="233" t="n"/>
      <c r="X28" s="233" t="n"/>
      <c r="Y28" s="233" t="n"/>
      <c r="Z28" s="233" t="n"/>
      <c r="AA28" s="233" t="n"/>
      <c r="AB28" s="233" t="n"/>
      <c r="AC28" s="233" t="n"/>
      <c r="AD28" s="233" t="n"/>
      <c r="AE28" s="233" t="n"/>
      <c r="AF28" s="233" t="n"/>
      <c r="AG28" s="233" t="n"/>
      <c r="AH28" s="233" t="n"/>
      <c r="AI28" s="233" t="n"/>
      <c r="AJ28" s="233" t="n"/>
      <c r="AK28" s="233" t="n"/>
      <c r="AL28" s="233" t="n"/>
      <c r="AM28" s="233" t="n"/>
      <c r="AN28" s="233" t="n"/>
      <c r="AO28" s="233" t="n"/>
      <c r="AP28" s="233" t="n"/>
      <c r="AQ28" s="233" t="n"/>
      <c r="AR28" s="233" t="n"/>
      <c r="AS28" s="233" t="n"/>
      <c r="AT28" s="233" t="n"/>
      <c r="AU28" s="233" t="n"/>
      <c r="AV28" s="233" t="n"/>
      <c r="AW28" s="233" t="n"/>
      <c r="AX28" s="233" t="n"/>
      <c r="AY28" s="233" t="n"/>
      <c r="AZ28" s="233" t="n"/>
      <c r="BA28" s="233" t="n"/>
      <c r="BB28" s="233" t="n"/>
      <c r="BC28" s="233" t="n"/>
      <c r="BD28" s="233" t="n"/>
      <c r="BE28" s="233" t="n"/>
      <c r="BF28" s="233" t="n"/>
      <c r="BG28" s="226" t="n"/>
      <c r="BH28" s="226" t="n"/>
      <c r="BI28" s="226" t="n"/>
      <c r="BJ28" s="226" t="n"/>
    </row>
    <row r="29" ht="15.75" customHeight="1" s="349">
      <c r="A29" s="307" t="n"/>
      <c r="B29" s="307" t="n"/>
      <c r="C29" s="307" t="n"/>
      <c r="D29" s="307" t="n"/>
      <c r="E29" s="307" t="n"/>
      <c r="F29" s="307" t="n"/>
      <c r="G29" s="307" t="n"/>
      <c r="H29" s="307" t="n"/>
      <c r="I29" s="307" t="n"/>
      <c r="J29" s="307" t="n"/>
      <c r="K29" s="307" t="n"/>
      <c r="L29" s="307" t="n"/>
      <c r="M29" s="233" t="n"/>
      <c r="N29" s="233" t="n"/>
      <c r="O29" s="233" t="n"/>
      <c r="P29" s="233" t="n"/>
      <c r="Q29" s="233" t="n"/>
      <c r="R29" s="233" t="n"/>
      <c r="S29" s="233" t="n"/>
      <c r="T29" s="233" t="n"/>
      <c r="U29" s="233" t="n"/>
      <c r="V29" s="233" t="n"/>
      <c r="W29" s="233" t="n"/>
      <c r="X29" s="233" t="n"/>
      <c r="Y29" s="233" t="n"/>
      <c r="Z29" s="233" t="n"/>
      <c r="AA29" s="233" t="n"/>
      <c r="AB29" s="233" t="n"/>
      <c r="AC29" s="233" t="n"/>
      <c r="AD29" s="233" t="n"/>
      <c r="AE29" s="233" t="n"/>
      <c r="AF29" s="233" t="n"/>
      <c r="AG29" s="233" t="n"/>
      <c r="AH29" s="233" t="n"/>
      <c r="AI29" s="233" t="n"/>
      <c r="AJ29" s="233" t="n"/>
      <c r="AK29" s="233" t="n"/>
      <c r="AL29" s="233" t="n"/>
      <c r="AM29" s="233" t="n"/>
      <c r="AN29" s="233" t="n"/>
      <c r="AO29" s="233" t="n"/>
      <c r="AP29" s="233" t="n"/>
      <c r="AQ29" s="233" t="n"/>
      <c r="AR29" s="233" t="n"/>
      <c r="AS29" s="233" t="n"/>
      <c r="AT29" s="233" t="n"/>
      <c r="AU29" s="260" t="n"/>
      <c r="AV29" s="233" t="n"/>
      <c r="AW29" s="233" t="n"/>
      <c r="AX29" s="233" t="n"/>
      <c r="AY29" s="233" t="n"/>
      <c r="AZ29" s="233" t="n"/>
      <c r="BA29" s="233" t="n"/>
      <c r="BB29" s="233" t="n"/>
      <c r="BC29" s="233" t="n"/>
      <c r="BD29" s="233" t="n"/>
      <c r="BE29" s="233" t="n"/>
      <c r="BF29" s="233" t="n"/>
      <c r="BG29" s="226" t="n"/>
      <c r="BH29" s="226" t="n"/>
      <c r="BI29" s="226" t="n"/>
      <c r="BJ29" s="226" t="n"/>
    </row>
    <row r="30" ht="15.75" customHeight="1" s="349">
      <c r="A30" s="307" t="n"/>
      <c r="B30" s="307" t="n"/>
      <c r="C30" s="307" t="n"/>
      <c r="D30" s="307" t="n"/>
      <c r="E30" s="307" t="n"/>
      <c r="F30" s="307" t="n"/>
      <c r="G30" s="307" t="n"/>
      <c r="H30" s="307" t="n"/>
      <c r="I30" s="307" t="n"/>
      <c r="J30" s="307" t="n"/>
      <c r="K30" s="307" t="n"/>
      <c r="L30" s="307" t="n"/>
      <c r="M30" s="307" t="n"/>
      <c r="N30" s="307" t="n"/>
      <c r="O30" s="307" t="n"/>
      <c r="P30" s="307" t="n"/>
      <c r="Q30" s="307" t="n"/>
      <c r="R30" s="307" t="n"/>
      <c r="S30" s="307" t="n"/>
      <c r="T30" s="307" t="n"/>
      <c r="U30" s="307" t="n"/>
      <c r="V30" s="307" t="n"/>
      <c r="W30" s="307" t="n"/>
      <c r="X30" s="307" t="n"/>
      <c r="Y30" s="307" t="n"/>
      <c r="Z30" s="307" t="n"/>
      <c r="AA30" s="307" t="n"/>
      <c r="AB30" s="307" t="n"/>
      <c r="AC30" s="307" t="n"/>
      <c r="AD30" s="307" t="n"/>
      <c r="AE30" s="307" t="n"/>
      <c r="AF30" s="307" t="n"/>
      <c r="AG30" s="307" t="n"/>
      <c r="AH30" s="307" t="n"/>
      <c r="AI30" s="307" t="n"/>
      <c r="AJ30" s="307" t="n"/>
      <c r="AK30" s="307" t="n"/>
      <c r="AL30" s="307" t="n"/>
      <c r="AM30" s="307" t="n"/>
      <c r="AN30" s="307" t="n"/>
      <c r="AO30" s="307" t="n"/>
      <c r="AP30" s="307" t="n"/>
      <c r="AQ30" s="307" t="n"/>
      <c r="AR30" s="307" t="n"/>
      <c r="AS30" s="307" t="n"/>
      <c r="AT30" s="307" t="n"/>
      <c r="AU30" s="307" t="n"/>
      <c r="AV30" s="307" t="n"/>
      <c r="AW30" s="307" t="n"/>
      <c r="AX30" s="307" t="n"/>
      <c r="AY30" s="307" t="n"/>
      <c r="AZ30" s="307" t="n"/>
      <c r="BA30" s="233" t="n"/>
      <c r="BB30" s="307" t="n"/>
      <c r="BC30" s="307" t="n"/>
      <c r="BD30" s="307" t="n"/>
      <c r="BE30" s="307" t="n"/>
      <c r="BF30" s="307" t="n"/>
      <c r="BG30" s="31" t="n"/>
      <c r="BH30" s="31" t="n"/>
      <c r="BI30" s="31" t="n"/>
      <c r="BJ30" s="31" t="n"/>
    </row>
    <row r="31" ht="15.75" customHeight="1" s="349">
      <c r="A31" s="307" t="n"/>
      <c r="B31" s="307" t="n"/>
      <c r="C31" s="307" t="n"/>
      <c r="D31" s="307" t="n"/>
      <c r="E31" s="307" t="n"/>
      <c r="F31" s="307" t="n"/>
      <c r="G31" s="307" t="n"/>
      <c r="H31" s="307" t="n"/>
      <c r="I31" s="307" t="n"/>
      <c r="J31" s="307" t="n"/>
      <c r="K31" s="307" t="n"/>
      <c r="L31" s="307" t="n"/>
      <c r="M31" s="307" t="n"/>
      <c r="N31" s="307" t="n"/>
      <c r="O31" s="307" t="n"/>
      <c r="P31" s="307" t="n"/>
      <c r="Q31" s="307" t="n"/>
      <c r="R31" s="307" t="n"/>
      <c r="S31" s="307" t="n"/>
      <c r="T31" s="307" t="n"/>
      <c r="U31" s="307" t="n"/>
      <c r="V31" s="307" t="n"/>
      <c r="W31" s="307" t="n"/>
      <c r="X31" s="307" t="n"/>
      <c r="Y31" s="307" t="n"/>
      <c r="Z31" s="307" t="n"/>
      <c r="AA31" s="307" t="n"/>
      <c r="AB31" s="307" t="n"/>
      <c r="AC31" s="307" t="n"/>
      <c r="AD31" s="307" t="n"/>
      <c r="AE31" s="307" t="n"/>
      <c r="AF31" s="307" t="n"/>
      <c r="AG31" s="307" t="n"/>
      <c r="AH31" s="307" t="n"/>
      <c r="AI31" s="307" t="n"/>
      <c r="AJ31" s="307" t="n"/>
      <c r="AK31" s="307" t="n"/>
      <c r="AL31" s="307" t="n"/>
      <c r="AM31" s="307" t="n"/>
      <c r="AN31" s="307" t="n"/>
      <c r="AO31" s="307" t="n"/>
      <c r="AP31" s="307" t="n"/>
      <c r="AQ31" s="307" t="n"/>
      <c r="AR31" s="307" t="n"/>
      <c r="AS31" s="307" t="n"/>
      <c r="AT31" s="307" t="n"/>
      <c r="AU31" s="307" t="n"/>
      <c r="AV31" s="307" t="n"/>
      <c r="AW31" s="307" t="n"/>
      <c r="AX31" s="307" t="n"/>
      <c r="AY31" s="307" t="n"/>
      <c r="AZ31" s="307" t="n"/>
      <c r="BA31" s="233" t="n"/>
      <c r="BB31" s="307" t="n"/>
      <c r="BC31" s="307" t="n"/>
      <c r="BD31" s="307" t="n"/>
      <c r="BE31" s="307" t="n"/>
      <c r="BF31" s="307" t="n"/>
      <c r="BG31" s="31" t="n"/>
      <c r="BH31" s="31" t="n"/>
      <c r="BI31" s="31" t="n"/>
      <c r="BJ31" s="31" t="n"/>
    </row>
    <row r="32" ht="15.75" customHeight="1" s="349">
      <c r="A32" s="307" t="n"/>
      <c r="B32" s="307" t="n"/>
      <c r="C32" s="307" t="n"/>
      <c r="D32" s="307" t="n"/>
      <c r="E32" s="307" t="n"/>
      <c r="F32" s="307" t="n"/>
      <c r="G32" s="307" t="n"/>
      <c r="H32" s="307" t="n"/>
      <c r="I32" s="307" t="n"/>
      <c r="J32" s="307" t="n"/>
      <c r="K32" s="307" t="n"/>
      <c r="L32" s="307" t="n"/>
      <c r="M32" s="307" t="n"/>
      <c r="N32" s="307" t="n"/>
      <c r="O32" s="307" t="n"/>
      <c r="P32" s="307" t="n"/>
      <c r="Q32" s="307" t="n"/>
      <c r="R32" s="307" t="n"/>
      <c r="S32" s="307" t="n"/>
      <c r="T32" s="307" t="n"/>
      <c r="U32" s="307" t="n"/>
      <c r="V32" s="307" t="n"/>
      <c r="W32" s="307" t="n"/>
      <c r="X32" s="307" t="n"/>
      <c r="Y32" s="307" t="n"/>
      <c r="Z32" s="307" t="n"/>
      <c r="AA32" s="307" t="n"/>
      <c r="AB32" s="307" t="n"/>
      <c r="AC32" s="307" t="n"/>
      <c r="AD32" s="307" t="n"/>
      <c r="AE32" s="307" t="n"/>
      <c r="AF32" s="307" t="n"/>
      <c r="AG32" s="307" t="n"/>
      <c r="AH32" s="307" t="n"/>
      <c r="AI32" s="307" t="n"/>
      <c r="AJ32" s="307" t="n"/>
      <c r="AK32" s="307" t="n"/>
      <c r="AL32" s="307" t="n"/>
      <c r="AM32" s="307" t="n"/>
      <c r="AN32" s="307" t="n"/>
      <c r="AO32" s="307" t="n"/>
      <c r="AP32" s="307" t="n"/>
      <c r="AQ32" s="307" t="n"/>
      <c r="AR32" s="307" t="n"/>
      <c r="AS32" s="307" t="n"/>
      <c r="AT32" s="307" t="n"/>
      <c r="AU32" s="307" t="n"/>
      <c r="AV32" s="307" t="n"/>
      <c r="AW32" s="307" t="n"/>
      <c r="AX32" s="307" t="n"/>
      <c r="AY32" s="307" t="n"/>
      <c r="AZ32" s="307" t="n"/>
      <c r="BA32" s="233" t="n"/>
      <c r="BB32" s="307" t="n"/>
      <c r="BC32" s="307" t="n"/>
      <c r="BD32" s="307" t="n"/>
      <c r="BE32" s="307" t="n"/>
      <c r="BF32" s="307" t="n"/>
      <c r="BG32" s="31" t="n"/>
      <c r="BH32" s="31" t="n"/>
      <c r="BI32" s="31" t="n"/>
      <c r="BJ32" s="31" t="n"/>
    </row>
    <row r="33" ht="15.75" customHeight="1" s="349">
      <c r="A33" s="307" t="n"/>
      <c r="B33" s="307" t="n"/>
      <c r="C33" s="307" t="n"/>
      <c r="D33" s="307" t="n"/>
      <c r="E33" s="307" t="n"/>
      <c r="F33" s="307" t="n"/>
      <c r="G33" s="307" t="n"/>
      <c r="H33" s="307" t="n"/>
      <c r="I33" s="307" t="n"/>
      <c r="J33" s="307" t="n"/>
      <c r="K33" s="307" t="n"/>
      <c r="L33" s="307" t="n"/>
      <c r="M33" s="307" t="n"/>
      <c r="N33" s="307" t="n"/>
      <c r="O33" s="307" t="n"/>
      <c r="P33" s="307" t="n"/>
      <c r="Q33" s="307" t="n"/>
      <c r="R33" s="307" t="n"/>
      <c r="S33" s="307" t="n"/>
      <c r="T33" s="307" t="n"/>
      <c r="U33" s="307" t="n"/>
      <c r="V33" s="307" t="n"/>
      <c r="W33" s="307" t="n"/>
      <c r="X33" s="307" t="n"/>
      <c r="Y33" s="307" t="n"/>
      <c r="Z33" s="307" t="n"/>
      <c r="AA33" s="307" t="n"/>
      <c r="AB33" s="307" t="n"/>
      <c r="AC33" s="307" t="n"/>
      <c r="AD33" s="307" t="n"/>
      <c r="AE33" s="307" t="n"/>
      <c r="AF33" s="307" t="n"/>
      <c r="AG33" s="307" t="n"/>
      <c r="AH33" s="307" t="n"/>
      <c r="AI33" s="307" t="n"/>
      <c r="AJ33" s="307" t="n"/>
      <c r="AK33" s="307" t="n"/>
      <c r="AL33" s="307" t="n"/>
      <c r="AM33" s="307" t="n"/>
      <c r="AN33" s="307" t="n"/>
      <c r="AO33" s="307" t="n"/>
      <c r="AP33" s="307" t="n"/>
      <c r="AQ33" s="307" t="n"/>
      <c r="AR33" s="307" t="n"/>
      <c r="AS33" s="307" t="n"/>
      <c r="AT33" s="307" t="n"/>
      <c r="AU33" s="307" t="n"/>
      <c r="AV33" s="307" t="n"/>
      <c r="AW33" s="307" t="n"/>
      <c r="AX33" s="307" t="n"/>
      <c r="AY33" s="307" t="n"/>
      <c r="AZ33" s="307" t="n"/>
      <c r="BA33" s="233" t="n"/>
      <c r="BB33" s="307" t="n"/>
      <c r="BC33" s="307" t="n"/>
      <c r="BD33" s="307" t="n"/>
      <c r="BE33" s="307" t="n"/>
      <c r="BF33" s="307" t="n"/>
      <c r="BG33" s="31" t="n"/>
      <c r="BH33" s="31" t="n"/>
      <c r="BI33" s="31" t="n"/>
      <c r="BJ33" s="31" t="n"/>
    </row>
    <row r="34" ht="15.75" customHeight="1" s="349">
      <c r="A34" s="307" t="n"/>
      <c r="B34" s="307" t="n"/>
      <c r="C34" s="307" t="n"/>
      <c r="D34" s="307" t="n"/>
      <c r="E34" s="307" t="n"/>
      <c r="F34" s="307" t="n"/>
      <c r="G34" s="307" t="n"/>
      <c r="H34" s="307" t="n"/>
      <c r="I34" s="307" t="n"/>
      <c r="J34" s="307" t="n"/>
      <c r="K34" s="307" t="n"/>
      <c r="L34" s="307" t="n"/>
      <c r="M34" s="307" t="n"/>
      <c r="N34" s="307" t="n"/>
      <c r="O34" s="307" t="n"/>
      <c r="P34" s="307" t="n"/>
      <c r="Q34" s="307" t="n"/>
      <c r="R34" s="307" t="n"/>
      <c r="S34" s="307" t="n"/>
      <c r="T34" s="307" t="n"/>
      <c r="U34" s="307" t="n"/>
      <c r="V34" s="307" t="n"/>
      <c r="W34" s="307" t="n"/>
      <c r="X34" s="307" t="n"/>
      <c r="Y34" s="307" t="n"/>
      <c r="Z34" s="307" t="n"/>
      <c r="AA34" s="307" t="n"/>
      <c r="AB34" s="307" t="n"/>
      <c r="AC34" s="307" t="n"/>
      <c r="AD34" s="307" t="n"/>
      <c r="AE34" s="307" t="n"/>
      <c r="AF34" s="307" t="n"/>
      <c r="AG34" s="307" t="n"/>
      <c r="AH34" s="307" t="n"/>
      <c r="AI34" s="307" t="n"/>
      <c r="AJ34" s="307" t="n"/>
      <c r="AK34" s="307" t="n"/>
      <c r="AL34" s="307" t="n"/>
      <c r="AM34" s="307" t="n"/>
      <c r="AN34" s="307" t="n"/>
      <c r="AO34" s="307" t="n"/>
      <c r="AP34" s="307" t="n"/>
      <c r="AQ34" s="307" t="n"/>
      <c r="AR34" s="307" t="n"/>
      <c r="AS34" s="307" t="n"/>
      <c r="AT34" s="307" t="n"/>
      <c r="AU34" s="307" t="n"/>
      <c r="AV34" s="307" t="n"/>
      <c r="AW34" s="307" t="n"/>
      <c r="AX34" s="307" t="n"/>
      <c r="AY34" s="307" t="n"/>
      <c r="AZ34" s="307" t="n"/>
      <c r="BA34" s="233" t="n"/>
      <c r="BB34" s="307" t="n"/>
      <c r="BC34" s="307" t="n"/>
      <c r="BD34" s="307" t="n"/>
      <c r="BE34" s="307" t="n"/>
      <c r="BF34" s="307" t="n"/>
      <c r="BG34" s="31" t="n"/>
      <c r="BH34" s="31" t="n"/>
      <c r="BI34" s="31" t="n"/>
      <c r="BJ34" s="31" t="n"/>
    </row>
    <row r="35" ht="15.75" customHeight="1" s="349">
      <c r="A35" s="307" t="n"/>
      <c r="B35" s="307" t="n"/>
      <c r="C35" s="307" t="n"/>
      <c r="D35" s="307" t="n"/>
      <c r="E35" s="307" t="n"/>
      <c r="F35" s="307" t="n"/>
      <c r="G35" s="307" t="n"/>
      <c r="H35" s="307" t="n"/>
      <c r="I35" s="307" t="n"/>
      <c r="J35" s="307" t="n"/>
      <c r="K35" s="307" t="n"/>
      <c r="L35" s="307" t="n"/>
      <c r="M35" s="307" t="n"/>
      <c r="N35" s="307" t="n"/>
      <c r="O35" s="307" t="n"/>
      <c r="P35" s="307" t="n"/>
      <c r="Q35" s="307" t="n"/>
      <c r="R35" s="307" t="n"/>
      <c r="S35" s="307" t="n"/>
      <c r="T35" s="307" t="n"/>
      <c r="U35" s="307" t="n"/>
      <c r="V35" s="307" t="n"/>
      <c r="W35" s="307" t="n"/>
      <c r="X35" s="307" t="n"/>
      <c r="Y35" s="307" t="n"/>
      <c r="Z35" s="307" t="n"/>
      <c r="AA35" s="307" t="n"/>
      <c r="AB35" s="307" t="n"/>
      <c r="AC35" s="307" t="n"/>
      <c r="AD35" s="307" t="n"/>
      <c r="AE35" s="307" t="n"/>
      <c r="AF35" s="307" t="n"/>
      <c r="AG35" s="307" t="n"/>
      <c r="AH35" s="307" t="n"/>
      <c r="AI35" s="307" t="n"/>
      <c r="AJ35" s="307" t="n"/>
      <c r="AK35" s="307" t="n"/>
      <c r="AL35" s="307" t="n"/>
      <c r="AM35" s="307" t="n"/>
      <c r="AN35" s="307" t="n"/>
      <c r="AO35" s="307" t="n"/>
      <c r="AP35" s="307" t="n"/>
      <c r="AQ35" s="307" t="n"/>
      <c r="AR35" s="307" t="n"/>
      <c r="AS35" s="307" t="n"/>
      <c r="AT35" s="307" t="n"/>
      <c r="AU35" s="307" t="n"/>
      <c r="AV35" s="307" t="n"/>
      <c r="AW35" s="307" t="n"/>
      <c r="AX35" s="307" t="n"/>
      <c r="AY35" s="307" t="n"/>
      <c r="AZ35" s="307" t="n"/>
      <c r="BA35" s="233" t="n"/>
      <c r="BB35" s="307" t="n"/>
      <c r="BC35" s="307" t="n"/>
      <c r="BD35" s="307" t="n"/>
      <c r="BE35" s="307" t="n"/>
      <c r="BF35" s="307" t="n"/>
      <c r="BG35" s="31" t="n"/>
      <c r="BH35" s="31" t="n"/>
      <c r="BI35" s="31" t="n"/>
      <c r="BJ35" s="31" t="n"/>
    </row>
    <row r="36" ht="15.75" customHeight="1" s="349">
      <c r="A36" s="307" t="n"/>
      <c r="B36" s="307" t="n"/>
      <c r="C36" s="307" t="n"/>
      <c r="D36" s="307" t="n"/>
      <c r="E36" s="307" t="n"/>
      <c r="F36" s="307" t="n"/>
      <c r="G36" s="307" t="n"/>
      <c r="H36" s="307" t="n"/>
      <c r="I36" s="307" t="n"/>
      <c r="J36" s="307" t="n"/>
      <c r="K36" s="307" t="n"/>
      <c r="L36" s="307" t="n"/>
      <c r="M36" s="307" t="n"/>
      <c r="N36" s="307" t="n"/>
      <c r="O36" s="307" t="n"/>
      <c r="P36" s="307" t="n"/>
      <c r="Q36" s="307" t="n"/>
      <c r="R36" s="307" t="n"/>
      <c r="S36" s="307" t="n"/>
      <c r="T36" s="307" t="n"/>
      <c r="U36" s="307" t="n"/>
      <c r="V36" s="307" t="n"/>
      <c r="W36" s="307" t="n"/>
      <c r="X36" s="307" t="n"/>
      <c r="Y36" s="307" t="n"/>
      <c r="Z36" s="307" t="n"/>
      <c r="AA36" s="307" t="n"/>
      <c r="AB36" s="307" t="n"/>
      <c r="AC36" s="307" t="n"/>
      <c r="AD36" s="307" t="n"/>
      <c r="AE36" s="307" t="n"/>
      <c r="AF36" s="307" t="n"/>
      <c r="AG36" s="307" t="n"/>
      <c r="AH36" s="307" t="n"/>
      <c r="AI36" s="307" t="n"/>
      <c r="AJ36" s="307" t="n"/>
      <c r="AK36" s="307" t="n"/>
      <c r="AL36" s="307" t="n"/>
      <c r="AM36" s="307" t="n"/>
      <c r="AN36" s="307" t="n"/>
      <c r="AO36" s="307" t="n"/>
      <c r="AP36" s="307" t="n"/>
      <c r="AQ36" s="307" t="n"/>
      <c r="AR36" s="307" t="n"/>
      <c r="AS36" s="307" t="n"/>
      <c r="AT36" s="307" t="n"/>
      <c r="AU36" s="307" t="n"/>
      <c r="AV36" s="307" t="n"/>
      <c r="AW36" s="307" t="n"/>
      <c r="AX36" s="307" t="n"/>
      <c r="AY36" s="307" t="n"/>
      <c r="AZ36" s="307" t="n"/>
      <c r="BA36" s="233" t="n"/>
      <c r="BB36" s="307" t="n"/>
      <c r="BC36" s="307" t="n"/>
      <c r="BD36" s="307" t="n"/>
      <c r="BE36" s="307" t="n"/>
      <c r="BF36" s="307" t="n"/>
      <c r="BG36" s="31" t="n"/>
      <c r="BH36" s="31" t="n"/>
      <c r="BI36" s="31" t="n"/>
      <c r="BJ36" s="31" t="n"/>
    </row>
    <row r="37" ht="15.75" customHeight="1" s="349">
      <c r="A37" s="307" t="n"/>
      <c r="B37" s="307" t="n"/>
      <c r="C37" s="307" t="n"/>
      <c r="D37" s="307" t="n"/>
      <c r="E37" s="307" t="n"/>
      <c r="F37" s="307" t="n"/>
      <c r="G37" s="307" t="n"/>
      <c r="H37" s="307" t="n"/>
      <c r="I37" s="307" t="n"/>
      <c r="J37" s="307" t="n"/>
      <c r="K37" s="307" t="n"/>
      <c r="L37" s="307" t="n"/>
      <c r="M37" s="307" t="n"/>
      <c r="N37" s="307" t="n"/>
      <c r="O37" s="307" t="n"/>
      <c r="P37" s="307" t="n"/>
      <c r="Q37" s="307" t="n"/>
      <c r="R37" s="307" t="n"/>
      <c r="S37" s="307" t="n"/>
      <c r="T37" s="307" t="n"/>
      <c r="U37" s="307" t="n"/>
      <c r="V37" s="307" t="n"/>
      <c r="W37" s="307" t="n"/>
      <c r="X37" s="307" t="n"/>
      <c r="Y37" s="307" t="n"/>
      <c r="Z37" s="307" t="n"/>
      <c r="AA37" s="307" t="n"/>
      <c r="AB37" s="307" t="n"/>
      <c r="AC37" s="307" t="n"/>
      <c r="AD37" s="307" t="n"/>
      <c r="AE37" s="307" t="n"/>
      <c r="AF37" s="307" t="n"/>
      <c r="AG37" s="307" t="n"/>
      <c r="AH37" s="307" t="n"/>
      <c r="AI37" s="307" t="n"/>
      <c r="AJ37" s="307" t="n"/>
      <c r="AK37" s="307" t="n"/>
      <c r="AL37" s="307" t="n"/>
      <c r="AM37" s="307" t="n"/>
      <c r="AN37" s="307" t="n"/>
      <c r="AO37" s="307" t="n"/>
      <c r="AP37" s="307" t="n"/>
      <c r="AQ37" s="307" t="n"/>
      <c r="AR37" s="307" t="n"/>
      <c r="AS37" s="307" t="n"/>
      <c r="AT37" s="307" t="n"/>
      <c r="AU37" s="307" t="n"/>
      <c r="AV37" s="307" t="n"/>
      <c r="AW37" s="307" t="n"/>
      <c r="AX37" s="307" t="n"/>
      <c r="AY37" s="307" t="n"/>
      <c r="AZ37" s="307" t="n"/>
      <c r="BA37" s="233" t="n"/>
      <c r="BB37" s="307" t="n"/>
      <c r="BC37" s="307" t="n"/>
      <c r="BD37" s="307" t="n"/>
      <c r="BE37" s="307" t="n"/>
      <c r="BF37" s="307" t="n"/>
      <c r="BG37" s="31" t="n"/>
      <c r="BH37" s="31" t="n"/>
      <c r="BI37" s="31" t="n"/>
      <c r="BJ37" s="31" t="n"/>
    </row>
    <row r="38" ht="15.75" customHeight="1" s="349">
      <c r="A38" s="307" t="n"/>
      <c r="B38" s="307" t="n"/>
      <c r="C38" s="307" t="n"/>
      <c r="D38" s="307" t="n"/>
      <c r="E38" s="307" t="n"/>
      <c r="F38" s="307" t="n"/>
      <c r="G38" s="307" t="n"/>
      <c r="H38" s="307" t="n"/>
      <c r="I38" s="307" t="n"/>
      <c r="J38" s="307" t="n"/>
      <c r="K38" s="307" t="n"/>
      <c r="L38" s="307" t="n"/>
      <c r="M38" s="307" t="n"/>
      <c r="N38" s="307" t="n"/>
      <c r="O38" s="307" t="n"/>
      <c r="P38" s="307" t="n"/>
      <c r="Q38" s="307" t="n"/>
      <c r="R38" s="307" t="n"/>
      <c r="S38" s="307" t="n"/>
      <c r="T38" s="307" t="n"/>
      <c r="U38" s="307" t="n"/>
      <c r="V38" s="307" t="n"/>
      <c r="W38" s="307" t="n"/>
      <c r="X38" s="307" t="n"/>
      <c r="Y38" s="307" t="n"/>
      <c r="Z38" s="307" t="n"/>
      <c r="AA38" s="307" t="n"/>
      <c r="AB38" s="307" t="n"/>
      <c r="AC38" s="307" t="n"/>
      <c r="AD38" s="307" t="n"/>
      <c r="AE38" s="307" t="n"/>
      <c r="AF38" s="307" t="n"/>
      <c r="AG38" s="307" t="n"/>
      <c r="AH38" s="307" t="n"/>
      <c r="AI38" s="307" t="n"/>
      <c r="AJ38" s="307" t="n"/>
      <c r="AK38" s="307" t="n"/>
      <c r="AL38" s="307" t="n"/>
      <c r="AM38" s="307" t="n"/>
      <c r="AN38" s="307" t="n"/>
      <c r="AO38" s="307" t="n"/>
      <c r="AP38" s="307" t="n"/>
      <c r="AQ38" s="307" t="n"/>
      <c r="AR38" s="307" t="n"/>
      <c r="AS38" s="307" t="n"/>
      <c r="AT38" s="307" t="n"/>
      <c r="AU38" s="307" t="n"/>
      <c r="AV38" s="307" t="n"/>
      <c r="AW38" s="307" t="n"/>
      <c r="AX38" s="307" t="n"/>
      <c r="AY38" s="307" t="n"/>
      <c r="AZ38" s="307" t="n"/>
      <c r="BA38" s="233" t="n"/>
      <c r="BB38" s="307" t="n"/>
      <c r="BC38" s="307" t="n"/>
      <c r="BD38" s="307" t="n"/>
      <c r="BE38" s="307" t="n"/>
      <c r="BF38" s="307" t="n"/>
      <c r="BG38" s="31" t="n"/>
      <c r="BH38" s="31" t="n"/>
      <c r="BI38" s="31" t="n"/>
      <c r="BJ38" s="31" t="n"/>
    </row>
    <row r="39" ht="15.75" customHeight="1" s="349">
      <c r="A39" s="307" t="n"/>
      <c r="B39" s="307" t="n"/>
      <c r="C39" s="307" t="n"/>
      <c r="D39" s="307" t="n"/>
      <c r="E39" s="307" t="n"/>
      <c r="F39" s="307" t="n"/>
      <c r="G39" s="307" t="n"/>
      <c r="H39" s="307" t="n"/>
      <c r="I39" s="307" t="n"/>
      <c r="J39" s="307" t="n"/>
      <c r="K39" s="307" t="n"/>
      <c r="L39" s="307" t="n"/>
      <c r="M39" s="307" t="n"/>
      <c r="N39" s="307" t="n"/>
      <c r="O39" s="307" t="n"/>
      <c r="P39" s="307" t="n"/>
      <c r="Q39" s="307" t="n"/>
      <c r="R39" s="307" t="n"/>
      <c r="S39" s="307" t="n"/>
      <c r="T39" s="307" t="n"/>
      <c r="U39" s="307" t="n"/>
      <c r="V39" s="307" t="n"/>
      <c r="W39" s="307" t="n"/>
      <c r="X39" s="307" t="n"/>
      <c r="Y39" s="307" t="n"/>
      <c r="Z39" s="307" t="n"/>
      <c r="AA39" s="307" t="n"/>
      <c r="AB39" s="307" t="n"/>
      <c r="AC39" s="307" t="n"/>
      <c r="AD39" s="307" t="n"/>
      <c r="AE39" s="307" t="n"/>
      <c r="AF39" s="307" t="n"/>
      <c r="AG39" s="307" t="n"/>
      <c r="AH39" s="307" t="n"/>
      <c r="AI39" s="307" t="n"/>
      <c r="AJ39" s="307" t="n"/>
      <c r="AK39" s="307" t="n"/>
      <c r="AL39" s="307" t="n"/>
      <c r="AM39" s="307" t="n"/>
      <c r="AN39" s="307" t="n"/>
      <c r="AO39" s="307" t="n"/>
      <c r="AP39" s="307" t="n"/>
      <c r="AQ39" s="307" t="n"/>
      <c r="AR39" s="307" t="n"/>
      <c r="AS39" s="307" t="n"/>
      <c r="AT39" s="307" t="n"/>
      <c r="AU39" s="307" t="n"/>
      <c r="AV39" s="307" t="n"/>
      <c r="AW39" s="307" t="n"/>
      <c r="AX39" s="307" t="n"/>
      <c r="AY39" s="307" t="n"/>
      <c r="AZ39" s="307" t="n"/>
      <c r="BA39" s="233" t="n"/>
      <c r="BB39" s="307" t="n"/>
      <c r="BC39" s="307" t="n"/>
      <c r="BD39" s="307" t="n"/>
      <c r="BE39" s="307" t="n"/>
      <c r="BF39" s="307" t="n"/>
      <c r="BG39" s="31" t="n"/>
      <c r="BH39" s="31" t="n"/>
      <c r="BI39" s="31" t="n"/>
      <c r="BJ39" s="31" t="n"/>
    </row>
    <row r="40" ht="15.75" customHeight="1" s="349">
      <c r="A40" s="307" t="n"/>
      <c r="B40" s="307" t="n"/>
      <c r="C40" s="307" t="n"/>
      <c r="D40" s="307" t="n"/>
      <c r="E40" s="307" t="n"/>
      <c r="F40" s="307" t="n"/>
      <c r="G40" s="307" t="n"/>
      <c r="H40" s="307" t="n"/>
      <c r="I40" s="307" t="n"/>
      <c r="J40" s="307" t="n"/>
      <c r="K40" s="307" t="n"/>
      <c r="L40" s="307" t="n"/>
      <c r="M40" s="307" t="n"/>
      <c r="N40" s="307" t="n"/>
      <c r="O40" s="307" t="n"/>
      <c r="P40" s="307" t="n"/>
      <c r="Q40" s="307" t="n"/>
      <c r="R40" s="307" t="n"/>
      <c r="S40" s="307" t="n"/>
      <c r="T40" s="307" t="n"/>
      <c r="U40" s="307" t="n"/>
      <c r="V40" s="307" t="n"/>
      <c r="W40" s="307" t="n"/>
      <c r="X40" s="307" t="n"/>
      <c r="Y40" s="307" t="n"/>
      <c r="Z40" s="307" t="n"/>
      <c r="AA40" s="307" t="n"/>
      <c r="AB40" s="307" t="n"/>
      <c r="AC40" s="307" t="n"/>
      <c r="AD40" s="307" t="n"/>
      <c r="AE40" s="307" t="n"/>
      <c r="AF40" s="307" t="n"/>
      <c r="AG40" s="307" t="n"/>
      <c r="AH40" s="307" t="n"/>
      <c r="AI40" s="307" t="n"/>
      <c r="AJ40" s="307" t="n"/>
      <c r="AK40" s="307" t="n"/>
      <c r="AL40" s="307" t="n"/>
      <c r="AM40" s="307" t="n"/>
      <c r="AN40" s="307" t="n"/>
      <c r="AO40" s="307" t="n"/>
      <c r="AP40" s="307" t="n"/>
      <c r="AQ40" s="307" t="n"/>
      <c r="AR40" s="307" t="n"/>
      <c r="AS40" s="307" t="n"/>
      <c r="AT40" s="307" t="n"/>
      <c r="AU40" s="307" t="n"/>
      <c r="AV40" s="307" t="n"/>
      <c r="AW40" s="307" t="n"/>
      <c r="AX40" s="307" t="n"/>
      <c r="AY40" s="307" t="n"/>
      <c r="AZ40" s="307" t="n"/>
      <c r="BA40" s="233" t="n"/>
      <c r="BB40" s="307" t="n"/>
      <c r="BC40" s="307" t="n"/>
      <c r="BD40" s="307" t="n"/>
      <c r="BE40" s="307" t="n"/>
      <c r="BF40" s="307" t="n"/>
      <c r="BG40" s="31" t="n"/>
      <c r="BH40" s="31" t="n"/>
      <c r="BI40" s="31" t="n"/>
      <c r="BJ40" s="31" t="n"/>
    </row>
    <row r="41" ht="15.75" customHeight="1" s="349">
      <c r="A41" s="307" t="n"/>
      <c r="B41" s="307" t="n"/>
      <c r="C41" s="307" t="n"/>
      <c r="D41" s="307" t="n"/>
      <c r="E41" s="307" t="n"/>
      <c r="F41" s="307" t="n"/>
      <c r="G41" s="307" t="n"/>
      <c r="H41" s="307" t="n"/>
      <c r="I41" s="307" t="n"/>
      <c r="J41" s="307" t="n"/>
      <c r="K41" s="307" t="n"/>
      <c r="L41" s="307" t="n"/>
      <c r="M41" s="307" t="n"/>
      <c r="N41" s="307" t="n"/>
      <c r="O41" s="307" t="n"/>
      <c r="P41" s="307" t="n"/>
      <c r="Q41" s="307" t="n"/>
      <c r="R41" s="307" t="n"/>
      <c r="S41" s="307" t="n"/>
      <c r="T41" s="307" t="n"/>
      <c r="U41" s="307" t="n"/>
      <c r="V41" s="307" t="n"/>
      <c r="W41" s="307" t="n"/>
      <c r="X41" s="307" t="n"/>
      <c r="Y41" s="307" t="n"/>
      <c r="Z41" s="307" t="n"/>
      <c r="AA41" s="307" t="n"/>
      <c r="AB41" s="307" t="n"/>
      <c r="AC41" s="307" t="n"/>
      <c r="AD41" s="307" t="n"/>
      <c r="AE41" s="307" t="n"/>
      <c r="AF41" s="307" t="n"/>
      <c r="AG41" s="307" t="n"/>
      <c r="AH41" s="307" t="n"/>
      <c r="AI41" s="307" t="n"/>
      <c r="AJ41" s="307" t="n"/>
      <c r="AK41" s="307" t="n"/>
      <c r="AL41" s="307" t="n"/>
      <c r="AM41" s="307" t="n"/>
      <c r="AN41" s="307" t="n"/>
      <c r="AO41" s="307" t="n"/>
      <c r="AP41" s="307" t="n"/>
      <c r="AQ41" s="307" t="n"/>
      <c r="AR41" s="307" t="n"/>
      <c r="AS41" s="307" t="n"/>
      <c r="AT41" s="307" t="n"/>
      <c r="AU41" s="307" t="n"/>
      <c r="AV41" s="307" t="n"/>
      <c r="AW41" s="307" t="n"/>
      <c r="AX41" s="307" t="n"/>
      <c r="AY41" s="307" t="n"/>
      <c r="AZ41" s="307" t="n"/>
      <c r="BA41" s="233" t="n"/>
      <c r="BB41" s="307" t="n"/>
      <c r="BC41" s="307" t="n"/>
      <c r="BD41" s="307" t="n"/>
      <c r="BE41" s="307" t="n"/>
      <c r="BF41" s="307" t="n"/>
      <c r="BG41" s="31" t="n"/>
      <c r="BH41" s="31" t="n"/>
      <c r="BI41" s="31" t="n"/>
      <c r="BJ41" s="31" t="n"/>
    </row>
    <row r="42" ht="15.75" customHeight="1" s="349">
      <c r="A42" s="307" t="n"/>
      <c r="B42" s="307" t="n"/>
      <c r="C42" s="307" t="n"/>
      <c r="D42" s="307" t="n"/>
      <c r="E42" s="307" t="n"/>
      <c r="F42" s="307" t="n"/>
      <c r="G42" s="307" t="n"/>
      <c r="H42" s="307" t="n"/>
      <c r="I42" s="307" t="n"/>
      <c r="J42" s="307" t="n"/>
      <c r="K42" s="307" t="n"/>
      <c r="L42" s="307" t="n"/>
      <c r="M42" s="307" t="n"/>
      <c r="N42" s="307" t="n"/>
      <c r="O42" s="307" t="n"/>
      <c r="P42" s="307" t="n"/>
      <c r="Q42" s="307" t="n"/>
      <c r="R42" s="307" t="n"/>
      <c r="S42" s="307" t="n"/>
      <c r="T42" s="307" t="n"/>
      <c r="U42" s="307" t="n"/>
      <c r="V42" s="307" t="n"/>
      <c r="W42" s="307" t="n"/>
      <c r="X42" s="307" t="n"/>
      <c r="Y42" s="307" t="n"/>
      <c r="Z42" s="307" t="n"/>
      <c r="AA42" s="307" t="n"/>
      <c r="AB42" s="307" t="n"/>
      <c r="AC42" s="307" t="n"/>
      <c r="AD42" s="307" t="n"/>
      <c r="AE42" s="307" t="n"/>
      <c r="AF42" s="307" t="n"/>
      <c r="AG42" s="307" t="n"/>
      <c r="AH42" s="307" t="n"/>
      <c r="AI42" s="307" t="n"/>
      <c r="AJ42" s="307" t="n"/>
      <c r="AK42" s="307" t="n"/>
      <c r="AL42" s="307" t="n"/>
      <c r="AM42" s="307" t="n"/>
      <c r="AN42" s="307" t="n"/>
      <c r="AO42" s="307" t="n"/>
      <c r="AP42" s="307" t="n"/>
      <c r="AQ42" s="307" t="n"/>
      <c r="AR42" s="307" t="n"/>
      <c r="AS42" s="307" t="n"/>
      <c r="AT42" s="307" t="n"/>
      <c r="AU42" s="307" t="n"/>
      <c r="AV42" s="307" t="n"/>
      <c r="AW42" s="307" t="n"/>
      <c r="AX42" s="307" t="n"/>
      <c r="AY42" s="307" t="n"/>
      <c r="AZ42" s="307" t="n"/>
      <c r="BA42" s="233" t="n"/>
      <c r="BB42" s="307" t="n"/>
      <c r="BC42" s="307" t="n"/>
      <c r="BD42" s="307" t="n"/>
      <c r="BE42" s="307" t="n"/>
      <c r="BF42" s="307" t="n"/>
      <c r="BG42" s="31" t="n"/>
      <c r="BH42" s="31" t="n"/>
      <c r="BI42" s="31" t="n"/>
      <c r="BJ42" s="31" t="n"/>
    </row>
    <row r="43" ht="15.75" customHeight="1" s="349">
      <c r="A43" s="307" t="n"/>
      <c r="B43" s="307" t="n"/>
      <c r="C43" s="307" t="n"/>
      <c r="D43" s="307" t="n"/>
      <c r="E43" s="307" t="n"/>
      <c r="F43" s="307" t="n"/>
      <c r="G43" s="307" t="n"/>
      <c r="H43" s="307" t="n"/>
      <c r="I43" s="307" t="n"/>
      <c r="J43" s="307" t="n"/>
      <c r="K43" s="307" t="n"/>
      <c r="L43" s="307" t="n"/>
      <c r="M43" s="307" t="n"/>
      <c r="N43" s="307" t="n"/>
      <c r="O43" s="307" t="n"/>
      <c r="P43" s="307" t="n"/>
      <c r="Q43" s="307" t="n"/>
      <c r="R43" s="307" t="n"/>
      <c r="S43" s="307" t="n"/>
      <c r="T43" s="307" t="n"/>
      <c r="U43" s="307" t="n"/>
      <c r="V43" s="307" t="n"/>
      <c r="W43" s="307" t="n"/>
      <c r="X43" s="307" t="n"/>
      <c r="Y43" s="307" t="n"/>
      <c r="Z43" s="307" t="n"/>
      <c r="AA43" s="307" t="n"/>
      <c r="AB43" s="307" t="n"/>
      <c r="AC43" s="307" t="n"/>
      <c r="AD43" s="307" t="n"/>
      <c r="AE43" s="307" t="n"/>
      <c r="AF43" s="307" t="n"/>
      <c r="AG43" s="307" t="n"/>
      <c r="AH43" s="307" t="n"/>
      <c r="AI43" s="307" t="n"/>
      <c r="AJ43" s="307" t="n"/>
      <c r="AK43" s="307" t="n"/>
      <c r="AL43" s="307" t="n"/>
      <c r="AM43" s="307" t="n"/>
      <c r="AN43" s="307" t="n"/>
      <c r="AO43" s="307" t="n"/>
      <c r="AP43" s="307" t="n"/>
      <c r="AQ43" s="307" t="n"/>
      <c r="AR43" s="307" t="n"/>
      <c r="AS43" s="307" t="n"/>
      <c r="AT43" s="307" t="n"/>
      <c r="AU43" s="307" t="n"/>
      <c r="AV43" s="307" t="n"/>
      <c r="AW43" s="307" t="n"/>
      <c r="AX43" s="307" t="n"/>
      <c r="AY43" s="307" t="n"/>
      <c r="AZ43" s="307" t="n"/>
      <c r="BA43" s="233" t="n"/>
      <c r="BB43" s="307" t="n"/>
      <c r="BC43" s="307" t="n"/>
      <c r="BD43" s="307" t="n"/>
      <c r="BE43" s="307" t="n"/>
      <c r="BF43" s="307" t="n"/>
      <c r="BG43" s="31" t="n"/>
      <c r="BH43" s="31" t="n"/>
      <c r="BI43" s="31" t="n"/>
      <c r="BJ43" s="31" t="n"/>
    </row>
    <row r="44" ht="15.75" customHeight="1" s="349">
      <c r="A44" s="307" t="n"/>
      <c r="B44" s="307" t="n"/>
      <c r="C44" s="307" t="n"/>
      <c r="D44" s="307" t="n"/>
      <c r="E44" s="307" t="n"/>
      <c r="F44" s="307" t="n"/>
      <c r="G44" s="307" t="n"/>
      <c r="H44" s="307" t="n"/>
      <c r="I44" s="307" t="n"/>
      <c r="J44" s="307" t="n"/>
      <c r="K44" s="307" t="n"/>
      <c r="L44" s="307" t="n"/>
      <c r="M44" s="307" t="n"/>
      <c r="N44" s="307" t="n"/>
      <c r="O44" s="307" t="n"/>
      <c r="P44" s="307" t="n"/>
      <c r="Q44" s="307" t="n"/>
      <c r="R44" s="307" t="n"/>
      <c r="S44" s="307" t="n"/>
      <c r="T44" s="307" t="n"/>
      <c r="U44" s="307" t="n"/>
      <c r="V44" s="307" t="n"/>
      <c r="W44" s="307" t="n"/>
      <c r="X44" s="307" t="n"/>
      <c r="Y44" s="307" t="n"/>
      <c r="Z44" s="307" t="n"/>
      <c r="AA44" s="307" t="n"/>
      <c r="AB44" s="307" t="n"/>
      <c r="AC44" s="307" t="n"/>
      <c r="AD44" s="307" t="n"/>
      <c r="AE44" s="307" t="n"/>
      <c r="AF44" s="307" t="n"/>
      <c r="AG44" s="307" t="n"/>
      <c r="AH44" s="307" t="n"/>
      <c r="AI44" s="307" t="n"/>
      <c r="AJ44" s="307" t="n"/>
      <c r="AK44" s="307" t="n"/>
      <c r="AL44" s="307" t="n"/>
      <c r="AM44" s="307" t="n"/>
      <c r="AN44" s="307" t="n"/>
      <c r="AO44" s="307" t="n"/>
      <c r="AP44" s="307" t="n"/>
      <c r="AQ44" s="307" t="n"/>
      <c r="AR44" s="307" t="n"/>
      <c r="AS44" s="307" t="n"/>
      <c r="AT44" s="307" t="n"/>
      <c r="AU44" s="307" t="n"/>
      <c r="AV44" s="307" t="n"/>
      <c r="AW44" s="307" t="n"/>
      <c r="AX44" s="307" t="n"/>
      <c r="AY44" s="307" t="n"/>
      <c r="AZ44" s="307" t="n"/>
      <c r="BA44" s="233" t="n"/>
      <c r="BB44" s="307" t="n"/>
      <c r="BC44" s="307" t="n"/>
      <c r="BD44" s="307" t="n"/>
      <c r="BE44" s="307" t="n"/>
      <c r="BF44" s="307" t="n"/>
      <c r="BG44" s="31" t="n"/>
      <c r="BH44" s="31" t="n"/>
      <c r="BI44" s="31" t="n"/>
      <c r="BJ44" s="31" t="n"/>
    </row>
    <row r="45" ht="15.75" customHeight="1" s="349">
      <c r="A45" s="307" t="n"/>
      <c r="B45" s="307" t="n"/>
      <c r="C45" s="307" t="n"/>
      <c r="D45" s="307" t="n"/>
      <c r="E45" s="307" t="n"/>
      <c r="F45" s="307" t="n"/>
      <c r="G45" s="307" t="n"/>
      <c r="H45" s="307" t="n"/>
      <c r="I45" s="307" t="n"/>
      <c r="J45" s="307" t="n"/>
      <c r="K45" s="307" t="n"/>
      <c r="L45" s="307" t="n"/>
      <c r="M45" s="307" t="n"/>
      <c r="N45" s="307" t="n"/>
      <c r="O45" s="307" t="n"/>
      <c r="P45" s="307" t="n"/>
      <c r="Q45" s="307" t="n"/>
      <c r="R45" s="307" t="n"/>
      <c r="S45" s="307" t="n"/>
      <c r="T45" s="307" t="n"/>
      <c r="U45" s="307" t="n"/>
      <c r="V45" s="307" t="n"/>
      <c r="W45" s="307" t="n"/>
      <c r="X45" s="307" t="n"/>
      <c r="Y45" s="307" t="n"/>
      <c r="Z45" s="307" t="n"/>
      <c r="AA45" s="307" t="n"/>
      <c r="AB45" s="307" t="n"/>
      <c r="AC45" s="307" t="n"/>
      <c r="AD45" s="307" t="n"/>
      <c r="AE45" s="307" t="n"/>
      <c r="AF45" s="307" t="n"/>
      <c r="AG45" s="307" t="n"/>
      <c r="AH45" s="307" t="n"/>
      <c r="AI45" s="307" t="n"/>
      <c r="AJ45" s="307" t="n"/>
      <c r="AK45" s="307" t="n"/>
      <c r="AL45" s="307" t="n"/>
      <c r="AM45" s="307" t="n"/>
      <c r="AN45" s="307" t="n"/>
      <c r="AO45" s="307" t="n"/>
      <c r="AP45" s="307" t="n"/>
      <c r="AQ45" s="307" t="n"/>
      <c r="AR45" s="307" t="n"/>
      <c r="AS45" s="307" t="n"/>
      <c r="AT45" s="307" t="n"/>
      <c r="AU45" s="307" t="n"/>
      <c r="AV45" s="307" t="n"/>
      <c r="AW45" s="307" t="n"/>
      <c r="AX45" s="307" t="n"/>
      <c r="AY45" s="307" t="n"/>
      <c r="AZ45" s="307" t="n"/>
      <c r="BA45" s="233" t="n"/>
      <c r="BB45" s="307" t="n"/>
      <c r="BC45" s="307" t="n"/>
      <c r="BD45" s="307" t="n"/>
      <c r="BE45" s="307" t="n"/>
      <c r="BF45" s="307" t="n"/>
      <c r="BG45" s="31" t="n"/>
      <c r="BH45" s="31" t="n"/>
      <c r="BI45" s="31" t="n"/>
      <c r="BJ45" s="31" t="n"/>
    </row>
    <row r="46" ht="15.75" customHeight="1" s="349">
      <c r="A46" s="307" t="n"/>
      <c r="B46" s="307" t="n"/>
      <c r="C46" s="307" t="n"/>
      <c r="D46" s="307" t="n"/>
      <c r="E46" s="307" t="n"/>
      <c r="F46" s="307" t="n"/>
      <c r="G46" s="307" t="n"/>
      <c r="H46" s="307" t="n"/>
      <c r="I46" s="307" t="n"/>
      <c r="J46" s="307" t="n"/>
      <c r="K46" s="307" t="n"/>
      <c r="L46" s="307" t="n"/>
      <c r="M46" s="307" t="n"/>
      <c r="N46" s="307" t="n"/>
      <c r="O46" s="307" t="n"/>
      <c r="P46" s="307" t="n"/>
      <c r="Q46" s="307" t="n"/>
      <c r="R46" s="307" t="n"/>
      <c r="S46" s="307" t="n"/>
      <c r="T46" s="307" t="n"/>
      <c r="U46" s="307" t="n"/>
      <c r="V46" s="307" t="n"/>
      <c r="W46" s="307" t="n"/>
      <c r="X46" s="307" t="n"/>
      <c r="Y46" s="307" t="n"/>
      <c r="Z46" s="307" t="n"/>
      <c r="AA46" s="307" t="n"/>
      <c r="AB46" s="307" t="n"/>
      <c r="AC46" s="307" t="n"/>
      <c r="AD46" s="307" t="n"/>
      <c r="AE46" s="307" t="n"/>
      <c r="AF46" s="307" t="n"/>
      <c r="AG46" s="307" t="n"/>
      <c r="AH46" s="307" t="n"/>
      <c r="AI46" s="307" t="n"/>
      <c r="AJ46" s="307" t="n"/>
      <c r="AK46" s="307" t="n"/>
      <c r="AL46" s="307" t="n"/>
      <c r="AM46" s="307" t="n"/>
      <c r="AN46" s="307" t="n"/>
      <c r="AO46" s="307" t="n"/>
      <c r="AP46" s="307" t="n"/>
      <c r="AQ46" s="307" t="n"/>
      <c r="AR46" s="307" t="n"/>
      <c r="AS46" s="307" t="n"/>
      <c r="AT46" s="307" t="n"/>
      <c r="AU46" s="307" t="n"/>
      <c r="AV46" s="307" t="n"/>
      <c r="AW46" s="307" t="n"/>
      <c r="AX46" s="307" t="n"/>
      <c r="AY46" s="307" t="n"/>
      <c r="AZ46" s="307" t="n"/>
      <c r="BA46" s="233" t="n"/>
      <c r="BB46" s="307" t="n"/>
      <c r="BC46" s="307" t="n"/>
      <c r="BD46" s="307" t="n"/>
      <c r="BE46" s="307" t="n"/>
      <c r="BF46" s="307" t="n"/>
      <c r="BG46" s="31" t="n"/>
      <c r="BH46" s="31" t="n"/>
      <c r="BI46" s="31" t="n"/>
      <c r="BJ46" s="31" t="n"/>
    </row>
    <row r="47" ht="15.75" customHeight="1" s="349">
      <c r="A47" s="307" t="n"/>
      <c r="B47" s="307" t="n"/>
      <c r="C47" s="307" t="n"/>
      <c r="D47" s="307" t="n"/>
      <c r="E47" s="307" t="n"/>
      <c r="F47" s="307" t="n"/>
      <c r="G47" s="307" t="n"/>
      <c r="H47" s="307" t="n"/>
      <c r="I47" s="307" t="n"/>
      <c r="J47" s="307" t="n"/>
      <c r="K47" s="307" t="n"/>
      <c r="L47" s="307" t="n"/>
      <c r="M47" s="307" t="n"/>
      <c r="N47" s="307" t="n"/>
      <c r="O47" s="307" t="n"/>
      <c r="P47" s="307" t="n"/>
      <c r="Q47" s="307" t="n"/>
      <c r="R47" s="307" t="n"/>
      <c r="S47" s="307" t="n"/>
      <c r="T47" s="307" t="n"/>
      <c r="U47" s="307" t="n"/>
      <c r="V47" s="307" t="n"/>
      <c r="W47" s="307" t="n"/>
      <c r="X47" s="307" t="n"/>
      <c r="Y47" s="307" t="n"/>
      <c r="Z47" s="307" t="n"/>
      <c r="AA47" s="307" t="n"/>
      <c r="AB47" s="307" t="n"/>
      <c r="AC47" s="307" t="n"/>
      <c r="AD47" s="307" t="n"/>
      <c r="AE47" s="307" t="n"/>
      <c r="AF47" s="307" t="n"/>
      <c r="AG47" s="307" t="n"/>
      <c r="AH47" s="307" t="n"/>
      <c r="AI47" s="307" t="n"/>
      <c r="AJ47" s="307" t="n"/>
      <c r="AK47" s="307" t="n"/>
      <c r="AL47" s="307" t="n"/>
      <c r="AM47" s="307" t="n"/>
      <c r="AN47" s="307" t="n"/>
      <c r="AO47" s="307" t="n"/>
      <c r="AP47" s="307" t="n"/>
      <c r="AQ47" s="307" t="n"/>
      <c r="AR47" s="307" t="n"/>
      <c r="AS47" s="307" t="n"/>
      <c r="AT47" s="307" t="n"/>
      <c r="AU47" s="307" t="n"/>
      <c r="AV47" s="307" t="n"/>
      <c r="AW47" s="307" t="n"/>
      <c r="AX47" s="307" t="n"/>
      <c r="AY47" s="307" t="n"/>
      <c r="AZ47" s="307" t="n"/>
      <c r="BA47" s="233" t="n"/>
      <c r="BB47" s="307" t="n"/>
      <c r="BC47" s="307" t="n"/>
      <c r="BD47" s="307" t="n"/>
      <c r="BE47" s="307" t="n"/>
      <c r="BF47" s="307" t="n"/>
      <c r="BG47" s="31" t="n"/>
      <c r="BH47" s="31" t="n"/>
      <c r="BI47" s="31" t="n"/>
      <c r="BJ47" s="31" t="n"/>
    </row>
    <row r="48" ht="15.75" customHeight="1" s="349">
      <c r="A48" s="307" t="n"/>
      <c r="B48" s="307" t="n"/>
      <c r="C48" s="307" t="n"/>
      <c r="D48" s="307" t="n"/>
      <c r="E48" s="307" t="n"/>
      <c r="F48" s="307" t="n"/>
      <c r="G48" s="307" t="n"/>
      <c r="H48" s="307" t="n"/>
      <c r="I48" s="307" t="n"/>
      <c r="J48" s="307" t="n"/>
      <c r="K48" s="307" t="n"/>
      <c r="L48" s="307" t="n"/>
      <c r="M48" s="307" t="n"/>
      <c r="N48" s="307" t="n"/>
      <c r="O48" s="307" t="n"/>
      <c r="P48" s="307" t="n"/>
      <c r="Q48" s="307" t="n"/>
      <c r="R48" s="307" t="n"/>
      <c r="S48" s="307" t="n"/>
      <c r="T48" s="307" t="n"/>
      <c r="U48" s="307" t="n"/>
      <c r="V48" s="307" t="n"/>
      <c r="W48" s="307" t="n"/>
      <c r="X48" s="307" t="n"/>
      <c r="Y48" s="307" t="n"/>
      <c r="Z48" s="307" t="n"/>
      <c r="AA48" s="307" t="n"/>
      <c r="AB48" s="307" t="n"/>
      <c r="AC48" s="307" t="n"/>
      <c r="AD48" s="307" t="n"/>
      <c r="AE48" s="307" t="n"/>
      <c r="AF48" s="307" t="n"/>
      <c r="AG48" s="307" t="n"/>
      <c r="AH48" s="307" t="n"/>
      <c r="AI48" s="307" t="n"/>
      <c r="AJ48" s="307" t="n"/>
      <c r="AK48" s="307" t="n"/>
      <c r="AL48" s="307" t="n"/>
      <c r="AM48" s="307" t="n"/>
      <c r="AN48" s="307" t="n"/>
      <c r="AO48" s="307" t="n"/>
      <c r="AP48" s="307" t="n"/>
      <c r="AQ48" s="307" t="n"/>
      <c r="AR48" s="307" t="n"/>
      <c r="AS48" s="307" t="n"/>
      <c r="AT48" s="307" t="n"/>
      <c r="AU48" s="307" t="n"/>
      <c r="AV48" s="307" t="n"/>
      <c r="AW48" s="307" t="n"/>
      <c r="AX48" s="307" t="n"/>
      <c r="AY48" s="307" t="n"/>
      <c r="AZ48" s="307" t="n"/>
      <c r="BA48" s="233" t="n"/>
      <c r="BB48" s="307" t="n"/>
      <c r="BC48" s="307" t="n"/>
      <c r="BD48" s="307" t="n"/>
      <c r="BE48" s="307" t="n"/>
      <c r="BF48" s="307" t="n"/>
      <c r="BG48" s="31" t="n"/>
      <c r="BH48" s="31" t="n"/>
      <c r="BI48" s="31" t="n"/>
      <c r="BJ48" s="31" t="n"/>
    </row>
    <row r="49" ht="15.75" customHeight="1" s="349">
      <c r="A49" s="307" t="n"/>
      <c r="B49" s="307" t="n"/>
      <c r="C49" s="307" t="n"/>
      <c r="D49" s="307" t="n"/>
      <c r="E49" s="307" t="n"/>
      <c r="F49" s="307" t="n"/>
      <c r="G49" s="307" t="n"/>
      <c r="H49" s="307" t="n"/>
      <c r="I49" s="307" t="n"/>
      <c r="J49" s="307" t="n"/>
      <c r="K49" s="307" t="n"/>
      <c r="L49" s="307" t="n"/>
      <c r="M49" s="307" t="n"/>
      <c r="N49" s="307" t="n"/>
      <c r="O49" s="307" t="n"/>
      <c r="P49" s="307" t="n"/>
      <c r="Q49" s="307" t="n"/>
      <c r="R49" s="307" t="n"/>
      <c r="S49" s="307" t="n"/>
      <c r="T49" s="307" t="n"/>
      <c r="U49" s="307" t="n"/>
      <c r="V49" s="307" t="n"/>
      <c r="W49" s="307" t="n"/>
      <c r="X49" s="307" t="n"/>
      <c r="Y49" s="307" t="n"/>
      <c r="Z49" s="307" t="n"/>
      <c r="AA49" s="307" t="n"/>
      <c r="AB49" s="307" t="n"/>
      <c r="AC49" s="307" t="n"/>
      <c r="AD49" s="307" t="n"/>
      <c r="AE49" s="307" t="n"/>
      <c r="AF49" s="307" t="n"/>
      <c r="AG49" s="307" t="n"/>
      <c r="AH49" s="307" t="n"/>
      <c r="AI49" s="307" t="n"/>
      <c r="AJ49" s="307" t="n"/>
      <c r="AK49" s="307" t="n"/>
      <c r="AL49" s="307" t="n"/>
      <c r="AM49" s="307" t="n"/>
      <c r="AN49" s="307" t="n"/>
      <c r="AO49" s="307" t="n"/>
      <c r="AP49" s="307" t="n"/>
      <c r="AQ49" s="307" t="n"/>
      <c r="AR49" s="307" t="n"/>
      <c r="AS49" s="307" t="n"/>
      <c r="AT49" s="307" t="n"/>
      <c r="AU49" s="307" t="n"/>
      <c r="AV49" s="307" t="n"/>
      <c r="AW49" s="307" t="n"/>
      <c r="AX49" s="307" t="n"/>
      <c r="AY49" s="307" t="n"/>
      <c r="AZ49" s="307" t="n"/>
      <c r="BA49" s="233" t="n"/>
      <c r="BB49" s="307" t="n"/>
      <c r="BC49" s="307" t="n"/>
      <c r="BD49" s="307" t="n"/>
      <c r="BE49" s="307" t="n"/>
      <c r="BF49" s="307" t="n"/>
      <c r="BG49" s="31" t="n"/>
      <c r="BH49" s="31" t="n"/>
      <c r="BI49" s="31" t="n"/>
      <c r="BJ49" s="31" t="n"/>
    </row>
    <row r="50" ht="15.75" customHeight="1" s="349">
      <c r="A50" s="307" t="n"/>
      <c r="B50" s="307" t="n"/>
      <c r="C50" s="307" t="n"/>
      <c r="D50" s="307" t="n"/>
      <c r="E50" s="307" t="n"/>
      <c r="F50" s="307" t="n"/>
      <c r="G50" s="307" t="n"/>
      <c r="H50" s="307" t="n"/>
      <c r="I50" s="307" t="n"/>
      <c r="J50" s="307" t="n"/>
      <c r="K50" s="307" t="n"/>
      <c r="L50" s="307" t="n"/>
      <c r="M50" s="307" t="n"/>
      <c r="N50" s="307" t="n"/>
      <c r="O50" s="307" t="n"/>
      <c r="P50" s="307" t="n"/>
      <c r="Q50" s="307" t="n"/>
      <c r="R50" s="307" t="n"/>
      <c r="S50" s="307" t="n"/>
      <c r="T50" s="307" t="n"/>
      <c r="U50" s="307" t="n"/>
      <c r="V50" s="307" t="n"/>
      <c r="W50" s="307" t="n"/>
      <c r="X50" s="307" t="n"/>
      <c r="Y50" s="307" t="n"/>
      <c r="Z50" s="307" t="n"/>
      <c r="AA50" s="307" t="n"/>
      <c r="AB50" s="307" t="n"/>
      <c r="AC50" s="307" t="n"/>
      <c r="AD50" s="307" t="n"/>
      <c r="AE50" s="307" t="n"/>
      <c r="AF50" s="307" t="n"/>
      <c r="AG50" s="307" t="n"/>
      <c r="AH50" s="307" t="n"/>
      <c r="AI50" s="307" t="n"/>
      <c r="AJ50" s="307" t="n"/>
      <c r="AK50" s="307" t="n"/>
      <c r="AL50" s="307" t="n"/>
      <c r="AM50" s="307" t="n"/>
      <c r="AN50" s="307" t="n"/>
      <c r="AO50" s="307" t="n"/>
      <c r="AP50" s="307" t="n"/>
      <c r="AQ50" s="307" t="n"/>
      <c r="AR50" s="307" t="n"/>
      <c r="AS50" s="307" t="n"/>
      <c r="AT50" s="307" t="n"/>
      <c r="AU50" s="307" t="n"/>
      <c r="AV50" s="307" t="n"/>
      <c r="AW50" s="307" t="n"/>
      <c r="AX50" s="307" t="n"/>
      <c r="AY50" s="307" t="n"/>
      <c r="AZ50" s="307" t="n"/>
      <c r="BA50" s="233" t="n"/>
      <c r="BB50" s="307" t="n"/>
      <c r="BC50" s="307" t="n"/>
      <c r="BD50" s="307" t="n"/>
      <c r="BE50" s="307" t="n"/>
      <c r="BF50" s="307" t="n"/>
      <c r="BG50" s="31" t="n"/>
      <c r="BH50" s="31" t="n"/>
      <c r="BI50" s="31" t="n"/>
      <c r="BJ50" s="31" t="n"/>
    </row>
    <row r="51" ht="15.75" customHeight="1" s="349">
      <c r="A51" s="307" t="n"/>
      <c r="B51" s="307" t="n"/>
      <c r="C51" s="307" t="n"/>
      <c r="D51" s="307" t="n"/>
      <c r="E51" s="307" t="n"/>
      <c r="F51" s="307" t="n"/>
      <c r="G51" s="307" t="n"/>
      <c r="H51" s="307" t="n"/>
      <c r="I51" s="307" t="n"/>
      <c r="J51" s="307" t="n"/>
      <c r="K51" s="307" t="n"/>
      <c r="L51" s="307" t="n"/>
      <c r="M51" s="307" t="n"/>
      <c r="N51" s="307" t="n"/>
      <c r="O51" s="307" t="n"/>
      <c r="P51" s="307" t="n"/>
      <c r="Q51" s="307" t="n"/>
      <c r="R51" s="307" t="n"/>
      <c r="S51" s="307" t="n"/>
      <c r="T51" s="307" t="n"/>
      <c r="U51" s="307" t="n"/>
      <c r="V51" s="307" t="n"/>
      <c r="W51" s="307" t="n"/>
      <c r="X51" s="307" t="n"/>
      <c r="Y51" s="307" t="n"/>
      <c r="Z51" s="307" t="n"/>
      <c r="AA51" s="307" t="n"/>
      <c r="AB51" s="307" t="n"/>
      <c r="AC51" s="307" t="n"/>
      <c r="AD51" s="307" t="n"/>
      <c r="AE51" s="307" t="n"/>
      <c r="AF51" s="307" t="n"/>
      <c r="AG51" s="307" t="n"/>
      <c r="AH51" s="307" t="n"/>
      <c r="AI51" s="307" t="n"/>
      <c r="AJ51" s="307" t="n"/>
      <c r="AK51" s="307" t="n"/>
      <c r="AL51" s="307" t="n"/>
      <c r="AM51" s="307" t="n"/>
      <c r="AN51" s="307" t="n"/>
      <c r="AO51" s="307" t="n"/>
      <c r="AP51" s="307" t="n"/>
      <c r="AQ51" s="307" t="n"/>
      <c r="AR51" s="307" t="n"/>
      <c r="AS51" s="307" t="n"/>
      <c r="AT51" s="307" t="n"/>
      <c r="AU51" s="307" t="n"/>
      <c r="AV51" s="307" t="n"/>
      <c r="AW51" s="307" t="n"/>
      <c r="AX51" s="307" t="n"/>
      <c r="AY51" s="307" t="n"/>
      <c r="AZ51" s="307" t="n"/>
      <c r="BA51" s="233" t="n"/>
      <c r="BB51" s="307" t="n"/>
      <c r="BC51" s="307" t="n"/>
      <c r="BD51" s="307" t="n"/>
      <c r="BE51" s="307" t="n"/>
      <c r="BF51" s="307" t="n"/>
      <c r="BG51" s="31" t="n"/>
      <c r="BH51" s="31" t="n"/>
      <c r="BI51" s="31" t="n"/>
      <c r="BJ51" s="31" t="n"/>
    </row>
    <row r="52" ht="15.75" customHeight="1" s="349">
      <c r="A52" s="307" t="n"/>
      <c r="B52" s="307" t="n"/>
      <c r="C52" s="307" t="n"/>
      <c r="D52" s="307" t="n"/>
      <c r="E52" s="307" t="n"/>
      <c r="F52" s="307" t="n"/>
      <c r="G52" s="307" t="n"/>
      <c r="H52" s="307" t="n"/>
      <c r="I52" s="307" t="n"/>
      <c r="J52" s="307" t="n"/>
      <c r="K52" s="307" t="n"/>
      <c r="L52" s="307" t="n"/>
      <c r="M52" s="307" t="n"/>
      <c r="N52" s="307" t="n"/>
      <c r="O52" s="307" t="n"/>
      <c r="P52" s="307" t="n"/>
      <c r="Q52" s="307" t="n"/>
      <c r="R52" s="307" t="n"/>
      <c r="S52" s="307" t="n"/>
      <c r="T52" s="307" t="n"/>
      <c r="U52" s="307" t="n"/>
      <c r="V52" s="307" t="n"/>
      <c r="W52" s="307" t="n"/>
      <c r="X52" s="307" t="n"/>
      <c r="Y52" s="307" t="n"/>
      <c r="Z52" s="307" t="n"/>
      <c r="AA52" s="307" t="n"/>
      <c r="AB52" s="307" t="n"/>
      <c r="AC52" s="307" t="n"/>
      <c r="AD52" s="307" t="n"/>
      <c r="AE52" s="307" t="n"/>
      <c r="AF52" s="307" t="n"/>
      <c r="AG52" s="307" t="n"/>
      <c r="AH52" s="307" t="n"/>
      <c r="AI52" s="307" t="n"/>
      <c r="AJ52" s="307" t="n"/>
      <c r="AK52" s="307" t="n"/>
      <c r="AL52" s="307" t="n"/>
      <c r="AM52" s="307" t="n"/>
      <c r="AN52" s="307" t="n"/>
      <c r="AO52" s="307" t="n"/>
      <c r="AP52" s="307" t="n"/>
      <c r="AQ52" s="307" t="n"/>
      <c r="AR52" s="307" t="n"/>
      <c r="AS52" s="307" t="n"/>
      <c r="AT52" s="307" t="n"/>
      <c r="AU52" s="307" t="n"/>
      <c r="AV52" s="307" t="n"/>
      <c r="AW52" s="307" t="n"/>
      <c r="AX52" s="307" t="n"/>
      <c r="AY52" s="307" t="n"/>
      <c r="AZ52" s="307" t="n"/>
      <c r="BA52" s="233" t="n"/>
      <c r="BB52" s="307" t="n"/>
      <c r="BC52" s="307" t="n"/>
      <c r="BD52" s="307" t="n"/>
      <c r="BE52" s="307" t="n"/>
      <c r="BF52" s="307" t="n"/>
      <c r="BG52" s="31" t="n"/>
      <c r="BH52" s="31" t="n"/>
      <c r="BI52" s="31" t="n"/>
      <c r="BJ52" s="31" t="n"/>
    </row>
    <row r="53" ht="15.75" customHeight="1" s="349">
      <c r="A53" s="307" t="n"/>
      <c r="B53" s="307" t="n"/>
      <c r="C53" s="307" t="n"/>
      <c r="D53" s="307" t="n"/>
      <c r="E53" s="307" t="n"/>
      <c r="F53" s="307" t="n"/>
      <c r="G53" s="307" t="n"/>
      <c r="H53" s="307" t="n"/>
      <c r="I53" s="307" t="n"/>
      <c r="J53" s="307" t="n"/>
      <c r="K53" s="307" t="n"/>
      <c r="L53" s="307" t="n"/>
      <c r="M53" s="307" t="n"/>
      <c r="N53" s="307" t="n"/>
      <c r="O53" s="307" t="n"/>
      <c r="P53" s="307" t="n"/>
      <c r="Q53" s="307" t="n"/>
      <c r="R53" s="307" t="n"/>
      <c r="S53" s="307" t="n"/>
      <c r="T53" s="307" t="n"/>
      <c r="U53" s="307" t="n"/>
      <c r="V53" s="307" t="n"/>
      <c r="W53" s="307" t="n"/>
      <c r="X53" s="307" t="n"/>
      <c r="Y53" s="307" t="n"/>
      <c r="Z53" s="307" t="n"/>
      <c r="AA53" s="307" t="n"/>
      <c r="AB53" s="307" t="n"/>
      <c r="AC53" s="307" t="n"/>
      <c r="AD53" s="307" t="n"/>
      <c r="AE53" s="307" t="n"/>
      <c r="AF53" s="307" t="n"/>
      <c r="AG53" s="307" t="n"/>
      <c r="AH53" s="307" t="n"/>
      <c r="AI53" s="307" t="n"/>
      <c r="AJ53" s="307" t="n"/>
      <c r="AK53" s="307" t="n"/>
      <c r="AL53" s="307" t="n"/>
      <c r="AM53" s="307" t="n"/>
      <c r="AN53" s="307" t="n"/>
      <c r="AO53" s="307" t="n"/>
      <c r="AP53" s="307" t="n"/>
      <c r="AQ53" s="307" t="n"/>
      <c r="AR53" s="307" t="n"/>
      <c r="AS53" s="307" t="n"/>
      <c r="AT53" s="307" t="n"/>
      <c r="AU53" s="307" t="n"/>
      <c r="AV53" s="307" t="n"/>
      <c r="AW53" s="307" t="n"/>
      <c r="AX53" s="307" t="n"/>
      <c r="AY53" s="307" t="n"/>
      <c r="AZ53" s="307" t="n"/>
      <c r="BA53" s="233" t="n"/>
      <c r="BB53" s="307" t="n"/>
      <c r="BC53" s="307" t="n"/>
      <c r="BD53" s="307" t="n"/>
      <c r="BE53" s="307" t="n"/>
      <c r="BF53" s="307" t="n"/>
      <c r="BG53" s="31" t="n"/>
      <c r="BH53" s="31" t="n"/>
      <c r="BI53" s="31" t="n"/>
      <c r="BJ53" s="31" t="n"/>
    </row>
    <row r="54" ht="15.75" customHeight="1" s="349">
      <c r="A54" s="307" t="n"/>
      <c r="B54" s="307" t="n"/>
      <c r="C54" s="307" t="n"/>
      <c r="D54" s="307" t="n"/>
      <c r="E54" s="307" t="n"/>
      <c r="F54" s="307" t="n"/>
      <c r="G54" s="307" t="n"/>
      <c r="H54" s="307" t="n"/>
      <c r="I54" s="307" t="n"/>
      <c r="J54" s="307" t="n"/>
      <c r="K54" s="307" t="n"/>
      <c r="L54" s="307" t="n"/>
      <c r="M54" s="307" t="n"/>
      <c r="N54" s="307" t="n"/>
      <c r="O54" s="307" t="n"/>
      <c r="P54" s="307" t="n"/>
      <c r="Q54" s="307" t="n"/>
      <c r="R54" s="307" t="n"/>
      <c r="S54" s="307" t="n"/>
      <c r="T54" s="307" t="n"/>
      <c r="U54" s="307" t="n"/>
      <c r="V54" s="307" t="n"/>
      <c r="W54" s="307" t="n"/>
      <c r="X54" s="307" t="n"/>
      <c r="Y54" s="307" t="n"/>
      <c r="Z54" s="307" t="n"/>
      <c r="AA54" s="307" t="n"/>
      <c r="AB54" s="307" t="n"/>
      <c r="AC54" s="307" t="n"/>
      <c r="AD54" s="307" t="n"/>
      <c r="AE54" s="307" t="n"/>
      <c r="AF54" s="307" t="n"/>
      <c r="AG54" s="307" t="n"/>
      <c r="AH54" s="307" t="n"/>
      <c r="AI54" s="307" t="n"/>
      <c r="AJ54" s="307" t="n"/>
      <c r="AK54" s="307" t="n"/>
      <c r="AL54" s="307" t="n"/>
      <c r="AM54" s="307" t="n"/>
      <c r="AN54" s="307" t="n"/>
      <c r="AO54" s="307" t="n"/>
      <c r="AP54" s="307" t="n"/>
      <c r="AQ54" s="307" t="n"/>
      <c r="AR54" s="307" t="n"/>
      <c r="AS54" s="307" t="n"/>
      <c r="AT54" s="307" t="n"/>
      <c r="AU54" s="307" t="n"/>
      <c r="AV54" s="307" t="n"/>
      <c r="AW54" s="307" t="n"/>
      <c r="AX54" s="307" t="n"/>
      <c r="AY54" s="307" t="n"/>
      <c r="AZ54" s="307" t="n"/>
      <c r="BA54" s="233" t="n"/>
      <c r="BB54" s="307" t="n"/>
      <c r="BC54" s="307" t="n"/>
      <c r="BD54" s="307" t="n"/>
      <c r="BE54" s="307" t="n"/>
      <c r="BF54" s="307" t="n"/>
      <c r="BG54" s="31" t="n"/>
      <c r="BH54" s="31" t="n"/>
      <c r="BI54" s="31" t="n"/>
      <c r="BJ54" s="31" t="n"/>
    </row>
    <row r="55" ht="15.75" customHeight="1" s="349">
      <c r="A55" s="307" t="n"/>
      <c r="B55" s="307" t="n"/>
      <c r="C55" s="307" t="n"/>
      <c r="D55" s="307" t="n"/>
      <c r="E55" s="307" t="n"/>
      <c r="F55" s="307" t="n"/>
      <c r="G55" s="307" t="n"/>
      <c r="H55" s="307" t="n"/>
      <c r="I55" s="307" t="n"/>
      <c r="J55" s="307" t="n"/>
      <c r="K55" s="307" t="n"/>
      <c r="L55" s="307" t="n"/>
      <c r="M55" s="307" t="n"/>
      <c r="N55" s="307" t="n"/>
      <c r="O55" s="307" t="n"/>
      <c r="P55" s="307" t="n"/>
      <c r="Q55" s="307" t="n"/>
      <c r="R55" s="307" t="n"/>
      <c r="S55" s="307" t="n"/>
      <c r="T55" s="307" t="n"/>
      <c r="U55" s="307" t="n"/>
      <c r="V55" s="307" t="n"/>
      <c r="W55" s="307" t="n"/>
      <c r="X55" s="307" t="n"/>
      <c r="Y55" s="307" t="n"/>
      <c r="Z55" s="307" t="n"/>
      <c r="AA55" s="307" t="n"/>
      <c r="AB55" s="307" t="n"/>
      <c r="AC55" s="307" t="n"/>
      <c r="AD55" s="307" t="n"/>
      <c r="AE55" s="307" t="n"/>
      <c r="AF55" s="307" t="n"/>
      <c r="AG55" s="307" t="n"/>
      <c r="AH55" s="307" t="n"/>
      <c r="AI55" s="307" t="n"/>
      <c r="AJ55" s="307" t="n"/>
      <c r="AK55" s="307" t="n"/>
      <c r="AL55" s="307" t="n"/>
      <c r="AM55" s="307" t="n"/>
      <c r="AN55" s="307" t="n"/>
      <c r="AO55" s="307" t="n"/>
      <c r="AP55" s="307" t="n"/>
      <c r="AQ55" s="307" t="n"/>
      <c r="AR55" s="307" t="n"/>
      <c r="AS55" s="307" t="n"/>
      <c r="AT55" s="307" t="n"/>
      <c r="AU55" s="307" t="n"/>
      <c r="AV55" s="307" t="n"/>
      <c r="AW55" s="307" t="n"/>
      <c r="AX55" s="307" t="n"/>
      <c r="AY55" s="307" t="n"/>
      <c r="AZ55" s="307" t="n"/>
      <c r="BA55" s="233" t="n"/>
      <c r="BB55" s="307" t="n"/>
      <c r="BC55" s="307" t="n"/>
      <c r="BD55" s="307" t="n"/>
      <c r="BE55" s="307" t="n"/>
      <c r="BF55" s="307" t="n"/>
      <c r="BG55" s="31" t="n"/>
      <c r="BH55" s="31" t="n"/>
      <c r="BI55" s="31" t="n"/>
      <c r="BJ55" s="31" t="n"/>
    </row>
    <row r="56" ht="15.75" customHeight="1" s="349">
      <c r="A56" s="307" t="n"/>
      <c r="B56" s="307" t="n"/>
      <c r="C56" s="307" t="n"/>
      <c r="D56" s="307" t="n"/>
      <c r="E56" s="307" t="n"/>
      <c r="F56" s="307" t="n"/>
      <c r="G56" s="307" t="n"/>
      <c r="H56" s="307" t="n"/>
      <c r="I56" s="307" t="n"/>
      <c r="J56" s="307" t="n"/>
      <c r="K56" s="307" t="n"/>
      <c r="L56" s="307" t="n"/>
      <c r="M56" s="307" t="n"/>
      <c r="N56" s="307" t="n"/>
      <c r="O56" s="307" t="n"/>
      <c r="P56" s="307" t="n"/>
      <c r="Q56" s="307" t="n"/>
      <c r="R56" s="307" t="n"/>
      <c r="S56" s="307" t="n"/>
      <c r="T56" s="307" t="n"/>
      <c r="U56" s="307" t="n"/>
      <c r="V56" s="307" t="n"/>
      <c r="W56" s="307" t="n"/>
      <c r="X56" s="307" t="n"/>
      <c r="Y56" s="307" t="n"/>
      <c r="Z56" s="307" t="n"/>
      <c r="AA56" s="307" t="n"/>
      <c r="AB56" s="307" t="n"/>
      <c r="AC56" s="307" t="n"/>
      <c r="AD56" s="307" t="n"/>
      <c r="AE56" s="307" t="n"/>
      <c r="AF56" s="307" t="n"/>
      <c r="AG56" s="307" t="n"/>
      <c r="AH56" s="307" t="n"/>
      <c r="AI56" s="307" t="n"/>
      <c r="AJ56" s="307" t="n"/>
      <c r="AK56" s="307" t="n"/>
      <c r="AL56" s="307" t="n"/>
      <c r="AM56" s="307" t="n"/>
      <c r="AN56" s="307" t="n"/>
      <c r="AO56" s="307" t="n"/>
      <c r="AP56" s="307" t="n"/>
      <c r="AQ56" s="307" t="n"/>
      <c r="AR56" s="307" t="n"/>
      <c r="AS56" s="307" t="n"/>
      <c r="AT56" s="307" t="n"/>
      <c r="AU56" s="307" t="n"/>
      <c r="AV56" s="307" t="n"/>
      <c r="AW56" s="307" t="n"/>
      <c r="AX56" s="307" t="n"/>
      <c r="AY56" s="307" t="n"/>
      <c r="AZ56" s="307" t="n"/>
      <c r="BA56" s="233" t="n"/>
      <c r="BB56" s="307" t="n"/>
      <c r="BC56" s="307" t="n"/>
      <c r="BD56" s="307" t="n"/>
      <c r="BE56" s="307" t="n"/>
      <c r="BF56" s="307" t="n"/>
      <c r="BG56" s="31" t="n"/>
      <c r="BH56" s="31" t="n"/>
      <c r="BI56" s="31" t="n"/>
      <c r="BJ56" s="31" t="n"/>
    </row>
    <row r="57" ht="15.75" customHeight="1" s="349">
      <c r="A57" s="307" t="n"/>
      <c r="B57" s="307" t="n"/>
      <c r="C57" s="307" t="n"/>
      <c r="D57" s="307" t="n"/>
      <c r="E57" s="307" t="n"/>
      <c r="F57" s="307" t="n"/>
      <c r="G57" s="307" t="n"/>
      <c r="H57" s="307" t="n"/>
      <c r="I57" s="307" t="n"/>
      <c r="J57" s="307" t="n"/>
      <c r="K57" s="307" t="n"/>
      <c r="L57" s="307" t="n"/>
      <c r="M57" s="307" t="n"/>
      <c r="N57" s="307" t="n"/>
      <c r="O57" s="307" t="n"/>
      <c r="P57" s="307" t="n"/>
      <c r="Q57" s="307" t="n"/>
      <c r="R57" s="307" t="n"/>
      <c r="S57" s="307" t="n"/>
      <c r="T57" s="307" t="n"/>
      <c r="U57" s="307" t="n"/>
      <c r="V57" s="307" t="n"/>
      <c r="W57" s="307" t="n"/>
      <c r="X57" s="307" t="n"/>
      <c r="Y57" s="307" t="n"/>
      <c r="Z57" s="307" t="n"/>
      <c r="AA57" s="307" t="n"/>
      <c r="AB57" s="307" t="n"/>
      <c r="AC57" s="307" t="n"/>
      <c r="AD57" s="307" t="n"/>
      <c r="AE57" s="307" t="n"/>
      <c r="AF57" s="307" t="n"/>
      <c r="AG57" s="307" t="n"/>
      <c r="AH57" s="307" t="n"/>
      <c r="AI57" s="307" t="n"/>
      <c r="AJ57" s="307" t="n"/>
      <c r="AK57" s="307" t="n"/>
      <c r="AL57" s="307" t="n"/>
      <c r="AM57" s="307" t="n"/>
      <c r="AN57" s="307" t="n"/>
      <c r="AO57" s="307" t="n"/>
      <c r="AP57" s="307" t="n"/>
      <c r="AQ57" s="307" t="n"/>
      <c r="AR57" s="307" t="n"/>
      <c r="AS57" s="307" t="n"/>
      <c r="AT57" s="307" t="n"/>
      <c r="AU57" s="307" t="n"/>
      <c r="AV57" s="307" t="n"/>
      <c r="AW57" s="307" t="n"/>
      <c r="AX57" s="307" t="n"/>
      <c r="AY57" s="307" t="n"/>
      <c r="AZ57" s="307" t="n"/>
      <c r="BA57" s="233" t="n"/>
      <c r="BB57" s="307" t="n"/>
      <c r="BC57" s="307" t="n"/>
      <c r="BD57" s="307" t="n"/>
      <c r="BE57" s="307" t="n"/>
      <c r="BF57" s="307" t="n"/>
      <c r="BG57" s="31" t="n"/>
      <c r="BH57" s="31" t="n"/>
      <c r="BI57" s="31" t="n"/>
      <c r="BJ57" s="31" t="n"/>
    </row>
    <row r="58" ht="15.75" customHeight="1" s="349">
      <c r="A58" s="307" t="n"/>
      <c r="B58" s="307" t="n"/>
      <c r="C58" s="307" t="n"/>
      <c r="D58" s="307" t="n"/>
      <c r="E58" s="307" t="n"/>
      <c r="F58" s="307" t="n"/>
      <c r="G58" s="307" t="n"/>
      <c r="H58" s="307" t="n"/>
      <c r="I58" s="307" t="n"/>
      <c r="J58" s="307" t="n"/>
      <c r="K58" s="307" t="n"/>
      <c r="L58" s="307" t="n"/>
      <c r="M58" s="307" t="n"/>
      <c r="N58" s="307" t="n"/>
      <c r="O58" s="307" t="n"/>
      <c r="P58" s="307" t="n"/>
      <c r="Q58" s="307" t="n"/>
      <c r="R58" s="307" t="n"/>
      <c r="S58" s="307" t="n"/>
      <c r="T58" s="307" t="n"/>
      <c r="U58" s="307" t="n"/>
      <c r="V58" s="307" t="n"/>
      <c r="W58" s="307" t="n"/>
      <c r="X58" s="307" t="n"/>
      <c r="Y58" s="307" t="n"/>
      <c r="Z58" s="307" t="n"/>
      <c r="AA58" s="307" t="n"/>
      <c r="AB58" s="307" t="n"/>
      <c r="AC58" s="307" t="n"/>
      <c r="AD58" s="307" t="n"/>
      <c r="AE58" s="307" t="n"/>
      <c r="AF58" s="307" t="n"/>
      <c r="AG58" s="307" t="n"/>
      <c r="AH58" s="307" t="n"/>
      <c r="AI58" s="307" t="n"/>
      <c r="AJ58" s="307" t="n"/>
      <c r="AK58" s="307" t="n"/>
      <c r="AL58" s="307" t="n"/>
      <c r="AM58" s="307" t="n"/>
      <c r="AN58" s="307" t="n"/>
      <c r="AO58" s="307" t="n"/>
      <c r="AP58" s="307" t="n"/>
      <c r="AQ58" s="307" t="n"/>
      <c r="AR58" s="307" t="n"/>
      <c r="AS58" s="307" t="n"/>
      <c r="AT58" s="307" t="n"/>
      <c r="AU58" s="307" t="n"/>
      <c r="AV58" s="307" t="n"/>
      <c r="AW58" s="307" t="n"/>
      <c r="AX58" s="307" t="n"/>
      <c r="AY58" s="307" t="n"/>
      <c r="AZ58" s="307" t="n"/>
      <c r="BA58" s="233" t="n"/>
      <c r="BB58" s="307" t="n"/>
      <c r="BC58" s="307" t="n"/>
      <c r="BD58" s="307" t="n"/>
      <c r="BE58" s="307" t="n"/>
      <c r="BF58" s="307" t="n"/>
      <c r="BG58" s="31" t="n"/>
      <c r="BH58" s="31" t="n"/>
      <c r="BI58" s="31" t="n"/>
      <c r="BJ58" s="31" t="n"/>
    </row>
    <row r="59" ht="15.75" customHeight="1" s="349">
      <c r="A59" s="307" t="n"/>
      <c r="B59" s="307" t="n"/>
      <c r="C59" s="307" t="n"/>
      <c r="D59" s="307" t="n"/>
      <c r="E59" s="307" t="n"/>
      <c r="F59" s="307" t="n"/>
      <c r="G59" s="307" t="n"/>
      <c r="H59" s="307" t="n"/>
      <c r="I59" s="307" t="n"/>
      <c r="J59" s="307" t="n"/>
      <c r="K59" s="307" t="n"/>
      <c r="L59" s="307" t="n"/>
      <c r="M59" s="307" t="n"/>
      <c r="N59" s="307" t="n"/>
      <c r="O59" s="307" t="n"/>
      <c r="P59" s="307" t="n"/>
      <c r="Q59" s="307" t="n"/>
      <c r="R59" s="307" t="n"/>
      <c r="S59" s="307" t="n"/>
      <c r="T59" s="307" t="n"/>
      <c r="U59" s="307" t="n"/>
      <c r="V59" s="307" t="n"/>
      <c r="W59" s="307" t="n"/>
      <c r="X59" s="307" t="n"/>
      <c r="Y59" s="307" t="n"/>
      <c r="Z59" s="307" t="n"/>
      <c r="AA59" s="307" t="n"/>
      <c r="AB59" s="307" t="n"/>
      <c r="AC59" s="307" t="n"/>
      <c r="AD59" s="307" t="n"/>
      <c r="AE59" s="307" t="n"/>
      <c r="AF59" s="307" t="n"/>
      <c r="AG59" s="307" t="n"/>
      <c r="AH59" s="307" t="n"/>
      <c r="AI59" s="307" t="n"/>
      <c r="AJ59" s="307" t="n"/>
      <c r="AK59" s="307" t="n"/>
      <c r="AL59" s="307" t="n"/>
      <c r="AM59" s="307" t="n"/>
      <c r="AN59" s="307" t="n"/>
      <c r="AO59" s="307" t="n"/>
      <c r="AP59" s="307" t="n"/>
      <c r="AQ59" s="307" t="n"/>
      <c r="AR59" s="307" t="n"/>
      <c r="AS59" s="307" t="n"/>
      <c r="AT59" s="307" t="n"/>
      <c r="AU59" s="307" t="n"/>
      <c r="AV59" s="307" t="n"/>
      <c r="AW59" s="307" t="n"/>
      <c r="AX59" s="307" t="n"/>
      <c r="AY59" s="307" t="n"/>
      <c r="AZ59" s="307" t="n"/>
      <c r="BA59" s="233" t="n"/>
      <c r="BB59" s="307" t="n"/>
      <c r="BC59" s="307" t="n"/>
      <c r="BD59" s="307" t="n"/>
      <c r="BE59" s="307" t="n"/>
      <c r="BF59" s="307" t="n"/>
      <c r="BG59" s="31" t="n"/>
      <c r="BH59" s="31" t="n"/>
      <c r="BI59" s="31" t="n"/>
      <c r="BJ59" s="31" t="n"/>
    </row>
    <row r="60" ht="15.75" customHeight="1" s="349">
      <c r="A60" s="307" t="n"/>
      <c r="B60" s="307" t="n"/>
      <c r="C60" s="307" t="n"/>
      <c r="D60" s="307" t="n"/>
      <c r="E60" s="307" t="n"/>
      <c r="F60" s="307" t="n"/>
      <c r="G60" s="307" t="n"/>
      <c r="H60" s="307" t="n"/>
      <c r="I60" s="307" t="n"/>
      <c r="J60" s="307" t="n"/>
      <c r="K60" s="307" t="n"/>
      <c r="L60" s="307" t="n"/>
      <c r="M60" s="307" t="n"/>
      <c r="N60" s="307" t="n"/>
      <c r="O60" s="307" t="n"/>
      <c r="P60" s="307" t="n"/>
      <c r="Q60" s="307" t="n"/>
      <c r="R60" s="307" t="n"/>
      <c r="S60" s="307" t="n"/>
      <c r="T60" s="307" t="n"/>
      <c r="U60" s="307" t="n"/>
      <c r="V60" s="307" t="n"/>
      <c r="W60" s="307" t="n"/>
      <c r="X60" s="307" t="n"/>
      <c r="Y60" s="307" t="n"/>
      <c r="Z60" s="307" t="n"/>
      <c r="AA60" s="307" t="n"/>
      <c r="AB60" s="307" t="n"/>
      <c r="AC60" s="307" t="n"/>
      <c r="AD60" s="307" t="n"/>
      <c r="AE60" s="307" t="n"/>
      <c r="AF60" s="307" t="n"/>
      <c r="AG60" s="307" t="n"/>
      <c r="AH60" s="307" t="n"/>
      <c r="AI60" s="307" t="n"/>
      <c r="AJ60" s="307" t="n"/>
      <c r="AK60" s="307" t="n"/>
      <c r="AL60" s="307" t="n"/>
      <c r="AM60" s="307" t="n"/>
      <c r="AN60" s="307" t="n"/>
      <c r="AO60" s="307" t="n"/>
      <c r="AP60" s="307" t="n"/>
      <c r="AQ60" s="307" t="n"/>
      <c r="AR60" s="307" t="n"/>
      <c r="AS60" s="307" t="n"/>
      <c r="AT60" s="307" t="n"/>
      <c r="AU60" s="307" t="n"/>
      <c r="AV60" s="307" t="n"/>
      <c r="AW60" s="307" t="n"/>
      <c r="AX60" s="307" t="n"/>
      <c r="AY60" s="307" t="n"/>
      <c r="AZ60" s="307" t="n"/>
      <c r="BA60" s="233" t="n"/>
      <c r="BB60" s="307" t="n"/>
      <c r="BC60" s="307" t="n"/>
      <c r="BD60" s="307" t="n"/>
      <c r="BE60" s="307" t="n"/>
      <c r="BF60" s="307" t="n"/>
      <c r="BG60" s="31" t="n"/>
      <c r="BH60" s="31" t="n"/>
      <c r="BI60" s="31" t="n"/>
      <c r="BJ60" s="31" t="n"/>
    </row>
    <row r="61" ht="15.75" customHeight="1" s="349">
      <c r="A61" s="307" t="n"/>
      <c r="B61" s="307" t="n"/>
      <c r="C61" s="307" t="n"/>
      <c r="D61" s="307" t="n"/>
      <c r="E61" s="307" t="n"/>
      <c r="F61" s="307" t="n"/>
      <c r="G61" s="307" t="n"/>
      <c r="H61" s="307" t="n"/>
      <c r="I61" s="307" t="n"/>
      <c r="J61" s="307" t="n"/>
      <c r="K61" s="307" t="n"/>
      <c r="L61" s="307" t="n"/>
      <c r="M61" s="307" t="n"/>
      <c r="N61" s="307" t="n"/>
      <c r="O61" s="307" t="n"/>
      <c r="P61" s="307" t="n"/>
      <c r="Q61" s="307" t="n"/>
      <c r="R61" s="307" t="n"/>
      <c r="S61" s="307" t="n"/>
      <c r="T61" s="307" t="n"/>
      <c r="U61" s="307" t="n"/>
      <c r="V61" s="307" t="n"/>
      <c r="W61" s="307" t="n"/>
      <c r="X61" s="307" t="n"/>
      <c r="Y61" s="307" t="n"/>
      <c r="Z61" s="307" t="n"/>
      <c r="AA61" s="307" t="n"/>
      <c r="AB61" s="307" t="n"/>
      <c r="AC61" s="307" t="n"/>
      <c r="AD61" s="307" t="n"/>
      <c r="AE61" s="307" t="n"/>
      <c r="AF61" s="307" t="n"/>
      <c r="AG61" s="307" t="n"/>
      <c r="AH61" s="307" t="n"/>
      <c r="AI61" s="307" t="n"/>
      <c r="AJ61" s="307" t="n"/>
      <c r="AK61" s="307" t="n"/>
      <c r="AL61" s="307" t="n"/>
      <c r="AM61" s="307" t="n"/>
      <c r="AN61" s="307" t="n"/>
      <c r="AO61" s="307" t="n"/>
      <c r="AP61" s="307" t="n"/>
      <c r="AQ61" s="307" t="n"/>
      <c r="AR61" s="307" t="n"/>
      <c r="AS61" s="307" t="n"/>
      <c r="AT61" s="307" t="n"/>
      <c r="AU61" s="307" t="n"/>
      <c r="AV61" s="307" t="n"/>
      <c r="AW61" s="307" t="n"/>
      <c r="AX61" s="307" t="n"/>
      <c r="AY61" s="307" t="n"/>
      <c r="AZ61" s="307" t="n"/>
      <c r="BA61" s="233" t="n"/>
      <c r="BB61" s="307" t="n"/>
      <c r="BC61" s="307" t="n"/>
      <c r="BD61" s="307" t="n"/>
      <c r="BE61" s="307" t="n"/>
      <c r="BF61" s="307" t="n"/>
      <c r="BG61" s="31" t="n"/>
      <c r="BH61" s="31" t="n"/>
      <c r="BI61" s="31" t="n"/>
      <c r="BJ61" s="31" t="n"/>
    </row>
    <row r="62" ht="15.75" customHeight="1" s="349">
      <c r="A62" s="307" t="n"/>
      <c r="B62" s="307" t="n"/>
      <c r="C62" s="307" t="n"/>
      <c r="D62" s="307" t="n"/>
      <c r="E62" s="307" t="n"/>
      <c r="F62" s="307" t="n"/>
      <c r="G62" s="307" t="n"/>
      <c r="H62" s="307" t="n"/>
      <c r="I62" s="307" t="n"/>
      <c r="J62" s="307" t="n"/>
      <c r="K62" s="307" t="n"/>
      <c r="L62" s="307" t="n"/>
      <c r="M62" s="307" t="n"/>
      <c r="N62" s="307" t="n"/>
      <c r="O62" s="307" t="n"/>
      <c r="P62" s="307" t="n"/>
      <c r="Q62" s="307" t="n"/>
      <c r="R62" s="307" t="n"/>
      <c r="S62" s="307" t="n"/>
      <c r="T62" s="307" t="n"/>
      <c r="U62" s="307" t="n"/>
      <c r="V62" s="307" t="n"/>
      <c r="W62" s="307" t="n"/>
      <c r="X62" s="307" t="n"/>
      <c r="Y62" s="307" t="n"/>
      <c r="Z62" s="307" t="n"/>
      <c r="AA62" s="307" t="n"/>
      <c r="AB62" s="307" t="n"/>
      <c r="AC62" s="307" t="n"/>
      <c r="AD62" s="307" t="n"/>
      <c r="AE62" s="307" t="n"/>
      <c r="AF62" s="307" t="n"/>
      <c r="AG62" s="307" t="n"/>
      <c r="AH62" s="307" t="n"/>
      <c r="AI62" s="307" t="n"/>
      <c r="AJ62" s="307" t="n"/>
      <c r="AK62" s="307" t="n"/>
      <c r="AL62" s="307" t="n"/>
      <c r="AM62" s="307" t="n"/>
      <c r="AN62" s="307" t="n"/>
      <c r="AO62" s="307" t="n"/>
      <c r="AP62" s="307" t="n"/>
      <c r="AQ62" s="307" t="n"/>
      <c r="AR62" s="307" t="n"/>
      <c r="AS62" s="307" t="n"/>
      <c r="AT62" s="307" t="n"/>
      <c r="AU62" s="307" t="n"/>
      <c r="AV62" s="307" t="n"/>
      <c r="AW62" s="307" t="n"/>
      <c r="AX62" s="307" t="n"/>
      <c r="AY62" s="307" t="n"/>
      <c r="AZ62" s="307" t="n"/>
      <c r="BA62" s="233" t="n"/>
      <c r="BB62" s="307" t="n"/>
      <c r="BC62" s="307" t="n"/>
      <c r="BD62" s="307" t="n"/>
      <c r="BE62" s="307" t="n"/>
      <c r="BF62" s="307" t="n"/>
      <c r="BG62" s="31" t="n"/>
      <c r="BH62" s="31" t="n"/>
      <c r="BI62" s="31" t="n"/>
      <c r="BJ62" s="31" t="n"/>
    </row>
    <row r="63" ht="15.75" customHeight="1" s="349">
      <c r="A63" s="307" t="n"/>
      <c r="B63" s="307" t="n"/>
      <c r="C63" s="307" t="n"/>
      <c r="D63" s="307" t="n"/>
      <c r="E63" s="307" t="n"/>
      <c r="F63" s="307" t="n"/>
      <c r="G63" s="307" t="n"/>
      <c r="H63" s="307" t="n"/>
      <c r="I63" s="307" t="n"/>
      <c r="J63" s="307" t="n"/>
      <c r="K63" s="307" t="n"/>
      <c r="L63" s="307" t="n"/>
      <c r="M63" s="307" t="n"/>
      <c r="N63" s="307" t="n"/>
      <c r="O63" s="307" t="n"/>
      <c r="P63" s="307" t="n"/>
      <c r="Q63" s="307" t="n"/>
      <c r="R63" s="307" t="n"/>
      <c r="S63" s="307" t="n"/>
      <c r="T63" s="307" t="n"/>
      <c r="U63" s="307" t="n"/>
      <c r="V63" s="307" t="n"/>
      <c r="W63" s="307" t="n"/>
      <c r="X63" s="307" t="n"/>
      <c r="Y63" s="307" t="n"/>
      <c r="Z63" s="307" t="n"/>
      <c r="AA63" s="307" t="n"/>
      <c r="AB63" s="307" t="n"/>
      <c r="AC63" s="307" t="n"/>
      <c r="AD63" s="307" t="n"/>
      <c r="AE63" s="307" t="n"/>
      <c r="AF63" s="307" t="n"/>
      <c r="AG63" s="307" t="n"/>
      <c r="AH63" s="307" t="n"/>
      <c r="AI63" s="307" t="n"/>
      <c r="AJ63" s="307" t="n"/>
      <c r="AK63" s="307" t="n"/>
      <c r="AL63" s="307" t="n"/>
      <c r="AM63" s="307" t="n"/>
      <c r="AN63" s="307" t="n"/>
      <c r="AO63" s="307" t="n"/>
      <c r="AP63" s="307" t="n"/>
      <c r="AQ63" s="307" t="n"/>
      <c r="AR63" s="307" t="n"/>
      <c r="AS63" s="307" t="n"/>
      <c r="AT63" s="307" t="n"/>
      <c r="AU63" s="307" t="n"/>
      <c r="AV63" s="307" t="n"/>
      <c r="AW63" s="307" t="n"/>
      <c r="AX63" s="307" t="n"/>
      <c r="AY63" s="307" t="n"/>
      <c r="AZ63" s="307" t="n"/>
      <c r="BA63" s="233" t="n"/>
      <c r="BB63" s="307" t="n"/>
      <c r="BC63" s="307" t="n"/>
      <c r="BD63" s="307" t="n"/>
      <c r="BE63" s="307" t="n"/>
      <c r="BF63" s="307" t="n"/>
      <c r="BG63" s="31" t="n"/>
      <c r="BH63" s="31" t="n"/>
      <c r="BI63" s="31" t="n"/>
      <c r="BJ63" s="31" t="n"/>
    </row>
    <row r="64" ht="15.75" customHeight="1" s="349">
      <c r="A64" s="307" t="n"/>
      <c r="B64" s="307" t="n"/>
      <c r="C64" s="307" t="n"/>
      <c r="D64" s="307" t="n"/>
      <c r="E64" s="307" t="n"/>
      <c r="F64" s="307" t="n"/>
      <c r="G64" s="307" t="n"/>
      <c r="H64" s="307" t="n"/>
      <c r="I64" s="307" t="n"/>
      <c r="J64" s="307" t="n"/>
      <c r="K64" s="307" t="n"/>
      <c r="L64" s="307" t="n"/>
      <c r="M64" s="307" t="n"/>
      <c r="N64" s="307" t="n"/>
      <c r="O64" s="307" t="n"/>
      <c r="P64" s="307" t="n"/>
      <c r="Q64" s="307" t="n"/>
      <c r="R64" s="307" t="n"/>
      <c r="S64" s="307" t="n"/>
      <c r="T64" s="307" t="n"/>
      <c r="U64" s="307" t="n"/>
      <c r="V64" s="307" t="n"/>
      <c r="W64" s="307" t="n"/>
      <c r="X64" s="307" t="n"/>
      <c r="Y64" s="307" t="n"/>
      <c r="Z64" s="307" t="n"/>
      <c r="AA64" s="307" t="n"/>
      <c r="AB64" s="307" t="n"/>
      <c r="AC64" s="307" t="n"/>
      <c r="AD64" s="307" t="n"/>
      <c r="AE64" s="307" t="n"/>
      <c r="AF64" s="307" t="n"/>
      <c r="AG64" s="307" t="n"/>
      <c r="AH64" s="307" t="n"/>
      <c r="AI64" s="307" t="n"/>
      <c r="AJ64" s="307" t="n"/>
      <c r="AK64" s="307" t="n"/>
      <c r="AL64" s="307" t="n"/>
      <c r="AM64" s="307" t="n"/>
      <c r="AN64" s="307" t="n"/>
      <c r="AO64" s="307" t="n"/>
      <c r="AP64" s="307" t="n"/>
      <c r="AQ64" s="307" t="n"/>
      <c r="AR64" s="307" t="n"/>
      <c r="AS64" s="307" t="n"/>
      <c r="AT64" s="307" t="n"/>
      <c r="AU64" s="307" t="n"/>
      <c r="AV64" s="307" t="n"/>
      <c r="AW64" s="307" t="n"/>
      <c r="AX64" s="307" t="n"/>
      <c r="AY64" s="307" t="n"/>
      <c r="AZ64" s="307" t="n"/>
      <c r="BA64" s="233" t="n"/>
      <c r="BB64" s="307" t="n"/>
      <c r="BC64" s="307" t="n"/>
      <c r="BD64" s="307" t="n"/>
      <c r="BE64" s="307" t="n"/>
      <c r="BF64" s="307" t="n"/>
      <c r="BG64" s="31" t="n"/>
      <c r="BH64" s="31" t="n"/>
      <c r="BI64" s="31" t="n"/>
      <c r="BJ64" s="31" t="n"/>
    </row>
    <row r="65" ht="15.75" customHeight="1" s="349">
      <c r="A65" s="307" t="n"/>
      <c r="B65" s="307" t="n"/>
      <c r="C65" s="307" t="n"/>
      <c r="D65" s="307" t="n"/>
      <c r="E65" s="307" t="n"/>
      <c r="F65" s="307" t="n"/>
      <c r="G65" s="307" t="n"/>
      <c r="H65" s="307" t="n"/>
      <c r="I65" s="307" t="n"/>
      <c r="J65" s="307" t="n"/>
      <c r="K65" s="307" t="n"/>
      <c r="L65" s="307" t="n"/>
      <c r="M65" s="307" t="n"/>
      <c r="N65" s="307" t="n"/>
      <c r="O65" s="307" t="n"/>
      <c r="P65" s="307" t="n"/>
      <c r="Q65" s="307" t="n"/>
      <c r="R65" s="307" t="n"/>
      <c r="S65" s="307" t="n"/>
      <c r="T65" s="307" t="n"/>
      <c r="U65" s="307" t="n"/>
      <c r="V65" s="307" t="n"/>
      <c r="W65" s="307" t="n"/>
      <c r="X65" s="307" t="n"/>
      <c r="Y65" s="307" t="n"/>
      <c r="Z65" s="307" t="n"/>
      <c r="AA65" s="307" t="n"/>
      <c r="AB65" s="307" t="n"/>
      <c r="AC65" s="307" t="n"/>
      <c r="AD65" s="307" t="n"/>
      <c r="AE65" s="307" t="n"/>
      <c r="AF65" s="307" t="n"/>
      <c r="AG65" s="307" t="n"/>
      <c r="AH65" s="307" t="n"/>
      <c r="AI65" s="307" t="n"/>
      <c r="AJ65" s="307" t="n"/>
      <c r="AK65" s="307" t="n"/>
      <c r="AL65" s="307" t="n"/>
      <c r="AM65" s="307" t="n"/>
      <c r="AN65" s="307" t="n"/>
      <c r="AO65" s="307" t="n"/>
      <c r="AP65" s="307" t="n"/>
      <c r="AQ65" s="307" t="n"/>
      <c r="AR65" s="307" t="n"/>
      <c r="AS65" s="307" t="n"/>
      <c r="AT65" s="307" t="n"/>
      <c r="AU65" s="307" t="n"/>
      <c r="AV65" s="307" t="n"/>
      <c r="AW65" s="307" t="n"/>
      <c r="AX65" s="307" t="n"/>
      <c r="AY65" s="307" t="n"/>
      <c r="AZ65" s="307" t="n"/>
      <c r="BA65" s="233" t="n"/>
      <c r="BB65" s="307" t="n"/>
      <c r="BC65" s="307" t="n"/>
      <c r="BD65" s="307" t="n"/>
      <c r="BE65" s="307" t="n"/>
      <c r="BF65" s="307" t="n"/>
      <c r="BG65" s="31" t="n"/>
      <c r="BH65" s="31" t="n"/>
      <c r="BI65" s="31" t="n"/>
      <c r="BJ65" s="31" t="n"/>
    </row>
    <row r="66" ht="15.75" customHeight="1" s="349">
      <c r="A66" s="307" t="n"/>
      <c r="B66" s="307" t="n"/>
      <c r="C66" s="307" t="n"/>
      <c r="D66" s="307" t="n"/>
      <c r="E66" s="307" t="n"/>
      <c r="F66" s="307" t="n"/>
      <c r="G66" s="307" t="n"/>
      <c r="H66" s="307" t="n"/>
      <c r="I66" s="307" t="n"/>
      <c r="J66" s="307" t="n"/>
      <c r="K66" s="307" t="n"/>
      <c r="L66" s="307" t="n"/>
      <c r="M66" s="307" t="n"/>
      <c r="N66" s="307" t="n"/>
      <c r="O66" s="307" t="n"/>
      <c r="P66" s="307" t="n"/>
      <c r="Q66" s="307" t="n"/>
      <c r="R66" s="307" t="n"/>
      <c r="S66" s="307" t="n"/>
      <c r="T66" s="307" t="n"/>
      <c r="U66" s="307" t="n"/>
      <c r="V66" s="307" t="n"/>
      <c r="W66" s="307" t="n"/>
      <c r="X66" s="307" t="n"/>
      <c r="Y66" s="307" t="n"/>
      <c r="Z66" s="307" t="n"/>
      <c r="AA66" s="307" t="n"/>
      <c r="AB66" s="307" t="n"/>
      <c r="AC66" s="307" t="n"/>
      <c r="AD66" s="307" t="n"/>
      <c r="AE66" s="307" t="n"/>
      <c r="AF66" s="307" t="n"/>
      <c r="AG66" s="307" t="n"/>
      <c r="AH66" s="307" t="n"/>
      <c r="AI66" s="307" t="n"/>
      <c r="AJ66" s="307" t="n"/>
      <c r="AK66" s="307" t="n"/>
      <c r="AL66" s="307" t="n"/>
      <c r="AM66" s="307" t="n"/>
      <c r="AN66" s="307" t="n"/>
      <c r="AO66" s="307" t="n"/>
      <c r="AP66" s="307" t="n"/>
      <c r="AQ66" s="307" t="n"/>
      <c r="AR66" s="307" t="n"/>
      <c r="AS66" s="307" t="n"/>
      <c r="AT66" s="307" t="n"/>
      <c r="AU66" s="307" t="n"/>
      <c r="AV66" s="307" t="n"/>
      <c r="AW66" s="307" t="n"/>
      <c r="AX66" s="307" t="n"/>
      <c r="AY66" s="307" t="n"/>
      <c r="AZ66" s="307" t="n"/>
      <c r="BA66" s="233" t="n"/>
      <c r="BB66" s="307" t="n"/>
      <c r="BC66" s="307" t="n"/>
      <c r="BD66" s="307" t="n"/>
      <c r="BE66" s="307" t="n"/>
      <c r="BF66" s="307" t="n"/>
      <c r="BG66" s="31" t="n"/>
      <c r="BH66" s="31" t="n"/>
      <c r="BI66" s="31" t="n"/>
      <c r="BJ66" s="31" t="n"/>
    </row>
    <row r="67" ht="15.75" customHeight="1" s="349">
      <c r="A67" s="307" t="n"/>
      <c r="B67" s="307" t="n"/>
      <c r="C67" s="307" t="n"/>
      <c r="D67" s="307" t="n"/>
      <c r="E67" s="307" t="n"/>
      <c r="F67" s="307" t="n"/>
      <c r="G67" s="307" t="n"/>
      <c r="H67" s="307" t="n"/>
      <c r="I67" s="307" t="n"/>
      <c r="J67" s="307" t="n"/>
      <c r="K67" s="307" t="n"/>
      <c r="L67" s="307" t="n"/>
      <c r="M67" s="307" t="n"/>
      <c r="N67" s="307" t="n"/>
      <c r="O67" s="307" t="n"/>
      <c r="P67" s="307" t="n"/>
      <c r="Q67" s="307" t="n"/>
      <c r="R67" s="307" t="n"/>
      <c r="S67" s="307" t="n"/>
      <c r="T67" s="307" t="n"/>
      <c r="U67" s="307" t="n"/>
      <c r="V67" s="307" t="n"/>
      <c r="W67" s="307" t="n"/>
      <c r="X67" s="307" t="n"/>
      <c r="Y67" s="307" t="n"/>
      <c r="Z67" s="307" t="n"/>
      <c r="AA67" s="307" t="n"/>
      <c r="AB67" s="307" t="n"/>
      <c r="AC67" s="307" t="n"/>
      <c r="AD67" s="307" t="n"/>
      <c r="AE67" s="307" t="n"/>
      <c r="AF67" s="307" t="n"/>
      <c r="AG67" s="307" t="n"/>
      <c r="AH67" s="307" t="n"/>
      <c r="AI67" s="307" t="n"/>
      <c r="AJ67" s="307" t="n"/>
      <c r="AK67" s="307" t="n"/>
      <c r="AL67" s="307" t="n"/>
      <c r="AM67" s="307" t="n"/>
      <c r="AN67" s="307" t="n"/>
      <c r="AO67" s="307" t="n"/>
      <c r="AP67" s="307" t="n"/>
      <c r="AQ67" s="307" t="n"/>
      <c r="AR67" s="307" t="n"/>
      <c r="AS67" s="307" t="n"/>
      <c r="AT67" s="307" t="n"/>
      <c r="AU67" s="307" t="n"/>
      <c r="AV67" s="307" t="n"/>
      <c r="AW67" s="307" t="n"/>
      <c r="AX67" s="307" t="n"/>
      <c r="AY67" s="307" t="n"/>
      <c r="AZ67" s="307" t="n"/>
      <c r="BA67" s="233" t="n"/>
      <c r="BB67" s="307" t="n"/>
      <c r="BC67" s="307" t="n"/>
      <c r="BD67" s="307" t="n"/>
      <c r="BE67" s="307" t="n"/>
      <c r="BF67" s="307" t="n"/>
      <c r="BG67" s="31" t="n"/>
      <c r="BH67" s="31" t="n"/>
      <c r="BI67" s="31" t="n"/>
      <c r="BJ67" s="31" t="n"/>
    </row>
    <row r="68" ht="15.75" customHeight="1" s="349">
      <c r="A68" s="307" t="n"/>
      <c r="B68" s="307" t="n"/>
      <c r="C68" s="307" t="n"/>
      <c r="D68" s="307" t="n"/>
      <c r="E68" s="307" t="n"/>
      <c r="F68" s="307" t="n"/>
      <c r="G68" s="307" t="n"/>
      <c r="H68" s="307" t="n"/>
      <c r="I68" s="307" t="n"/>
      <c r="J68" s="307" t="n"/>
      <c r="K68" s="307" t="n"/>
      <c r="L68" s="307" t="n"/>
      <c r="M68" s="307" t="n"/>
      <c r="N68" s="307" t="n"/>
      <c r="O68" s="307" t="n"/>
      <c r="P68" s="307" t="n"/>
      <c r="Q68" s="307" t="n"/>
      <c r="R68" s="307" t="n"/>
      <c r="S68" s="307" t="n"/>
      <c r="T68" s="307" t="n"/>
      <c r="U68" s="307" t="n"/>
      <c r="V68" s="307" t="n"/>
      <c r="W68" s="307" t="n"/>
      <c r="X68" s="307" t="n"/>
      <c r="Y68" s="307" t="n"/>
      <c r="Z68" s="307" t="n"/>
      <c r="AA68" s="307" t="n"/>
      <c r="AB68" s="307" t="n"/>
      <c r="AC68" s="307" t="n"/>
      <c r="AD68" s="307" t="n"/>
      <c r="AE68" s="307" t="n"/>
      <c r="AF68" s="307" t="n"/>
      <c r="AG68" s="307" t="n"/>
      <c r="AH68" s="307" t="n"/>
      <c r="AI68" s="307" t="n"/>
      <c r="AJ68" s="307" t="n"/>
      <c r="AK68" s="307" t="n"/>
      <c r="AL68" s="307" t="n"/>
      <c r="AM68" s="307" t="n"/>
      <c r="AN68" s="307" t="n"/>
      <c r="AO68" s="307" t="n"/>
      <c r="AP68" s="307" t="n"/>
      <c r="AQ68" s="307" t="n"/>
      <c r="AR68" s="307" t="n"/>
      <c r="AS68" s="307" t="n"/>
      <c r="AT68" s="307" t="n"/>
      <c r="AU68" s="307" t="n"/>
      <c r="AV68" s="307" t="n"/>
      <c r="AW68" s="307" t="n"/>
      <c r="AX68" s="307" t="n"/>
      <c r="AY68" s="307" t="n"/>
      <c r="AZ68" s="307" t="n"/>
      <c r="BA68" s="233" t="n"/>
      <c r="BB68" s="307" t="n"/>
      <c r="BC68" s="307" t="n"/>
      <c r="BD68" s="307" t="n"/>
      <c r="BE68" s="307" t="n"/>
      <c r="BF68" s="307" t="n"/>
      <c r="BG68" s="31" t="n"/>
      <c r="BH68" s="31" t="n"/>
      <c r="BI68" s="31" t="n"/>
      <c r="BJ68" s="31" t="n"/>
    </row>
    <row r="69" ht="15.75" customHeight="1" s="349">
      <c r="A69" s="307" t="n"/>
      <c r="B69" s="307" t="n"/>
      <c r="C69" s="307" t="n"/>
      <c r="D69" s="307" t="n"/>
      <c r="E69" s="307" t="n"/>
      <c r="F69" s="307" t="n"/>
      <c r="G69" s="307" t="n"/>
      <c r="H69" s="307" t="n"/>
      <c r="I69" s="307" t="n"/>
      <c r="J69" s="307" t="n"/>
      <c r="K69" s="307" t="n"/>
      <c r="L69" s="307" t="n"/>
      <c r="M69" s="307" t="n"/>
      <c r="N69" s="307" t="n"/>
      <c r="O69" s="307" t="n"/>
      <c r="P69" s="307" t="n"/>
      <c r="Q69" s="307" t="n"/>
      <c r="R69" s="307" t="n"/>
      <c r="S69" s="307" t="n"/>
      <c r="T69" s="307" t="n"/>
      <c r="U69" s="307" t="n"/>
      <c r="V69" s="307" t="n"/>
      <c r="W69" s="307" t="n"/>
      <c r="X69" s="307" t="n"/>
      <c r="Y69" s="307" t="n"/>
      <c r="Z69" s="307" t="n"/>
      <c r="AA69" s="307" t="n"/>
      <c r="AB69" s="307" t="n"/>
      <c r="AC69" s="307" t="n"/>
      <c r="AD69" s="307" t="n"/>
      <c r="AE69" s="307" t="n"/>
      <c r="AF69" s="307" t="n"/>
      <c r="AG69" s="307" t="n"/>
      <c r="AH69" s="307" t="n"/>
      <c r="AI69" s="307" t="n"/>
      <c r="AJ69" s="307" t="n"/>
      <c r="AK69" s="307" t="n"/>
      <c r="AL69" s="307" t="n"/>
      <c r="AM69" s="307" t="n"/>
      <c r="AN69" s="307" t="n"/>
      <c r="AO69" s="307" t="n"/>
      <c r="AP69" s="307" t="n"/>
      <c r="AQ69" s="307" t="n"/>
      <c r="AR69" s="307" t="n"/>
      <c r="AS69" s="307" t="n"/>
      <c r="AT69" s="307" t="n"/>
      <c r="AU69" s="307" t="n"/>
      <c r="AV69" s="307" t="n"/>
      <c r="AW69" s="307" t="n"/>
      <c r="AX69" s="307" t="n"/>
      <c r="AY69" s="307" t="n"/>
      <c r="AZ69" s="307" t="n"/>
      <c r="BA69" s="233" t="n"/>
      <c r="BB69" s="307" t="n"/>
      <c r="BC69" s="307" t="n"/>
      <c r="BD69" s="307" t="n"/>
      <c r="BE69" s="307" t="n"/>
      <c r="BF69" s="307" t="n"/>
      <c r="BG69" s="31" t="n"/>
      <c r="BH69" s="31" t="n"/>
      <c r="BI69" s="31" t="n"/>
      <c r="BJ69" s="31" t="n"/>
    </row>
    <row r="70" ht="15.75" customHeight="1" s="349">
      <c r="A70" s="307" t="n"/>
      <c r="B70" s="307" t="n"/>
      <c r="C70" s="307" t="n"/>
      <c r="D70" s="307" t="n"/>
      <c r="E70" s="307" t="n"/>
      <c r="F70" s="307" t="n"/>
      <c r="G70" s="307" t="n"/>
      <c r="H70" s="307" t="n"/>
      <c r="I70" s="307" t="n"/>
      <c r="J70" s="307" t="n"/>
      <c r="K70" s="307" t="n"/>
      <c r="L70" s="307" t="n"/>
      <c r="M70" s="307" t="n"/>
      <c r="N70" s="307" t="n"/>
      <c r="O70" s="307" t="n"/>
      <c r="P70" s="307" t="n"/>
      <c r="Q70" s="307" t="n"/>
      <c r="R70" s="307" t="n"/>
      <c r="S70" s="307" t="n"/>
      <c r="T70" s="307" t="n"/>
      <c r="U70" s="307" t="n"/>
      <c r="V70" s="307" t="n"/>
      <c r="W70" s="307" t="n"/>
      <c r="X70" s="307" t="n"/>
      <c r="Y70" s="307" t="n"/>
      <c r="Z70" s="307" t="n"/>
      <c r="AA70" s="307" t="n"/>
      <c r="AB70" s="307" t="n"/>
      <c r="AC70" s="307" t="n"/>
      <c r="AD70" s="307" t="n"/>
      <c r="AE70" s="307" t="n"/>
      <c r="AF70" s="307" t="n"/>
      <c r="AG70" s="307" t="n"/>
      <c r="AH70" s="307" t="n"/>
      <c r="AI70" s="307" t="n"/>
      <c r="AJ70" s="307" t="n"/>
      <c r="AK70" s="307" t="n"/>
      <c r="AL70" s="307" t="n"/>
      <c r="AM70" s="307" t="n"/>
      <c r="AN70" s="307" t="n"/>
      <c r="AO70" s="307" t="n"/>
      <c r="AP70" s="307" t="n"/>
      <c r="AQ70" s="307" t="n"/>
      <c r="AR70" s="307" t="n"/>
      <c r="AS70" s="307" t="n"/>
      <c r="AT70" s="307" t="n"/>
      <c r="AU70" s="307" t="n"/>
      <c r="AV70" s="307" t="n"/>
      <c r="AW70" s="307" t="n"/>
      <c r="AX70" s="307" t="n"/>
      <c r="AY70" s="307" t="n"/>
      <c r="AZ70" s="307" t="n"/>
      <c r="BA70" s="233" t="n"/>
      <c r="BB70" s="307" t="n"/>
      <c r="BC70" s="307" t="n"/>
      <c r="BD70" s="307" t="n"/>
      <c r="BE70" s="307" t="n"/>
      <c r="BF70" s="307" t="n"/>
      <c r="BG70" s="31" t="n"/>
      <c r="BH70" s="31" t="n"/>
      <c r="BI70" s="31" t="n"/>
      <c r="BJ70" s="31" t="n"/>
    </row>
    <row r="71" ht="15.75" customHeight="1" s="349">
      <c r="A71" s="307" t="n"/>
      <c r="B71" s="307" t="n"/>
      <c r="C71" s="307" t="n"/>
      <c r="D71" s="307" t="n"/>
      <c r="E71" s="307" t="n"/>
      <c r="F71" s="307" t="n"/>
      <c r="G71" s="307" t="n"/>
      <c r="H71" s="307" t="n"/>
      <c r="I71" s="307" t="n"/>
      <c r="J71" s="307" t="n"/>
      <c r="K71" s="307" t="n"/>
      <c r="L71" s="307" t="n"/>
      <c r="M71" s="307" t="n"/>
      <c r="N71" s="307" t="n"/>
      <c r="O71" s="307" t="n"/>
      <c r="P71" s="307" t="n"/>
      <c r="Q71" s="307" t="n"/>
      <c r="R71" s="307" t="n"/>
      <c r="S71" s="307" t="n"/>
      <c r="T71" s="307" t="n"/>
      <c r="U71" s="307" t="n"/>
      <c r="V71" s="307" t="n"/>
      <c r="W71" s="307" t="n"/>
      <c r="X71" s="307" t="n"/>
      <c r="Y71" s="307" t="n"/>
      <c r="Z71" s="307" t="n"/>
      <c r="AA71" s="307" t="n"/>
      <c r="AB71" s="307" t="n"/>
      <c r="AC71" s="307" t="n"/>
      <c r="AD71" s="307" t="n"/>
      <c r="AE71" s="307" t="n"/>
      <c r="AF71" s="307" t="n"/>
      <c r="AG71" s="307" t="n"/>
      <c r="AH71" s="307" t="n"/>
      <c r="AI71" s="307" t="n"/>
      <c r="AJ71" s="307" t="n"/>
      <c r="AK71" s="307" t="n"/>
      <c r="AL71" s="307" t="n"/>
      <c r="AM71" s="307" t="n"/>
      <c r="AN71" s="307" t="n"/>
      <c r="AO71" s="307" t="n"/>
      <c r="AP71" s="307" t="n"/>
      <c r="AQ71" s="307" t="n"/>
      <c r="AR71" s="307" t="n"/>
      <c r="AS71" s="307" t="n"/>
      <c r="AT71" s="307" t="n"/>
      <c r="AU71" s="307" t="n"/>
      <c r="AV71" s="307" t="n"/>
      <c r="AW71" s="307" t="n"/>
      <c r="AX71" s="307" t="n"/>
      <c r="AY71" s="307" t="n"/>
      <c r="AZ71" s="307" t="n"/>
      <c r="BA71" s="233" t="n"/>
      <c r="BB71" s="307" t="n"/>
      <c r="BC71" s="307" t="n"/>
      <c r="BD71" s="307" t="n"/>
      <c r="BE71" s="307" t="n"/>
      <c r="BF71" s="307" t="n"/>
      <c r="BG71" s="31" t="n"/>
      <c r="BH71" s="31" t="n"/>
      <c r="BI71" s="31" t="n"/>
      <c r="BJ71" s="31" t="n"/>
    </row>
    <row r="72" ht="15.75" customHeight="1" s="349">
      <c r="A72" s="307" t="n"/>
      <c r="B72" s="307" t="n"/>
      <c r="C72" s="307" t="n"/>
      <c r="D72" s="307" t="n"/>
      <c r="E72" s="307" t="n"/>
      <c r="F72" s="307" t="n"/>
      <c r="G72" s="307" t="n"/>
      <c r="H72" s="307" t="n"/>
      <c r="I72" s="307" t="n"/>
      <c r="J72" s="307" t="n"/>
      <c r="K72" s="307" t="n"/>
      <c r="L72" s="307" t="n"/>
      <c r="M72" s="307" t="n"/>
      <c r="N72" s="307" t="n"/>
      <c r="O72" s="307" t="n"/>
      <c r="P72" s="307" t="n"/>
      <c r="Q72" s="307" t="n"/>
      <c r="R72" s="307" t="n"/>
      <c r="S72" s="307" t="n"/>
      <c r="T72" s="307" t="n"/>
      <c r="U72" s="307" t="n"/>
      <c r="V72" s="307" t="n"/>
      <c r="W72" s="307" t="n"/>
      <c r="X72" s="307" t="n"/>
      <c r="Y72" s="307" t="n"/>
      <c r="Z72" s="307" t="n"/>
      <c r="AA72" s="307" t="n"/>
      <c r="AB72" s="307" t="n"/>
      <c r="AC72" s="307" t="n"/>
      <c r="AD72" s="307" t="n"/>
      <c r="AE72" s="307" t="n"/>
      <c r="AF72" s="307" t="n"/>
      <c r="AG72" s="307" t="n"/>
      <c r="AH72" s="307" t="n"/>
      <c r="AI72" s="307" t="n"/>
      <c r="AJ72" s="307" t="n"/>
      <c r="AK72" s="307" t="n"/>
      <c r="AL72" s="307" t="n"/>
      <c r="AM72" s="307" t="n"/>
      <c r="AN72" s="307" t="n"/>
      <c r="AO72" s="307" t="n"/>
      <c r="AP72" s="307" t="n"/>
      <c r="AQ72" s="307" t="n"/>
      <c r="AR72" s="307" t="n"/>
      <c r="AS72" s="307" t="n"/>
      <c r="AT72" s="307" t="n"/>
      <c r="AU72" s="307" t="n"/>
      <c r="AV72" s="307" t="n"/>
      <c r="AW72" s="307" t="n"/>
      <c r="AX72" s="307" t="n"/>
      <c r="AY72" s="307" t="n"/>
      <c r="AZ72" s="307" t="n"/>
      <c r="BA72" s="233" t="n"/>
      <c r="BB72" s="307" t="n"/>
      <c r="BC72" s="307" t="n"/>
      <c r="BD72" s="307" t="n"/>
      <c r="BE72" s="307" t="n"/>
      <c r="BF72" s="307" t="n"/>
      <c r="BG72" s="31" t="n"/>
      <c r="BH72" s="31" t="n"/>
      <c r="BI72" s="31" t="n"/>
      <c r="BJ72" s="31" t="n"/>
    </row>
    <row r="73" ht="15.75" customHeight="1" s="349">
      <c r="A73" s="307" t="n"/>
      <c r="B73" s="307" t="n"/>
      <c r="C73" s="307" t="n"/>
      <c r="D73" s="307" t="n"/>
      <c r="E73" s="307" t="n"/>
      <c r="F73" s="307" t="n"/>
      <c r="G73" s="307" t="n"/>
      <c r="H73" s="307" t="n"/>
      <c r="I73" s="307" t="n"/>
      <c r="J73" s="307" t="n"/>
      <c r="K73" s="307" t="n"/>
      <c r="L73" s="307" t="n"/>
      <c r="M73" s="307" t="n"/>
      <c r="N73" s="307" t="n"/>
      <c r="O73" s="307" t="n"/>
      <c r="P73" s="307" t="n"/>
      <c r="Q73" s="307" t="n"/>
      <c r="R73" s="307" t="n"/>
      <c r="S73" s="307" t="n"/>
      <c r="T73" s="307" t="n"/>
      <c r="U73" s="307" t="n"/>
      <c r="V73" s="307" t="n"/>
      <c r="W73" s="307" t="n"/>
      <c r="X73" s="307" t="n"/>
      <c r="Y73" s="307" t="n"/>
      <c r="Z73" s="307" t="n"/>
      <c r="AA73" s="307" t="n"/>
      <c r="AB73" s="307" t="n"/>
      <c r="AC73" s="307" t="n"/>
      <c r="AD73" s="307" t="n"/>
      <c r="AE73" s="307" t="n"/>
      <c r="AF73" s="307" t="n"/>
      <c r="AG73" s="307" t="n"/>
      <c r="AH73" s="307" t="n"/>
      <c r="AI73" s="307" t="n"/>
      <c r="AJ73" s="307" t="n"/>
      <c r="AK73" s="307" t="n"/>
      <c r="AL73" s="307" t="n"/>
      <c r="AM73" s="307" t="n"/>
      <c r="AN73" s="307" t="n"/>
      <c r="AO73" s="307" t="n"/>
      <c r="AP73" s="307" t="n"/>
      <c r="AQ73" s="307" t="n"/>
      <c r="AR73" s="307" t="n"/>
      <c r="AS73" s="307" t="n"/>
      <c r="AT73" s="307" t="n"/>
      <c r="AU73" s="307" t="n"/>
      <c r="AV73" s="307" t="n"/>
      <c r="AW73" s="307" t="n"/>
      <c r="AX73" s="307" t="n"/>
      <c r="AY73" s="307" t="n"/>
      <c r="AZ73" s="307" t="n"/>
      <c r="BA73" s="233" t="n"/>
      <c r="BB73" s="307" t="n"/>
      <c r="BC73" s="307" t="n"/>
      <c r="BD73" s="307" t="n"/>
      <c r="BE73" s="307" t="n"/>
      <c r="BF73" s="307" t="n"/>
      <c r="BG73" s="31" t="n"/>
      <c r="BH73" s="31" t="n"/>
      <c r="BI73" s="31" t="n"/>
      <c r="BJ73" s="31" t="n"/>
    </row>
    <row r="74" ht="15.75" customHeight="1" s="349">
      <c r="A74" s="307" t="n"/>
      <c r="B74" s="307" t="n"/>
      <c r="C74" s="307" t="n"/>
      <c r="D74" s="307" t="n"/>
      <c r="E74" s="307" t="n"/>
      <c r="F74" s="307" t="n"/>
      <c r="G74" s="307" t="n"/>
      <c r="H74" s="307" t="n"/>
      <c r="I74" s="307" t="n"/>
      <c r="J74" s="307" t="n"/>
      <c r="K74" s="307" t="n"/>
      <c r="L74" s="307" t="n"/>
      <c r="M74" s="307" t="n"/>
      <c r="N74" s="307" t="n"/>
      <c r="O74" s="307" t="n"/>
      <c r="P74" s="307" t="n"/>
      <c r="Q74" s="307" t="n"/>
      <c r="R74" s="307" t="n"/>
      <c r="S74" s="307" t="n"/>
      <c r="T74" s="307" t="n"/>
      <c r="U74" s="307" t="n"/>
      <c r="V74" s="307" t="n"/>
      <c r="W74" s="307" t="n"/>
      <c r="X74" s="307" t="n"/>
      <c r="Y74" s="307" t="n"/>
      <c r="Z74" s="307" t="n"/>
      <c r="AA74" s="307" t="n"/>
      <c r="AB74" s="307" t="n"/>
      <c r="AC74" s="307" t="n"/>
      <c r="AD74" s="307" t="n"/>
      <c r="AE74" s="307" t="n"/>
      <c r="AF74" s="307" t="n"/>
      <c r="AG74" s="307" t="n"/>
      <c r="AH74" s="307" t="n"/>
      <c r="AI74" s="307" t="n"/>
      <c r="AJ74" s="307" t="n"/>
      <c r="AK74" s="307" t="n"/>
      <c r="AL74" s="307" t="n"/>
      <c r="AM74" s="307" t="n"/>
      <c r="AN74" s="307" t="n"/>
      <c r="AO74" s="307" t="n"/>
      <c r="AP74" s="307" t="n"/>
      <c r="AQ74" s="307" t="n"/>
      <c r="AR74" s="307" t="n"/>
      <c r="AS74" s="307" t="n"/>
      <c r="AT74" s="307" t="n"/>
      <c r="AU74" s="307" t="n"/>
      <c r="AV74" s="307" t="n"/>
      <c r="AW74" s="307" t="n"/>
      <c r="AX74" s="307" t="n"/>
      <c r="AY74" s="307" t="n"/>
      <c r="AZ74" s="307" t="n"/>
      <c r="BA74" s="233" t="n"/>
      <c r="BB74" s="307" t="n"/>
      <c r="BC74" s="307" t="n"/>
      <c r="BD74" s="307" t="n"/>
      <c r="BE74" s="307" t="n"/>
      <c r="BF74" s="307" t="n"/>
      <c r="BG74" s="31" t="n"/>
      <c r="BH74" s="31" t="n"/>
      <c r="BI74" s="31" t="n"/>
      <c r="BJ74" s="31" t="n"/>
    </row>
    <row r="75" ht="15.75" customHeight="1" s="349">
      <c r="A75" s="307" t="n"/>
      <c r="B75" s="307" t="n"/>
      <c r="C75" s="307" t="n"/>
      <c r="D75" s="307" t="n"/>
      <c r="E75" s="307" t="n"/>
      <c r="F75" s="307" t="n"/>
      <c r="G75" s="307" t="n"/>
      <c r="H75" s="307" t="n"/>
      <c r="I75" s="307" t="n"/>
      <c r="J75" s="307" t="n"/>
      <c r="K75" s="307" t="n"/>
      <c r="L75" s="307" t="n"/>
      <c r="M75" s="307" t="n"/>
      <c r="N75" s="307" t="n"/>
      <c r="O75" s="307" t="n"/>
      <c r="P75" s="307" t="n"/>
      <c r="Q75" s="307" t="n"/>
      <c r="R75" s="307" t="n"/>
      <c r="S75" s="307" t="n"/>
      <c r="T75" s="307" t="n"/>
      <c r="U75" s="307" t="n"/>
      <c r="V75" s="307" t="n"/>
      <c r="W75" s="307" t="n"/>
      <c r="X75" s="307" t="n"/>
      <c r="Y75" s="307" t="n"/>
      <c r="Z75" s="307" t="n"/>
      <c r="AA75" s="307" t="n"/>
      <c r="AB75" s="307" t="n"/>
      <c r="AC75" s="307" t="n"/>
      <c r="AD75" s="307" t="n"/>
      <c r="AE75" s="307" t="n"/>
      <c r="AF75" s="307" t="n"/>
      <c r="AG75" s="307" t="n"/>
      <c r="AH75" s="307" t="n"/>
      <c r="AI75" s="307" t="n"/>
      <c r="AJ75" s="307" t="n"/>
      <c r="AK75" s="307" t="n"/>
      <c r="AL75" s="307" t="n"/>
      <c r="AM75" s="307" t="n"/>
      <c r="AN75" s="307" t="n"/>
      <c r="AO75" s="307" t="n"/>
      <c r="AP75" s="307" t="n"/>
      <c r="AQ75" s="307" t="n"/>
      <c r="AR75" s="307" t="n"/>
      <c r="AS75" s="307" t="n"/>
      <c r="AT75" s="307" t="n"/>
      <c r="AU75" s="307" t="n"/>
      <c r="AV75" s="307" t="n"/>
      <c r="AW75" s="307" t="n"/>
      <c r="AX75" s="307" t="n"/>
      <c r="AY75" s="307" t="n"/>
      <c r="AZ75" s="307" t="n"/>
      <c r="BA75" s="233" t="n"/>
      <c r="BB75" s="307" t="n"/>
      <c r="BC75" s="307" t="n"/>
      <c r="BD75" s="307" t="n"/>
      <c r="BE75" s="307" t="n"/>
      <c r="BF75" s="307" t="n"/>
      <c r="BG75" s="31" t="n"/>
      <c r="BH75" s="31" t="n"/>
      <c r="BI75" s="31" t="n"/>
      <c r="BJ75" s="31" t="n"/>
    </row>
    <row r="76" ht="15.75" customHeight="1" s="349">
      <c r="A76" s="307" t="n"/>
      <c r="B76" s="307" t="n"/>
      <c r="C76" s="307" t="n"/>
      <c r="D76" s="307" t="n"/>
      <c r="E76" s="307" t="n"/>
      <c r="F76" s="307" t="n"/>
      <c r="G76" s="307" t="n"/>
      <c r="H76" s="307" t="n"/>
      <c r="I76" s="307" t="n"/>
      <c r="J76" s="307" t="n"/>
      <c r="K76" s="307" t="n"/>
      <c r="L76" s="307" t="n"/>
      <c r="M76" s="307" t="n"/>
      <c r="N76" s="307" t="n"/>
      <c r="O76" s="307" t="n"/>
      <c r="P76" s="307" t="n"/>
      <c r="Q76" s="307" t="n"/>
      <c r="R76" s="307" t="n"/>
      <c r="S76" s="307" t="n"/>
      <c r="T76" s="307" t="n"/>
      <c r="U76" s="307" t="n"/>
      <c r="V76" s="307" t="n"/>
      <c r="W76" s="307" t="n"/>
      <c r="X76" s="307" t="n"/>
      <c r="Y76" s="307" t="n"/>
      <c r="Z76" s="307" t="n"/>
      <c r="AA76" s="307" t="n"/>
      <c r="AB76" s="307" t="n"/>
      <c r="AC76" s="307" t="n"/>
      <c r="AD76" s="307" t="n"/>
      <c r="AE76" s="307" t="n"/>
      <c r="AF76" s="307" t="n"/>
      <c r="AG76" s="307" t="n"/>
      <c r="AH76" s="307" t="n"/>
      <c r="AI76" s="307" t="n"/>
      <c r="AJ76" s="307" t="n"/>
      <c r="AK76" s="307" t="n"/>
      <c r="AL76" s="307" t="n"/>
      <c r="AM76" s="307" t="n"/>
      <c r="AN76" s="307" t="n"/>
      <c r="AO76" s="307" t="n"/>
      <c r="AP76" s="307" t="n"/>
      <c r="AQ76" s="307" t="n"/>
      <c r="AR76" s="307" t="n"/>
      <c r="AS76" s="307" t="n"/>
      <c r="AT76" s="307" t="n"/>
      <c r="AU76" s="307" t="n"/>
      <c r="AV76" s="307" t="n"/>
      <c r="AW76" s="307" t="n"/>
      <c r="AX76" s="307" t="n"/>
      <c r="AY76" s="307" t="n"/>
      <c r="AZ76" s="307" t="n"/>
      <c r="BA76" s="233" t="n"/>
      <c r="BB76" s="307" t="n"/>
      <c r="BC76" s="307" t="n"/>
      <c r="BD76" s="307" t="n"/>
      <c r="BE76" s="307" t="n"/>
      <c r="BF76" s="307" t="n"/>
      <c r="BG76" s="31" t="n"/>
      <c r="BH76" s="31" t="n"/>
      <c r="BI76" s="31" t="n"/>
      <c r="BJ76" s="31" t="n"/>
    </row>
    <row r="77" ht="15.75" customHeight="1" s="349">
      <c r="A77" s="307" t="n"/>
      <c r="B77" s="307" t="n"/>
      <c r="C77" s="307" t="n"/>
      <c r="D77" s="307" t="n"/>
      <c r="E77" s="307" t="n"/>
      <c r="F77" s="307" t="n"/>
      <c r="G77" s="307" t="n"/>
      <c r="H77" s="307" t="n"/>
      <c r="I77" s="307" t="n"/>
      <c r="J77" s="307" t="n"/>
      <c r="K77" s="307" t="n"/>
      <c r="L77" s="307" t="n"/>
      <c r="M77" s="307" t="n"/>
      <c r="N77" s="307" t="n"/>
      <c r="O77" s="307" t="n"/>
      <c r="P77" s="307" t="n"/>
      <c r="Q77" s="307" t="n"/>
      <c r="R77" s="307" t="n"/>
      <c r="S77" s="307" t="n"/>
      <c r="T77" s="307" t="n"/>
      <c r="U77" s="307" t="n"/>
      <c r="V77" s="307" t="n"/>
      <c r="W77" s="307" t="n"/>
      <c r="X77" s="307" t="n"/>
      <c r="Y77" s="307" t="n"/>
      <c r="Z77" s="307" t="n"/>
      <c r="AA77" s="307" t="n"/>
      <c r="AB77" s="307" t="n"/>
      <c r="AC77" s="307" t="n"/>
      <c r="AD77" s="307" t="n"/>
      <c r="AE77" s="307" t="n"/>
      <c r="AF77" s="307" t="n"/>
      <c r="AG77" s="307" t="n"/>
      <c r="AH77" s="307" t="n"/>
      <c r="AI77" s="307" t="n"/>
      <c r="AJ77" s="307" t="n"/>
      <c r="AK77" s="307" t="n"/>
      <c r="AL77" s="307" t="n"/>
      <c r="AM77" s="307" t="n"/>
      <c r="AN77" s="307" t="n"/>
      <c r="AO77" s="307" t="n"/>
      <c r="AP77" s="307" t="n"/>
      <c r="AQ77" s="307" t="n"/>
      <c r="AR77" s="307" t="n"/>
      <c r="AS77" s="307" t="n"/>
      <c r="AT77" s="307" t="n"/>
      <c r="AU77" s="307" t="n"/>
      <c r="AV77" s="307" t="n"/>
      <c r="AW77" s="307" t="n"/>
      <c r="AX77" s="307" t="n"/>
      <c r="AY77" s="307" t="n"/>
      <c r="AZ77" s="307" t="n"/>
      <c r="BA77" s="233" t="n"/>
      <c r="BB77" s="307" t="n"/>
      <c r="BC77" s="307" t="n"/>
      <c r="BD77" s="307" t="n"/>
      <c r="BE77" s="307" t="n"/>
      <c r="BF77" s="307" t="n"/>
      <c r="BG77" s="31" t="n"/>
      <c r="BH77" s="31" t="n"/>
      <c r="BI77" s="31" t="n"/>
      <c r="BJ77" s="31" t="n"/>
    </row>
    <row r="78" ht="15.75" customHeight="1" s="349">
      <c r="A78" s="307" t="n"/>
      <c r="B78" s="307" t="n"/>
      <c r="C78" s="307" t="n"/>
      <c r="D78" s="307" t="n"/>
      <c r="E78" s="307" t="n"/>
      <c r="F78" s="307" t="n"/>
      <c r="G78" s="307" t="n"/>
      <c r="H78" s="307" t="n"/>
      <c r="I78" s="307" t="n"/>
      <c r="J78" s="307" t="n"/>
      <c r="K78" s="307" t="n"/>
      <c r="L78" s="307" t="n"/>
      <c r="M78" s="307" t="n"/>
      <c r="N78" s="307" t="n"/>
      <c r="O78" s="307" t="n"/>
      <c r="P78" s="307" t="n"/>
      <c r="Q78" s="307" t="n"/>
      <c r="R78" s="307" t="n"/>
      <c r="S78" s="307" t="n"/>
      <c r="T78" s="307" t="n"/>
      <c r="U78" s="307" t="n"/>
      <c r="V78" s="307" t="n"/>
      <c r="W78" s="307" t="n"/>
      <c r="X78" s="307" t="n"/>
      <c r="Y78" s="307" t="n"/>
      <c r="Z78" s="307" t="n"/>
      <c r="AA78" s="307" t="n"/>
      <c r="AB78" s="307" t="n"/>
      <c r="AC78" s="307" t="n"/>
      <c r="AD78" s="307" t="n"/>
      <c r="AE78" s="307" t="n"/>
      <c r="AF78" s="307" t="n"/>
      <c r="AG78" s="307" t="n"/>
      <c r="AH78" s="307" t="n"/>
      <c r="AI78" s="307" t="n"/>
      <c r="AJ78" s="307" t="n"/>
      <c r="AK78" s="307" t="n"/>
      <c r="AL78" s="307" t="n"/>
      <c r="AM78" s="307" t="n"/>
      <c r="AN78" s="307" t="n"/>
      <c r="AO78" s="307" t="n"/>
      <c r="AP78" s="307" t="n"/>
      <c r="AQ78" s="307" t="n"/>
      <c r="AR78" s="307" t="n"/>
      <c r="AS78" s="307" t="n"/>
      <c r="AT78" s="307" t="n"/>
      <c r="AU78" s="307" t="n"/>
      <c r="AV78" s="307" t="n"/>
      <c r="AW78" s="307" t="n"/>
      <c r="AX78" s="307" t="n"/>
      <c r="AY78" s="307" t="n"/>
      <c r="AZ78" s="307" t="n"/>
      <c r="BA78" s="233" t="n"/>
      <c r="BB78" s="307" t="n"/>
      <c r="BC78" s="307" t="n"/>
      <c r="BD78" s="307" t="n"/>
      <c r="BE78" s="307" t="n"/>
      <c r="BF78" s="307" t="n"/>
      <c r="BG78" s="31" t="n"/>
      <c r="BH78" s="31" t="n"/>
      <c r="BI78" s="31" t="n"/>
      <c r="BJ78" s="31" t="n"/>
    </row>
    <row r="79" ht="15.75" customHeight="1" s="349">
      <c r="A79" s="307" t="n"/>
      <c r="B79" s="307" t="n"/>
      <c r="C79" s="307" t="n"/>
      <c r="D79" s="307" t="n"/>
      <c r="E79" s="307" t="n"/>
      <c r="F79" s="307" t="n"/>
      <c r="G79" s="307" t="n"/>
      <c r="H79" s="307" t="n"/>
      <c r="I79" s="307" t="n"/>
      <c r="J79" s="307" t="n"/>
      <c r="K79" s="307" t="n"/>
      <c r="L79" s="307" t="n"/>
      <c r="M79" s="307" t="n"/>
      <c r="N79" s="307" t="n"/>
      <c r="O79" s="307" t="n"/>
      <c r="P79" s="307" t="n"/>
      <c r="Q79" s="307" t="n"/>
      <c r="R79" s="307" t="n"/>
      <c r="S79" s="307" t="n"/>
      <c r="T79" s="307" t="n"/>
      <c r="U79" s="307" t="n"/>
      <c r="V79" s="307" t="n"/>
      <c r="W79" s="307" t="n"/>
      <c r="X79" s="307" t="n"/>
      <c r="Y79" s="307" t="n"/>
      <c r="Z79" s="307" t="n"/>
      <c r="AA79" s="307" t="n"/>
      <c r="AB79" s="307" t="n"/>
      <c r="AC79" s="307" t="n"/>
      <c r="AD79" s="307" t="n"/>
      <c r="AE79" s="307" t="n"/>
      <c r="AF79" s="307" t="n"/>
      <c r="AG79" s="307" t="n"/>
      <c r="AH79" s="307" t="n"/>
      <c r="AI79" s="307" t="n"/>
      <c r="AJ79" s="307" t="n"/>
      <c r="AK79" s="307" t="n"/>
      <c r="AL79" s="307" t="n"/>
      <c r="AM79" s="307" t="n"/>
      <c r="AN79" s="307" t="n"/>
      <c r="AO79" s="307" t="n"/>
      <c r="AP79" s="307" t="n"/>
      <c r="AQ79" s="307" t="n"/>
      <c r="AR79" s="307" t="n"/>
      <c r="AS79" s="307" t="n"/>
      <c r="AT79" s="307" t="n"/>
      <c r="AU79" s="307" t="n"/>
      <c r="AV79" s="307" t="n"/>
      <c r="AW79" s="307" t="n"/>
      <c r="AX79" s="307" t="n"/>
      <c r="AY79" s="307" t="n"/>
      <c r="AZ79" s="307" t="n"/>
      <c r="BA79" s="233" t="n"/>
      <c r="BB79" s="307" t="n"/>
      <c r="BC79" s="307" t="n"/>
      <c r="BD79" s="307" t="n"/>
      <c r="BE79" s="307" t="n"/>
      <c r="BF79" s="307" t="n"/>
      <c r="BG79" s="31" t="n"/>
      <c r="BH79" s="31" t="n"/>
      <c r="BI79" s="31" t="n"/>
      <c r="BJ79" s="31" t="n"/>
    </row>
    <row r="80" ht="15.75" customHeight="1" s="349">
      <c r="A80" s="307" t="n"/>
      <c r="B80" s="307" t="n"/>
      <c r="C80" s="307" t="n"/>
      <c r="D80" s="307" t="n"/>
      <c r="E80" s="307" t="n"/>
      <c r="F80" s="307" t="n"/>
      <c r="G80" s="307" t="n"/>
      <c r="H80" s="307" t="n"/>
      <c r="I80" s="307" t="n"/>
      <c r="J80" s="307" t="n"/>
      <c r="K80" s="307" t="n"/>
      <c r="L80" s="307" t="n"/>
      <c r="M80" s="307" t="n"/>
      <c r="N80" s="307" t="n"/>
      <c r="O80" s="307" t="n"/>
      <c r="P80" s="307" t="n"/>
      <c r="Q80" s="307" t="n"/>
      <c r="R80" s="307" t="n"/>
      <c r="S80" s="307" t="n"/>
      <c r="T80" s="307" t="n"/>
      <c r="U80" s="307" t="n"/>
      <c r="V80" s="307" t="n"/>
      <c r="W80" s="307" t="n"/>
      <c r="X80" s="307" t="n"/>
      <c r="Y80" s="307" t="n"/>
      <c r="Z80" s="307" t="n"/>
      <c r="AA80" s="307" t="n"/>
      <c r="AB80" s="307" t="n"/>
      <c r="AC80" s="307" t="n"/>
      <c r="AD80" s="307" t="n"/>
      <c r="AE80" s="307" t="n"/>
      <c r="AF80" s="307" t="n"/>
      <c r="AG80" s="307" t="n"/>
      <c r="AH80" s="307" t="n"/>
      <c r="AI80" s="307" t="n"/>
      <c r="AJ80" s="307" t="n"/>
      <c r="AK80" s="307" t="n"/>
      <c r="AL80" s="307" t="n"/>
      <c r="AM80" s="307" t="n"/>
      <c r="AN80" s="307" t="n"/>
      <c r="AO80" s="307" t="n"/>
      <c r="AP80" s="307" t="n"/>
      <c r="AQ80" s="307" t="n"/>
      <c r="AR80" s="307" t="n"/>
      <c r="AS80" s="307" t="n"/>
      <c r="AT80" s="307" t="n"/>
      <c r="AU80" s="307" t="n"/>
      <c r="AV80" s="307" t="n"/>
      <c r="AW80" s="307" t="n"/>
      <c r="AX80" s="307" t="n"/>
      <c r="AY80" s="307" t="n"/>
      <c r="AZ80" s="307" t="n"/>
      <c r="BA80" s="233" t="n"/>
      <c r="BB80" s="307" t="n"/>
      <c r="BC80" s="307" t="n"/>
      <c r="BD80" s="307" t="n"/>
      <c r="BE80" s="307" t="n"/>
      <c r="BF80" s="307" t="n"/>
      <c r="BG80" s="31" t="n"/>
      <c r="BH80" s="31" t="n"/>
      <c r="BI80" s="31" t="n"/>
      <c r="BJ80" s="31" t="n"/>
    </row>
    <row r="81" ht="15.75" customHeight="1" s="349">
      <c r="A81" s="307" t="n"/>
      <c r="B81" s="307" t="n"/>
      <c r="C81" s="307" t="n"/>
      <c r="D81" s="307" t="n"/>
      <c r="E81" s="307" t="n"/>
      <c r="F81" s="307" t="n"/>
      <c r="G81" s="307" t="n"/>
      <c r="H81" s="307" t="n"/>
      <c r="I81" s="307" t="n"/>
      <c r="J81" s="307" t="n"/>
      <c r="K81" s="307" t="n"/>
      <c r="L81" s="307" t="n"/>
      <c r="M81" s="307" t="n"/>
      <c r="N81" s="307" t="n"/>
      <c r="O81" s="307" t="n"/>
      <c r="P81" s="307" t="n"/>
      <c r="Q81" s="307" t="n"/>
      <c r="R81" s="307" t="n"/>
      <c r="S81" s="307" t="n"/>
      <c r="T81" s="307" t="n"/>
      <c r="U81" s="307" t="n"/>
      <c r="V81" s="307" t="n"/>
      <c r="W81" s="307" t="n"/>
      <c r="X81" s="307" t="n"/>
      <c r="Y81" s="307" t="n"/>
      <c r="Z81" s="307" t="n"/>
      <c r="AA81" s="307" t="n"/>
      <c r="AB81" s="307" t="n"/>
      <c r="AC81" s="307" t="n"/>
      <c r="AD81" s="307" t="n"/>
      <c r="AE81" s="307" t="n"/>
      <c r="AF81" s="307" t="n"/>
      <c r="AG81" s="307" t="n"/>
      <c r="AH81" s="307" t="n"/>
      <c r="AI81" s="307" t="n"/>
      <c r="AJ81" s="307" t="n"/>
      <c r="AK81" s="307" t="n"/>
      <c r="AL81" s="307" t="n"/>
      <c r="AM81" s="307" t="n"/>
      <c r="AN81" s="307" t="n"/>
      <c r="AO81" s="307" t="n"/>
      <c r="AP81" s="307" t="n"/>
      <c r="AQ81" s="307" t="n"/>
      <c r="AR81" s="307" t="n"/>
      <c r="AS81" s="307" t="n"/>
      <c r="AT81" s="307" t="n"/>
      <c r="AU81" s="307" t="n"/>
      <c r="AV81" s="307" t="n"/>
      <c r="AW81" s="307" t="n"/>
      <c r="AX81" s="307" t="n"/>
      <c r="AY81" s="307" t="n"/>
      <c r="AZ81" s="307" t="n"/>
      <c r="BA81" s="233" t="n"/>
      <c r="BB81" s="307" t="n"/>
      <c r="BC81" s="307" t="n"/>
      <c r="BD81" s="307" t="n"/>
      <c r="BE81" s="307" t="n"/>
      <c r="BF81" s="307" t="n"/>
      <c r="BG81" s="31" t="n"/>
      <c r="BH81" s="31" t="n"/>
      <c r="BI81" s="31" t="n"/>
      <c r="BJ81" s="31" t="n"/>
    </row>
    <row r="82" ht="15.75" customHeight="1" s="349">
      <c r="A82" s="307" t="n"/>
      <c r="B82" s="307" t="n"/>
      <c r="C82" s="307" t="n"/>
      <c r="D82" s="307" t="n"/>
      <c r="E82" s="307" t="n"/>
      <c r="F82" s="307" t="n"/>
      <c r="G82" s="307" t="n"/>
      <c r="H82" s="307" t="n"/>
      <c r="I82" s="307" t="n"/>
      <c r="J82" s="307" t="n"/>
      <c r="K82" s="307" t="n"/>
      <c r="L82" s="307" t="n"/>
      <c r="M82" s="307" t="n"/>
      <c r="N82" s="307" t="n"/>
      <c r="O82" s="307" t="n"/>
      <c r="P82" s="307" t="n"/>
      <c r="Q82" s="307" t="n"/>
      <c r="R82" s="307" t="n"/>
      <c r="S82" s="307" t="n"/>
      <c r="T82" s="307" t="n"/>
      <c r="U82" s="307" t="n"/>
      <c r="V82" s="307" t="n"/>
      <c r="W82" s="307" t="n"/>
      <c r="X82" s="307" t="n"/>
      <c r="Y82" s="307" t="n"/>
      <c r="Z82" s="307" t="n"/>
      <c r="AA82" s="307" t="n"/>
      <c r="AB82" s="307" t="n"/>
      <c r="AC82" s="307" t="n"/>
      <c r="AD82" s="307" t="n"/>
      <c r="AE82" s="307" t="n"/>
      <c r="AF82" s="307" t="n"/>
      <c r="AG82" s="307" t="n"/>
      <c r="AH82" s="307" t="n"/>
      <c r="AI82" s="307" t="n"/>
      <c r="AJ82" s="307" t="n"/>
      <c r="AK82" s="307" t="n"/>
      <c r="AL82" s="307" t="n"/>
      <c r="AM82" s="307" t="n"/>
      <c r="AN82" s="307" t="n"/>
      <c r="AO82" s="307" t="n"/>
      <c r="AP82" s="307" t="n"/>
      <c r="AQ82" s="307" t="n"/>
      <c r="AR82" s="307" t="n"/>
      <c r="AS82" s="307" t="n"/>
      <c r="AT82" s="307" t="n"/>
      <c r="AU82" s="307" t="n"/>
      <c r="AV82" s="307" t="n"/>
      <c r="AW82" s="307" t="n"/>
      <c r="AX82" s="307" t="n"/>
      <c r="AY82" s="307" t="n"/>
      <c r="AZ82" s="307" t="n"/>
      <c r="BA82" s="233" t="n"/>
      <c r="BB82" s="307" t="n"/>
      <c r="BC82" s="307" t="n"/>
      <c r="BD82" s="307" t="n"/>
      <c r="BE82" s="307" t="n"/>
      <c r="BF82" s="307" t="n"/>
      <c r="BG82" s="31" t="n"/>
      <c r="BH82" s="31" t="n"/>
      <c r="BI82" s="31" t="n"/>
      <c r="BJ82" s="31" t="n"/>
    </row>
    <row r="83" ht="15.75" customHeight="1" s="349">
      <c r="A83" s="307" t="n"/>
      <c r="B83" s="307" t="n"/>
      <c r="C83" s="307" t="n"/>
      <c r="D83" s="307" t="n"/>
      <c r="E83" s="307" t="n"/>
      <c r="F83" s="307" t="n"/>
      <c r="G83" s="307" t="n"/>
      <c r="H83" s="307" t="n"/>
      <c r="I83" s="307" t="n"/>
      <c r="J83" s="307" t="n"/>
      <c r="K83" s="307" t="n"/>
      <c r="L83" s="307" t="n"/>
      <c r="M83" s="307" t="n"/>
      <c r="N83" s="307" t="n"/>
      <c r="O83" s="307" t="n"/>
      <c r="P83" s="307" t="n"/>
      <c r="Q83" s="307" t="n"/>
      <c r="R83" s="307" t="n"/>
      <c r="S83" s="307" t="n"/>
      <c r="T83" s="307" t="n"/>
      <c r="U83" s="307" t="n"/>
      <c r="V83" s="307" t="n"/>
      <c r="W83" s="307" t="n"/>
      <c r="X83" s="307" t="n"/>
      <c r="Y83" s="307" t="n"/>
      <c r="Z83" s="307" t="n"/>
      <c r="AA83" s="307" t="n"/>
      <c r="AB83" s="307" t="n"/>
      <c r="AC83" s="307" t="n"/>
      <c r="AD83" s="307" t="n"/>
      <c r="AE83" s="307" t="n"/>
      <c r="AF83" s="307" t="n"/>
      <c r="AG83" s="307" t="n"/>
      <c r="AH83" s="307" t="n"/>
      <c r="AI83" s="307" t="n"/>
      <c r="AJ83" s="307" t="n"/>
      <c r="AK83" s="307" t="n"/>
      <c r="AL83" s="307" t="n"/>
      <c r="AM83" s="307" t="n"/>
      <c r="AN83" s="307" t="n"/>
      <c r="AO83" s="307" t="n"/>
      <c r="AP83" s="307" t="n"/>
      <c r="AQ83" s="307" t="n"/>
      <c r="AR83" s="307" t="n"/>
      <c r="AS83" s="307" t="n"/>
      <c r="AT83" s="307" t="n"/>
      <c r="AU83" s="307" t="n"/>
      <c r="AV83" s="307" t="n"/>
      <c r="AW83" s="307" t="n"/>
      <c r="AX83" s="307" t="n"/>
      <c r="AY83" s="307" t="n"/>
      <c r="AZ83" s="307" t="n"/>
      <c r="BA83" s="233" t="n"/>
      <c r="BB83" s="307" t="n"/>
      <c r="BC83" s="307" t="n"/>
      <c r="BD83" s="307" t="n"/>
      <c r="BE83" s="307" t="n"/>
      <c r="BF83" s="307" t="n"/>
      <c r="BG83" s="31" t="n"/>
      <c r="BH83" s="31" t="n"/>
      <c r="BI83" s="31" t="n"/>
      <c r="BJ83" s="31" t="n"/>
    </row>
    <row r="84" ht="15.75" customHeight="1" s="349">
      <c r="A84" s="307" t="n"/>
      <c r="B84" s="307" t="n"/>
      <c r="C84" s="307" t="n"/>
      <c r="D84" s="307" t="n"/>
      <c r="E84" s="307" t="n"/>
      <c r="F84" s="307" t="n"/>
      <c r="G84" s="307" t="n"/>
      <c r="H84" s="307" t="n"/>
      <c r="I84" s="307" t="n"/>
      <c r="J84" s="307" t="n"/>
      <c r="K84" s="307" t="n"/>
      <c r="L84" s="307" t="n"/>
      <c r="M84" s="307" t="n"/>
      <c r="N84" s="307" t="n"/>
      <c r="O84" s="307" t="n"/>
      <c r="P84" s="307" t="n"/>
      <c r="Q84" s="307" t="n"/>
      <c r="R84" s="307" t="n"/>
      <c r="S84" s="307" t="n"/>
      <c r="T84" s="307" t="n"/>
      <c r="U84" s="307" t="n"/>
      <c r="V84" s="307" t="n"/>
      <c r="W84" s="307" t="n"/>
      <c r="X84" s="307" t="n"/>
      <c r="Y84" s="307" t="n"/>
      <c r="Z84" s="307" t="n"/>
      <c r="AA84" s="307" t="n"/>
      <c r="AB84" s="307" t="n"/>
      <c r="AC84" s="307" t="n"/>
      <c r="AD84" s="307" t="n"/>
      <c r="AE84" s="307" t="n"/>
      <c r="AF84" s="307" t="n"/>
      <c r="AG84" s="307" t="n"/>
      <c r="AH84" s="307" t="n"/>
      <c r="AI84" s="307" t="n"/>
      <c r="AJ84" s="307" t="n"/>
      <c r="AK84" s="307" t="n"/>
      <c r="AL84" s="307" t="n"/>
      <c r="AM84" s="307" t="n"/>
      <c r="AN84" s="307" t="n"/>
      <c r="AO84" s="307" t="n"/>
      <c r="AP84" s="307" t="n"/>
      <c r="AQ84" s="307" t="n"/>
      <c r="AR84" s="307" t="n"/>
      <c r="AS84" s="307" t="n"/>
      <c r="AT84" s="307" t="n"/>
      <c r="AU84" s="307" t="n"/>
      <c r="AV84" s="307" t="n"/>
      <c r="AW84" s="307" t="n"/>
      <c r="AX84" s="307" t="n"/>
      <c r="AY84" s="307" t="n"/>
      <c r="AZ84" s="307" t="n"/>
      <c r="BA84" s="233" t="n"/>
      <c r="BB84" s="307" t="n"/>
      <c r="BC84" s="307" t="n"/>
      <c r="BD84" s="307" t="n"/>
      <c r="BE84" s="307" t="n"/>
      <c r="BF84" s="307" t="n"/>
      <c r="BG84" s="31" t="n"/>
      <c r="BH84" s="31" t="n"/>
      <c r="BI84" s="31" t="n"/>
      <c r="BJ84" s="31" t="n"/>
    </row>
    <row r="85" ht="15.75" customHeight="1" s="349">
      <c r="A85" s="307" t="n"/>
      <c r="B85" s="307" t="n"/>
      <c r="C85" s="307" t="n"/>
      <c r="D85" s="307" t="n"/>
      <c r="E85" s="307" t="n"/>
      <c r="F85" s="307" t="n"/>
      <c r="G85" s="307" t="n"/>
      <c r="H85" s="307" t="n"/>
      <c r="I85" s="307" t="n"/>
      <c r="J85" s="307" t="n"/>
      <c r="K85" s="307" t="n"/>
      <c r="L85" s="307" t="n"/>
      <c r="M85" s="307" t="n"/>
      <c r="N85" s="307" t="n"/>
      <c r="O85" s="307" t="n"/>
      <c r="P85" s="307" t="n"/>
      <c r="Q85" s="307" t="n"/>
      <c r="R85" s="307" t="n"/>
      <c r="S85" s="307" t="n"/>
      <c r="T85" s="307" t="n"/>
      <c r="U85" s="307" t="n"/>
      <c r="V85" s="307" t="n"/>
      <c r="W85" s="307" t="n"/>
      <c r="X85" s="307" t="n"/>
      <c r="Y85" s="307" t="n"/>
      <c r="Z85" s="307" t="n"/>
      <c r="AA85" s="307" t="n"/>
      <c r="AB85" s="307" t="n"/>
      <c r="AC85" s="307" t="n"/>
      <c r="AD85" s="307" t="n"/>
      <c r="AE85" s="307" t="n"/>
      <c r="AF85" s="307" t="n"/>
      <c r="AG85" s="307" t="n"/>
      <c r="AH85" s="307" t="n"/>
      <c r="AI85" s="307" t="n"/>
      <c r="AJ85" s="307" t="n"/>
      <c r="AK85" s="307" t="n"/>
      <c r="AL85" s="307" t="n"/>
      <c r="AM85" s="307" t="n"/>
      <c r="AN85" s="307" t="n"/>
      <c r="AO85" s="307" t="n"/>
      <c r="AP85" s="307" t="n"/>
      <c r="AQ85" s="307" t="n"/>
      <c r="AR85" s="307" t="n"/>
      <c r="AS85" s="307" t="n"/>
      <c r="AT85" s="307" t="n"/>
      <c r="AU85" s="307" t="n"/>
      <c r="AV85" s="307" t="n"/>
      <c r="AW85" s="307" t="n"/>
      <c r="AX85" s="307" t="n"/>
      <c r="AY85" s="307" t="n"/>
      <c r="AZ85" s="307" t="n"/>
      <c r="BA85" s="233" t="n"/>
      <c r="BB85" s="307" t="n"/>
      <c r="BC85" s="307" t="n"/>
      <c r="BD85" s="307" t="n"/>
      <c r="BE85" s="307" t="n"/>
      <c r="BF85" s="307" t="n"/>
      <c r="BG85" s="31" t="n"/>
      <c r="BH85" s="31" t="n"/>
      <c r="BI85" s="31" t="n"/>
      <c r="BJ85" s="31" t="n"/>
    </row>
    <row r="86" ht="15.75" customHeight="1" s="349">
      <c r="A86" s="307" t="n"/>
      <c r="B86" s="307" t="n"/>
      <c r="C86" s="307" t="n"/>
      <c r="D86" s="307" t="n"/>
      <c r="E86" s="307" t="n"/>
      <c r="F86" s="307" t="n"/>
      <c r="G86" s="307" t="n"/>
      <c r="H86" s="307" t="n"/>
      <c r="I86" s="307" t="n"/>
      <c r="J86" s="307" t="n"/>
      <c r="K86" s="307" t="n"/>
      <c r="L86" s="307" t="n"/>
      <c r="M86" s="307" t="n"/>
      <c r="N86" s="307" t="n"/>
      <c r="O86" s="307" t="n"/>
      <c r="P86" s="307" t="n"/>
      <c r="Q86" s="307" t="n"/>
      <c r="R86" s="307" t="n"/>
      <c r="S86" s="307" t="n"/>
      <c r="T86" s="307" t="n"/>
      <c r="U86" s="307" t="n"/>
      <c r="V86" s="307" t="n"/>
      <c r="W86" s="307" t="n"/>
      <c r="X86" s="307" t="n"/>
      <c r="Y86" s="307" t="n"/>
      <c r="Z86" s="307" t="n"/>
      <c r="AA86" s="307" t="n"/>
      <c r="AB86" s="307" t="n"/>
      <c r="AC86" s="307" t="n"/>
      <c r="AD86" s="307" t="n"/>
      <c r="AE86" s="307" t="n"/>
      <c r="AF86" s="307" t="n"/>
      <c r="AG86" s="307" t="n"/>
      <c r="AH86" s="307" t="n"/>
      <c r="AI86" s="307" t="n"/>
      <c r="AJ86" s="307" t="n"/>
      <c r="AK86" s="307" t="n"/>
      <c r="AL86" s="307" t="n"/>
      <c r="AM86" s="307" t="n"/>
      <c r="AN86" s="307" t="n"/>
      <c r="AO86" s="307" t="n"/>
      <c r="AP86" s="307" t="n"/>
      <c r="AQ86" s="307" t="n"/>
      <c r="AR86" s="307" t="n"/>
      <c r="AS86" s="307" t="n"/>
      <c r="AT86" s="307" t="n"/>
      <c r="AU86" s="307" t="n"/>
      <c r="AV86" s="307" t="n"/>
      <c r="AW86" s="307" t="n"/>
      <c r="AX86" s="307" t="n"/>
      <c r="AY86" s="307" t="n"/>
      <c r="AZ86" s="307" t="n"/>
      <c r="BA86" s="233" t="n"/>
      <c r="BB86" s="307" t="n"/>
      <c r="BC86" s="307" t="n"/>
      <c r="BD86" s="307" t="n"/>
      <c r="BE86" s="307" t="n"/>
      <c r="BF86" s="307" t="n"/>
      <c r="BG86" s="31" t="n"/>
      <c r="BH86" s="31" t="n"/>
      <c r="BI86" s="31" t="n"/>
      <c r="BJ86" s="31" t="n"/>
    </row>
    <row r="87" ht="15.75" customHeight="1" s="349">
      <c r="A87" s="307" t="n"/>
      <c r="B87" s="307" t="n"/>
      <c r="C87" s="307" t="n"/>
      <c r="D87" s="307" t="n"/>
      <c r="E87" s="307" t="n"/>
      <c r="F87" s="307" t="n"/>
      <c r="G87" s="307" t="n"/>
      <c r="H87" s="307" t="n"/>
      <c r="I87" s="307" t="n"/>
      <c r="J87" s="307" t="n"/>
      <c r="K87" s="307" t="n"/>
      <c r="L87" s="307" t="n"/>
      <c r="M87" s="307" t="n"/>
      <c r="N87" s="307" t="n"/>
      <c r="O87" s="307" t="n"/>
      <c r="P87" s="307" t="n"/>
      <c r="Q87" s="307" t="n"/>
      <c r="R87" s="307" t="n"/>
      <c r="S87" s="307" t="n"/>
      <c r="T87" s="307" t="n"/>
      <c r="U87" s="307" t="n"/>
      <c r="V87" s="307" t="n"/>
      <c r="W87" s="307" t="n"/>
      <c r="X87" s="307" t="n"/>
      <c r="Y87" s="307" t="n"/>
      <c r="Z87" s="307" t="n"/>
      <c r="AA87" s="307" t="n"/>
      <c r="AB87" s="307" t="n"/>
      <c r="AC87" s="307" t="n"/>
      <c r="AD87" s="307" t="n"/>
      <c r="AE87" s="307" t="n"/>
      <c r="AF87" s="307" t="n"/>
      <c r="AG87" s="307" t="n"/>
      <c r="AH87" s="307" t="n"/>
      <c r="AI87" s="307" t="n"/>
      <c r="AJ87" s="307" t="n"/>
      <c r="AK87" s="307" t="n"/>
      <c r="AL87" s="307" t="n"/>
      <c r="AM87" s="307" t="n"/>
      <c r="AN87" s="307" t="n"/>
      <c r="AO87" s="307" t="n"/>
      <c r="AP87" s="307" t="n"/>
      <c r="AQ87" s="307" t="n"/>
      <c r="AR87" s="307" t="n"/>
      <c r="AS87" s="307" t="n"/>
      <c r="AT87" s="307" t="n"/>
      <c r="AU87" s="307" t="n"/>
      <c r="AV87" s="307" t="n"/>
      <c r="AW87" s="307" t="n"/>
      <c r="AX87" s="307" t="n"/>
      <c r="AY87" s="307" t="n"/>
      <c r="AZ87" s="307" t="n"/>
      <c r="BA87" s="233" t="n"/>
      <c r="BB87" s="307" t="n"/>
      <c r="BC87" s="307" t="n"/>
      <c r="BD87" s="307" t="n"/>
      <c r="BE87" s="307" t="n"/>
      <c r="BF87" s="307" t="n"/>
      <c r="BG87" s="31" t="n"/>
      <c r="BH87" s="31" t="n"/>
      <c r="BI87" s="31" t="n"/>
      <c r="BJ87" s="31" t="n"/>
    </row>
    <row r="88" ht="15.75" customHeight="1" s="349">
      <c r="A88" s="307" t="n"/>
      <c r="B88" s="307" t="n"/>
      <c r="C88" s="307" t="n"/>
      <c r="D88" s="307" t="n"/>
      <c r="E88" s="307" t="n"/>
      <c r="F88" s="307" t="n"/>
      <c r="G88" s="307" t="n"/>
      <c r="H88" s="307" t="n"/>
      <c r="I88" s="307" t="n"/>
      <c r="J88" s="307" t="n"/>
      <c r="K88" s="307" t="n"/>
      <c r="L88" s="307" t="n"/>
      <c r="M88" s="307" t="n"/>
      <c r="N88" s="307" t="n"/>
      <c r="O88" s="307" t="n"/>
      <c r="P88" s="307" t="n"/>
      <c r="Q88" s="307" t="n"/>
      <c r="R88" s="307" t="n"/>
      <c r="S88" s="307" t="n"/>
      <c r="T88" s="307" t="n"/>
      <c r="U88" s="307" t="n"/>
      <c r="V88" s="307" t="n"/>
      <c r="W88" s="307" t="n"/>
      <c r="X88" s="307" t="n"/>
      <c r="Y88" s="307" t="n"/>
      <c r="Z88" s="307" t="n"/>
      <c r="AA88" s="307" t="n"/>
      <c r="AB88" s="307" t="n"/>
      <c r="AC88" s="307" t="n"/>
      <c r="AD88" s="307" t="n"/>
      <c r="AE88" s="307" t="n"/>
      <c r="AF88" s="307" t="n"/>
      <c r="AG88" s="307" t="n"/>
      <c r="AH88" s="307" t="n"/>
      <c r="AI88" s="307" t="n"/>
      <c r="AJ88" s="307" t="n"/>
      <c r="AK88" s="307" t="n"/>
      <c r="AL88" s="307" t="n"/>
      <c r="AM88" s="307" t="n"/>
      <c r="AN88" s="307" t="n"/>
      <c r="AO88" s="307" t="n"/>
      <c r="AP88" s="307" t="n"/>
      <c r="AQ88" s="307" t="n"/>
      <c r="AR88" s="307" t="n"/>
      <c r="AS88" s="307" t="n"/>
      <c r="AT88" s="307" t="n"/>
      <c r="AU88" s="307" t="n"/>
      <c r="AV88" s="307" t="n"/>
      <c r="AW88" s="307" t="n"/>
      <c r="AX88" s="307" t="n"/>
      <c r="AY88" s="307" t="n"/>
      <c r="AZ88" s="307" t="n"/>
      <c r="BA88" s="233" t="n"/>
      <c r="BB88" s="307" t="n"/>
      <c r="BC88" s="307" t="n"/>
      <c r="BD88" s="307" t="n"/>
      <c r="BE88" s="307" t="n"/>
      <c r="BF88" s="307" t="n"/>
      <c r="BG88" s="31" t="n"/>
      <c r="BH88" s="31" t="n"/>
      <c r="BI88" s="31" t="n"/>
      <c r="BJ88" s="31" t="n"/>
    </row>
    <row r="89" ht="15.75" customHeight="1" s="349">
      <c r="A89" s="307" t="n"/>
      <c r="B89" s="307" t="n"/>
      <c r="C89" s="307" t="n"/>
      <c r="D89" s="307" t="n"/>
      <c r="E89" s="307" t="n"/>
      <c r="F89" s="307" t="n"/>
      <c r="G89" s="307" t="n"/>
      <c r="H89" s="307" t="n"/>
      <c r="I89" s="307" t="n"/>
      <c r="J89" s="307" t="n"/>
      <c r="K89" s="307" t="n"/>
      <c r="L89" s="307" t="n"/>
      <c r="M89" s="307" t="n"/>
      <c r="N89" s="307" t="n"/>
      <c r="O89" s="307" t="n"/>
      <c r="P89" s="307" t="n"/>
      <c r="Q89" s="307" t="n"/>
      <c r="R89" s="307" t="n"/>
      <c r="S89" s="307" t="n"/>
      <c r="T89" s="307" t="n"/>
      <c r="U89" s="307" t="n"/>
      <c r="V89" s="307" t="n"/>
      <c r="W89" s="307" t="n"/>
      <c r="X89" s="307" t="n"/>
      <c r="Y89" s="307" t="n"/>
      <c r="Z89" s="307" t="n"/>
      <c r="AA89" s="307" t="n"/>
      <c r="AB89" s="307" t="n"/>
      <c r="AC89" s="307" t="n"/>
      <c r="AD89" s="307" t="n"/>
      <c r="AE89" s="307" t="n"/>
      <c r="AF89" s="307" t="n"/>
      <c r="AG89" s="307" t="n"/>
      <c r="AH89" s="307" t="n"/>
      <c r="AI89" s="307" t="n"/>
      <c r="AJ89" s="307" t="n"/>
      <c r="AK89" s="307" t="n"/>
      <c r="AL89" s="307" t="n"/>
      <c r="AM89" s="307" t="n"/>
      <c r="AN89" s="307" t="n"/>
      <c r="AO89" s="307" t="n"/>
      <c r="AP89" s="307" t="n"/>
      <c r="AQ89" s="307" t="n"/>
      <c r="AR89" s="307" t="n"/>
      <c r="AS89" s="307" t="n"/>
      <c r="AT89" s="307" t="n"/>
      <c r="AU89" s="307" t="n"/>
      <c r="AV89" s="307" t="n"/>
      <c r="AW89" s="307" t="n"/>
      <c r="AX89" s="307" t="n"/>
      <c r="AY89" s="307" t="n"/>
      <c r="AZ89" s="307" t="n"/>
      <c r="BA89" s="233" t="n"/>
      <c r="BB89" s="307" t="n"/>
      <c r="BC89" s="307" t="n"/>
      <c r="BD89" s="307" t="n"/>
      <c r="BE89" s="307" t="n"/>
      <c r="BF89" s="307" t="n"/>
      <c r="BG89" s="31" t="n"/>
      <c r="BH89" s="31" t="n"/>
      <c r="BI89" s="31" t="n"/>
      <c r="BJ89" s="31" t="n"/>
    </row>
    <row r="90" ht="15.75" customHeight="1" s="349">
      <c r="A90" s="307" t="n"/>
      <c r="B90" s="307" t="n"/>
      <c r="C90" s="307" t="n"/>
      <c r="D90" s="307" t="n"/>
      <c r="E90" s="307" t="n"/>
      <c r="F90" s="307" t="n"/>
      <c r="G90" s="307" t="n"/>
      <c r="H90" s="307" t="n"/>
      <c r="I90" s="307" t="n"/>
      <c r="J90" s="307" t="n"/>
      <c r="K90" s="307" t="n"/>
      <c r="L90" s="307" t="n"/>
      <c r="M90" s="307" t="n"/>
      <c r="N90" s="307" t="n"/>
      <c r="O90" s="307" t="n"/>
      <c r="P90" s="307" t="n"/>
      <c r="Q90" s="307" t="n"/>
      <c r="R90" s="307" t="n"/>
      <c r="S90" s="307" t="n"/>
      <c r="T90" s="307" t="n"/>
      <c r="U90" s="307" t="n"/>
      <c r="V90" s="307" t="n"/>
      <c r="W90" s="307" t="n"/>
      <c r="X90" s="307" t="n"/>
      <c r="Y90" s="307" t="n"/>
      <c r="Z90" s="307" t="n"/>
      <c r="AA90" s="307" t="n"/>
      <c r="AB90" s="307" t="n"/>
      <c r="AC90" s="307" t="n"/>
      <c r="AD90" s="307" t="n"/>
      <c r="AE90" s="307" t="n"/>
      <c r="AF90" s="307" t="n"/>
      <c r="AG90" s="307" t="n"/>
      <c r="AH90" s="307" t="n"/>
      <c r="AI90" s="307" t="n"/>
      <c r="AJ90" s="307" t="n"/>
      <c r="AK90" s="307" t="n"/>
      <c r="AL90" s="307" t="n"/>
      <c r="AM90" s="307" t="n"/>
      <c r="AN90" s="307" t="n"/>
      <c r="AO90" s="307" t="n"/>
      <c r="AP90" s="307" t="n"/>
      <c r="AQ90" s="307" t="n"/>
      <c r="AR90" s="307" t="n"/>
      <c r="AS90" s="307" t="n"/>
      <c r="AT90" s="307" t="n"/>
      <c r="AU90" s="307" t="n"/>
      <c r="AV90" s="307" t="n"/>
      <c r="AW90" s="307" t="n"/>
      <c r="AX90" s="307" t="n"/>
      <c r="AY90" s="307" t="n"/>
      <c r="AZ90" s="307" t="n"/>
      <c r="BA90" s="233" t="n"/>
      <c r="BB90" s="307" t="n"/>
      <c r="BC90" s="307" t="n"/>
      <c r="BD90" s="307" t="n"/>
      <c r="BE90" s="307" t="n"/>
      <c r="BF90" s="307" t="n"/>
      <c r="BG90" s="31" t="n"/>
      <c r="BH90" s="31" t="n"/>
      <c r="BI90" s="31" t="n"/>
      <c r="BJ90" s="31" t="n"/>
    </row>
    <row r="91" ht="15.75" customHeight="1" s="349">
      <c r="A91" s="307" t="n"/>
      <c r="B91" s="307" t="n"/>
      <c r="C91" s="307" t="n"/>
      <c r="D91" s="307" t="n"/>
      <c r="E91" s="307" t="n"/>
      <c r="F91" s="307" t="n"/>
      <c r="G91" s="307" t="n"/>
      <c r="H91" s="307" t="n"/>
      <c r="I91" s="307" t="n"/>
      <c r="J91" s="307" t="n"/>
      <c r="K91" s="307" t="n"/>
      <c r="L91" s="307" t="n"/>
      <c r="M91" s="307" t="n"/>
      <c r="N91" s="307" t="n"/>
      <c r="O91" s="307" t="n"/>
      <c r="P91" s="307" t="n"/>
      <c r="Q91" s="307" t="n"/>
      <c r="R91" s="307" t="n"/>
      <c r="S91" s="307" t="n"/>
      <c r="T91" s="307" t="n"/>
      <c r="U91" s="307" t="n"/>
      <c r="V91" s="307" t="n"/>
      <c r="W91" s="307" t="n"/>
      <c r="X91" s="307" t="n"/>
      <c r="Y91" s="307" t="n"/>
      <c r="Z91" s="307" t="n"/>
      <c r="AA91" s="307" t="n"/>
      <c r="AB91" s="307" t="n"/>
      <c r="AC91" s="307" t="n"/>
      <c r="AD91" s="307" t="n"/>
      <c r="AE91" s="307" t="n"/>
      <c r="AF91" s="307" t="n"/>
      <c r="AG91" s="307" t="n"/>
      <c r="AH91" s="307" t="n"/>
      <c r="AI91" s="307" t="n"/>
      <c r="AJ91" s="307" t="n"/>
      <c r="AK91" s="307" t="n"/>
      <c r="AL91" s="307" t="n"/>
      <c r="AM91" s="307" t="n"/>
      <c r="AN91" s="307" t="n"/>
      <c r="AO91" s="307" t="n"/>
      <c r="AP91" s="307" t="n"/>
      <c r="AQ91" s="307" t="n"/>
      <c r="AR91" s="307" t="n"/>
      <c r="AS91" s="307" t="n"/>
      <c r="AT91" s="307" t="n"/>
      <c r="AU91" s="307" t="n"/>
      <c r="AV91" s="307" t="n"/>
      <c r="AW91" s="307" t="n"/>
      <c r="AX91" s="307" t="n"/>
      <c r="AY91" s="307" t="n"/>
      <c r="AZ91" s="307" t="n"/>
      <c r="BA91" s="233" t="n"/>
      <c r="BB91" s="307" t="n"/>
      <c r="BC91" s="307" t="n"/>
      <c r="BD91" s="307" t="n"/>
      <c r="BE91" s="307" t="n"/>
      <c r="BF91" s="307" t="n"/>
      <c r="BG91" s="31" t="n"/>
      <c r="BH91" s="31" t="n"/>
      <c r="BI91" s="31" t="n"/>
      <c r="BJ91" s="31" t="n"/>
    </row>
    <row r="92" ht="15.75" customHeight="1" s="349">
      <c r="A92" s="307" t="n"/>
      <c r="B92" s="307" t="n"/>
      <c r="C92" s="307" t="n"/>
      <c r="D92" s="307" t="n"/>
      <c r="E92" s="307" t="n"/>
      <c r="F92" s="307" t="n"/>
      <c r="G92" s="307" t="n"/>
      <c r="H92" s="307" t="n"/>
      <c r="I92" s="307" t="n"/>
      <c r="J92" s="307" t="n"/>
      <c r="K92" s="307" t="n"/>
      <c r="L92" s="307" t="n"/>
      <c r="M92" s="307" t="n"/>
      <c r="N92" s="307" t="n"/>
      <c r="O92" s="307" t="n"/>
      <c r="P92" s="307" t="n"/>
      <c r="Q92" s="307" t="n"/>
      <c r="R92" s="307" t="n"/>
      <c r="S92" s="307" t="n"/>
      <c r="T92" s="307" t="n"/>
      <c r="U92" s="307" t="n"/>
      <c r="V92" s="307" t="n"/>
      <c r="W92" s="307" t="n"/>
      <c r="X92" s="307" t="n"/>
      <c r="Y92" s="307" t="n"/>
      <c r="Z92" s="307" t="n"/>
      <c r="AA92" s="307" t="n"/>
      <c r="AB92" s="307" t="n"/>
      <c r="AC92" s="307" t="n"/>
      <c r="AD92" s="307" t="n"/>
      <c r="AE92" s="307" t="n"/>
      <c r="AF92" s="307" t="n"/>
      <c r="AG92" s="307" t="n"/>
      <c r="AH92" s="307" t="n"/>
      <c r="AI92" s="307" t="n"/>
      <c r="AJ92" s="307" t="n"/>
      <c r="AK92" s="307" t="n"/>
      <c r="AL92" s="307" t="n"/>
      <c r="AM92" s="307" t="n"/>
      <c r="AN92" s="307" t="n"/>
      <c r="AO92" s="307" t="n"/>
      <c r="AP92" s="307" t="n"/>
      <c r="AQ92" s="307" t="n"/>
      <c r="AR92" s="307" t="n"/>
      <c r="AS92" s="307" t="n"/>
      <c r="AT92" s="307" t="n"/>
      <c r="AU92" s="307" t="n"/>
      <c r="AV92" s="307" t="n"/>
      <c r="AW92" s="307" t="n"/>
      <c r="AX92" s="307" t="n"/>
      <c r="AY92" s="307" t="n"/>
      <c r="AZ92" s="307" t="n"/>
      <c r="BA92" s="233" t="n"/>
      <c r="BB92" s="307" t="n"/>
      <c r="BC92" s="307" t="n"/>
      <c r="BD92" s="307" t="n"/>
      <c r="BE92" s="307" t="n"/>
      <c r="BF92" s="307" t="n"/>
      <c r="BG92" s="31" t="n"/>
      <c r="BH92" s="31" t="n"/>
      <c r="BI92" s="31" t="n"/>
      <c r="BJ92" s="31" t="n"/>
    </row>
    <row r="93" ht="15.75" customHeight="1" s="349">
      <c r="A93" s="307" t="n"/>
      <c r="B93" s="307" t="n"/>
      <c r="C93" s="307" t="n"/>
      <c r="D93" s="307" t="n"/>
      <c r="E93" s="307" t="n"/>
      <c r="F93" s="307" t="n"/>
      <c r="G93" s="307" t="n"/>
      <c r="H93" s="307" t="n"/>
      <c r="I93" s="307" t="n"/>
      <c r="J93" s="307" t="n"/>
      <c r="K93" s="307" t="n"/>
      <c r="L93" s="307" t="n"/>
      <c r="M93" s="307" t="n"/>
      <c r="N93" s="307" t="n"/>
      <c r="O93" s="307" t="n"/>
      <c r="P93" s="307" t="n"/>
      <c r="Q93" s="307" t="n"/>
      <c r="R93" s="307" t="n"/>
      <c r="S93" s="307" t="n"/>
      <c r="T93" s="307" t="n"/>
      <c r="U93" s="307" t="n"/>
      <c r="V93" s="307" t="n"/>
      <c r="W93" s="307" t="n"/>
      <c r="X93" s="307" t="n"/>
      <c r="Y93" s="307" t="n"/>
      <c r="Z93" s="307" t="n"/>
      <c r="AA93" s="307" t="n"/>
      <c r="AB93" s="307" t="n"/>
      <c r="AC93" s="307" t="n"/>
      <c r="AD93" s="307" t="n"/>
      <c r="AE93" s="307" t="n"/>
      <c r="AF93" s="307" t="n"/>
      <c r="AG93" s="307" t="n"/>
      <c r="AH93" s="307" t="n"/>
      <c r="AI93" s="307" t="n"/>
      <c r="AJ93" s="307" t="n"/>
      <c r="AK93" s="307" t="n"/>
      <c r="AL93" s="307" t="n"/>
      <c r="AM93" s="307" t="n"/>
      <c r="AN93" s="307" t="n"/>
      <c r="AO93" s="307" t="n"/>
      <c r="AP93" s="307" t="n"/>
      <c r="AQ93" s="307" t="n"/>
      <c r="AR93" s="307" t="n"/>
      <c r="AS93" s="307" t="n"/>
      <c r="AT93" s="307" t="n"/>
      <c r="AU93" s="307" t="n"/>
      <c r="AV93" s="307" t="n"/>
      <c r="AW93" s="307" t="n"/>
      <c r="AX93" s="307" t="n"/>
      <c r="AY93" s="307" t="n"/>
      <c r="AZ93" s="307" t="n"/>
      <c r="BA93" s="233" t="n"/>
      <c r="BB93" s="307" t="n"/>
      <c r="BC93" s="307" t="n"/>
      <c r="BD93" s="307" t="n"/>
      <c r="BE93" s="307" t="n"/>
      <c r="BF93" s="307" t="n"/>
      <c r="BG93" s="31" t="n"/>
      <c r="BH93" s="31" t="n"/>
      <c r="BI93" s="31" t="n"/>
      <c r="BJ93" s="31" t="n"/>
    </row>
    <row r="94" ht="15.75" customHeight="1" s="349">
      <c r="A94" s="307" t="n"/>
      <c r="B94" s="307" t="n"/>
      <c r="C94" s="307" t="n"/>
      <c r="D94" s="307" t="n"/>
      <c r="E94" s="307" t="n"/>
      <c r="F94" s="307" t="n"/>
      <c r="G94" s="307" t="n"/>
      <c r="H94" s="307" t="n"/>
      <c r="I94" s="307" t="n"/>
      <c r="J94" s="307" t="n"/>
      <c r="K94" s="307" t="n"/>
      <c r="L94" s="307" t="n"/>
      <c r="M94" s="307" t="n"/>
      <c r="N94" s="307" t="n"/>
      <c r="O94" s="307" t="n"/>
      <c r="P94" s="307" t="n"/>
      <c r="Q94" s="307" t="n"/>
      <c r="R94" s="307" t="n"/>
      <c r="S94" s="307" t="n"/>
      <c r="T94" s="307" t="n"/>
      <c r="U94" s="307" t="n"/>
      <c r="V94" s="307" t="n"/>
      <c r="W94" s="307" t="n"/>
      <c r="X94" s="307" t="n"/>
      <c r="Y94" s="307" t="n"/>
      <c r="Z94" s="307" t="n"/>
      <c r="AA94" s="307" t="n"/>
      <c r="AB94" s="307" t="n"/>
      <c r="AC94" s="307" t="n"/>
      <c r="AD94" s="307" t="n"/>
      <c r="AE94" s="307" t="n"/>
      <c r="AF94" s="307" t="n"/>
      <c r="AG94" s="307" t="n"/>
      <c r="AH94" s="307" t="n"/>
      <c r="AI94" s="307" t="n"/>
      <c r="AJ94" s="307" t="n"/>
      <c r="AK94" s="307" t="n"/>
      <c r="AL94" s="307" t="n"/>
      <c r="AM94" s="307" t="n"/>
      <c r="AN94" s="307" t="n"/>
      <c r="AO94" s="307" t="n"/>
      <c r="AP94" s="307" t="n"/>
      <c r="AQ94" s="307" t="n"/>
      <c r="AR94" s="307" t="n"/>
      <c r="AS94" s="307" t="n"/>
      <c r="AT94" s="307" t="n"/>
      <c r="AU94" s="307" t="n"/>
      <c r="AV94" s="307" t="n"/>
      <c r="AW94" s="307" t="n"/>
      <c r="AX94" s="307" t="n"/>
      <c r="AY94" s="307" t="n"/>
      <c r="AZ94" s="307" t="n"/>
      <c r="BA94" s="233" t="n"/>
      <c r="BB94" s="307" t="n"/>
      <c r="BC94" s="307" t="n"/>
      <c r="BD94" s="307" t="n"/>
      <c r="BE94" s="307" t="n"/>
      <c r="BF94" s="307" t="n"/>
      <c r="BG94" s="31" t="n"/>
      <c r="BH94" s="31" t="n"/>
      <c r="BI94" s="31" t="n"/>
      <c r="BJ94" s="31" t="n"/>
    </row>
    <row r="95" ht="15.75" customHeight="1" s="349">
      <c r="A95" s="307" t="n"/>
      <c r="B95" s="307" t="n"/>
      <c r="C95" s="307" t="n"/>
      <c r="D95" s="307" t="n"/>
      <c r="E95" s="307" t="n"/>
      <c r="F95" s="307" t="n"/>
      <c r="G95" s="307" t="n"/>
      <c r="H95" s="307" t="n"/>
      <c r="I95" s="307" t="n"/>
      <c r="J95" s="307" t="n"/>
      <c r="K95" s="307" t="n"/>
      <c r="L95" s="307" t="n"/>
      <c r="M95" s="307" t="n"/>
      <c r="N95" s="307" t="n"/>
      <c r="O95" s="307" t="n"/>
      <c r="P95" s="307" t="n"/>
      <c r="Q95" s="307" t="n"/>
      <c r="R95" s="307" t="n"/>
      <c r="S95" s="307" t="n"/>
      <c r="T95" s="307" t="n"/>
      <c r="U95" s="307" t="n"/>
      <c r="V95" s="307" t="n"/>
      <c r="W95" s="307" t="n"/>
      <c r="X95" s="307" t="n"/>
      <c r="Y95" s="307" t="n"/>
      <c r="Z95" s="307" t="n"/>
      <c r="AA95" s="307" t="n"/>
      <c r="AB95" s="307" t="n"/>
      <c r="AC95" s="307" t="n"/>
      <c r="AD95" s="307" t="n"/>
      <c r="AE95" s="307" t="n"/>
      <c r="AF95" s="307" t="n"/>
      <c r="AG95" s="307" t="n"/>
      <c r="AH95" s="307" t="n"/>
      <c r="AI95" s="307" t="n"/>
      <c r="AJ95" s="307" t="n"/>
      <c r="AK95" s="307" t="n"/>
      <c r="AL95" s="307" t="n"/>
      <c r="AM95" s="307" t="n"/>
      <c r="AN95" s="307" t="n"/>
      <c r="AO95" s="307" t="n"/>
      <c r="AP95" s="307" t="n"/>
      <c r="AQ95" s="307" t="n"/>
      <c r="AR95" s="307" t="n"/>
      <c r="AS95" s="307" t="n"/>
      <c r="AT95" s="307" t="n"/>
      <c r="AU95" s="307" t="n"/>
      <c r="AV95" s="307" t="n"/>
      <c r="AW95" s="307" t="n"/>
      <c r="AX95" s="307" t="n"/>
      <c r="AY95" s="307" t="n"/>
      <c r="AZ95" s="307" t="n"/>
      <c r="BA95" s="233" t="n"/>
      <c r="BB95" s="307" t="n"/>
      <c r="BC95" s="307" t="n"/>
      <c r="BD95" s="307" t="n"/>
      <c r="BE95" s="307" t="n"/>
      <c r="BF95" s="307" t="n"/>
      <c r="BG95" s="31" t="n"/>
      <c r="BH95" s="31" t="n"/>
      <c r="BI95" s="31" t="n"/>
      <c r="BJ95" s="31" t="n"/>
    </row>
    <row r="96" ht="15.75" customHeight="1" s="349">
      <c r="A96" s="307" t="n"/>
      <c r="B96" s="307" t="n"/>
      <c r="C96" s="307" t="n"/>
      <c r="D96" s="307" t="n"/>
      <c r="E96" s="307" t="n"/>
      <c r="F96" s="307" t="n"/>
      <c r="G96" s="307" t="n"/>
      <c r="H96" s="307" t="n"/>
      <c r="I96" s="307" t="n"/>
      <c r="J96" s="307" t="n"/>
      <c r="K96" s="307" t="n"/>
      <c r="L96" s="307" t="n"/>
      <c r="M96" s="307" t="n"/>
      <c r="N96" s="307" t="n"/>
      <c r="O96" s="307" t="n"/>
      <c r="P96" s="307" t="n"/>
      <c r="Q96" s="307" t="n"/>
      <c r="R96" s="307" t="n"/>
      <c r="S96" s="307" t="n"/>
      <c r="T96" s="307" t="n"/>
      <c r="U96" s="307" t="n"/>
      <c r="V96" s="307" t="n"/>
      <c r="W96" s="307" t="n"/>
      <c r="X96" s="307" t="n"/>
      <c r="Y96" s="307" t="n"/>
      <c r="Z96" s="307" t="n"/>
      <c r="AA96" s="307" t="n"/>
      <c r="AB96" s="307" t="n"/>
      <c r="AC96" s="307" t="n"/>
      <c r="AD96" s="307" t="n"/>
      <c r="AE96" s="307" t="n"/>
      <c r="AF96" s="307" t="n"/>
      <c r="AG96" s="307" t="n"/>
      <c r="AH96" s="307" t="n"/>
      <c r="AI96" s="307" t="n"/>
      <c r="AJ96" s="307" t="n"/>
      <c r="AK96" s="307" t="n"/>
      <c r="AL96" s="307" t="n"/>
      <c r="AM96" s="307" t="n"/>
      <c r="AN96" s="307" t="n"/>
      <c r="AO96" s="307" t="n"/>
      <c r="AP96" s="307" t="n"/>
      <c r="AQ96" s="307" t="n"/>
      <c r="AR96" s="307" t="n"/>
      <c r="AS96" s="307" t="n"/>
      <c r="AT96" s="307" t="n"/>
      <c r="AU96" s="307" t="n"/>
      <c r="AV96" s="307" t="n"/>
      <c r="AW96" s="307" t="n"/>
      <c r="AX96" s="307" t="n"/>
      <c r="AY96" s="307" t="n"/>
      <c r="AZ96" s="307" t="n"/>
      <c r="BA96" s="233" t="n"/>
      <c r="BB96" s="307" t="n"/>
      <c r="BC96" s="307" t="n"/>
      <c r="BD96" s="307" t="n"/>
      <c r="BE96" s="307" t="n"/>
      <c r="BF96" s="307" t="n"/>
      <c r="BG96" s="31" t="n"/>
      <c r="BH96" s="31" t="n"/>
      <c r="BI96" s="31" t="n"/>
      <c r="BJ96" s="31" t="n"/>
    </row>
    <row r="97" ht="15.75" customHeight="1" s="349">
      <c r="A97" s="307" t="n"/>
      <c r="B97" s="307" t="n"/>
      <c r="C97" s="307" t="n"/>
      <c r="D97" s="307" t="n"/>
      <c r="E97" s="307" t="n"/>
      <c r="F97" s="307" t="n"/>
      <c r="G97" s="307" t="n"/>
      <c r="H97" s="307" t="n"/>
      <c r="I97" s="307" t="n"/>
      <c r="J97" s="307" t="n"/>
      <c r="K97" s="307" t="n"/>
      <c r="L97" s="307" t="n"/>
      <c r="M97" s="307" t="n"/>
      <c r="N97" s="307" t="n"/>
      <c r="O97" s="307" t="n"/>
      <c r="P97" s="307" t="n"/>
      <c r="Q97" s="307" t="n"/>
      <c r="R97" s="307" t="n"/>
      <c r="S97" s="307" t="n"/>
      <c r="T97" s="307" t="n"/>
      <c r="U97" s="307" t="n"/>
      <c r="V97" s="307" t="n"/>
      <c r="W97" s="307" t="n"/>
      <c r="X97" s="307" t="n"/>
      <c r="Y97" s="307" t="n"/>
      <c r="Z97" s="307" t="n"/>
      <c r="AA97" s="307" t="n"/>
      <c r="AB97" s="307" t="n"/>
      <c r="AC97" s="307" t="n"/>
      <c r="AD97" s="307" t="n"/>
      <c r="AE97" s="307" t="n"/>
      <c r="AF97" s="307" t="n"/>
      <c r="AG97" s="307" t="n"/>
      <c r="AH97" s="307" t="n"/>
      <c r="AI97" s="307" t="n"/>
      <c r="AJ97" s="307" t="n"/>
      <c r="AK97" s="307" t="n"/>
      <c r="AL97" s="307" t="n"/>
      <c r="AM97" s="307" t="n"/>
      <c r="AN97" s="307" t="n"/>
      <c r="AO97" s="307" t="n"/>
      <c r="AP97" s="307" t="n"/>
      <c r="AQ97" s="307" t="n"/>
      <c r="AR97" s="307" t="n"/>
      <c r="AS97" s="307" t="n"/>
      <c r="AT97" s="307" t="n"/>
      <c r="AU97" s="307" t="n"/>
      <c r="AV97" s="307" t="n"/>
      <c r="AW97" s="307" t="n"/>
      <c r="AX97" s="307" t="n"/>
      <c r="AY97" s="307" t="n"/>
      <c r="AZ97" s="307" t="n"/>
      <c r="BA97" s="233" t="n"/>
      <c r="BB97" s="307" t="n"/>
      <c r="BC97" s="307" t="n"/>
      <c r="BD97" s="307" t="n"/>
      <c r="BE97" s="307" t="n"/>
      <c r="BF97" s="307" t="n"/>
      <c r="BG97" s="31" t="n"/>
      <c r="BH97" s="31" t="n"/>
      <c r="BI97" s="31" t="n"/>
      <c r="BJ97" s="31" t="n"/>
    </row>
    <row r="98" ht="15.75" customHeight="1" s="349">
      <c r="A98" s="307" t="n"/>
      <c r="B98" s="307" t="n"/>
      <c r="C98" s="307" t="n"/>
      <c r="D98" s="307" t="n"/>
      <c r="E98" s="307" t="n"/>
      <c r="F98" s="307" t="n"/>
      <c r="G98" s="307" t="n"/>
      <c r="H98" s="307" t="n"/>
      <c r="I98" s="307" t="n"/>
      <c r="J98" s="307" t="n"/>
      <c r="K98" s="307" t="n"/>
      <c r="L98" s="307" t="n"/>
      <c r="M98" s="307" t="n"/>
      <c r="N98" s="307" t="n"/>
      <c r="O98" s="307" t="n"/>
      <c r="P98" s="307" t="n"/>
      <c r="Q98" s="307" t="n"/>
      <c r="R98" s="307" t="n"/>
      <c r="S98" s="307" t="n"/>
      <c r="T98" s="307" t="n"/>
      <c r="U98" s="307" t="n"/>
      <c r="V98" s="307" t="n"/>
      <c r="W98" s="307" t="n"/>
      <c r="X98" s="307" t="n"/>
      <c r="Y98" s="307" t="n"/>
      <c r="Z98" s="307" t="n"/>
      <c r="AA98" s="307" t="n"/>
      <c r="AB98" s="307" t="n"/>
      <c r="AC98" s="307" t="n"/>
      <c r="AD98" s="307" t="n"/>
      <c r="AE98" s="307" t="n"/>
      <c r="AF98" s="307" t="n"/>
      <c r="AG98" s="307" t="n"/>
      <c r="AH98" s="307" t="n"/>
      <c r="AI98" s="307" t="n"/>
      <c r="AJ98" s="307" t="n"/>
      <c r="AK98" s="307" t="n"/>
      <c r="AL98" s="307" t="n"/>
      <c r="AM98" s="307" t="n"/>
      <c r="AN98" s="307" t="n"/>
      <c r="AO98" s="307" t="n"/>
      <c r="AP98" s="307" t="n"/>
      <c r="AQ98" s="307" t="n"/>
      <c r="AR98" s="307" t="n"/>
      <c r="AS98" s="307" t="n"/>
      <c r="AT98" s="307" t="n"/>
      <c r="AU98" s="307" t="n"/>
      <c r="AV98" s="307" t="n"/>
      <c r="AW98" s="307" t="n"/>
      <c r="AX98" s="307" t="n"/>
      <c r="AY98" s="307" t="n"/>
      <c r="AZ98" s="307" t="n"/>
      <c r="BA98" s="233" t="n"/>
      <c r="BB98" s="307" t="n"/>
      <c r="BC98" s="307" t="n"/>
      <c r="BD98" s="307" t="n"/>
      <c r="BE98" s="307" t="n"/>
      <c r="BF98" s="307" t="n"/>
      <c r="BG98" s="31" t="n"/>
      <c r="BH98" s="31" t="n"/>
      <c r="BI98" s="31" t="n"/>
      <c r="BJ98" s="31" t="n"/>
    </row>
    <row r="99" ht="15.75" customHeight="1" s="349">
      <c r="A99" s="307" t="n"/>
      <c r="B99" s="307" t="n"/>
      <c r="C99" s="307" t="n"/>
      <c r="D99" s="307" t="n"/>
      <c r="E99" s="307" t="n"/>
      <c r="F99" s="307" t="n"/>
      <c r="G99" s="307" t="n"/>
      <c r="H99" s="307" t="n"/>
      <c r="I99" s="307" t="n"/>
      <c r="J99" s="307" t="n"/>
      <c r="K99" s="307" t="n"/>
      <c r="L99" s="307" t="n"/>
      <c r="M99" s="307" t="n"/>
      <c r="N99" s="307" t="n"/>
      <c r="O99" s="307" t="n"/>
      <c r="P99" s="307" t="n"/>
      <c r="Q99" s="307" t="n"/>
      <c r="R99" s="307" t="n"/>
      <c r="S99" s="307" t="n"/>
      <c r="T99" s="307" t="n"/>
      <c r="U99" s="307" t="n"/>
      <c r="V99" s="307" t="n"/>
      <c r="W99" s="307" t="n"/>
      <c r="X99" s="307" t="n"/>
      <c r="Y99" s="307" t="n"/>
      <c r="Z99" s="307" t="n"/>
      <c r="AA99" s="307" t="n"/>
      <c r="AB99" s="307" t="n"/>
      <c r="AC99" s="307" t="n"/>
      <c r="AD99" s="307" t="n"/>
      <c r="AE99" s="307" t="n"/>
      <c r="AF99" s="307" t="n"/>
      <c r="AG99" s="307" t="n"/>
      <c r="AH99" s="307" t="n"/>
      <c r="AI99" s="307" t="n"/>
      <c r="AJ99" s="307" t="n"/>
      <c r="AK99" s="307" t="n"/>
      <c r="AL99" s="307" t="n"/>
      <c r="AM99" s="307" t="n"/>
      <c r="AN99" s="307" t="n"/>
      <c r="AO99" s="307" t="n"/>
      <c r="AP99" s="307" t="n"/>
      <c r="AQ99" s="307" t="n"/>
      <c r="AR99" s="307" t="n"/>
      <c r="AS99" s="307" t="n"/>
      <c r="AT99" s="307" t="n"/>
      <c r="AU99" s="307" t="n"/>
      <c r="AV99" s="307" t="n"/>
      <c r="AW99" s="307" t="n"/>
      <c r="AX99" s="307" t="n"/>
      <c r="AY99" s="307" t="n"/>
      <c r="AZ99" s="307" t="n"/>
      <c r="BA99" s="233" t="n"/>
      <c r="BB99" s="307" t="n"/>
      <c r="BC99" s="307" t="n"/>
      <c r="BD99" s="307" t="n"/>
      <c r="BE99" s="307" t="n"/>
      <c r="BF99" s="307" t="n"/>
      <c r="BG99" s="31" t="n"/>
      <c r="BH99" s="31" t="n"/>
      <c r="BI99" s="31" t="n"/>
      <c r="BJ99" s="31" t="n"/>
    </row>
    <row r="100" ht="15.75" customHeight="1" s="349">
      <c r="A100" s="307" t="n"/>
      <c r="B100" s="307" t="n"/>
      <c r="C100" s="307" t="n"/>
      <c r="D100" s="307" t="n"/>
      <c r="E100" s="307" t="n"/>
      <c r="F100" s="307" t="n"/>
      <c r="G100" s="307" t="n"/>
      <c r="H100" s="307" t="n"/>
      <c r="I100" s="307" t="n"/>
      <c r="J100" s="307" t="n"/>
      <c r="K100" s="307" t="n"/>
      <c r="L100" s="307" t="n"/>
      <c r="M100" s="307" t="n"/>
      <c r="N100" s="307" t="n"/>
      <c r="O100" s="307" t="n"/>
      <c r="P100" s="307" t="n"/>
      <c r="Q100" s="307" t="n"/>
      <c r="R100" s="307" t="n"/>
      <c r="S100" s="307" t="n"/>
      <c r="T100" s="307" t="n"/>
      <c r="U100" s="307" t="n"/>
      <c r="V100" s="307" t="n"/>
      <c r="W100" s="307" t="n"/>
      <c r="X100" s="307" t="n"/>
      <c r="Y100" s="307" t="n"/>
      <c r="Z100" s="307" t="n"/>
      <c r="AA100" s="307" t="n"/>
      <c r="AB100" s="307" t="n"/>
      <c r="AC100" s="307" t="n"/>
      <c r="AD100" s="307" t="n"/>
      <c r="AE100" s="307" t="n"/>
      <c r="AF100" s="307" t="n"/>
      <c r="AG100" s="307" t="n"/>
      <c r="AH100" s="307" t="n"/>
      <c r="AI100" s="307" t="n"/>
      <c r="AJ100" s="307" t="n"/>
      <c r="AK100" s="307" t="n"/>
      <c r="AL100" s="307" t="n"/>
      <c r="AM100" s="307" t="n"/>
      <c r="AN100" s="307" t="n"/>
      <c r="AO100" s="307" t="n"/>
      <c r="AP100" s="307" t="n"/>
      <c r="AQ100" s="307" t="n"/>
      <c r="AR100" s="307" t="n"/>
      <c r="AS100" s="307" t="n"/>
      <c r="AT100" s="307" t="n"/>
      <c r="AU100" s="307" t="n"/>
      <c r="AV100" s="307" t="n"/>
      <c r="AW100" s="307" t="n"/>
      <c r="AX100" s="307" t="n"/>
      <c r="AY100" s="307" t="n"/>
      <c r="AZ100" s="307" t="n"/>
      <c r="BA100" s="233" t="n"/>
      <c r="BB100" s="307" t="n"/>
      <c r="BC100" s="307" t="n"/>
      <c r="BD100" s="307" t="n"/>
      <c r="BE100" s="307" t="n"/>
      <c r="BF100" s="307" t="n"/>
      <c r="BG100" s="31" t="n"/>
      <c r="BH100" s="31" t="n"/>
      <c r="BI100" s="31" t="n"/>
      <c r="BJ100" s="31" t="n"/>
    </row>
    <row r="101" ht="15.75" customHeight="1" s="349">
      <c r="A101" s="307" t="n"/>
      <c r="B101" s="307" t="n"/>
      <c r="C101" s="307" t="n"/>
      <c r="D101" s="307" t="n"/>
      <c r="E101" s="307" t="n"/>
      <c r="F101" s="307" t="n"/>
      <c r="G101" s="307" t="n"/>
      <c r="H101" s="307" t="n"/>
      <c r="I101" s="307" t="n"/>
      <c r="J101" s="307" t="n"/>
      <c r="K101" s="307" t="n"/>
      <c r="L101" s="307" t="n"/>
      <c r="M101" s="307" t="n"/>
      <c r="N101" s="307" t="n"/>
      <c r="O101" s="307" t="n"/>
      <c r="P101" s="307" t="n"/>
      <c r="Q101" s="307" t="n"/>
      <c r="R101" s="307" t="n"/>
      <c r="S101" s="307" t="n"/>
      <c r="T101" s="307" t="n"/>
      <c r="U101" s="307" t="n"/>
      <c r="V101" s="307" t="n"/>
      <c r="W101" s="307" t="n"/>
      <c r="X101" s="307" t="n"/>
      <c r="Y101" s="307" t="n"/>
      <c r="Z101" s="307" t="n"/>
      <c r="AA101" s="307" t="n"/>
      <c r="AB101" s="307" t="n"/>
      <c r="AC101" s="307" t="n"/>
      <c r="AD101" s="307" t="n"/>
      <c r="AE101" s="307" t="n"/>
      <c r="AF101" s="307" t="n"/>
      <c r="AG101" s="307" t="n"/>
      <c r="AH101" s="307" t="n"/>
      <c r="AI101" s="307" t="n"/>
      <c r="AJ101" s="307" t="n"/>
      <c r="AK101" s="307" t="n"/>
      <c r="AL101" s="307" t="n"/>
      <c r="AM101" s="307" t="n"/>
      <c r="AN101" s="307" t="n"/>
      <c r="AO101" s="307" t="n"/>
      <c r="AP101" s="307" t="n"/>
      <c r="AQ101" s="307" t="n"/>
      <c r="AR101" s="307" t="n"/>
      <c r="AS101" s="307" t="n"/>
      <c r="AT101" s="307" t="n"/>
      <c r="AU101" s="307" t="n"/>
      <c r="AV101" s="307" t="n"/>
      <c r="AW101" s="307" t="n"/>
      <c r="AX101" s="307" t="n"/>
      <c r="AY101" s="307" t="n"/>
      <c r="AZ101" s="307" t="n"/>
      <c r="BA101" s="233" t="n"/>
      <c r="BB101" s="307" t="n"/>
      <c r="BC101" s="307" t="n"/>
      <c r="BD101" s="307" t="n"/>
      <c r="BE101" s="307" t="n"/>
      <c r="BF101" s="307" t="n"/>
      <c r="BG101" s="31" t="n"/>
      <c r="BH101" s="31" t="n"/>
      <c r="BI101" s="31" t="n"/>
      <c r="BJ101" s="31" t="n"/>
    </row>
    <row r="102" ht="15.75" customHeight="1" s="349">
      <c r="A102" s="307" t="n"/>
      <c r="B102" s="307" t="n"/>
      <c r="C102" s="307" t="n"/>
      <c r="D102" s="307" t="n"/>
      <c r="E102" s="307" t="n"/>
      <c r="F102" s="307" t="n"/>
      <c r="G102" s="307" t="n"/>
      <c r="H102" s="307" t="n"/>
      <c r="I102" s="307" t="n"/>
      <c r="J102" s="307" t="n"/>
      <c r="K102" s="307" t="n"/>
      <c r="L102" s="307" t="n"/>
      <c r="M102" s="307" t="n"/>
      <c r="N102" s="307" t="n"/>
      <c r="O102" s="307" t="n"/>
      <c r="P102" s="307" t="n"/>
      <c r="Q102" s="307" t="n"/>
      <c r="R102" s="307" t="n"/>
      <c r="S102" s="307" t="n"/>
      <c r="T102" s="307" t="n"/>
      <c r="U102" s="307" t="n"/>
      <c r="V102" s="307" t="n"/>
      <c r="W102" s="307" t="n"/>
      <c r="X102" s="307" t="n"/>
      <c r="Y102" s="307" t="n"/>
      <c r="Z102" s="307" t="n"/>
      <c r="AA102" s="307" t="n"/>
      <c r="AB102" s="307" t="n"/>
      <c r="AC102" s="307" t="n"/>
      <c r="AD102" s="307" t="n"/>
      <c r="AE102" s="307" t="n"/>
      <c r="AF102" s="307" t="n"/>
      <c r="AG102" s="307" t="n"/>
      <c r="AH102" s="307" t="n"/>
      <c r="AI102" s="307" t="n"/>
      <c r="AJ102" s="307" t="n"/>
      <c r="AK102" s="307" t="n"/>
      <c r="AL102" s="307" t="n"/>
      <c r="AM102" s="307" t="n"/>
      <c r="AN102" s="307" t="n"/>
      <c r="AO102" s="307" t="n"/>
      <c r="AP102" s="307" t="n"/>
      <c r="AQ102" s="307" t="n"/>
      <c r="AR102" s="307" t="n"/>
      <c r="AS102" s="307" t="n"/>
      <c r="AT102" s="307" t="n"/>
      <c r="AU102" s="307" t="n"/>
      <c r="AV102" s="307" t="n"/>
      <c r="AW102" s="307" t="n"/>
      <c r="AX102" s="307" t="n"/>
      <c r="AY102" s="307" t="n"/>
      <c r="AZ102" s="307" t="n"/>
      <c r="BA102" s="233" t="n"/>
      <c r="BB102" s="307" t="n"/>
      <c r="BC102" s="307" t="n"/>
      <c r="BD102" s="307" t="n"/>
      <c r="BE102" s="307" t="n"/>
      <c r="BF102" s="307" t="n"/>
      <c r="BG102" s="31" t="n"/>
      <c r="BH102" s="31" t="n"/>
      <c r="BI102" s="31" t="n"/>
      <c r="BJ102" s="31" t="n"/>
    </row>
    <row r="103" ht="15.75" customHeight="1" s="349">
      <c r="A103" s="307" t="n"/>
      <c r="B103" s="307" t="n"/>
      <c r="C103" s="307" t="n"/>
      <c r="D103" s="307" t="n"/>
      <c r="E103" s="307" t="n"/>
      <c r="F103" s="307" t="n"/>
      <c r="G103" s="307" t="n"/>
      <c r="H103" s="307" t="n"/>
      <c r="I103" s="307" t="n"/>
      <c r="J103" s="307" t="n"/>
      <c r="K103" s="307" t="n"/>
      <c r="L103" s="307" t="n"/>
      <c r="M103" s="307" t="n"/>
      <c r="N103" s="307" t="n"/>
      <c r="O103" s="307" t="n"/>
      <c r="P103" s="307" t="n"/>
      <c r="Q103" s="307" t="n"/>
      <c r="R103" s="307" t="n"/>
      <c r="S103" s="307" t="n"/>
      <c r="T103" s="307" t="n"/>
      <c r="U103" s="307" t="n"/>
      <c r="V103" s="307" t="n"/>
      <c r="W103" s="307" t="n"/>
      <c r="X103" s="307" t="n"/>
      <c r="Y103" s="307" t="n"/>
      <c r="Z103" s="307" t="n"/>
      <c r="AA103" s="307" t="n"/>
      <c r="AB103" s="307" t="n"/>
      <c r="AC103" s="307" t="n"/>
      <c r="AD103" s="307" t="n"/>
      <c r="AE103" s="307" t="n"/>
      <c r="AF103" s="307" t="n"/>
      <c r="AG103" s="307" t="n"/>
      <c r="AH103" s="307" t="n"/>
      <c r="AI103" s="307" t="n"/>
      <c r="AJ103" s="307" t="n"/>
      <c r="AK103" s="307" t="n"/>
      <c r="AL103" s="307" t="n"/>
      <c r="AM103" s="307" t="n"/>
      <c r="AN103" s="307" t="n"/>
      <c r="AO103" s="307" t="n"/>
      <c r="AP103" s="307" t="n"/>
      <c r="AQ103" s="307" t="n"/>
      <c r="AR103" s="307" t="n"/>
      <c r="AS103" s="307" t="n"/>
      <c r="AT103" s="307" t="n"/>
      <c r="AU103" s="307" t="n"/>
      <c r="AV103" s="307" t="n"/>
      <c r="AW103" s="307" t="n"/>
      <c r="AX103" s="307" t="n"/>
      <c r="AY103" s="307" t="n"/>
      <c r="AZ103" s="307" t="n"/>
      <c r="BA103" s="233" t="n"/>
      <c r="BB103" s="307" t="n"/>
      <c r="BC103" s="307" t="n"/>
      <c r="BD103" s="307" t="n"/>
      <c r="BE103" s="307" t="n"/>
      <c r="BF103" s="307" t="n"/>
      <c r="BG103" s="31" t="n"/>
      <c r="BH103" s="31" t="n"/>
      <c r="BI103" s="31" t="n"/>
      <c r="BJ103" s="31" t="n"/>
    </row>
    <row r="104" ht="15.75" customHeight="1" s="349">
      <c r="A104" s="307" t="n"/>
      <c r="B104" s="307" t="n"/>
      <c r="C104" s="307" t="n"/>
      <c r="D104" s="307" t="n"/>
      <c r="E104" s="307" t="n"/>
      <c r="F104" s="307" t="n"/>
      <c r="G104" s="307" t="n"/>
      <c r="H104" s="307" t="n"/>
      <c r="I104" s="307" t="n"/>
      <c r="J104" s="307" t="n"/>
      <c r="K104" s="307" t="n"/>
      <c r="L104" s="307" t="n"/>
      <c r="M104" s="307" t="n"/>
      <c r="N104" s="307" t="n"/>
      <c r="O104" s="307" t="n"/>
      <c r="P104" s="307" t="n"/>
      <c r="Q104" s="307" t="n"/>
      <c r="R104" s="307" t="n"/>
      <c r="S104" s="307" t="n"/>
      <c r="T104" s="307" t="n"/>
      <c r="U104" s="307" t="n"/>
      <c r="V104" s="307" t="n"/>
      <c r="W104" s="307" t="n"/>
      <c r="X104" s="307" t="n"/>
      <c r="Y104" s="307" t="n"/>
      <c r="Z104" s="307" t="n"/>
      <c r="AA104" s="307" t="n"/>
      <c r="AB104" s="307" t="n"/>
      <c r="AC104" s="307" t="n"/>
      <c r="AD104" s="307" t="n"/>
      <c r="AE104" s="307" t="n"/>
      <c r="AF104" s="307" t="n"/>
      <c r="AG104" s="307" t="n"/>
      <c r="AH104" s="307" t="n"/>
      <c r="AI104" s="307" t="n"/>
      <c r="AJ104" s="307" t="n"/>
      <c r="AK104" s="307" t="n"/>
      <c r="AL104" s="307" t="n"/>
      <c r="AM104" s="307" t="n"/>
      <c r="AN104" s="307" t="n"/>
      <c r="AO104" s="307" t="n"/>
      <c r="AP104" s="307" t="n"/>
      <c r="AQ104" s="307" t="n"/>
      <c r="AR104" s="307" t="n"/>
      <c r="AS104" s="307" t="n"/>
      <c r="AT104" s="307" t="n"/>
      <c r="AU104" s="307" t="n"/>
      <c r="AV104" s="307" t="n"/>
      <c r="AW104" s="307" t="n"/>
      <c r="AX104" s="307" t="n"/>
      <c r="AY104" s="307" t="n"/>
      <c r="AZ104" s="307" t="n"/>
      <c r="BA104" s="233" t="n"/>
      <c r="BB104" s="307" t="n"/>
      <c r="BC104" s="307" t="n"/>
      <c r="BD104" s="307" t="n"/>
      <c r="BE104" s="307" t="n"/>
      <c r="BF104" s="307" t="n"/>
      <c r="BG104" s="31" t="n"/>
      <c r="BH104" s="31" t="n"/>
      <c r="BI104" s="31" t="n"/>
      <c r="BJ104" s="31" t="n"/>
    </row>
    <row r="105" ht="15.75" customHeight="1" s="349">
      <c r="A105" s="307" t="n"/>
      <c r="B105" s="307" t="n"/>
      <c r="C105" s="307" t="n"/>
      <c r="D105" s="307" t="n"/>
      <c r="E105" s="307" t="n"/>
      <c r="F105" s="307" t="n"/>
      <c r="G105" s="307" t="n"/>
      <c r="H105" s="307" t="n"/>
      <c r="I105" s="307" t="n"/>
      <c r="J105" s="307" t="n"/>
      <c r="K105" s="307" t="n"/>
      <c r="L105" s="307" t="n"/>
      <c r="M105" s="307" t="n"/>
      <c r="N105" s="307" t="n"/>
      <c r="O105" s="307" t="n"/>
      <c r="P105" s="307" t="n"/>
      <c r="Q105" s="307" t="n"/>
      <c r="R105" s="307" t="n"/>
      <c r="S105" s="307" t="n"/>
      <c r="T105" s="307" t="n"/>
      <c r="U105" s="307" t="n"/>
      <c r="V105" s="307" t="n"/>
      <c r="W105" s="307" t="n"/>
      <c r="X105" s="307" t="n"/>
      <c r="Y105" s="307" t="n"/>
      <c r="Z105" s="307" t="n"/>
      <c r="AA105" s="307" t="n"/>
      <c r="AB105" s="307" t="n"/>
      <c r="AC105" s="307" t="n"/>
      <c r="AD105" s="307" t="n"/>
      <c r="AE105" s="307" t="n"/>
      <c r="AF105" s="307" t="n"/>
      <c r="AG105" s="307" t="n"/>
      <c r="AH105" s="307" t="n"/>
      <c r="AI105" s="307" t="n"/>
      <c r="AJ105" s="307" t="n"/>
      <c r="AK105" s="307" t="n"/>
      <c r="AL105" s="307" t="n"/>
      <c r="AM105" s="307" t="n"/>
      <c r="AN105" s="307" t="n"/>
      <c r="AO105" s="307" t="n"/>
      <c r="AP105" s="307" t="n"/>
      <c r="AQ105" s="307" t="n"/>
      <c r="AR105" s="307" t="n"/>
      <c r="AS105" s="307" t="n"/>
      <c r="AT105" s="307" t="n"/>
      <c r="AU105" s="307" t="n"/>
      <c r="AV105" s="307" t="n"/>
      <c r="AW105" s="307" t="n"/>
      <c r="AX105" s="307" t="n"/>
      <c r="AY105" s="307" t="n"/>
      <c r="AZ105" s="307" t="n"/>
      <c r="BA105" s="233" t="n"/>
      <c r="BB105" s="307" t="n"/>
      <c r="BC105" s="307" t="n"/>
      <c r="BD105" s="307" t="n"/>
      <c r="BE105" s="307" t="n"/>
      <c r="BF105" s="307" t="n"/>
      <c r="BG105" s="31" t="n"/>
      <c r="BH105" s="31" t="n"/>
      <c r="BI105" s="31" t="n"/>
      <c r="BJ105" s="31" t="n"/>
    </row>
    <row r="106" ht="15.75" customHeight="1" s="349">
      <c r="A106" s="307" t="n"/>
      <c r="B106" s="307" t="n"/>
      <c r="C106" s="307" t="n"/>
      <c r="D106" s="307" t="n"/>
      <c r="E106" s="307" t="n"/>
      <c r="F106" s="307" t="n"/>
      <c r="G106" s="307" t="n"/>
      <c r="H106" s="307" t="n"/>
      <c r="I106" s="307" t="n"/>
      <c r="J106" s="307" t="n"/>
      <c r="K106" s="307" t="n"/>
      <c r="L106" s="307" t="n"/>
      <c r="M106" s="307" t="n"/>
      <c r="N106" s="307" t="n"/>
      <c r="O106" s="307" t="n"/>
      <c r="P106" s="307" t="n"/>
      <c r="Q106" s="307" t="n"/>
      <c r="R106" s="307" t="n"/>
      <c r="S106" s="307" t="n"/>
      <c r="T106" s="307" t="n"/>
      <c r="U106" s="307" t="n"/>
      <c r="V106" s="307" t="n"/>
      <c r="W106" s="307" t="n"/>
      <c r="X106" s="307" t="n"/>
      <c r="Y106" s="307" t="n"/>
      <c r="Z106" s="307" t="n"/>
      <c r="AA106" s="307" t="n"/>
      <c r="AB106" s="307" t="n"/>
      <c r="AC106" s="307" t="n"/>
      <c r="AD106" s="307" t="n"/>
      <c r="AE106" s="307" t="n"/>
      <c r="AF106" s="307" t="n"/>
      <c r="AG106" s="307" t="n"/>
      <c r="AH106" s="307" t="n"/>
      <c r="AI106" s="307" t="n"/>
      <c r="AJ106" s="307" t="n"/>
      <c r="AK106" s="307" t="n"/>
      <c r="AL106" s="307" t="n"/>
      <c r="AM106" s="307" t="n"/>
      <c r="AN106" s="307" t="n"/>
      <c r="AO106" s="307" t="n"/>
      <c r="AP106" s="307" t="n"/>
      <c r="AQ106" s="307" t="n"/>
      <c r="AR106" s="307" t="n"/>
      <c r="AS106" s="307" t="n"/>
      <c r="AT106" s="307" t="n"/>
      <c r="AU106" s="307" t="n"/>
      <c r="AV106" s="307" t="n"/>
      <c r="AW106" s="307" t="n"/>
      <c r="AX106" s="307" t="n"/>
      <c r="AY106" s="307" t="n"/>
      <c r="AZ106" s="307" t="n"/>
      <c r="BA106" s="233" t="n"/>
      <c r="BB106" s="307" t="n"/>
      <c r="BC106" s="307" t="n"/>
      <c r="BD106" s="307" t="n"/>
      <c r="BE106" s="307" t="n"/>
      <c r="BF106" s="307" t="n"/>
      <c r="BG106" s="31" t="n"/>
      <c r="BH106" s="31" t="n"/>
      <c r="BI106" s="31" t="n"/>
      <c r="BJ106" s="31" t="n"/>
    </row>
    <row r="107" ht="15.75" customHeight="1" s="349">
      <c r="A107" s="307" t="n"/>
      <c r="B107" s="307" t="n"/>
      <c r="C107" s="307" t="n"/>
      <c r="D107" s="307" t="n"/>
      <c r="E107" s="307" t="n"/>
      <c r="F107" s="307" t="n"/>
      <c r="G107" s="307" t="n"/>
      <c r="H107" s="307" t="n"/>
      <c r="I107" s="307" t="n"/>
      <c r="J107" s="307" t="n"/>
      <c r="K107" s="307" t="n"/>
      <c r="L107" s="307" t="n"/>
      <c r="M107" s="307" t="n"/>
      <c r="N107" s="307" t="n"/>
      <c r="O107" s="307" t="n"/>
      <c r="P107" s="307" t="n"/>
      <c r="Q107" s="307" t="n"/>
      <c r="R107" s="307" t="n"/>
      <c r="S107" s="307" t="n"/>
      <c r="T107" s="307" t="n"/>
      <c r="U107" s="307" t="n"/>
      <c r="V107" s="307" t="n"/>
      <c r="W107" s="307" t="n"/>
      <c r="X107" s="307" t="n"/>
      <c r="Y107" s="307" t="n"/>
      <c r="Z107" s="307" t="n"/>
      <c r="AA107" s="307" t="n"/>
      <c r="AB107" s="307" t="n"/>
      <c r="AC107" s="307" t="n"/>
      <c r="AD107" s="307" t="n"/>
      <c r="AE107" s="307" t="n"/>
      <c r="AF107" s="307" t="n"/>
      <c r="AG107" s="307" t="n"/>
      <c r="AH107" s="307" t="n"/>
      <c r="AI107" s="307" t="n"/>
      <c r="AJ107" s="307" t="n"/>
      <c r="AK107" s="307" t="n"/>
      <c r="AL107" s="307" t="n"/>
      <c r="AM107" s="307" t="n"/>
      <c r="AN107" s="307" t="n"/>
      <c r="AO107" s="307" t="n"/>
      <c r="AP107" s="307" t="n"/>
      <c r="AQ107" s="307" t="n"/>
      <c r="AR107" s="307" t="n"/>
      <c r="AS107" s="307" t="n"/>
      <c r="AT107" s="307" t="n"/>
      <c r="AU107" s="307" t="n"/>
      <c r="AV107" s="307" t="n"/>
      <c r="AW107" s="307" t="n"/>
      <c r="AX107" s="307" t="n"/>
      <c r="AY107" s="307" t="n"/>
      <c r="AZ107" s="307" t="n"/>
      <c r="BA107" s="233" t="n"/>
      <c r="BB107" s="307" t="n"/>
      <c r="BC107" s="307" t="n"/>
      <c r="BD107" s="307" t="n"/>
      <c r="BE107" s="307" t="n"/>
      <c r="BF107" s="307" t="n"/>
      <c r="BG107" s="31" t="n"/>
      <c r="BH107" s="31" t="n"/>
      <c r="BI107" s="31" t="n"/>
      <c r="BJ107" s="31" t="n"/>
    </row>
    <row r="108" ht="15.75" customHeight="1" s="349">
      <c r="A108" s="307" t="n"/>
      <c r="B108" s="307" t="n"/>
      <c r="C108" s="307" t="n"/>
      <c r="D108" s="307" t="n"/>
      <c r="E108" s="307" t="n"/>
      <c r="F108" s="307" t="n"/>
      <c r="G108" s="307" t="n"/>
      <c r="H108" s="307" t="n"/>
      <c r="I108" s="307" t="n"/>
      <c r="J108" s="307" t="n"/>
      <c r="K108" s="307" t="n"/>
      <c r="L108" s="307" t="n"/>
      <c r="M108" s="307" t="n"/>
      <c r="N108" s="307" t="n"/>
      <c r="O108" s="307" t="n"/>
      <c r="P108" s="307" t="n"/>
      <c r="Q108" s="307" t="n"/>
      <c r="R108" s="307" t="n"/>
      <c r="S108" s="307" t="n"/>
      <c r="T108" s="307" t="n"/>
      <c r="U108" s="307" t="n"/>
      <c r="V108" s="307" t="n"/>
      <c r="W108" s="307" t="n"/>
      <c r="X108" s="307" t="n"/>
      <c r="Y108" s="307" t="n"/>
      <c r="Z108" s="307" t="n"/>
      <c r="AA108" s="307" t="n"/>
      <c r="AB108" s="307" t="n"/>
      <c r="AC108" s="307" t="n"/>
      <c r="AD108" s="307" t="n"/>
      <c r="AE108" s="307" t="n"/>
      <c r="AF108" s="307" t="n"/>
      <c r="AG108" s="307" t="n"/>
      <c r="AH108" s="307" t="n"/>
      <c r="AI108" s="307" t="n"/>
      <c r="AJ108" s="307" t="n"/>
      <c r="AK108" s="307" t="n"/>
      <c r="AL108" s="307" t="n"/>
      <c r="AM108" s="307" t="n"/>
      <c r="AN108" s="307" t="n"/>
      <c r="AO108" s="307" t="n"/>
      <c r="AP108" s="307" t="n"/>
      <c r="AQ108" s="307" t="n"/>
      <c r="AR108" s="307" t="n"/>
      <c r="AS108" s="307" t="n"/>
      <c r="AT108" s="307" t="n"/>
      <c r="AU108" s="307" t="n"/>
      <c r="AV108" s="307" t="n"/>
      <c r="AW108" s="307" t="n"/>
      <c r="AX108" s="307" t="n"/>
      <c r="AY108" s="307" t="n"/>
      <c r="AZ108" s="307" t="n"/>
      <c r="BA108" s="233" t="n"/>
      <c r="BB108" s="307" t="n"/>
      <c r="BC108" s="307" t="n"/>
      <c r="BD108" s="307" t="n"/>
      <c r="BE108" s="307" t="n"/>
      <c r="BF108" s="307" t="n"/>
      <c r="BG108" s="31" t="n"/>
      <c r="BH108" s="31" t="n"/>
      <c r="BI108" s="31" t="n"/>
      <c r="BJ108" s="31" t="n"/>
    </row>
    <row r="109" ht="15.75" customHeight="1" s="349">
      <c r="A109" s="307" t="n"/>
      <c r="B109" s="307" t="n"/>
      <c r="C109" s="307" t="n"/>
      <c r="D109" s="307" t="n"/>
      <c r="E109" s="307" t="n"/>
      <c r="F109" s="307" t="n"/>
      <c r="G109" s="307" t="n"/>
      <c r="H109" s="307" t="n"/>
      <c r="I109" s="307" t="n"/>
      <c r="J109" s="307" t="n"/>
      <c r="K109" s="307" t="n"/>
      <c r="L109" s="307" t="n"/>
      <c r="M109" s="307" t="n"/>
      <c r="N109" s="307" t="n"/>
      <c r="O109" s="307" t="n"/>
      <c r="P109" s="307" t="n"/>
      <c r="Q109" s="307" t="n"/>
      <c r="R109" s="307" t="n"/>
      <c r="S109" s="307" t="n"/>
      <c r="T109" s="307" t="n"/>
      <c r="U109" s="307" t="n"/>
      <c r="V109" s="307" t="n"/>
      <c r="W109" s="307" t="n"/>
      <c r="X109" s="307" t="n"/>
      <c r="Y109" s="307" t="n"/>
      <c r="Z109" s="307" t="n"/>
      <c r="AA109" s="307" t="n"/>
      <c r="AB109" s="307" t="n"/>
      <c r="AC109" s="307" t="n"/>
      <c r="AD109" s="307" t="n"/>
      <c r="AE109" s="307" t="n"/>
      <c r="AF109" s="307" t="n"/>
      <c r="AG109" s="307" t="n"/>
      <c r="AH109" s="307" t="n"/>
      <c r="AI109" s="307" t="n"/>
      <c r="AJ109" s="307" t="n"/>
      <c r="AK109" s="307" t="n"/>
      <c r="AL109" s="307" t="n"/>
      <c r="AM109" s="307" t="n"/>
      <c r="AN109" s="307" t="n"/>
      <c r="AO109" s="307" t="n"/>
      <c r="AP109" s="307" t="n"/>
      <c r="AQ109" s="307" t="n"/>
      <c r="AR109" s="307" t="n"/>
      <c r="AS109" s="307" t="n"/>
      <c r="AT109" s="307" t="n"/>
      <c r="AU109" s="307" t="n"/>
      <c r="AV109" s="307" t="n"/>
      <c r="AW109" s="307" t="n"/>
      <c r="AX109" s="307" t="n"/>
      <c r="AY109" s="307" t="n"/>
      <c r="AZ109" s="307" t="n"/>
      <c r="BA109" s="233" t="n"/>
      <c r="BB109" s="307" t="n"/>
      <c r="BC109" s="307" t="n"/>
      <c r="BD109" s="307" t="n"/>
      <c r="BE109" s="307" t="n"/>
      <c r="BF109" s="307" t="n"/>
      <c r="BG109" s="31" t="n"/>
      <c r="BH109" s="31" t="n"/>
      <c r="BI109" s="31" t="n"/>
      <c r="BJ109" s="31" t="n"/>
    </row>
    <row r="110" ht="15.75" customHeight="1" s="349">
      <c r="A110" s="307" t="n"/>
      <c r="B110" s="307" t="n"/>
      <c r="C110" s="307" t="n"/>
      <c r="D110" s="307" t="n"/>
      <c r="E110" s="307" t="n"/>
      <c r="F110" s="307" t="n"/>
      <c r="G110" s="307" t="n"/>
      <c r="H110" s="307" t="n"/>
      <c r="I110" s="307" t="n"/>
      <c r="J110" s="307" t="n"/>
      <c r="K110" s="307" t="n"/>
      <c r="L110" s="307" t="n"/>
      <c r="M110" s="307" t="n"/>
      <c r="N110" s="307" t="n"/>
      <c r="O110" s="307" t="n"/>
      <c r="P110" s="307" t="n"/>
      <c r="Q110" s="307" t="n"/>
      <c r="R110" s="307" t="n"/>
      <c r="S110" s="307" t="n"/>
      <c r="T110" s="307" t="n"/>
      <c r="U110" s="307" t="n"/>
      <c r="V110" s="307" t="n"/>
      <c r="W110" s="307" t="n"/>
      <c r="X110" s="307" t="n"/>
      <c r="Y110" s="307" t="n"/>
      <c r="Z110" s="307" t="n"/>
      <c r="AA110" s="307" t="n"/>
      <c r="AB110" s="307" t="n"/>
      <c r="AC110" s="307" t="n"/>
      <c r="AD110" s="307" t="n"/>
      <c r="AE110" s="307" t="n"/>
      <c r="AF110" s="307" t="n"/>
      <c r="AG110" s="307" t="n"/>
      <c r="AH110" s="307" t="n"/>
      <c r="AI110" s="307" t="n"/>
      <c r="AJ110" s="307" t="n"/>
      <c r="AK110" s="307" t="n"/>
      <c r="AL110" s="307" t="n"/>
      <c r="AM110" s="307" t="n"/>
      <c r="AN110" s="307" t="n"/>
      <c r="AO110" s="307" t="n"/>
      <c r="AP110" s="307" t="n"/>
      <c r="AQ110" s="307" t="n"/>
      <c r="AR110" s="307" t="n"/>
      <c r="AS110" s="307" t="n"/>
      <c r="AT110" s="307" t="n"/>
      <c r="AU110" s="307" t="n"/>
      <c r="AV110" s="307" t="n"/>
      <c r="AW110" s="307" t="n"/>
      <c r="AX110" s="307" t="n"/>
      <c r="AY110" s="307" t="n"/>
      <c r="AZ110" s="307" t="n"/>
      <c r="BA110" s="233" t="n"/>
      <c r="BB110" s="307" t="n"/>
      <c r="BC110" s="307" t="n"/>
      <c r="BD110" s="307" t="n"/>
      <c r="BE110" s="307" t="n"/>
      <c r="BF110" s="307" t="n"/>
      <c r="BG110" s="31" t="n"/>
      <c r="BH110" s="31" t="n"/>
      <c r="BI110" s="31" t="n"/>
      <c r="BJ110" s="31" t="n"/>
    </row>
    <row r="111" ht="15.75" customHeight="1" s="349">
      <c r="A111" s="307" t="n"/>
      <c r="B111" s="307" t="n"/>
      <c r="C111" s="307" t="n"/>
      <c r="D111" s="307" t="n"/>
      <c r="E111" s="307" t="n"/>
      <c r="F111" s="307" t="n"/>
      <c r="G111" s="307" t="n"/>
      <c r="H111" s="307" t="n"/>
      <c r="I111" s="307" t="n"/>
      <c r="J111" s="307" t="n"/>
      <c r="K111" s="307" t="n"/>
      <c r="L111" s="307" t="n"/>
      <c r="M111" s="307" t="n"/>
      <c r="N111" s="307" t="n"/>
      <c r="O111" s="307" t="n"/>
      <c r="P111" s="307" t="n"/>
      <c r="Q111" s="307" t="n"/>
      <c r="R111" s="307" t="n"/>
      <c r="S111" s="307" t="n"/>
      <c r="T111" s="307" t="n"/>
      <c r="U111" s="307" t="n"/>
      <c r="V111" s="307" t="n"/>
      <c r="W111" s="307" t="n"/>
      <c r="X111" s="307" t="n"/>
      <c r="Y111" s="307" t="n"/>
      <c r="Z111" s="307" t="n"/>
      <c r="AA111" s="307" t="n"/>
      <c r="AB111" s="307" t="n"/>
      <c r="AC111" s="307" t="n"/>
      <c r="AD111" s="307" t="n"/>
      <c r="AE111" s="307" t="n"/>
      <c r="AF111" s="307" t="n"/>
      <c r="AG111" s="307" t="n"/>
      <c r="AH111" s="307" t="n"/>
      <c r="AI111" s="307" t="n"/>
      <c r="AJ111" s="307" t="n"/>
      <c r="AK111" s="307" t="n"/>
      <c r="AL111" s="307" t="n"/>
      <c r="AM111" s="307" t="n"/>
      <c r="AN111" s="307" t="n"/>
      <c r="AO111" s="307" t="n"/>
      <c r="AP111" s="307" t="n"/>
      <c r="AQ111" s="307" t="n"/>
      <c r="AR111" s="307" t="n"/>
      <c r="AS111" s="307" t="n"/>
      <c r="AT111" s="307" t="n"/>
      <c r="AU111" s="307" t="n"/>
      <c r="AV111" s="307" t="n"/>
      <c r="AW111" s="307" t="n"/>
      <c r="AX111" s="307" t="n"/>
      <c r="AY111" s="307" t="n"/>
      <c r="AZ111" s="307" t="n"/>
      <c r="BA111" s="233" t="n"/>
      <c r="BB111" s="307" t="n"/>
      <c r="BC111" s="307" t="n"/>
      <c r="BD111" s="307" t="n"/>
      <c r="BE111" s="307" t="n"/>
      <c r="BF111" s="307" t="n"/>
      <c r="BG111" s="31" t="n"/>
      <c r="BH111" s="31" t="n"/>
      <c r="BI111" s="31" t="n"/>
      <c r="BJ111" s="31" t="n"/>
    </row>
    <row r="112" ht="15.75" customHeight="1" s="349">
      <c r="A112" s="307" t="n"/>
      <c r="B112" s="307" t="n"/>
      <c r="C112" s="307" t="n"/>
      <c r="D112" s="307" t="n"/>
      <c r="E112" s="307" t="n"/>
      <c r="F112" s="307" t="n"/>
      <c r="G112" s="307" t="n"/>
      <c r="H112" s="307" t="n"/>
      <c r="I112" s="307" t="n"/>
      <c r="J112" s="307" t="n"/>
      <c r="K112" s="307" t="n"/>
      <c r="L112" s="307" t="n"/>
      <c r="M112" s="307" t="n"/>
      <c r="N112" s="307" t="n"/>
      <c r="O112" s="307" t="n"/>
      <c r="P112" s="307" t="n"/>
      <c r="Q112" s="307" t="n"/>
      <c r="R112" s="307" t="n"/>
      <c r="S112" s="307" t="n"/>
      <c r="T112" s="307" t="n"/>
      <c r="U112" s="307" t="n"/>
      <c r="V112" s="307" t="n"/>
      <c r="W112" s="307" t="n"/>
      <c r="X112" s="307" t="n"/>
      <c r="Y112" s="307" t="n"/>
      <c r="Z112" s="307" t="n"/>
      <c r="AA112" s="307" t="n"/>
      <c r="AB112" s="307" t="n"/>
      <c r="AC112" s="307" t="n"/>
      <c r="AD112" s="307" t="n"/>
      <c r="AE112" s="307" t="n"/>
      <c r="AF112" s="307" t="n"/>
      <c r="AG112" s="307" t="n"/>
      <c r="AH112" s="307" t="n"/>
      <c r="AI112" s="307" t="n"/>
      <c r="AJ112" s="307" t="n"/>
      <c r="AK112" s="307" t="n"/>
      <c r="AL112" s="307" t="n"/>
      <c r="AM112" s="307" t="n"/>
      <c r="AN112" s="307" t="n"/>
      <c r="AO112" s="307" t="n"/>
      <c r="AP112" s="307" t="n"/>
      <c r="AQ112" s="307" t="n"/>
      <c r="AR112" s="307" t="n"/>
      <c r="AS112" s="307" t="n"/>
      <c r="AT112" s="307" t="n"/>
      <c r="AU112" s="307" t="n"/>
      <c r="AV112" s="307" t="n"/>
      <c r="AW112" s="307" t="n"/>
      <c r="AX112" s="307" t="n"/>
      <c r="AY112" s="307" t="n"/>
      <c r="AZ112" s="307" t="n"/>
      <c r="BA112" s="233" t="n"/>
      <c r="BB112" s="307" t="n"/>
      <c r="BC112" s="307" t="n"/>
      <c r="BD112" s="307" t="n"/>
      <c r="BE112" s="307" t="n"/>
      <c r="BF112" s="307" t="n"/>
      <c r="BG112" s="31" t="n"/>
      <c r="BH112" s="31" t="n"/>
      <c r="BI112" s="31" t="n"/>
      <c r="BJ112" s="31" t="n"/>
    </row>
    <row r="113" ht="15.75" customHeight="1" s="349">
      <c r="A113" s="307" t="n"/>
      <c r="B113" s="307" t="n"/>
      <c r="C113" s="307" t="n"/>
      <c r="D113" s="307" t="n"/>
      <c r="E113" s="307" t="n"/>
      <c r="F113" s="307" t="n"/>
      <c r="G113" s="307" t="n"/>
      <c r="H113" s="307" t="n"/>
      <c r="I113" s="307" t="n"/>
      <c r="J113" s="307" t="n"/>
      <c r="K113" s="307" t="n"/>
      <c r="L113" s="307" t="n"/>
      <c r="M113" s="307" t="n"/>
      <c r="N113" s="307" t="n"/>
      <c r="O113" s="307" t="n"/>
      <c r="P113" s="307" t="n"/>
      <c r="Q113" s="307" t="n"/>
      <c r="R113" s="307" t="n"/>
      <c r="S113" s="307" t="n"/>
      <c r="T113" s="307" t="n"/>
      <c r="U113" s="307" t="n"/>
      <c r="V113" s="307" t="n"/>
      <c r="W113" s="307" t="n"/>
      <c r="X113" s="307" t="n"/>
      <c r="Y113" s="307" t="n"/>
      <c r="Z113" s="307" t="n"/>
      <c r="AA113" s="307" t="n"/>
      <c r="AB113" s="307" t="n"/>
      <c r="AC113" s="307" t="n"/>
      <c r="AD113" s="307" t="n"/>
      <c r="AE113" s="307" t="n"/>
      <c r="AF113" s="307" t="n"/>
      <c r="AG113" s="307" t="n"/>
      <c r="AH113" s="307" t="n"/>
      <c r="AI113" s="307" t="n"/>
      <c r="AJ113" s="307" t="n"/>
      <c r="AK113" s="307" t="n"/>
      <c r="AL113" s="307" t="n"/>
      <c r="AM113" s="307" t="n"/>
      <c r="AN113" s="307" t="n"/>
      <c r="AO113" s="307" t="n"/>
      <c r="AP113" s="307" t="n"/>
      <c r="AQ113" s="307" t="n"/>
      <c r="AR113" s="307" t="n"/>
      <c r="AS113" s="307" t="n"/>
      <c r="AT113" s="307" t="n"/>
      <c r="AU113" s="307" t="n"/>
      <c r="AV113" s="307" t="n"/>
      <c r="AW113" s="307" t="n"/>
      <c r="AX113" s="307" t="n"/>
      <c r="AY113" s="307" t="n"/>
      <c r="AZ113" s="307" t="n"/>
      <c r="BA113" s="233" t="n"/>
      <c r="BB113" s="307" t="n"/>
      <c r="BC113" s="307" t="n"/>
      <c r="BD113" s="307" t="n"/>
      <c r="BE113" s="307" t="n"/>
      <c r="BF113" s="307" t="n"/>
      <c r="BG113" s="31" t="n"/>
      <c r="BH113" s="31" t="n"/>
      <c r="BI113" s="31" t="n"/>
      <c r="BJ113" s="31" t="n"/>
    </row>
    <row r="114" ht="15.75" customHeight="1" s="349">
      <c r="A114" s="307" t="n"/>
      <c r="B114" s="307" t="n"/>
      <c r="C114" s="307" t="n"/>
      <c r="D114" s="307" t="n"/>
      <c r="E114" s="307" t="n"/>
      <c r="F114" s="307" t="n"/>
      <c r="G114" s="307" t="n"/>
      <c r="H114" s="307" t="n"/>
      <c r="I114" s="307" t="n"/>
      <c r="J114" s="307" t="n"/>
      <c r="K114" s="307" t="n"/>
      <c r="L114" s="307" t="n"/>
      <c r="M114" s="307" t="n"/>
      <c r="N114" s="307" t="n"/>
      <c r="O114" s="307" t="n"/>
      <c r="P114" s="307" t="n"/>
      <c r="Q114" s="307" t="n"/>
      <c r="R114" s="307" t="n"/>
      <c r="S114" s="307" t="n"/>
      <c r="T114" s="307" t="n"/>
      <c r="U114" s="307" t="n"/>
      <c r="V114" s="307" t="n"/>
      <c r="W114" s="307" t="n"/>
      <c r="X114" s="307" t="n"/>
      <c r="Y114" s="307" t="n"/>
      <c r="Z114" s="307" t="n"/>
      <c r="AA114" s="307" t="n"/>
      <c r="AB114" s="307" t="n"/>
      <c r="AC114" s="307" t="n"/>
      <c r="AD114" s="307" t="n"/>
      <c r="AE114" s="307" t="n"/>
      <c r="AF114" s="307" t="n"/>
      <c r="AG114" s="307" t="n"/>
      <c r="AH114" s="307" t="n"/>
      <c r="AI114" s="307" t="n"/>
      <c r="AJ114" s="307" t="n"/>
      <c r="AK114" s="307" t="n"/>
      <c r="AL114" s="307" t="n"/>
      <c r="AM114" s="307" t="n"/>
      <c r="AN114" s="307" t="n"/>
      <c r="AO114" s="307" t="n"/>
      <c r="AP114" s="307" t="n"/>
      <c r="AQ114" s="307" t="n"/>
      <c r="AR114" s="307" t="n"/>
      <c r="AS114" s="307" t="n"/>
      <c r="AT114" s="307" t="n"/>
      <c r="AU114" s="307" t="n"/>
      <c r="AV114" s="307" t="n"/>
      <c r="AW114" s="307" t="n"/>
      <c r="AX114" s="307" t="n"/>
      <c r="AY114" s="307" t="n"/>
      <c r="AZ114" s="307" t="n"/>
      <c r="BA114" s="233" t="n"/>
      <c r="BB114" s="307" t="n"/>
      <c r="BC114" s="307" t="n"/>
      <c r="BD114" s="307" t="n"/>
      <c r="BE114" s="307" t="n"/>
      <c r="BF114" s="307" t="n"/>
      <c r="BG114" s="31" t="n"/>
      <c r="BH114" s="31" t="n"/>
      <c r="BI114" s="31" t="n"/>
      <c r="BJ114" s="31" t="n"/>
    </row>
    <row r="115" ht="15.75" customHeight="1" s="349">
      <c r="A115" s="307" t="n"/>
      <c r="B115" s="307" t="n"/>
      <c r="C115" s="307" t="n"/>
      <c r="D115" s="307" t="n"/>
      <c r="E115" s="307" t="n"/>
      <c r="F115" s="307" t="n"/>
      <c r="G115" s="307" t="n"/>
      <c r="H115" s="307" t="n"/>
      <c r="I115" s="307" t="n"/>
      <c r="J115" s="307" t="n"/>
      <c r="K115" s="307" t="n"/>
      <c r="L115" s="307" t="n"/>
      <c r="M115" s="307" t="n"/>
      <c r="N115" s="307" t="n"/>
      <c r="O115" s="307" t="n"/>
      <c r="P115" s="307" t="n"/>
      <c r="Q115" s="307" t="n"/>
      <c r="R115" s="307" t="n"/>
      <c r="S115" s="307" t="n"/>
      <c r="T115" s="307" t="n"/>
      <c r="U115" s="307" t="n"/>
      <c r="V115" s="307" t="n"/>
      <c r="W115" s="307" t="n"/>
      <c r="X115" s="307" t="n"/>
      <c r="Y115" s="307" t="n"/>
      <c r="Z115" s="307" t="n"/>
      <c r="AA115" s="307" t="n"/>
      <c r="AB115" s="307" t="n"/>
      <c r="AC115" s="307" t="n"/>
      <c r="AD115" s="307" t="n"/>
      <c r="AE115" s="307" t="n"/>
      <c r="AF115" s="307" t="n"/>
      <c r="AG115" s="307" t="n"/>
      <c r="AH115" s="307" t="n"/>
      <c r="AI115" s="307" t="n"/>
      <c r="AJ115" s="307" t="n"/>
      <c r="AK115" s="307" t="n"/>
      <c r="AL115" s="307" t="n"/>
      <c r="AM115" s="307" t="n"/>
      <c r="AN115" s="307" t="n"/>
      <c r="AO115" s="307" t="n"/>
      <c r="AP115" s="307" t="n"/>
      <c r="AQ115" s="307" t="n"/>
      <c r="AR115" s="307" t="n"/>
      <c r="AS115" s="307" t="n"/>
      <c r="AT115" s="307" t="n"/>
      <c r="AU115" s="307" t="n"/>
      <c r="AV115" s="307" t="n"/>
      <c r="AW115" s="307" t="n"/>
      <c r="AX115" s="307" t="n"/>
      <c r="AY115" s="307" t="n"/>
      <c r="AZ115" s="307" t="n"/>
      <c r="BA115" s="233" t="n"/>
      <c r="BB115" s="307" t="n"/>
      <c r="BC115" s="307" t="n"/>
      <c r="BD115" s="307" t="n"/>
      <c r="BE115" s="307" t="n"/>
      <c r="BF115" s="307" t="n"/>
      <c r="BG115" s="31" t="n"/>
      <c r="BH115" s="31" t="n"/>
      <c r="BI115" s="31" t="n"/>
      <c r="BJ115" s="31" t="n"/>
    </row>
    <row r="116" ht="15.75" customHeight="1" s="349">
      <c r="A116" s="307" t="n"/>
      <c r="B116" s="307" t="n"/>
      <c r="C116" s="307" t="n"/>
      <c r="D116" s="307" t="n"/>
      <c r="E116" s="307" t="n"/>
      <c r="F116" s="307" t="n"/>
      <c r="G116" s="307" t="n"/>
      <c r="H116" s="307" t="n"/>
      <c r="I116" s="307" t="n"/>
      <c r="J116" s="307" t="n"/>
      <c r="K116" s="307" t="n"/>
      <c r="L116" s="307" t="n"/>
      <c r="M116" s="307" t="n"/>
      <c r="N116" s="307" t="n"/>
      <c r="O116" s="307" t="n"/>
      <c r="P116" s="307" t="n"/>
      <c r="Q116" s="307" t="n"/>
      <c r="R116" s="307" t="n"/>
      <c r="S116" s="307" t="n"/>
      <c r="T116" s="307" t="n"/>
      <c r="U116" s="307" t="n"/>
      <c r="V116" s="307" t="n"/>
      <c r="W116" s="307" t="n"/>
      <c r="X116" s="307" t="n"/>
      <c r="Y116" s="307" t="n"/>
      <c r="Z116" s="307" t="n"/>
      <c r="AA116" s="307" t="n"/>
      <c r="AB116" s="307" t="n"/>
      <c r="AC116" s="307" t="n"/>
      <c r="AD116" s="307" t="n"/>
      <c r="AE116" s="307" t="n"/>
      <c r="AF116" s="307" t="n"/>
      <c r="AG116" s="307" t="n"/>
      <c r="AH116" s="307" t="n"/>
      <c r="AI116" s="307" t="n"/>
      <c r="AJ116" s="307" t="n"/>
      <c r="AK116" s="307" t="n"/>
      <c r="AL116" s="307" t="n"/>
      <c r="AM116" s="307" t="n"/>
      <c r="AN116" s="307" t="n"/>
      <c r="AO116" s="307" t="n"/>
      <c r="AP116" s="307" t="n"/>
      <c r="AQ116" s="307" t="n"/>
      <c r="AR116" s="307" t="n"/>
      <c r="AS116" s="307" t="n"/>
      <c r="AT116" s="307" t="n"/>
      <c r="AU116" s="307" t="n"/>
      <c r="AV116" s="307" t="n"/>
      <c r="AW116" s="307" t="n"/>
      <c r="AX116" s="307" t="n"/>
      <c r="AY116" s="307" t="n"/>
      <c r="AZ116" s="307" t="n"/>
      <c r="BA116" s="233" t="n"/>
      <c r="BB116" s="307" t="n"/>
      <c r="BC116" s="307" t="n"/>
      <c r="BD116" s="307" t="n"/>
      <c r="BE116" s="307" t="n"/>
      <c r="BF116" s="307" t="n"/>
      <c r="BG116" s="31" t="n"/>
      <c r="BH116" s="31" t="n"/>
      <c r="BI116" s="31" t="n"/>
      <c r="BJ116" s="31" t="n"/>
    </row>
    <row r="117" ht="15.75" customHeight="1" s="349">
      <c r="A117" s="307" t="n"/>
      <c r="B117" s="307" t="n"/>
      <c r="C117" s="307" t="n"/>
      <c r="D117" s="307" t="n"/>
      <c r="E117" s="307" t="n"/>
      <c r="F117" s="307" t="n"/>
      <c r="G117" s="307" t="n"/>
      <c r="H117" s="307" t="n"/>
      <c r="I117" s="307" t="n"/>
      <c r="J117" s="307" t="n"/>
      <c r="K117" s="307" t="n"/>
      <c r="L117" s="307" t="n"/>
      <c r="M117" s="307" t="n"/>
      <c r="N117" s="307" t="n"/>
      <c r="O117" s="307" t="n"/>
      <c r="P117" s="307" t="n"/>
      <c r="Q117" s="307" t="n"/>
      <c r="R117" s="307" t="n"/>
      <c r="S117" s="307" t="n"/>
      <c r="T117" s="307" t="n"/>
      <c r="U117" s="307" t="n"/>
      <c r="V117" s="307" t="n"/>
      <c r="W117" s="307" t="n"/>
      <c r="X117" s="307" t="n"/>
      <c r="Y117" s="307" t="n"/>
      <c r="Z117" s="307" t="n"/>
      <c r="AA117" s="307" t="n"/>
      <c r="AB117" s="307" t="n"/>
      <c r="AC117" s="307" t="n"/>
      <c r="AD117" s="307" t="n"/>
      <c r="AE117" s="307" t="n"/>
      <c r="AF117" s="307" t="n"/>
      <c r="AG117" s="307" t="n"/>
      <c r="AH117" s="307" t="n"/>
      <c r="AI117" s="307" t="n"/>
      <c r="AJ117" s="307" t="n"/>
      <c r="AK117" s="307" t="n"/>
      <c r="AL117" s="307" t="n"/>
      <c r="AM117" s="307" t="n"/>
      <c r="AN117" s="307" t="n"/>
      <c r="AO117" s="307" t="n"/>
      <c r="AP117" s="307" t="n"/>
      <c r="AQ117" s="307" t="n"/>
      <c r="AR117" s="307" t="n"/>
      <c r="AS117" s="307" t="n"/>
      <c r="AT117" s="307" t="n"/>
      <c r="AU117" s="307" t="n"/>
      <c r="AV117" s="307" t="n"/>
      <c r="AW117" s="307" t="n"/>
      <c r="AX117" s="307" t="n"/>
      <c r="AY117" s="307" t="n"/>
      <c r="AZ117" s="307" t="n"/>
      <c r="BA117" s="233" t="n"/>
      <c r="BB117" s="307" t="n"/>
      <c r="BC117" s="307" t="n"/>
      <c r="BD117" s="307" t="n"/>
      <c r="BE117" s="307" t="n"/>
      <c r="BF117" s="307" t="n"/>
      <c r="BG117" s="31" t="n"/>
      <c r="BH117" s="31" t="n"/>
      <c r="BI117" s="31" t="n"/>
      <c r="BJ117" s="31" t="n"/>
    </row>
    <row r="118" ht="15.75" customHeight="1" s="349">
      <c r="A118" s="307" t="n"/>
      <c r="B118" s="307" t="n"/>
      <c r="C118" s="307" t="n"/>
      <c r="D118" s="307" t="n"/>
      <c r="E118" s="307" t="n"/>
      <c r="F118" s="307" t="n"/>
      <c r="G118" s="307" t="n"/>
      <c r="H118" s="307" t="n"/>
      <c r="I118" s="307" t="n"/>
      <c r="J118" s="307" t="n"/>
      <c r="K118" s="307" t="n"/>
      <c r="L118" s="307" t="n"/>
      <c r="M118" s="307" t="n"/>
      <c r="N118" s="307" t="n"/>
      <c r="O118" s="307" t="n"/>
      <c r="P118" s="307" t="n"/>
      <c r="Q118" s="307" t="n"/>
      <c r="R118" s="307" t="n"/>
      <c r="S118" s="307" t="n"/>
      <c r="T118" s="307" t="n"/>
      <c r="U118" s="307" t="n"/>
      <c r="V118" s="307" t="n"/>
      <c r="W118" s="307" t="n"/>
      <c r="X118" s="307" t="n"/>
      <c r="Y118" s="307" t="n"/>
      <c r="Z118" s="307" t="n"/>
      <c r="AA118" s="307" t="n"/>
      <c r="AB118" s="307" t="n"/>
      <c r="AC118" s="307" t="n"/>
      <c r="AD118" s="307" t="n"/>
      <c r="AE118" s="307" t="n"/>
      <c r="AF118" s="307" t="n"/>
      <c r="AG118" s="307" t="n"/>
      <c r="AH118" s="307" t="n"/>
      <c r="AI118" s="307" t="n"/>
      <c r="AJ118" s="307" t="n"/>
      <c r="AK118" s="307" t="n"/>
      <c r="AL118" s="307" t="n"/>
      <c r="AM118" s="307" t="n"/>
      <c r="AN118" s="307" t="n"/>
      <c r="AO118" s="307" t="n"/>
      <c r="AP118" s="307" t="n"/>
      <c r="AQ118" s="307" t="n"/>
      <c r="AR118" s="307" t="n"/>
      <c r="AS118" s="307" t="n"/>
      <c r="AT118" s="307" t="n"/>
      <c r="AU118" s="307" t="n"/>
      <c r="AV118" s="307" t="n"/>
      <c r="AW118" s="307" t="n"/>
      <c r="AX118" s="307" t="n"/>
      <c r="AY118" s="307" t="n"/>
      <c r="AZ118" s="307" t="n"/>
      <c r="BA118" s="233" t="n"/>
      <c r="BB118" s="307" t="n"/>
      <c r="BC118" s="307" t="n"/>
      <c r="BD118" s="307" t="n"/>
      <c r="BE118" s="307" t="n"/>
      <c r="BF118" s="307" t="n"/>
      <c r="BG118" s="31" t="n"/>
      <c r="BH118" s="31" t="n"/>
      <c r="BI118" s="31" t="n"/>
      <c r="BJ118" s="31" t="n"/>
    </row>
    <row r="119" ht="15.75" customHeight="1" s="349">
      <c r="A119" s="307" t="n"/>
      <c r="B119" s="307" t="n"/>
      <c r="C119" s="307" t="n"/>
      <c r="D119" s="307" t="n"/>
      <c r="E119" s="307" t="n"/>
      <c r="F119" s="307" t="n"/>
      <c r="G119" s="307" t="n"/>
      <c r="H119" s="307" t="n"/>
      <c r="I119" s="307" t="n"/>
      <c r="J119" s="307" t="n"/>
      <c r="K119" s="307" t="n"/>
      <c r="L119" s="307" t="n"/>
      <c r="M119" s="307" t="n"/>
      <c r="N119" s="307" t="n"/>
      <c r="O119" s="307" t="n"/>
      <c r="P119" s="307" t="n"/>
      <c r="Q119" s="307" t="n"/>
      <c r="R119" s="307" t="n"/>
      <c r="S119" s="307" t="n"/>
      <c r="T119" s="307" t="n"/>
      <c r="U119" s="307" t="n"/>
      <c r="V119" s="307" t="n"/>
      <c r="W119" s="307" t="n"/>
      <c r="X119" s="307" t="n"/>
      <c r="Y119" s="307" t="n"/>
      <c r="Z119" s="307" t="n"/>
      <c r="AA119" s="307" t="n"/>
      <c r="AB119" s="307" t="n"/>
      <c r="AC119" s="307" t="n"/>
      <c r="AD119" s="307" t="n"/>
      <c r="AE119" s="307" t="n"/>
      <c r="AF119" s="307" t="n"/>
      <c r="AG119" s="307" t="n"/>
      <c r="AH119" s="307" t="n"/>
      <c r="AI119" s="307" t="n"/>
      <c r="AJ119" s="307" t="n"/>
      <c r="AK119" s="307" t="n"/>
      <c r="AL119" s="307" t="n"/>
      <c r="AM119" s="307" t="n"/>
      <c r="AN119" s="307" t="n"/>
      <c r="AO119" s="307" t="n"/>
      <c r="AP119" s="307" t="n"/>
      <c r="AQ119" s="307" t="n"/>
      <c r="AR119" s="307" t="n"/>
      <c r="AS119" s="307" t="n"/>
      <c r="AT119" s="307" t="n"/>
      <c r="AU119" s="307" t="n"/>
      <c r="AV119" s="307" t="n"/>
      <c r="AW119" s="307" t="n"/>
      <c r="AX119" s="307" t="n"/>
      <c r="AY119" s="307" t="n"/>
      <c r="AZ119" s="307" t="n"/>
      <c r="BA119" s="233" t="n"/>
      <c r="BB119" s="307" t="n"/>
      <c r="BC119" s="307" t="n"/>
      <c r="BD119" s="307" t="n"/>
      <c r="BE119" s="307" t="n"/>
      <c r="BF119" s="307" t="n"/>
      <c r="BG119" s="31" t="n"/>
      <c r="BH119" s="31" t="n"/>
      <c r="BI119" s="31" t="n"/>
      <c r="BJ119" s="31" t="n"/>
    </row>
    <row r="120" ht="15.75" customHeight="1" s="349">
      <c r="A120" s="307" t="n"/>
      <c r="B120" s="307" t="n"/>
      <c r="C120" s="307" t="n"/>
      <c r="D120" s="307" t="n"/>
      <c r="E120" s="307" t="n"/>
      <c r="F120" s="307" t="n"/>
      <c r="G120" s="307" t="n"/>
      <c r="H120" s="307" t="n"/>
      <c r="I120" s="307" t="n"/>
      <c r="J120" s="307" t="n"/>
      <c r="K120" s="307" t="n"/>
      <c r="L120" s="307" t="n"/>
      <c r="M120" s="307" t="n"/>
      <c r="N120" s="307" t="n"/>
      <c r="O120" s="307" t="n"/>
      <c r="P120" s="307" t="n"/>
      <c r="Q120" s="307" t="n"/>
      <c r="R120" s="307" t="n"/>
      <c r="S120" s="307" t="n"/>
      <c r="T120" s="307" t="n"/>
      <c r="U120" s="307" t="n"/>
      <c r="V120" s="307" t="n"/>
      <c r="W120" s="307" t="n"/>
      <c r="X120" s="307" t="n"/>
      <c r="Y120" s="307" t="n"/>
      <c r="Z120" s="307" t="n"/>
      <c r="AA120" s="307" t="n"/>
      <c r="AB120" s="307" t="n"/>
      <c r="AC120" s="307" t="n"/>
      <c r="AD120" s="307" t="n"/>
      <c r="AE120" s="307" t="n"/>
      <c r="AF120" s="307" t="n"/>
      <c r="AG120" s="307" t="n"/>
      <c r="AH120" s="307" t="n"/>
      <c r="AI120" s="307" t="n"/>
      <c r="AJ120" s="307" t="n"/>
      <c r="AK120" s="307" t="n"/>
      <c r="AL120" s="307" t="n"/>
      <c r="AM120" s="307" t="n"/>
      <c r="AN120" s="307" t="n"/>
      <c r="AO120" s="307" t="n"/>
      <c r="AP120" s="307" t="n"/>
      <c r="AQ120" s="307" t="n"/>
      <c r="AR120" s="307" t="n"/>
      <c r="AS120" s="307" t="n"/>
      <c r="AT120" s="307" t="n"/>
      <c r="AU120" s="307" t="n"/>
      <c r="AV120" s="307" t="n"/>
      <c r="AW120" s="307" t="n"/>
      <c r="AX120" s="307" t="n"/>
      <c r="AY120" s="307" t="n"/>
      <c r="AZ120" s="307" t="n"/>
      <c r="BA120" s="233" t="n"/>
      <c r="BB120" s="307" t="n"/>
      <c r="BC120" s="307" t="n"/>
      <c r="BD120" s="307" t="n"/>
      <c r="BE120" s="307" t="n"/>
      <c r="BF120" s="307" t="n"/>
      <c r="BG120" s="31" t="n"/>
      <c r="BH120" s="31" t="n"/>
      <c r="BI120" s="31" t="n"/>
      <c r="BJ120" s="31" t="n"/>
    </row>
    <row r="121" ht="15.75" customHeight="1" s="349">
      <c r="A121" s="307" t="n"/>
      <c r="B121" s="307" t="n"/>
      <c r="C121" s="307" t="n"/>
      <c r="D121" s="307" t="n"/>
      <c r="E121" s="307" t="n"/>
      <c r="F121" s="307" t="n"/>
      <c r="G121" s="307" t="n"/>
      <c r="H121" s="307" t="n"/>
      <c r="I121" s="307" t="n"/>
      <c r="J121" s="307" t="n"/>
      <c r="K121" s="307" t="n"/>
      <c r="L121" s="307" t="n"/>
      <c r="M121" s="307" t="n"/>
      <c r="N121" s="307" t="n"/>
      <c r="O121" s="307" t="n"/>
      <c r="P121" s="307" t="n"/>
      <c r="Q121" s="307" t="n"/>
      <c r="R121" s="307" t="n"/>
      <c r="S121" s="307" t="n"/>
      <c r="T121" s="307" t="n"/>
      <c r="U121" s="307" t="n"/>
      <c r="V121" s="307" t="n"/>
      <c r="W121" s="307" t="n"/>
      <c r="X121" s="307" t="n"/>
      <c r="Y121" s="307" t="n"/>
      <c r="Z121" s="307" t="n"/>
      <c r="AA121" s="307" t="n"/>
      <c r="AB121" s="307" t="n"/>
      <c r="AC121" s="307" t="n"/>
      <c r="AD121" s="307" t="n"/>
      <c r="AE121" s="307" t="n"/>
      <c r="AF121" s="307" t="n"/>
      <c r="AG121" s="307" t="n"/>
      <c r="AH121" s="307" t="n"/>
      <c r="AI121" s="307" t="n"/>
      <c r="AJ121" s="307" t="n"/>
      <c r="AK121" s="307" t="n"/>
      <c r="AL121" s="307" t="n"/>
      <c r="AM121" s="307" t="n"/>
      <c r="AN121" s="307" t="n"/>
      <c r="AO121" s="307" t="n"/>
      <c r="AP121" s="307" t="n"/>
      <c r="AQ121" s="307" t="n"/>
      <c r="AR121" s="307" t="n"/>
      <c r="AS121" s="307" t="n"/>
      <c r="AT121" s="307" t="n"/>
      <c r="AU121" s="307" t="n"/>
      <c r="AV121" s="307" t="n"/>
      <c r="AW121" s="307" t="n"/>
      <c r="AX121" s="307" t="n"/>
      <c r="AY121" s="307" t="n"/>
      <c r="AZ121" s="307" t="n"/>
      <c r="BA121" s="233" t="n"/>
      <c r="BB121" s="307" t="n"/>
      <c r="BC121" s="307" t="n"/>
      <c r="BD121" s="307" t="n"/>
      <c r="BE121" s="307" t="n"/>
      <c r="BF121" s="307" t="n"/>
      <c r="BG121" s="31" t="n"/>
      <c r="BH121" s="31" t="n"/>
      <c r="BI121" s="31" t="n"/>
      <c r="BJ121" s="31" t="n"/>
    </row>
    <row r="122" ht="15.75" customHeight="1" s="349">
      <c r="A122" s="307" t="n"/>
      <c r="B122" s="307" t="n"/>
      <c r="C122" s="307" t="n"/>
      <c r="D122" s="307" t="n"/>
      <c r="E122" s="307" t="n"/>
      <c r="F122" s="307" t="n"/>
      <c r="G122" s="307" t="n"/>
      <c r="H122" s="307" t="n"/>
      <c r="I122" s="307" t="n"/>
      <c r="J122" s="307" t="n"/>
      <c r="K122" s="307" t="n"/>
      <c r="L122" s="307" t="n"/>
      <c r="M122" s="307" t="n"/>
      <c r="N122" s="307" t="n"/>
      <c r="O122" s="307" t="n"/>
      <c r="P122" s="307" t="n"/>
      <c r="Q122" s="307" t="n"/>
      <c r="R122" s="307" t="n"/>
      <c r="S122" s="307" t="n"/>
      <c r="T122" s="307" t="n"/>
      <c r="U122" s="307" t="n"/>
      <c r="V122" s="307" t="n"/>
      <c r="W122" s="307" t="n"/>
      <c r="X122" s="307" t="n"/>
      <c r="Y122" s="307" t="n"/>
      <c r="Z122" s="307" t="n"/>
      <c r="AA122" s="307" t="n"/>
      <c r="AB122" s="307" t="n"/>
      <c r="AC122" s="307" t="n"/>
      <c r="AD122" s="307" t="n"/>
      <c r="AE122" s="307" t="n"/>
      <c r="AF122" s="307" t="n"/>
      <c r="AG122" s="307" t="n"/>
      <c r="AH122" s="307" t="n"/>
      <c r="AI122" s="307" t="n"/>
      <c r="AJ122" s="307" t="n"/>
      <c r="AK122" s="307" t="n"/>
      <c r="AL122" s="307" t="n"/>
      <c r="AM122" s="307" t="n"/>
      <c r="AN122" s="307" t="n"/>
      <c r="AO122" s="307" t="n"/>
      <c r="AP122" s="307" t="n"/>
      <c r="AQ122" s="307" t="n"/>
      <c r="AR122" s="307" t="n"/>
      <c r="AS122" s="307" t="n"/>
      <c r="AT122" s="307" t="n"/>
      <c r="AU122" s="307" t="n"/>
      <c r="AV122" s="307" t="n"/>
      <c r="AW122" s="307" t="n"/>
      <c r="AX122" s="307" t="n"/>
      <c r="AY122" s="307" t="n"/>
      <c r="AZ122" s="307" t="n"/>
      <c r="BA122" s="233" t="n"/>
      <c r="BB122" s="307" t="n"/>
      <c r="BC122" s="307" t="n"/>
      <c r="BD122" s="307" t="n"/>
      <c r="BE122" s="307" t="n"/>
      <c r="BF122" s="307" t="n"/>
      <c r="BG122" s="31" t="n"/>
      <c r="BH122" s="31" t="n"/>
      <c r="BI122" s="31" t="n"/>
      <c r="BJ122" s="31" t="n"/>
    </row>
    <row r="123" ht="15.75" customHeight="1" s="349">
      <c r="A123" s="307" t="n"/>
      <c r="B123" s="307" t="n"/>
      <c r="C123" s="307" t="n"/>
      <c r="D123" s="307" t="n"/>
      <c r="E123" s="307" t="n"/>
      <c r="F123" s="307" t="n"/>
      <c r="G123" s="307" t="n"/>
      <c r="H123" s="307" t="n"/>
      <c r="I123" s="307" t="n"/>
      <c r="J123" s="307" t="n"/>
      <c r="K123" s="307" t="n"/>
      <c r="L123" s="307" t="n"/>
      <c r="M123" s="307" t="n"/>
      <c r="N123" s="307" t="n"/>
      <c r="O123" s="307" t="n"/>
      <c r="P123" s="307" t="n"/>
      <c r="Q123" s="307" t="n"/>
      <c r="R123" s="307" t="n"/>
      <c r="S123" s="307" t="n"/>
      <c r="T123" s="307" t="n"/>
      <c r="U123" s="307" t="n"/>
      <c r="V123" s="307" t="n"/>
      <c r="W123" s="307" t="n"/>
      <c r="X123" s="307" t="n"/>
      <c r="Y123" s="307" t="n"/>
      <c r="Z123" s="307" t="n"/>
      <c r="AA123" s="307" t="n"/>
      <c r="AB123" s="307" t="n"/>
      <c r="AC123" s="307" t="n"/>
      <c r="AD123" s="307" t="n"/>
      <c r="AE123" s="307" t="n"/>
      <c r="AF123" s="307" t="n"/>
      <c r="AG123" s="307" t="n"/>
      <c r="AH123" s="307" t="n"/>
      <c r="AI123" s="307" t="n"/>
      <c r="AJ123" s="307" t="n"/>
      <c r="AK123" s="307" t="n"/>
      <c r="AL123" s="307" t="n"/>
      <c r="AM123" s="307" t="n"/>
      <c r="AN123" s="307" t="n"/>
      <c r="AO123" s="307" t="n"/>
      <c r="AP123" s="307" t="n"/>
      <c r="AQ123" s="307" t="n"/>
      <c r="AR123" s="307" t="n"/>
      <c r="AS123" s="307" t="n"/>
      <c r="AT123" s="307" t="n"/>
      <c r="AU123" s="307" t="n"/>
      <c r="AV123" s="307" t="n"/>
      <c r="AW123" s="307" t="n"/>
      <c r="AX123" s="307" t="n"/>
      <c r="AY123" s="307" t="n"/>
      <c r="AZ123" s="307" t="n"/>
      <c r="BA123" s="233" t="n"/>
      <c r="BB123" s="307" t="n"/>
      <c r="BC123" s="307" t="n"/>
      <c r="BD123" s="307" t="n"/>
      <c r="BE123" s="307" t="n"/>
      <c r="BF123" s="307" t="n"/>
      <c r="BG123" s="31" t="n"/>
      <c r="BH123" s="31" t="n"/>
      <c r="BI123" s="31" t="n"/>
      <c r="BJ123" s="31" t="n"/>
    </row>
    <row r="124" ht="15.75" customHeight="1" s="349">
      <c r="A124" s="307" t="n"/>
      <c r="B124" s="307" t="n"/>
      <c r="C124" s="307" t="n"/>
      <c r="D124" s="307" t="n"/>
      <c r="E124" s="307" t="n"/>
      <c r="F124" s="307" t="n"/>
      <c r="G124" s="307" t="n"/>
      <c r="H124" s="307" t="n"/>
      <c r="I124" s="307" t="n"/>
      <c r="J124" s="307" t="n"/>
      <c r="K124" s="307" t="n"/>
      <c r="L124" s="307" t="n"/>
      <c r="M124" s="307" t="n"/>
      <c r="N124" s="307" t="n"/>
      <c r="O124" s="307" t="n"/>
      <c r="P124" s="307" t="n"/>
      <c r="Q124" s="307" t="n"/>
      <c r="R124" s="307" t="n"/>
      <c r="S124" s="307" t="n"/>
      <c r="T124" s="307" t="n"/>
      <c r="U124" s="307" t="n"/>
      <c r="V124" s="307" t="n"/>
      <c r="W124" s="307" t="n"/>
      <c r="X124" s="307" t="n"/>
      <c r="Y124" s="307" t="n"/>
      <c r="Z124" s="307" t="n"/>
      <c r="AA124" s="307" t="n"/>
      <c r="AB124" s="307" t="n"/>
      <c r="AC124" s="307" t="n"/>
      <c r="AD124" s="307" t="n"/>
      <c r="AE124" s="307" t="n"/>
      <c r="AF124" s="307" t="n"/>
      <c r="AG124" s="307" t="n"/>
      <c r="AH124" s="307" t="n"/>
      <c r="AI124" s="307" t="n"/>
      <c r="AJ124" s="307" t="n"/>
      <c r="AK124" s="307" t="n"/>
      <c r="AL124" s="307" t="n"/>
      <c r="AM124" s="307" t="n"/>
      <c r="AN124" s="307" t="n"/>
      <c r="AO124" s="307" t="n"/>
      <c r="AP124" s="307" t="n"/>
      <c r="AQ124" s="307" t="n"/>
      <c r="AR124" s="307" t="n"/>
      <c r="AS124" s="307" t="n"/>
      <c r="AT124" s="307" t="n"/>
      <c r="AU124" s="307" t="n"/>
      <c r="AV124" s="307" t="n"/>
      <c r="AW124" s="307" t="n"/>
      <c r="AX124" s="307" t="n"/>
      <c r="AY124" s="307" t="n"/>
      <c r="AZ124" s="307" t="n"/>
      <c r="BA124" s="233" t="n"/>
      <c r="BB124" s="307" t="n"/>
      <c r="BC124" s="307" t="n"/>
      <c r="BD124" s="307" t="n"/>
      <c r="BE124" s="307" t="n"/>
      <c r="BF124" s="307" t="n"/>
      <c r="BG124" s="31" t="n"/>
      <c r="BH124" s="31" t="n"/>
      <c r="BI124" s="31" t="n"/>
      <c r="BJ124" s="31" t="n"/>
    </row>
    <row r="125" ht="15.75" customHeight="1" s="349">
      <c r="A125" s="307" t="n"/>
      <c r="B125" s="307" t="n"/>
      <c r="C125" s="307" t="n"/>
      <c r="D125" s="307" t="n"/>
      <c r="E125" s="307" t="n"/>
      <c r="F125" s="307" t="n"/>
      <c r="G125" s="307" t="n"/>
      <c r="H125" s="307" t="n"/>
      <c r="I125" s="307" t="n"/>
      <c r="J125" s="307" t="n"/>
      <c r="K125" s="307" t="n"/>
      <c r="L125" s="307" t="n"/>
      <c r="M125" s="307" t="n"/>
      <c r="N125" s="307" t="n"/>
      <c r="O125" s="307" t="n"/>
      <c r="P125" s="307" t="n"/>
      <c r="Q125" s="307" t="n"/>
      <c r="R125" s="307" t="n"/>
      <c r="S125" s="307" t="n"/>
      <c r="T125" s="307" t="n"/>
      <c r="U125" s="307" t="n"/>
      <c r="V125" s="307" t="n"/>
      <c r="W125" s="307" t="n"/>
      <c r="X125" s="307" t="n"/>
      <c r="Y125" s="307" t="n"/>
      <c r="Z125" s="307" t="n"/>
      <c r="AA125" s="307" t="n"/>
      <c r="AB125" s="307" t="n"/>
      <c r="AC125" s="307" t="n"/>
      <c r="AD125" s="307" t="n"/>
      <c r="AE125" s="307" t="n"/>
      <c r="AF125" s="307" t="n"/>
      <c r="AG125" s="307" t="n"/>
      <c r="AH125" s="307" t="n"/>
      <c r="AI125" s="307" t="n"/>
      <c r="AJ125" s="307" t="n"/>
      <c r="AK125" s="307" t="n"/>
      <c r="AL125" s="307" t="n"/>
      <c r="AM125" s="307" t="n"/>
      <c r="AN125" s="307" t="n"/>
      <c r="AO125" s="307" t="n"/>
      <c r="AP125" s="307" t="n"/>
      <c r="AQ125" s="307" t="n"/>
      <c r="AR125" s="307" t="n"/>
      <c r="AS125" s="307" t="n"/>
      <c r="AT125" s="307" t="n"/>
      <c r="AU125" s="307" t="n"/>
      <c r="AV125" s="307" t="n"/>
      <c r="AW125" s="307" t="n"/>
      <c r="AX125" s="307" t="n"/>
      <c r="AY125" s="307" t="n"/>
      <c r="AZ125" s="307" t="n"/>
      <c r="BA125" s="233" t="n"/>
      <c r="BB125" s="307" t="n"/>
      <c r="BC125" s="307" t="n"/>
      <c r="BD125" s="307" t="n"/>
      <c r="BE125" s="307" t="n"/>
      <c r="BF125" s="307" t="n"/>
      <c r="BG125" s="31" t="n"/>
      <c r="BH125" s="31" t="n"/>
      <c r="BI125" s="31" t="n"/>
      <c r="BJ125" s="31" t="n"/>
    </row>
    <row r="126" ht="15.75" customHeight="1" s="349">
      <c r="A126" s="307" t="n"/>
      <c r="B126" s="307" t="n"/>
      <c r="C126" s="307" t="n"/>
      <c r="D126" s="307" t="n"/>
      <c r="E126" s="307" t="n"/>
      <c r="F126" s="307" t="n"/>
      <c r="G126" s="307" t="n"/>
      <c r="H126" s="307" t="n"/>
      <c r="I126" s="307" t="n"/>
      <c r="J126" s="307" t="n"/>
      <c r="K126" s="307" t="n"/>
      <c r="L126" s="307" t="n"/>
      <c r="M126" s="307" t="n"/>
      <c r="N126" s="307" t="n"/>
      <c r="O126" s="307" t="n"/>
      <c r="P126" s="307" t="n"/>
      <c r="Q126" s="307" t="n"/>
      <c r="R126" s="307" t="n"/>
      <c r="S126" s="307" t="n"/>
      <c r="T126" s="307" t="n"/>
      <c r="U126" s="307" t="n"/>
      <c r="V126" s="307" t="n"/>
      <c r="W126" s="307" t="n"/>
      <c r="X126" s="307" t="n"/>
      <c r="Y126" s="307" t="n"/>
      <c r="Z126" s="307" t="n"/>
      <c r="AA126" s="307" t="n"/>
      <c r="AB126" s="307" t="n"/>
      <c r="AC126" s="307" t="n"/>
      <c r="AD126" s="307" t="n"/>
      <c r="AE126" s="307" t="n"/>
      <c r="AF126" s="307" t="n"/>
      <c r="AG126" s="307" t="n"/>
      <c r="AH126" s="307" t="n"/>
      <c r="AI126" s="307" t="n"/>
      <c r="AJ126" s="307" t="n"/>
      <c r="AK126" s="307" t="n"/>
      <c r="AL126" s="307" t="n"/>
      <c r="AM126" s="307" t="n"/>
      <c r="AN126" s="307" t="n"/>
      <c r="AO126" s="307" t="n"/>
      <c r="AP126" s="307" t="n"/>
      <c r="AQ126" s="307" t="n"/>
      <c r="AR126" s="307" t="n"/>
      <c r="AS126" s="307" t="n"/>
      <c r="AT126" s="307" t="n"/>
      <c r="AU126" s="307" t="n"/>
      <c r="AV126" s="307" t="n"/>
      <c r="AW126" s="307" t="n"/>
      <c r="AX126" s="307" t="n"/>
      <c r="AY126" s="307" t="n"/>
      <c r="AZ126" s="307" t="n"/>
      <c r="BA126" s="233" t="n"/>
      <c r="BB126" s="307" t="n"/>
      <c r="BC126" s="307" t="n"/>
      <c r="BD126" s="307" t="n"/>
      <c r="BE126" s="307" t="n"/>
      <c r="BF126" s="307" t="n"/>
      <c r="BG126" s="31" t="n"/>
      <c r="BH126" s="31" t="n"/>
      <c r="BI126" s="31" t="n"/>
      <c r="BJ126" s="31" t="n"/>
    </row>
    <row r="127" ht="15.75" customHeight="1" s="349">
      <c r="A127" s="307" t="n"/>
      <c r="B127" s="307" t="n"/>
      <c r="C127" s="307" t="n"/>
      <c r="D127" s="307" t="n"/>
      <c r="E127" s="307" t="n"/>
      <c r="F127" s="307" t="n"/>
      <c r="G127" s="307" t="n"/>
      <c r="H127" s="307" t="n"/>
      <c r="I127" s="307" t="n"/>
      <c r="J127" s="307" t="n"/>
      <c r="K127" s="307" t="n"/>
      <c r="L127" s="307" t="n"/>
      <c r="M127" s="307" t="n"/>
      <c r="N127" s="307" t="n"/>
      <c r="O127" s="307" t="n"/>
      <c r="P127" s="307" t="n"/>
      <c r="Q127" s="307" t="n"/>
      <c r="R127" s="307" t="n"/>
      <c r="S127" s="307" t="n"/>
      <c r="T127" s="307" t="n"/>
      <c r="U127" s="307" t="n"/>
      <c r="V127" s="307" t="n"/>
      <c r="W127" s="307" t="n"/>
      <c r="X127" s="307" t="n"/>
      <c r="Y127" s="307" t="n"/>
      <c r="Z127" s="307" t="n"/>
      <c r="AA127" s="307" t="n"/>
      <c r="AB127" s="307" t="n"/>
      <c r="AC127" s="307" t="n"/>
      <c r="AD127" s="307" t="n"/>
      <c r="AE127" s="307" t="n"/>
      <c r="AF127" s="307" t="n"/>
      <c r="AG127" s="307" t="n"/>
      <c r="AH127" s="307" t="n"/>
      <c r="AI127" s="307" t="n"/>
      <c r="AJ127" s="307" t="n"/>
      <c r="AK127" s="307" t="n"/>
      <c r="AL127" s="307" t="n"/>
      <c r="AM127" s="307" t="n"/>
      <c r="AN127" s="307" t="n"/>
      <c r="AO127" s="307" t="n"/>
      <c r="AP127" s="307" t="n"/>
      <c r="AQ127" s="307" t="n"/>
      <c r="AR127" s="307" t="n"/>
      <c r="AS127" s="307" t="n"/>
      <c r="AT127" s="307" t="n"/>
      <c r="AU127" s="307" t="n"/>
      <c r="AV127" s="307" t="n"/>
      <c r="AW127" s="307" t="n"/>
      <c r="AX127" s="307" t="n"/>
      <c r="AY127" s="307" t="n"/>
      <c r="AZ127" s="307" t="n"/>
      <c r="BA127" s="233" t="n"/>
      <c r="BB127" s="307" t="n"/>
      <c r="BC127" s="307" t="n"/>
      <c r="BD127" s="307" t="n"/>
      <c r="BE127" s="307" t="n"/>
      <c r="BF127" s="307" t="n"/>
      <c r="BG127" s="31" t="n"/>
      <c r="BH127" s="31" t="n"/>
      <c r="BI127" s="31" t="n"/>
      <c r="BJ127" s="31" t="n"/>
    </row>
    <row r="128" ht="15.75" customHeight="1" s="349">
      <c r="A128" s="307" t="n"/>
      <c r="B128" s="307" t="n"/>
      <c r="C128" s="307" t="n"/>
      <c r="D128" s="307" t="n"/>
      <c r="E128" s="307" t="n"/>
      <c r="F128" s="307" t="n"/>
      <c r="G128" s="307" t="n"/>
      <c r="H128" s="307" t="n"/>
      <c r="I128" s="307" t="n"/>
      <c r="J128" s="307" t="n"/>
      <c r="K128" s="307" t="n"/>
      <c r="L128" s="307" t="n"/>
      <c r="M128" s="307" t="n"/>
      <c r="N128" s="307" t="n"/>
      <c r="O128" s="307" t="n"/>
      <c r="P128" s="307" t="n"/>
      <c r="Q128" s="307" t="n"/>
      <c r="R128" s="307" t="n"/>
      <c r="S128" s="307" t="n"/>
      <c r="T128" s="307" t="n"/>
      <c r="U128" s="307" t="n"/>
      <c r="V128" s="307" t="n"/>
      <c r="W128" s="307" t="n"/>
      <c r="X128" s="307" t="n"/>
      <c r="Y128" s="307" t="n"/>
      <c r="Z128" s="307" t="n"/>
      <c r="AA128" s="307" t="n"/>
      <c r="AB128" s="307" t="n"/>
      <c r="AC128" s="307" t="n"/>
      <c r="AD128" s="307" t="n"/>
      <c r="AE128" s="307" t="n"/>
      <c r="AF128" s="307" t="n"/>
      <c r="AG128" s="307" t="n"/>
      <c r="AH128" s="307" t="n"/>
      <c r="AI128" s="307" t="n"/>
      <c r="AJ128" s="307" t="n"/>
      <c r="AK128" s="307" t="n"/>
      <c r="AL128" s="307" t="n"/>
      <c r="AM128" s="307" t="n"/>
      <c r="AN128" s="307" t="n"/>
      <c r="AO128" s="307" t="n"/>
      <c r="AP128" s="307" t="n"/>
      <c r="AQ128" s="307" t="n"/>
      <c r="AR128" s="307" t="n"/>
      <c r="AS128" s="307" t="n"/>
      <c r="AT128" s="307" t="n"/>
      <c r="AU128" s="307" t="n"/>
      <c r="AV128" s="307" t="n"/>
      <c r="AW128" s="307" t="n"/>
      <c r="AX128" s="307" t="n"/>
      <c r="AY128" s="307" t="n"/>
      <c r="AZ128" s="307" t="n"/>
      <c r="BA128" s="233" t="n"/>
      <c r="BB128" s="307" t="n"/>
      <c r="BC128" s="307" t="n"/>
      <c r="BD128" s="307" t="n"/>
      <c r="BE128" s="307" t="n"/>
      <c r="BF128" s="307" t="n"/>
      <c r="BG128" s="31" t="n"/>
      <c r="BH128" s="31" t="n"/>
      <c r="BI128" s="31" t="n"/>
      <c r="BJ128" s="31" t="n"/>
    </row>
    <row r="129" ht="15.75" customHeight="1" s="349">
      <c r="A129" s="307" t="n"/>
      <c r="B129" s="307" t="n"/>
      <c r="C129" s="307" t="n"/>
      <c r="D129" s="307" t="n"/>
      <c r="E129" s="307" t="n"/>
      <c r="F129" s="307" t="n"/>
      <c r="G129" s="307" t="n"/>
      <c r="H129" s="307" t="n"/>
      <c r="I129" s="307" t="n"/>
      <c r="J129" s="307" t="n"/>
      <c r="K129" s="307" t="n"/>
      <c r="L129" s="307" t="n"/>
      <c r="M129" s="307" t="n"/>
      <c r="N129" s="307" t="n"/>
      <c r="O129" s="307" t="n"/>
      <c r="P129" s="307" t="n"/>
      <c r="Q129" s="307" t="n"/>
      <c r="R129" s="307" t="n"/>
      <c r="S129" s="307" t="n"/>
      <c r="T129" s="307" t="n"/>
      <c r="U129" s="307" t="n"/>
      <c r="V129" s="307" t="n"/>
      <c r="W129" s="307" t="n"/>
      <c r="X129" s="307" t="n"/>
      <c r="Y129" s="307" t="n"/>
      <c r="Z129" s="307" t="n"/>
      <c r="AA129" s="307" t="n"/>
      <c r="AB129" s="307" t="n"/>
      <c r="AC129" s="307" t="n"/>
      <c r="AD129" s="307" t="n"/>
      <c r="AE129" s="307" t="n"/>
      <c r="AF129" s="307" t="n"/>
      <c r="AG129" s="307" t="n"/>
      <c r="AH129" s="307" t="n"/>
      <c r="AI129" s="307" t="n"/>
      <c r="AJ129" s="307" t="n"/>
      <c r="AK129" s="307" t="n"/>
      <c r="AL129" s="307" t="n"/>
      <c r="AM129" s="307" t="n"/>
      <c r="AN129" s="307" t="n"/>
      <c r="AO129" s="307" t="n"/>
      <c r="AP129" s="307" t="n"/>
      <c r="AQ129" s="307" t="n"/>
      <c r="AR129" s="307" t="n"/>
      <c r="AS129" s="307" t="n"/>
      <c r="AT129" s="307" t="n"/>
      <c r="AU129" s="307" t="n"/>
      <c r="AV129" s="307" t="n"/>
      <c r="AW129" s="307" t="n"/>
      <c r="AX129" s="307" t="n"/>
      <c r="AY129" s="307" t="n"/>
      <c r="AZ129" s="307" t="n"/>
      <c r="BA129" s="233" t="n"/>
      <c r="BB129" s="307" t="n"/>
      <c r="BC129" s="307" t="n"/>
      <c r="BD129" s="307" t="n"/>
      <c r="BE129" s="307" t="n"/>
      <c r="BF129" s="307" t="n"/>
      <c r="BG129" s="31" t="n"/>
      <c r="BH129" s="31" t="n"/>
      <c r="BI129" s="31" t="n"/>
      <c r="BJ129" s="31" t="n"/>
    </row>
    <row r="130" ht="15.75" customHeight="1" s="349">
      <c r="A130" s="307" t="n"/>
      <c r="B130" s="307" t="n"/>
      <c r="C130" s="307" t="n"/>
      <c r="D130" s="307" t="n"/>
      <c r="E130" s="307" t="n"/>
      <c r="F130" s="307" t="n"/>
      <c r="G130" s="307" t="n"/>
      <c r="H130" s="307" t="n"/>
      <c r="I130" s="307" t="n"/>
      <c r="J130" s="307" t="n"/>
      <c r="K130" s="307" t="n"/>
      <c r="L130" s="307" t="n"/>
      <c r="M130" s="307" t="n"/>
      <c r="N130" s="307" t="n"/>
      <c r="O130" s="307" t="n"/>
      <c r="P130" s="307" t="n"/>
      <c r="Q130" s="307" t="n"/>
      <c r="R130" s="307" t="n"/>
      <c r="S130" s="307" t="n"/>
      <c r="T130" s="307" t="n"/>
      <c r="U130" s="307" t="n"/>
      <c r="V130" s="307" t="n"/>
      <c r="W130" s="307" t="n"/>
      <c r="X130" s="307" t="n"/>
      <c r="Y130" s="307" t="n"/>
      <c r="Z130" s="307" t="n"/>
      <c r="AA130" s="307" t="n"/>
      <c r="AB130" s="307" t="n"/>
      <c r="AC130" s="307" t="n"/>
      <c r="AD130" s="307" t="n"/>
      <c r="AE130" s="307" t="n"/>
      <c r="AF130" s="307" t="n"/>
      <c r="AG130" s="307" t="n"/>
      <c r="AH130" s="307" t="n"/>
      <c r="AI130" s="307" t="n"/>
      <c r="AJ130" s="307" t="n"/>
      <c r="AK130" s="307" t="n"/>
      <c r="AL130" s="307" t="n"/>
      <c r="AM130" s="307" t="n"/>
      <c r="AN130" s="307" t="n"/>
      <c r="AO130" s="307" t="n"/>
      <c r="AP130" s="307" t="n"/>
      <c r="AQ130" s="307" t="n"/>
      <c r="AR130" s="307" t="n"/>
      <c r="AS130" s="307" t="n"/>
      <c r="AT130" s="307" t="n"/>
      <c r="AU130" s="307" t="n"/>
      <c r="AV130" s="307" t="n"/>
      <c r="AW130" s="307" t="n"/>
      <c r="AX130" s="307" t="n"/>
      <c r="AY130" s="307" t="n"/>
      <c r="AZ130" s="307" t="n"/>
      <c r="BA130" s="233" t="n"/>
      <c r="BB130" s="307" t="n"/>
      <c r="BC130" s="307" t="n"/>
      <c r="BD130" s="307" t="n"/>
      <c r="BE130" s="307" t="n"/>
      <c r="BF130" s="307" t="n"/>
      <c r="BG130" s="31" t="n"/>
      <c r="BH130" s="31" t="n"/>
      <c r="BI130" s="31" t="n"/>
      <c r="BJ130" s="31" t="n"/>
    </row>
    <row r="131" ht="15.75" customHeight="1" s="349">
      <c r="A131" s="307" t="n"/>
      <c r="B131" s="307" t="n"/>
      <c r="C131" s="307" t="n"/>
      <c r="D131" s="307" t="n"/>
      <c r="E131" s="307" t="n"/>
      <c r="F131" s="307" t="n"/>
      <c r="G131" s="307" t="n"/>
      <c r="H131" s="307" t="n"/>
      <c r="I131" s="307" t="n"/>
      <c r="J131" s="307" t="n"/>
      <c r="K131" s="307" t="n"/>
      <c r="L131" s="307" t="n"/>
      <c r="M131" s="307" t="n"/>
      <c r="N131" s="307" t="n"/>
      <c r="O131" s="307" t="n"/>
      <c r="P131" s="307" t="n"/>
      <c r="Q131" s="307" t="n"/>
      <c r="R131" s="307" t="n"/>
      <c r="S131" s="307" t="n"/>
      <c r="T131" s="307" t="n"/>
      <c r="U131" s="307" t="n"/>
      <c r="V131" s="307" t="n"/>
      <c r="W131" s="307" t="n"/>
      <c r="X131" s="307" t="n"/>
      <c r="Y131" s="307" t="n"/>
      <c r="Z131" s="307" t="n"/>
      <c r="AA131" s="307" t="n"/>
      <c r="AB131" s="307" t="n"/>
      <c r="AC131" s="307" t="n"/>
      <c r="AD131" s="307" t="n"/>
      <c r="AE131" s="307" t="n"/>
      <c r="AF131" s="307" t="n"/>
      <c r="AG131" s="307" t="n"/>
      <c r="AH131" s="307" t="n"/>
      <c r="AI131" s="307" t="n"/>
      <c r="AJ131" s="307" t="n"/>
      <c r="AK131" s="307" t="n"/>
      <c r="AL131" s="307" t="n"/>
      <c r="AM131" s="307" t="n"/>
      <c r="AN131" s="307" t="n"/>
      <c r="AO131" s="307" t="n"/>
      <c r="AP131" s="307" t="n"/>
      <c r="AQ131" s="307" t="n"/>
      <c r="AR131" s="307" t="n"/>
      <c r="AS131" s="307" t="n"/>
      <c r="AT131" s="307" t="n"/>
      <c r="AU131" s="307" t="n"/>
      <c r="AV131" s="307" t="n"/>
      <c r="AW131" s="307" t="n"/>
      <c r="AX131" s="307" t="n"/>
      <c r="AY131" s="307" t="n"/>
      <c r="AZ131" s="307" t="n"/>
      <c r="BA131" s="233" t="n"/>
      <c r="BB131" s="307" t="n"/>
      <c r="BC131" s="307" t="n"/>
      <c r="BD131" s="307" t="n"/>
      <c r="BE131" s="307" t="n"/>
      <c r="BF131" s="307" t="n"/>
      <c r="BG131" s="31" t="n"/>
      <c r="BH131" s="31" t="n"/>
      <c r="BI131" s="31" t="n"/>
      <c r="BJ131" s="31" t="n"/>
    </row>
    <row r="132" ht="15.75" customHeight="1" s="349">
      <c r="A132" s="307" t="n"/>
      <c r="B132" s="307" t="n"/>
      <c r="C132" s="307" t="n"/>
      <c r="D132" s="307" t="n"/>
      <c r="E132" s="307" t="n"/>
      <c r="F132" s="307" t="n"/>
      <c r="G132" s="307" t="n"/>
      <c r="H132" s="307" t="n"/>
      <c r="I132" s="307" t="n"/>
      <c r="J132" s="307" t="n"/>
      <c r="K132" s="307" t="n"/>
      <c r="L132" s="307" t="n"/>
      <c r="M132" s="307" t="n"/>
      <c r="N132" s="307" t="n"/>
      <c r="O132" s="307" t="n"/>
      <c r="P132" s="307" t="n"/>
      <c r="Q132" s="307" t="n"/>
      <c r="R132" s="307" t="n"/>
      <c r="S132" s="307" t="n"/>
      <c r="T132" s="307" t="n"/>
      <c r="U132" s="307" t="n"/>
      <c r="V132" s="307" t="n"/>
      <c r="W132" s="307" t="n"/>
      <c r="X132" s="307" t="n"/>
      <c r="Y132" s="307" t="n"/>
      <c r="Z132" s="307" t="n"/>
      <c r="AA132" s="307" t="n"/>
      <c r="AB132" s="307" t="n"/>
      <c r="AC132" s="307" t="n"/>
      <c r="AD132" s="307" t="n"/>
      <c r="AE132" s="307" t="n"/>
      <c r="AF132" s="307" t="n"/>
      <c r="AG132" s="307" t="n"/>
      <c r="AH132" s="307" t="n"/>
      <c r="AI132" s="307" t="n"/>
      <c r="AJ132" s="307" t="n"/>
      <c r="AK132" s="307" t="n"/>
      <c r="AL132" s="307" t="n"/>
      <c r="AM132" s="307" t="n"/>
      <c r="AN132" s="307" t="n"/>
      <c r="AO132" s="307" t="n"/>
      <c r="AP132" s="307" t="n"/>
      <c r="AQ132" s="307" t="n"/>
      <c r="AR132" s="307" t="n"/>
      <c r="AS132" s="307" t="n"/>
      <c r="AT132" s="307" t="n"/>
      <c r="AU132" s="307" t="n"/>
      <c r="AV132" s="307" t="n"/>
      <c r="AW132" s="307" t="n"/>
      <c r="AX132" s="307" t="n"/>
      <c r="AY132" s="307" t="n"/>
      <c r="AZ132" s="307" t="n"/>
      <c r="BA132" s="233" t="n"/>
      <c r="BB132" s="307" t="n"/>
      <c r="BC132" s="307" t="n"/>
      <c r="BD132" s="307" t="n"/>
      <c r="BE132" s="307" t="n"/>
      <c r="BF132" s="307" t="n"/>
      <c r="BG132" s="31" t="n"/>
      <c r="BH132" s="31" t="n"/>
      <c r="BI132" s="31" t="n"/>
      <c r="BJ132" s="31" t="n"/>
    </row>
    <row r="133" ht="15.75" customHeight="1" s="349">
      <c r="A133" s="307" t="n"/>
      <c r="B133" s="307" t="n"/>
      <c r="C133" s="307" t="n"/>
      <c r="D133" s="307" t="n"/>
      <c r="E133" s="307" t="n"/>
      <c r="F133" s="307" t="n"/>
      <c r="G133" s="307" t="n"/>
      <c r="H133" s="307" t="n"/>
      <c r="I133" s="307" t="n"/>
      <c r="J133" s="307" t="n"/>
      <c r="K133" s="307" t="n"/>
      <c r="L133" s="307" t="n"/>
      <c r="M133" s="307" t="n"/>
      <c r="N133" s="307" t="n"/>
      <c r="O133" s="307" t="n"/>
      <c r="P133" s="307" t="n"/>
      <c r="Q133" s="307" t="n"/>
      <c r="R133" s="307" t="n"/>
      <c r="S133" s="307" t="n"/>
      <c r="T133" s="307" t="n"/>
      <c r="U133" s="307" t="n"/>
      <c r="V133" s="307" t="n"/>
      <c r="W133" s="307" t="n"/>
      <c r="X133" s="307" t="n"/>
      <c r="Y133" s="307" t="n"/>
      <c r="Z133" s="307" t="n"/>
      <c r="AA133" s="307" t="n"/>
      <c r="AB133" s="307" t="n"/>
      <c r="AC133" s="307" t="n"/>
      <c r="AD133" s="307" t="n"/>
      <c r="AE133" s="307" t="n"/>
      <c r="AF133" s="307" t="n"/>
      <c r="AG133" s="307" t="n"/>
      <c r="AH133" s="307" t="n"/>
      <c r="AI133" s="307" t="n"/>
      <c r="AJ133" s="307" t="n"/>
      <c r="AK133" s="307" t="n"/>
      <c r="AL133" s="307" t="n"/>
      <c r="AM133" s="307" t="n"/>
      <c r="AN133" s="307" t="n"/>
      <c r="AO133" s="307" t="n"/>
      <c r="AP133" s="307" t="n"/>
      <c r="AQ133" s="307" t="n"/>
      <c r="AR133" s="307" t="n"/>
      <c r="AS133" s="307" t="n"/>
      <c r="AT133" s="307" t="n"/>
      <c r="AU133" s="307" t="n"/>
      <c r="AV133" s="307" t="n"/>
      <c r="AW133" s="307" t="n"/>
      <c r="AX133" s="307" t="n"/>
      <c r="AY133" s="307" t="n"/>
      <c r="AZ133" s="307" t="n"/>
      <c r="BA133" s="233" t="n"/>
      <c r="BB133" s="307" t="n"/>
      <c r="BC133" s="307" t="n"/>
      <c r="BD133" s="307" t="n"/>
      <c r="BE133" s="307" t="n"/>
      <c r="BF133" s="307" t="n"/>
      <c r="BG133" s="31" t="n"/>
      <c r="BH133" s="31" t="n"/>
      <c r="BI133" s="31" t="n"/>
      <c r="BJ133" s="31" t="n"/>
    </row>
    <row r="134" ht="15.75" customHeight="1" s="349">
      <c r="A134" s="307" t="n"/>
      <c r="B134" s="307" t="n"/>
      <c r="C134" s="307" t="n"/>
      <c r="D134" s="307" t="n"/>
      <c r="E134" s="307" t="n"/>
      <c r="F134" s="307" t="n"/>
      <c r="G134" s="307" t="n"/>
      <c r="H134" s="307" t="n"/>
      <c r="I134" s="307" t="n"/>
      <c r="J134" s="307" t="n"/>
      <c r="K134" s="307" t="n"/>
      <c r="L134" s="307" t="n"/>
      <c r="M134" s="307" t="n"/>
      <c r="N134" s="307" t="n"/>
      <c r="O134" s="307" t="n"/>
      <c r="P134" s="307" t="n"/>
      <c r="Q134" s="307" t="n"/>
      <c r="R134" s="307" t="n"/>
      <c r="S134" s="307" t="n"/>
      <c r="T134" s="307" t="n"/>
      <c r="U134" s="307" t="n"/>
      <c r="V134" s="307" t="n"/>
      <c r="W134" s="307" t="n"/>
      <c r="X134" s="307" t="n"/>
      <c r="Y134" s="307" t="n"/>
      <c r="Z134" s="307" t="n"/>
      <c r="AA134" s="307" t="n"/>
      <c r="AB134" s="307" t="n"/>
      <c r="AC134" s="307" t="n"/>
      <c r="AD134" s="307" t="n"/>
      <c r="AE134" s="307" t="n"/>
      <c r="AF134" s="307" t="n"/>
      <c r="AG134" s="307" t="n"/>
      <c r="AH134" s="307" t="n"/>
      <c r="AI134" s="307" t="n"/>
      <c r="AJ134" s="307" t="n"/>
      <c r="AK134" s="307" t="n"/>
      <c r="AL134" s="307" t="n"/>
      <c r="AM134" s="307" t="n"/>
      <c r="AN134" s="307" t="n"/>
      <c r="AO134" s="307" t="n"/>
      <c r="AP134" s="307" t="n"/>
      <c r="AQ134" s="307" t="n"/>
      <c r="AR134" s="307" t="n"/>
      <c r="AS134" s="307" t="n"/>
      <c r="AT134" s="307" t="n"/>
      <c r="AU134" s="307" t="n"/>
      <c r="AV134" s="307" t="n"/>
      <c r="AW134" s="307" t="n"/>
      <c r="AX134" s="307" t="n"/>
      <c r="AY134" s="307" t="n"/>
      <c r="AZ134" s="307" t="n"/>
      <c r="BA134" s="233" t="n"/>
      <c r="BB134" s="307" t="n"/>
      <c r="BC134" s="307" t="n"/>
      <c r="BD134" s="307" t="n"/>
      <c r="BE134" s="307" t="n"/>
      <c r="BF134" s="307" t="n"/>
      <c r="BG134" s="31" t="n"/>
      <c r="BH134" s="31" t="n"/>
      <c r="BI134" s="31" t="n"/>
      <c r="BJ134" s="31" t="n"/>
    </row>
    <row r="135" ht="15.75" customHeight="1" s="349">
      <c r="A135" s="307" t="n"/>
      <c r="B135" s="307" t="n"/>
      <c r="C135" s="307" t="n"/>
      <c r="D135" s="307" t="n"/>
      <c r="E135" s="307" t="n"/>
      <c r="F135" s="307" t="n"/>
      <c r="G135" s="307" t="n"/>
      <c r="H135" s="307" t="n"/>
      <c r="I135" s="307" t="n"/>
      <c r="J135" s="307" t="n"/>
      <c r="K135" s="307" t="n"/>
      <c r="L135" s="307" t="n"/>
      <c r="M135" s="307" t="n"/>
      <c r="N135" s="307" t="n"/>
      <c r="O135" s="307" t="n"/>
      <c r="P135" s="307" t="n"/>
      <c r="Q135" s="307" t="n"/>
      <c r="R135" s="307" t="n"/>
      <c r="S135" s="307" t="n"/>
      <c r="T135" s="307" t="n"/>
      <c r="U135" s="307" t="n"/>
      <c r="V135" s="307" t="n"/>
      <c r="W135" s="307" t="n"/>
      <c r="X135" s="307" t="n"/>
      <c r="Y135" s="307" t="n"/>
      <c r="Z135" s="307" t="n"/>
      <c r="AA135" s="307" t="n"/>
      <c r="AB135" s="307" t="n"/>
      <c r="AC135" s="307" t="n"/>
      <c r="AD135" s="307" t="n"/>
      <c r="AE135" s="307" t="n"/>
      <c r="AF135" s="307" t="n"/>
      <c r="AG135" s="307" t="n"/>
      <c r="AH135" s="307" t="n"/>
      <c r="AI135" s="307" t="n"/>
      <c r="AJ135" s="307" t="n"/>
      <c r="AK135" s="307" t="n"/>
      <c r="AL135" s="307" t="n"/>
      <c r="AM135" s="307" t="n"/>
      <c r="AN135" s="307" t="n"/>
      <c r="AO135" s="307" t="n"/>
      <c r="AP135" s="307" t="n"/>
      <c r="AQ135" s="307" t="n"/>
      <c r="AR135" s="307" t="n"/>
      <c r="AS135" s="307" t="n"/>
      <c r="AT135" s="307" t="n"/>
      <c r="AU135" s="307" t="n"/>
      <c r="AV135" s="307" t="n"/>
      <c r="AW135" s="307" t="n"/>
      <c r="AX135" s="307" t="n"/>
      <c r="AY135" s="307" t="n"/>
      <c r="AZ135" s="307" t="n"/>
      <c r="BA135" s="233" t="n"/>
      <c r="BB135" s="307" t="n"/>
      <c r="BC135" s="307" t="n"/>
      <c r="BD135" s="307" t="n"/>
      <c r="BE135" s="307" t="n"/>
      <c r="BF135" s="307" t="n"/>
      <c r="BG135" s="31" t="n"/>
      <c r="BH135" s="31" t="n"/>
      <c r="BI135" s="31" t="n"/>
      <c r="BJ135" s="31" t="n"/>
    </row>
    <row r="136" ht="15.75" customHeight="1" s="349">
      <c r="A136" s="307" t="n"/>
      <c r="B136" s="307" t="n"/>
      <c r="C136" s="307" t="n"/>
      <c r="D136" s="307" t="n"/>
      <c r="E136" s="307" t="n"/>
      <c r="F136" s="307" t="n"/>
      <c r="G136" s="307" t="n"/>
      <c r="H136" s="307" t="n"/>
      <c r="I136" s="307" t="n"/>
      <c r="J136" s="307" t="n"/>
      <c r="K136" s="307" t="n"/>
      <c r="L136" s="307" t="n"/>
      <c r="M136" s="307" t="n"/>
      <c r="N136" s="307" t="n"/>
      <c r="O136" s="307" t="n"/>
      <c r="P136" s="307" t="n"/>
      <c r="Q136" s="307" t="n"/>
      <c r="R136" s="307" t="n"/>
      <c r="S136" s="307" t="n"/>
      <c r="T136" s="307" t="n"/>
      <c r="U136" s="307" t="n"/>
      <c r="V136" s="307" t="n"/>
      <c r="W136" s="307" t="n"/>
      <c r="X136" s="307" t="n"/>
      <c r="Y136" s="307" t="n"/>
      <c r="Z136" s="307" t="n"/>
      <c r="AA136" s="307" t="n"/>
      <c r="AB136" s="307" t="n"/>
      <c r="AC136" s="307" t="n"/>
      <c r="AD136" s="307" t="n"/>
      <c r="AE136" s="307" t="n"/>
      <c r="AF136" s="307" t="n"/>
      <c r="AG136" s="307" t="n"/>
      <c r="AH136" s="307" t="n"/>
      <c r="AI136" s="307" t="n"/>
      <c r="AJ136" s="307" t="n"/>
      <c r="AK136" s="307" t="n"/>
      <c r="AL136" s="307" t="n"/>
      <c r="AM136" s="307" t="n"/>
      <c r="AN136" s="307" t="n"/>
      <c r="AO136" s="307" t="n"/>
      <c r="AP136" s="307" t="n"/>
      <c r="AQ136" s="307" t="n"/>
      <c r="AR136" s="307" t="n"/>
      <c r="AS136" s="307" t="n"/>
      <c r="AT136" s="307" t="n"/>
      <c r="AU136" s="307" t="n"/>
      <c r="AV136" s="307" t="n"/>
      <c r="AW136" s="307" t="n"/>
      <c r="AX136" s="307" t="n"/>
      <c r="AY136" s="307" t="n"/>
      <c r="AZ136" s="307" t="n"/>
      <c r="BA136" s="233" t="n"/>
      <c r="BB136" s="307" t="n"/>
      <c r="BC136" s="307" t="n"/>
      <c r="BD136" s="307" t="n"/>
      <c r="BE136" s="307" t="n"/>
      <c r="BF136" s="307" t="n"/>
      <c r="BG136" s="31" t="n"/>
      <c r="BH136" s="31" t="n"/>
      <c r="BI136" s="31" t="n"/>
      <c r="BJ136" s="31" t="n"/>
    </row>
    <row r="137" ht="15.75" customHeight="1" s="349">
      <c r="A137" s="307" t="n"/>
      <c r="B137" s="307" t="n"/>
      <c r="C137" s="307" t="n"/>
      <c r="D137" s="307" t="n"/>
      <c r="E137" s="307" t="n"/>
      <c r="F137" s="307" t="n"/>
      <c r="G137" s="307" t="n"/>
      <c r="H137" s="307" t="n"/>
      <c r="I137" s="307" t="n"/>
      <c r="J137" s="307" t="n"/>
      <c r="K137" s="307" t="n"/>
      <c r="L137" s="307" t="n"/>
      <c r="M137" s="307" t="n"/>
      <c r="N137" s="307" t="n"/>
      <c r="O137" s="307" t="n"/>
      <c r="P137" s="307" t="n"/>
      <c r="Q137" s="307" t="n"/>
      <c r="R137" s="307" t="n"/>
      <c r="S137" s="307" t="n"/>
      <c r="T137" s="307" t="n"/>
      <c r="U137" s="307" t="n"/>
      <c r="V137" s="307" t="n"/>
      <c r="W137" s="307" t="n"/>
      <c r="X137" s="307" t="n"/>
      <c r="Y137" s="307" t="n"/>
      <c r="Z137" s="307" t="n"/>
      <c r="AA137" s="307" t="n"/>
      <c r="AB137" s="307" t="n"/>
      <c r="AC137" s="307" t="n"/>
      <c r="AD137" s="307" t="n"/>
      <c r="AE137" s="307" t="n"/>
      <c r="AF137" s="307" t="n"/>
      <c r="AG137" s="307" t="n"/>
      <c r="AH137" s="307" t="n"/>
      <c r="AI137" s="307" t="n"/>
      <c r="AJ137" s="307" t="n"/>
      <c r="AK137" s="307" t="n"/>
      <c r="AL137" s="307" t="n"/>
      <c r="AM137" s="307" t="n"/>
      <c r="AN137" s="307" t="n"/>
      <c r="AO137" s="307" t="n"/>
      <c r="AP137" s="307" t="n"/>
      <c r="AQ137" s="307" t="n"/>
      <c r="AR137" s="307" t="n"/>
      <c r="AS137" s="307" t="n"/>
      <c r="AT137" s="307" t="n"/>
      <c r="AU137" s="307" t="n"/>
      <c r="AV137" s="307" t="n"/>
      <c r="AW137" s="307" t="n"/>
      <c r="AX137" s="307" t="n"/>
      <c r="AY137" s="307" t="n"/>
      <c r="AZ137" s="307" t="n"/>
      <c r="BA137" s="233" t="n"/>
      <c r="BB137" s="307" t="n"/>
      <c r="BC137" s="307" t="n"/>
      <c r="BD137" s="307" t="n"/>
      <c r="BE137" s="307" t="n"/>
      <c r="BF137" s="307" t="n"/>
      <c r="BG137" s="31" t="n"/>
      <c r="BH137" s="31" t="n"/>
      <c r="BI137" s="31" t="n"/>
      <c r="BJ137" s="31" t="n"/>
    </row>
    <row r="138" ht="15.75" customHeight="1" s="349">
      <c r="A138" s="307" t="n"/>
      <c r="B138" s="307" t="n"/>
      <c r="C138" s="307" t="n"/>
      <c r="D138" s="307" t="n"/>
      <c r="E138" s="307" t="n"/>
      <c r="F138" s="307" t="n"/>
      <c r="G138" s="307" t="n"/>
      <c r="H138" s="307" t="n"/>
      <c r="I138" s="307" t="n"/>
      <c r="J138" s="307" t="n"/>
      <c r="K138" s="307" t="n"/>
      <c r="L138" s="307" t="n"/>
      <c r="M138" s="307" t="n"/>
      <c r="N138" s="307" t="n"/>
      <c r="O138" s="307" t="n"/>
      <c r="P138" s="307" t="n"/>
      <c r="Q138" s="307" t="n"/>
      <c r="R138" s="307" t="n"/>
      <c r="S138" s="307" t="n"/>
      <c r="T138" s="307" t="n"/>
      <c r="U138" s="307" t="n"/>
      <c r="V138" s="307" t="n"/>
      <c r="W138" s="307" t="n"/>
      <c r="X138" s="307" t="n"/>
      <c r="Y138" s="307" t="n"/>
      <c r="Z138" s="307" t="n"/>
      <c r="AA138" s="307" t="n"/>
      <c r="AB138" s="307" t="n"/>
      <c r="AC138" s="307" t="n"/>
      <c r="AD138" s="307" t="n"/>
      <c r="AE138" s="307" t="n"/>
      <c r="AF138" s="307" t="n"/>
      <c r="AG138" s="307" t="n"/>
      <c r="AH138" s="307" t="n"/>
      <c r="AI138" s="307" t="n"/>
      <c r="AJ138" s="307" t="n"/>
      <c r="AK138" s="307" t="n"/>
      <c r="AL138" s="307" t="n"/>
      <c r="AM138" s="307" t="n"/>
      <c r="AN138" s="307" t="n"/>
      <c r="AO138" s="307" t="n"/>
      <c r="AP138" s="307" t="n"/>
      <c r="AQ138" s="307" t="n"/>
      <c r="AR138" s="307" t="n"/>
      <c r="AS138" s="307" t="n"/>
      <c r="AT138" s="307" t="n"/>
      <c r="AU138" s="307" t="n"/>
      <c r="AV138" s="307" t="n"/>
      <c r="AW138" s="307" t="n"/>
      <c r="AX138" s="307" t="n"/>
      <c r="AY138" s="307" t="n"/>
      <c r="AZ138" s="307" t="n"/>
      <c r="BA138" s="233" t="n"/>
      <c r="BB138" s="307" t="n"/>
      <c r="BC138" s="307" t="n"/>
      <c r="BD138" s="307" t="n"/>
      <c r="BE138" s="307" t="n"/>
      <c r="BF138" s="307" t="n"/>
      <c r="BG138" s="31" t="n"/>
      <c r="BH138" s="31" t="n"/>
      <c r="BI138" s="31" t="n"/>
      <c r="BJ138" s="31" t="n"/>
    </row>
    <row r="139" ht="15.75" customHeight="1" s="349">
      <c r="A139" s="307" t="n"/>
      <c r="B139" s="307" t="n"/>
      <c r="C139" s="307" t="n"/>
      <c r="D139" s="307" t="n"/>
      <c r="E139" s="307" t="n"/>
      <c r="F139" s="307" t="n"/>
      <c r="G139" s="307" t="n"/>
      <c r="H139" s="307" t="n"/>
      <c r="I139" s="307" t="n"/>
      <c r="J139" s="307" t="n"/>
      <c r="K139" s="307" t="n"/>
      <c r="L139" s="307" t="n"/>
      <c r="M139" s="307" t="n"/>
      <c r="N139" s="307" t="n"/>
      <c r="O139" s="307" t="n"/>
      <c r="P139" s="307" t="n"/>
      <c r="Q139" s="307" t="n"/>
      <c r="R139" s="307" t="n"/>
      <c r="S139" s="307" t="n"/>
      <c r="T139" s="307" t="n"/>
      <c r="U139" s="307" t="n"/>
      <c r="V139" s="307" t="n"/>
      <c r="W139" s="307" t="n"/>
      <c r="X139" s="307" t="n"/>
      <c r="Y139" s="307" t="n"/>
      <c r="Z139" s="307" t="n"/>
      <c r="AA139" s="307" t="n"/>
      <c r="AB139" s="307" t="n"/>
      <c r="AC139" s="307" t="n"/>
      <c r="AD139" s="307" t="n"/>
      <c r="AE139" s="307" t="n"/>
      <c r="AF139" s="307" t="n"/>
      <c r="AG139" s="307" t="n"/>
      <c r="AH139" s="307" t="n"/>
      <c r="AI139" s="307" t="n"/>
      <c r="AJ139" s="307" t="n"/>
      <c r="AK139" s="307" t="n"/>
      <c r="AL139" s="307" t="n"/>
      <c r="AM139" s="307" t="n"/>
      <c r="AN139" s="307" t="n"/>
      <c r="AO139" s="307" t="n"/>
      <c r="AP139" s="307" t="n"/>
      <c r="AQ139" s="307" t="n"/>
      <c r="AR139" s="307" t="n"/>
      <c r="AS139" s="307" t="n"/>
      <c r="AT139" s="307" t="n"/>
      <c r="AU139" s="307" t="n"/>
      <c r="AV139" s="307" t="n"/>
      <c r="AW139" s="307" t="n"/>
      <c r="AX139" s="307" t="n"/>
      <c r="AY139" s="307" t="n"/>
      <c r="AZ139" s="307" t="n"/>
      <c r="BA139" s="233" t="n"/>
      <c r="BB139" s="307" t="n"/>
      <c r="BC139" s="307" t="n"/>
      <c r="BD139" s="307" t="n"/>
      <c r="BE139" s="307" t="n"/>
      <c r="BF139" s="307" t="n"/>
      <c r="BG139" s="31" t="n"/>
      <c r="BH139" s="31" t="n"/>
      <c r="BI139" s="31" t="n"/>
      <c r="BJ139" s="31" t="n"/>
    </row>
    <row r="140" ht="15.75" customHeight="1" s="349">
      <c r="A140" s="307" t="n"/>
      <c r="B140" s="307" t="n"/>
      <c r="C140" s="307" t="n"/>
      <c r="D140" s="307" t="n"/>
      <c r="E140" s="307" t="n"/>
      <c r="F140" s="307" t="n"/>
      <c r="G140" s="307" t="n"/>
      <c r="H140" s="307" t="n"/>
      <c r="I140" s="307" t="n"/>
      <c r="J140" s="307" t="n"/>
      <c r="K140" s="307" t="n"/>
      <c r="L140" s="307" t="n"/>
      <c r="M140" s="307" t="n"/>
      <c r="N140" s="307" t="n"/>
      <c r="O140" s="307" t="n"/>
      <c r="P140" s="307" t="n"/>
      <c r="Q140" s="307" t="n"/>
      <c r="R140" s="307" t="n"/>
      <c r="S140" s="307" t="n"/>
      <c r="T140" s="307" t="n"/>
      <c r="U140" s="307" t="n"/>
      <c r="V140" s="307" t="n"/>
      <c r="W140" s="307" t="n"/>
      <c r="X140" s="307" t="n"/>
      <c r="Y140" s="307" t="n"/>
      <c r="Z140" s="307" t="n"/>
      <c r="AA140" s="307" t="n"/>
      <c r="AB140" s="307" t="n"/>
      <c r="AC140" s="307" t="n"/>
      <c r="AD140" s="307" t="n"/>
      <c r="AE140" s="307" t="n"/>
      <c r="AF140" s="307" t="n"/>
      <c r="AG140" s="307" t="n"/>
      <c r="AH140" s="307" t="n"/>
      <c r="AI140" s="307" t="n"/>
      <c r="AJ140" s="307" t="n"/>
      <c r="AK140" s="307" t="n"/>
      <c r="AL140" s="307" t="n"/>
      <c r="AM140" s="307" t="n"/>
      <c r="AN140" s="307" t="n"/>
      <c r="AO140" s="307" t="n"/>
      <c r="AP140" s="307" t="n"/>
      <c r="AQ140" s="307" t="n"/>
      <c r="AR140" s="307" t="n"/>
      <c r="AS140" s="307" t="n"/>
      <c r="AT140" s="307" t="n"/>
      <c r="AU140" s="307" t="n"/>
      <c r="AV140" s="307" t="n"/>
      <c r="AW140" s="307" t="n"/>
      <c r="AX140" s="307" t="n"/>
      <c r="AY140" s="307" t="n"/>
      <c r="AZ140" s="307" t="n"/>
      <c r="BA140" s="233" t="n"/>
      <c r="BB140" s="307" t="n"/>
      <c r="BC140" s="307" t="n"/>
      <c r="BD140" s="307" t="n"/>
      <c r="BE140" s="307" t="n"/>
      <c r="BF140" s="307" t="n"/>
      <c r="BG140" s="31" t="n"/>
      <c r="BH140" s="31" t="n"/>
      <c r="BI140" s="31" t="n"/>
      <c r="BJ140" s="31" t="n"/>
    </row>
    <row r="141" ht="15.75" customHeight="1" s="349">
      <c r="A141" s="307" t="n"/>
      <c r="B141" s="307" t="n"/>
      <c r="C141" s="307" t="n"/>
      <c r="D141" s="307" t="n"/>
      <c r="E141" s="307" t="n"/>
      <c r="F141" s="307" t="n"/>
      <c r="G141" s="307" t="n"/>
      <c r="H141" s="307" t="n"/>
      <c r="I141" s="307" t="n"/>
      <c r="J141" s="307" t="n"/>
      <c r="K141" s="307" t="n"/>
      <c r="L141" s="307" t="n"/>
      <c r="M141" s="307" t="n"/>
      <c r="N141" s="307" t="n"/>
      <c r="O141" s="307" t="n"/>
      <c r="P141" s="307" t="n"/>
      <c r="Q141" s="307" t="n"/>
      <c r="R141" s="307" t="n"/>
      <c r="S141" s="307" t="n"/>
      <c r="T141" s="307" t="n"/>
      <c r="U141" s="307" t="n"/>
      <c r="V141" s="307" t="n"/>
      <c r="W141" s="307" t="n"/>
      <c r="X141" s="307" t="n"/>
      <c r="Y141" s="307" t="n"/>
      <c r="Z141" s="307" t="n"/>
      <c r="AA141" s="307" t="n"/>
      <c r="AB141" s="307" t="n"/>
      <c r="AC141" s="307" t="n"/>
      <c r="AD141" s="307" t="n"/>
      <c r="AE141" s="307" t="n"/>
      <c r="AF141" s="307" t="n"/>
      <c r="AG141" s="307" t="n"/>
      <c r="AH141" s="307" t="n"/>
      <c r="AI141" s="307" t="n"/>
      <c r="AJ141" s="307" t="n"/>
      <c r="AK141" s="307" t="n"/>
      <c r="AL141" s="307" t="n"/>
      <c r="AM141" s="307" t="n"/>
      <c r="AN141" s="307" t="n"/>
      <c r="AO141" s="307" t="n"/>
      <c r="AP141" s="307" t="n"/>
      <c r="AQ141" s="307" t="n"/>
      <c r="AR141" s="307" t="n"/>
      <c r="AS141" s="307" t="n"/>
      <c r="AT141" s="307" t="n"/>
      <c r="AU141" s="307" t="n"/>
      <c r="AV141" s="307" t="n"/>
      <c r="AW141" s="307" t="n"/>
      <c r="AX141" s="307" t="n"/>
      <c r="AY141" s="307" t="n"/>
      <c r="AZ141" s="307" t="n"/>
      <c r="BA141" s="233" t="n"/>
      <c r="BB141" s="307" t="n"/>
      <c r="BC141" s="307" t="n"/>
      <c r="BD141" s="307" t="n"/>
      <c r="BE141" s="307" t="n"/>
      <c r="BF141" s="307" t="n"/>
      <c r="BG141" s="31" t="n"/>
      <c r="BH141" s="31" t="n"/>
      <c r="BI141" s="31" t="n"/>
      <c r="BJ141" s="31" t="n"/>
    </row>
    <row r="142" ht="15.75" customHeight="1" s="349">
      <c r="A142" s="307" t="n"/>
      <c r="B142" s="307" t="n"/>
      <c r="C142" s="307" t="n"/>
      <c r="D142" s="307" t="n"/>
      <c r="E142" s="307" t="n"/>
      <c r="F142" s="307" t="n"/>
      <c r="G142" s="307" t="n"/>
      <c r="H142" s="307" t="n"/>
      <c r="I142" s="307" t="n"/>
      <c r="J142" s="307" t="n"/>
      <c r="K142" s="307" t="n"/>
      <c r="L142" s="307" t="n"/>
      <c r="M142" s="307" t="n"/>
      <c r="N142" s="307" t="n"/>
      <c r="O142" s="307" t="n"/>
      <c r="P142" s="307" t="n"/>
      <c r="Q142" s="307" t="n"/>
      <c r="R142" s="307" t="n"/>
      <c r="S142" s="307" t="n"/>
      <c r="T142" s="307" t="n"/>
      <c r="U142" s="307" t="n"/>
      <c r="V142" s="307" t="n"/>
      <c r="W142" s="307" t="n"/>
      <c r="X142" s="307" t="n"/>
      <c r="Y142" s="307" t="n"/>
      <c r="Z142" s="307" t="n"/>
      <c r="AA142" s="307" t="n"/>
      <c r="AB142" s="307" t="n"/>
      <c r="AC142" s="307" t="n"/>
      <c r="AD142" s="307" t="n"/>
      <c r="AE142" s="307" t="n"/>
      <c r="AF142" s="307" t="n"/>
      <c r="AG142" s="307" t="n"/>
      <c r="AH142" s="307" t="n"/>
      <c r="AI142" s="307" t="n"/>
      <c r="AJ142" s="307" t="n"/>
      <c r="AK142" s="307" t="n"/>
      <c r="AL142" s="307" t="n"/>
      <c r="AM142" s="307" t="n"/>
      <c r="AN142" s="307" t="n"/>
      <c r="AO142" s="307" t="n"/>
      <c r="AP142" s="307" t="n"/>
      <c r="AQ142" s="307" t="n"/>
      <c r="AR142" s="307" t="n"/>
      <c r="AS142" s="307" t="n"/>
      <c r="AT142" s="307" t="n"/>
      <c r="AU142" s="307" t="n"/>
      <c r="AV142" s="307" t="n"/>
      <c r="AW142" s="307" t="n"/>
      <c r="AX142" s="307" t="n"/>
      <c r="AY142" s="307" t="n"/>
      <c r="AZ142" s="307" t="n"/>
      <c r="BA142" s="233" t="n"/>
      <c r="BB142" s="307" t="n"/>
      <c r="BC142" s="307" t="n"/>
      <c r="BD142" s="307" t="n"/>
      <c r="BE142" s="307" t="n"/>
      <c r="BF142" s="307" t="n"/>
      <c r="BG142" s="31" t="n"/>
      <c r="BH142" s="31" t="n"/>
      <c r="BI142" s="31" t="n"/>
      <c r="BJ142" s="31" t="n"/>
    </row>
    <row r="143" ht="15.75" customHeight="1" s="349">
      <c r="A143" s="307" t="n"/>
      <c r="B143" s="307" t="n"/>
      <c r="C143" s="307" t="n"/>
      <c r="D143" s="307" t="n"/>
      <c r="E143" s="307" t="n"/>
      <c r="F143" s="307" t="n"/>
      <c r="G143" s="307" t="n"/>
      <c r="H143" s="307" t="n"/>
      <c r="I143" s="307" t="n"/>
      <c r="J143" s="307" t="n"/>
      <c r="K143" s="307" t="n"/>
      <c r="L143" s="307" t="n"/>
      <c r="M143" s="307" t="n"/>
      <c r="N143" s="307" t="n"/>
      <c r="O143" s="307" t="n"/>
      <c r="P143" s="307" t="n"/>
      <c r="Q143" s="307" t="n"/>
      <c r="R143" s="307" t="n"/>
      <c r="S143" s="307" t="n"/>
      <c r="T143" s="307" t="n"/>
      <c r="U143" s="307" t="n"/>
      <c r="V143" s="307" t="n"/>
      <c r="W143" s="307" t="n"/>
      <c r="X143" s="307" t="n"/>
      <c r="Y143" s="307" t="n"/>
      <c r="Z143" s="307" t="n"/>
      <c r="AA143" s="307" t="n"/>
      <c r="AB143" s="307" t="n"/>
      <c r="AC143" s="307" t="n"/>
      <c r="AD143" s="307" t="n"/>
      <c r="AE143" s="307" t="n"/>
      <c r="AF143" s="307" t="n"/>
      <c r="AG143" s="307" t="n"/>
      <c r="AH143" s="307" t="n"/>
      <c r="AI143" s="307" t="n"/>
      <c r="AJ143" s="307" t="n"/>
      <c r="AK143" s="307" t="n"/>
      <c r="AL143" s="307" t="n"/>
      <c r="AM143" s="307" t="n"/>
      <c r="AN143" s="307" t="n"/>
      <c r="AO143" s="307" t="n"/>
      <c r="AP143" s="307" t="n"/>
      <c r="AQ143" s="307" t="n"/>
      <c r="AR143" s="307" t="n"/>
      <c r="AS143" s="307" t="n"/>
      <c r="AT143" s="307" t="n"/>
      <c r="AU143" s="307" t="n"/>
      <c r="AV143" s="307" t="n"/>
      <c r="AW143" s="307" t="n"/>
      <c r="AX143" s="307" t="n"/>
      <c r="AY143" s="307" t="n"/>
      <c r="AZ143" s="307" t="n"/>
      <c r="BA143" s="233" t="n"/>
      <c r="BB143" s="307" t="n"/>
      <c r="BC143" s="307" t="n"/>
      <c r="BD143" s="307" t="n"/>
      <c r="BE143" s="307" t="n"/>
      <c r="BF143" s="307" t="n"/>
      <c r="BG143" s="31" t="n"/>
      <c r="BH143" s="31" t="n"/>
      <c r="BI143" s="31" t="n"/>
      <c r="BJ143" s="31" t="n"/>
    </row>
    <row r="144" ht="15.75" customHeight="1" s="349">
      <c r="A144" s="307" t="n"/>
      <c r="B144" s="307" t="n"/>
      <c r="C144" s="307" t="n"/>
      <c r="D144" s="307" t="n"/>
      <c r="E144" s="307" t="n"/>
      <c r="F144" s="307" t="n"/>
      <c r="G144" s="307" t="n"/>
      <c r="H144" s="307" t="n"/>
      <c r="I144" s="307" t="n"/>
      <c r="J144" s="307" t="n"/>
      <c r="K144" s="307" t="n"/>
      <c r="L144" s="307" t="n"/>
      <c r="M144" s="307" t="n"/>
      <c r="N144" s="307" t="n"/>
      <c r="O144" s="307" t="n"/>
      <c r="P144" s="307" t="n"/>
      <c r="Q144" s="307" t="n"/>
      <c r="R144" s="307" t="n"/>
      <c r="S144" s="307" t="n"/>
      <c r="T144" s="307" t="n"/>
      <c r="U144" s="307" t="n"/>
      <c r="V144" s="307" t="n"/>
      <c r="W144" s="307" t="n"/>
      <c r="X144" s="307" t="n"/>
      <c r="Y144" s="307" t="n"/>
      <c r="Z144" s="307" t="n"/>
      <c r="AA144" s="307" t="n"/>
      <c r="AB144" s="307" t="n"/>
      <c r="AC144" s="307" t="n"/>
      <c r="AD144" s="307" t="n"/>
      <c r="AE144" s="307" t="n"/>
      <c r="AF144" s="307" t="n"/>
      <c r="AG144" s="307" t="n"/>
      <c r="AH144" s="307" t="n"/>
      <c r="AI144" s="307" t="n"/>
      <c r="AJ144" s="307" t="n"/>
      <c r="AK144" s="307" t="n"/>
      <c r="AL144" s="307" t="n"/>
      <c r="AM144" s="307" t="n"/>
      <c r="AN144" s="307" t="n"/>
      <c r="AO144" s="307" t="n"/>
      <c r="AP144" s="307" t="n"/>
      <c r="AQ144" s="307" t="n"/>
      <c r="AR144" s="307" t="n"/>
      <c r="AS144" s="307" t="n"/>
      <c r="AT144" s="307" t="n"/>
      <c r="AU144" s="307" t="n"/>
      <c r="AV144" s="307" t="n"/>
      <c r="AW144" s="307" t="n"/>
      <c r="AX144" s="307" t="n"/>
      <c r="AY144" s="307" t="n"/>
      <c r="AZ144" s="307" t="n"/>
      <c r="BA144" s="233" t="n"/>
      <c r="BB144" s="307" t="n"/>
      <c r="BC144" s="307" t="n"/>
      <c r="BD144" s="307" t="n"/>
      <c r="BE144" s="307" t="n"/>
      <c r="BF144" s="307" t="n"/>
      <c r="BG144" s="31" t="n"/>
      <c r="BH144" s="31" t="n"/>
      <c r="BI144" s="31" t="n"/>
      <c r="BJ144" s="31" t="n"/>
    </row>
    <row r="145" ht="15.75" customHeight="1" s="349">
      <c r="A145" s="307" t="n"/>
      <c r="B145" s="307" t="n"/>
      <c r="C145" s="307" t="n"/>
      <c r="D145" s="307" t="n"/>
      <c r="E145" s="307" t="n"/>
      <c r="F145" s="307" t="n"/>
      <c r="G145" s="307" t="n"/>
      <c r="H145" s="307" t="n"/>
      <c r="I145" s="307" t="n"/>
      <c r="J145" s="307" t="n"/>
      <c r="K145" s="307" t="n"/>
      <c r="L145" s="307" t="n"/>
      <c r="M145" s="307" t="n"/>
      <c r="N145" s="307" t="n"/>
      <c r="O145" s="307" t="n"/>
      <c r="P145" s="307" t="n"/>
      <c r="Q145" s="307" t="n"/>
      <c r="R145" s="307" t="n"/>
      <c r="S145" s="307" t="n"/>
      <c r="T145" s="307" t="n"/>
      <c r="U145" s="307" t="n"/>
      <c r="V145" s="307" t="n"/>
      <c r="W145" s="307" t="n"/>
      <c r="X145" s="307" t="n"/>
      <c r="Y145" s="307" t="n"/>
      <c r="Z145" s="307" t="n"/>
      <c r="AA145" s="307" t="n"/>
      <c r="AB145" s="307" t="n"/>
      <c r="AC145" s="307" t="n"/>
      <c r="AD145" s="307" t="n"/>
      <c r="AE145" s="307" t="n"/>
      <c r="AF145" s="307" t="n"/>
      <c r="AG145" s="307" t="n"/>
      <c r="AH145" s="307" t="n"/>
      <c r="AI145" s="307" t="n"/>
      <c r="AJ145" s="307" t="n"/>
      <c r="AK145" s="307" t="n"/>
      <c r="AL145" s="307" t="n"/>
      <c r="AM145" s="307" t="n"/>
      <c r="AN145" s="307" t="n"/>
      <c r="AO145" s="307" t="n"/>
      <c r="AP145" s="307" t="n"/>
      <c r="AQ145" s="307" t="n"/>
      <c r="AR145" s="307" t="n"/>
      <c r="AS145" s="307" t="n"/>
      <c r="AT145" s="307" t="n"/>
      <c r="AU145" s="307" t="n"/>
      <c r="AV145" s="307" t="n"/>
      <c r="AW145" s="307" t="n"/>
      <c r="AX145" s="307" t="n"/>
      <c r="AY145" s="307" t="n"/>
      <c r="AZ145" s="307" t="n"/>
      <c r="BA145" s="233" t="n"/>
      <c r="BB145" s="307" t="n"/>
      <c r="BC145" s="307" t="n"/>
      <c r="BD145" s="307" t="n"/>
      <c r="BE145" s="307" t="n"/>
      <c r="BF145" s="307" t="n"/>
      <c r="BG145" s="31" t="n"/>
      <c r="BH145" s="31" t="n"/>
      <c r="BI145" s="31" t="n"/>
      <c r="BJ145" s="31" t="n"/>
    </row>
    <row r="146" ht="15.75" customHeight="1" s="349">
      <c r="A146" s="307" t="n"/>
      <c r="B146" s="307" t="n"/>
      <c r="C146" s="307" t="n"/>
      <c r="D146" s="307" t="n"/>
      <c r="E146" s="307" t="n"/>
      <c r="F146" s="307" t="n"/>
      <c r="G146" s="307" t="n"/>
      <c r="H146" s="307" t="n"/>
      <c r="I146" s="307" t="n"/>
      <c r="J146" s="307" t="n"/>
      <c r="K146" s="307" t="n"/>
      <c r="L146" s="307" t="n"/>
      <c r="M146" s="307" t="n"/>
      <c r="N146" s="307" t="n"/>
      <c r="O146" s="307" t="n"/>
      <c r="P146" s="307" t="n"/>
      <c r="Q146" s="307" t="n"/>
      <c r="R146" s="307" t="n"/>
      <c r="S146" s="307" t="n"/>
      <c r="T146" s="307" t="n"/>
      <c r="U146" s="307" t="n"/>
      <c r="V146" s="307" t="n"/>
      <c r="W146" s="307" t="n"/>
      <c r="X146" s="307" t="n"/>
      <c r="Y146" s="307" t="n"/>
      <c r="Z146" s="307" t="n"/>
      <c r="AA146" s="307" t="n"/>
      <c r="AB146" s="307" t="n"/>
      <c r="AC146" s="307" t="n"/>
      <c r="AD146" s="307" t="n"/>
      <c r="AE146" s="307" t="n"/>
      <c r="AF146" s="307" t="n"/>
      <c r="AG146" s="307" t="n"/>
      <c r="AH146" s="307" t="n"/>
      <c r="AI146" s="307" t="n"/>
      <c r="AJ146" s="307" t="n"/>
      <c r="AK146" s="307" t="n"/>
      <c r="AL146" s="307" t="n"/>
      <c r="AM146" s="307" t="n"/>
      <c r="AN146" s="307" t="n"/>
      <c r="AO146" s="307" t="n"/>
      <c r="AP146" s="307" t="n"/>
      <c r="AQ146" s="307" t="n"/>
      <c r="AR146" s="307" t="n"/>
      <c r="AS146" s="307" t="n"/>
      <c r="AT146" s="307" t="n"/>
      <c r="AU146" s="307" t="n"/>
      <c r="AV146" s="307" t="n"/>
      <c r="AW146" s="307" t="n"/>
      <c r="AX146" s="307" t="n"/>
      <c r="AY146" s="307" t="n"/>
      <c r="AZ146" s="307" t="n"/>
      <c r="BA146" s="233" t="n"/>
      <c r="BB146" s="307" t="n"/>
      <c r="BC146" s="307" t="n"/>
      <c r="BD146" s="307" t="n"/>
      <c r="BE146" s="307" t="n"/>
      <c r="BF146" s="307" t="n"/>
      <c r="BG146" s="31" t="n"/>
      <c r="BH146" s="31" t="n"/>
      <c r="BI146" s="31" t="n"/>
      <c r="BJ146" s="31" t="n"/>
    </row>
    <row r="147" ht="15.75" customHeight="1" s="349">
      <c r="A147" s="307" t="n"/>
      <c r="B147" s="307" t="n"/>
      <c r="C147" s="307" t="n"/>
      <c r="D147" s="307" t="n"/>
      <c r="E147" s="307" t="n"/>
      <c r="F147" s="307" t="n"/>
      <c r="G147" s="307" t="n"/>
      <c r="H147" s="307" t="n"/>
      <c r="I147" s="307" t="n"/>
      <c r="J147" s="307" t="n"/>
      <c r="K147" s="307" t="n"/>
      <c r="L147" s="307" t="n"/>
      <c r="M147" s="307" t="n"/>
      <c r="N147" s="307" t="n"/>
      <c r="O147" s="307" t="n"/>
      <c r="P147" s="307" t="n"/>
      <c r="Q147" s="307" t="n"/>
      <c r="R147" s="307" t="n"/>
      <c r="S147" s="307" t="n"/>
      <c r="T147" s="307" t="n"/>
      <c r="U147" s="307" t="n"/>
      <c r="V147" s="307" t="n"/>
      <c r="W147" s="307" t="n"/>
      <c r="X147" s="307" t="n"/>
      <c r="Y147" s="307" t="n"/>
      <c r="Z147" s="307" t="n"/>
      <c r="AA147" s="307" t="n"/>
      <c r="AB147" s="307" t="n"/>
      <c r="AC147" s="307" t="n"/>
      <c r="AD147" s="307" t="n"/>
      <c r="AE147" s="307" t="n"/>
      <c r="AF147" s="307" t="n"/>
      <c r="AG147" s="307" t="n"/>
      <c r="AH147" s="307" t="n"/>
      <c r="AI147" s="307" t="n"/>
      <c r="AJ147" s="307" t="n"/>
      <c r="AK147" s="307" t="n"/>
      <c r="AL147" s="307" t="n"/>
      <c r="AM147" s="307" t="n"/>
      <c r="AN147" s="307" t="n"/>
      <c r="AO147" s="307" t="n"/>
      <c r="AP147" s="307" t="n"/>
      <c r="AQ147" s="307" t="n"/>
      <c r="AR147" s="307" t="n"/>
      <c r="AS147" s="307" t="n"/>
      <c r="AT147" s="307" t="n"/>
      <c r="AU147" s="307" t="n"/>
      <c r="AV147" s="307" t="n"/>
      <c r="AW147" s="307" t="n"/>
      <c r="AX147" s="307" t="n"/>
      <c r="AY147" s="307" t="n"/>
      <c r="AZ147" s="307" t="n"/>
      <c r="BA147" s="233" t="n"/>
      <c r="BB147" s="307" t="n"/>
      <c r="BC147" s="307" t="n"/>
      <c r="BD147" s="307" t="n"/>
      <c r="BE147" s="307" t="n"/>
      <c r="BF147" s="307" t="n"/>
      <c r="BG147" s="31" t="n"/>
      <c r="BH147" s="31" t="n"/>
      <c r="BI147" s="31" t="n"/>
      <c r="BJ147" s="31" t="n"/>
    </row>
    <row r="148" ht="15.75" customHeight="1" s="349">
      <c r="A148" s="307" t="n"/>
      <c r="B148" s="307" t="n"/>
      <c r="C148" s="307" t="n"/>
      <c r="D148" s="307" t="n"/>
      <c r="E148" s="307" t="n"/>
      <c r="F148" s="307" t="n"/>
      <c r="G148" s="307" t="n"/>
      <c r="H148" s="307" t="n"/>
      <c r="I148" s="307" t="n"/>
      <c r="J148" s="307" t="n"/>
      <c r="K148" s="307" t="n"/>
      <c r="L148" s="307" t="n"/>
      <c r="M148" s="307" t="n"/>
      <c r="N148" s="307" t="n"/>
      <c r="O148" s="307" t="n"/>
      <c r="P148" s="307" t="n"/>
      <c r="Q148" s="307" t="n"/>
      <c r="R148" s="307" t="n"/>
      <c r="S148" s="307" t="n"/>
      <c r="T148" s="307" t="n"/>
      <c r="U148" s="307" t="n"/>
      <c r="V148" s="307" t="n"/>
      <c r="W148" s="307" t="n"/>
      <c r="X148" s="307" t="n"/>
      <c r="Y148" s="307" t="n"/>
      <c r="Z148" s="307" t="n"/>
      <c r="AA148" s="307" t="n"/>
      <c r="AB148" s="307" t="n"/>
      <c r="AC148" s="307" t="n"/>
      <c r="AD148" s="307" t="n"/>
      <c r="AE148" s="307" t="n"/>
      <c r="AF148" s="307" t="n"/>
      <c r="AG148" s="307" t="n"/>
      <c r="AH148" s="307" t="n"/>
      <c r="AI148" s="307" t="n"/>
      <c r="AJ148" s="307" t="n"/>
      <c r="AK148" s="307" t="n"/>
      <c r="AL148" s="307" t="n"/>
      <c r="AM148" s="307" t="n"/>
      <c r="AN148" s="307" t="n"/>
      <c r="AO148" s="307" t="n"/>
      <c r="AP148" s="307" t="n"/>
      <c r="AQ148" s="307" t="n"/>
      <c r="AR148" s="307" t="n"/>
      <c r="AS148" s="307" t="n"/>
      <c r="AT148" s="307" t="n"/>
      <c r="AU148" s="307" t="n"/>
      <c r="AV148" s="307" t="n"/>
      <c r="AW148" s="307" t="n"/>
      <c r="AX148" s="307" t="n"/>
      <c r="AY148" s="307" t="n"/>
      <c r="AZ148" s="307" t="n"/>
      <c r="BA148" s="233" t="n"/>
      <c r="BB148" s="307" t="n"/>
      <c r="BC148" s="307" t="n"/>
      <c r="BD148" s="307" t="n"/>
      <c r="BE148" s="307" t="n"/>
      <c r="BF148" s="307" t="n"/>
      <c r="BG148" s="31" t="n"/>
      <c r="BH148" s="31" t="n"/>
      <c r="BI148" s="31" t="n"/>
      <c r="BJ148" s="31" t="n"/>
    </row>
    <row r="149" ht="15.75" customHeight="1" s="349">
      <c r="A149" s="307" t="n"/>
      <c r="B149" s="307" t="n"/>
      <c r="C149" s="307" t="n"/>
      <c r="D149" s="307" t="n"/>
      <c r="E149" s="307" t="n"/>
      <c r="F149" s="307" t="n"/>
      <c r="G149" s="307" t="n"/>
      <c r="H149" s="307" t="n"/>
      <c r="I149" s="307" t="n"/>
      <c r="J149" s="307" t="n"/>
      <c r="K149" s="307" t="n"/>
      <c r="L149" s="307" t="n"/>
      <c r="M149" s="307" t="n"/>
      <c r="N149" s="307" t="n"/>
      <c r="O149" s="307" t="n"/>
      <c r="P149" s="307" t="n"/>
      <c r="Q149" s="307" t="n"/>
      <c r="R149" s="307" t="n"/>
      <c r="S149" s="307" t="n"/>
      <c r="T149" s="307" t="n"/>
      <c r="U149" s="307" t="n"/>
      <c r="V149" s="307" t="n"/>
      <c r="W149" s="307" t="n"/>
      <c r="X149" s="307" t="n"/>
      <c r="Y149" s="307" t="n"/>
      <c r="Z149" s="307" t="n"/>
      <c r="AA149" s="307" t="n"/>
      <c r="AB149" s="307" t="n"/>
      <c r="AC149" s="307" t="n"/>
      <c r="AD149" s="307" t="n"/>
      <c r="AE149" s="307" t="n"/>
      <c r="AF149" s="307" t="n"/>
      <c r="AG149" s="307" t="n"/>
      <c r="AH149" s="307" t="n"/>
      <c r="AI149" s="307" t="n"/>
      <c r="AJ149" s="307" t="n"/>
      <c r="AK149" s="307" t="n"/>
      <c r="AL149" s="307" t="n"/>
      <c r="AM149" s="307" t="n"/>
      <c r="AN149" s="307" t="n"/>
      <c r="AO149" s="307" t="n"/>
      <c r="AP149" s="307" t="n"/>
      <c r="AQ149" s="307" t="n"/>
      <c r="AR149" s="307" t="n"/>
      <c r="AS149" s="307" t="n"/>
      <c r="AT149" s="307" t="n"/>
      <c r="AU149" s="307" t="n"/>
      <c r="AV149" s="307" t="n"/>
      <c r="AW149" s="307" t="n"/>
      <c r="AX149" s="307" t="n"/>
      <c r="AY149" s="307" t="n"/>
      <c r="AZ149" s="307" t="n"/>
      <c r="BA149" s="233" t="n"/>
      <c r="BB149" s="307" t="n"/>
      <c r="BC149" s="307" t="n"/>
      <c r="BD149" s="307" t="n"/>
      <c r="BE149" s="307" t="n"/>
      <c r="BF149" s="307" t="n"/>
      <c r="BG149" s="31" t="n"/>
      <c r="BH149" s="31" t="n"/>
      <c r="BI149" s="31" t="n"/>
      <c r="BJ149" s="31" t="n"/>
    </row>
    <row r="150" ht="15.75" customHeight="1" s="349">
      <c r="A150" s="307" t="n"/>
      <c r="B150" s="307" t="n"/>
      <c r="C150" s="307" t="n"/>
      <c r="D150" s="307" t="n"/>
      <c r="E150" s="307" t="n"/>
      <c r="F150" s="307" t="n"/>
      <c r="G150" s="307" t="n"/>
      <c r="H150" s="307" t="n"/>
      <c r="I150" s="307" t="n"/>
      <c r="J150" s="307" t="n"/>
      <c r="K150" s="307" t="n"/>
      <c r="L150" s="307" t="n"/>
      <c r="M150" s="307" t="n"/>
      <c r="N150" s="307" t="n"/>
      <c r="O150" s="307" t="n"/>
      <c r="P150" s="307" t="n"/>
      <c r="Q150" s="307" t="n"/>
      <c r="R150" s="307" t="n"/>
      <c r="S150" s="307" t="n"/>
      <c r="T150" s="307" t="n"/>
      <c r="U150" s="307" t="n"/>
      <c r="V150" s="307" t="n"/>
      <c r="W150" s="307" t="n"/>
      <c r="X150" s="307" t="n"/>
      <c r="Y150" s="307" t="n"/>
      <c r="Z150" s="307" t="n"/>
      <c r="AA150" s="307" t="n"/>
      <c r="AB150" s="307" t="n"/>
      <c r="AC150" s="307" t="n"/>
      <c r="AD150" s="307" t="n"/>
      <c r="AE150" s="307" t="n"/>
      <c r="AF150" s="307" t="n"/>
      <c r="AG150" s="307" t="n"/>
      <c r="AH150" s="307" t="n"/>
      <c r="AI150" s="307" t="n"/>
      <c r="AJ150" s="307" t="n"/>
      <c r="AK150" s="307" t="n"/>
      <c r="AL150" s="307" t="n"/>
      <c r="AM150" s="307" t="n"/>
      <c r="AN150" s="307" t="n"/>
      <c r="AO150" s="307" t="n"/>
      <c r="AP150" s="307" t="n"/>
      <c r="AQ150" s="307" t="n"/>
      <c r="AR150" s="307" t="n"/>
      <c r="AS150" s="307" t="n"/>
      <c r="AT150" s="307" t="n"/>
      <c r="AU150" s="307" t="n"/>
      <c r="AV150" s="307" t="n"/>
      <c r="AW150" s="307" t="n"/>
      <c r="AX150" s="307" t="n"/>
      <c r="AY150" s="307" t="n"/>
      <c r="AZ150" s="307" t="n"/>
      <c r="BA150" s="233" t="n"/>
      <c r="BB150" s="307" t="n"/>
      <c r="BC150" s="307" t="n"/>
      <c r="BD150" s="307" t="n"/>
      <c r="BE150" s="307" t="n"/>
      <c r="BF150" s="307" t="n"/>
      <c r="BG150" s="31" t="n"/>
      <c r="BH150" s="31" t="n"/>
      <c r="BI150" s="31" t="n"/>
      <c r="BJ150" s="31" t="n"/>
    </row>
    <row r="151" ht="15.75" customHeight="1" s="349">
      <c r="A151" s="307" t="n"/>
      <c r="B151" s="307" t="n"/>
      <c r="C151" s="307" t="n"/>
      <c r="D151" s="307" t="n"/>
      <c r="E151" s="307" t="n"/>
      <c r="F151" s="307" t="n"/>
      <c r="G151" s="307" t="n"/>
      <c r="H151" s="307" t="n"/>
      <c r="I151" s="307" t="n"/>
      <c r="J151" s="307" t="n"/>
      <c r="K151" s="307" t="n"/>
      <c r="L151" s="307" t="n"/>
      <c r="M151" s="307" t="n"/>
      <c r="N151" s="307" t="n"/>
      <c r="O151" s="307" t="n"/>
      <c r="P151" s="307" t="n"/>
      <c r="Q151" s="307" t="n"/>
      <c r="R151" s="307" t="n"/>
      <c r="S151" s="307" t="n"/>
      <c r="T151" s="307" t="n"/>
      <c r="U151" s="307" t="n"/>
      <c r="V151" s="307" t="n"/>
      <c r="W151" s="307" t="n"/>
      <c r="X151" s="307" t="n"/>
      <c r="Y151" s="307" t="n"/>
      <c r="Z151" s="307" t="n"/>
      <c r="AA151" s="307" t="n"/>
      <c r="AB151" s="307" t="n"/>
      <c r="AC151" s="307" t="n"/>
      <c r="AD151" s="307" t="n"/>
      <c r="AE151" s="307" t="n"/>
      <c r="AF151" s="307" t="n"/>
      <c r="AG151" s="307" t="n"/>
      <c r="AH151" s="307" t="n"/>
      <c r="AI151" s="307" t="n"/>
      <c r="AJ151" s="307" t="n"/>
      <c r="AK151" s="307" t="n"/>
      <c r="AL151" s="307" t="n"/>
      <c r="AM151" s="307" t="n"/>
      <c r="AN151" s="307" t="n"/>
      <c r="AO151" s="307" t="n"/>
      <c r="AP151" s="307" t="n"/>
      <c r="AQ151" s="307" t="n"/>
      <c r="AR151" s="307" t="n"/>
      <c r="AS151" s="307" t="n"/>
      <c r="AT151" s="307" t="n"/>
      <c r="AU151" s="307" t="n"/>
      <c r="AV151" s="307" t="n"/>
      <c r="AW151" s="307" t="n"/>
      <c r="AX151" s="307" t="n"/>
      <c r="AY151" s="307" t="n"/>
      <c r="AZ151" s="307" t="n"/>
      <c r="BA151" s="233" t="n"/>
      <c r="BB151" s="307" t="n"/>
      <c r="BC151" s="307" t="n"/>
      <c r="BD151" s="307" t="n"/>
      <c r="BE151" s="307" t="n"/>
      <c r="BF151" s="307" t="n"/>
      <c r="BG151" s="31" t="n"/>
      <c r="BH151" s="31" t="n"/>
      <c r="BI151" s="31" t="n"/>
      <c r="BJ151" s="31" t="n"/>
    </row>
    <row r="152" ht="15.75" customHeight="1" s="349">
      <c r="A152" s="307" t="n"/>
      <c r="B152" s="307" t="n"/>
      <c r="C152" s="307" t="n"/>
      <c r="D152" s="307" t="n"/>
      <c r="E152" s="307" t="n"/>
      <c r="F152" s="307" t="n"/>
      <c r="G152" s="307" t="n"/>
      <c r="H152" s="307" t="n"/>
      <c r="I152" s="307" t="n"/>
      <c r="J152" s="307" t="n"/>
      <c r="K152" s="307" t="n"/>
      <c r="L152" s="307" t="n"/>
      <c r="M152" s="307" t="n"/>
      <c r="N152" s="307" t="n"/>
      <c r="O152" s="307" t="n"/>
      <c r="P152" s="307" t="n"/>
      <c r="Q152" s="307" t="n"/>
      <c r="R152" s="307" t="n"/>
      <c r="S152" s="307" t="n"/>
      <c r="T152" s="307" t="n"/>
      <c r="U152" s="307" t="n"/>
      <c r="V152" s="307" t="n"/>
      <c r="W152" s="307" t="n"/>
      <c r="X152" s="307" t="n"/>
      <c r="Y152" s="307" t="n"/>
      <c r="Z152" s="307" t="n"/>
      <c r="AA152" s="307" t="n"/>
      <c r="AB152" s="307" t="n"/>
      <c r="AC152" s="307" t="n"/>
      <c r="AD152" s="307" t="n"/>
      <c r="AE152" s="307" t="n"/>
      <c r="AF152" s="307" t="n"/>
      <c r="AG152" s="307" t="n"/>
      <c r="AH152" s="307" t="n"/>
      <c r="AI152" s="307" t="n"/>
      <c r="AJ152" s="307" t="n"/>
      <c r="AK152" s="307" t="n"/>
      <c r="AL152" s="307" t="n"/>
      <c r="AM152" s="307" t="n"/>
      <c r="AN152" s="307" t="n"/>
      <c r="AO152" s="307" t="n"/>
      <c r="AP152" s="307" t="n"/>
      <c r="AQ152" s="307" t="n"/>
      <c r="AR152" s="307" t="n"/>
      <c r="AS152" s="307" t="n"/>
      <c r="AT152" s="307" t="n"/>
      <c r="AU152" s="307" t="n"/>
      <c r="AV152" s="307" t="n"/>
      <c r="AW152" s="307" t="n"/>
      <c r="AX152" s="307" t="n"/>
      <c r="AY152" s="307" t="n"/>
      <c r="AZ152" s="307" t="n"/>
      <c r="BA152" s="233" t="n"/>
      <c r="BB152" s="307" t="n"/>
      <c r="BC152" s="307" t="n"/>
      <c r="BD152" s="307" t="n"/>
      <c r="BE152" s="307" t="n"/>
      <c r="BF152" s="307" t="n"/>
      <c r="BG152" s="31" t="n"/>
      <c r="BH152" s="31" t="n"/>
      <c r="BI152" s="31" t="n"/>
      <c r="BJ152" s="31" t="n"/>
    </row>
    <row r="153" ht="15.75" customHeight="1" s="349">
      <c r="A153" s="307" t="n"/>
      <c r="B153" s="307" t="n"/>
      <c r="C153" s="307" t="n"/>
      <c r="D153" s="307" t="n"/>
      <c r="E153" s="307" t="n"/>
      <c r="F153" s="307" t="n"/>
      <c r="G153" s="307" t="n"/>
      <c r="H153" s="307" t="n"/>
      <c r="I153" s="307" t="n"/>
      <c r="J153" s="307" t="n"/>
      <c r="K153" s="307" t="n"/>
      <c r="L153" s="307" t="n"/>
      <c r="M153" s="307" t="n"/>
      <c r="N153" s="307" t="n"/>
      <c r="O153" s="307" t="n"/>
      <c r="P153" s="307" t="n"/>
      <c r="Q153" s="307" t="n"/>
      <c r="R153" s="307" t="n"/>
      <c r="S153" s="307" t="n"/>
      <c r="T153" s="307" t="n"/>
      <c r="U153" s="307" t="n"/>
      <c r="V153" s="307" t="n"/>
      <c r="W153" s="307" t="n"/>
      <c r="X153" s="307" t="n"/>
      <c r="Y153" s="307" t="n"/>
      <c r="Z153" s="307" t="n"/>
      <c r="AA153" s="307" t="n"/>
      <c r="AB153" s="307" t="n"/>
      <c r="AC153" s="307" t="n"/>
      <c r="AD153" s="307" t="n"/>
      <c r="AE153" s="307" t="n"/>
      <c r="AF153" s="307" t="n"/>
      <c r="AG153" s="307" t="n"/>
      <c r="AH153" s="307" t="n"/>
      <c r="AI153" s="307" t="n"/>
      <c r="AJ153" s="307" t="n"/>
      <c r="AK153" s="307" t="n"/>
      <c r="AL153" s="307" t="n"/>
      <c r="AM153" s="307" t="n"/>
      <c r="AN153" s="307" t="n"/>
      <c r="AO153" s="307" t="n"/>
      <c r="AP153" s="307" t="n"/>
      <c r="AQ153" s="307" t="n"/>
      <c r="AR153" s="307" t="n"/>
      <c r="AS153" s="307" t="n"/>
      <c r="AT153" s="307" t="n"/>
      <c r="AU153" s="307" t="n"/>
      <c r="AV153" s="307" t="n"/>
      <c r="AW153" s="307" t="n"/>
      <c r="AX153" s="307" t="n"/>
      <c r="AY153" s="307" t="n"/>
      <c r="AZ153" s="307" t="n"/>
      <c r="BA153" s="233" t="n"/>
      <c r="BB153" s="307" t="n"/>
      <c r="BC153" s="307" t="n"/>
      <c r="BD153" s="307" t="n"/>
      <c r="BE153" s="307" t="n"/>
      <c r="BF153" s="307" t="n"/>
      <c r="BG153" s="31" t="n"/>
      <c r="BH153" s="31" t="n"/>
      <c r="BI153" s="31" t="n"/>
      <c r="BJ153" s="31" t="n"/>
    </row>
    <row r="154" ht="15.75" customHeight="1" s="349">
      <c r="A154" s="307" t="n"/>
      <c r="B154" s="307" t="n"/>
      <c r="C154" s="307" t="n"/>
      <c r="D154" s="307" t="n"/>
      <c r="E154" s="307" t="n"/>
      <c r="F154" s="307" t="n"/>
      <c r="G154" s="307" t="n"/>
      <c r="H154" s="307" t="n"/>
      <c r="I154" s="307" t="n"/>
      <c r="J154" s="307" t="n"/>
      <c r="K154" s="307" t="n"/>
      <c r="L154" s="307" t="n"/>
      <c r="M154" s="307" t="n"/>
      <c r="N154" s="307" t="n"/>
      <c r="O154" s="307" t="n"/>
      <c r="P154" s="307" t="n"/>
      <c r="Q154" s="307" t="n"/>
      <c r="R154" s="307" t="n"/>
      <c r="S154" s="307" t="n"/>
      <c r="T154" s="307" t="n"/>
      <c r="U154" s="307" t="n"/>
      <c r="V154" s="307" t="n"/>
      <c r="W154" s="307" t="n"/>
      <c r="X154" s="307" t="n"/>
      <c r="Y154" s="307" t="n"/>
      <c r="Z154" s="307" t="n"/>
      <c r="AA154" s="307" t="n"/>
      <c r="AB154" s="307" t="n"/>
      <c r="AC154" s="307" t="n"/>
      <c r="AD154" s="307" t="n"/>
      <c r="AE154" s="307" t="n"/>
      <c r="AF154" s="307" t="n"/>
      <c r="AG154" s="307" t="n"/>
      <c r="AH154" s="307" t="n"/>
      <c r="AI154" s="307" t="n"/>
      <c r="AJ154" s="307" t="n"/>
      <c r="AK154" s="307" t="n"/>
      <c r="AL154" s="307" t="n"/>
      <c r="AM154" s="307" t="n"/>
      <c r="AN154" s="307" t="n"/>
      <c r="AO154" s="307" t="n"/>
      <c r="AP154" s="307" t="n"/>
      <c r="AQ154" s="307" t="n"/>
      <c r="AR154" s="307" t="n"/>
      <c r="AS154" s="307" t="n"/>
      <c r="AT154" s="307" t="n"/>
      <c r="AU154" s="307" t="n"/>
      <c r="AV154" s="307" t="n"/>
      <c r="AW154" s="307" t="n"/>
      <c r="AX154" s="307" t="n"/>
      <c r="AY154" s="307" t="n"/>
      <c r="AZ154" s="307" t="n"/>
      <c r="BA154" s="233" t="n"/>
      <c r="BB154" s="307" t="n"/>
      <c r="BC154" s="307" t="n"/>
      <c r="BD154" s="307" t="n"/>
      <c r="BE154" s="307" t="n"/>
      <c r="BF154" s="307" t="n"/>
      <c r="BG154" s="31" t="n"/>
      <c r="BH154" s="31" t="n"/>
      <c r="BI154" s="31" t="n"/>
      <c r="BJ154" s="31" t="n"/>
    </row>
    <row r="155" ht="15.75" customHeight="1" s="349">
      <c r="A155" s="307" t="n"/>
      <c r="B155" s="307" t="n"/>
      <c r="C155" s="307" t="n"/>
      <c r="D155" s="307" t="n"/>
      <c r="E155" s="307" t="n"/>
      <c r="F155" s="307" t="n"/>
      <c r="G155" s="307" t="n"/>
      <c r="H155" s="307" t="n"/>
      <c r="I155" s="307" t="n"/>
      <c r="J155" s="307" t="n"/>
      <c r="K155" s="307" t="n"/>
      <c r="L155" s="307" t="n"/>
      <c r="M155" s="307" t="n"/>
      <c r="N155" s="307" t="n"/>
      <c r="O155" s="307" t="n"/>
      <c r="P155" s="307" t="n"/>
      <c r="Q155" s="307" t="n"/>
      <c r="R155" s="307" t="n"/>
      <c r="S155" s="307" t="n"/>
      <c r="T155" s="307" t="n"/>
      <c r="U155" s="307" t="n"/>
      <c r="V155" s="307" t="n"/>
      <c r="W155" s="307" t="n"/>
      <c r="X155" s="307" t="n"/>
      <c r="Y155" s="307" t="n"/>
      <c r="Z155" s="307" t="n"/>
      <c r="AA155" s="307" t="n"/>
      <c r="AB155" s="307" t="n"/>
      <c r="AC155" s="307" t="n"/>
      <c r="AD155" s="307" t="n"/>
      <c r="AE155" s="307" t="n"/>
      <c r="AF155" s="307" t="n"/>
      <c r="AG155" s="307" t="n"/>
      <c r="AH155" s="307" t="n"/>
      <c r="AI155" s="307" t="n"/>
      <c r="AJ155" s="307" t="n"/>
      <c r="AK155" s="307" t="n"/>
      <c r="AL155" s="307" t="n"/>
      <c r="AM155" s="307" t="n"/>
      <c r="AN155" s="307" t="n"/>
      <c r="AO155" s="307" t="n"/>
      <c r="AP155" s="307" t="n"/>
      <c r="AQ155" s="307" t="n"/>
      <c r="AR155" s="307" t="n"/>
      <c r="AS155" s="307" t="n"/>
      <c r="AT155" s="307" t="n"/>
      <c r="AU155" s="307" t="n"/>
      <c r="AV155" s="307" t="n"/>
      <c r="AW155" s="307" t="n"/>
      <c r="AX155" s="307" t="n"/>
      <c r="AY155" s="307" t="n"/>
      <c r="AZ155" s="307" t="n"/>
      <c r="BA155" s="233" t="n"/>
      <c r="BB155" s="307" t="n"/>
      <c r="BC155" s="307" t="n"/>
      <c r="BD155" s="307" t="n"/>
      <c r="BE155" s="307" t="n"/>
      <c r="BF155" s="307" t="n"/>
      <c r="BG155" s="31" t="n"/>
      <c r="BH155" s="31" t="n"/>
      <c r="BI155" s="31" t="n"/>
      <c r="BJ155" s="31" t="n"/>
    </row>
    <row r="156" ht="15.75" customHeight="1" s="349">
      <c r="A156" s="307" t="n"/>
      <c r="B156" s="307" t="n"/>
      <c r="C156" s="307" t="n"/>
      <c r="D156" s="307" t="n"/>
      <c r="E156" s="307" t="n"/>
      <c r="F156" s="307" t="n"/>
      <c r="G156" s="307" t="n"/>
      <c r="H156" s="307" t="n"/>
      <c r="I156" s="307" t="n"/>
      <c r="J156" s="307" t="n"/>
      <c r="K156" s="307" t="n"/>
      <c r="L156" s="307" t="n"/>
      <c r="M156" s="307" t="n"/>
      <c r="N156" s="307" t="n"/>
      <c r="O156" s="307" t="n"/>
      <c r="P156" s="307" t="n"/>
      <c r="Q156" s="307" t="n"/>
      <c r="R156" s="307" t="n"/>
      <c r="S156" s="307" t="n"/>
      <c r="T156" s="307" t="n"/>
      <c r="U156" s="307" t="n"/>
      <c r="V156" s="307" t="n"/>
      <c r="W156" s="307" t="n"/>
      <c r="X156" s="307" t="n"/>
      <c r="Y156" s="307" t="n"/>
      <c r="Z156" s="307" t="n"/>
      <c r="AA156" s="307" t="n"/>
      <c r="AB156" s="307" t="n"/>
      <c r="AC156" s="307" t="n"/>
      <c r="AD156" s="307" t="n"/>
      <c r="AE156" s="307" t="n"/>
      <c r="AF156" s="307" t="n"/>
      <c r="AG156" s="307" t="n"/>
      <c r="AH156" s="307" t="n"/>
      <c r="AI156" s="307" t="n"/>
      <c r="AJ156" s="307" t="n"/>
      <c r="AK156" s="307" t="n"/>
      <c r="AL156" s="307" t="n"/>
      <c r="AM156" s="307" t="n"/>
      <c r="AN156" s="307" t="n"/>
      <c r="AO156" s="307" t="n"/>
      <c r="AP156" s="307" t="n"/>
      <c r="AQ156" s="307" t="n"/>
      <c r="AR156" s="307" t="n"/>
      <c r="AS156" s="307" t="n"/>
      <c r="AT156" s="307" t="n"/>
      <c r="AU156" s="307" t="n"/>
      <c r="AV156" s="307" t="n"/>
      <c r="AW156" s="307" t="n"/>
      <c r="AX156" s="307" t="n"/>
      <c r="AY156" s="307" t="n"/>
      <c r="AZ156" s="307" t="n"/>
      <c r="BA156" s="233" t="n"/>
      <c r="BB156" s="307" t="n"/>
      <c r="BC156" s="307" t="n"/>
      <c r="BD156" s="307" t="n"/>
      <c r="BE156" s="307" t="n"/>
      <c r="BF156" s="307" t="n"/>
      <c r="BG156" s="31" t="n"/>
      <c r="BH156" s="31" t="n"/>
      <c r="BI156" s="31" t="n"/>
      <c r="BJ156" s="31" t="n"/>
    </row>
    <row r="157" ht="15.75" customHeight="1" s="349">
      <c r="A157" s="307" t="n"/>
      <c r="B157" s="307" t="n"/>
      <c r="C157" s="307" t="n"/>
      <c r="D157" s="307" t="n"/>
      <c r="E157" s="307" t="n"/>
      <c r="F157" s="307" t="n"/>
      <c r="G157" s="307" t="n"/>
      <c r="H157" s="307" t="n"/>
      <c r="I157" s="307" t="n"/>
      <c r="J157" s="307" t="n"/>
      <c r="K157" s="307" t="n"/>
      <c r="L157" s="307" t="n"/>
      <c r="M157" s="307" t="n"/>
      <c r="N157" s="307" t="n"/>
      <c r="O157" s="307" t="n"/>
      <c r="P157" s="307" t="n"/>
      <c r="Q157" s="307" t="n"/>
      <c r="R157" s="307" t="n"/>
      <c r="S157" s="307" t="n"/>
      <c r="T157" s="307" t="n"/>
      <c r="U157" s="307" t="n"/>
      <c r="V157" s="307" t="n"/>
      <c r="W157" s="307" t="n"/>
      <c r="X157" s="307" t="n"/>
      <c r="Y157" s="307" t="n"/>
      <c r="Z157" s="307" t="n"/>
      <c r="AA157" s="307" t="n"/>
      <c r="AB157" s="307" t="n"/>
      <c r="AC157" s="307" t="n"/>
      <c r="AD157" s="307" t="n"/>
      <c r="AE157" s="307" t="n"/>
      <c r="AF157" s="307" t="n"/>
      <c r="AG157" s="307" t="n"/>
      <c r="AH157" s="307" t="n"/>
      <c r="AI157" s="307" t="n"/>
      <c r="AJ157" s="307" t="n"/>
      <c r="AK157" s="307" t="n"/>
      <c r="AL157" s="307" t="n"/>
      <c r="AM157" s="307" t="n"/>
      <c r="AN157" s="307" t="n"/>
      <c r="AO157" s="307" t="n"/>
      <c r="AP157" s="307" t="n"/>
      <c r="AQ157" s="307" t="n"/>
      <c r="AR157" s="307" t="n"/>
      <c r="AS157" s="307" t="n"/>
      <c r="AT157" s="307" t="n"/>
      <c r="AU157" s="307" t="n"/>
      <c r="AV157" s="307" t="n"/>
      <c r="AW157" s="307" t="n"/>
      <c r="AX157" s="307" t="n"/>
      <c r="AY157" s="307" t="n"/>
      <c r="AZ157" s="307" t="n"/>
      <c r="BA157" s="233" t="n"/>
      <c r="BB157" s="307" t="n"/>
      <c r="BC157" s="307" t="n"/>
      <c r="BD157" s="307" t="n"/>
      <c r="BE157" s="307" t="n"/>
      <c r="BF157" s="307" t="n"/>
      <c r="BG157" s="31" t="n"/>
      <c r="BH157" s="31" t="n"/>
      <c r="BI157" s="31" t="n"/>
      <c r="BJ157" s="31" t="n"/>
    </row>
    <row r="158" ht="15.75" customHeight="1" s="349">
      <c r="A158" s="307" t="n"/>
      <c r="B158" s="307" t="n"/>
      <c r="C158" s="307" t="n"/>
      <c r="D158" s="307" t="n"/>
      <c r="E158" s="307" t="n"/>
      <c r="F158" s="307" t="n"/>
      <c r="G158" s="307" t="n"/>
      <c r="H158" s="307" t="n"/>
      <c r="I158" s="307" t="n"/>
      <c r="J158" s="307" t="n"/>
      <c r="K158" s="307" t="n"/>
      <c r="L158" s="307" t="n"/>
      <c r="M158" s="307" t="n"/>
      <c r="N158" s="307" t="n"/>
      <c r="O158" s="307" t="n"/>
      <c r="P158" s="307" t="n"/>
      <c r="Q158" s="307" t="n"/>
      <c r="R158" s="307" t="n"/>
      <c r="S158" s="307" t="n"/>
      <c r="T158" s="307" t="n"/>
      <c r="U158" s="307" t="n"/>
      <c r="V158" s="307" t="n"/>
      <c r="W158" s="307" t="n"/>
      <c r="X158" s="307" t="n"/>
      <c r="Y158" s="307" t="n"/>
      <c r="Z158" s="307" t="n"/>
      <c r="AA158" s="307" t="n"/>
      <c r="AB158" s="307" t="n"/>
      <c r="AC158" s="307" t="n"/>
      <c r="AD158" s="307" t="n"/>
      <c r="AE158" s="307" t="n"/>
      <c r="AF158" s="307" t="n"/>
      <c r="AG158" s="307" t="n"/>
      <c r="AH158" s="307" t="n"/>
      <c r="AI158" s="307" t="n"/>
      <c r="AJ158" s="307" t="n"/>
      <c r="AK158" s="307" t="n"/>
      <c r="AL158" s="307" t="n"/>
      <c r="AM158" s="307" t="n"/>
      <c r="AN158" s="307" t="n"/>
      <c r="AO158" s="307" t="n"/>
      <c r="AP158" s="307" t="n"/>
      <c r="AQ158" s="307" t="n"/>
      <c r="AR158" s="307" t="n"/>
      <c r="AS158" s="307" t="n"/>
      <c r="AT158" s="307" t="n"/>
      <c r="AU158" s="307" t="n"/>
      <c r="AV158" s="307" t="n"/>
      <c r="AW158" s="307" t="n"/>
      <c r="AX158" s="307" t="n"/>
      <c r="AY158" s="307" t="n"/>
      <c r="AZ158" s="307" t="n"/>
      <c r="BA158" s="233" t="n"/>
      <c r="BB158" s="307" t="n"/>
      <c r="BC158" s="307" t="n"/>
      <c r="BD158" s="307" t="n"/>
      <c r="BE158" s="307" t="n"/>
      <c r="BF158" s="307" t="n"/>
      <c r="BG158" s="31" t="n"/>
      <c r="BH158" s="31" t="n"/>
      <c r="BI158" s="31" t="n"/>
      <c r="BJ158" s="31" t="n"/>
    </row>
    <row r="159" ht="15.75" customHeight="1" s="349">
      <c r="A159" s="307" t="n"/>
      <c r="B159" s="307" t="n"/>
      <c r="C159" s="307" t="n"/>
      <c r="D159" s="307" t="n"/>
      <c r="E159" s="307" t="n"/>
      <c r="F159" s="307" t="n"/>
      <c r="G159" s="307" t="n"/>
      <c r="H159" s="307" t="n"/>
      <c r="I159" s="307" t="n"/>
      <c r="J159" s="307" t="n"/>
      <c r="K159" s="307" t="n"/>
      <c r="L159" s="307" t="n"/>
      <c r="M159" s="307" t="n"/>
      <c r="N159" s="307" t="n"/>
      <c r="O159" s="307" t="n"/>
      <c r="P159" s="307" t="n"/>
      <c r="Q159" s="307" t="n"/>
      <c r="R159" s="307" t="n"/>
      <c r="S159" s="307" t="n"/>
      <c r="T159" s="307" t="n"/>
      <c r="U159" s="307" t="n"/>
      <c r="V159" s="307" t="n"/>
      <c r="W159" s="307" t="n"/>
      <c r="X159" s="307" t="n"/>
      <c r="Y159" s="307" t="n"/>
      <c r="Z159" s="307" t="n"/>
      <c r="AA159" s="307" t="n"/>
      <c r="AB159" s="307" t="n"/>
      <c r="AC159" s="307" t="n"/>
      <c r="AD159" s="307" t="n"/>
      <c r="AE159" s="307" t="n"/>
      <c r="AF159" s="307" t="n"/>
      <c r="AG159" s="307" t="n"/>
      <c r="AH159" s="307" t="n"/>
      <c r="AI159" s="307" t="n"/>
      <c r="AJ159" s="307" t="n"/>
      <c r="AK159" s="307" t="n"/>
      <c r="AL159" s="307" t="n"/>
      <c r="AM159" s="307" t="n"/>
      <c r="AN159" s="307" t="n"/>
      <c r="AO159" s="307" t="n"/>
      <c r="AP159" s="307" t="n"/>
      <c r="AQ159" s="307" t="n"/>
      <c r="AR159" s="307" t="n"/>
      <c r="AS159" s="307" t="n"/>
      <c r="AT159" s="307" t="n"/>
      <c r="AU159" s="307" t="n"/>
      <c r="AV159" s="307" t="n"/>
      <c r="AW159" s="307" t="n"/>
      <c r="AX159" s="307" t="n"/>
      <c r="AY159" s="307" t="n"/>
      <c r="AZ159" s="307" t="n"/>
      <c r="BA159" s="233" t="n"/>
      <c r="BB159" s="307" t="n"/>
      <c r="BC159" s="307" t="n"/>
      <c r="BD159" s="307" t="n"/>
      <c r="BE159" s="307" t="n"/>
      <c r="BF159" s="307" t="n"/>
      <c r="BG159" s="31" t="n"/>
      <c r="BH159" s="31" t="n"/>
      <c r="BI159" s="31" t="n"/>
      <c r="BJ159" s="31" t="n"/>
    </row>
    <row r="160" ht="15.75" customHeight="1" s="349">
      <c r="A160" s="307" t="n"/>
      <c r="B160" s="307" t="n"/>
      <c r="C160" s="307" t="n"/>
      <c r="D160" s="307" t="n"/>
      <c r="E160" s="307" t="n"/>
      <c r="F160" s="307" t="n"/>
      <c r="G160" s="307" t="n"/>
      <c r="H160" s="307" t="n"/>
      <c r="I160" s="307" t="n"/>
      <c r="J160" s="307" t="n"/>
      <c r="K160" s="307" t="n"/>
      <c r="L160" s="307" t="n"/>
      <c r="M160" s="307" t="n"/>
      <c r="N160" s="307" t="n"/>
      <c r="O160" s="307" t="n"/>
      <c r="P160" s="307" t="n"/>
      <c r="Q160" s="307" t="n"/>
      <c r="R160" s="307" t="n"/>
      <c r="S160" s="307" t="n"/>
      <c r="T160" s="307" t="n"/>
      <c r="U160" s="307" t="n"/>
      <c r="V160" s="307" t="n"/>
      <c r="W160" s="307" t="n"/>
      <c r="X160" s="307" t="n"/>
      <c r="Y160" s="307" t="n"/>
      <c r="Z160" s="307" t="n"/>
      <c r="AA160" s="307" t="n"/>
      <c r="AB160" s="307" t="n"/>
      <c r="AC160" s="307" t="n"/>
      <c r="AD160" s="307" t="n"/>
      <c r="AE160" s="307" t="n"/>
      <c r="AF160" s="307" t="n"/>
      <c r="AG160" s="307" t="n"/>
      <c r="AH160" s="307" t="n"/>
      <c r="AI160" s="307" t="n"/>
      <c r="AJ160" s="307" t="n"/>
      <c r="AK160" s="307" t="n"/>
      <c r="AL160" s="307" t="n"/>
      <c r="AM160" s="307" t="n"/>
      <c r="AN160" s="307" t="n"/>
      <c r="AO160" s="307" t="n"/>
      <c r="AP160" s="307" t="n"/>
      <c r="AQ160" s="307" t="n"/>
      <c r="AR160" s="307" t="n"/>
      <c r="AS160" s="307" t="n"/>
      <c r="AT160" s="307" t="n"/>
      <c r="AU160" s="307" t="n"/>
      <c r="AV160" s="307" t="n"/>
      <c r="AW160" s="307" t="n"/>
      <c r="AX160" s="307" t="n"/>
      <c r="AY160" s="307" t="n"/>
      <c r="AZ160" s="307" t="n"/>
      <c r="BA160" s="233" t="n"/>
      <c r="BB160" s="307" t="n"/>
      <c r="BC160" s="307" t="n"/>
      <c r="BD160" s="307" t="n"/>
      <c r="BE160" s="307" t="n"/>
      <c r="BF160" s="307" t="n"/>
      <c r="BG160" s="31" t="n"/>
      <c r="BH160" s="31" t="n"/>
      <c r="BI160" s="31" t="n"/>
      <c r="BJ160" s="31" t="n"/>
    </row>
    <row r="161" ht="15.75" customHeight="1" s="349">
      <c r="A161" s="307" t="n"/>
      <c r="B161" s="307" t="n"/>
      <c r="C161" s="307" t="n"/>
      <c r="D161" s="307" t="n"/>
      <c r="E161" s="307" t="n"/>
      <c r="F161" s="307" t="n"/>
      <c r="G161" s="307" t="n"/>
      <c r="H161" s="307" t="n"/>
      <c r="I161" s="307" t="n"/>
      <c r="J161" s="307" t="n"/>
      <c r="K161" s="307" t="n"/>
      <c r="L161" s="307" t="n"/>
      <c r="M161" s="307" t="n"/>
      <c r="N161" s="307" t="n"/>
      <c r="O161" s="307" t="n"/>
      <c r="P161" s="307" t="n"/>
      <c r="Q161" s="307" t="n"/>
      <c r="R161" s="307" t="n"/>
      <c r="S161" s="307" t="n"/>
      <c r="T161" s="307" t="n"/>
      <c r="U161" s="307" t="n"/>
      <c r="V161" s="307" t="n"/>
      <c r="W161" s="307" t="n"/>
      <c r="X161" s="307" t="n"/>
      <c r="Y161" s="307" t="n"/>
      <c r="Z161" s="307" t="n"/>
      <c r="AA161" s="307" t="n"/>
      <c r="AB161" s="307" t="n"/>
      <c r="AC161" s="307" t="n"/>
      <c r="AD161" s="307" t="n"/>
      <c r="AE161" s="307" t="n"/>
      <c r="AF161" s="307" t="n"/>
      <c r="AG161" s="307" t="n"/>
      <c r="AH161" s="307" t="n"/>
      <c r="AI161" s="307" t="n"/>
      <c r="AJ161" s="307" t="n"/>
      <c r="AK161" s="307" t="n"/>
      <c r="AL161" s="307" t="n"/>
      <c r="AM161" s="307" t="n"/>
      <c r="AN161" s="307" t="n"/>
      <c r="AO161" s="307" t="n"/>
      <c r="AP161" s="307" t="n"/>
      <c r="AQ161" s="307" t="n"/>
      <c r="AR161" s="307" t="n"/>
      <c r="AS161" s="307" t="n"/>
      <c r="AT161" s="307" t="n"/>
      <c r="AU161" s="307" t="n"/>
      <c r="AV161" s="307" t="n"/>
      <c r="AW161" s="307" t="n"/>
      <c r="AX161" s="307" t="n"/>
      <c r="AY161" s="307" t="n"/>
      <c r="AZ161" s="307" t="n"/>
      <c r="BA161" s="233" t="n"/>
      <c r="BB161" s="307" t="n"/>
      <c r="BC161" s="307" t="n"/>
      <c r="BD161" s="307" t="n"/>
      <c r="BE161" s="307" t="n"/>
      <c r="BF161" s="307" t="n"/>
      <c r="BG161" s="31" t="n"/>
      <c r="BH161" s="31" t="n"/>
      <c r="BI161" s="31" t="n"/>
      <c r="BJ161" s="31" t="n"/>
    </row>
    <row r="162" ht="15.75" customHeight="1" s="349">
      <c r="A162" s="307" t="n"/>
      <c r="B162" s="307" t="n"/>
      <c r="C162" s="307" t="n"/>
      <c r="D162" s="307" t="n"/>
      <c r="E162" s="307" t="n"/>
      <c r="F162" s="307" t="n"/>
      <c r="G162" s="307" t="n"/>
      <c r="H162" s="307" t="n"/>
      <c r="I162" s="307" t="n"/>
      <c r="J162" s="307" t="n"/>
      <c r="K162" s="307" t="n"/>
      <c r="L162" s="307" t="n"/>
      <c r="M162" s="307" t="n"/>
      <c r="N162" s="307" t="n"/>
      <c r="O162" s="307" t="n"/>
      <c r="P162" s="307" t="n"/>
      <c r="Q162" s="307" t="n"/>
      <c r="R162" s="307" t="n"/>
      <c r="S162" s="307" t="n"/>
      <c r="T162" s="307" t="n"/>
      <c r="U162" s="307" t="n"/>
      <c r="V162" s="307" t="n"/>
      <c r="W162" s="307" t="n"/>
      <c r="X162" s="307" t="n"/>
      <c r="Y162" s="307" t="n"/>
      <c r="Z162" s="307" t="n"/>
      <c r="AA162" s="307" t="n"/>
      <c r="AB162" s="307" t="n"/>
      <c r="AC162" s="307" t="n"/>
      <c r="AD162" s="307" t="n"/>
      <c r="AE162" s="307" t="n"/>
      <c r="AF162" s="307" t="n"/>
      <c r="AG162" s="307" t="n"/>
      <c r="AH162" s="307" t="n"/>
      <c r="AI162" s="307" t="n"/>
      <c r="AJ162" s="307" t="n"/>
      <c r="AK162" s="307" t="n"/>
      <c r="AL162" s="307" t="n"/>
      <c r="AM162" s="307" t="n"/>
      <c r="AN162" s="307" t="n"/>
      <c r="AO162" s="307" t="n"/>
      <c r="AP162" s="307" t="n"/>
      <c r="AQ162" s="307" t="n"/>
      <c r="AR162" s="307" t="n"/>
      <c r="AS162" s="307" t="n"/>
      <c r="AT162" s="307" t="n"/>
      <c r="AU162" s="307" t="n"/>
      <c r="AV162" s="307" t="n"/>
      <c r="AW162" s="307" t="n"/>
      <c r="AX162" s="307" t="n"/>
      <c r="AY162" s="307" t="n"/>
      <c r="AZ162" s="307" t="n"/>
      <c r="BA162" s="233" t="n"/>
      <c r="BB162" s="307" t="n"/>
      <c r="BC162" s="307" t="n"/>
      <c r="BD162" s="307" t="n"/>
      <c r="BE162" s="307" t="n"/>
      <c r="BF162" s="307" t="n"/>
      <c r="BG162" s="31" t="n"/>
      <c r="BH162" s="31" t="n"/>
      <c r="BI162" s="31" t="n"/>
      <c r="BJ162" s="31" t="n"/>
    </row>
    <row r="163" ht="15.75" customHeight="1" s="349">
      <c r="A163" s="307" t="n"/>
      <c r="B163" s="307" t="n"/>
      <c r="C163" s="307" t="n"/>
      <c r="D163" s="307" t="n"/>
      <c r="E163" s="307" t="n"/>
      <c r="F163" s="307" t="n"/>
      <c r="G163" s="307" t="n"/>
      <c r="H163" s="307" t="n"/>
      <c r="I163" s="307" t="n"/>
      <c r="J163" s="307" t="n"/>
      <c r="K163" s="307" t="n"/>
      <c r="L163" s="307" t="n"/>
      <c r="M163" s="307" t="n"/>
      <c r="N163" s="307" t="n"/>
      <c r="O163" s="307" t="n"/>
      <c r="P163" s="307" t="n"/>
      <c r="Q163" s="307" t="n"/>
      <c r="R163" s="307" t="n"/>
      <c r="S163" s="307" t="n"/>
      <c r="T163" s="307" t="n"/>
      <c r="U163" s="307" t="n"/>
      <c r="V163" s="307" t="n"/>
      <c r="W163" s="307" t="n"/>
      <c r="X163" s="307" t="n"/>
      <c r="Y163" s="307" t="n"/>
      <c r="Z163" s="307" t="n"/>
      <c r="AA163" s="307" t="n"/>
      <c r="AB163" s="307" t="n"/>
      <c r="AC163" s="307" t="n"/>
      <c r="AD163" s="307" t="n"/>
      <c r="AE163" s="307" t="n"/>
      <c r="AF163" s="307" t="n"/>
      <c r="AG163" s="307" t="n"/>
      <c r="AH163" s="307" t="n"/>
      <c r="AI163" s="307" t="n"/>
      <c r="AJ163" s="307" t="n"/>
      <c r="AK163" s="307" t="n"/>
      <c r="AL163" s="307" t="n"/>
      <c r="AM163" s="307" t="n"/>
      <c r="AN163" s="307" t="n"/>
      <c r="AO163" s="307" t="n"/>
      <c r="AP163" s="307" t="n"/>
      <c r="AQ163" s="307" t="n"/>
      <c r="AR163" s="307" t="n"/>
      <c r="AS163" s="307" t="n"/>
      <c r="AT163" s="307" t="n"/>
      <c r="AU163" s="307" t="n"/>
      <c r="AV163" s="307" t="n"/>
      <c r="AW163" s="307" t="n"/>
      <c r="AX163" s="307" t="n"/>
      <c r="AY163" s="307" t="n"/>
      <c r="AZ163" s="307" t="n"/>
      <c r="BA163" s="233" t="n"/>
      <c r="BB163" s="307" t="n"/>
      <c r="BC163" s="307" t="n"/>
      <c r="BD163" s="307" t="n"/>
      <c r="BE163" s="307" t="n"/>
      <c r="BF163" s="307" t="n"/>
      <c r="BG163" s="31" t="n"/>
      <c r="BH163" s="31" t="n"/>
      <c r="BI163" s="31" t="n"/>
      <c r="BJ163" s="31" t="n"/>
    </row>
    <row r="164" ht="15.75" customHeight="1" s="349">
      <c r="A164" s="307" t="n"/>
      <c r="B164" s="307" t="n"/>
      <c r="C164" s="307" t="n"/>
      <c r="D164" s="307" t="n"/>
      <c r="E164" s="307" t="n"/>
      <c r="F164" s="307" t="n"/>
      <c r="G164" s="307" t="n"/>
      <c r="H164" s="307" t="n"/>
      <c r="I164" s="307" t="n"/>
      <c r="J164" s="307" t="n"/>
      <c r="K164" s="307" t="n"/>
      <c r="L164" s="307" t="n"/>
      <c r="M164" s="307" t="n"/>
      <c r="N164" s="307" t="n"/>
      <c r="O164" s="307" t="n"/>
      <c r="P164" s="307" t="n"/>
      <c r="Q164" s="307" t="n"/>
      <c r="R164" s="307" t="n"/>
      <c r="S164" s="307" t="n"/>
      <c r="T164" s="307" t="n"/>
      <c r="U164" s="307" t="n"/>
      <c r="V164" s="307" t="n"/>
      <c r="W164" s="307" t="n"/>
      <c r="X164" s="307" t="n"/>
      <c r="Y164" s="307" t="n"/>
      <c r="Z164" s="307" t="n"/>
      <c r="AA164" s="307" t="n"/>
      <c r="AB164" s="307" t="n"/>
      <c r="AC164" s="307" t="n"/>
      <c r="AD164" s="307" t="n"/>
      <c r="AE164" s="307" t="n"/>
      <c r="AF164" s="307" t="n"/>
      <c r="AG164" s="307" t="n"/>
      <c r="AH164" s="307" t="n"/>
      <c r="AI164" s="307" t="n"/>
      <c r="AJ164" s="307" t="n"/>
      <c r="AK164" s="307" t="n"/>
      <c r="AL164" s="307" t="n"/>
      <c r="AM164" s="307" t="n"/>
      <c r="AN164" s="307" t="n"/>
      <c r="AO164" s="307" t="n"/>
      <c r="AP164" s="307" t="n"/>
      <c r="AQ164" s="307" t="n"/>
      <c r="AR164" s="307" t="n"/>
      <c r="AS164" s="307" t="n"/>
      <c r="AT164" s="307" t="n"/>
      <c r="AU164" s="307" t="n"/>
      <c r="AV164" s="307" t="n"/>
      <c r="AW164" s="307" t="n"/>
      <c r="AX164" s="307" t="n"/>
      <c r="AY164" s="307" t="n"/>
      <c r="AZ164" s="307" t="n"/>
      <c r="BA164" s="233" t="n"/>
      <c r="BB164" s="307" t="n"/>
      <c r="BC164" s="307" t="n"/>
      <c r="BD164" s="307" t="n"/>
      <c r="BE164" s="307" t="n"/>
      <c r="BF164" s="307" t="n"/>
      <c r="BG164" s="31" t="n"/>
      <c r="BH164" s="31" t="n"/>
      <c r="BI164" s="31" t="n"/>
      <c r="BJ164" s="31" t="n"/>
    </row>
    <row r="165" ht="15.75" customHeight="1" s="349">
      <c r="A165" s="307" t="n"/>
      <c r="B165" s="307" t="n"/>
      <c r="C165" s="307" t="n"/>
      <c r="D165" s="307" t="n"/>
      <c r="E165" s="307" t="n"/>
      <c r="F165" s="307" t="n"/>
      <c r="G165" s="307" t="n"/>
      <c r="H165" s="307" t="n"/>
      <c r="I165" s="307" t="n"/>
      <c r="J165" s="307" t="n"/>
      <c r="K165" s="307" t="n"/>
      <c r="L165" s="307" t="n"/>
      <c r="M165" s="307" t="n"/>
      <c r="N165" s="307" t="n"/>
      <c r="O165" s="307" t="n"/>
      <c r="P165" s="307" t="n"/>
      <c r="Q165" s="307" t="n"/>
      <c r="R165" s="307" t="n"/>
      <c r="S165" s="307" t="n"/>
      <c r="T165" s="307" t="n"/>
      <c r="U165" s="307" t="n"/>
      <c r="V165" s="307" t="n"/>
      <c r="W165" s="307" t="n"/>
      <c r="X165" s="307" t="n"/>
      <c r="Y165" s="307" t="n"/>
      <c r="Z165" s="307" t="n"/>
      <c r="AA165" s="307" t="n"/>
      <c r="AB165" s="307" t="n"/>
      <c r="AC165" s="307" t="n"/>
      <c r="AD165" s="307" t="n"/>
      <c r="AE165" s="307" t="n"/>
      <c r="AF165" s="307" t="n"/>
      <c r="AG165" s="307" t="n"/>
      <c r="AH165" s="307" t="n"/>
      <c r="AI165" s="307" t="n"/>
      <c r="AJ165" s="307" t="n"/>
      <c r="AK165" s="307" t="n"/>
      <c r="AL165" s="307" t="n"/>
      <c r="AM165" s="307" t="n"/>
      <c r="AN165" s="307" t="n"/>
      <c r="AO165" s="307" t="n"/>
      <c r="AP165" s="307" t="n"/>
      <c r="AQ165" s="307" t="n"/>
      <c r="AR165" s="307" t="n"/>
      <c r="AS165" s="307" t="n"/>
      <c r="AT165" s="307" t="n"/>
      <c r="AU165" s="307" t="n"/>
      <c r="AV165" s="307" t="n"/>
      <c r="AW165" s="307" t="n"/>
      <c r="AX165" s="307" t="n"/>
      <c r="AY165" s="307" t="n"/>
      <c r="AZ165" s="307" t="n"/>
      <c r="BA165" s="233" t="n"/>
      <c r="BB165" s="307" t="n"/>
      <c r="BC165" s="307" t="n"/>
      <c r="BD165" s="307" t="n"/>
      <c r="BE165" s="307" t="n"/>
      <c r="BF165" s="307" t="n"/>
      <c r="BG165" s="31" t="n"/>
      <c r="BH165" s="31" t="n"/>
      <c r="BI165" s="31" t="n"/>
      <c r="BJ165" s="31" t="n"/>
    </row>
    <row r="166" ht="15.75" customHeight="1" s="349">
      <c r="A166" s="307" t="n"/>
      <c r="B166" s="307" t="n"/>
      <c r="C166" s="307" t="n"/>
      <c r="D166" s="307" t="n"/>
      <c r="E166" s="307" t="n"/>
      <c r="F166" s="307" t="n"/>
      <c r="G166" s="307" t="n"/>
      <c r="H166" s="307" t="n"/>
      <c r="I166" s="307" t="n"/>
      <c r="J166" s="307" t="n"/>
      <c r="K166" s="307" t="n"/>
      <c r="L166" s="307" t="n"/>
      <c r="M166" s="307" t="n"/>
      <c r="N166" s="307" t="n"/>
      <c r="O166" s="307" t="n"/>
      <c r="P166" s="307" t="n"/>
      <c r="Q166" s="307" t="n"/>
      <c r="R166" s="307" t="n"/>
      <c r="S166" s="307" t="n"/>
      <c r="T166" s="307" t="n"/>
      <c r="U166" s="307" t="n"/>
      <c r="V166" s="307" t="n"/>
      <c r="W166" s="307" t="n"/>
      <c r="X166" s="307" t="n"/>
      <c r="Y166" s="307" t="n"/>
      <c r="Z166" s="307" t="n"/>
      <c r="AA166" s="307" t="n"/>
      <c r="AB166" s="307" t="n"/>
      <c r="AC166" s="307" t="n"/>
      <c r="AD166" s="307" t="n"/>
      <c r="AE166" s="307" t="n"/>
      <c r="AF166" s="307" t="n"/>
      <c r="AG166" s="307" t="n"/>
      <c r="AH166" s="307" t="n"/>
      <c r="AI166" s="307" t="n"/>
      <c r="AJ166" s="307" t="n"/>
      <c r="AK166" s="307" t="n"/>
      <c r="AL166" s="307" t="n"/>
      <c r="AM166" s="307" t="n"/>
      <c r="AN166" s="307" t="n"/>
      <c r="AO166" s="307" t="n"/>
      <c r="AP166" s="307" t="n"/>
      <c r="AQ166" s="307" t="n"/>
      <c r="AR166" s="307" t="n"/>
      <c r="AS166" s="307" t="n"/>
      <c r="AT166" s="307" t="n"/>
      <c r="AU166" s="307" t="n"/>
      <c r="AV166" s="307" t="n"/>
      <c r="AW166" s="307" t="n"/>
      <c r="AX166" s="307" t="n"/>
      <c r="AY166" s="307" t="n"/>
      <c r="AZ166" s="307" t="n"/>
      <c r="BA166" s="233" t="n"/>
      <c r="BB166" s="307" t="n"/>
      <c r="BC166" s="307" t="n"/>
      <c r="BD166" s="307" t="n"/>
      <c r="BE166" s="307" t="n"/>
      <c r="BF166" s="307" t="n"/>
      <c r="BG166" s="31" t="n"/>
      <c r="BH166" s="31" t="n"/>
      <c r="BI166" s="31" t="n"/>
      <c r="BJ166" s="31" t="n"/>
    </row>
    <row r="167" ht="15.75" customHeight="1" s="349">
      <c r="A167" s="307" t="n"/>
      <c r="B167" s="307" t="n"/>
      <c r="C167" s="307" t="n"/>
      <c r="D167" s="307" t="n"/>
      <c r="E167" s="307" t="n"/>
      <c r="F167" s="307" t="n"/>
      <c r="G167" s="307" t="n"/>
      <c r="H167" s="307" t="n"/>
      <c r="I167" s="307" t="n"/>
      <c r="J167" s="307" t="n"/>
      <c r="K167" s="307" t="n"/>
      <c r="L167" s="307" t="n"/>
      <c r="M167" s="307" t="n"/>
      <c r="N167" s="307" t="n"/>
      <c r="O167" s="307" t="n"/>
      <c r="P167" s="307" t="n"/>
      <c r="Q167" s="307" t="n"/>
      <c r="R167" s="307" t="n"/>
      <c r="S167" s="307" t="n"/>
      <c r="T167" s="307" t="n"/>
      <c r="U167" s="307" t="n"/>
      <c r="V167" s="307" t="n"/>
      <c r="W167" s="307" t="n"/>
      <c r="X167" s="307" t="n"/>
      <c r="Y167" s="307" t="n"/>
      <c r="Z167" s="307" t="n"/>
      <c r="AA167" s="307" t="n"/>
      <c r="AB167" s="307" t="n"/>
      <c r="AC167" s="307" t="n"/>
      <c r="AD167" s="307" t="n"/>
      <c r="AE167" s="307" t="n"/>
      <c r="AF167" s="307" t="n"/>
      <c r="AG167" s="307" t="n"/>
      <c r="AH167" s="307" t="n"/>
      <c r="AI167" s="307" t="n"/>
      <c r="AJ167" s="307" t="n"/>
      <c r="AK167" s="307" t="n"/>
      <c r="AL167" s="307" t="n"/>
      <c r="AM167" s="307" t="n"/>
      <c r="AN167" s="307" t="n"/>
      <c r="AO167" s="307" t="n"/>
      <c r="AP167" s="307" t="n"/>
      <c r="AQ167" s="307" t="n"/>
      <c r="AR167" s="307" t="n"/>
      <c r="AS167" s="307" t="n"/>
      <c r="AT167" s="307" t="n"/>
      <c r="AU167" s="307" t="n"/>
      <c r="AV167" s="307" t="n"/>
      <c r="AW167" s="307" t="n"/>
      <c r="AX167" s="307" t="n"/>
      <c r="AY167" s="307" t="n"/>
      <c r="AZ167" s="307" t="n"/>
      <c r="BA167" s="233" t="n"/>
      <c r="BB167" s="307" t="n"/>
      <c r="BC167" s="307" t="n"/>
      <c r="BD167" s="307" t="n"/>
      <c r="BE167" s="307" t="n"/>
      <c r="BF167" s="307" t="n"/>
      <c r="BG167" s="31" t="n"/>
      <c r="BH167" s="31" t="n"/>
      <c r="BI167" s="31" t="n"/>
      <c r="BJ167" s="31" t="n"/>
    </row>
    <row r="168" ht="15.75" customHeight="1" s="349">
      <c r="A168" s="307" t="n"/>
      <c r="B168" s="307" t="n"/>
      <c r="C168" s="307" t="n"/>
      <c r="D168" s="307" t="n"/>
      <c r="E168" s="307" t="n"/>
      <c r="F168" s="307" t="n"/>
      <c r="G168" s="307" t="n"/>
      <c r="H168" s="307" t="n"/>
      <c r="I168" s="307" t="n"/>
      <c r="J168" s="307" t="n"/>
      <c r="K168" s="307" t="n"/>
      <c r="L168" s="307" t="n"/>
      <c r="M168" s="307" t="n"/>
      <c r="N168" s="307" t="n"/>
      <c r="O168" s="307" t="n"/>
      <c r="P168" s="307" t="n"/>
      <c r="Q168" s="307" t="n"/>
      <c r="R168" s="307" t="n"/>
      <c r="S168" s="307" t="n"/>
      <c r="T168" s="307" t="n"/>
      <c r="U168" s="307" t="n"/>
      <c r="V168" s="307" t="n"/>
      <c r="W168" s="307" t="n"/>
      <c r="X168" s="307" t="n"/>
      <c r="Y168" s="307" t="n"/>
      <c r="Z168" s="307" t="n"/>
      <c r="AA168" s="307" t="n"/>
      <c r="AB168" s="307" t="n"/>
      <c r="AC168" s="307" t="n"/>
      <c r="AD168" s="307" t="n"/>
      <c r="AE168" s="307" t="n"/>
      <c r="AF168" s="307" t="n"/>
      <c r="AG168" s="307" t="n"/>
      <c r="AH168" s="307" t="n"/>
      <c r="AI168" s="307" t="n"/>
      <c r="AJ168" s="307" t="n"/>
      <c r="AK168" s="307" t="n"/>
      <c r="AL168" s="307" t="n"/>
      <c r="AM168" s="307" t="n"/>
      <c r="AN168" s="307" t="n"/>
      <c r="AO168" s="307" t="n"/>
      <c r="AP168" s="307" t="n"/>
      <c r="AQ168" s="307" t="n"/>
      <c r="AR168" s="307" t="n"/>
      <c r="AS168" s="307" t="n"/>
      <c r="AT168" s="307" t="n"/>
      <c r="AU168" s="307" t="n"/>
      <c r="AV168" s="307" t="n"/>
      <c r="AW168" s="307" t="n"/>
      <c r="AX168" s="307" t="n"/>
      <c r="AY168" s="307" t="n"/>
      <c r="AZ168" s="307" t="n"/>
      <c r="BA168" s="233" t="n"/>
      <c r="BB168" s="307" t="n"/>
      <c r="BC168" s="307" t="n"/>
      <c r="BD168" s="307" t="n"/>
      <c r="BE168" s="307" t="n"/>
      <c r="BF168" s="307" t="n"/>
      <c r="BG168" s="31" t="n"/>
      <c r="BH168" s="31" t="n"/>
      <c r="BI168" s="31" t="n"/>
      <c r="BJ168" s="31" t="n"/>
    </row>
    <row r="169" ht="15.75" customHeight="1" s="349">
      <c r="A169" s="307" t="n"/>
      <c r="B169" s="307" t="n"/>
      <c r="C169" s="307" t="n"/>
      <c r="D169" s="307" t="n"/>
      <c r="E169" s="307" t="n"/>
      <c r="F169" s="307" t="n"/>
      <c r="G169" s="307" t="n"/>
      <c r="H169" s="307" t="n"/>
      <c r="I169" s="307" t="n"/>
      <c r="J169" s="307" t="n"/>
      <c r="K169" s="307" t="n"/>
      <c r="L169" s="307" t="n"/>
      <c r="M169" s="307" t="n"/>
      <c r="N169" s="307" t="n"/>
      <c r="O169" s="307" t="n"/>
      <c r="P169" s="307" t="n"/>
      <c r="Q169" s="307" t="n"/>
      <c r="R169" s="307" t="n"/>
      <c r="S169" s="307" t="n"/>
      <c r="T169" s="307" t="n"/>
      <c r="U169" s="307" t="n"/>
      <c r="V169" s="307" t="n"/>
      <c r="W169" s="307" t="n"/>
      <c r="X169" s="307" t="n"/>
      <c r="Y169" s="307" t="n"/>
      <c r="Z169" s="307" t="n"/>
      <c r="AA169" s="307" t="n"/>
      <c r="AB169" s="307" t="n"/>
      <c r="AC169" s="307" t="n"/>
      <c r="AD169" s="307" t="n"/>
      <c r="AE169" s="307" t="n"/>
      <c r="AF169" s="307" t="n"/>
      <c r="AG169" s="307" t="n"/>
      <c r="AH169" s="307" t="n"/>
      <c r="AI169" s="307" t="n"/>
      <c r="AJ169" s="307" t="n"/>
      <c r="AK169" s="307" t="n"/>
      <c r="AL169" s="307" t="n"/>
      <c r="AM169" s="307" t="n"/>
      <c r="AN169" s="307" t="n"/>
      <c r="AO169" s="307" t="n"/>
      <c r="AP169" s="307" t="n"/>
      <c r="AQ169" s="307" t="n"/>
      <c r="AR169" s="307" t="n"/>
      <c r="AS169" s="307" t="n"/>
      <c r="AT169" s="307" t="n"/>
      <c r="AU169" s="307" t="n"/>
      <c r="AV169" s="307" t="n"/>
      <c r="AW169" s="307" t="n"/>
      <c r="AX169" s="307" t="n"/>
      <c r="AY169" s="307" t="n"/>
      <c r="AZ169" s="307" t="n"/>
      <c r="BA169" s="233" t="n"/>
      <c r="BB169" s="307" t="n"/>
      <c r="BC169" s="307" t="n"/>
      <c r="BD169" s="307" t="n"/>
      <c r="BE169" s="307" t="n"/>
      <c r="BF169" s="307" t="n"/>
      <c r="BG169" s="31" t="n"/>
      <c r="BH169" s="31" t="n"/>
      <c r="BI169" s="31" t="n"/>
      <c r="BJ169" s="31" t="n"/>
    </row>
    <row r="170" ht="15.75" customHeight="1" s="349">
      <c r="A170" s="307" t="n"/>
      <c r="B170" s="307" t="n"/>
      <c r="C170" s="307" t="n"/>
      <c r="D170" s="307" t="n"/>
      <c r="E170" s="307" t="n"/>
      <c r="F170" s="307" t="n"/>
      <c r="G170" s="307" t="n"/>
      <c r="H170" s="307" t="n"/>
      <c r="I170" s="307" t="n"/>
      <c r="J170" s="307" t="n"/>
      <c r="K170" s="307" t="n"/>
      <c r="L170" s="307" t="n"/>
      <c r="M170" s="307" t="n"/>
      <c r="N170" s="307" t="n"/>
      <c r="O170" s="307" t="n"/>
      <c r="P170" s="307" t="n"/>
      <c r="Q170" s="307" t="n"/>
      <c r="R170" s="307" t="n"/>
      <c r="S170" s="307" t="n"/>
      <c r="T170" s="307" t="n"/>
      <c r="U170" s="307" t="n"/>
      <c r="V170" s="307" t="n"/>
      <c r="W170" s="307" t="n"/>
      <c r="X170" s="307" t="n"/>
      <c r="Y170" s="307" t="n"/>
      <c r="Z170" s="307" t="n"/>
      <c r="AA170" s="307" t="n"/>
      <c r="AB170" s="307" t="n"/>
      <c r="AC170" s="307" t="n"/>
      <c r="AD170" s="307" t="n"/>
      <c r="AE170" s="307" t="n"/>
      <c r="AF170" s="307" t="n"/>
      <c r="AG170" s="307" t="n"/>
      <c r="AH170" s="307" t="n"/>
      <c r="AI170" s="307" t="n"/>
      <c r="AJ170" s="307" t="n"/>
      <c r="AK170" s="307" t="n"/>
      <c r="AL170" s="307" t="n"/>
      <c r="AM170" s="307" t="n"/>
      <c r="AN170" s="307" t="n"/>
      <c r="AO170" s="307" t="n"/>
      <c r="AP170" s="307" t="n"/>
      <c r="AQ170" s="307" t="n"/>
      <c r="AR170" s="307" t="n"/>
      <c r="AS170" s="307" t="n"/>
      <c r="AT170" s="307" t="n"/>
      <c r="AU170" s="307" t="n"/>
      <c r="AV170" s="307" t="n"/>
      <c r="AW170" s="307" t="n"/>
      <c r="AX170" s="307" t="n"/>
      <c r="AY170" s="307" t="n"/>
      <c r="AZ170" s="307" t="n"/>
      <c r="BA170" s="233" t="n"/>
      <c r="BB170" s="307" t="n"/>
      <c r="BC170" s="307" t="n"/>
      <c r="BD170" s="307" t="n"/>
      <c r="BE170" s="307" t="n"/>
      <c r="BF170" s="307" t="n"/>
      <c r="BG170" s="31" t="n"/>
      <c r="BH170" s="31" t="n"/>
      <c r="BI170" s="31" t="n"/>
      <c r="BJ170" s="31" t="n"/>
    </row>
    <row r="171" ht="15.75" customHeight="1" s="349">
      <c r="A171" s="307" t="n"/>
      <c r="B171" s="307" t="n"/>
      <c r="C171" s="307" t="n"/>
      <c r="D171" s="307" t="n"/>
      <c r="E171" s="307" t="n"/>
      <c r="F171" s="307" t="n"/>
      <c r="G171" s="307" t="n"/>
      <c r="H171" s="307" t="n"/>
      <c r="I171" s="307" t="n"/>
      <c r="J171" s="307" t="n"/>
      <c r="K171" s="307" t="n"/>
      <c r="L171" s="307" t="n"/>
      <c r="M171" s="307" t="n"/>
      <c r="N171" s="307" t="n"/>
      <c r="O171" s="307" t="n"/>
      <c r="P171" s="307" t="n"/>
      <c r="Q171" s="307" t="n"/>
      <c r="R171" s="307" t="n"/>
      <c r="S171" s="307" t="n"/>
      <c r="T171" s="307" t="n"/>
      <c r="U171" s="307" t="n"/>
      <c r="V171" s="307" t="n"/>
      <c r="W171" s="307" t="n"/>
      <c r="X171" s="307" t="n"/>
      <c r="Y171" s="307" t="n"/>
      <c r="Z171" s="307" t="n"/>
      <c r="AA171" s="307" t="n"/>
      <c r="AB171" s="307" t="n"/>
      <c r="AC171" s="307" t="n"/>
      <c r="AD171" s="307" t="n"/>
      <c r="AE171" s="307" t="n"/>
      <c r="AF171" s="307" t="n"/>
      <c r="AG171" s="307" t="n"/>
      <c r="AH171" s="307" t="n"/>
      <c r="AI171" s="307" t="n"/>
      <c r="AJ171" s="307" t="n"/>
      <c r="AK171" s="307" t="n"/>
      <c r="AL171" s="307" t="n"/>
      <c r="AM171" s="307" t="n"/>
      <c r="AN171" s="307" t="n"/>
      <c r="AO171" s="307" t="n"/>
      <c r="AP171" s="307" t="n"/>
      <c r="AQ171" s="307" t="n"/>
      <c r="AR171" s="307" t="n"/>
      <c r="AS171" s="307" t="n"/>
      <c r="AT171" s="307" t="n"/>
      <c r="AU171" s="307" t="n"/>
      <c r="AV171" s="307" t="n"/>
      <c r="AW171" s="307" t="n"/>
      <c r="AX171" s="307" t="n"/>
      <c r="AY171" s="307" t="n"/>
      <c r="AZ171" s="307" t="n"/>
      <c r="BA171" s="233" t="n"/>
      <c r="BB171" s="307" t="n"/>
      <c r="BC171" s="307" t="n"/>
      <c r="BD171" s="307" t="n"/>
      <c r="BE171" s="307" t="n"/>
      <c r="BF171" s="307" t="n"/>
      <c r="BG171" s="31" t="n"/>
      <c r="BH171" s="31" t="n"/>
      <c r="BI171" s="31" t="n"/>
      <c r="BJ171" s="31" t="n"/>
    </row>
    <row r="172" ht="15.75" customHeight="1" s="349">
      <c r="A172" s="307" t="n"/>
      <c r="B172" s="307" t="n"/>
      <c r="C172" s="307" t="n"/>
      <c r="D172" s="307" t="n"/>
      <c r="E172" s="307" t="n"/>
      <c r="F172" s="307" t="n"/>
      <c r="G172" s="307" t="n"/>
      <c r="H172" s="307" t="n"/>
      <c r="I172" s="307" t="n"/>
      <c r="J172" s="307" t="n"/>
      <c r="K172" s="307" t="n"/>
      <c r="L172" s="307" t="n"/>
      <c r="M172" s="307" t="n"/>
      <c r="N172" s="307" t="n"/>
      <c r="O172" s="307" t="n"/>
      <c r="P172" s="307" t="n"/>
      <c r="Q172" s="307" t="n"/>
      <c r="R172" s="307" t="n"/>
      <c r="S172" s="307" t="n"/>
      <c r="T172" s="307" t="n"/>
      <c r="U172" s="307" t="n"/>
      <c r="V172" s="307" t="n"/>
      <c r="W172" s="307" t="n"/>
      <c r="X172" s="307" t="n"/>
      <c r="Y172" s="307" t="n"/>
      <c r="Z172" s="307" t="n"/>
      <c r="AA172" s="307" t="n"/>
      <c r="AB172" s="307" t="n"/>
      <c r="AC172" s="307" t="n"/>
      <c r="AD172" s="307" t="n"/>
      <c r="AE172" s="307" t="n"/>
      <c r="AF172" s="307" t="n"/>
      <c r="AG172" s="307" t="n"/>
      <c r="AH172" s="307" t="n"/>
      <c r="AI172" s="307" t="n"/>
      <c r="AJ172" s="307" t="n"/>
      <c r="AK172" s="307" t="n"/>
      <c r="AL172" s="307" t="n"/>
      <c r="AM172" s="307" t="n"/>
      <c r="AN172" s="307" t="n"/>
      <c r="AO172" s="307" t="n"/>
      <c r="AP172" s="307" t="n"/>
      <c r="AQ172" s="307" t="n"/>
      <c r="AR172" s="307" t="n"/>
      <c r="AS172" s="307" t="n"/>
      <c r="AT172" s="307" t="n"/>
      <c r="AU172" s="307" t="n"/>
      <c r="AV172" s="307" t="n"/>
      <c r="AW172" s="307" t="n"/>
      <c r="AX172" s="307" t="n"/>
      <c r="AY172" s="307" t="n"/>
      <c r="AZ172" s="307" t="n"/>
      <c r="BA172" s="233" t="n"/>
      <c r="BB172" s="307" t="n"/>
      <c r="BC172" s="307" t="n"/>
      <c r="BD172" s="307" t="n"/>
      <c r="BE172" s="307" t="n"/>
      <c r="BF172" s="307" t="n"/>
      <c r="BG172" s="31" t="n"/>
      <c r="BH172" s="31" t="n"/>
      <c r="BI172" s="31" t="n"/>
      <c r="BJ172" s="31" t="n"/>
    </row>
    <row r="173" ht="15.75" customHeight="1" s="349">
      <c r="A173" s="307" t="n"/>
      <c r="B173" s="307" t="n"/>
      <c r="C173" s="307" t="n"/>
      <c r="D173" s="307" t="n"/>
      <c r="E173" s="307" t="n"/>
      <c r="F173" s="307" t="n"/>
      <c r="G173" s="307" t="n"/>
      <c r="H173" s="307" t="n"/>
      <c r="I173" s="307" t="n"/>
      <c r="J173" s="307" t="n"/>
      <c r="K173" s="307" t="n"/>
      <c r="L173" s="307" t="n"/>
      <c r="M173" s="307" t="n"/>
      <c r="N173" s="307" t="n"/>
      <c r="O173" s="307" t="n"/>
      <c r="P173" s="307" t="n"/>
      <c r="Q173" s="307" t="n"/>
      <c r="R173" s="307" t="n"/>
      <c r="S173" s="307" t="n"/>
      <c r="T173" s="307" t="n"/>
      <c r="U173" s="307" t="n"/>
      <c r="V173" s="307" t="n"/>
      <c r="W173" s="307" t="n"/>
      <c r="X173" s="307" t="n"/>
      <c r="Y173" s="307" t="n"/>
      <c r="Z173" s="307" t="n"/>
      <c r="AA173" s="307" t="n"/>
      <c r="AB173" s="307" t="n"/>
      <c r="AC173" s="307" t="n"/>
      <c r="AD173" s="307" t="n"/>
      <c r="AE173" s="307" t="n"/>
      <c r="AF173" s="307" t="n"/>
      <c r="AG173" s="307" t="n"/>
      <c r="AH173" s="307" t="n"/>
      <c r="AI173" s="307" t="n"/>
      <c r="AJ173" s="307" t="n"/>
      <c r="AK173" s="307" t="n"/>
      <c r="AL173" s="307" t="n"/>
      <c r="AM173" s="307" t="n"/>
      <c r="AN173" s="307" t="n"/>
      <c r="AO173" s="307" t="n"/>
      <c r="AP173" s="307" t="n"/>
      <c r="AQ173" s="307" t="n"/>
      <c r="AR173" s="307" t="n"/>
      <c r="AS173" s="307" t="n"/>
      <c r="AT173" s="307" t="n"/>
      <c r="AU173" s="307" t="n"/>
      <c r="AV173" s="307" t="n"/>
      <c r="AW173" s="307" t="n"/>
      <c r="AX173" s="307" t="n"/>
      <c r="AY173" s="307" t="n"/>
      <c r="AZ173" s="307" t="n"/>
      <c r="BA173" s="233" t="n"/>
      <c r="BB173" s="307" t="n"/>
      <c r="BC173" s="307" t="n"/>
      <c r="BD173" s="307" t="n"/>
      <c r="BE173" s="307" t="n"/>
      <c r="BF173" s="307" t="n"/>
      <c r="BG173" s="31" t="n"/>
      <c r="BH173" s="31" t="n"/>
      <c r="BI173" s="31" t="n"/>
      <c r="BJ173" s="31" t="n"/>
    </row>
    <row r="174" ht="15.75" customHeight="1" s="349">
      <c r="A174" s="307" t="n"/>
      <c r="B174" s="307" t="n"/>
      <c r="C174" s="307" t="n"/>
      <c r="D174" s="307" t="n"/>
      <c r="E174" s="307" t="n"/>
      <c r="F174" s="307" t="n"/>
      <c r="G174" s="307" t="n"/>
      <c r="H174" s="307" t="n"/>
      <c r="I174" s="307" t="n"/>
      <c r="J174" s="307" t="n"/>
      <c r="K174" s="307" t="n"/>
      <c r="L174" s="307" t="n"/>
      <c r="M174" s="307" t="n"/>
      <c r="N174" s="307" t="n"/>
      <c r="O174" s="307" t="n"/>
      <c r="P174" s="307" t="n"/>
      <c r="Q174" s="307" t="n"/>
      <c r="R174" s="307" t="n"/>
      <c r="S174" s="307" t="n"/>
      <c r="T174" s="307" t="n"/>
      <c r="U174" s="307" t="n"/>
      <c r="V174" s="307" t="n"/>
      <c r="W174" s="307" t="n"/>
      <c r="X174" s="307" t="n"/>
      <c r="Y174" s="307" t="n"/>
      <c r="Z174" s="307" t="n"/>
      <c r="AA174" s="307" t="n"/>
      <c r="AB174" s="307" t="n"/>
      <c r="AC174" s="307" t="n"/>
      <c r="AD174" s="307" t="n"/>
      <c r="AE174" s="307" t="n"/>
      <c r="AF174" s="307" t="n"/>
      <c r="AG174" s="307" t="n"/>
      <c r="AH174" s="307" t="n"/>
      <c r="AI174" s="307" t="n"/>
      <c r="AJ174" s="307" t="n"/>
      <c r="AK174" s="307" t="n"/>
      <c r="AL174" s="307" t="n"/>
      <c r="AM174" s="307" t="n"/>
      <c r="AN174" s="307" t="n"/>
      <c r="AO174" s="307" t="n"/>
      <c r="AP174" s="307" t="n"/>
      <c r="AQ174" s="307" t="n"/>
      <c r="AR174" s="307" t="n"/>
      <c r="AS174" s="307" t="n"/>
      <c r="AT174" s="307" t="n"/>
      <c r="AU174" s="307" t="n"/>
      <c r="AV174" s="307" t="n"/>
      <c r="AW174" s="307" t="n"/>
      <c r="AX174" s="307" t="n"/>
      <c r="AY174" s="307" t="n"/>
      <c r="AZ174" s="307" t="n"/>
      <c r="BA174" s="233" t="n"/>
      <c r="BB174" s="307" t="n"/>
      <c r="BC174" s="307" t="n"/>
      <c r="BD174" s="307" t="n"/>
      <c r="BE174" s="307" t="n"/>
      <c r="BF174" s="307" t="n"/>
      <c r="BG174" s="31" t="n"/>
      <c r="BH174" s="31" t="n"/>
      <c r="BI174" s="31" t="n"/>
      <c r="BJ174" s="31" t="n"/>
    </row>
    <row r="175" ht="15.75" customHeight="1" s="349">
      <c r="A175" s="307" t="n"/>
      <c r="B175" s="307" t="n"/>
      <c r="C175" s="307" t="n"/>
      <c r="D175" s="307" t="n"/>
      <c r="E175" s="307" t="n"/>
      <c r="F175" s="307" t="n"/>
      <c r="G175" s="307" t="n"/>
      <c r="H175" s="307" t="n"/>
      <c r="I175" s="307" t="n"/>
      <c r="J175" s="307" t="n"/>
      <c r="K175" s="307" t="n"/>
      <c r="L175" s="307" t="n"/>
      <c r="M175" s="307" t="n"/>
      <c r="N175" s="307" t="n"/>
      <c r="O175" s="307" t="n"/>
      <c r="P175" s="307" t="n"/>
      <c r="Q175" s="307" t="n"/>
      <c r="R175" s="307" t="n"/>
      <c r="S175" s="307" t="n"/>
      <c r="T175" s="307" t="n"/>
      <c r="U175" s="307" t="n"/>
      <c r="V175" s="307" t="n"/>
      <c r="W175" s="307" t="n"/>
      <c r="X175" s="307" t="n"/>
      <c r="Y175" s="307" t="n"/>
      <c r="Z175" s="307" t="n"/>
      <c r="AA175" s="307" t="n"/>
      <c r="AB175" s="307" t="n"/>
      <c r="AC175" s="307" t="n"/>
      <c r="AD175" s="307" t="n"/>
      <c r="AE175" s="307" t="n"/>
      <c r="AF175" s="307" t="n"/>
      <c r="AG175" s="307" t="n"/>
      <c r="AH175" s="307" t="n"/>
      <c r="AI175" s="307" t="n"/>
      <c r="AJ175" s="307" t="n"/>
      <c r="AK175" s="307" t="n"/>
      <c r="AL175" s="307" t="n"/>
      <c r="AM175" s="307" t="n"/>
      <c r="AN175" s="307" t="n"/>
      <c r="AO175" s="307" t="n"/>
      <c r="AP175" s="307" t="n"/>
      <c r="AQ175" s="307" t="n"/>
      <c r="AR175" s="307" t="n"/>
      <c r="AS175" s="307" t="n"/>
      <c r="AT175" s="307" t="n"/>
      <c r="AU175" s="307" t="n"/>
      <c r="AV175" s="307" t="n"/>
      <c r="AW175" s="307" t="n"/>
      <c r="AX175" s="307" t="n"/>
      <c r="AY175" s="307" t="n"/>
      <c r="AZ175" s="307" t="n"/>
      <c r="BA175" s="233" t="n"/>
      <c r="BB175" s="307" t="n"/>
      <c r="BC175" s="307" t="n"/>
      <c r="BD175" s="307" t="n"/>
      <c r="BE175" s="307" t="n"/>
      <c r="BF175" s="307" t="n"/>
      <c r="BG175" s="31" t="n"/>
      <c r="BH175" s="31" t="n"/>
      <c r="BI175" s="31" t="n"/>
      <c r="BJ175" s="31" t="n"/>
    </row>
    <row r="176" ht="15.75" customHeight="1" s="349">
      <c r="A176" s="307" t="n"/>
      <c r="B176" s="307" t="n"/>
      <c r="C176" s="307" t="n"/>
      <c r="D176" s="307" t="n"/>
      <c r="E176" s="307" t="n"/>
      <c r="F176" s="307" t="n"/>
      <c r="G176" s="307" t="n"/>
      <c r="H176" s="307" t="n"/>
      <c r="I176" s="307" t="n"/>
      <c r="J176" s="307" t="n"/>
      <c r="K176" s="307" t="n"/>
      <c r="L176" s="307" t="n"/>
      <c r="M176" s="307" t="n"/>
      <c r="N176" s="307" t="n"/>
      <c r="O176" s="307" t="n"/>
      <c r="P176" s="307" t="n"/>
      <c r="Q176" s="307" t="n"/>
      <c r="R176" s="307" t="n"/>
      <c r="S176" s="307" t="n"/>
      <c r="T176" s="307" t="n"/>
      <c r="U176" s="307" t="n"/>
      <c r="V176" s="307" t="n"/>
      <c r="W176" s="307" t="n"/>
      <c r="X176" s="307" t="n"/>
      <c r="Y176" s="307" t="n"/>
      <c r="Z176" s="307" t="n"/>
      <c r="AA176" s="307" t="n"/>
      <c r="AB176" s="307" t="n"/>
      <c r="AC176" s="307" t="n"/>
      <c r="AD176" s="307" t="n"/>
      <c r="AE176" s="307" t="n"/>
      <c r="AF176" s="307" t="n"/>
      <c r="AG176" s="307" t="n"/>
      <c r="AH176" s="307" t="n"/>
      <c r="AI176" s="307" t="n"/>
      <c r="AJ176" s="307" t="n"/>
      <c r="AK176" s="307" t="n"/>
      <c r="AL176" s="307" t="n"/>
      <c r="AM176" s="307" t="n"/>
      <c r="AN176" s="307" t="n"/>
      <c r="AO176" s="307" t="n"/>
      <c r="AP176" s="307" t="n"/>
      <c r="AQ176" s="307" t="n"/>
      <c r="AR176" s="307" t="n"/>
      <c r="AS176" s="307" t="n"/>
      <c r="AT176" s="307" t="n"/>
      <c r="AU176" s="307" t="n"/>
      <c r="AV176" s="307" t="n"/>
      <c r="AW176" s="307" t="n"/>
      <c r="AX176" s="307" t="n"/>
      <c r="AY176" s="307" t="n"/>
      <c r="AZ176" s="307" t="n"/>
      <c r="BA176" s="233" t="n"/>
      <c r="BB176" s="307" t="n"/>
      <c r="BC176" s="307" t="n"/>
      <c r="BD176" s="307" t="n"/>
      <c r="BE176" s="307" t="n"/>
      <c r="BF176" s="307" t="n"/>
      <c r="BG176" s="31" t="n"/>
      <c r="BH176" s="31" t="n"/>
      <c r="BI176" s="31" t="n"/>
      <c r="BJ176" s="31" t="n"/>
    </row>
    <row r="177" ht="15.75" customHeight="1" s="349">
      <c r="A177" s="307" t="n"/>
      <c r="B177" s="307" t="n"/>
      <c r="C177" s="307" t="n"/>
      <c r="D177" s="307" t="n"/>
      <c r="E177" s="307" t="n"/>
      <c r="F177" s="307" t="n"/>
      <c r="G177" s="307" t="n"/>
      <c r="H177" s="307" t="n"/>
      <c r="I177" s="307" t="n"/>
      <c r="J177" s="307" t="n"/>
      <c r="K177" s="307" t="n"/>
      <c r="L177" s="307" t="n"/>
      <c r="M177" s="307" t="n"/>
      <c r="N177" s="307" t="n"/>
      <c r="O177" s="307" t="n"/>
      <c r="P177" s="307" t="n"/>
      <c r="Q177" s="307" t="n"/>
      <c r="R177" s="307" t="n"/>
      <c r="S177" s="307" t="n"/>
      <c r="T177" s="307" t="n"/>
      <c r="U177" s="307" t="n"/>
      <c r="V177" s="307" t="n"/>
      <c r="W177" s="307" t="n"/>
      <c r="X177" s="307" t="n"/>
      <c r="Y177" s="307" t="n"/>
      <c r="Z177" s="307" t="n"/>
      <c r="AA177" s="307" t="n"/>
      <c r="AB177" s="307" t="n"/>
      <c r="AC177" s="307" t="n"/>
      <c r="AD177" s="307" t="n"/>
      <c r="AE177" s="307" t="n"/>
      <c r="AF177" s="307" t="n"/>
      <c r="AG177" s="307" t="n"/>
      <c r="AH177" s="307" t="n"/>
      <c r="AI177" s="307" t="n"/>
      <c r="AJ177" s="307" t="n"/>
      <c r="AK177" s="307" t="n"/>
      <c r="AL177" s="307" t="n"/>
      <c r="AM177" s="307" t="n"/>
      <c r="AN177" s="307" t="n"/>
      <c r="AO177" s="307" t="n"/>
      <c r="AP177" s="307" t="n"/>
      <c r="AQ177" s="307" t="n"/>
      <c r="AR177" s="307" t="n"/>
      <c r="AS177" s="307" t="n"/>
      <c r="AT177" s="307" t="n"/>
      <c r="AU177" s="307" t="n"/>
      <c r="AV177" s="307" t="n"/>
      <c r="AW177" s="307" t="n"/>
      <c r="AX177" s="307" t="n"/>
      <c r="AY177" s="307" t="n"/>
      <c r="AZ177" s="307" t="n"/>
      <c r="BA177" s="233" t="n"/>
      <c r="BB177" s="307" t="n"/>
      <c r="BC177" s="307" t="n"/>
      <c r="BD177" s="307" t="n"/>
      <c r="BE177" s="307" t="n"/>
      <c r="BF177" s="307" t="n"/>
      <c r="BG177" s="31" t="n"/>
      <c r="BH177" s="31" t="n"/>
      <c r="BI177" s="31" t="n"/>
      <c r="BJ177" s="31" t="n"/>
    </row>
    <row r="178" ht="15.75" customHeight="1" s="349">
      <c r="A178" s="307" t="n"/>
      <c r="B178" s="307" t="n"/>
      <c r="C178" s="307" t="n"/>
      <c r="D178" s="307" t="n"/>
      <c r="E178" s="307" t="n"/>
      <c r="F178" s="307" t="n"/>
      <c r="G178" s="307" t="n"/>
      <c r="H178" s="307" t="n"/>
      <c r="I178" s="307" t="n"/>
      <c r="J178" s="307" t="n"/>
      <c r="K178" s="307" t="n"/>
      <c r="L178" s="307" t="n"/>
      <c r="M178" s="307" t="n"/>
      <c r="N178" s="307" t="n"/>
      <c r="O178" s="307" t="n"/>
      <c r="P178" s="307" t="n"/>
      <c r="Q178" s="307" t="n"/>
      <c r="R178" s="307" t="n"/>
      <c r="S178" s="307" t="n"/>
      <c r="T178" s="307" t="n"/>
      <c r="U178" s="307" t="n"/>
      <c r="V178" s="307" t="n"/>
      <c r="W178" s="307" t="n"/>
      <c r="X178" s="307" t="n"/>
      <c r="Y178" s="307" t="n"/>
      <c r="Z178" s="307" t="n"/>
      <c r="AA178" s="307" t="n"/>
      <c r="AB178" s="307" t="n"/>
      <c r="AC178" s="307" t="n"/>
      <c r="AD178" s="307" t="n"/>
      <c r="AE178" s="307" t="n"/>
      <c r="AF178" s="307" t="n"/>
      <c r="AG178" s="307" t="n"/>
      <c r="AH178" s="307" t="n"/>
      <c r="AI178" s="307" t="n"/>
      <c r="AJ178" s="307" t="n"/>
      <c r="AK178" s="307" t="n"/>
      <c r="AL178" s="307" t="n"/>
      <c r="AM178" s="307" t="n"/>
      <c r="AN178" s="307" t="n"/>
      <c r="AO178" s="307" t="n"/>
      <c r="AP178" s="307" t="n"/>
      <c r="AQ178" s="307" t="n"/>
      <c r="AR178" s="307" t="n"/>
      <c r="AS178" s="307" t="n"/>
      <c r="AT178" s="307" t="n"/>
      <c r="AU178" s="307" t="n"/>
      <c r="AV178" s="307" t="n"/>
      <c r="AW178" s="307" t="n"/>
      <c r="AX178" s="307" t="n"/>
      <c r="AY178" s="307" t="n"/>
      <c r="AZ178" s="307" t="n"/>
      <c r="BA178" s="233" t="n"/>
      <c r="BB178" s="307" t="n"/>
      <c r="BC178" s="307" t="n"/>
      <c r="BD178" s="307" t="n"/>
      <c r="BE178" s="307" t="n"/>
      <c r="BF178" s="307" t="n"/>
      <c r="BG178" s="31" t="n"/>
      <c r="BH178" s="31" t="n"/>
      <c r="BI178" s="31" t="n"/>
      <c r="BJ178" s="31" t="n"/>
    </row>
    <row r="179" ht="15.75" customHeight="1" s="349">
      <c r="A179" s="307" t="n"/>
      <c r="B179" s="307" t="n"/>
      <c r="C179" s="307" t="n"/>
      <c r="D179" s="307" t="n"/>
      <c r="E179" s="307" t="n"/>
      <c r="F179" s="307" t="n"/>
      <c r="G179" s="307" t="n"/>
      <c r="H179" s="307" t="n"/>
      <c r="I179" s="307" t="n"/>
      <c r="J179" s="307" t="n"/>
      <c r="K179" s="307" t="n"/>
      <c r="L179" s="307" t="n"/>
      <c r="M179" s="307" t="n"/>
      <c r="N179" s="307" t="n"/>
      <c r="O179" s="307" t="n"/>
      <c r="P179" s="307" t="n"/>
      <c r="Q179" s="307" t="n"/>
      <c r="R179" s="307" t="n"/>
      <c r="S179" s="307" t="n"/>
      <c r="T179" s="307" t="n"/>
      <c r="U179" s="307" t="n"/>
      <c r="V179" s="307" t="n"/>
      <c r="W179" s="307" t="n"/>
      <c r="X179" s="307" t="n"/>
      <c r="Y179" s="307" t="n"/>
      <c r="Z179" s="307" t="n"/>
      <c r="AA179" s="307" t="n"/>
      <c r="AB179" s="307" t="n"/>
      <c r="AC179" s="307" t="n"/>
      <c r="AD179" s="307" t="n"/>
      <c r="AE179" s="307" t="n"/>
      <c r="AF179" s="307" t="n"/>
      <c r="AG179" s="307" t="n"/>
      <c r="AH179" s="307" t="n"/>
      <c r="AI179" s="307" t="n"/>
      <c r="AJ179" s="307" t="n"/>
      <c r="AK179" s="307" t="n"/>
      <c r="AL179" s="307" t="n"/>
      <c r="AM179" s="307" t="n"/>
      <c r="AN179" s="307" t="n"/>
      <c r="AO179" s="307" t="n"/>
      <c r="AP179" s="307" t="n"/>
      <c r="AQ179" s="307" t="n"/>
      <c r="AR179" s="307" t="n"/>
      <c r="AS179" s="307" t="n"/>
      <c r="AT179" s="307" t="n"/>
      <c r="AU179" s="307" t="n"/>
      <c r="AV179" s="307" t="n"/>
      <c r="AW179" s="307" t="n"/>
      <c r="AX179" s="307" t="n"/>
      <c r="AY179" s="307" t="n"/>
      <c r="AZ179" s="307" t="n"/>
      <c r="BA179" s="233" t="n"/>
      <c r="BB179" s="307" t="n"/>
      <c r="BC179" s="307" t="n"/>
      <c r="BD179" s="307" t="n"/>
      <c r="BE179" s="307" t="n"/>
      <c r="BF179" s="307" t="n"/>
      <c r="BG179" s="31" t="n"/>
      <c r="BH179" s="31" t="n"/>
      <c r="BI179" s="31" t="n"/>
      <c r="BJ179" s="31" t="n"/>
    </row>
    <row r="180" ht="15.75" customHeight="1" s="349">
      <c r="A180" s="307" t="n"/>
      <c r="B180" s="307" t="n"/>
      <c r="C180" s="307" t="n"/>
      <c r="D180" s="307" t="n"/>
      <c r="E180" s="307" t="n"/>
      <c r="F180" s="307" t="n"/>
      <c r="G180" s="307" t="n"/>
      <c r="H180" s="307" t="n"/>
      <c r="I180" s="307" t="n"/>
      <c r="J180" s="307" t="n"/>
      <c r="K180" s="307" t="n"/>
      <c r="L180" s="307" t="n"/>
      <c r="M180" s="307" t="n"/>
      <c r="N180" s="307" t="n"/>
      <c r="O180" s="307" t="n"/>
      <c r="P180" s="307" t="n"/>
      <c r="Q180" s="307" t="n"/>
      <c r="R180" s="307" t="n"/>
      <c r="S180" s="307" t="n"/>
      <c r="T180" s="307" t="n"/>
      <c r="U180" s="307" t="n"/>
      <c r="V180" s="307" t="n"/>
      <c r="W180" s="307" t="n"/>
      <c r="X180" s="307" t="n"/>
      <c r="Y180" s="307" t="n"/>
      <c r="Z180" s="307" t="n"/>
      <c r="AA180" s="307" t="n"/>
      <c r="AB180" s="307" t="n"/>
      <c r="AC180" s="307" t="n"/>
      <c r="AD180" s="307" t="n"/>
      <c r="AE180" s="307" t="n"/>
      <c r="AF180" s="307" t="n"/>
      <c r="AG180" s="307" t="n"/>
      <c r="AH180" s="307" t="n"/>
      <c r="AI180" s="307" t="n"/>
      <c r="AJ180" s="307" t="n"/>
      <c r="AK180" s="307" t="n"/>
      <c r="AL180" s="307" t="n"/>
      <c r="AM180" s="307" t="n"/>
      <c r="AN180" s="307" t="n"/>
      <c r="AO180" s="307" t="n"/>
      <c r="AP180" s="307" t="n"/>
      <c r="AQ180" s="307" t="n"/>
      <c r="AR180" s="307" t="n"/>
      <c r="AS180" s="307" t="n"/>
      <c r="AT180" s="307" t="n"/>
      <c r="AU180" s="307" t="n"/>
      <c r="AV180" s="307" t="n"/>
      <c r="AW180" s="307" t="n"/>
      <c r="AX180" s="307" t="n"/>
      <c r="AY180" s="307" t="n"/>
      <c r="AZ180" s="307" t="n"/>
      <c r="BA180" s="233" t="n"/>
      <c r="BB180" s="307" t="n"/>
      <c r="BC180" s="307" t="n"/>
      <c r="BD180" s="307" t="n"/>
      <c r="BE180" s="307" t="n"/>
      <c r="BF180" s="307" t="n"/>
      <c r="BG180" s="31" t="n"/>
      <c r="BH180" s="31" t="n"/>
      <c r="BI180" s="31" t="n"/>
      <c r="BJ180" s="31" t="n"/>
    </row>
    <row r="181" ht="15.75" customHeight="1" s="349">
      <c r="A181" s="307" t="n"/>
      <c r="B181" s="307" t="n"/>
      <c r="C181" s="307" t="n"/>
      <c r="D181" s="307" t="n"/>
      <c r="E181" s="307" t="n"/>
      <c r="F181" s="307" t="n"/>
      <c r="G181" s="307" t="n"/>
      <c r="H181" s="307" t="n"/>
      <c r="I181" s="307" t="n"/>
      <c r="J181" s="307" t="n"/>
      <c r="K181" s="307" t="n"/>
      <c r="L181" s="307" t="n"/>
      <c r="M181" s="307" t="n"/>
      <c r="N181" s="307" t="n"/>
      <c r="O181" s="307" t="n"/>
      <c r="P181" s="307" t="n"/>
      <c r="Q181" s="307" t="n"/>
      <c r="R181" s="307" t="n"/>
      <c r="S181" s="307" t="n"/>
      <c r="T181" s="307" t="n"/>
      <c r="U181" s="307" t="n"/>
      <c r="V181" s="307" t="n"/>
      <c r="W181" s="307" t="n"/>
      <c r="X181" s="307" t="n"/>
      <c r="Y181" s="307" t="n"/>
      <c r="Z181" s="307" t="n"/>
      <c r="AA181" s="307" t="n"/>
      <c r="AB181" s="307" t="n"/>
      <c r="AC181" s="307" t="n"/>
      <c r="AD181" s="307" t="n"/>
      <c r="AE181" s="307" t="n"/>
      <c r="AF181" s="307" t="n"/>
      <c r="AG181" s="307" t="n"/>
      <c r="AH181" s="307" t="n"/>
      <c r="AI181" s="307" t="n"/>
      <c r="AJ181" s="307" t="n"/>
      <c r="AK181" s="307" t="n"/>
      <c r="AL181" s="307" t="n"/>
      <c r="AM181" s="307" t="n"/>
      <c r="AN181" s="307" t="n"/>
      <c r="AO181" s="307" t="n"/>
      <c r="AP181" s="307" t="n"/>
      <c r="AQ181" s="307" t="n"/>
      <c r="AR181" s="307" t="n"/>
      <c r="AS181" s="307" t="n"/>
      <c r="AT181" s="307" t="n"/>
      <c r="AU181" s="307" t="n"/>
      <c r="AV181" s="307" t="n"/>
      <c r="AW181" s="307" t="n"/>
      <c r="AX181" s="307" t="n"/>
      <c r="AY181" s="307" t="n"/>
      <c r="AZ181" s="307" t="n"/>
      <c r="BA181" s="233" t="n"/>
      <c r="BB181" s="307" t="n"/>
      <c r="BC181" s="307" t="n"/>
      <c r="BD181" s="307" t="n"/>
      <c r="BE181" s="307" t="n"/>
      <c r="BF181" s="307" t="n"/>
      <c r="BG181" s="31" t="n"/>
      <c r="BH181" s="31" t="n"/>
      <c r="BI181" s="31" t="n"/>
      <c r="BJ181" s="31" t="n"/>
    </row>
    <row r="182" ht="15.75" customHeight="1" s="349">
      <c r="A182" s="307" t="n"/>
      <c r="B182" s="307" t="n"/>
      <c r="C182" s="307" t="n"/>
      <c r="D182" s="307" t="n"/>
      <c r="E182" s="307" t="n"/>
      <c r="F182" s="307" t="n"/>
      <c r="G182" s="307" t="n"/>
      <c r="H182" s="307" t="n"/>
      <c r="I182" s="307" t="n"/>
      <c r="J182" s="307" t="n"/>
      <c r="K182" s="307" t="n"/>
      <c r="L182" s="307" t="n"/>
      <c r="M182" s="307" t="n"/>
      <c r="N182" s="307" t="n"/>
      <c r="O182" s="307" t="n"/>
      <c r="P182" s="307" t="n"/>
      <c r="Q182" s="307" t="n"/>
      <c r="R182" s="307" t="n"/>
      <c r="S182" s="307" t="n"/>
      <c r="T182" s="307" t="n"/>
      <c r="U182" s="307" t="n"/>
      <c r="V182" s="307" t="n"/>
      <c r="W182" s="307" t="n"/>
      <c r="X182" s="307" t="n"/>
      <c r="Y182" s="307" t="n"/>
      <c r="Z182" s="307" t="n"/>
      <c r="AA182" s="307" t="n"/>
      <c r="AB182" s="307" t="n"/>
      <c r="AC182" s="307" t="n"/>
      <c r="AD182" s="307" t="n"/>
      <c r="AE182" s="307" t="n"/>
      <c r="AF182" s="307" t="n"/>
      <c r="AG182" s="307" t="n"/>
      <c r="AH182" s="307" t="n"/>
      <c r="AI182" s="307" t="n"/>
      <c r="AJ182" s="307" t="n"/>
      <c r="AK182" s="307" t="n"/>
      <c r="AL182" s="307" t="n"/>
      <c r="AM182" s="307" t="n"/>
      <c r="AN182" s="307" t="n"/>
      <c r="AO182" s="307" t="n"/>
      <c r="AP182" s="307" t="n"/>
      <c r="AQ182" s="307" t="n"/>
      <c r="AR182" s="307" t="n"/>
      <c r="AS182" s="307" t="n"/>
      <c r="AT182" s="307" t="n"/>
      <c r="AU182" s="307" t="n"/>
      <c r="AV182" s="307" t="n"/>
      <c r="AW182" s="307" t="n"/>
      <c r="AX182" s="307" t="n"/>
      <c r="AY182" s="307" t="n"/>
      <c r="AZ182" s="307" t="n"/>
      <c r="BA182" s="233" t="n"/>
      <c r="BB182" s="307" t="n"/>
      <c r="BC182" s="307" t="n"/>
      <c r="BD182" s="307" t="n"/>
      <c r="BE182" s="307" t="n"/>
      <c r="BF182" s="307" t="n"/>
      <c r="BG182" s="31" t="n"/>
      <c r="BH182" s="31" t="n"/>
      <c r="BI182" s="31" t="n"/>
      <c r="BJ182" s="31" t="n"/>
    </row>
    <row r="183" ht="15.75" customHeight="1" s="349">
      <c r="A183" s="307" t="n"/>
      <c r="B183" s="307" t="n"/>
      <c r="C183" s="307" t="n"/>
      <c r="D183" s="307" t="n"/>
      <c r="E183" s="307" t="n"/>
      <c r="F183" s="307" t="n"/>
      <c r="G183" s="307" t="n"/>
      <c r="H183" s="307" t="n"/>
      <c r="I183" s="307" t="n"/>
      <c r="J183" s="307" t="n"/>
      <c r="K183" s="307" t="n"/>
      <c r="L183" s="307" t="n"/>
      <c r="M183" s="307" t="n"/>
      <c r="N183" s="307" t="n"/>
      <c r="O183" s="307" t="n"/>
      <c r="P183" s="307" t="n"/>
      <c r="Q183" s="307" t="n"/>
      <c r="R183" s="307" t="n"/>
      <c r="S183" s="307" t="n"/>
      <c r="T183" s="307" t="n"/>
      <c r="U183" s="307" t="n"/>
      <c r="V183" s="307" t="n"/>
      <c r="W183" s="307" t="n"/>
      <c r="X183" s="307" t="n"/>
      <c r="Y183" s="307" t="n"/>
      <c r="Z183" s="307" t="n"/>
      <c r="AA183" s="307" t="n"/>
      <c r="AB183" s="307" t="n"/>
      <c r="AC183" s="307" t="n"/>
      <c r="AD183" s="307" t="n"/>
      <c r="AE183" s="307" t="n"/>
      <c r="AF183" s="307" t="n"/>
      <c r="AG183" s="307" t="n"/>
      <c r="AH183" s="307" t="n"/>
      <c r="AI183" s="307" t="n"/>
      <c r="AJ183" s="307" t="n"/>
      <c r="AK183" s="307" t="n"/>
      <c r="AL183" s="307" t="n"/>
      <c r="AM183" s="307" t="n"/>
      <c r="AN183" s="307" t="n"/>
      <c r="AO183" s="307" t="n"/>
      <c r="AP183" s="307" t="n"/>
      <c r="AQ183" s="307" t="n"/>
      <c r="AR183" s="307" t="n"/>
      <c r="AS183" s="307" t="n"/>
      <c r="AT183" s="307" t="n"/>
      <c r="AU183" s="307" t="n"/>
      <c r="AV183" s="307" t="n"/>
      <c r="AW183" s="307" t="n"/>
      <c r="AX183" s="307" t="n"/>
      <c r="AY183" s="307" t="n"/>
      <c r="AZ183" s="307" t="n"/>
      <c r="BA183" s="233" t="n"/>
      <c r="BB183" s="307" t="n"/>
      <c r="BC183" s="307" t="n"/>
      <c r="BD183" s="307" t="n"/>
      <c r="BE183" s="307" t="n"/>
      <c r="BF183" s="307" t="n"/>
      <c r="BG183" s="31" t="n"/>
      <c r="BH183" s="31" t="n"/>
      <c r="BI183" s="31" t="n"/>
      <c r="BJ183" s="31" t="n"/>
    </row>
    <row r="184" ht="15.75" customHeight="1" s="349">
      <c r="A184" s="307" t="n"/>
      <c r="B184" s="307" t="n"/>
      <c r="C184" s="307" t="n"/>
      <c r="D184" s="307" t="n"/>
      <c r="E184" s="307" t="n"/>
      <c r="F184" s="307" t="n"/>
      <c r="G184" s="307" t="n"/>
      <c r="H184" s="307" t="n"/>
      <c r="I184" s="307" t="n"/>
      <c r="J184" s="307" t="n"/>
      <c r="K184" s="307" t="n"/>
      <c r="L184" s="307" t="n"/>
      <c r="M184" s="307" t="n"/>
      <c r="N184" s="307" t="n"/>
      <c r="O184" s="307" t="n"/>
      <c r="P184" s="307" t="n"/>
      <c r="Q184" s="307" t="n"/>
      <c r="R184" s="307" t="n"/>
      <c r="S184" s="307" t="n"/>
      <c r="T184" s="307" t="n"/>
      <c r="U184" s="307" t="n"/>
      <c r="V184" s="307" t="n"/>
      <c r="W184" s="307" t="n"/>
      <c r="X184" s="307" t="n"/>
      <c r="Y184" s="307" t="n"/>
      <c r="Z184" s="307" t="n"/>
      <c r="AA184" s="307" t="n"/>
      <c r="AB184" s="307" t="n"/>
      <c r="AC184" s="307" t="n"/>
      <c r="AD184" s="307" t="n"/>
      <c r="AE184" s="307" t="n"/>
      <c r="AF184" s="307" t="n"/>
      <c r="AG184" s="307" t="n"/>
      <c r="AH184" s="307" t="n"/>
      <c r="AI184" s="307" t="n"/>
      <c r="AJ184" s="307" t="n"/>
      <c r="AK184" s="307" t="n"/>
      <c r="AL184" s="307" t="n"/>
      <c r="AM184" s="307" t="n"/>
      <c r="AN184" s="307" t="n"/>
      <c r="AO184" s="307" t="n"/>
      <c r="AP184" s="307" t="n"/>
      <c r="AQ184" s="307" t="n"/>
      <c r="AR184" s="307" t="n"/>
      <c r="AS184" s="307" t="n"/>
      <c r="AT184" s="307" t="n"/>
      <c r="AU184" s="307" t="n"/>
      <c r="AV184" s="307" t="n"/>
      <c r="AW184" s="307" t="n"/>
      <c r="AX184" s="307" t="n"/>
      <c r="AY184" s="307" t="n"/>
      <c r="AZ184" s="307" t="n"/>
      <c r="BA184" s="233" t="n"/>
      <c r="BB184" s="307" t="n"/>
      <c r="BC184" s="307" t="n"/>
      <c r="BD184" s="307" t="n"/>
      <c r="BE184" s="307" t="n"/>
      <c r="BF184" s="307" t="n"/>
      <c r="BG184" s="31" t="n"/>
      <c r="BH184" s="31" t="n"/>
      <c r="BI184" s="31" t="n"/>
      <c r="BJ184" s="31" t="n"/>
    </row>
    <row r="185" ht="15.75" customHeight="1" s="349">
      <c r="A185" s="307" t="n"/>
      <c r="B185" s="307" t="n"/>
      <c r="C185" s="307" t="n"/>
      <c r="D185" s="307" t="n"/>
      <c r="E185" s="307" t="n"/>
      <c r="F185" s="307" t="n"/>
      <c r="G185" s="307" t="n"/>
      <c r="H185" s="307" t="n"/>
      <c r="I185" s="307" t="n"/>
      <c r="J185" s="307" t="n"/>
      <c r="K185" s="307" t="n"/>
      <c r="L185" s="307" t="n"/>
      <c r="M185" s="307" t="n"/>
      <c r="N185" s="307" t="n"/>
      <c r="O185" s="307" t="n"/>
      <c r="P185" s="307" t="n"/>
      <c r="Q185" s="307" t="n"/>
      <c r="R185" s="307" t="n"/>
      <c r="S185" s="307" t="n"/>
      <c r="T185" s="307" t="n"/>
      <c r="U185" s="307" t="n"/>
      <c r="V185" s="307" t="n"/>
      <c r="W185" s="307" t="n"/>
      <c r="X185" s="307" t="n"/>
      <c r="Y185" s="307" t="n"/>
      <c r="Z185" s="307" t="n"/>
      <c r="AA185" s="307" t="n"/>
      <c r="AB185" s="307" t="n"/>
      <c r="AC185" s="307" t="n"/>
      <c r="AD185" s="307" t="n"/>
      <c r="AE185" s="307" t="n"/>
      <c r="AF185" s="307" t="n"/>
      <c r="AG185" s="307" t="n"/>
      <c r="AH185" s="307" t="n"/>
      <c r="AI185" s="307" t="n"/>
      <c r="AJ185" s="307" t="n"/>
      <c r="AK185" s="307" t="n"/>
      <c r="AL185" s="307" t="n"/>
      <c r="AM185" s="307" t="n"/>
      <c r="AN185" s="307" t="n"/>
      <c r="AO185" s="307" t="n"/>
      <c r="AP185" s="307" t="n"/>
      <c r="AQ185" s="307" t="n"/>
      <c r="AR185" s="307" t="n"/>
      <c r="AS185" s="307" t="n"/>
      <c r="AT185" s="307" t="n"/>
      <c r="AU185" s="307" t="n"/>
      <c r="AV185" s="307" t="n"/>
      <c r="AW185" s="307" t="n"/>
      <c r="AX185" s="307" t="n"/>
      <c r="AY185" s="307" t="n"/>
      <c r="AZ185" s="307" t="n"/>
      <c r="BA185" s="233" t="n"/>
      <c r="BB185" s="307" t="n"/>
      <c r="BC185" s="307" t="n"/>
      <c r="BD185" s="307" t="n"/>
      <c r="BE185" s="307" t="n"/>
      <c r="BF185" s="307" t="n"/>
      <c r="BG185" s="31" t="n"/>
      <c r="BH185" s="31" t="n"/>
      <c r="BI185" s="31" t="n"/>
      <c r="BJ185" s="31" t="n"/>
    </row>
    <row r="186" ht="15.75" customHeight="1" s="349">
      <c r="A186" s="307" t="n"/>
      <c r="B186" s="307" t="n"/>
      <c r="C186" s="307" t="n"/>
      <c r="D186" s="307" t="n"/>
      <c r="E186" s="307" t="n"/>
      <c r="F186" s="307" t="n"/>
      <c r="G186" s="307" t="n"/>
      <c r="H186" s="307" t="n"/>
      <c r="I186" s="307" t="n"/>
      <c r="J186" s="307" t="n"/>
      <c r="K186" s="307" t="n"/>
      <c r="L186" s="307" t="n"/>
      <c r="M186" s="307" t="n"/>
      <c r="N186" s="307" t="n"/>
      <c r="O186" s="307" t="n"/>
      <c r="P186" s="307" t="n"/>
      <c r="Q186" s="307" t="n"/>
      <c r="R186" s="307" t="n"/>
      <c r="S186" s="307" t="n"/>
      <c r="T186" s="307" t="n"/>
      <c r="U186" s="307" t="n"/>
      <c r="V186" s="307" t="n"/>
      <c r="W186" s="307" t="n"/>
      <c r="X186" s="307" t="n"/>
      <c r="Y186" s="307" t="n"/>
      <c r="Z186" s="307" t="n"/>
      <c r="AA186" s="307" t="n"/>
      <c r="AB186" s="307" t="n"/>
      <c r="AC186" s="307" t="n"/>
      <c r="AD186" s="307" t="n"/>
      <c r="AE186" s="307" t="n"/>
      <c r="AF186" s="307" t="n"/>
      <c r="AG186" s="307" t="n"/>
      <c r="AH186" s="307" t="n"/>
      <c r="AI186" s="307" t="n"/>
      <c r="AJ186" s="307" t="n"/>
      <c r="AK186" s="307" t="n"/>
      <c r="AL186" s="307" t="n"/>
      <c r="AM186" s="307" t="n"/>
      <c r="AN186" s="307" t="n"/>
      <c r="AO186" s="307" t="n"/>
      <c r="AP186" s="307" t="n"/>
      <c r="AQ186" s="307" t="n"/>
      <c r="AR186" s="307" t="n"/>
      <c r="AS186" s="307" t="n"/>
      <c r="AT186" s="307" t="n"/>
      <c r="AU186" s="307" t="n"/>
      <c r="AV186" s="307" t="n"/>
      <c r="AW186" s="307" t="n"/>
      <c r="AX186" s="307" t="n"/>
      <c r="AY186" s="307" t="n"/>
      <c r="AZ186" s="307" t="n"/>
      <c r="BA186" s="233" t="n"/>
      <c r="BB186" s="307" t="n"/>
      <c r="BC186" s="307" t="n"/>
      <c r="BD186" s="307" t="n"/>
      <c r="BE186" s="307" t="n"/>
      <c r="BF186" s="307" t="n"/>
      <c r="BG186" s="31" t="n"/>
      <c r="BH186" s="31" t="n"/>
      <c r="BI186" s="31" t="n"/>
      <c r="BJ186" s="31" t="n"/>
    </row>
    <row r="187" ht="15.75" customHeight="1" s="349">
      <c r="A187" s="307" t="n"/>
      <c r="B187" s="307" t="n"/>
      <c r="C187" s="307" t="n"/>
      <c r="D187" s="307" t="n"/>
      <c r="E187" s="307" t="n"/>
      <c r="F187" s="307" t="n"/>
      <c r="G187" s="307" t="n"/>
      <c r="H187" s="307" t="n"/>
      <c r="I187" s="307" t="n"/>
      <c r="J187" s="307" t="n"/>
      <c r="K187" s="307" t="n"/>
      <c r="L187" s="307" t="n"/>
      <c r="M187" s="307" t="n"/>
      <c r="N187" s="307" t="n"/>
      <c r="O187" s="307" t="n"/>
      <c r="P187" s="307" t="n"/>
      <c r="Q187" s="307" t="n"/>
      <c r="R187" s="307" t="n"/>
      <c r="S187" s="307" t="n"/>
      <c r="T187" s="307" t="n"/>
      <c r="U187" s="307" t="n"/>
      <c r="V187" s="307" t="n"/>
      <c r="W187" s="307" t="n"/>
      <c r="X187" s="307" t="n"/>
      <c r="Y187" s="307" t="n"/>
      <c r="Z187" s="307" t="n"/>
      <c r="AA187" s="307" t="n"/>
      <c r="AB187" s="307" t="n"/>
      <c r="AC187" s="307" t="n"/>
      <c r="AD187" s="307" t="n"/>
      <c r="AE187" s="307" t="n"/>
      <c r="AF187" s="307" t="n"/>
      <c r="AG187" s="307" t="n"/>
      <c r="AH187" s="307" t="n"/>
      <c r="AI187" s="307" t="n"/>
      <c r="AJ187" s="307" t="n"/>
      <c r="AK187" s="307" t="n"/>
      <c r="AL187" s="307" t="n"/>
      <c r="AM187" s="307" t="n"/>
      <c r="AN187" s="307" t="n"/>
      <c r="AO187" s="307" t="n"/>
      <c r="AP187" s="307" t="n"/>
      <c r="AQ187" s="307" t="n"/>
      <c r="AR187" s="307" t="n"/>
      <c r="AS187" s="307" t="n"/>
      <c r="AT187" s="307" t="n"/>
      <c r="AU187" s="307" t="n"/>
      <c r="AV187" s="307" t="n"/>
      <c r="AW187" s="307" t="n"/>
      <c r="AX187" s="307" t="n"/>
      <c r="AY187" s="307" t="n"/>
      <c r="AZ187" s="307" t="n"/>
      <c r="BA187" s="233" t="n"/>
      <c r="BB187" s="307" t="n"/>
      <c r="BC187" s="307" t="n"/>
      <c r="BD187" s="307" t="n"/>
      <c r="BE187" s="307" t="n"/>
      <c r="BF187" s="307" t="n"/>
      <c r="BG187" s="31" t="n"/>
      <c r="BH187" s="31" t="n"/>
      <c r="BI187" s="31" t="n"/>
      <c r="BJ187" s="31" t="n"/>
    </row>
    <row r="188" ht="15.75" customHeight="1" s="349">
      <c r="A188" s="307" t="n"/>
      <c r="B188" s="307" t="n"/>
      <c r="C188" s="307" t="n"/>
      <c r="D188" s="307" t="n"/>
      <c r="E188" s="307" t="n"/>
      <c r="F188" s="307" t="n"/>
      <c r="G188" s="307" t="n"/>
      <c r="H188" s="307" t="n"/>
      <c r="I188" s="307" t="n"/>
      <c r="J188" s="307" t="n"/>
      <c r="K188" s="307" t="n"/>
      <c r="L188" s="307" t="n"/>
      <c r="M188" s="307" t="n"/>
      <c r="N188" s="307" t="n"/>
      <c r="O188" s="307" t="n"/>
      <c r="P188" s="307" t="n"/>
      <c r="Q188" s="307" t="n"/>
      <c r="R188" s="307" t="n"/>
      <c r="S188" s="307" t="n"/>
      <c r="T188" s="307" t="n"/>
      <c r="U188" s="307" t="n"/>
      <c r="V188" s="307" t="n"/>
      <c r="W188" s="307" t="n"/>
      <c r="X188" s="307" t="n"/>
      <c r="Y188" s="307" t="n"/>
      <c r="Z188" s="307" t="n"/>
      <c r="AA188" s="307" t="n"/>
      <c r="AB188" s="307" t="n"/>
      <c r="AC188" s="307" t="n"/>
      <c r="AD188" s="307" t="n"/>
      <c r="AE188" s="307" t="n"/>
      <c r="AF188" s="307" t="n"/>
      <c r="AG188" s="307" t="n"/>
      <c r="AH188" s="307" t="n"/>
      <c r="AI188" s="307" t="n"/>
      <c r="AJ188" s="307" t="n"/>
      <c r="AK188" s="307" t="n"/>
      <c r="AL188" s="307" t="n"/>
      <c r="AM188" s="307" t="n"/>
      <c r="AN188" s="307" t="n"/>
      <c r="AO188" s="307" t="n"/>
      <c r="AP188" s="307" t="n"/>
      <c r="AQ188" s="307" t="n"/>
      <c r="AR188" s="307" t="n"/>
      <c r="AS188" s="307" t="n"/>
      <c r="AT188" s="307" t="n"/>
      <c r="AU188" s="307" t="n"/>
      <c r="AV188" s="307" t="n"/>
      <c r="AW188" s="307" t="n"/>
      <c r="AX188" s="307" t="n"/>
      <c r="AY188" s="307" t="n"/>
      <c r="AZ188" s="307" t="n"/>
      <c r="BA188" s="233" t="n"/>
      <c r="BB188" s="307" t="n"/>
      <c r="BC188" s="307" t="n"/>
      <c r="BD188" s="307" t="n"/>
      <c r="BE188" s="307" t="n"/>
      <c r="BF188" s="307" t="n"/>
      <c r="BG188" s="31" t="n"/>
      <c r="BH188" s="31" t="n"/>
      <c r="BI188" s="31" t="n"/>
      <c r="BJ188" s="31" t="n"/>
    </row>
    <row r="189" ht="15.75" customHeight="1" s="349">
      <c r="A189" s="307" t="n"/>
      <c r="B189" s="307" t="n"/>
      <c r="C189" s="307" t="n"/>
      <c r="D189" s="307" t="n"/>
      <c r="E189" s="307" t="n"/>
      <c r="F189" s="307" t="n"/>
      <c r="G189" s="307" t="n"/>
      <c r="H189" s="307" t="n"/>
      <c r="I189" s="307" t="n"/>
      <c r="J189" s="307" t="n"/>
      <c r="K189" s="307" t="n"/>
      <c r="L189" s="307" t="n"/>
      <c r="M189" s="307" t="n"/>
      <c r="N189" s="307" t="n"/>
      <c r="O189" s="307" t="n"/>
      <c r="P189" s="307" t="n"/>
      <c r="Q189" s="307" t="n"/>
      <c r="R189" s="307" t="n"/>
      <c r="S189" s="307" t="n"/>
      <c r="T189" s="307" t="n"/>
      <c r="U189" s="307" t="n"/>
      <c r="V189" s="307" t="n"/>
      <c r="W189" s="307" t="n"/>
      <c r="X189" s="307" t="n"/>
      <c r="Y189" s="307" t="n"/>
      <c r="Z189" s="307" t="n"/>
      <c r="AA189" s="307" t="n"/>
      <c r="AB189" s="307" t="n"/>
      <c r="AC189" s="307" t="n"/>
      <c r="AD189" s="307" t="n"/>
      <c r="AE189" s="307" t="n"/>
      <c r="AF189" s="307" t="n"/>
      <c r="AG189" s="307" t="n"/>
      <c r="AH189" s="307" t="n"/>
      <c r="AI189" s="307" t="n"/>
      <c r="AJ189" s="307" t="n"/>
      <c r="AK189" s="307" t="n"/>
      <c r="AL189" s="307" t="n"/>
      <c r="AM189" s="307" t="n"/>
      <c r="AN189" s="307" t="n"/>
      <c r="AO189" s="307" t="n"/>
      <c r="AP189" s="307" t="n"/>
      <c r="AQ189" s="307" t="n"/>
      <c r="AR189" s="307" t="n"/>
      <c r="AS189" s="307" t="n"/>
      <c r="AT189" s="307" t="n"/>
      <c r="AU189" s="307" t="n"/>
      <c r="AV189" s="307" t="n"/>
      <c r="AW189" s="307" t="n"/>
      <c r="AX189" s="307" t="n"/>
      <c r="AY189" s="307" t="n"/>
      <c r="AZ189" s="307" t="n"/>
      <c r="BA189" s="233" t="n"/>
      <c r="BB189" s="307" t="n"/>
      <c r="BC189" s="307" t="n"/>
      <c r="BD189" s="307" t="n"/>
      <c r="BE189" s="307" t="n"/>
      <c r="BF189" s="307" t="n"/>
      <c r="BG189" s="31" t="n"/>
      <c r="BH189" s="31" t="n"/>
      <c r="BI189" s="31" t="n"/>
      <c r="BJ189" s="31" t="n"/>
    </row>
    <row r="190" ht="15.75" customHeight="1" s="349">
      <c r="A190" s="307" t="n"/>
      <c r="B190" s="307" t="n"/>
      <c r="C190" s="307" t="n"/>
      <c r="D190" s="307" t="n"/>
      <c r="E190" s="307" t="n"/>
      <c r="F190" s="307" t="n"/>
      <c r="G190" s="307" t="n"/>
      <c r="H190" s="307" t="n"/>
      <c r="I190" s="307" t="n"/>
      <c r="J190" s="307" t="n"/>
      <c r="K190" s="307" t="n"/>
      <c r="L190" s="307" t="n"/>
      <c r="M190" s="307" t="n"/>
      <c r="N190" s="307" t="n"/>
      <c r="O190" s="307" t="n"/>
      <c r="P190" s="307" t="n"/>
      <c r="Q190" s="307" t="n"/>
      <c r="R190" s="307" t="n"/>
      <c r="S190" s="307" t="n"/>
      <c r="T190" s="307" t="n"/>
      <c r="U190" s="307" t="n"/>
      <c r="V190" s="307" t="n"/>
      <c r="W190" s="307" t="n"/>
      <c r="X190" s="307" t="n"/>
      <c r="Y190" s="307" t="n"/>
      <c r="Z190" s="307" t="n"/>
      <c r="AA190" s="307" t="n"/>
      <c r="AB190" s="307" t="n"/>
      <c r="AC190" s="307" t="n"/>
      <c r="AD190" s="307" t="n"/>
      <c r="AE190" s="307" t="n"/>
      <c r="AF190" s="307" t="n"/>
      <c r="AG190" s="307" t="n"/>
      <c r="AH190" s="307" t="n"/>
      <c r="AI190" s="307" t="n"/>
      <c r="AJ190" s="307" t="n"/>
      <c r="AK190" s="307" t="n"/>
      <c r="AL190" s="307" t="n"/>
      <c r="AM190" s="307" t="n"/>
      <c r="AN190" s="307" t="n"/>
      <c r="AO190" s="307" t="n"/>
      <c r="AP190" s="307" t="n"/>
      <c r="AQ190" s="307" t="n"/>
      <c r="AR190" s="307" t="n"/>
      <c r="AS190" s="307" t="n"/>
      <c r="AT190" s="307" t="n"/>
      <c r="AU190" s="307" t="n"/>
      <c r="AV190" s="307" t="n"/>
      <c r="AW190" s="307" t="n"/>
      <c r="AX190" s="307" t="n"/>
      <c r="AY190" s="307" t="n"/>
      <c r="AZ190" s="307" t="n"/>
      <c r="BA190" s="233" t="n"/>
      <c r="BB190" s="307" t="n"/>
      <c r="BC190" s="307" t="n"/>
      <c r="BD190" s="307" t="n"/>
      <c r="BE190" s="307" t="n"/>
      <c r="BF190" s="307" t="n"/>
      <c r="BG190" s="31" t="n"/>
      <c r="BH190" s="31" t="n"/>
      <c r="BI190" s="31" t="n"/>
      <c r="BJ190" s="31" t="n"/>
    </row>
    <row r="191" ht="15.75" customHeight="1" s="349">
      <c r="A191" s="307" t="n"/>
      <c r="B191" s="307" t="n"/>
      <c r="C191" s="307" t="n"/>
      <c r="D191" s="307" t="n"/>
      <c r="E191" s="307" t="n"/>
      <c r="F191" s="307" t="n"/>
      <c r="G191" s="307" t="n"/>
      <c r="H191" s="307" t="n"/>
      <c r="I191" s="307" t="n"/>
      <c r="J191" s="307" t="n"/>
      <c r="K191" s="307" t="n"/>
      <c r="L191" s="307" t="n"/>
      <c r="M191" s="307" t="n"/>
      <c r="N191" s="307" t="n"/>
      <c r="O191" s="307" t="n"/>
      <c r="P191" s="307" t="n"/>
      <c r="Q191" s="307" t="n"/>
      <c r="R191" s="307" t="n"/>
      <c r="S191" s="307" t="n"/>
      <c r="T191" s="307" t="n"/>
      <c r="U191" s="307" t="n"/>
      <c r="V191" s="307" t="n"/>
      <c r="W191" s="307" t="n"/>
      <c r="X191" s="307" t="n"/>
      <c r="Y191" s="307" t="n"/>
      <c r="Z191" s="307" t="n"/>
      <c r="AA191" s="307" t="n"/>
      <c r="AB191" s="307" t="n"/>
      <c r="AC191" s="307" t="n"/>
      <c r="AD191" s="307" t="n"/>
      <c r="AE191" s="307" t="n"/>
      <c r="AF191" s="307" t="n"/>
      <c r="AG191" s="307" t="n"/>
      <c r="AH191" s="307" t="n"/>
      <c r="AI191" s="307" t="n"/>
      <c r="AJ191" s="307" t="n"/>
      <c r="AK191" s="307" t="n"/>
      <c r="AL191" s="307" t="n"/>
      <c r="AM191" s="307" t="n"/>
      <c r="AN191" s="307" t="n"/>
      <c r="AO191" s="307" t="n"/>
      <c r="AP191" s="307" t="n"/>
      <c r="AQ191" s="307" t="n"/>
      <c r="AR191" s="307" t="n"/>
      <c r="AS191" s="307" t="n"/>
      <c r="AT191" s="307" t="n"/>
      <c r="AU191" s="307" t="n"/>
      <c r="AV191" s="307" t="n"/>
      <c r="AW191" s="307" t="n"/>
      <c r="AX191" s="307" t="n"/>
      <c r="AY191" s="307" t="n"/>
      <c r="AZ191" s="307" t="n"/>
      <c r="BA191" s="233" t="n"/>
      <c r="BB191" s="307" t="n"/>
      <c r="BC191" s="307" t="n"/>
      <c r="BD191" s="307" t="n"/>
      <c r="BE191" s="307" t="n"/>
      <c r="BF191" s="307" t="n"/>
      <c r="BG191" s="31" t="n"/>
      <c r="BH191" s="31" t="n"/>
      <c r="BI191" s="31" t="n"/>
      <c r="BJ191" s="31" t="n"/>
    </row>
    <row r="192" ht="15.75" customHeight="1" s="349">
      <c r="A192" s="307" t="n"/>
      <c r="B192" s="307" t="n"/>
      <c r="C192" s="307" t="n"/>
      <c r="D192" s="307" t="n"/>
      <c r="E192" s="307" t="n"/>
      <c r="F192" s="307" t="n"/>
      <c r="G192" s="307" t="n"/>
      <c r="H192" s="307" t="n"/>
      <c r="I192" s="307" t="n"/>
      <c r="J192" s="307" t="n"/>
      <c r="K192" s="307" t="n"/>
      <c r="L192" s="307" t="n"/>
      <c r="M192" s="307" t="n"/>
      <c r="N192" s="307" t="n"/>
      <c r="O192" s="307" t="n"/>
      <c r="P192" s="307" t="n"/>
      <c r="Q192" s="307" t="n"/>
      <c r="R192" s="307" t="n"/>
      <c r="S192" s="307" t="n"/>
      <c r="T192" s="307" t="n"/>
      <c r="U192" s="307" t="n"/>
      <c r="V192" s="307" t="n"/>
      <c r="W192" s="307" t="n"/>
      <c r="X192" s="307" t="n"/>
      <c r="Y192" s="307" t="n"/>
      <c r="Z192" s="307" t="n"/>
      <c r="AA192" s="307" t="n"/>
      <c r="AB192" s="307" t="n"/>
      <c r="AC192" s="307" t="n"/>
      <c r="AD192" s="307" t="n"/>
      <c r="AE192" s="307" t="n"/>
      <c r="AF192" s="307" t="n"/>
      <c r="AG192" s="307" t="n"/>
      <c r="AH192" s="307" t="n"/>
      <c r="AI192" s="307" t="n"/>
      <c r="AJ192" s="307" t="n"/>
      <c r="AK192" s="307" t="n"/>
      <c r="AL192" s="307" t="n"/>
      <c r="AM192" s="307" t="n"/>
      <c r="AN192" s="307" t="n"/>
      <c r="AO192" s="307" t="n"/>
      <c r="AP192" s="307" t="n"/>
      <c r="AQ192" s="307" t="n"/>
      <c r="AR192" s="307" t="n"/>
      <c r="AS192" s="307" t="n"/>
      <c r="AT192" s="307" t="n"/>
      <c r="AU192" s="307" t="n"/>
      <c r="AV192" s="307" t="n"/>
      <c r="AW192" s="307" t="n"/>
      <c r="AX192" s="307" t="n"/>
      <c r="AY192" s="307" t="n"/>
      <c r="AZ192" s="307" t="n"/>
      <c r="BA192" s="233" t="n"/>
      <c r="BB192" s="307" t="n"/>
      <c r="BC192" s="307" t="n"/>
      <c r="BD192" s="307" t="n"/>
      <c r="BE192" s="307" t="n"/>
      <c r="BF192" s="307" t="n"/>
      <c r="BG192" s="31" t="n"/>
      <c r="BH192" s="31" t="n"/>
      <c r="BI192" s="31" t="n"/>
      <c r="BJ192" s="31" t="n"/>
    </row>
    <row r="193" ht="15.75" customHeight="1" s="349">
      <c r="A193" s="307" t="n"/>
      <c r="B193" s="307" t="n"/>
      <c r="C193" s="307" t="n"/>
      <c r="D193" s="307" t="n"/>
      <c r="E193" s="307" t="n"/>
      <c r="F193" s="307" t="n"/>
      <c r="G193" s="307" t="n"/>
      <c r="H193" s="307" t="n"/>
      <c r="I193" s="307" t="n"/>
      <c r="J193" s="307" t="n"/>
      <c r="K193" s="307" t="n"/>
      <c r="L193" s="307" t="n"/>
      <c r="M193" s="307" t="n"/>
      <c r="N193" s="307" t="n"/>
      <c r="O193" s="307" t="n"/>
      <c r="P193" s="307" t="n"/>
      <c r="Q193" s="307" t="n"/>
      <c r="R193" s="307" t="n"/>
      <c r="S193" s="307" t="n"/>
      <c r="T193" s="307" t="n"/>
      <c r="U193" s="307" t="n"/>
      <c r="V193" s="307" t="n"/>
      <c r="W193" s="307" t="n"/>
      <c r="X193" s="307" t="n"/>
      <c r="Y193" s="307" t="n"/>
      <c r="Z193" s="307" t="n"/>
      <c r="AA193" s="307" t="n"/>
      <c r="AB193" s="307" t="n"/>
      <c r="AC193" s="307" t="n"/>
      <c r="AD193" s="307" t="n"/>
      <c r="AE193" s="307" t="n"/>
      <c r="AF193" s="307" t="n"/>
      <c r="AG193" s="307" t="n"/>
      <c r="AH193" s="307" t="n"/>
      <c r="AI193" s="307" t="n"/>
      <c r="AJ193" s="307" t="n"/>
      <c r="AK193" s="307" t="n"/>
      <c r="AL193" s="307" t="n"/>
      <c r="AM193" s="307" t="n"/>
      <c r="AN193" s="307" t="n"/>
      <c r="AO193" s="307" t="n"/>
      <c r="AP193" s="307" t="n"/>
      <c r="AQ193" s="307" t="n"/>
      <c r="AR193" s="307" t="n"/>
      <c r="AS193" s="307" t="n"/>
      <c r="AT193" s="307" t="n"/>
      <c r="AU193" s="307" t="n"/>
      <c r="AV193" s="307" t="n"/>
      <c r="AW193" s="307" t="n"/>
      <c r="AX193" s="307" t="n"/>
      <c r="AY193" s="307" t="n"/>
      <c r="AZ193" s="307" t="n"/>
      <c r="BA193" s="233" t="n"/>
      <c r="BB193" s="307" t="n"/>
      <c r="BC193" s="307" t="n"/>
      <c r="BD193" s="307" t="n"/>
      <c r="BE193" s="307" t="n"/>
      <c r="BF193" s="307" t="n"/>
      <c r="BG193" s="31" t="n"/>
      <c r="BH193" s="31" t="n"/>
      <c r="BI193" s="31" t="n"/>
      <c r="BJ193" s="31" t="n"/>
    </row>
    <row r="194" ht="15.75" customHeight="1" s="349">
      <c r="A194" s="307" t="n"/>
      <c r="B194" s="307" t="n"/>
      <c r="C194" s="307" t="n"/>
      <c r="D194" s="307" t="n"/>
      <c r="E194" s="307" t="n"/>
      <c r="F194" s="307" t="n"/>
      <c r="G194" s="307" t="n"/>
      <c r="H194" s="307" t="n"/>
      <c r="I194" s="307" t="n"/>
      <c r="J194" s="307" t="n"/>
      <c r="K194" s="307" t="n"/>
      <c r="L194" s="307" t="n"/>
      <c r="M194" s="307" t="n"/>
      <c r="N194" s="307" t="n"/>
      <c r="O194" s="307" t="n"/>
      <c r="P194" s="307" t="n"/>
      <c r="Q194" s="307" t="n"/>
      <c r="R194" s="307" t="n"/>
      <c r="S194" s="307" t="n"/>
      <c r="T194" s="307" t="n"/>
      <c r="U194" s="307" t="n"/>
      <c r="V194" s="307" t="n"/>
      <c r="W194" s="307" t="n"/>
      <c r="X194" s="307" t="n"/>
      <c r="Y194" s="307" t="n"/>
      <c r="Z194" s="307" t="n"/>
      <c r="AA194" s="307" t="n"/>
      <c r="AB194" s="307" t="n"/>
      <c r="AC194" s="307" t="n"/>
      <c r="AD194" s="307" t="n"/>
      <c r="AE194" s="307" t="n"/>
      <c r="AF194" s="307" t="n"/>
      <c r="AG194" s="307" t="n"/>
      <c r="AH194" s="307" t="n"/>
      <c r="AI194" s="307" t="n"/>
      <c r="AJ194" s="307" t="n"/>
      <c r="AK194" s="307" t="n"/>
      <c r="AL194" s="307" t="n"/>
      <c r="AM194" s="307" t="n"/>
      <c r="AN194" s="307" t="n"/>
      <c r="AO194" s="307" t="n"/>
      <c r="AP194" s="307" t="n"/>
      <c r="AQ194" s="307" t="n"/>
      <c r="AR194" s="307" t="n"/>
      <c r="AS194" s="307" t="n"/>
      <c r="AT194" s="307" t="n"/>
      <c r="AU194" s="307" t="n"/>
      <c r="AV194" s="307" t="n"/>
      <c r="AW194" s="307" t="n"/>
      <c r="AX194" s="307" t="n"/>
      <c r="AY194" s="307" t="n"/>
      <c r="AZ194" s="307" t="n"/>
      <c r="BA194" s="233" t="n"/>
      <c r="BB194" s="307" t="n"/>
      <c r="BC194" s="307" t="n"/>
      <c r="BD194" s="307" t="n"/>
      <c r="BE194" s="307" t="n"/>
      <c r="BF194" s="307" t="n"/>
      <c r="BG194" s="31" t="n"/>
      <c r="BH194" s="31" t="n"/>
      <c r="BI194" s="31" t="n"/>
      <c r="BJ194" s="31" t="n"/>
    </row>
    <row r="195" ht="15.75" customHeight="1" s="349">
      <c r="A195" s="307" t="n"/>
      <c r="B195" s="307" t="n"/>
      <c r="C195" s="307" t="n"/>
      <c r="D195" s="307" t="n"/>
      <c r="E195" s="307" t="n"/>
      <c r="F195" s="307" t="n"/>
      <c r="G195" s="307" t="n"/>
      <c r="H195" s="307" t="n"/>
      <c r="I195" s="307" t="n"/>
      <c r="J195" s="307" t="n"/>
      <c r="K195" s="307" t="n"/>
      <c r="L195" s="307" t="n"/>
      <c r="M195" s="307" t="n"/>
      <c r="N195" s="307" t="n"/>
      <c r="O195" s="307" t="n"/>
      <c r="P195" s="307" t="n"/>
      <c r="Q195" s="307" t="n"/>
      <c r="R195" s="307" t="n"/>
      <c r="S195" s="307" t="n"/>
      <c r="T195" s="307" t="n"/>
      <c r="U195" s="307" t="n"/>
      <c r="V195" s="307" t="n"/>
      <c r="W195" s="307" t="n"/>
      <c r="X195" s="307" t="n"/>
      <c r="Y195" s="307" t="n"/>
      <c r="Z195" s="307" t="n"/>
      <c r="AA195" s="307" t="n"/>
      <c r="AB195" s="307" t="n"/>
      <c r="AC195" s="307" t="n"/>
      <c r="AD195" s="307" t="n"/>
      <c r="AE195" s="307" t="n"/>
      <c r="AF195" s="307" t="n"/>
      <c r="AG195" s="307" t="n"/>
      <c r="AH195" s="307" t="n"/>
      <c r="AI195" s="307" t="n"/>
      <c r="AJ195" s="307" t="n"/>
      <c r="AK195" s="307" t="n"/>
      <c r="AL195" s="307" t="n"/>
      <c r="AM195" s="307" t="n"/>
      <c r="AN195" s="307" t="n"/>
      <c r="AO195" s="307" t="n"/>
      <c r="AP195" s="307" t="n"/>
      <c r="AQ195" s="307" t="n"/>
      <c r="AR195" s="307" t="n"/>
      <c r="AS195" s="307" t="n"/>
      <c r="AT195" s="307" t="n"/>
      <c r="AU195" s="307" t="n"/>
      <c r="AV195" s="307" t="n"/>
      <c r="AW195" s="307" t="n"/>
      <c r="AX195" s="307" t="n"/>
      <c r="AY195" s="307" t="n"/>
      <c r="AZ195" s="307" t="n"/>
      <c r="BA195" s="233" t="n"/>
      <c r="BB195" s="307" t="n"/>
      <c r="BC195" s="307" t="n"/>
      <c r="BD195" s="307" t="n"/>
      <c r="BE195" s="307" t="n"/>
      <c r="BF195" s="307" t="n"/>
      <c r="BG195" s="31" t="n"/>
      <c r="BH195" s="31" t="n"/>
      <c r="BI195" s="31" t="n"/>
      <c r="BJ195" s="31" t="n"/>
    </row>
    <row r="196" ht="15.75" customHeight="1" s="349">
      <c r="A196" s="307" t="n"/>
      <c r="B196" s="307" t="n"/>
      <c r="C196" s="307" t="n"/>
      <c r="D196" s="307" t="n"/>
      <c r="E196" s="307" t="n"/>
      <c r="F196" s="307" t="n"/>
      <c r="G196" s="307" t="n"/>
      <c r="H196" s="307" t="n"/>
      <c r="I196" s="307" t="n"/>
      <c r="J196" s="307" t="n"/>
      <c r="K196" s="307" t="n"/>
      <c r="L196" s="307" t="n"/>
      <c r="M196" s="307" t="n"/>
      <c r="N196" s="307" t="n"/>
      <c r="O196" s="307" t="n"/>
      <c r="P196" s="307" t="n"/>
      <c r="Q196" s="307" t="n"/>
      <c r="R196" s="307" t="n"/>
      <c r="S196" s="307" t="n"/>
      <c r="T196" s="307" t="n"/>
      <c r="U196" s="307" t="n"/>
      <c r="V196" s="307" t="n"/>
      <c r="W196" s="307" t="n"/>
      <c r="X196" s="307" t="n"/>
      <c r="Y196" s="307" t="n"/>
      <c r="Z196" s="307" t="n"/>
      <c r="AA196" s="307" t="n"/>
      <c r="AB196" s="307" t="n"/>
      <c r="AC196" s="307" t="n"/>
      <c r="AD196" s="307" t="n"/>
      <c r="AE196" s="307" t="n"/>
      <c r="AF196" s="307" t="n"/>
      <c r="AG196" s="307" t="n"/>
      <c r="AH196" s="307" t="n"/>
      <c r="AI196" s="307" t="n"/>
      <c r="AJ196" s="307" t="n"/>
      <c r="AK196" s="307" t="n"/>
      <c r="AL196" s="307" t="n"/>
      <c r="AM196" s="307" t="n"/>
      <c r="AN196" s="307" t="n"/>
      <c r="AO196" s="307" t="n"/>
      <c r="AP196" s="307" t="n"/>
      <c r="AQ196" s="307" t="n"/>
      <c r="AR196" s="307" t="n"/>
      <c r="AS196" s="307" t="n"/>
      <c r="AT196" s="307" t="n"/>
      <c r="AU196" s="307" t="n"/>
      <c r="AV196" s="307" t="n"/>
      <c r="AW196" s="307" t="n"/>
      <c r="AX196" s="307" t="n"/>
      <c r="AY196" s="307" t="n"/>
      <c r="AZ196" s="307" t="n"/>
      <c r="BA196" s="233" t="n"/>
      <c r="BB196" s="307" t="n"/>
      <c r="BC196" s="307" t="n"/>
      <c r="BD196" s="307" t="n"/>
      <c r="BE196" s="307" t="n"/>
      <c r="BF196" s="307" t="n"/>
      <c r="BG196" s="31" t="n"/>
      <c r="BH196" s="31" t="n"/>
      <c r="BI196" s="31" t="n"/>
      <c r="BJ196" s="31" t="n"/>
    </row>
    <row r="197" ht="15.75" customHeight="1" s="349">
      <c r="A197" s="307" t="n"/>
      <c r="B197" s="307" t="n"/>
      <c r="C197" s="307" t="n"/>
      <c r="D197" s="307" t="n"/>
      <c r="E197" s="307" t="n"/>
      <c r="F197" s="307" t="n"/>
      <c r="G197" s="307" t="n"/>
      <c r="H197" s="307" t="n"/>
      <c r="I197" s="307" t="n"/>
      <c r="J197" s="307" t="n"/>
      <c r="K197" s="307" t="n"/>
      <c r="L197" s="307" t="n"/>
      <c r="M197" s="307" t="n"/>
      <c r="N197" s="307" t="n"/>
      <c r="O197" s="307" t="n"/>
      <c r="P197" s="307" t="n"/>
      <c r="Q197" s="307" t="n"/>
      <c r="R197" s="307" t="n"/>
      <c r="S197" s="307" t="n"/>
      <c r="T197" s="307" t="n"/>
      <c r="U197" s="307" t="n"/>
      <c r="V197" s="307" t="n"/>
      <c r="W197" s="307" t="n"/>
      <c r="X197" s="307" t="n"/>
      <c r="Y197" s="307" t="n"/>
      <c r="Z197" s="307" t="n"/>
      <c r="AA197" s="307" t="n"/>
      <c r="AB197" s="307" t="n"/>
      <c r="AC197" s="307" t="n"/>
      <c r="AD197" s="307" t="n"/>
      <c r="AE197" s="307" t="n"/>
      <c r="AF197" s="307" t="n"/>
      <c r="AG197" s="307" t="n"/>
      <c r="AH197" s="307" t="n"/>
      <c r="AI197" s="307" t="n"/>
      <c r="AJ197" s="307" t="n"/>
      <c r="AK197" s="307" t="n"/>
      <c r="AL197" s="307" t="n"/>
      <c r="AM197" s="307" t="n"/>
      <c r="AN197" s="307" t="n"/>
      <c r="AO197" s="307" t="n"/>
      <c r="AP197" s="307" t="n"/>
      <c r="AQ197" s="307" t="n"/>
      <c r="AR197" s="307" t="n"/>
      <c r="AS197" s="307" t="n"/>
      <c r="AT197" s="307" t="n"/>
      <c r="AU197" s="307" t="n"/>
      <c r="AV197" s="307" t="n"/>
      <c r="AW197" s="307" t="n"/>
      <c r="AX197" s="307" t="n"/>
      <c r="AY197" s="307" t="n"/>
      <c r="AZ197" s="307" t="n"/>
      <c r="BA197" s="233" t="n"/>
      <c r="BB197" s="307" t="n"/>
      <c r="BC197" s="307" t="n"/>
      <c r="BD197" s="307" t="n"/>
      <c r="BE197" s="307" t="n"/>
      <c r="BF197" s="307" t="n"/>
      <c r="BG197" s="31" t="n"/>
      <c r="BH197" s="31" t="n"/>
      <c r="BI197" s="31" t="n"/>
      <c r="BJ197" s="31" t="n"/>
    </row>
    <row r="198" ht="15.75" customHeight="1" s="349">
      <c r="A198" s="307" t="n"/>
      <c r="B198" s="307" t="n"/>
      <c r="C198" s="307" t="n"/>
      <c r="D198" s="307" t="n"/>
      <c r="E198" s="307" t="n"/>
      <c r="F198" s="307" t="n"/>
      <c r="G198" s="307" t="n"/>
      <c r="H198" s="307" t="n"/>
      <c r="I198" s="307" t="n"/>
      <c r="J198" s="307" t="n"/>
      <c r="K198" s="307" t="n"/>
      <c r="L198" s="307" t="n"/>
      <c r="M198" s="307" t="n"/>
      <c r="N198" s="307" t="n"/>
      <c r="O198" s="307" t="n"/>
      <c r="P198" s="307" t="n"/>
      <c r="Q198" s="307" t="n"/>
      <c r="R198" s="307" t="n"/>
      <c r="S198" s="307" t="n"/>
      <c r="T198" s="307" t="n"/>
      <c r="U198" s="307" t="n"/>
      <c r="V198" s="307" t="n"/>
      <c r="W198" s="307" t="n"/>
      <c r="X198" s="307" t="n"/>
      <c r="Y198" s="307" t="n"/>
      <c r="Z198" s="307" t="n"/>
      <c r="AA198" s="307" t="n"/>
      <c r="AB198" s="307" t="n"/>
      <c r="AC198" s="307" t="n"/>
      <c r="AD198" s="307" t="n"/>
      <c r="AE198" s="307" t="n"/>
      <c r="AF198" s="307" t="n"/>
      <c r="AG198" s="307" t="n"/>
      <c r="AH198" s="307" t="n"/>
      <c r="AI198" s="307" t="n"/>
      <c r="AJ198" s="307" t="n"/>
      <c r="AK198" s="307" t="n"/>
      <c r="AL198" s="307" t="n"/>
      <c r="AM198" s="307" t="n"/>
      <c r="AN198" s="307" t="n"/>
      <c r="AO198" s="307" t="n"/>
      <c r="AP198" s="307" t="n"/>
      <c r="AQ198" s="307" t="n"/>
      <c r="AR198" s="307" t="n"/>
      <c r="AS198" s="307" t="n"/>
      <c r="AT198" s="307" t="n"/>
      <c r="AU198" s="307" t="n"/>
      <c r="AV198" s="307" t="n"/>
      <c r="AW198" s="307" t="n"/>
      <c r="AX198" s="307" t="n"/>
      <c r="AY198" s="307" t="n"/>
      <c r="AZ198" s="307" t="n"/>
      <c r="BA198" s="233" t="n"/>
      <c r="BB198" s="307" t="n"/>
      <c r="BC198" s="307" t="n"/>
      <c r="BD198" s="307" t="n"/>
      <c r="BE198" s="307" t="n"/>
      <c r="BF198" s="307" t="n"/>
      <c r="BG198" s="31" t="n"/>
      <c r="BH198" s="31" t="n"/>
      <c r="BI198" s="31" t="n"/>
      <c r="BJ198" s="31" t="n"/>
    </row>
    <row r="199" ht="15.75" customHeight="1" s="349">
      <c r="A199" s="307" t="n"/>
      <c r="B199" s="307" t="n"/>
      <c r="C199" s="307" t="n"/>
      <c r="D199" s="307" t="n"/>
      <c r="E199" s="307" t="n"/>
      <c r="F199" s="307" t="n"/>
      <c r="G199" s="307" t="n"/>
      <c r="H199" s="307" t="n"/>
      <c r="I199" s="307" t="n"/>
      <c r="J199" s="307" t="n"/>
      <c r="K199" s="307" t="n"/>
      <c r="L199" s="307" t="n"/>
      <c r="M199" s="307" t="n"/>
      <c r="N199" s="307" t="n"/>
      <c r="O199" s="307" t="n"/>
      <c r="P199" s="307" t="n"/>
      <c r="Q199" s="307" t="n"/>
      <c r="R199" s="307" t="n"/>
      <c r="S199" s="307" t="n"/>
      <c r="T199" s="307" t="n"/>
      <c r="U199" s="307" t="n"/>
      <c r="V199" s="307" t="n"/>
      <c r="W199" s="307" t="n"/>
      <c r="X199" s="307" t="n"/>
      <c r="Y199" s="307" t="n"/>
      <c r="Z199" s="307" t="n"/>
      <c r="AA199" s="307" t="n"/>
      <c r="AB199" s="307" t="n"/>
      <c r="AC199" s="307" t="n"/>
      <c r="AD199" s="307" t="n"/>
      <c r="AE199" s="307" t="n"/>
      <c r="AF199" s="307" t="n"/>
      <c r="AG199" s="307" t="n"/>
      <c r="AH199" s="307" t="n"/>
      <c r="AI199" s="307" t="n"/>
      <c r="AJ199" s="307" t="n"/>
      <c r="AK199" s="307" t="n"/>
      <c r="AL199" s="307" t="n"/>
      <c r="AM199" s="307" t="n"/>
      <c r="AN199" s="307" t="n"/>
      <c r="AO199" s="307" t="n"/>
      <c r="AP199" s="307" t="n"/>
      <c r="AQ199" s="307" t="n"/>
      <c r="AR199" s="307" t="n"/>
      <c r="AS199" s="307" t="n"/>
      <c r="AT199" s="307" t="n"/>
      <c r="AU199" s="307" t="n"/>
      <c r="AV199" s="307" t="n"/>
      <c r="AW199" s="307" t="n"/>
      <c r="AX199" s="307" t="n"/>
      <c r="AY199" s="307" t="n"/>
      <c r="AZ199" s="307" t="n"/>
      <c r="BA199" s="233" t="n"/>
      <c r="BB199" s="307" t="n"/>
      <c r="BC199" s="307" t="n"/>
      <c r="BD199" s="307" t="n"/>
      <c r="BE199" s="307" t="n"/>
      <c r="BF199" s="307" t="n"/>
      <c r="BG199" s="31" t="n"/>
      <c r="BH199" s="31" t="n"/>
      <c r="BI199" s="31" t="n"/>
      <c r="BJ199" s="31" t="n"/>
    </row>
    <row r="200" ht="15.75" customHeight="1" s="349">
      <c r="A200" s="307" t="n"/>
      <c r="B200" s="307" t="n"/>
      <c r="C200" s="307" t="n"/>
      <c r="D200" s="307" t="n"/>
      <c r="E200" s="307" t="n"/>
      <c r="F200" s="307" t="n"/>
      <c r="G200" s="307" t="n"/>
      <c r="H200" s="307" t="n"/>
      <c r="I200" s="307" t="n"/>
      <c r="J200" s="307" t="n"/>
      <c r="K200" s="307" t="n"/>
      <c r="L200" s="307" t="n"/>
      <c r="M200" s="307" t="n"/>
      <c r="N200" s="307" t="n"/>
      <c r="O200" s="307" t="n"/>
      <c r="P200" s="307" t="n"/>
      <c r="Q200" s="307" t="n"/>
      <c r="R200" s="307" t="n"/>
      <c r="S200" s="307" t="n"/>
      <c r="T200" s="307" t="n"/>
      <c r="U200" s="307" t="n"/>
      <c r="V200" s="307" t="n"/>
      <c r="W200" s="307" t="n"/>
      <c r="X200" s="307" t="n"/>
      <c r="Y200" s="307" t="n"/>
      <c r="Z200" s="307" t="n"/>
      <c r="AA200" s="307" t="n"/>
      <c r="AB200" s="307" t="n"/>
      <c r="AC200" s="307" t="n"/>
      <c r="AD200" s="307" t="n"/>
      <c r="AE200" s="307" t="n"/>
      <c r="AF200" s="307" t="n"/>
      <c r="AG200" s="307" t="n"/>
      <c r="AH200" s="307" t="n"/>
      <c r="AI200" s="307" t="n"/>
      <c r="AJ200" s="307" t="n"/>
      <c r="AK200" s="307" t="n"/>
      <c r="AL200" s="307" t="n"/>
      <c r="AM200" s="307" t="n"/>
      <c r="AN200" s="307" t="n"/>
      <c r="AO200" s="307" t="n"/>
      <c r="AP200" s="307" t="n"/>
      <c r="AQ200" s="307" t="n"/>
      <c r="AR200" s="307" t="n"/>
      <c r="AS200" s="307" t="n"/>
      <c r="AT200" s="307" t="n"/>
      <c r="AU200" s="307" t="n"/>
      <c r="AV200" s="307" t="n"/>
      <c r="AW200" s="307" t="n"/>
      <c r="AX200" s="307" t="n"/>
      <c r="AY200" s="307" t="n"/>
      <c r="AZ200" s="307" t="n"/>
      <c r="BA200" s="233" t="n"/>
      <c r="BB200" s="307" t="n"/>
      <c r="BC200" s="307" t="n"/>
      <c r="BD200" s="307" t="n"/>
      <c r="BE200" s="307" t="n"/>
      <c r="BF200" s="307" t="n"/>
      <c r="BG200" s="31" t="n"/>
      <c r="BH200" s="31" t="n"/>
      <c r="BI200" s="31" t="n"/>
      <c r="BJ200" s="31" t="n"/>
    </row>
    <row r="201" ht="15.75" customHeight="1" s="349">
      <c r="A201" s="307" t="n"/>
      <c r="B201" s="307" t="n"/>
      <c r="C201" s="307" t="n"/>
      <c r="D201" s="307" t="n"/>
      <c r="E201" s="307" t="n"/>
      <c r="F201" s="307" t="n"/>
      <c r="G201" s="307" t="n"/>
      <c r="H201" s="307" t="n"/>
      <c r="I201" s="307" t="n"/>
      <c r="J201" s="307" t="n"/>
      <c r="K201" s="307" t="n"/>
      <c r="L201" s="307" t="n"/>
      <c r="M201" s="307" t="n"/>
      <c r="N201" s="307" t="n"/>
      <c r="O201" s="307" t="n"/>
      <c r="P201" s="307" t="n"/>
      <c r="Q201" s="307" t="n"/>
      <c r="R201" s="307" t="n"/>
      <c r="S201" s="307" t="n"/>
      <c r="T201" s="307" t="n"/>
      <c r="U201" s="307" t="n"/>
      <c r="V201" s="307" t="n"/>
      <c r="W201" s="307" t="n"/>
      <c r="X201" s="307" t="n"/>
      <c r="Y201" s="307" t="n"/>
      <c r="Z201" s="307" t="n"/>
      <c r="AA201" s="307" t="n"/>
      <c r="AB201" s="307" t="n"/>
      <c r="AC201" s="307" t="n"/>
      <c r="AD201" s="307" t="n"/>
      <c r="AE201" s="307" t="n"/>
      <c r="AF201" s="307" t="n"/>
      <c r="AG201" s="307" t="n"/>
      <c r="AH201" s="307" t="n"/>
      <c r="AI201" s="307" t="n"/>
      <c r="AJ201" s="307" t="n"/>
      <c r="AK201" s="307" t="n"/>
      <c r="AL201" s="307" t="n"/>
      <c r="AM201" s="307" t="n"/>
      <c r="AN201" s="307" t="n"/>
      <c r="AO201" s="307" t="n"/>
      <c r="AP201" s="307" t="n"/>
      <c r="AQ201" s="307" t="n"/>
      <c r="AR201" s="307" t="n"/>
      <c r="AS201" s="307" t="n"/>
      <c r="AT201" s="307" t="n"/>
      <c r="AU201" s="307" t="n"/>
      <c r="AV201" s="307" t="n"/>
      <c r="AW201" s="307" t="n"/>
      <c r="AX201" s="307" t="n"/>
      <c r="AY201" s="307" t="n"/>
      <c r="AZ201" s="307" t="n"/>
      <c r="BA201" s="233" t="n"/>
      <c r="BB201" s="307" t="n"/>
      <c r="BC201" s="307" t="n"/>
      <c r="BD201" s="307" t="n"/>
      <c r="BE201" s="307" t="n"/>
      <c r="BF201" s="307" t="n"/>
      <c r="BG201" s="31" t="n"/>
      <c r="BH201" s="31" t="n"/>
      <c r="BI201" s="31" t="n"/>
      <c r="BJ201" s="31" t="n"/>
    </row>
    <row r="202" ht="15.75" customHeight="1" s="349">
      <c r="A202" s="307" t="n"/>
      <c r="B202" s="307" t="n"/>
      <c r="C202" s="307" t="n"/>
      <c r="D202" s="307" t="n"/>
      <c r="E202" s="307" t="n"/>
      <c r="F202" s="307" t="n"/>
      <c r="G202" s="307" t="n"/>
      <c r="H202" s="307" t="n"/>
      <c r="I202" s="307" t="n"/>
      <c r="J202" s="307" t="n"/>
      <c r="K202" s="307" t="n"/>
      <c r="L202" s="307" t="n"/>
      <c r="M202" s="307" t="n"/>
      <c r="N202" s="307" t="n"/>
      <c r="O202" s="307" t="n"/>
      <c r="P202" s="307" t="n"/>
      <c r="Q202" s="307" t="n"/>
      <c r="R202" s="307" t="n"/>
      <c r="S202" s="307" t="n"/>
      <c r="T202" s="307" t="n"/>
      <c r="U202" s="307" t="n"/>
      <c r="V202" s="307" t="n"/>
      <c r="W202" s="307" t="n"/>
      <c r="X202" s="307" t="n"/>
      <c r="Y202" s="307" t="n"/>
      <c r="Z202" s="307" t="n"/>
      <c r="AA202" s="307" t="n"/>
      <c r="AB202" s="307" t="n"/>
      <c r="AC202" s="307" t="n"/>
      <c r="AD202" s="307" t="n"/>
      <c r="AE202" s="307" t="n"/>
      <c r="AF202" s="307" t="n"/>
      <c r="AG202" s="307" t="n"/>
      <c r="AH202" s="307" t="n"/>
      <c r="AI202" s="307" t="n"/>
      <c r="AJ202" s="307" t="n"/>
      <c r="AK202" s="307" t="n"/>
      <c r="AL202" s="307" t="n"/>
      <c r="AM202" s="307" t="n"/>
      <c r="AN202" s="307" t="n"/>
      <c r="AO202" s="307" t="n"/>
      <c r="AP202" s="307" t="n"/>
      <c r="AQ202" s="307" t="n"/>
      <c r="AR202" s="307" t="n"/>
      <c r="AS202" s="307" t="n"/>
      <c r="AT202" s="307" t="n"/>
      <c r="AU202" s="307" t="n"/>
      <c r="AV202" s="307" t="n"/>
      <c r="AW202" s="307" t="n"/>
      <c r="AX202" s="307" t="n"/>
      <c r="AY202" s="307" t="n"/>
      <c r="AZ202" s="307" t="n"/>
      <c r="BA202" s="233" t="n"/>
      <c r="BB202" s="307" t="n"/>
      <c r="BC202" s="307" t="n"/>
      <c r="BD202" s="307" t="n"/>
      <c r="BE202" s="307" t="n"/>
      <c r="BF202" s="307" t="n"/>
      <c r="BG202" s="31" t="n"/>
      <c r="BH202" s="31" t="n"/>
      <c r="BI202" s="31" t="n"/>
      <c r="BJ202" s="31" t="n"/>
    </row>
    <row r="203" ht="15.75" customHeight="1" s="349">
      <c r="A203" s="307" t="n"/>
      <c r="B203" s="307" t="n"/>
      <c r="C203" s="307" t="n"/>
      <c r="D203" s="307" t="n"/>
      <c r="E203" s="307" t="n"/>
      <c r="F203" s="307" t="n"/>
      <c r="G203" s="307" t="n"/>
      <c r="H203" s="307" t="n"/>
      <c r="I203" s="307" t="n"/>
      <c r="J203" s="307" t="n"/>
      <c r="K203" s="307" t="n"/>
      <c r="L203" s="307" t="n"/>
      <c r="M203" s="307" t="n"/>
      <c r="N203" s="307" t="n"/>
      <c r="O203" s="307" t="n"/>
      <c r="P203" s="307" t="n"/>
      <c r="Q203" s="307" t="n"/>
      <c r="R203" s="307" t="n"/>
      <c r="S203" s="307" t="n"/>
      <c r="T203" s="307" t="n"/>
      <c r="U203" s="307" t="n"/>
      <c r="V203" s="307" t="n"/>
      <c r="W203" s="307" t="n"/>
      <c r="X203" s="307" t="n"/>
      <c r="Y203" s="307" t="n"/>
      <c r="Z203" s="307" t="n"/>
      <c r="AA203" s="307" t="n"/>
      <c r="AB203" s="307" t="n"/>
      <c r="AC203" s="307" t="n"/>
      <c r="AD203" s="307" t="n"/>
      <c r="AE203" s="307" t="n"/>
      <c r="AF203" s="307" t="n"/>
      <c r="AG203" s="307" t="n"/>
      <c r="AH203" s="307" t="n"/>
      <c r="AI203" s="307" t="n"/>
      <c r="AJ203" s="307" t="n"/>
      <c r="AK203" s="307" t="n"/>
      <c r="AL203" s="307" t="n"/>
      <c r="AM203" s="307" t="n"/>
      <c r="AN203" s="307" t="n"/>
      <c r="AO203" s="307" t="n"/>
      <c r="AP203" s="307" t="n"/>
      <c r="AQ203" s="307" t="n"/>
      <c r="AR203" s="307" t="n"/>
      <c r="AS203" s="307" t="n"/>
      <c r="AT203" s="307" t="n"/>
      <c r="AU203" s="307" t="n"/>
      <c r="AV203" s="307" t="n"/>
      <c r="AW203" s="307" t="n"/>
      <c r="AX203" s="307" t="n"/>
      <c r="AY203" s="307" t="n"/>
      <c r="AZ203" s="307" t="n"/>
      <c r="BA203" s="233" t="n"/>
      <c r="BB203" s="307" t="n"/>
      <c r="BC203" s="307" t="n"/>
      <c r="BD203" s="307" t="n"/>
      <c r="BE203" s="307" t="n"/>
      <c r="BF203" s="307" t="n"/>
      <c r="BG203" s="31" t="n"/>
      <c r="BH203" s="31" t="n"/>
      <c r="BI203" s="31" t="n"/>
      <c r="BJ203" s="31" t="n"/>
    </row>
    <row r="204" ht="15.75" customHeight="1" s="349">
      <c r="A204" s="307" t="n"/>
      <c r="B204" s="307" t="n"/>
      <c r="C204" s="307" t="n"/>
      <c r="D204" s="307" t="n"/>
      <c r="E204" s="307" t="n"/>
      <c r="F204" s="307" t="n"/>
      <c r="G204" s="307" t="n"/>
      <c r="H204" s="307" t="n"/>
      <c r="I204" s="307" t="n"/>
      <c r="J204" s="307" t="n"/>
      <c r="K204" s="307" t="n"/>
      <c r="L204" s="307" t="n"/>
      <c r="M204" s="307" t="n"/>
      <c r="N204" s="307" t="n"/>
      <c r="O204" s="307" t="n"/>
      <c r="P204" s="307" t="n"/>
      <c r="Q204" s="307" t="n"/>
      <c r="R204" s="307" t="n"/>
      <c r="S204" s="307" t="n"/>
      <c r="T204" s="307" t="n"/>
      <c r="U204" s="307" t="n"/>
      <c r="V204" s="307" t="n"/>
      <c r="W204" s="307" t="n"/>
      <c r="X204" s="307" t="n"/>
      <c r="Y204" s="307" t="n"/>
      <c r="Z204" s="307" t="n"/>
      <c r="AA204" s="307" t="n"/>
      <c r="AB204" s="307" t="n"/>
      <c r="AC204" s="307" t="n"/>
      <c r="AD204" s="307" t="n"/>
      <c r="AE204" s="307" t="n"/>
      <c r="AF204" s="307" t="n"/>
      <c r="AG204" s="307" t="n"/>
      <c r="AH204" s="307" t="n"/>
      <c r="AI204" s="307" t="n"/>
      <c r="AJ204" s="307" t="n"/>
      <c r="AK204" s="307" t="n"/>
      <c r="AL204" s="307" t="n"/>
      <c r="AM204" s="307" t="n"/>
      <c r="AN204" s="307" t="n"/>
      <c r="AO204" s="307" t="n"/>
      <c r="AP204" s="307" t="n"/>
      <c r="AQ204" s="307" t="n"/>
      <c r="AR204" s="307" t="n"/>
      <c r="AS204" s="307" t="n"/>
      <c r="AT204" s="307" t="n"/>
      <c r="AU204" s="307" t="n"/>
      <c r="AV204" s="307" t="n"/>
      <c r="AW204" s="307" t="n"/>
      <c r="AX204" s="307" t="n"/>
      <c r="AY204" s="307" t="n"/>
      <c r="AZ204" s="307" t="n"/>
      <c r="BA204" s="233" t="n"/>
      <c r="BB204" s="307" t="n"/>
      <c r="BC204" s="307" t="n"/>
      <c r="BD204" s="307" t="n"/>
      <c r="BE204" s="307" t="n"/>
      <c r="BF204" s="307" t="n"/>
      <c r="BG204" s="31" t="n"/>
      <c r="BH204" s="31" t="n"/>
      <c r="BI204" s="31" t="n"/>
      <c r="BJ204" s="31" t="n"/>
    </row>
    <row r="205" ht="15.75" customHeight="1" s="349">
      <c r="A205" s="307" t="n"/>
      <c r="B205" s="307" t="n"/>
      <c r="C205" s="307" t="n"/>
      <c r="D205" s="307" t="n"/>
      <c r="E205" s="307" t="n"/>
      <c r="F205" s="307" t="n"/>
      <c r="G205" s="307" t="n"/>
      <c r="H205" s="307" t="n"/>
      <c r="I205" s="307" t="n"/>
      <c r="J205" s="307" t="n"/>
      <c r="K205" s="307" t="n"/>
      <c r="L205" s="307" t="n"/>
      <c r="M205" s="307" t="n"/>
      <c r="N205" s="307" t="n"/>
      <c r="O205" s="307" t="n"/>
      <c r="P205" s="307" t="n"/>
      <c r="Q205" s="307" t="n"/>
      <c r="R205" s="307" t="n"/>
      <c r="S205" s="307" t="n"/>
      <c r="T205" s="307" t="n"/>
      <c r="U205" s="307" t="n"/>
      <c r="V205" s="307" t="n"/>
      <c r="W205" s="307" t="n"/>
      <c r="X205" s="307" t="n"/>
      <c r="Y205" s="307" t="n"/>
      <c r="Z205" s="307" t="n"/>
      <c r="AA205" s="307" t="n"/>
      <c r="AB205" s="307" t="n"/>
      <c r="AC205" s="307" t="n"/>
      <c r="AD205" s="307" t="n"/>
      <c r="AE205" s="307" t="n"/>
      <c r="AF205" s="307" t="n"/>
      <c r="AG205" s="307" t="n"/>
      <c r="AH205" s="307" t="n"/>
      <c r="AI205" s="307" t="n"/>
      <c r="AJ205" s="307" t="n"/>
      <c r="AK205" s="307" t="n"/>
      <c r="AL205" s="307" t="n"/>
      <c r="AM205" s="307" t="n"/>
      <c r="AN205" s="307" t="n"/>
      <c r="AO205" s="307" t="n"/>
      <c r="AP205" s="307" t="n"/>
      <c r="AQ205" s="307" t="n"/>
      <c r="AR205" s="307" t="n"/>
      <c r="AS205" s="307" t="n"/>
      <c r="AT205" s="307" t="n"/>
      <c r="AU205" s="307" t="n"/>
      <c r="AV205" s="307" t="n"/>
      <c r="AW205" s="307" t="n"/>
      <c r="AX205" s="307" t="n"/>
      <c r="AY205" s="307" t="n"/>
      <c r="AZ205" s="307" t="n"/>
      <c r="BA205" s="233" t="n"/>
      <c r="BB205" s="307" t="n"/>
      <c r="BC205" s="307" t="n"/>
      <c r="BD205" s="307" t="n"/>
      <c r="BE205" s="307" t="n"/>
      <c r="BF205" s="307" t="n"/>
      <c r="BG205" s="31" t="n"/>
      <c r="BH205" s="31" t="n"/>
      <c r="BI205" s="31" t="n"/>
      <c r="BJ205" s="31" t="n"/>
    </row>
    <row r="206" ht="15.75" customHeight="1" s="349">
      <c r="A206" s="307" t="n"/>
      <c r="B206" s="307" t="n"/>
      <c r="C206" s="307" t="n"/>
      <c r="D206" s="307" t="n"/>
      <c r="E206" s="307" t="n"/>
      <c r="F206" s="307" t="n"/>
      <c r="G206" s="307" t="n"/>
      <c r="H206" s="307" t="n"/>
      <c r="I206" s="307" t="n"/>
      <c r="J206" s="307" t="n"/>
      <c r="K206" s="307" t="n"/>
      <c r="L206" s="307" t="n"/>
      <c r="M206" s="307" t="n"/>
      <c r="N206" s="307" t="n"/>
      <c r="O206" s="307" t="n"/>
      <c r="P206" s="307" t="n"/>
      <c r="Q206" s="307" t="n"/>
      <c r="R206" s="307" t="n"/>
      <c r="S206" s="307" t="n"/>
      <c r="T206" s="307" t="n"/>
      <c r="U206" s="307" t="n"/>
      <c r="V206" s="307" t="n"/>
      <c r="W206" s="307" t="n"/>
      <c r="X206" s="307" t="n"/>
      <c r="Y206" s="307" t="n"/>
      <c r="Z206" s="307" t="n"/>
      <c r="AA206" s="307" t="n"/>
      <c r="AB206" s="307" t="n"/>
      <c r="AC206" s="307" t="n"/>
      <c r="AD206" s="307" t="n"/>
      <c r="AE206" s="307" t="n"/>
      <c r="AF206" s="307" t="n"/>
      <c r="AG206" s="307" t="n"/>
      <c r="AH206" s="307" t="n"/>
      <c r="AI206" s="307" t="n"/>
      <c r="AJ206" s="307" t="n"/>
      <c r="AK206" s="307" t="n"/>
      <c r="AL206" s="307" t="n"/>
      <c r="AM206" s="307" t="n"/>
      <c r="AN206" s="307" t="n"/>
      <c r="AO206" s="307" t="n"/>
      <c r="AP206" s="307" t="n"/>
      <c r="AQ206" s="307" t="n"/>
      <c r="AR206" s="307" t="n"/>
      <c r="AS206" s="307" t="n"/>
      <c r="AT206" s="307" t="n"/>
      <c r="AU206" s="307" t="n"/>
      <c r="AV206" s="307" t="n"/>
      <c r="AW206" s="307" t="n"/>
      <c r="AX206" s="307" t="n"/>
      <c r="AY206" s="307" t="n"/>
      <c r="AZ206" s="307" t="n"/>
      <c r="BA206" s="233" t="n"/>
      <c r="BB206" s="307" t="n"/>
      <c r="BC206" s="307" t="n"/>
      <c r="BD206" s="307" t="n"/>
      <c r="BE206" s="307" t="n"/>
      <c r="BF206" s="307" t="n"/>
      <c r="BG206" s="31" t="n"/>
      <c r="BH206" s="31" t="n"/>
      <c r="BI206" s="31" t="n"/>
      <c r="BJ206" s="31" t="n"/>
    </row>
    <row r="207" ht="15.75" customHeight="1" s="349">
      <c r="A207" s="307" t="n"/>
      <c r="B207" s="307" t="n"/>
      <c r="C207" s="307" t="n"/>
      <c r="D207" s="307" t="n"/>
      <c r="E207" s="307" t="n"/>
      <c r="F207" s="307" t="n"/>
      <c r="G207" s="307" t="n"/>
      <c r="H207" s="307" t="n"/>
      <c r="I207" s="307" t="n"/>
      <c r="J207" s="307" t="n"/>
      <c r="K207" s="307" t="n"/>
      <c r="L207" s="307" t="n"/>
      <c r="M207" s="307" t="n"/>
      <c r="N207" s="307" t="n"/>
      <c r="O207" s="307" t="n"/>
      <c r="P207" s="307" t="n"/>
      <c r="Q207" s="307" t="n"/>
      <c r="R207" s="307" t="n"/>
      <c r="S207" s="307" t="n"/>
      <c r="T207" s="307" t="n"/>
      <c r="U207" s="307" t="n"/>
      <c r="V207" s="307" t="n"/>
      <c r="W207" s="307" t="n"/>
      <c r="X207" s="307" t="n"/>
      <c r="Y207" s="307" t="n"/>
      <c r="Z207" s="307" t="n"/>
      <c r="AA207" s="307" t="n"/>
      <c r="AB207" s="307" t="n"/>
      <c r="AC207" s="307" t="n"/>
      <c r="AD207" s="307" t="n"/>
      <c r="AE207" s="307" t="n"/>
      <c r="AF207" s="307" t="n"/>
      <c r="AG207" s="307" t="n"/>
      <c r="AH207" s="307" t="n"/>
      <c r="AI207" s="307" t="n"/>
      <c r="AJ207" s="307" t="n"/>
      <c r="AK207" s="307" t="n"/>
      <c r="AL207" s="307" t="n"/>
      <c r="AM207" s="307" t="n"/>
      <c r="AN207" s="307" t="n"/>
      <c r="AO207" s="307" t="n"/>
      <c r="AP207" s="307" t="n"/>
      <c r="AQ207" s="307" t="n"/>
      <c r="AR207" s="307" t="n"/>
      <c r="AS207" s="307" t="n"/>
      <c r="AT207" s="307" t="n"/>
      <c r="AU207" s="307" t="n"/>
      <c r="AV207" s="307" t="n"/>
      <c r="AW207" s="307" t="n"/>
      <c r="AX207" s="307" t="n"/>
      <c r="AY207" s="307" t="n"/>
      <c r="AZ207" s="307" t="n"/>
      <c r="BA207" s="233" t="n"/>
      <c r="BB207" s="307" t="n"/>
      <c r="BC207" s="307" t="n"/>
      <c r="BD207" s="307" t="n"/>
      <c r="BE207" s="307" t="n"/>
      <c r="BF207" s="307" t="n"/>
      <c r="BG207" s="31" t="n"/>
      <c r="BH207" s="31" t="n"/>
      <c r="BI207" s="31" t="n"/>
      <c r="BJ207" s="31" t="n"/>
    </row>
    <row r="208" ht="15.75" customHeight="1" s="349">
      <c r="A208" s="307" t="n"/>
      <c r="B208" s="307" t="n"/>
      <c r="C208" s="307" t="n"/>
      <c r="D208" s="307" t="n"/>
      <c r="E208" s="307" t="n"/>
      <c r="F208" s="307" t="n"/>
      <c r="G208" s="307" t="n"/>
      <c r="H208" s="307" t="n"/>
      <c r="I208" s="307" t="n"/>
      <c r="J208" s="307" t="n"/>
      <c r="K208" s="307" t="n"/>
      <c r="L208" s="307" t="n"/>
      <c r="M208" s="307" t="n"/>
      <c r="N208" s="307" t="n"/>
      <c r="O208" s="307" t="n"/>
      <c r="P208" s="307" t="n"/>
      <c r="Q208" s="307" t="n"/>
      <c r="R208" s="307" t="n"/>
      <c r="S208" s="307" t="n"/>
      <c r="T208" s="307" t="n"/>
      <c r="U208" s="307" t="n"/>
      <c r="V208" s="307" t="n"/>
      <c r="W208" s="307" t="n"/>
      <c r="X208" s="307" t="n"/>
      <c r="Y208" s="307" t="n"/>
      <c r="Z208" s="307" t="n"/>
      <c r="AA208" s="307" t="n"/>
      <c r="AB208" s="307" t="n"/>
      <c r="AC208" s="307" t="n"/>
      <c r="AD208" s="307" t="n"/>
      <c r="AE208" s="307" t="n"/>
      <c r="AF208" s="307" t="n"/>
      <c r="AG208" s="307" t="n"/>
      <c r="AH208" s="307" t="n"/>
      <c r="AI208" s="307" t="n"/>
      <c r="AJ208" s="307" t="n"/>
      <c r="AK208" s="307" t="n"/>
      <c r="AL208" s="307" t="n"/>
      <c r="AM208" s="307" t="n"/>
      <c r="AN208" s="307" t="n"/>
      <c r="AO208" s="307" t="n"/>
      <c r="AP208" s="307" t="n"/>
      <c r="AQ208" s="307" t="n"/>
      <c r="AR208" s="307" t="n"/>
      <c r="AS208" s="307" t="n"/>
      <c r="AT208" s="307" t="n"/>
      <c r="AU208" s="307" t="n"/>
      <c r="AV208" s="307" t="n"/>
      <c r="AW208" s="307" t="n"/>
      <c r="AX208" s="307" t="n"/>
      <c r="AY208" s="307" t="n"/>
      <c r="AZ208" s="307" t="n"/>
      <c r="BA208" s="233" t="n"/>
      <c r="BB208" s="307" t="n"/>
      <c r="BC208" s="307" t="n"/>
      <c r="BD208" s="307" t="n"/>
      <c r="BE208" s="307" t="n"/>
      <c r="BF208" s="307" t="n"/>
      <c r="BG208" s="31" t="n"/>
      <c r="BH208" s="31" t="n"/>
      <c r="BI208" s="31" t="n"/>
      <c r="BJ208" s="31" t="n"/>
    </row>
    <row r="209" ht="15.75" customHeight="1" s="349">
      <c r="A209" s="307" t="n"/>
      <c r="B209" s="307" t="n"/>
      <c r="C209" s="307" t="n"/>
      <c r="D209" s="307" t="n"/>
      <c r="E209" s="307" t="n"/>
      <c r="F209" s="307" t="n"/>
      <c r="G209" s="307" t="n"/>
      <c r="H209" s="307" t="n"/>
      <c r="I209" s="307" t="n"/>
      <c r="J209" s="307" t="n"/>
      <c r="K209" s="307" t="n"/>
      <c r="L209" s="307" t="n"/>
      <c r="M209" s="307" t="n"/>
      <c r="N209" s="307" t="n"/>
      <c r="O209" s="307" t="n"/>
      <c r="P209" s="307" t="n"/>
      <c r="Q209" s="307" t="n"/>
      <c r="R209" s="307" t="n"/>
      <c r="S209" s="307" t="n"/>
      <c r="T209" s="307" t="n"/>
      <c r="U209" s="307" t="n"/>
      <c r="V209" s="307" t="n"/>
      <c r="W209" s="307" t="n"/>
      <c r="X209" s="307" t="n"/>
      <c r="Y209" s="307" t="n"/>
      <c r="Z209" s="307" t="n"/>
      <c r="AA209" s="307" t="n"/>
      <c r="AB209" s="307" t="n"/>
      <c r="AC209" s="307" t="n"/>
      <c r="AD209" s="307" t="n"/>
      <c r="AE209" s="307" t="n"/>
      <c r="AF209" s="307" t="n"/>
      <c r="AG209" s="307" t="n"/>
      <c r="AH209" s="307" t="n"/>
      <c r="AI209" s="307" t="n"/>
      <c r="AJ209" s="307" t="n"/>
      <c r="AK209" s="307" t="n"/>
      <c r="AL209" s="307" t="n"/>
      <c r="AM209" s="307" t="n"/>
      <c r="AN209" s="307" t="n"/>
      <c r="AO209" s="307" t="n"/>
      <c r="AP209" s="307" t="n"/>
      <c r="AQ209" s="307" t="n"/>
      <c r="AR209" s="307" t="n"/>
      <c r="AS209" s="307" t="n"/>
      <c r="AT209" s="307" t="n"/>
      <c r="AU209" s="307" t="n"/>
      <c r="AV209" s="307" t="n"/>
      <c r="AW209" s="307" t="n"/>
      <c r="AX209" s="307" t="n"/>
      <c r="AY209" s="307" t="n"/>
      <c r="AZ209" s="307" t="n"/>
      <c r="BA209" s="233" t="n"/>
      <c r="BB209" s="307" t="n"/>
      <c r="BC209" s="307" t="n"/>
      <c r="BD209" s="307" t="n"/>
      <c r="BE209" s="307" t="n"/>
      <c r="BF209" s="307" t="n"/>
      <c r="BG209" s="31" t="n"/>
      <c r="BH209" s="31" t="n"/>
      <c r="BI209" s="31" t="n"/>
      <c r="BJ209" s="31" t="n"/>
    </row>
    <row r="210" ht="15.75" customHeight="1" s="349">
      <c r="A210" s="307" t="n"/>
      <c r="B210" s="307" t="n"/>
      <c r="C210" s="307" t="n"/>
      <c r="D210" s="307" t="n"/>
      <c r="E210" s="307" t="n"/>
      <c r="F210" s="307" t="n"/>
      <c r="G210" s="307" t="n"/>
      <c r="H210" s="307" t="n"/>
      <c r="I210" s="307" t="n"/>
      <c r="J210" s="307" t="n"/>
      <c r="K210" s="307" t="n"/>
      <c r="L210" s="307" t="n"/>
      <c r="M210" s="307" t="n"/>
      <c r="N210" s="307" t="n"/>
      <c r="O210" s="307" t="n"/>
      <c r="P210" s="307" t="n"/>
      <c r="Q210" s="307" t="n"/>
      <c r="R210" s="307" t="n"/>
      <c r="S210" s="307" t="n"/>
      <c r="T210" s="307" t="n"/>
      <c r="U210" s="307" t="n"/>
      <c r="V210" s="307" t="n"/>
      <c r="W210" s="307" t="n"/>
      <c r="X210" s="307" t="n"/>
      <c r="Y210" s="307" t="n"/>
      <c r="Z210" s="307" t="n"/>
      <c r="AA210" s="307" t="n"/>
      <c r="AB210" s="307" t="n"/>
      <c r="AC210" s="307" t="n"/>
      <c r="AD210" s="307" t="n"/>
      <c r="AE210" s="307" t="n"/>
      <c r="AF210" s="307" t="n"/>
      <c r="AG210" s="307" t="n"/>
      <c r="AH210" s="307" t="n"/>
      <c r="AI210" s="307" t="n"/>
      <c r="AJ210" s="307" t="n"/>
      <c r="AK210" s="307" t="n"/>
      <c r="AL210" s="307" t="n"/>
      <c r="AM210" s="307" t="n"/>
      <c r="AN210" s="307" t="n"/>
      <c r="AO210" s="307" t="n"/>
      <c r="AP210" s="307" t="n"/>
      <c r="AQ210" s="307" t="n"/>
      <c r="AR210" s="307" t="n"/>
      <c r="AS210" s="307" t="n"/>
      <c r="AT210" s="307" t="n"/>
      <c r="AU210" s="307" t="n"/>
      <c r="AV210" s="307" t="n"/>
      <c r="AW210" s="307" t="n"/>
      <c r="AX210" s="307" t="n"/>
      <c r="AY210" s="307" t="n"/>
      <c r="AZ210" s="307" t="n"/>
      <c r="BA210" s="233" t="n"/>
      <c r="BB210" s="307" t="n"/>
      <c r="BC210" s="307" t="n"/>
      <c r="BD210" s="307" t="n"/>
      <c r="BE210" s="307" t="n"/>
      <c r="BF210" s="307" t="n"/>
      <c r="BG210" s="31" t="n"/>
      <c r="BH210" s="31" t="n"/>
      <c r="BI210" s="31" t="n"/>
      <c r="BJ210" s="31" t="n"/>
    </row>
    <row r="211" ht="15.75" customHeight="1" s="349">
      <c r="A211" s="307" t="n"/>
      <c r="B211" s="307" t="n"/>
      <c r="C211" s="307" t="n"/>
      <c r="D211" s="307" t="n"/>
      <c r="E211" s="307" t="n"/>
      <c r="F211" s="307" t="n"/>
      <c r="G211" s="307" t="n"/>
      <c r="H211" s="307" t="n"/>
      <c r="I211" s="307" t="n"/>
      <c r="J211" s="307" t="n"/>
      <c r="K211" s="307" t="n"/>
      <c r="L211" s="307" t="n"/>
      <c r="M211" s="307" t="n"/>
      <c r="N211" s="307" t="n"/>
      <c r="O211" s="307" t="n"/>
      <c r="P211" s="307" t="n"/>
      <c r="Q211" s="307" t="n"/>
      <c r="R211" s="307" t="n"/>
      <c r="S211" s="307" t="n"/>
      <c r="T211" s="307" t="n"/>
      <c r="U211" s="307" t="n"/>
      <c r="V211" s="307" t="n"/>
      <c r="W211" s="307" t="n"/>
      <c r="X211" s="307" t="n"/>
      <c r="Y211" s="307" t="n"/>
      <c r="Z211" s="307" t="n"/>
      <c r="AA211" s="307" t="n"/>
      <c r="AB211" s="307" t="n"/>
      <c r="AC211" s="307" t="n"/>
      <c r="AD211" s="307" t="n"/>
      <c r="AE211" s="307" t="n"/>
      <c r="AF211" s="307" t="n"/>
      <c r="AG211" s="307" t="n"/>
      <c r="AH211" s="307" t="n"/>
      <c r="AI211" s="307" t="n"/>
      <c r="AJ211" s="307" t="n"/>
      <c r="AK211" s="307" t="n"/>
      <c r="AL211" s="307" t="n"/>
      <c r="AM211" s="307" t="n"/>
      <c r="AN211" s="307" t="n"/>
      <c r="AO211" s="307" t="n"/>
      <c r="AP211" s="307" t="n"/>
      <c r="AQ211" s="307" t="n"/>
      <c r="AR211" s="307" t="n"/>
      <c r="AS211" s="307" t="n"/>
      <c r="AT211" s="307" t="n"/>
      <c r="AU211" s="307" t="n"/>
      <c r="AV211" s="307" t="n"/>
      <c r="AW211" s="307" t="n"/>
      <c r="AX211" s="307" t="n"/>
      <c r="AY211" s="307" t="n"/>
      <c r="AZ211" s="307" t="n"/>
      <c r="BA211" s="233" t="n"/>
      <c r="BB211" s="307" t="n"/>
      <c r="BC211" s="307" t="n"/>
      <c r="BD211" s="307" t="n"/>
      <c r="BE211" s="307" t="n"/>
      <c r="BF211" s="307" t="n"/>
      <c r="BG211" s="31" t="n"/>
      <c r="BH211" s="31" t="n"/>
      <c r="BI211" s="31" t="n"/>
      <c r="BJ211" s="31" t="n"/>
    </row>
    <row r="212" ht="15.75" customHeight="1" s="349">
      <c r="A212" s="307" t="n"/>
      <c r="B212" s="307" t="n"/>
      <c r="C212" s="307" t="n"/>
      <c r="D212" s="307" t="n"/>
      <c r="E212" s="307" t="n"/>
      <c r="F212" s="307" t="n"/>
      <c r="G212" s="307" t="n"/>
      <c r="H212" s="307" t="n"/>
      <c r="I212" s="307" t="n"/>
      <c r="J212" s="307" t="n"/>
      <c r="K212" s="307" t="n"/>
      <c r="L212" s="307" t="n"/>
      <c r="M212" s="307" t="n"/>
      <c r="N212" s="307" t="n"/>
      <c r="O212" s="307" t="n"/>
      <c r="P212" s="307" t="n"/>
      <c r="Q212" s="307" t="n"/>
      <c r="R212" s="307" t="n"/>
      <c r="S212" s="307" t="n"/>
      <c r="T212" s="307" t="n"/>
      <c r="U212" s="307" t="n"/>
      <c r="V212" s="307" t="n"/>
      <c r="W212" s="307" t="n"/>
      <c r="X212" s="307" t="n"/>
      <c r="Y212" s="307" t="n"/>
      <c r="Z212" s="307" t="n"/>
      <c r="AA212" s="307" t="n"/>
      <c r="AB212" s="307" t="n"/>
      <c r="AC212" s="307" t="n"/>
      <c r="AD212" s="307" t="n"/>
      <c r="AE212" s="307" t="n"/>
      <c r="AF212" s="307" t="n"/>
      <c r="AG212" s="307" t="n"/>
      <c r="AH212" s="307" t="n"/>
      <c r="AI212" s="307" t="n"/>
      <c r="AJ212" s="307" t="n"/>
      <c r="AK212" s="307" t="n"/>
      <c r="AL212" s="307" t="n"/>
      <c r="AM212" s="307" t="n"/>
      <c r="AN212" s="307" t="n"/>
      <c r="AO212" s="307" t="n"/>
      <c r="AP212" s="307" t="n"/>
      <c r="AQ212" s="307" t="n"/>
      <c r="AR212" s="307" t="n"/>
      <c r="AS212" s="307" t="n"/>
      <c r="AT212" s="307" t="n"/>
      <c r="AU212" s="307" t="n"/>
      <c r="AV212" s="307" t="n"/>
      <c r="AW212" s="307" t="n"/>
      <c r="AX212" s="307" t="n"/>
      <c r="AY212" s="307" t="n"/>
      <c r="AZ212" s="307" t="n"/>
      <c r="BA212" s="233" t="n"/>
      <c r="BB212" s="307" t="n"/>
      <c r="BC212" s="307" t="n"/>
      <c r="BD212" s="307" t="n"/>
      <c r="BE212" s="307" t="n"/>
      <c r="BF212" s="307" t="n"/>
      <c r="BG212" s="31" t="n"/>
      <c r="BH212" s="31" t="n"/>
      <c r="BI212" s="31" t="n"/>
      <c r="BJ212" s="31" t="n"/>
    </row>
    <row r="213" ht="15.75" customHeight="1" s="349">
      <c r="A213" s="307" t="n"/>
      <c r="B213" s="307" t="n"/>
      <c r="C213" s="307" t="n"/>
      <c r="D213" s="307" t="n"/>
      <c r="E213" s="307" t="n"/>
      <c r="F213" s="307" t="n"/>
      <c r="G213" s="307" t="n"/>
      <c r="H213" s="307" t="n"/>
      <c r="I213" s="307" t="n"/>
      <c r="J213" s="307" t="n"/>
      <c r="K213" s="307" t="n"/>
      <c r="L213" s="307" t="n"/>
      <c r="M213" s="307" t="n"/>
      <c r="N213" s="307" t="n"/>
      <c r="O213" s="307" t="n"/>
      <c r="P213" s="307" t="n"/>
      <c r="Q213" s="307" t="n"/>
      <c r="R213" s="307" t="n"/>
      <c r="S213" s="307" t="n"/>
      <c r="T213" s="307" t="n"/>
      <c r="U213" s="307" t="n"/>
      <c r="V213" s="307" t="n"/>
      <c r="W213" s="307" t="n"/>
      <c r="X213" s="307" t="n"/>
      <c r="Y213" s="307" t="n"/>
      <c r="Z213" s="307" t="n"/>
      <c r="AA213" s="307" t="n"/>
      <c r="AB213" s="307" t="n"/>
      <c r="AC213" s="307" t="n"/>
      <c r="AD213" s="307" t="n"/>
      <c r="AE213" s="307" t="n"/>
      <c r="AF213" s="307" t="n"/>
      <c r="AG213" s="307" t="n"/>
      <c r="AH213" s="307" t="n"/>
      <c r="AI213" s="307" t="n"/>
      <c r="AJ213" s="307" t="n"/>
      <c r="AK213" s="307" t="n"/>
      <c r="AL213" s="307" t="n"/>
      <c r="AM213" s="307" t="n"/>
      <c r="AN213" s="307" t="n"/>
      <c r="AO213" s="307" t="n"/>
      <c r="AP213" s="307" t="n"/>
      <c r="AQ213" s="307" t="n"/>
      <c r="AR213" s="307" t="n"/>
      <c r="AS213" s="307" t="n"/>
      <c r="AT213" s="307" t="n"/>
      <c r="AU213" s="307" t="n"/>
      <c r="AV213" s="307" t="n"/>
      <c r="AW213" s="307" t="n"/>
      <c r="AX213" s="307" t="n"/>
      <c r="AY213" s="307" t="n"/>
      <c r="AZ213" s="307" t="n"/>
      <c r="BA213" s="233" t="n"/>
      <c r="BB213" s="307" t="n"/>
      <c r="BC213" s="307" t="n"/>
      <c r="BD213" s="307" t="n"/>
      <c r="BE213" s="307" t="n"/>
      <c r="BF213" s="307" t="n"/>
      <c r="BG213" s="31" t="n"/>
      <c r="BH213" s="31" t="n"/>
      <c r="BI213" s="31" t="n"/>
      <c r="BJ213" s="31" t="n"/>
    </row>
    <row r="214" ht="15.75" customHeight="1" s="349">
      <c r="A214" s="307" t="n"/>
      <c r="B214" s="307" t="n"/>
      <c r="C214" s="307" t="n"/>
      <c r="D214" s="307" t="n"/>
      <c r="E214" s="307" t="n"/>
      <c r="F214" s="307" t="n"/>
      <c r="G214" s="307" t="n"/>
      <c r="H214" s="307" t="n"/>
      <c r="I214" s="307" t="n"/>
      <c r="J214" s="307" t="n"/>
      <c r="K214" s="307" t="n"/>
      <c r="L214" s="307" t="n"/>
      <c r="M214" s="307" t="n"/>
      <c r="N214" s="307" t="n"/>
      <c r="O214" s="307" t="n"/>
      <c r="P214" s="307" t="n"/>
      <c r="Q214" s="307" t="n"/>
      <c r="R214" s="307" t="n"/>
      <c r="S214" s="307" t="n"/>
      <c r="T214" s="307" t="n"/>
      <c r="U214" s="307" t="n"/>
      <c r="V214" s="307" t="n"/>
      <c r="W214" s="307" t="n"/>
      <c r="X214" s="307" t="n"/>
      <c r="Y214" s="307" t="n"/>
      <c r="Z214" s="307" t="n"/>
      <c r="AA214" s="307" t="n"/>
      <c r="AB214" s="307" t="n"/>
      <c r="AC214" s="307" t="n"/>
      <c r="AD214" s="307" t="n"/>
      <c r="AE214" s="307" t="n"/>
      <c r="AF214" s="307" t="n"/>
      <c r="AG214" s="307" t="n"/>
      <c r="AH214" s="307" t="n"/>
      <c r="AI214" s="307" t="n"/>
      <c r="AJ214" s="307" t="n"/>
      <c r="AK214" s="307" t="n"/>
      <c r="AL214" s="307" t="n"/>
      <c r="AM214" s="307" t="n"/>
      <c r="AN214" s="307" t="n"/>
      <c r="AO214" s="307" t="n"/>
      <c r="AP214" s="307" t="n"/>
      <c r="AQ214" s="307" t="n"/>
      <c r="AR214" s="307" t="n"/>
      <c r="AS214" s="307" t="n"/>
      <c r="AT214" s="307" t="n"/>
      <c r="AU214" s="307" t="n"/>
      <c r="AV214" s="307" t="n"/>
      <c r="AW214" s="307" t="n"/>
      <c r="AX214" s="307" t="n"/>
      <c r="AY214" s="307" t="n"/>
      <c r="AZ214" s="307" t="n"/>
      <c r="BA214" s="233" t="n"/>
      <c r="BB214" s="307" t="n"/>
      <c r="BC214" s="307" t="n"/>
      <c r="BD214" s="307" t="n"/>
      <c r="BE214" s="307" t="n"/>
      <c r="BF214" s="307" t="n"/>
      <c r="BG214" s="31" t="n"/>
      <c r="BH214" s="31" t="n"/>
      <c r="BI214" s="31" t="n"/>
      <c r="BJ214" s="31" t="n"/>
    </row>
    <row r="215" ht="15.75" customHeight="1" s="349">
      <c r="A215" s="307" t="n"/>
      <c r="B215" s="307" t="n"/>
      <c r="C215" s="307" t="n"/>
      <c r="D215" s="307" t="n"/>
      <c r="E215" s="307" t="n"/>
      <c r="F215" s="307" t="n"/>
      <c r="G215" s="307" t="n"/>
      <c r="H215" s="307" t="n"/>
      <c r="I215" s="307" t="n"/>
      <c r="J215" s="307" t="n"/>
      <c r="K215" s="307" t="n"/>
      <c r="L215" s="307" t="n"/>
      <c r="M215" s="307" t="n"/>
      <c r="N215" s="307" t="n"/>
      <c r="O215" s="307" t="n"/>
      <c r="P215" s="307" t="n"/>
      <c r="Q215" s="307" t="n"/>
      <c r="R215" s="307" t="n"/>
      <c r="S215" s="307" t="n"/>
      <c r="T215" s="307" t="n"/>
      <c r="U215" s="307" t="n"/>
      <c r="V215" s="307" t="n"/>
      <c r="W215" s="307" t="n"/>
      <c r="X215" s="307" t="n"/>
      <c r="Y215" s="307" t="n"/>
      <c r="Z215" s="307" t="n"/>
      <c r="AA215" s="307" t="n"/>
      <c r="AB215" s="307" t="n"/>
      <c r="AC215" s="307" t="n"/>
      <c r="AD215" s="307" t="n"/>
      <c r="AE215" s="307" t="n"/>
      <c r="AF215" s="307" t="n"/>
      <c r="AG215" s="307" t="n"/>
      <c r="AH215" s="307" t="n"/>
      <c r="AI215" s="307" t="n"/>
      <c r="AJ215" s="307" t="n"/>
      <c r="AK215" s="307" t="n"/>
      <c r="AL215" s="307" t="n"/>
      <c r="AM215" s="307" t="n"/>
      <c r="AN215" s="307" t="n"/>
      <c r="AO215" s="307" t="n"/>
      <c r="AP215" s="307" t="n"/>
      <c r="AQ215" s="307" t="n"/>
      <c r="AR215" s="307" t="n"/>
      <c r="AS215" s="307" t="n"/>
      <c r="AT215" s="307" t="n"/>
      <c r="AU215" s="307" t="n"/>
      <c r="AV215" s="307" t="n"/>
      <c r="AW215" s="307" t="n"/>
      <c r="AX215" s="307" t="n"/>
      <c r="AY215" s="307" t="n"/>
      <c r="AZ215" s="307" t="n"/>
      <c r="BA215" s="233" t="n"/>
      <c r="BB215" s="307" t="n"/>
      <c r="BC215" s="307" t="n"/>
      <c r="BD215" s="307" t="n"/>
      <c r="BE215" s="307" t="n"/>
      <c r="BF215" s="307" t="n"/>
      <c r="BG215" s="31" t="n"/>
      <c r="BH215" s="31" t="n"/>
      <c r="BI215" s="31" t="n"/>
      <c r="BJ215" s="31" t="n"/>
    </row>
    <row r="216" ht="15.75" customHeight="1" s="349">
      <c r="A216" s="307" t="n"/>
      <c r="B216" s="307" t="n"/>
      <c r="C216" s="307" t="n"/>
      <c r="D216" s="307" t="n"/>
      <c r="E216" s="307" t="n"/>
      <c r="F216" s="307" t="n"/>
      <c r="G216" s="307" t="n"/>
      <c r="H216" s="307" t="n"/>
      <c r="I216" s="307" t="n"/>
      <c r="J216" s="307" t="n"/>
      <c r="K216" s="307" t="n"/>
      <c r="L216" s="307" t="n"/>
      <c r="M216" s="307" t="n"/>
      <c r="N216" s="307" t="n"/>
      <c r="O216" s="307" t="n"/>
      <c r="P216" s="307" t="n"/>
      <c r="Q216" s="307" t="n"/>
      <c r="R216" s="307" t="n"/>
      <c r="S216" s="307" t="n"/>
      <c r="T216" s="307" t="n"/>
      <c r="U216" s="307" t="n"/>
      <c r="V216" s="307" t="n"/>
      <c r="W216" s="307" t="n"/>
      <c r="X216" s="307" t="n"/>
      <c r="Y216" s="307" t="n"/>
      <c r="Z216" s="307" t="n"/>
      <c r="AA216" s="307" t="n"/>
      <c r="AB216" s="307" t="n"/>
      <c r="AC216" s="307" t="n"/>
      <c r="AD216" s="307" t="n"/>
      <c r="AE216" s="307" t="n"/>
      <c r="AF216" s="307" t="n"/>
      <c r="AG216" s="307" t="n"/>
      <c r="AH216" s="307" t="n"/>
      <c r="AI216" s="307" t="n"/>
      <c r="AJ216" s="307" t="n"/>
      <c r="AK216" s="307" t="n"/>
      <c r="AL216" s="307" t="n"/>
      <c r="AM216" s="307" t="n"/>
      <c r="AN216" s="307" t="n"/>
      <c r="AO216" s="307" t="n"/>
      <c r="AP216" s="307" t="n"/>
      <c r="AQ216" s="307" t="n"/>
      <c r="AR216" s="307" t="n"/>
      <c r="AS216" s="307" t="n"/>
      <c r="AT216" s="307" t="n"/>
      <c r="AU216" s="307" t="n"/>
      <c r="AV216" s="307" t="n"/>
      <c r="AW216" s="307" t="n"/>
      <c r="AX216" s="307" t="n"/>
      <c r="AY216" s="307" t="n"/>
      <c r="AZ216" s="307" t="n"/>
      <c r="BA216" s="233" t="n"/>
      <c r="BB216" s="307" t="n"/>
      <c r="BC216" s="307" t="n"/>
      <c r="BD216" s="307" t="n"/>
      <c r="BE216" s="307" t="n"/>
      <c r="BF216" s="307" t="n"/>
      <c r="BG216" s="31" t="n"/>
      <c r="BH216" s="31" t="n"/>
      <c r="BI216" s="31" t="n"/>
      <c r="BJ216" s="31" t="n"/>
    </row>
    <row r="217" ht="15.75" customHeight="1" s="349">
      <c r="A217" s="307" t="n"/>
      <c r="B217" s="307" t="n"/>
      <c r="C217" s="307" t="n"/>
      <c r="D217" s="307" t="n"/>
      <c r="E217" s="307" t="n"/>
      <c r="F217" s="307" t="n"/>
      <c r="G217" s="307" t="n"/>
      <c r="H217" s="307" t="n"/>
      <c r="I217" s="307" t="n"/>
      <c r="J217" s="307" t="n"/>
      <c r="K217" s="307" t="n"/>
      <c r="L217" s="307" t="n"/>
      <c r="M217" s="307" t="n"/>
      <c r="N217" s="307" t="n"/>
      <c r="O217" s="307" t="n"/>
      <c r="P217" s="307" t="n"/>
      <c r="Q217" s="307" t="n"/>
      <c r="R217" s="307" t="n"/>
      <c r="S217" s="307" t="n"/>
      <c r="T217" s="307" t="n"/>
      <c r="U217" s="307" t="n"/>
      <c r="V217" s="307" t="n"/>
      <c r="W217" s="307" t="n"/>
      <c r="X217" s="307" t="n"/>
      <c r="Y217" s="307" t="n"/>
      <c r="Z217" s="307" t="n"/>
      <c r="AA217" s="307" t="n"/>
      <c r="AB217" s="307" t="n"/>
      <c r="AC217" s="307" t="n"/>
      <c r="AD217" s="307" t="n"/>
      <c r="AE217" s="307" t="n"/>
      <c r="AF217" s="307" t="n"/>
      <c r="AG217" s="307" t="n"/>
      <c r="AH217" s="307" t="n"/>
      <c r="AI217" s="307" t="n"/>
      <c r="AJ217" s="307" t="n"/>
      <c r="AK217" s="307" t="n"/>
      <c r="AL217" s="307" t="n"/>
      <c r="AM217" s="307" t="n"/>
      <c r="AN217" s="307" t="n"/>
      <c r="AO217" s="307" t="n"/>
      <c r="AP217" s="307" t="n"/>
      <c r="AQ217" s="307" t="n"/>
      <c r="AR217" s="307" t="n"/>
      <c r="AS217" s="307" t="n"/>
      <c r="AT217" s="307" t="n"/>
      <c r="AU217" s="307" t="n"/>
      <c r="AV217" s="307" t="n"/>
      <c r="AW217" s="307" t="n"/>
      <c r="AX217" s="307" t="n"/>
      <c r="AY217" s="307" t="n"/>
      <c r="AZ217" s="307" t="n"/>
      <c r="BA217" s="233" t="n"/>
      <c r="BB217" s="307" t="n"/>
      <c r="BC217" s="307" t="n"/>
      <c r="BD217" s="307" t="n"/>
      <c r="BE217" s="307" t="n"/>
      <c r="BF217" s="307" t="n"/>
      <c r="BG217" s="31" t="n"/>
      <c r="BH217" s="31" t="n"/>
      <c r="BI217" s="31" t="n"/>
      <c r="BJ217" s="31" t="n"/>
    </row>
    <row r="218" ht="15.75" customHeight="1" s="349">
      <c r="A218" s="307" t="n"/>
      <c r="B218" s="307" t="n"/>
      <c r="C218" s="307" t="n"/>
      <c r="D218" s="307" t="n"/>
      <c r="E218" s="307" t="n"/>
      <c r="F218" s="307" t="n"/>
      <c r="G218" s="307" t="n"/>
      <c r="H218" s="307" t="n"/>
      <c r="I218" s="307" t="n"/>
      <c r="J218" s="307" t="n"/>
      <c r="K218" s="307" t="n"/>
      <c r="L218" s="307" t="n"/>
      <c r="M218" s="307" t="n"/>
      <c r="N218" s="307" t="n"/>
      <c r="O218" s="307" t="n"/>
      <c r="P218" s="307" t="n"/>
      <c r="Q218" s="307" t="n"/>
      <c r="R218" s="307" t="n"/>
      <c r="S218" s="307" t="n"/>
      <c r="T218" s="307" t="n"/>
      <c r="U218" s="307" t="n"/>
      <c r="V218" s="307" t="n"/>
      <c r="W218" s="307" t="n"/>
      <c r="X218" s="307" t="n"/>
      <c r="Y218" s="307" t="n"/>
      <c r="Z218" s="307" t="n"/>
      <c r="AA218" s="307" t="n"/>
      <c r="AB218" s="307" t="n"/>
      <c r="AC218" s="307" t="n"/>
      <c r="AD218" s="307" t="n"/>
      <c r="AE218" s="307" t="n"/>
      <c r="AF218" s="307" t="n"/>
      <c r="AG218" s="307" t="n"/>
      <c r="AH218" s="307" t="n"/>
      <c r="AI218" s="307" t="n"/>
      <c r="AJ218" s="307" t="n"/>
      <c r="AK218" s="307" t="n"/>
      <c r="AL218" s="307" t="n"/>
      <c r="AM218" s="307" t="n"/>
      <c r="AN218" s="307" t="n"/>
      <c r="AO218" s="307" t="n"/>
      <c r="AP218" s="307" t="n"/>
      <c r="AQ218" s="307" t="n"/>
      <c r="AR218" s="307" t="n"/>
      <c r="AS218" s="307" t="n"/>
      <c r="AT218" s="307" t="n"/>
      <c r="AU218" s="307" t="n"/>
      <c r="AV218" s="307" t="n"/>
      <c r="AW218" s="307" t="n"/>
      <c r="AX218" s="307" t="n"/>
      <c r="AY218" s="307" t="n"/>
      <c r="AZ218" s="307" t="n"/>
      <c r="BA218" s="233" t="n"/>
      <c r="BB218" s="307" t="n"/>
      <c r="BC218" s="307" t="n"/>
      <c r="BD218" s="307" t="n"/>
      <c r="BE218" s="307" t="n"/>
      <c r="BF218" s="307" t="n"/>
      <c r="BG218" s="31" t="n"/>
      <c r="BH218" s="31" t="n"/>
      <c r="BI218" s="31" t="n"/>
      <c r="BJ218" s="31" t="n"/>
    </row>
    <row r="219" ht="15.75" customHeight="1" s="349">
      <c r="A219" s="307" t="n"/>
      <c r="B219" s="307" t="n"/>
      <c r="C219" s="307" t="n"/>
      <c r="D219" s="307" t="n"/>
      <c r="E219" s="307" t="n"/>
      <c r="F219" s="307" t="n"/>
      <c r="G219" s="307" t="n"/>
      <c r="H219" s="307" t="n"/>
      <c r="I219" s="307" t="n"/>
      <c r="J219" s="307" t="n"/>
      <c r="K219" s="307" t="n"/>
      <c r="L219" s="307" t="n"/>
      <c r="M219" s="307" t="n"/>
      <c r="N219" s="307" t="n"/>
      <c r="O219" s="307" t="n"/>
      <c r="P219" s="307" t="n"/>
      <c r="Q219" s="307" t="n"/>
      <c r="R219" s="307" t="n"/>
      <c r="S219" s="307" t="n"/>
      <c r="T219" s="307" t="n"/>
      <c r="U219" s="307" t="n"/>
      <c r="V219" s="307" t="n"/>
      <c r="W219" s="307" t="n"/>
      <c r="X219" s="307" t="n"/>
      <c r="Y219" s="307" t="n"/>
      <c r="Z219" s="307" t="n"/>
      <c r="AA219" s="307" t="n"/>
      <c r="AB219" s="307" t="n"/>
      <c r="AC219" s="307" t="n"/>
      <c r="AD219" s="307" t="n"/>
      <c r="AE219" s="307" t="n"/>
      <c r="AF219" s="307" t="n"/>
      <c r="AG219" s="307" t="n"/>
      <c r="AH219" s="307" t="n"/>
      <c r="AI219" s="307" t="n"/>
      <c r="AJ219" s="307" t="n"/>
      <c r="AK219" s="307" t="n"/>
      <c r="AL219" s="307" t="n"/>
      <c r="AM219" s="307" t="n"/>
      <c r="AN219" s="307" t="n"/>
      <c r="AO219" s="307" t="n"/>
      <c r="AP219" s="307" t="n"/>
      <c r="AQ219" s="307" t="n"/>
      <c r="AR219" s="307" t="n"/>
      <c r="AS219" s="307" t="n"/>
      <c r="AT219" s="307" t="n"/>
      <c r="AU219" s="307" t="n"/>
      <c r="AV219" s="307" t="n"/>
      <c r="AW219" s="307" t="n"/>
      <c r="AX219" s="307" t="n"/>
      <c r="AY219" s="307" t="n"/>
      <c r="AZ219" s="307" t="n"/>
      <c r="BA219" s="233" t="n"/>
      <c r="BB219" s="307" t="n"/>
      <c r="BC219" s="307" t="n"/>
      <c r="BD219" s="307" t="n"/>
      <c r="BE219" s="307" t="n"/>
      <c r="BF219" s="307" t="n"/>
      <c r="BG219" s="31" t="n"/>
      <c r="BH219" s="31" t="n"/>
      <c r="BI219" s="31" t="n"/>
      <c r="BJ219" s="31" t="n"/>
    </row>
    <row r="220" ht="15.75" customHeight="1" s="349">
      <c r="A220" s="307" t="n"/>
      <c r="B220" s="307" t="n"/>
      <c r="C220" s="307" t="n"/>
      <c r="D220" s="307" t="n"/>
      <c r="E220" s="307" t="n"/>
      <c r="F220" s="307" t="n"/>
      <c r="G220" s="307" t="n"/>
      <c r="H220" s="307" t="n"/>
      <c r="I220" s="307" t="n"/>
      <c r="J220" s="307" t="n"/>
      <c r="K220" s="307" t="n"/>
      <c r="L220" s="307" t="n"/>
      <c r="M220" s="307" t="n"/>
      <c r="N220" s="307" t="n"/>
      <c r="O220" s="307" t="n"/>
      <c r="P220" s="307" t="n"/>
      <c r="Q220" s="307" t="n"/>
      <c r="R220" s="307" t="n"/>
      <c r="S220" s="307" t="n"/>
      <c r="T220" s="307" t="n"/>
      <c r="U220" s="307" t="n"/>
      <c r="V220" s="307" t="n"/>
      <c r="W220" s="307" t="n"/>
      <c r="X220" s="307" t="n"/>
      <c r="Y220" s="307" t="n"/>
      <c r="Z220" s="307" t="n"/>
      <c r="AA220" s="307" t="n"/>
      <c r="AB220" s="307" t="n"/>
      <c r="AC220" s="307" t="n"/>
      <c r="AD220" s="307" t="n"/>
      <c r="AE220" s="307" t="n"/>
      <c r="AF220" s="307" t="n"/>
      <c r="AG220" s="307" t="n"/>
      <c r="AH220" s="307" t="n"/>
      <c r="AI220" s="307" t="n"/>
      <c r="AJ220" s="307" t="n"/>
      <c r="AK220" s="307" t="n"/>
      <c r="AL220" s="307" t="n"/>
      <c r="AM220" s="307" t="n"/>
      <c r="AN220" s="307" t="n"/>
      <c r="AO220" s="307" t="n"/>
      <c r="AP220" s="307" t="n"/>
      <c r="AQ220" s="307" t="n"/>
      <c r="AR220" s="307" t="n"/>
      <c r="AS220" s="307" t="n"/>
      <c r="AT220" s="307" t="n"/>
      <c r="AU220" s="307" t="n"/>
      <c r="AV220" s="307" t="n"/>
      <c r="AW220" s="307" t="n"/>
      <c r="AX220" s="307" t="n"/>
      <c r="AY220" s="307" t="n"/>
      <c r="AZ220" s="307" t="n"/>
      <c r="BA220" s="233" t="n"/>
      <c r="BB220" s="307" t="n"/>
      <c r="BC220" s="307" t="n"/>
      <c r="BD220" s="307" t="n"/>
      <c r="BE220" s="307" t="n"/>
      <c r="BF220" s="307" t="n"/>
      <c r="BG220" s="31" t="n"/>
      <c r="BH220" s="31" t="n"/>
      <c r="BI220" s="31" t="n"/>
      <c r="BJ220" s="31" t="n"/>
    </row>
    <row r="221" ht="15.75" customHeight="1" s="349">
      <c r="A221" s="307" t="n"/>
      <c r="B221" s="307" t="n"/>
      <c r="C221" s="307" t="n"/>
      <c r="D221" s="307" t="n"/>
      <c r="E221" s="307" t="n"/>
      <c r="F221" s="307" t="n"/>
      <c r="G221" s="307" t="n"/>
      <c r="H221" s="307" t="n"/>
      <c r="I221" s="307" t="n"/>
      <c r="J221" s="307" t="n"/>
      <c r="K221" s="307" t="n"/>
      <c r="L221" s="307" t="n"/>
      <c r="M221" s="307" t="n"/>
      <c r="N221" s="307" t="n"/>
      <c r="O221" s="307" t="n"/>
      <c r="P221" s="307" t="n"/>
      <c r="Q221" s="307" t="n"/>
      <c r="R221" s="307" t="n"/>
      <c r="S221" s="307" t="n"/>
      <c r="T221" s="307" t="n"/>
      <c r="U221" s="307" t="n"/>
      <c r="V221" s="307" t="n"/>
      <c r="W221" s="307" t="n"/>
      <c r="X221" s="307" t="n"/>
      <c r="Y221" s="307" t="n"/>
      <c r="Z221" s="307" t="n"/>
      <c r="AA221" s="307" t="n"/>
      <c r="AB221" s="307" t="n"/>
      <c r="AC221" s="307" t="n"/>
      <c r="AD221" s="307" t="n"/>
      <c r="AE221" s="307" t="n"/>
      <c r="AF221" s="307" t="n"/>
      <c r="AG221" s="307" t="n"/>
      <c r="AH221" s="307" t="n"/>
      <c r="AI221" s="307" t="n"/>
      <c r="AJ221" s="307" t="n"/>
      <c r="AK221" s="307" t="n"/>
      <c r="AL221" s="307" t="n"/>
      <c r="AM221" s="307" t="n"/>
      <c r="AN221" s="307" t="n"/>
      <c r="AO221" s="307" t="n"/>
      <c r="AP221" s="307" t="n"/>
      <c r="AQ221" s="307" t="n"/>
      <c r="AR221" s="307" t="n"/>
      <c r="AS221" s="307" t="n"/>
      <c r="AT221" s="307" t="n"/>
      <c r="AU221" s="307" t="n"/>
      <c r="AV221" s="307" t="n"/>
      <c r="AW221" s="307" t="n"/>
      <c r="AX221" s="307" t="n"/>
      <c r="AY221" s="307" t="n"/>
      <c r="AZ221" s="307" t="n"/>
      <c r="BA221" s="233" t="n"/>
      <c r="BB221" s="307" t="n"/>
      <c r="BC221" s="307" t="n"/>
      <c r="BD221" s="307" t="n"/>
      <c r="BE221" s="307" t="n"/>
      <c r="BF221" s="307" t="n"/>
      <c r="BG221" s="31" t="n"/>
      <c r="BH221" s="31" t="n"/>
      <c r="BI221" s="31" t="n"/>
      <c r="BJ221" s="31" t="n"/>
    </row>
    <row r="222" ht="15.75" customHeight="1" s="349">
      <c r="A222" s="307" t="n"/>
      <c r="B222" s="307" t="n"/>
      <c r="C222" s="307" t="n"/>
      <c r="D222" s="307" t="n"/>
      <c r="E222" s="307" t="n"/>
      <c r="F222" s="307" t="n"/>
      <c r="G222" s="307" t="n"/>
      <c r="H222" s="307" t="n"/>
      <c r="I222" s="307" t="n"/>
      <c r="J222" s="307" t="n"/>
      <c r="K222" s="307" t="n"/>
      <c r="L222" s="307" t="n"/>
      <c r="M222" s="307" t="n"/>
      <c r="N222" s="307" t="n"/>
      <c r="O222" s="307" t="n"/>
      <c r="P222" s="307" t="n"/>
      <c r="Q222" s="307" t="n"/>
      <c r="R222" s="307" t="n"/>
      <c r="S222" s="307" t="n"/>
      <c r="T222" s="307" t="n"/>
      <c r="U222" s="307" t="n"/>
      <c r="V222" s="307" t="n"/>
      <c r="W222" s="307" t="n"/>
      <c r="X222" s="307" t="n"/>
      <c r="Y222" s="307" t="n"/>
      <c r="Z222" s="307" t="n"/>
      <c r="AA222" s="307" t="n"/>
      <c r="AB222" s="307" t="n"/>
      <c r="AC222" s="307" t="n"/>
      <c r="AD222" s="307" t="n"/>
      <c r="AE222" s="307" t="n"/>
      <c r="AF222" s="307" t="n"/>
      <c r="AG222" s="307" t="n"/>
      <c r="AH222" s="307" t="n"/>
      <c r="AI222" s="307" t="n"/>
      <c r="AJ222" s="307" t="n"/>
      <c r="AK222" s="307" t="n"/>
      <c r="AL222" s="307" t="n"/>
      <c r="AM222" s="307" t="n"/>
      <c r="AN222" s="307" t="n"/>
      <c r="AO222" s="307" t="n"/>
      <c r="AP222" s="307" t="n"/>
      <c r="AQ222" s="307" t="n"/>
      <c r="AR222" s="307" t="n"/>
      <c r="AS222" s="307" t="n"/>
      <c r="AT222" s="307" t="n"/>
      <c r="AU222" s="307" t="n"/>
      <c r="AV222" s="307" t="n"/>
      <c r="AW222" s="307" t="n"/>
      <c r="AX222" s="307" t="n"/>
      <c r="AY222" s="307" t="n"/>
      <c r="AZ222" s="307" t="n"/>
      <c r="BA222" s="233" t="n"/>
      <c r="BB222" s="307" t="n"/>
      <c r="BC222" s="307" t="n"/>
      <c r="BD222" s="307" t="n"/>
      <c r="BE222" s="307" t="n"/>
      <c r="BF222" s="307" t="n"/>
      <c r="BG222" s="31" t="n"/>
      <c r="BH222" s="31" t="n"/>
      <c r="BI222" s="31" t="n"/>
      <c r="BJ222" s="31" t="n"/>
    </row>
    <row r="223" ht="15.75" customHeight="1" s="349"/>
    <row r="224" ht="15.75" customHeight="1" s="349"/>
    <row r="225" ht="15.75" customHeight="1" s="349"/>
    <row r="226" ht="15.75" customHeight="1" s="349"/>
    <row r="227" ht="15.75" customHeight="1" s="349"/>
    <row r="228" ht="15.75" customHeight="1" s="349"/>
    <row r="229" ht="15.75" customHeight="1" s="349"/>
    <row r="230" ht="15.75" customHeight="1" s="349"/>
    <row r="231" ht="15.75" customHeight="1" s="349"/>
    <row r="232" ht="15.75" customHeight="1" s="349"/>
    <row r="233" ht="15.75" customHeight="1" s="349"/>
    <row r="234" ht="15.75" customHeight="1" s="349"/>
    <row r="235" ht="15.75" customHeight="1" s="349"/>
    <row r="236" ht="15.75" customHeight="1" s="349"/>
    <row r="237" ht="15.75" customHeight="1" s="349"/>
    <row r="238" ht="15.75" customHeight="1" s="349"/>
    <row r="239" ht="15.75" customHeight="1" s="349"/>
    <row r="240" ht="15.75" customHeight="1" s="349"/>
    <row r="241" ht="15.75" customHeight="1" s="349"/>
    <row r="242" ht="15.75" customHeight="1" s="349"/>
    <row r="243" ht="15.75" customHeight="1" s="349"/>
    <row r="244" ht="15.75" customHeight="1" s="349"/>
    <row r="245" ht="15.75" customHeight="1" s="349"/>
    <row r="246" ht="15.75" customHeight="1" s="349"/>
    <row r="247" ht="15.75" customHeight="1" s="349"/>
    <row r="248" ht="15.75" customHeight="1" s="349"/>
    <row r="249" ht="15.75" customHeight="1" s="349"/>
    <row r="250" ht="15.75" customHeight="1" s="349"/>
    <row r="251" ht="15.75" customHeight="1" s="349"/>
    <row r="252" ht="15.75" customHeight="1" s="349"/>
    <row r="253" ht="15.75" customHeight="1" s="349"/>
    <row r="254" ht="15.75" customHeight="1" s="349"/>
    <row r="255" ht="15.75" customHeight="1" s="349"/>
    <row r="256" ht="15.75" customHeight="1" s="349"/>
    <row r="257" ht="15.75" customHeight="1" s="349"/>
    <row r="258" ht="15.75" customHeight="1" s="349"/>
    <row r="259" ht="15.75" customHeight="1" s="349"/>
    <row r="260" ht="15.75" customHeight="1" s="349"/>
    <row r="261" ht="15.75" customHeight="1" s="349"/>
    <row r="262" ht="15.75" customHeight="1" s="349"/>
    <row r="263" ht="15.75" customHeight="1" s="349"/>
    <row r="264" ht="15.75" customHeight="1" s="349"/>
    <row r="265" ht="15.75" customHeight="1" s="349"/>
    <row r="266" ht="15.75" customHeight="1" s="349"/>
    <row r="267" ht="15.75" customHeight="1" s="349"/>
    <row r="268" ht="15.75" customHeight="1" s="349"/>
    <row r="269" ht="15.75" customHeight="1" s="349"/>
    <row r="270" ht="15.75" customHeight="1" s="349"/>
    <row r="271" ht="15.75" customHeight="1" s="349"/>
    <row r="272" ht="15.75" customHeight="1" s="349"/>
    <row r="273" ht="15.75" customHeight="1" s="349"/>
    <row r="274" ht="15.75" customHeight="1" s="349"/>
    <row r="275" ht="15.75" customHeight="1" s="349"/>
    <row r="276" ht="15.75" customHeight="1" s="349"/>
    <row r="277" ht="15.75" customHeight="1" s="349"/>
    <row r="278" ht="15.75" customHeight="1" s="349"/>
    <row r="279" ht="15.75" customHeight="1" s="349"/>
    <row r="280" ht="15.75" customHeight="1" s="349"/>
    <row r="281" ht="15.75" customHeight="1" s="349"/>
    <row r="282" ht="15.75" customHeight="1" s="349"/>
    <row r="283" ht="15.75" customHeight="1" s="349"/>
    <row r="284" ht="15.75" customHeight="1" s="349"/>
    <row r="285" ht="15.75" customHeight="1" s="349"/>
    <row r="286" ht="15.75" customHeight="1" s="349"/>
    <row r="287" ht="15.75" customHeight="1" s="349"/>
    <row r="288" ht="15.75" customHeight="1" s="349"/>
    <row r="289" ht="15.75" customHeight="1" s="349"/>
    <row r="290" ht="15.75" customHeight="1" s="349"/>
    <row r="291" ht="15.75" customHeight="1" s="349"/>
    <row r="292" ht="15.75" customHeight="1" s="349"/>
    <row r="293" ht="15.75" customHeight="1" s="349"/>
    <row r="294" ht="15.75" customHeight="1" s="349"/>
    <row r="295" ht="15.75" customHeight="1" s="349"/>
    <row r="296" ht="15.75" customHeight="1" s="349"/>
    <row r="297" ht="15.75" customHeight="1" s="349"/>
    <row r="298" ht="15.75" customHeight="1" s="349"/>
    <row r="299" ht="15.75" customHeight="1" s="349"/>
    <row r="300" ht="15.75" customHeight="1" s="349"/>
    <row r="301" ht="15.75" customHeight="1" s="349"/>
    <row r="302" ht="15.75" customHeight="1" s="349"/>
    <row r="303" ht="15.75" customHeight="1" s="349"/>
    <row r="304" ht="15.75" customHeight="1" s="349"/>
    <row r="305" ht="15.75" customHeight="1" s="349"/>
    <row r="306" ht="15.75" customHeight="1" s="349"/>
    <row r="307" ht="15.75" customHeight="1" s="349"/>
    <row r="308" ht="15.75" customHeight="1" s="349"/>
    <row r="309" ht="15.75" customHeight="1" s="349"/>
    <row r="310" ht="15.75" customHeight="1" s="349"/>
    <row r="311" ht="15.75" customHeight="1" s="349"/>
    <row r="312" ht="15.75" customHeight="1" s="349"/>
    <row r="313" ht="15.75" customHeight="1" s="349"/>
    <row r="314" ht="15.75" customHeight="1" s="349"/>
    <row r="315" ht="15.75" customHeight="1" s="349"/>
    <row r="316" ht="15.75" customHeight="1" s="349"/>
    <row r="317" ht="15.75" customHeight="1" s="349"/>
    <row r="318" ht="15.75" customHeight="1" s="349"/>
    <row r="319" ht="15.75" customHeight="1" s="349"/>
    <row r="320" ht="15.75" customHeight="1" s="349"/>
    <row r="321" ht="15.75" customHeight="1" s="349"/>
    <row r="322" ht="15.75" customHeight="1" s="349"/>
    <row r="323" ht="15.75" customHeight="1" s="349"/>
    <row r="324" ht="15.75" customHeight="1" s="349"/>
    <row r="325" ht="15.75" customHeight="1" s="349"/>
    <row r="326" ht="15.75" customHeight="1" s="349"/>
    <row r="327" ht="15.75" customHeight="1" s="349"/>
    <row r="328" ht="15.75" customHeight="1" s="349"/>
    <row r="329" ht="15.75" customHeight="1" s="349"/>
    <row r="330" ht="15.75" customHeight="1" s="349"/>
    <row r="331" ht="15.75" customHeight="1" s="349"/>
    <row r="332" ht="15.75" customHeight="1" s="349"/>
    <row r="333" ht="15.75" customHeight="1" s="349"/>
    <row r="334" ht="15.75" customHeight="1" s="349"/>
    <row r="335" ht="15.75" customHeight="1" s="349"/>
    <row r="336" ht="15.75" customHeight="1" s="349"/>
    <row r="337" ht="15.75" customHeight="1" s="349"/>
    <row r="338" ht="15.75" customHeight="1" s="349"/>
    <row r="339" ht="15.75" customHeight="1" s="349"/>
    <row r="340" ht="15.75" customHeight="1" s="349"/>
    <row r="341" ht="15.75" customHeight="1" s="349"/>
    <row r="342" ht="15.75" customHeight="1" s="349"/>
    <row r="343" ht="15.75" customHeight="1" s="349"/>
    <row r="344" ht="15.75" customHeight="1" s="349"/>
    <row r="345" ht="15.75" customHeight="1" s="349"/>
    <row r="346" ht="15.75" customHeight="1" s="349"/>
    <row r="347" ht="15.75" customHeight="1" s="349"/>
    <row r="348" ht="15.75" customHeight="1" s="349"/>
    <row r="349" ht="15.75" customHeight="1" s="349"/>
    <row r="350" ht="15.75" customHeight="1" s="349"/>
    <row r="351" ht="15.75" customHeight="1" s="349"/>
    <row r="352" ht="15.75" customHeight="1" s="349"/>
    <row r="353" ht="15.75" customHeight="1" s="349"/>
    <row r="354" ht="15.75" customHeight="1" s="349"/>
    <row r="355" ht="15.75" customHeight="1" s="349"/>
    <row r="356" ht="15.75" customHeight="1" s="349"/>
    <row r="357" ht="15.75" customHeight="1" s="349"/>
    <row r="358" ht="15.75" customHeight="1" s="349"/>
    <row r="359" ht="15.75" customHeight="1" s="349"/>
    <row r="360" ht="15.75" customHeight="1" s="349"/>
    <row r="361" ht="15.75" customHeight="1" s="349"/>
    <row r="362" ht="15.75" customHeight="1" s="349"/>
    <row r="363" ht="15.75" customHeight="1" s="349"/>
    <row r="364" ht="15.75" customHeight="1" s="349"/>
    <row r="365" ht="15.75" customHeight="1" s="349"/>
    <row r="366" ht="15.75" customHeight="1" s="349"/>
    <row r="367" ht="15.75" customHeight="1" s="349"/>
    <row r="368" ht="15.75" customHeight="1" s="349"/>
    <row r="369" ht="15.75" customHeight="1" s="349"/>
    <row r="370" ht="15.75" customHeight="1" s="349"/>
    <row r="371" ht="15.75" customHeight="1" s="349"/>
    <row r="372" ht="15.75" customHeight="1" s="349"/>
    <row r="373" ht="15.75" customHeight="1" s="349"/>
    <row r="374" ht="15.75" customHeight="1" s="349"/>
    <row r="375" ht="15.75" customHeight="1" s="349"/>
    <row r="376" ht="15.75" customHeight="1" s="349"/>
    <row r="377" ht="15.75" customHeight="1" s="349"/>
    <row r="378" ht="15.75" customHeight="1" s="349"/>
    <row r="379" ht="15.75" customHeight="1" s="349"/>
    <row r="380" ht="15.75" customHeight="1" s="349"/>
    <row r="381" ht="15.75" customHeight="1" s="349"/>
    <row r="382" ht="15.75" customHeight="1" s="349"/>
    <row r="383" ht="15.75" customHeight="1" s="349"/>
    <row r="384" ht="15.75" customHeight="1" s="349"/>
    <row r="385" ht="15.75" customHeight="1" s="349"/>
    <row r="386" ht="15.75" customHeight="1" s="349"/>
    <row r="387" ht="15.75" customHeight="1" s="349"/>
    <row r="388" ht="15.75" customHeight="1" s="349"/>
    <row r="389" ht="15.75" customHeight="1" s="349"/>
    <row r="390" ht="15.75" customHeight="1" s="349"/>
    <row r="391" ht="15.75" customHeight="1" s="349"/>
    <row r="392" ht="15.75" customHeight="1" s="349"/>
    <row r="393" ht="15.75" customHeight="1" s="349"/>
    <row r="394" ht="15.75" customHeight="1" s="349"/>
    <row r="395" ht="15.75" customHeight="1" s="349"/>
    <row r="396" ht="15.75" customHeight="1" s="349"/>
    <row r="397" ht="15.75" customHeight="1" s="349"/>
    <row r="398" ht="15.75" customHeight="1" s="349"/>
    <row r="399" ht="15.75" customHeight="1" s="349"/>
    <row r="400" ht="15.75" customHeight="1" s="349"/>
    <row r="401" ht="15.75" customHeight="1" s="349"/>
    <row r="402" ht="15.75" customHeight="1" s="349"/>
    <row r="403" ht="15.75" customHeight="1" s="349"/>
    <row r="404" ht="15.75" customHeight="1" s="349"/>
    <row r="405" ht="15.75" customHeight="1" s="349"/>
    <row r="406" ht="15.75" customHeight="1" s="349"/>
    <row r="407" ht="15.75" customHeight="1" s="349"/>
    <row r="408" ht="15.75" customHeight="1" s="349"/>
    <row r="409" ht="15.75" customHeight="1" s="349"/>
    <row r="410" ht="15.75" customHeight="1" s="349"/>
    <row r="411" ht="15.75" customHeight="1" s="349"/>
    <row r="412" ht="15.75" customHeight="1" s="349"/>
    <row r="413" ht="15.75" customHeight="1" s="349"/>
    <row r="414" ht="15.75" customHeight="1" s="349"/>
    <row r="415" ht="15.75" customHeight="1" s="349"/>
    <row r="416" ht="15.75" customHeight="1" s="349"/>
    <row r="417" ht="15.75" customHeight="1" s="349"/>
    <row r="418" ht="15.75" customHeight="1" s="349"/>
    <row r="419" ht="15.75" customHeight="1" s="349"/>
    <row r="420" ht="15.75" customHeight="1" s="349"/>
    <row r="421" ht="15.75" customHeight="1" s="349"/>
    <row r="422" ht="15.75" customHeight="1" s="349"/>
    <row r="423" ht="15.75" customHeight="1" s="349"/>
    <row r="424" ht="15.75" customHeight="1" s="349"/>
    <row r="425" ht="15.75" customHeight="1" s="349"/>
    <row r="426" ht="15.75" customHeight="1" s="349"/>
    <row r="427" ht="15.75" customHeight="1" s="349"/>
    <row r="428" ht="15.75" customHeight="1" s="349"/>
    <row r="429" ht="15.75" customHeight="1" s="349"/>
    <row r="430" ht="15.75" customHeight="1" s="349"/>
    <row r="431" ht="15.75" customHeight="1" s="349"/>
    <row r="432" ht="15.75" customHeight="1" s="349"/>
    <row r="433" ht="15.75" customHeight="1" s="349"/>
    <row r="434" ht="15.75" customHeight="1" s="349"/>
    <row r="435" ht="15.75" customHeight="1" s="349"/>
    <row r="436" ht="15.75" customHeight="1" s="349"/>
    <row r="437" ht="15.75" customHeight="1" s="349"/>
    <row r="438" ht="15.75" customHeight="1" s="349"/>
    <row r="439" ht="15.75" customHeight="1" s="349"/>
    <row r="440" ht="15.75" customHeight="1" s="349"/>
    <row r="441" ht="15.75" customHeight="1" s="349"/>
    <row r="442" ht="15.75" customHeight="1" s="349"/>
    <row r="443" ht="15.75" customHeight="1" s="349"/>
    <row r="444" ht="15.75" customHeight="1" s="349"/>
    <row r="445" ht="15.75" customHeight="1" s="349"/>
    <row r="446" ht="15.75" customHeight="1" s="349"/>
    <row r="447" ht="15.75" customHeight="1" s="349"/>
    <row r="448" ht="15.75" customHeight="1" s="349"/>
    <row r="449" ht="15.75" customHeight="1" s="349"/>
    <row r="450" ht="15.75" customHeight="1" s="349"/>
    <row r="451" ht="15.75" customHeight="1" s="349"/>
    <row r="452" ht="15.75" customHeight="1" s="349"/>
    <row r="453" ht="15.75" customHeight="1" s="349"/>
    <row r="454" ht="15.75" customHeight="1" s="349"/>
    <row r="455" ht="15.75" customHeight="1" s="349"/>
    <row r="456" ht="15.75" customHeight="1" s="349"/>
    <row r="457" ht="15.75" customHeight="1" s="349"/>
    <row r="458" ht="15.75" customHeight="1" s="349"/>
    <row r="459" ht="15.75" customHeight="1" s="349"/>
    <row r="460" ht="15.75" customHeight="1" s="349"/>
    <row r="461" ht="15.75" customHeight="1" s="349"/>
    <row r="462" ht="15.75" customHeight="1" s="349"/>
    <row r="463" ht="15.75" customHeight="1" s="349"/>
    <row r="464" ht="15.75" customHeight="1" s="349"/>
    <row r="465" ht="15.75" customHeight="1" s="349"/>
    <row r="466" ht="15.75" customHeight="1" s="349"/>
    <row r="467" ht="15.75" customHeight="1" s="349"/>
    <row r="468" ht="15.75" customHeight="1" s="349"/>
    <row r="469" ht="15.75" customHeight="1" s="349"/>
    <row r="470" ht="15.75" customHeight="1" s="349"/>
    <row r="471" ht="15.75" customHeight="1" s="349"/>
    <row r="472" ht="15.75" customHeight="1" s="349"/>
    <row r="473" ht="15.75" customHeight="1" s="349"/>
    <row r="474" ht="15.75" customHeight="1" s="349"/>
    <row r="475" ht="15.75" customHeight="1" s="349"/>
    <row r="476" ht="15.75" customHeight="1" s="349"/>
    <row r="477" ht="15.75" customHeight="1" s="349"/>
    <row r="478" ht="15.75" customHeight="1" s="349"/>
    <row r="479" ht="15.75" customHeight="1" s="349"/>
    <row r="480" ht="15.75" customHeight="1" s="349"/>
    <row r="481" ht="15.75" customHeight="1" s="349"/>
    <row r="482" ht="15.75" customHeight="1" s="349"/>
    <row r="483" ht="15.75" customHeight="1" s="349"/>
    <row r="484" ht="15.75" customHeight="1" s="349"/>
    <row r="485" ht="15.75" customHeight="1" s="349"/>
    <row r="486" ht="15.75" customHeight="1" s="349"/>
    <row r="487" ht="15.75" customHeight="1" s="349"/>
    <row r="488" ht="15.75" customHeight="1" s="349"/>
    <row r="489" ht="15.75" customHeight="1" s="349"/>
    <row r="490" ht="15.75" customHeight="1" s="349"/>
    <row r="491" ht="15.75" customHeight="1" s="349"/>
    <row r="492" ht="15.75" customHeight="1" s="349"/>
    <row r="493" ht="15.75" customHeight="1" s="349"/>
    <row r="494" ht="15.75" customHeight="1" s="349"/>
    <row r="495" ht="15.75" customHeight="1" s="349"/>
    <row r="496" ht="15.75" customHeight="1" s="349"/>
    <row r="497" ht="15.75" customHeight="1" s="349"/>
    <row r="498" ht="15.75" customHeight="1" s="349"/>
    <row r="499" ht="15.75" customHeight="1" s="349"/>
    <row r="500" ht="15.75" customHeight="1" s="349"/>
    <row r="501" ht="15.75" customHeight="1" s="349"/>
    <row r="502" ht="15.75" customHeight="1" s="349"/>
    <row r="503" ht="15.75" customHeight="1" s="349"/>
    <row r="504" ht="15.75" customHeight="1" s="349"/>
    <row r="505" ht="15.75" customHeight="1" s="349"/>
    <row r="506" ht="15.75" customHeight="1" s="349"/>
    <row r="507" ht="15.75" customHeight="1" s="349"/>
    <row r="508" ht="15.75" customHeight="1" s="349"/>
    <row r="509" ht="15.75" customHeight="1" s="349"/>
    <row r="510" ht="15.75" customHeight="1" s="349"/>
    <row r="511" ht="15.75" customHeight="1" s="349"/>
    <row r="512" ht="15.75" customHeight="1" s="349"/>
    <row r="513" ht="15.75" customHeight="1" s="349"/>
    <row r="514" ht="15.75" customHeight="1" s="349"/>
    <row r="515" ht="15.75" customHeight="1" s="349"/>
    <row r="516" ht="15.75" customHeight="1" s="349"/>
    <row r="517" ht="15.75" customHeight="1" s="349"/>
    <row r="518" ht="15.75" customHeight="1" s="349"/>
    <row r="519" ht="15.75" customHeight="1" s="349"/>
    <row r="520" ht="15.75" customHeight="1" s="349"/>
    <row r="521" ht="15.75" customHeight="1" s="349"/>
    <row r="522" ht="15.75" customHeight="1" s="349"/>
    <row r="523" ht="15.75" customHeight="1" s="349"/>
    <row r="524" ht="15.75" customHeight="1" s="349"/>
    <row r="525" ht="15.75" customHeight="1" s="349"/>
    <row r="526" ht="15.75" customHeight="1" s="349"/>
    <row r="527" ht="15.75" customHeight="1" s="349"/>
    <row r="528" ht="15.75" customHeight="1" s="349"/>
    <row r="529" ht="15.75" customHeight="1" s="349"/>
    <row r="530" ht="15.75" customHeight="1" s="349"/>
    <row r="531" ht="15.75" customHeight="1" s="349"/>
    <row r="532" ht="15.75" customHeight="1" s="349"/>
    <row r="533" ht="15.75" customHeight="1" s="349"/>
    <row r="534" ht="15.75" customHeight="1" s="349"/>
    <row r="535" ht="15.75" customHeight="1" s="349"/>
    <row r="536" ht="15.75" customHeight="1" s="349"/>
    <row r="537" ht="15.75" customHeight="1" s="349"/>
    <row r="538" ht="15.75" customHeight="1" s="349"/>
    <row r="539" ht="15.75" customHeight="1" s="349"/>
    <row r="540" ht="15.75" customHeight="1" s="349"/>
    <row r="541" ht="15.75" customHeight="1" s="349"/>
    <row r="542" ht="15.75" customHeight="1" s="349"/>
    <row r="543" ht="15.75" customHeight="1" s="349"/>
    <row r="544" ht="15.75" customHeight="1" s="349"/>
    <row r="545" ht="15.75" customHeight="1" s="349"/>
    <row r="546" ht="15.75" customHeight="1" s="349"/>
    <row r="547" ht="15.75" customHeight="1" s="349"/>
    <row r="548" ht="15.75" customHeight="1" s="349"/>
    <row r="549" ht="15.75" customHeight="1" s="349"/>
    <row r="550" ht="15.75" customHeight="1" s="349"/>
    <row r="551" ht="15.75" customHeight="1" s="349"/>
    <row r="552" ht="15.75" customHeight="1" s="349"/>
    <row r="553" ht="15.75" customHeight="1" s="349"/>
    <row r="554" ht="15.75" customHeight="1" s="349"/>
    <row r="555" ht="15.75" customHeight="1" s="349"/>
    <row r="556" ht="15.75" customHeight="1" s="349"/>
    <row r="557" ht="15.75" customHeight="1" s="349"/>
    <row r="558" ht="15.75" customHeight="1" s="349"/>
    <row r="559" ht="15.75" customHeight="1" s="349"/>
    <row r="560" ht="15.75" customHeight="1" s="349"/>
    <row r="561" ht="15.75" customHeight="1" s="349"/>
    <row r="562" ht="15.75" customHeight="1" s="349"/>
    <row r="563" ht="15.75" customHeight="1" s="349"/>
    <row r="564" ht="15.75" customHeight="1" s="349"/>
    <row r="565" ht="15.75" customHeight="1" s="349"/>
    <row r="566" ht="15.75" customHeight="1" s="349"/>
    <row r="567" ht="15.75" customHeight="1" s="349"/>
    <row r="568" ht="15.75" customHeight="1" s="349"/>
    <row r="569" ht="15.75" customHeight="1" s="349"/>
    <row r="570" ht="15.75" customHeight="1" s="349"/>
    <row r="571" ht="15.75" customHeight="1" s="349"/>
    <row r="572" ht="15.75" customHeight="1" s="349"/>
    <row r="573" ht="15.75" customHeight="1" s="349"/>
    <row r="574" ht="15.75" customHeight="1" s="349"/>
    <row r="575" ht="15.75" customHeight="1" s="349"/>
    <row r="576" ht="15.75" customHeight="1" s="349"/>
    <row r="577" ht="15.75" customHeight="1" s="349"/>
    <row r="578" ht="15.75" customHeight="1" s="349"/>
    <row r="579" ht="15.75" customHeight="1" s="349"/>
    <row r="580" ht="15.75" customHeight="1" s="349"/>
    <row r="581" ht="15.75" customHeight="1" s="349"/>
    <row r="582" ht="15.75" customHeight="1" s="349"/>
    <row r="583" ht="15.75" customHeight="1" s="349"/>
    <row r="584" ht="15.75" customHeight="1" s="349"/>
    <row r="585" ht="15.75" customHeight="1" s="349"/>
    <row r="586" ht="15.75" customHeight="1" s="349"/>
    <row r="587" ht="15.75" customHeight="1" s="349"/>
    <row r="588" ht="15.75" customHeight="1" s="349"/>
    <row r="589" ht="15.75" customHeight="1" s="349"/>
    <row r="590" ht="15.75" customHeight="1" s="349"/>
    <row r="591" ht="15.75" customHeight="1" s="349"/>
    <row r="592" ht="15.75" customHeight="1" s="349"/>
    <row r="593" ht="15.75" customHeight="1" s="349"/>
    <row r="594" ht="15.75" customHeight="1" s="349"/>
    <row r="595" ht="15.75" customHeight="1" s="349"/>
    <row r="596" ht="15.75" customHeight="1" s="349"/>
    <row r="597" ht="15.75" customHeight="1" s="349"/>
    <row r="598" ht="15.75" customHeight="1" s="349"/>
    <row r="599" ht="15.75" customHeight="1" s="349"/>
    <row r="600" ht="15.75" customHeight="1" s="349"/>
    <row r="601" ht="15.75" customHeight="1" s="349"/>
    <row r="602" ht="15.75" customHeight="1" s="349"/>
    <row r="603" ht="15.75" customHeight="1" s="349"/>
    <row r="604" ht="15.75" customHeight="1" s="349"/>
    <row r="605" ht="15.75" customHeight="1" s="349"/>
    <row r="606" ht="15.75" customHeight="1" s="349"/>
    <row r="607" ht="15.75" customHeight="1" s="349"/>
    <row r="608" ht="15.75" customHeight="1" s="349"/>
    <row r="609" ht="15.75" customHeight="1" s="349"/>
    <row r="610" ht="15.75" customHeight="1" s="349"/>
    <row r="611" ht="15.75" customHeight="1" s="349"/>
    <row r="612" ht="15.75" customHeight="1" s="349"/>
    <row r="613" ht="15.75" customHeight="1" s="349"/>
    <row r="614" ht="15.75" customHeight="1" s="349"/>
    <row r="615" ht="15.75" customHeight="1" s="349"/>
    <row r="616" ht="15.75" customHeight="1" s="349"/>
    <row r="617" ht="15.75" customHeight="1" s="349"/>
    <row r="618" ht="15.75" customHeight="1" s="349"/>
    <row r="619" ht="15.75" customHeight="1" s="349"/>
    <row r="620" ht="15.75" customHeight="1" s="349"/>
    <row r="621" ht="15.75" customHeight="1" s="349"/>
    <row r="622" ht="15.75" customHeight="1" s="349"/>
    <row r="623" ht="15.75" customHeight="1" s="349"/>
    <row r="624" ht="15.75" customHeight="1" s="349"/>
    <row r="625" ht="15.75" customHeight="1" s="349"/>
    <row r="626" ht="15.75" customHeight="1" s="349"/>
    <row r="627" ht="15.75" customHeight="1" s="349"/>
    <row r="628" ht="15.75" customHeight="1" s="349"/>
    <row r="629" ht="15.75" customHeight="1" s="349"/>
    <row r="630" ht="15.75" customHeight="1" s="349"/>
    <row r="631" ht="15.75" customHeight="1" s="349"/>
    <row r="632" ht="15.75" customHeight="1" s="349"/>
    <row r="633" ht="15.75" customHeight="1" s="349"/>
    <row r="634" ht="15.75" customHeight="1" s="349"/>
    <row r="635" ht="15.75" customHeight="1" s="349"/>
    <row r="636" ht="15.75" customHeight="1" s="349"/>
    <row r="637" ht="15.75" customHeight="1" s="349"/>
    <row r="638" ht="15.75" customHeight="1" s="349"/>
    <row r="639" ht="15.75" customHeight="1" s="349"/>
    <row r="640" ht="15.75" customHeight="1" s="349"/>
    <row r="641" ht="15.75" customHeight="1" s="349"/>
    <row r="642" ht="15.75" customHeight="1" s="349"/>
    <row r="643" ht="15.75" customHeight="1" s="349"/>
    <row r="644" ht="15.75" customHeight="1" s="349"/>
    <row r="645" ht="15.75" customHeight="1" s="349"/>
    <row r="646" ht="15.75" customHeight="1" s="349"/>
    <row r="647" ht="15.75" customHeight="1" s="349"/>
    <row r="648" ht="15.75" customHeight="1" s="349"/>
    <row r="649" ht="15.75" customHeight="1" s="349"/>
    <row r="650" ht="15.75" customHeight="1" s="349"/>
    <row r="651" ht="15.75" customHeight="1" s="349"/>
    <row r="652" ht="15.75" customHeight="1" s="349"/>
    <row r="653" ht="15.75" customHeight="1" s="349"/>
    <row r="654" ht="15.75" customHeight="1" s="349"/>
    <row r="655" ht="15.75" customHeight="1" s="349"/>
    <row r="656" ht="15.75" customHeight="1" s="349"/>
    <row r="657" ht="15.75" customHeight="1" s="349"/>
    <row r="658" ht="15.75" customHeight="1" s="349"/>
    <row r="659" ht="15.75" customHeight="1" s="349"/>
    <row r="660" ht="15.75" customHeight="1" s="349"/>
    <row r="661" ht="15.75" customHeight="1" s="349"/>
    <row r="662" ht="15.75" customHeight="1" s="349"/>
    <row r="663" ht="15.75" customHeight="1" s="349"/>
    <row r="664" ht="15.75" customHeight="1" s="349"/>
    <row r="665" ht="15.75" customHeight="1" s="349"/>
    <row r="666" ht="15.75" customHeight="1" s="349"/>
    <row r="667" ht="15.75" customHeight="1" s="349"/>
    <row r="668" ht="15.75" customHeight="1" s="349"/>
    <row r="669" ht="15.75" customHeight="1" s="349"/>
    <row r="670" ht="15.75" customHeight="1" s="349"/>
    <row r="671" ht="15.75" customHeight="1" s="349"/>
    <row r="672" ht="15.75" customHeight="1" s="349"/>
    <row r="673" ht="15.75" customHeight="1" s="349"/>
    <row r="674" ht="15.75" customHeight="1" s="349"/>
    <row r="675" ht="15.75" customHeight="1" s="349"/>
    <row r="676" ht="15.75" customHeight="1" s="349"/>
    <row r="677" ht="15.75" customHeight="1" s="349"/>
    <row r="678" ht="15.75" customHeight="1" s="349"/>
    <row r="679" ht="15.75" customHeight="1" s="349"/>
    <row r="680" ht="15.75" customHeight="1" s="349"/>
    <row r="681" ht="15.75" customHeight="1" s="349"/>
    <row r="682" ht="15.75" customHeight="1" s="349"/>
    <row r="683" ht="15.75" customHeight="1" s="349"/>
    <row r="684" ht="15.75" customHeight="1" s="349"/>
    <row r="685" ht="15.75" customHeight="1" s="349"/>
    <row r="686" ht="15.75" customHeight="1" s="349"/>
    <row r="687" ht="15.75" customHeight="1" s="349"/>
    <row r="688" ht="15.75" customHeight="1" s="349"/>
    <row r="689" ht="15.75" customHeight="1" s="349"/>
    <row r="690" ht="15.75" customHeight="1" s="349"/>
    <row r="691" ht="15.75" customHeight="1" s="349"/>
    <row r="692" ht="15.75" customHeight="1" s="349"/>
    <row r="693" ht="15.75" customHeight="1" s="349"/>
    <row r="694" ht="15.75" customHeight="1" s="349"/>
    <row r="695" ht="15.75" customHeight="1" s="349"/>
    <row r="696" ht="15.75" customHeight="1" s="349"/>
    <row r="697" ht="15.75" customHeight="1" s="349"/>
    <row r="698" ht="15.75" customHeight="1" s="349"/>
    <row r="699" ht="15.75" customHeight="1" s="349"/>
    <row r="700" ht="15.75" customHeight="1" s="349"/>
    <row r="701" ht="15.75" customHeight="1" s="349"/>
    <row r="702" ht="15.75" customHeight="1" s="349"/>
    <row r="703" ht="15.75" customHeight="1" s="349"/>
    <row r="704" ht="15.75" customHeight="1" s="349"/>
    <row r="705" ht="15.75" customHeight="1" s="349"/>
    <row r="706" ht="15.75" customHeight="1" s="349"/>
    <row r="707" ht="15.75" customHeight="1" s="349"/>
    <row r="708" ht="15.75" customHeight="1" s="349"/>
    <row r="709" ht="15.75" customHeight="1" s="349"/>
    <row r="710" ht="15.75" customHeight="1" s="349"/>
    <row r="711" ht="15.75" customHeight="1" s="349"/>
    <row r="712" ht="15.75" customHeight="1" s="349"/>
    <row r="713" ht="15.75" customHeight="1" s="349"/>
    <row r="714" ht="15.75" customHeight="1" s="349"/>
    <row r="715" ht="15.75" customHeight="1" s="349"/>
    <row r="716" ht="15.75" customHeight="1" s="349"/>
    <row r="717" ht="15.75" customHeight="1" s="349"/>
    <row r="718" ht="15.75" customHeight="1" s="349"/>
    <row r="719" ht="15.75" customHeight="1" s="349"/>
    <row r="720" ht="15.75" customHeight="1" s="349"/>
    <row r="721" ht="15.75" customHeight="1" s="349"/>
    <row r="722" ht="15.75" customHeight="1" s="349"/>
    <row r="723" ht="15.75" customHeight="1" s="349"/>
    <row r="724" ht="15.75" customHeight="1" s="349"/>
    <row r="725" ht="15.75" customHeight="1" s="349"/>
    <row r="726" ht="15.75" customHeight="1" s="349"/>
    <row r="727" ht="15.75" customHeight="1" s="349"/>
    <row r="728" ht="15.75" customHeight="1" s="349"/>
    <row r="729" ht="15.75" customHeight="1" s="349"/>
    <row r="730" ht="15.75" customHeight="1" s="349"/>
    <row r="731" ht="15.75" customHeight="1" s="349"/>
    <row r="732" ht="15.75" customHeight="1" s="349"/>
    <row r="733" ht="15.75" customHeight="1" s="349"/>
    <row r="734" ht="15.75" customHeight="1" s="349"/>
    <row r="735" ht="15.75" customHeight="1" s="349"/>
    <row r="736" ht="15.75" customHeight="1" s="349"/>
    <row r="737" ht="15.75" customHeight="1" s="349"/>
    <row r="738" ht="15.75" customHeight="1" s="349"/>
    <row r="739" ht="15.75" customHeight="1" s="349"/>
    <row r="740" ht="15.75" customHeight="1" s="349"/>
    <row r="741" ht="15.75" customHeight="1" s="349"/>
    <row r="742" ht="15.75" customHeight="1" s="349"/>
    <row r="743" ht="15.75" customHeight="1" s="349"/>
    <row r="744" ht="15.75" customHeight="1" s="349"/>
    <row r="745" ht="15.75" customHeight="1" s="349"/>
    <row r="746" ht="15.75" customHeight="1" s="349"/>
    <row r="747" ht="15.75" customHeight="1" s="349"/>
    <row r="748" ht="15.75" customHeight="1" s="349"/>
    <row r="749" ht="15.75" customHeight="1" s="349"/>
    <row r="750" ht="15.75" customHeight="1" s="349"/>
    <row r="751" ht="15.75" customHeight="1" s="349"/>
    <row r="752" ht="15.75" customHeight="1" s="349"/>
    <row r="753" ht="15.75" customHeight="1" s="349"/>
    <row r="754" ht="15.75" customHeight="1" s="349"/>
    <row r="755" ht="15.75" customHeight="1" s="349"/>
    <row r="756" ht="15.75" customHeight="1" s="349"/>
    <row r="757" ht="15.75" customHeight="1" s="349"/>
    <row r="758" ht="15.75" customHeight="1" s="349"/>
    <row r="759" ht="15.75" customHeight="1" s="349"/>
    <row r="760" ht="15.75" customHeight="1" s="349"/>
    <row r="761" ht="15.75" customHeight="1" s="349"/>
    <row r="762" ht="15.75" customHeight="1" s="349"/>
    <row r="763" ht="15.75" customHeight="1" s="349"/>
    <row r="764" ht="15.75" customHeight="1" s="349"/>
    <row r="765" ht="15.75" customHeight="1" s="349"/>
    <row r="766" ht="15.75" customHeight="1" s="349"/>
    <row r="767" ht="15.75" customHeight="1" s="349"/>
    <row r="768" ht="15.75" customHeight="1" s="349"/>
    <row r="769" ht="15.75" customHeight="1" s="349"/>
    <row r="770" ht="15.75" customHeight="1" s="349"/>
    <row r="771" ht="15.75" customHeight="1" s="349"/>
    <row r="772" ht="15.75" customHeight="1" s="349"/>
    <row r="773" ht="15.75" customHeight="1" s="349"/>
    <row r="774" ht="15.75" customHeight="1" s="349"/>
    <row r="775" ht="15.75" customHeight="1" s="349"/>
    <row r="776" ht="15.75" customHeight="1" s="349"/>
    <row r="777" ht="15.75" customHeight="1" s="349"/>
    <row r="778" ht="15.75" customHeight="1" s="349"/>
    <row r="779" ht="15.75" customHeight="1" s="349"/>
    <row r="780" ht="15.75" customHeight="1" s="349"/>
    <row r="781" ht="15.75" customHeight="1" s="349"/>
    <row r="782" ht="15.75" customHeight="1" s="349"/>
    <row r="783" ht="15.75" customHeight="1" s="349"/>
    <row r="784" ht="15.75" customHeight="1" s="349"/>
    <row r="785" ht="15.75" customHeight="1" s="349"/>
    <row r="786" ht="15.75" customHeight="1" s="349"/>
    <row r="787" ht="15.75" customHeight="1" s="349"/>
    <row r="788" ht="15.75" customHeight="1" s="349"/>
    <row r="789" ht="15.75" customHeight="1" s="349"/>
    <row r="790" ht="15.75" customHeight="1" s="349"/>
    <row r="791" ht="15.75" customHeight="1" s="349"/>
    <row r="792" ht="15.75" customHeight="1" s="349"/>
    <row r="793" ht="15.75" customHeight="1" s="349"/>
    <row r="794" ht="15.75" customHeight="1" s="349"/>
    <row r="795" ht="15.75" customHeight="1" s="349"/>
    <row r="796" ht="15.75" customHeight="1" s="349"/>
    <row r="797" ht="15.75" customHeight="1" s="349"/>
    <row r="798" ht="15.75" customHeight="1" s="349"/>
    <row r="799" ht="15.75" customHeight="1" s="349"/>
    <row r="800" ht="15.75" customHeight="1" s="349"/>
    <row r="801" ht="15.75" customHeight="1" s="349"/>
    <row r="802" ht="15.75" customHeight="1" s="349"/>
    <row r="803" ht="15.75" customHeight="1" s="349"/>
    <row r="804" ht="15.75" customHeight="1" s="349"/>
    <row r="805" ht="15.75" customHeight="1" s="349"/>
    <row r="806" ht="15.75" customHeight="1" s="349"/>
    <row r="807" ht="15.75" customHeight="1" s="349"/>
    <row r="808" ht="15.75" customHeight="1" s="349"/>
    <row r="809" ht="15.75" customHeight="1" s="349"/>
    <row r="810" ht="15.75" customHeight="1" s="349"/>
    <row r="811" ht="15.75" customHeight="1" s="349"/>
    <row r="812" ht="15.75" customHeight="1" s="349"/>
    <row r="813" ht="15.75" customHeight="1" s="349"/>
    <row r="814" ht="15.75" customHeight="1" s="349"/>
    <row r="815" ht="15.75" customHeight="1" s="349"/>
    <row r="816" ht="15.75" customHeight="1" s="349"/>
    <row r="817" ht="15.75" customHeight="1" s="349"/>
    <row r="818" ht="15.75" customHeight="1" s="349"/>
    <row r="819" ht="15.75" customHeight="1" s="349"/>
    <row r="820" ht="15.75" customHeight="1" s="349"/>
    <row r="821" ht="15.75" customHeight="1" s="349"/>
    <row r="822" ht="15.75" customHeight="1" s="349"/>
    <row r="823" ht="15.75" customHeight="1" s="349"/>
    <row r="824" ht="15.75" customHeight="1" s="349"/>
    <row r="825" ht="15.75" customHeight="1" s="349"/>
    <row r="826" ht="15.75" customHeight="1" s="349"/>
    <row r="827" ht="15.75" customHeight="1" s="349"/>
    <row r="828" ht="15.75" customHeight="1" s="349"/>
    <row r="829" ht="15.75" customHeight="1" s="349"/>
    <row r="830" ht="15.75" customHeight="1" s="349"/>
    <row r="831" ht="15.75" customHeight="1" s="349"/>
    <row r="832" ht="15.75" customHeight="1" s="349"/>
    <row r="833" ht="15.75" customHeight="1" s="349"/>
    <row r="834" ht="15.75" customHeight="1" s="349"/>
    <row r="835" ht="15.75" customHeight="1" s="349"/>
    <row r="836" ht="15.75" customHeight="1" s="349"/>
    <row r="837" ht="15.75" customHeight="1" s="349"/>
    <row r="838" ht="15.75" customHeight="1" s="349"/>
    <row r="839" ht="15.75" customHeight="1" s="349"/>
    <row r="840" ht="15.75" customHeight="1" s="349"/>
    <row r="841" ht="15.75" customHeight="1" s="349"/>
    <row r="842" ht="15.75" customHeight="1" s="349"/>
    <row r="843" ht="15.75" customHeight="1" s="349"/>
    <row r="844" ht="15.75" customHeight="1" s="349"/>
    <row r="845" ht="15.75" customHeight="1" s="349"/>
    <row r="846" ht="15.75" customHeight="1" s="349"/>
    <row r="847" ht="15.75" customHeight="1" s="349"/>
    <row r="848" ht="15.75" customHeight="1" s="349"/>
    <row r="849" ht="15.75" customHeight="1" s="349"/>
    <row r="850" ht="15.75" customHeight="1" s="349"/>
    <row r="851" ht="15.75" customHeight="1" s="349"/>
    <row r="852" ht="15.75" customHeight="1" s="349"/>
    <row r="853" ht="15.75" customHeight="1" s="349"/>
    <row r="854" ht="15.75" customHeight="1" s="349"/>
    <row r="855" ht="15.75" customHeight="1" s="349"/>
    <row r="856" ht="15.75" customHeight="1" s="349"/>
    <row r="857" ht="15.75" customHeight="1" s="349"/>
    <row r="858" ht="15.75" customHeight="1" s="349"/>
    <row r="859" ht="15.75" customHeight="1" s="349"/>
    <row r="860" ht="15.75" customHeight="1" s="349"/>
    <row r="861" ht="15.75" customHeight="1" s="349"/>
    <row r="862" ht="15.75" customHeight="1" s="349"/>
    <row r="863" ht="15.75" customHeight="1" s="349"/>
    <row r="864" ht="15.75" customHeight="1" s="349"/>
    <row r="865" ht="15.75" customHeight="1" s="349"/>
    <row r="866" ht="15.75" customHeight="1" s="349"/>
    <row r="867" ht="15.75" customHeight="1" s="349"/>
    <row r="868" ht="15.75" customHeight="1" s="349"/>
    <row r="869" ht="15.75" customHeight="1" s="349"/>
    <row r="870" ht="15.75" customHeight="1" s="349"/>
    <row r="871" ht="15.75" customHeight="1" s="349"/>
    <row r="872" ht="15.75" customHeight="1" s="349"/>
    <row r="873" ht="15.75" customHeight="1" s="349"/>
    <row r="874" ht="15.75" customHeight="1" s="349"/>
    <row r="875" ht="15.75" customHeight="1" s="349"/>
    <row r="876" ht="15.75" customHeight="1" s="349"/>
    <row r="877" ht="15.75" customHeight="1" s="349"/>
    <row r="878" ht="15.75" customHeight="1" s="349"/>
    <row r="879" ht="15.75" customHeight="1" s="349"/>
    <row r="880" ht="15.75" customHeight="1" s="349"/>
    <row r="881" ht="15.75" customHeight="1" s="349"/>
    <row r="882" ht="15.75" customHeight="1" s="349"/>
    <row r="883" ht="15.75" customHeight="1" s="349"/>
    <row r="884" ht="15.75" customHeight="1" s="349"/>
    <row r="885" ht="15.75" customHeight="1" s="349"/>
    <row r="886" ht="15.75" customHeight="1" s="349"/>
    <row r="887" ht="15.75" customHeight="1" s="349"/>
    <row r="888" ht="15.75" customHeight="1" s="349"/>
    <row r="889" ht="15.75" customHeight="1" s="349"/>
    <row r="890" ht="15.75" customHeight="1" s="349"/>
    <row r="891" ht="15.75" customHeight="1" s="349"/>
    <row r="892" ht="15.75" customHeight="1" s="349"/>
    <row r="893" ht="15.75" customHeight="1" s="349"/>
    <row r="894" ht="15.75" customHeight="1" s="349"/>
    <row r="895" ht="15.75" customHeight="1" s="349"/>
    <row r="896" ht="15.75" customHeight="1" s="349"/>
    <row r="897" ht="15.75" customHeight="1" s="349"/>
    <row r="898" ht="15.75" customHeight="1" s="349"/>
    <row r="899" ht="15.75" customHeight="1" s="349"/>
    <row r="900" ht="15.75" customHeight="1" s="349"/>
    <row r="901" ht="15.75" customHeight="1" s="349"/>
    <row r="902" ht="15.75" customHeight="1" s="349"/>
    <row r="903" ht="15.75" customHeight="1" s="349"/>
    <row r="904" ht="15.75" customHeight="1" s="349"/>
    <row r="905" ht="15.75" customHeight="1" s="349"/>
    <row r="906" ht="15.75" customHeight="1" s="349"/>
    <row r="907" ht="15.75" customHeight="1" s="349"/>
    <row r="908" ht="15.75" customHeight="1" s="349"/>
    <row r="909" ht="15.75" customHeight="1" s="349"/>
    <row r="910" ht="15.75" customHeight="1" s="349"/>
    <row r="911" ht="15.75" customHeight="1" s="349"/>
    <row r="912" ht="15.75" customHeight="1" s="349"/>
    <row r="913" ht="15.75" customHeight="1" s="349"/>
    <row r="914" ht="15.75" customHeight="1" s="349"/>
    <row r="915" ht="15.75" customHeight="1" s="349"/>
    <row r="916" ht="15.75" customHeight="1" s="349"/>
    <row r="917" ht="15.75" customHeight="1" s="349"/>
    <row r="918" ht="15.75" customHeight="1" s="349"/>
    <row r="919" ht="15.75" customHeight="1" s="349"/>
    <row r="920" ht="15.75" customHeight="1" s="349"/>
    <row r="921" ht="15.75" customHeight="1" s="349"/>
    <row r="922" ht="15.75" customHeight="1" s="349"/>
    <row r="923" ht="15.75" customHeight="1" s="349"/>
    <row r="924" ht="15.75" customHeight="1" s="349"/>
    <row r="925" ht="15.75" customHeight="1" s="349"/>
    <row r="926" ht="15.75" customHeight="1" s="349"/>
    <row r="927" ht="15.75" customHeight="1" s="349"/>
    <row r="928" ht="15.75" customHeight="1" s="349"/>
    <row r="929" ht="15.75" customHeight="1" s="349"/>
    <row r="930" ht="15.75" customHeight="1" s="349"/>
    <row r="931" ht="15.75" customHeight="1" s="349"/>
    <row r="932" ht="15.75" customHeight="1" s="349"/>
    <row r="933" ht="15.75" customHeight="1" s="349"/>
    <row r="934" ht="15.75" customHeight="1" s="349"/>
    <row r="935" ht="15.75" customHeight="1" s="349"/>
    <row r="936" ht="15.75" customHeight="1" s="349"/>
    <row r="937" ht="15.75" customHeight="1" s="349"/>
    <row r="938" ht="15.75" customHeight="1" s="349"/>
    <row r="939" ht="15.75" customHeight="1" s="349"/>
    <row r="940" ht="15.75" customHeight="1" s="349"/>
    <row r="941" ht="15.75" customHeight="1" s="349"/>
    <row r="942" ht="15.75" customHeight="1" s="349"/>
    <row r="943" ht="15.75" customHeight="1" s="349"/>
    <row r="944" ht="15.75" customHeight="1" s="349"/>
    <row r="945" ht="15.75" customHeight="1" s="349"/>
    <row r="946" ht="15.75" customHeight="1" s="349"/>
    <row r="947" ht="15.75" customHeight="1" s="349"/>
    <row r="948" ht="15.75" customHeight="1" s="349"/>
    <row r="949" ht="15.75" customHeight="1" s="349"/>
    <row r="950" ht="15.75" customHeight="1" s="349"/>
    <row r="951" ht="15.75" customHeight="1" s="349"/>
    <row r="952" ht="15.75" customHeight="1" s="349"/>
    <row r="953" ht="15.75" customHeight="1" s="349"/>
    <row r="954" ht="15.75" customHeight="1" s="349"/>
    <row r="955" ht="15.75" customHeight="1" s="349"/>
    <row r="956" ht="15.75" customHeight="1" s="349"/>
    <row r="957" ht="15.75" customHeight="1" s="349"/>
    <row r="958" ht="15.75" customHeight="1" s="349"/>
    <row r="959" ht="15.75" customHeight="1" s="349"/>
    <row r="960" ht="15.75" customHeight="1" s="349"/>
    <row r="961" ht="15.75" customHeight="1" s="349"/>
    <row r="962" ht="15.75" customHeight="1" s="349"/>
    <row r="963" ht="15.75" customHeight="1" s="349"/>
    <row r="964" ht="15.75" customHeight="1" s="349"/>
    <row r="965" ht="15.75" customHeight="1" s="349"/>
    <row r="966" ht="15.75" customHeight="1" s="349"/>
    <row r="967" ht="15.75" customHeight="1" s="349"/>
    <row r="968" ht="15.75" customHeight="1" s="349"/>
    <row r="969" ht="15.75" customHeight="1" s="349"/>
    <row r="970" ht="15.75" customHeight="1" s="349"/>
    <row r="971" ht="15.75" customHeight="1" s="349"/>
    <row r="972" ht="15.75" customHeight="1" s="349"/>
    <row r="973" ht="15.75" customHeight="1" s="349"/>
    <row r="974" ht="15.75" customHeight="1" s="349"/>
    <row r="975" ht="15.75" customHeight="1" s="349"/>
    <row r="976" ht="15.75" customHeight="1" s="349"/>
    <row r="977" ht="15.75" customHeight="1" s="349"/>
    <row r="978" ht="15.75" customHeight="1" s="349"/>
    <row r="979" ht="15.75" customHeight="1" s="349"/>
    <row r="980" ht="15.75" customHeight="1" s="349"/>
    <row r="981" ht="15.75" customHeight="1" s="349"/>
    <row r="982" ht="15.75" customHeight="1" s="349"/>
    <row r="983" ht="15.75" customHeight="1" s="349"/>
    <row r="984" ht="15.75" customHeight="1" s="349"/>
    <row r="985" ht="15.75" customHeight="1" s="349"/>
    <row r="986" ht="15.75" customHeight="1" s="349"/>
    <row r="987" ht="15.75" customHeight="1" s="349"/>
    <row r="988" ht="15.75" customHeight="1" s="349"/>
    <row r="989" ht="15.75" customHeight="1" s="349"/>
    <row r="990" ht="15.75" customHeight="1" s="349"/>
    <row r="991" ht="15.75" customHeight="1" s="349"/>
    <row r="992" ht="15.75" customHeight="1" s="349"/>
    <row r="993" ht="15.75" customHeight="1" s="349"/>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BM243"/>
  <sheetViews>
    <sheetView showGridLines="0" workbookViewId="0">
      <pane xSplit="4" topLeftCell="E1" activePane="topRight" state="frozen"/>
      <selection pane="topRight" activeCell="F2" sqref="F2"/>
    </sheetView>
  </sheetViews>
  <sheetFormatPr baseColWidth="8" defaultColWidth="14.43" defaultRowHeight="15" customHeight="1"/>
  <cols>
    <col width="2" customWidth="1" style="349" min="1" max="1"/>
    <col width="42.86" customWidth="1" style="349" min="2" max="2"/>
    <col width="12" customWidth="1" style="349" min="3" max="3"/>
    <col width="5" customWidth="1" style="349" min="4" max="4"/>
    <col hidden="1" outlineLevel="1" width="9" customWidth="1" style="349" min="5" max="17"/>
    <col hidden="1" outlineLevel="1" width="9.859999999999999" customWidth="1" style="349" min="18" max="18"/>
    <col width="9.710000000000001" customWidth="1" style="349" min="19" max="19"/>
    <col width="9.57" customWidth="1" style="349" min="20" max="20"/>
    <col width="9.710000000000001" customWidth="1" style="349" min="21" max="21"/>
    <col width="9.43" customWidth="1" style="349" min="22" max="22"/>
    <col width="10" customWidth="1" style="349" min="23" max="23"/>
    <col width="9.710000000000001" customWidth="1" style="349" min="24" max="24"/>
    <col width="9.140000000000001" customWidth="1" style="349" min="25" max="25"/>
    <col width="9.859999999999999" customWidth="1" style="349" min="26" max="27"/>
    <col width="9.57" customWidth="1" style="349" min="28" max="28"/>
    <col width="9.859999999999999" customWidth="1" style="349" min="29" max="30"/>
    <col width="9.43" customWidth="1" style="349" min="31" max="32"/>
    <col width="9.57" customWidth="1" style="349" min="33" max="33"/>
    <col width="9.289999999999999" customWidth="1" style="349" min="34" max="34"/>
    <col width="9.859999999999999" customWidth="1" style="349" min="35" max="35"/>
    <col width="9.57" customWidth="1" style="349" min="36" max="36"/>
    <col width="8.859999999999999" customWidth="1" style="349" min="37" max="37"/>
    <col width="9.57" customWidth="1" style="349" min="38" max="39"/>
    <col width="9.289999999999999" customWidth="1" style="349" min="40" max="40"/>
    <col width="9.57" customWidth="1" style="349" min="41" max="44"/>
    <col width="9.710000000000001" customWidth="1" style="349" min="45" max="45"/>
    <col width="9.43" customWidth="1" style="349" min="46" max="46"/>
    <col width="10" customWidth="1" style="349" min="47" max="47"/>
    <col width="9.710000000000001" customWidth="1" style="349" min="48" max="48"/>
    <col width="9.140000000000001" customWidth="1" style="349" min="49" max="49"/>
    <col width="9.859999999999999" customWidth="1" style="349" min="50" max="50"/>
    <col width="9.710000000000001" customWidth="1" style="349" min="51" max="51"/>
    <col width="9.57" customWidth="1" style="349" min="52" max="52"/>
    <col width="9.859999999999999" customWidth="1" style="349" min="53" max="54"/>
    <col width="8.859999999999999" customWidth="1" style="349" min="56" max="56"/>
    <col width="10.57" customWidth="1" style="349" min="57" max="57"/>
    <col width="11" customWidth="1" style="349" min="58" max="58"/>
    <col width="10.86" customWidth="1" style="349" min="59" max="59"/>
    <col outlineLevel="1" width="10.43" customWidth="1" style="349" min="60" max="60"/>
    <col outlineLevel="1" width="17.86" customWidth="1" style="349" min="61" max="62"/>
    <col outlineLevel="1" width="43" customWidth="1" style="349" min="63" max="63"/>
    <col outlineLevel="1" width="17.86" customWidth="1" style="349" min="64" max="65"/>
  </cols>
  <sheetData>
    <row r="1" ht="15.75" customHeight="1" s="349">
      <c r="A1" s="254" t="n"/>
      <c r="B1" s="8" t="inlineStr">
        <is>
          <t>Tarnoc B.V. — OPEX Forecast (€, negative = cost)</t>
        </is>
      </c>
      <c r="C1" s="9" t="n"/>
      <c r="D1" s="255" t="n"/>
      <c r="E1" s="9" t="n"/>
      <c r="F1" s="9" t="n"/>
      <c r="G1" s="9" t="n"/>
      <c r="H1" s="9" t="n"/>
      <c r="I1" s="9" t="n"/>
      <c r="J1" s="9" t="n"/>
      <c r="K1" s="9" t="n"/>
      <c r="L1" s="9" t="n"/>
      <c r="M1" s="9" t="n"/>
      <c r="N1" s="9" t="n"/>
      <c r="O1" s="9" t="n"/>
      <c r="P1" s="256" t="n"/>
      <c r="Q1" s="256" t="n"/>
      <c r="R1" s="256" t="n"/>
      <c r="S1" s="256" t="n"/>
      <c r="T1" s="256" t="n"/>
      <c r="U1" s="256" t="inlineStr">
        <is>
          <t>Actual</t>
        </is>
      </c>
      <c r="V1" s="256" t="inlineStr">
        <is>
          <t>Projected</t>
        </is>
      </c>
      <c r="W1" s="256" t="n"/>
      <c r="X1" s="256" t="n"/>
      <c r="Y1" s="256" t="n"/>
      <c r="Z1" s="256" t="n"/>
      <c r="AA1" s="256" t="n"/>
      <c r="AB1" s="256" t="n"/>
      <c r="AC1" s="256" t="n"/>
      <c r="AD1" s="256" t="n"/>
      <c r="AE1" s="256" t="n"/>
      <c r="AF1" s="256" t="n"/>
      <c r="AG1" s="256" t="n"/>
      <c r="AH1" s="256" t="n"/>
      <c r="AI1" s="256" t="n"/>
      <c r="AJ1" s="256" t="n"/>
      <c r="AK1" s="256" t="n"/>
      <c r="AL1" s="256" t="n"/>
      <c r="AM1" s="256" t="n"/>
      <c r="AN1" s="256" t="n"/>
      <c r="AO1" s="256" t="n"/>
      <c r="AP1" s="256" t="n"/>
      <c r="AQ1" s="256" t="n"/>
      <c r="AR1" s="256" t="n"/>
      <c r="AS1" s="256" t="n"/>
      <c r="AT1" s="256" t="n"/>
      <c r="AU1" s="256" t="n"/>
      <c r="AV1" s="256" t="n"/>
      <c r="AW1" s="256" t="n"/>
      <c r="AX1" s="127" t="n"/>
      <c r="AY1" s="127" t="n"/>
      <c r="AZ1" s="127" t="n"/>
      <c r="BA1" s="127" t="n"/>
      <c r="BB1" s="127" t="n"/>
      <c r="BC1" s="233" t="n"/>
      <c r="BD1" s="127" t="n"/>
      <c r="BE1" s="127" t="n"/>
      <c r="BF1" s="127" t="n"/>
      <c r="BG1" s="127" t="n"/>
      <c r="BH1" s="127" t="n"/>
      <c r="BI1" s="233" t="n"/>
      <c r="BJ1" s="233" t="n"/>
      <c r="BK1" s="233" t="n"/>
      <c r="BL1" s="233" t="n"/>
      <c r="BM1" s="233" t="n"/>
    </row>
    <row r="2" ht="13.5" customHeight="1" s="349">
      <c r="A2" s="36" t="n"/>
      <c r="B2" s="37" t="n"/>
      <c r="C2" s="37" t="n"/>
      <c r="D2" s="37" t="n"/>
      <c r="E2" s="38" t="n"/>
      <c r="F2" s="38" t="n"/>
      <c r="G2" s="38" t="n">
        <v>2025</v>
      </c>
      <c r="H2" s="38" t="n"/>
      <c r="I2" s="38" t="n"/>
      <c r="J2" s="38" t="n"/>
      <c r="K2" s="38" t="n"/>
      <c r="L2" s="38" t="n"/>
      <c r="M2" s="38" t="n"/>
      <c r="N2" s="38" t="n"/>
      <c r="O2" s="38" t="n"/>
      <c r="P2" s="259" t="n"/>
      <c r="Q2" s="259" t="n"/>
      <c r="R2" s="259" t="n"/>
      <c r="S2" s="259" t="inlineStr">
        <is>
          <t>2026</t>
        </is>
      </c>
      <c r="T2" s="259" t="n"/>
      <c r="U2" s="259" t="n"/>
      <c r="V2" s="259" t="n"/>
      <c r="W2" s="259" t="n"/>
      <c r="X2" s="259" t="n"/>
      <c r="Y2" s="259" t="n"/>
      <c r="Z2" s="259" t="n"/>
      <c r="AA2" s="259" t="n"/>
      <c r="AB2" s="259" t="n"/>
      <c r="AC2" s="259" t="n"/>
      <c r="AD2" s="259" t="n"/>
      <c r="AE2" s="259" t="inlineStr">
        <is>
          <t>2027</t>
        </is>
      </c>
      <c r="AF2" s="259" t="n"/>
      <c r="AG2" s="259" t="n"/>
      <c r="AH2" s="259" t="n"/>
      <c r="AI2" s="259" t="n"/>
      <c r="AJ2" s="259" t="n"/>
      <c r="AK2" s="259" t="n"/>
      <c r="AL2" s="259" t="n"/>
      <c r="AM2" s="259" t="n"/>
      <c r="AN2" s="259" t="n"/>
      <c r="AO2" s="259" t="n"/>
      <c r="AP2" s="259" t="n"/>
      <c r="AQ2" s="259" t="inlineStr">
        <is>
          <t>2028</t>
        </is>
      </c>
      <c r="AR2" s="259" t="n"/>
      <c r="AS2" s="259" t="n"/>
      <c r="AT2" s="259" t="n"/>
      <c r="AU2" s="259" t="n"/>
      <c r="AV2" s="259" t="n"/>
      <c r="AW2" s="259" t="n"/>
      <c r="AX2" s="261" t="n"/>
      <c r="AY2" s="261" t="n"/>
      <c r="AZ2" s="261" t="n"/>
      <c r="BA2" s="261" t="n"/>
      <c r="BB2" s="261" t="n"/>
      <c r="BC2" s="233" t="n"/>
      <c r="BD2" s="261" t="n"/>
      <c r="BE2" s="261" t="n"/>
      <c r="BF2" s="261" t="n"/>
      <c r="BG2" s="261" t="n"/>
      <c r="BH2" s="261" t="n"/>
      <c r="BI2" s="233" t="n"/>
      <c r="BJ2" s="233" t="n"/>
      <c r="BK2" s="233" t="n"/>
      <c r="BL2" s="233" t="n"/>
      <c r="BM2" s="233" t="n"/>
    </row>
    <row r="3" ht="13.5" customHeight="1" s="349">
      <c r="A3" s="36" t="n"/>
      <c r="B3" s="37" t="n"/>
      <c r="C3" s="37" t="n"/>
      <c r="D3" s="37" t="n"/>
      <c r="E3" s="48" t="n"/>
      <c r="F3" s="48" t="n"/>
      <c r="G3" s="55" t="n">
        <v>45658</v>
      </c>
      <c r="H3" s="55" t="n">
        <v>45689</v>
      </c>
      <c r="I3" s="55" t="n">
        <v>45717</v>
      </c>
      <c r="J3" s="55" t="n">
        <v>45748</v>
      </c>
      <c r="K3" s="55" t="n">
        <v>45778</v>
      </c>
      <c r="L3" s="55" t="n">
        <v>45809</v>
      </c>
      <c r="M3" s="55" t="n">
        <v>45839</v>
      </c>
      <c r="N3" s="55" t="n">
        <v>45870</v>
      </c>
      <c r="O3" s="55" t="n">
        <v>45901</v>
      </c>
      <c r="P3" s="55" t="n">
        <v>45931</v>
      </c>
      <c r="Q3" s="55" t="n">
        <v>45962</v>
      </c>
      <c r="R3" s="55" t="n">
        <v>45992</v>
      </c>
      <c r="S3" s="55" t="n">
        <v>46023</v>
      </c>
      <c r="T3" s="55" t="n">
        <v>46054</v>
      </c>
      <c r="U3" s="55" t="n">
        <v>46082</v>
      </c>
      <c r="V3" s="55" t="n">
        <v>46113</v>
      </c>
      <c r="W3" s="55" t="n">
        <v>46143</v>
      </c>
      <c r="X3" s="55" t="n">
        <v>46174</v>
      </c>
      <c r="Y3" s="55" t="n">
        <v>46204</v>
      </c>
      <c r="Z3" s="55" t="n">
        <v>46235</v>
      </c>
      <c r="AA3" s="55" t="n">
        <v>46266</v>
      </c>
      <c r="AB3" s="55" t="n">
        <v>46296</v>
      </c>
      <c r="AC3" s="55" t="n">
        <v>46327</v>
      </c>
      <c r="AD3" s="55" t="n">
        <v>46357</v>
      </c>
      <c r="AE3" s="55" t="n">
        <v>46388</v>
      </c>
      <c r="AF3" s="55" t="n">
        <v>46419</v>
      </c>
      <c r="AG3" s="55" t="n">
        <v>46447</v>
      </c>
      <c r="AH3" s="55" t="n">
        <v>46478</v>
      </c>
      <c r="AI3" s="55" t="n">
        <v>46508</v>
      </c>
      <c r="AJ3" s="55" t="n">
        <v>46539</v>
      </c>
      <c r="AK3" s="55" t="n">
        <v>46569</v>
      </c>
      <c r="AL3" s="55" t="n">
        <v>46600</v>
      </c>
      <c r="AM3" s="55" t="n">
        <v>46631</v>
      </c>
      <c r="AN3" s="55" t="n">
        <v>46661</v>
      </c>
      <c r="AO3" s="55" t="n">
        <v>46692</v>
      </c>
      <c r="AP3" s="55" t="n">
        <v>46722</v>
      </c>
      <c r="AQ3" s="55" t="n">
        <v>46753</v>
      </c>
      <c r="AR3" s="55" t="n">
        <v>46784</v>
      </c>
      <c r="AS3" s="55" t="n">
        <v>46813</v>
      </c>
      <c r="AT3" s="55" t="n">
        <v>46844</v>
      </c>
      <c r="AU3" s="55" t="n">
        <v>46874</v>
      </c>
      <c r="AV3" s="55" t="n">
        <v>46905</v>
      </c>
      <c r="AW3" s="55" t="n">
        <v>46935</v>
      </c>
      <c r="AX3" s="55" t="n">
        <v>46966</v>
      </c>
      <c r="AY3" s="55" t="n">
        <v>46997</v>
      </c>
      <c r="AZ3" s="55" t="n">
        <v>47027</v>
      </c>
      <c r="BA3" s="55" t="n">
        <v>47058</v>
      </c>
      <c r="BB3" s="55" t="n">
        <v>47088</v>
      </c>
      <c r="BC3" s="233" t="n"/>
      <c r="BD3" s="214" t="n">
        <v>2025</v>
      </c>
      <c r="BE3" s="214" t="n">
        <v>2026</v>
      </c>
      <c r="BF3" s="214" t="n">
        <v>2027</v>
      </c>
      <c r="BG3" s="214" t="n">
        <v>2028</v>
      </c>
      <c r="BH3" s="214" t="n">
        <v>2029</v>
      </c>
      <c r="BI3" s="233" t="n"/>
      <c r="BJ3" s="233" t="n"/>
      <c r="BK3" s="83" t="inlineStr">
        <is>
          <t>what this row does</t>
        </is>
      </c>
      <c r="BL3" s="233" t="n"/>
      <c r="BM3" s="233" t="n"/>
    </row>
    <row r="4" ht="15" customHeight="1" s="349">
      <c r="A4" s="31" t="n"/>
      <c r="B4" s="307" t="n"/>
      <c r="C4" s="307" t="n"/>
      <c r="D4" s="146" t="n"/>
      <c r="E4" s="307" t="n"/>
      <c r="F4" s="307" t="n"/>
      <c r="G4" s="233" t="n"/>
      <c r="H4" s="233" t="n"/>
      <c r="I4" s="233" t="n"/>
      <c r="J4" s="233" t="n"/>
      <c r="K4" s="233" t="n"/>
      <c r="L4" s="233" t="n"/>
      <c r="M4" s="233" t="n"/>
      <c r="N4" s="233" t="n"/>
      <c r="O4" s="233" t="n"/>
      <c r="P4" s="233" t="n"/>
      <c r="Q4" s="233" t="n"/>
      <c r="R4" s="233" t="n"/>
      <c r="S4" s="233" t="n"/>
      <c r="T4" s="233" t="n"/>
      <c r="U4" s="233" t="n"/>
      <c r="V4" s="233" t="n"/>
      <c r="W4" s="233" t="n"/>
      <c r="X4" s="233" t="n"/>
      <c r="Y4" s="233" t="n"/>
      <c r="Z4" s="233" t="n"/>
      <c r="AA4" s="233" t="n"/>
      <c r="AB4" s="233" t="n"/>
      <c r="AC4" s="233" t="n"/>
      <c r="AD4" s="233" t="n"/>
      <c r="AE4" s="233" t="n"/>
      <c r="AF4" s="233" t="n"/>
      <c r="AG4" s="233" t="n"/>
      <c r="AH4" s="233" t="n"/>
      <c r="AI4" s="233" t="n"/>
      <c r="AJ4" s="233" t="n"/>
      <c r="AK4" s="233" t="n"/>
      <c r="AL4" s="233" t="n"/>
      <c r="AM4" s="233" t="n"/>
      <c r="AN4" s="233" t="n"/>
      <c r="AO4" s="233" t="n"/>
      <c r="AP4" s="233" t="n"/>
      <c r="AQ4" s="233" t="n"/>
      <c r="AR4" s="233" t="n"/>
      <c r="AS4" s="233" t="n"/>
      <c r="AT4" s="233" t="n"/>
      <c r="AU4" s="233" t="n"/>
      <c r="AV4" s="233" t="n"/>
      <c r="AW4" s="233" t="n"/>
      <c r="AX4" s="233" t="n"/>
      <c r="AY4" s="233" t="n"/>
      <c r="AZ4" s="233" t="n"/>
      <c r="BA4" s="233" t="n"/>
      <c r="BB4" s="233" t="n"/>
      <c r="BC4" s="233" t="n"/>
      <c r="BD4" s="233" t="n"/>
      <c r="BE4" s="233" t="n"/>
      <c r="BF4" s="233" t="n"/>
      <c r="BG4" s="233" t="n"/>
      <c r="BH4" s="233" t="n"/>
      <c r="BI4" s="102" t="n"/>
      <c r="BJ4" s="102" t="n"/>
      <c r="BK4" s="83" t="n"/>
      <c r="BL4" s="102" t="n"/>
      <c r="BM4" s="102" t="n"/>
    </row>
    <row r="5" ht="15.75" customHeight="1" s="349">
      <c r="A5" s="31" t="n"/>
      <c r="B5" s="262" t="inlineStr">
        <is>
          <t>PERSONNEL</t>
        </is>
      </c>
      <c r="C5" s="262" t="n"/>
      <c r="D5" s="262" t="n"/>
      <c r="E5" s="262" t="n"/>
      <c r="F5" s="262" t="n"/>
      <c r="G5" s="262" t="n"/>
      <c r="H5" s="262" t="n"/>
      <c r="I5" s="262" t="n"/>
      <c r="J5" s="262" t="n"/>
      <c r="K5" s="262" t="n"/>
      <c r="L5" s="262" t="n"/>
      <c r="M5" s="262" t="n"/>
      <c r="N5" s="262" t="n"/>
      <c r="O5" s="263" t="n"/>
      <c r="P5" s="263" t="n"/>
      <c r="Q5" s="263" t="n"/>
      <c r="R5" s="263" t="n"/>
      <c r="S5" s="263" t="n"/>
      <c r="T5" s="263" t="n"/>
      <c r="U5" s="263" t="n"/>
      <c r="V5" s="263" t="n"/>
      <c r="W5" s="263" t="n"/>
      <c r="X5" s="263" t="n"/>
      <c r="Y5" s="263" t="n"/>
      <c r="Z5" s="263" t="n"/>
      <c r="AA5" s="263" t="n"/>
      <c r="AB5" s="263" t="n"/>
      <c r="AC5" s="263" t="n"/>
      <c r="AD5" s="263" t="n"/>
      <c r="AE5" s="263" t="n"/>
      <c r="AF5" s="263" t="n"/>
      <c r="AG5" s="263" t="n"/>
      <c r="AH5" s="263" t="n"/>
      <c r="AI5" s="263" t="n"/>
      <c r="AJ5" s="263" t="n"/>
      <c r="AK5" s="263" t="n"/>
      <c r="AL5" s="263" t="n"/>
      <c r="AM5" s="263" t="n"/>
      <c r="AN5" s="263" t="n"/>
      <c r="AO5" s="263" t="n"/>
      <c r="AP5" s="263" t="n"/>
      <c r="AQ5" s="263" t="n"/>
      <c r="AR5" s="263" t="n"/>
      <c r="AS5" s="263" t="n"/>
      <c r="AT5" s="263" t="n"/>
      <c r="AU5" s="263" t="n"/>
      <c r="AV5" s="263" t="n"/>
      <c r="AW5" s="263" t="n"/>
      <c r="AX5" s="263" t="n"/>
      <c r="AY5" s="263" t="n"/>
      <c r="AZ5" s="263" t="n"/>
      <c r="BA5" s="263" t="n"/>
      <c r="BB5" s="263" t="n"/>
      <c r="BC5" s="233" t="n"/>
      <c r="BD5" s="263" t="n"/>
      <c r="BE5" s="263" t="n"/>
      <c r="BF5" s="263" t="n"/>
      <c r="BG5" s="263" t="n"/>
      <c r="BH5" s="263" t="n"/>
      <c r="BI5" s="102" t="n"/>
      <c r="BJ5" s="102" t="n"/>
      <c r="BK5" s="83" t="n"/>
      <c r="BL5" s="102" t="n"/>
      <c r="BM5" s="102" t="n"/>
    </row>
    <row r="6" ht="13.5" customHeight="1" s="349">
      <c r="A6" s="31" t="n"/>
      <c r="B6" s="63" t="inlineStr">
        <is>
          <t>R&amp;D</t>
        </is>
      </c>
      <c r="C6" s="307" t="n"/>
      <c r="D6" s="264" t="inlineStr">
        <is>
          <t>€</t>
        </is>
      </c>
      <c r="E6" s="63" t="n"/>
      <c r="F6" s="63" t="n"/>
      <c r="G6" s="265" t="n"/>
      <c r="H6" s="265" t="n"/>
      <c r="I6" s="265" t="n"/>
      <c r="J6" s="265" t="n"/>
      <c r="K6" s="265" t="n"/>
      <c r="L6" s="265" t="n"/>
      <c r="M6" s="265" t="n"/>
      <c r="N6" s="265" t="n"/>
      <c r="O6" s="275">
        <f>Personnel!Q62</f>
        <v/>
      </c>
      <c r="P6" s="275">
        <f>Personnel!R62</f>
        <v/>
      </c>
      <c r="Q6" s="275">
        <f>Personnel!S62</f>
        <v/>
      </c>
      <c r="R6" s="275">
        <f>Personnel!T62</f>
        <v/>
      </c>
      <c r="S6" s="275">
        <f>Personnel!U62</f>
        <v/>
      </c>
      <c r="T6" s="275">
        <f>Personnel!V62</f>
        <v/>
      </c>
      <c r="U6" s="275">
        <f>Personnel!W62</f>
        <v/>
      </c>
      <c r="V6" s="275">
        <f>Personnel!X62</f>
        <v/>
      </c>
      <c r="W6" s="275">
        <f>Personnel!Y62</f>
        <v/>
      </c>
      <c r="X6" s="275">
        <f>Personnel!Z62</f>
        <v/>
      </c>
      <c r="Y6" s="275">
        <f>Personnel!AA62</f>
        <v/>
      </c>
      <c r="Z6" s="275">
        <f>Personnel!AB62</f>
        <v/>
      </c>
      <c r="AA6" s="275">
        <f>Personnel!AC62</f>
        <v/>
      </c>
      <c r="AB6" s="275">
        <f>Personnel!AD62</f>
        <v/>
      </c>
      <c r="AC6" s="275">
        <f>Personnel!AE62</f>
        <v/>
      </c>
      <c r="AD6" s="275">
        <f>Personnel!AF62</f>
        <v/>
      </c>
      <c r="AE6" s="275">
        <f>Personnel!AG62</f>
        <v/>
      </c>
      <c r="AF6" s="275">
        <f>Personnel!AH62</f>
        <v/>
      </c>
      <c r="AG6" s="275">
        <f>Personnel!AI62</f>
        <v/>
      </c>
      <c r="AH6" s="275">
        <f>Personnel!AJ62</f>
        <v/>
      </c>
      <c r="AI6" s="275">
        <f>Personnel!AK62</f>
        <v/>
      </c>
      <c r="AJ6" s="275">
        <f>Personnel!AL62</f>
        <v/>
      </c>
      <c r="AK6" s="275">
        <f>Personnel!AM62</f>
        <v/>
      </c>
      <c r="AL6" s="275">
        <f>Personnel!AN62</f>
        <v/>
      </c>
      <c r="AM6" s="275">
        <f>Personnel!AO62</f>
        <v/>
      </c>
      <c r="AN6" s="275">
        <f>Personnel!AP62</f>
        <v/>
      </c>
      <c r="AO6" s="275">
        <f>Personnel!AQ62</f>
        <v/>
      </c>
      <c r="AP6" s="275">
        <f>Personnel!AR62</f>
        <v/>
      </c>
      <c r="AQ6" s="275">
        <f>Personnel!AS62</f>
        <v/>
      </c>
      <c r="AR6" s="275">
        <f>Personnel!AT62</f>
        <v/>
      </c>
      <c r="AS6" s="275">
        <f>Personnel!AU62</f>
        <v/>
      </c>
      <c r="AT6" s="275">
        <f>Personnel!AV62</f>
        <v/>
      </c>
      <c r="AU6" s="275">
        <f>Personnel!AW62</f>
        <v/>
      </c>
      <c r="AV6" s="275">
        <f>Personnel!AX62</f>
        <v/>
      </c>
      <c r="AW6" s="275">
        <f>Personnel!AY62</f>
        <v/>
      </c>
      <c r="AX6" s="275">
        <f>Personnel!AZ62</f>
        <v/>
      </c>
      <c r="AY6" s="275">
        <f>Personnel!BA62</f>
        <v/>
      </c>
      <c r="AZ6" s="275">
        <f>Personnel!BB62</f>
        <v/>
      </c>
      <c r="BA6" s="275">
        <f>Personnel!BC62</f>
        <v/>
      </c>
      <c r="BB6" s="275">
        <f>Personnel!BD62</f>
        <v/>
      </c>
      <c r="BC6" s="233" t="n"/>
      <c r="BD6" s="275">
        <f>SUM(G6:R6)</f>
        <v/>
      </c>
      <c r="BE6" s="275">
        <f>SUM(S6:AD6)</f>
        <v/>
      </c>
      <c r="BF6" s="275">
        <f>SUM(AE6:AP6)</f>
        <v/>
      </c>
      <c r="BG6" s="275">
        <f>SUM(AQ6:BB6)</f>
        <v/>
      </c>
      <c r="BH6" s="275">
        <f>sum(Personnel!BE62:BP62)</f>
        <v/>
      </c>
      <c r="BI6" s="268">
        <f>BH6*('Financial Statements'!$BE$7/'Financial Statements'!$BD$7)^0.5</f>
        <v/>
      </c>
      <c r="BJ6" s="268" t="n"/>
      <c r="BK6" s="83" t="inlineStr">
        <is>
          <t>R&amp;D salary bill, pulled from the Personnel tab</t>
        </is>
      </c>
      <c r="BL6" s="268" t="n"/>
      <c r="BM6" s="268" t="n"/>
    </row>
    <row r="7" ht="13.5" customHeight="1" s="349">
      <c r="A7" s="31" t="n"/>
      <c r="B7" s="63" t="inlineStr">
        <is>
          <t>S&amp;M</t>
        </is>
      </c>
      <c r="C7" s="307" t="n"/>
      <c r="D7" s="264" t="inlineStr">
        <is>
          <t>€</t>
        </is>
      </c>
      <c r="E7" s="63" t="n"/>
      <c r="F7" s="269" t="n"/>
      <c r="G7" s="265" t="n"/>
      <c r="H7" s="265" t="n"/>
      <c r="I7" s="265" t="n"/>
      <c r="J7" s="265" t="n"/>
      <c r="K7" s="265" t="n"/>
      <c r="L7" s="265" t="n"/>
      <c r="M7" s="265" t="n"/>
      <c r="N7" s="265" t="n"/>
      <c r="O7" s="275">
        <f>Personnel!Q63</f>
        <v/>
      </c>
      <c r="P7" s="275">
        <f>Personnel!R63</f>
        <v/>
      </c>
      <c r="Q7" s="275">
        <f>Personnel!S63</f>
        <v/>
      </c>
      <c r="R7" s="275">
        <f>Personnel!T63</f>
        <v/>
      </c>
      <c r="S7" s="275">
        <f>Personnel!U63</f>
        <v/>
      </c>
      <c r="T7" s="275">
        <f>Personnel!V63</f>
        <v/>
      </c>
      <c r="U7" s="275">
        <f>Personnel!W63</f>
        <v/>
      </c>
      <c r="V7" s="275">
        <f>Personnel!X63</f>
        <v/>
      </c>
      <c r="W7" s="275">
        <f>Personnel!Y63</f>
        <v/>
      </c>
      <c r="X7" s="275">
        <f>Personnel!Z63</f>
        <v/>
      </c>
      <c r="Y7" s="275">
        <f>Personnel!AA63</f>
        <v/>
      </c>
      <c r="Z7" s="275">
        <f>Personnel!AB63</f>
        <v/>
      </c>
      <c r="AA7" s="275">
        <f>Personnel!AC63</f>
        <v/>
      </c>
      <c r="AB7" s="275">
        <f>Personnel!AD63</f>
        <v/>
      </c>
      <c r="AC7" s="275">
        <f>Personnel!AE63</f>
        <v/>
      </c>
      <c r="AD7" s="275">
        <f>Personnel!AF63</f>
        <v/>
      </c>
      <c r="AE7" s="275">
        <f>Personnel!AG63</f>
        <v/>
      </c>
      <c r="AF7" s="275">
        <f>Personnel!AH63</f>
        <v/>
      </c>
      <c r="AG7" s="275">
        <f>Personnel!AI63</f>
        <v/>
      </c>
      <c r="AH7" s="275">
        <f>Personnel!AJ63</f>
        <v/>
      </c>
      <c r="AI7" s="275">
        <f>Personnel!AK63</f>
        <v/>
      </c>
      <c r="AJ7" s="275">
        <f>Personnel!AL63</f>
        <v/>
      </c>
      <c r="AK7" s="275">
        <f>Personnel!AM63</f>
        <v/>
      </c>
      <c r="AL7" s="275">
        <f>Personnel!AN63</f>
        <v/>
      </c>
      <c r="AM7" s="275">
        <f>Personnel!AO63</f>
        <v/>
      </c>
      <c r="AN7" s="275">
        <f>Personnel!AP63</f>
        <v/>
      </c>
      <c r="AO7" s="275">
        <f>Personnel!AQ63</f>
        <v/>
      </c>
      <c r="AP7" s="275">
        <f>Personnel!AR63</f>
        <v/>
      </c>
      <c r="AQ7" s="275">
        <f>Personnel!AS63</f>
        <v/>
      </c>
      <c r="AR7" s="275">
        <f>Personnel!AT63</f>
        <v/>
      </c>
      <c r="AS7" s="275">
        <f>Personnel!AU63</f>
        <v/>
      </c>
      <c r="AT7" s="275">
        <f>Personnel!AV63</f>
        <v/>
      </c>
      <c r="AU7" s="275">
        <f>Personnel!AW63</f>
        <v/>
      </c>
      <c r="AV7" s="275">
        <f>Personnel!AX63</f>
        <v/>
      </c>
      <c r="AW7" s="275">
        <f>Personnel!AY63</f>
        <v/>
      </c>
      <c r="AX7" s="275">
        <f>Personnel!AZ63</f>
        <v/>
      </c>
      <c r="AY7" s="275">
        <f>Personnel!BA63</f>
        <v/>
      </c>
      <c r="AZ7" s="275">
        <f>Personnel!BB63</f>
        <v/>
      </c>
      <c r="BA7" s="275">
        <f>Personnel!BC63</f>
        <v/>
      </c>
      <c r="BB7" s="275">
        <f>Personnel!BD63</f>
        <v/>
      </c>
      <c r="BC7" s="233" t="n"/>
      <c r="BD7" s="275">
        <f>SUM(G7:R7)</f>
        <v/>
      </c>
      <c r="BE7" s="275">
        <f>SUM(S7:AD7)</f>
        <v/>
      </c>
      <c r="BF7" s="275">
        <f>SUM(AE7:AP7)</f>
        <v/>
      </c>
      <c r="BG7" s="275">
        <f>SUM(AQ7:BB7)</f>
        <v/>
      </c>
      <c r="BH7" s="275">
        <f>sum(Personnel!BE63:BP63)</f>
        <v/>
      </c>
      <c r="BI7" s="268">
        <f>BH7*('Financial Statements'!$BE$7/'Financial Statements'!$BD$7)^0.5</f>
        <v/>
      </c>
      <c r="BJ7" s="268" t="n"/>
      <c r="BK7" s="83" t="inlineStr">
        <is>
          <t>S&amp;M salary bill, pulled from Personnel</t>
        </is>
      </c>
      <c r="BL7" s="268" t="n"/>
      <c r="BM7" s="268" t="n"/>
    </row>
    <row r="8" ht="13.5" customHeight="1" s="349">
      <c r="A8" s="31" t="n"/>
      <c r="B8" s="63" t="inlineStr">
        <is>
          <t>G&amp;A</t>
        </is>
      </c>
      <c r="C8" s="307" t="n"/>
      <c r="D8" s="264" t="inlineStr">
        <is>
          <t>€</t>
        </is>
      </c>
      <c r="E8" s="63" t="n"/>
      <c r="F8" s="269" t="n"/>
      <c r="G8" s="265" t="n"/>
      <c r="H8" s="265" t="n"/>
      <c r="I8" s="265" t="n"/>
      <c r="J8" s="265" t="n"/>
      <c r="K8" s="265" t="n"/>
      <c r="L8" s="265" t="n"/>
      <c r="M8" s="265" t="n"/>
      <c r="N8" s="265" t="n"/>
      <c r="O8" s="275">
        <f>Personnel!Q64</f>
        <v/>
      </c>
      <c r="P8" s="275">
        <f>Personnel!R64</f>
        <v/>
      </c>
      <c r="Q8" s="275">
        <f>Personnel!S64</f>
        <v/>
      </c>
      <c r="R8" s="275">
        <f>Personnel!T64</f>
        <v/>
      </c>
      <c r="S8" s="275">
        <f>Personnel!U64</f>
        <v/>
      </c>
      <c r="T8" s="275">
        <f>Personnel!V64</f>
        <v/>
      </c>
      <c r="U8" s="275">
        <f>Personnel!W64</f>
        <v/>
      </c>
      <c r="V8" s="275">
        <f>Personnel!X64</f>
        <v/>
      </c>
      <c r="W8" s="275">
        <f>Personnel!Y64</f>
        <v/>
      </c>
      <c r="X8" s="275">
        <f>Personnel!Z64</f>
        <v/>
      </c>
      <c r="Y8" s="275">
        <f>Personnel!AA64</f>
        <v/>
      </c>
      <c r="Z8" s="275">
        <f>Personnel!AB64</f>
        <v/>
      </c>
      <c r="AA8" s="275">
        <f>Personnel!AC64</f>
        <v/>
      </c>
      <c r="AB8" s="275">
        <f>Personnel!AD64</f>
        <v/>
      </c>
      <c r="AC8" s="275">
        <f>Personnel!AE64</f>
        <v/>
      </c>
      <c r="AD8" s="275">
        <f>Personnel!AF64</f>
        <v/>
      </c>
      <c r="AE8" s="275">
        <f>Personnel!AG64</f>
        <v/>
      </c>
      <c r="AF8" s="275">
        <f>Personnel!AH64</f>
        <v/>
      </c>
      <c r="AG8" s="275">
        <f>Personnel!AI64</f>
        <v/>
      </c>
      <c r="AH8" s="275">
        <f>Personnel!AJ64</f>
        <v/>
      </c>
      <c r="AI8" s="275">
        <f>Personnel!AK64</f>
        <v/>
      </c>
      <c r="AJ8" s="275">
        <f>Personnel!AL64</f>
        <v/>
      </c>
      <c r="AK8" s="275">
        <f>Personnel!AM64</f>
        <v/>
      </c>
      <c r="AL8" s="275">
        <f>Personnel!AN64</f>
        <v/>
      </c>
      <c r="AM8" s="275">
        <f>Personnel!AO64</f>
        <v/>
      </c>
      <c r="AN8" s="275">
        <f>Personnel!AP64</f>
        <v/>
      </c>
      <c r="AO8" s="275">
        <f>Personnel!AQ64</f>
        <v/>
      </c>
      <c r="AP8" s="275">
        <f>Personnel!AR64</f>
        <v/>
      </c>
      <c r="AQ8" s="275">
        <f>Personnel!AS64</f>
        <v/>
      </c>
      <c r="AR8" s="275">
        <f>Personnel!AT64</f>
        <v/>
      </c>
      <c r="AS8" s="275">
        <f>Personnel!AU64</f>
        <v/>
      </c>
      <c r="AT8" s="275">
        <f>Personnel!AV64</f>
        <v/>
      </c>
      <c r="AU8" s="275">
        <f>Personnel!AW64</f>
        <v/>
      </c>
      <c r="AV8" s="275">
        <f>Personnel!AX64</f>
        <v/>
      </c>
      <c r="AW8" s="275">
        <f>Personnel!AY64</f>
        <v/>
      </c>
      <c r="AX8" s="275">
        <f>Personnel!AZ64</f>
        <v/>
      </c>
      <c r="AY8" s="275">
        <f>Personnel!BA64</f>
        <v/>
      </c>
      <c r="AZ8" s="275">
        <f>Personnel!BB64</f>
        <v/>
      </c>
      <c r="BA8" s="275">
        <f>Personnel!BC64</f>
        <v/>
      </c>
      <c r="BB8" s="275">
        <f>Personnel!BD64</f>
        <v/>
      </c>
      <c r="BC8" s="233" t="n"/>
      <c r="BD8" s="275">
        <f>SUM(G8:R8)</f>
        <v/>
      </c>
      <c r="BE8" s="275">
        <f>SUM(S8:AD8)</f>
        <v/>
      </c>
      <c r="BF8" s="275">
        <f>SUM(AE8:AP8)</f>
        <v/>
      </c>
      <c r="BG8" s="275">
        <f>SUM(AQ8:BB8)</f>
        <v/>
      </c>
      <c r="BH8" s="275">
        <f>sum(Personnel!BE64:BP64)</f>
        <v/>
      </c>
      <c r="BI8" s="268">
        <f>BH8*('Financial Statements'!$BE$7/'Financial Statements'!$BD$7)^0.2</f>
        <v/>
      </c>
      <c r="BJ8" s="268" t="n"/>
      <c r="BK8" s="83" t="inlineStr">
        <is>
          <t>G&amp;A salary bill, pulled from Personnel</t>
        </is>
      </c>
      <c r="BL8" s="268" t="n"/>
      <c r="BM8" s="268" t="n"/>
    </row>
    <row r="9" ht="15" customHeight="1" s="349">
      <c r="A9" s="31" t="n"/>
      <c r="B9" s="8" t="inlineStr">
        <is>
          <t>Total Personnel</t>
        </is>
      </c>
      <c r="C9" s="8" t="n"/>
      <c r="D9" s="213" t="inlineStr">
        <is>
          <t>€</t>
        </is>
      </c>
      <c r="E9" s="270" t="n"/>
      <c r="F9" s="270" t="n"/>
      <c r="G9" s="259">
        <f>SUM(G6:G8)</f>
        <v/>
      </c>
      <c r="H9" s="259">
        <f>SUM(H6:H8)</f>
        <v/>
      </c>
      <c r="I9" s="259">
        <f>SUM(I6:I8)</f>
        <v/>
      </c>
      <c r="J9" s="259">
        <f>SUM(J6:J8)</f>
        <v/>
      </c>
      <c r="K9" s="259">
        <f>SUM(K6:K8)</f>
        <v/>
      </c>
      <c r="L9" s="259">
        <f>SUM(L6:L8)</f>
        <v/>
      </c>
      <c r="M9" s="259">
        <f>SUM(M6:M8)</f>
        <v/>
      </c>
      <c r="N9" s="259">
        <f>SUM(N6:N8)</f>
        <v/>
      </c>
      <c r="O9" s="259">
        <f>sum(O6:O8)</f>
        <v/>
      </c>
      <c r="P9" s="259">
        <f>sum(P6:P8)</f>
        <v/>
      </c>
      <c r="Q9" s="259">
        <f>sum(Q6:Q8)</f>
        <v/>
      </c>
      <c r="R9" s="259">
        <f>sum(R6:R8)</f>
        <v/>
      </c>
      <c r="S9" s="259">
        <f>sum(S6:S8)</f>
        <v/>
      </c>
      <c r="T9" s="259">
        <f>sum(T6:T8)</f>
        <v/>
      </c>
      <c r="U9" s="259">
        <f>sum(U6:U8)</f>
        <v/>
      </c>
      <c r="V9" s="259">
        <f>sum(V6:V8)</f>
        <v/>
      </c>
      <c r="W9" s="259">
        <f>sum(W6:W8)</f>
        <v/>
      </c>
      <c r="X9" s="259">
        <f>sum(X6:X8)</f>
        <v/>
      </c>
      <c r="Y9" s="259">
        <f>sum(Y6:Y8)</f>
        <v/>
      </c>
      <c r="Z9" s="259">
        <f>sum(Z6:Z8)</f>
        <v/>
      </c>
      <c r="AA9" s="259">
        <f>sum(AA6:AA8)</f>
        <v/>
      </c>
      <c r="AB9" s="259">
        <f>sum(AB6:AB8)</f>
        <v/>
      </c>
      <c r="AC9" s="259">
        <f>sum(AC6:AC8)</f>
        <v/>
      </c>
      <c r="AD9" s="259">
        <f>sum(AD6:AD8)</f>
        <v/>
      </c>
      <c r="AE9" s="259">
        <f>sum(AE6:AE8)</f>
        <v/>
      </c>
      <c r="AF9" s="259">
        <f>sum(AF6:AF8)</f>
        <v/>
      </c>
      <c r="AG9" s="259">
        <f>sum(AG6:AG8)</f>
        <v/>
      </c>
      <c r="AH9" s="259">
        <f>sum(AH6:AH8)</f>
        <v/>
      </c>
      <c r="AI9" s="259">
        <f>sum(AI6:AI8)</f>
        <v/>
      </c>
      <c r="AJ9" s="259">
        <f>sum(AJ6:AJ8)</f>
        <v/>
      </c>
      <c r="AK9" s="259">
        <f>sum(AK6:AK8)</f>
        <v/>
      </c>
      <c r="AL9" s="259">
        <f>sum(AL6:AL8)</f>
        <v/>
      </c>
      <c r="AM9" s="259">
        <f>sum(AM6:AM8)</f>
        <v/>
      </c>
      <c r="AN9" s="259">
        <f>sum(AN6:AN8)</f>
        <v/>
      </c>
      <c r="AO9" s="259">
        <f>sum(AO6:AO8)</f>
        <v/>
      </c>
      <c r="AP9" s="259">
        <f>sum(AP6:AP8)</f>
        <v/>
      </c>
      <c r="AQ9" s="259">
        <f>sum(AQ6:AQ8)</f>
        <v/>
      </c>
      <c r="AR9" s="259">
        <f>sum(AR6:AR8)</f>
        <v/>
      </c>
      <c r="AS9" s="259">
        <f>sum(AS6:AS8)</f>
        <v/>
      </c>
      <c r="AT9" s="259">
        <f>sum(AT6:AT8)</f>
        <v/>
      </c>
      <c r="AU9" s="259">
        <f>sum(AU6:AU8)</f>
        <v/>
      </c>
      <c r="AV9" s="259">
        <f>sum(AV6:AV8)</f>
        <v/>
      </c>
      <c r="AW9" s="259">
        <f>sum(AW6:AW8)</f>
        <v/>
      </c>
      <c r="AX9" s="259">
        <f>sum(AX6:AX8)</f>
        <v/>
      </c>
      <c r="AY9" s="259">
        <f>sum(AY6:AY8)</f>
        <v/>
      </c>
      <c r="AZ9" s="259">
        <f>sum(AZ6:AZ8)</f>
        <v/>
      </c>
      <c r="BA9" s="259">
        <f>sum(BA6:BA8)</f>
        <v/>
      </c>
      <c r="BB9" s="259">
        <f>sum(BB6:BB8)</f>
        <v/>
      </c>
      <c r="BC9" s="233" t="n"/>
      <c r="BD9" s="259">
        <f>SUM(G9:R9)</f>
        <v/>
      </c>
      <c r="BE9" s="259">
        <f>SUM(S9:AD9)</f>
        <v/>
      </c>
      <c r="BF9" s="259">
        <f>SUM(AE9:AP9)</f>
        <v/>
      </c>
      <c r="BG9" s="259">
        <f>SUM(AQ9:BB9)</f>
        <v/>
      </c>
      <c r="BH9" s="259">
        <f>sum(BH6:BH8)</f>
        <v/>
      </c>
      <c r="BI9" s="102" t="n"/>
      <c r="BJ9" s="102" t="n"/>
      <c r="BK9" s="83" t="inlineStr">
        <is>
          <t>the three salary lines added</t>
        </is>
      </c>
      <c r="BL9" s="102" t="n"/>
      <c r="BM9" s="102" t="n"/>
    </row>
    <row r="10" ht="13.5" customHeight="1" s="349">
      <c r="A10" s="31" t="n"/>
      <c r="B10" s="147" t="n"/>
      <c r="C10" s="307" t="n"/>
      <c r="D10" s="146" t="n"/>
      <c r="E10" s="307" t="n"/>
      <c r="F10" s="307" t="n"/>
      <c r="G10" s="233" t="n"/>
      <c r="H10" s="233" t="n"/>
      <c r="I10" s="233" t="n"/>
      <c r="J10" s="233" t="n"/>
      <c r="K10" s="233" t="n"/>
      <c r="L10" s="233" t="n"/>
      <c r="M10" s="233" t="n"/>
      <c r="N10" s="233" t="n"/>
      <c r="O10" s="233" t="n"/>
      <c r="P10" s="233" t="n"/>
      <c r="Q10" s="233" t="n"/>
      <c r="R10" s="233" t="n"/>
      <c r="S10" s="233" t="n"/>
      <c r="T10" s="233" t="n"/>
      <c r="U10" s="233" t="n"/>
      <c r="V10" s="233" t="n"/>
      <c r="W10" s="233" t="n"/>
      <c r="X10" s="233" t="n"/>
      <c r="Y10" s="233" t="n"/>
      <c r="Z10" s="233" t="n"/>
      <c r="AA10" s="233" t="n"/>
      <c r="AB10" s="233" t="n"/>
      <c r="AC10" s="233" t="n"/>
      <c r="AD10" s="233" t="n"/>
      <c r="AE10" s="233" t="n"/>
      <c r="AF10" s="233" t="n"/>
      <c r="AG10" s="233" t="n"/>
      <c r="AH10" s="233" t="n"/>
      <c r="AI10" s="233" t="n"/>
      <c r="AJ10" s="233" t="n"/>
      <c r="AK10" s="233" t="n"/>
      <c r="AL10" s="233" t="n"/>
      <c r="AM10" s="233" t="n"/>
      <c r="AN10" s="233" t="n"/>
      <c r="AO10" s="233" t="n"/>
      <c r="AP10" s="233" t="n"/>
      <c r="AQ10" s="233" t="n"/>
      <c r="AR10" s="233" t="n"/>
      <c r="AS10" s="233" t="n"/>
      <c r="AT10" s="233" t="n"/>
      <c r="AU10" s="233" t="n"/>
      <c r="AV10" s="233" t="n"/>
      <c r="AW10" s="233" t="n"/>
      <c r="AX10" s="233" t="n"/>
      <c r="AY10" s="233" t="n"/>
      <c r="AZ10" s="233" t="n"/>
      <c r="BA10" s="233" t="n"/>
      <c r="BB10" s="233" t="n"/>
      <c r="BC10" s="233" t="n"/>
      <c r="BD10" s="233" t="n"/>
      <c r="BE10" s="233" t="n"/>
      <c r="BF10" s="233" t="n"/>
      <c r="BG10" s="233" t="n"/>
      <c r="BH10" s="233" t="n"/>
      <c r="BI10" s="102" t="n"/>
      <c r="BJ10" s="102" t="n"/>
      <c r="BK10" s="83" t="n"/>
      <c r="BL10" s="102" t="n"/>
      <c r="BM10" s="102" t="n"/>
    </row>
    <row r="11" ht="13.5" customHeight="1" s="349">
      <c r="A11" s="31" t="n"/>
      <c r="B11" s="144" t="inlineStr">
        <is>
          <t>NON-PERSONNEL</t>
        </is>
      </c>
      <c r="C11" s="271" t="n"/>
      <c r="D11" s="272" t="n"/>
      <c r="E11" s="104" t="n"/>
      <c r="F11" s="104" t="n"/>
      <c r="G11" s="80" t="n"/>
      <c r="H11" s="80" t="n"/>
      <c r="I11" s="80" t="n"/>
      <c r="J11" s="80" t="n"/>
      <c r="K11" s="80" t="n"/>
      <c r="L11" s="80" t="n"/>
      <c r="M11" s="80" t="n"/>
      <c r="N11" s="80" t="n"/>
      <c r="O11" s="80" t="n"/>
      <c r="P11" s="80" t="n"/>
      <c r="Q11" s="80" t="n"/>
      <c r="R11" s="80" t="n"/>
      <c r="S11" s="80" t="n"/>
      <c r="T11" s="80" t="n"/>
      <c r="U11" s="80" t="n"/>
      <c r="V11" s="80" t="n"/>
      <c r="W11" s="80" t="n"/>
      <c r="X11" s="80" t="n"/>
      <c r="Y11" s="80" t="n"/>
      <c r="Z11" s="80" t="n"/>
      <c r="AA11" s="80" t="n"/>
      <c r="AB11" s="80" t="n"/>
      <c r="AC11" s="80" t="n"/>
      <c r="AD11" s="80" t="n"/>
      <c r="AE11" s="80" t="n"/>
      <c r="AF11" s="80" t="n"/>
      <c r="AG11" s="80" t="n"/>
      <c r="AH11" s="80" t="n"/>
      <c r="AI11" s="80" t="n"/>
      <c r="AJ11" s="80" t="n"/>
      <c r="AK11" s="80" t="n"/>
      <c r="AL11" s="80" t="n"/>
      <c r="AM11" s="80" t="n"/>
      <c r="AN11" s="80" t="n"/>
      <c r="AO11" s="80" t="n"/>
      <c r="AP11" s="80" t="n"/>
      <c r="AQ11" s="80" t="n"/>
      <c r="AR11" s="80" t="n"/>
      <c r="AS11" s="80" t="n"/>
      <c r="AT11" s="80" t="n"/>
      <c r="AU11" s="80" t="n"/>
      <c r="AV11" s="80" t="n"/>
      <c r="AW11" s="80" t="n"/>
      <c r="AX11" s="80" t="n"/>
      <c r="AY11" s="80" t="n"/>
      <c r="AZ11" s="80" t="n"/>
      <c r="BA11" s="80" t="n"/>
      <c r="BB11" s="80" t="n"/>
      <c r="BC11" s="233" t="n"/>
      <c r="BD11" s="80" t="n"/>
      <c r="BE11" s="80" t="n"/>
      <c r="BF11" s="80" t="n"/>
      <c r="BG11" s="80" t="n"/>
      <c r="BH11" s="80" t="n"/>
      <c r="BI11" s="233" t="n"/>
      <c r="BJ11" s="233" t="n"/>
      <c r="BK11" s="83" t="n"/>
      <c r="BL11" s="233" t="n"/>
      <c r="BM11" s="233" t="n"/>
    </row>
    <row r="12" ht="13.5" customHeight="1" s="349">
      <c r="A12" s="31" t="n"/>
      <c r="B12" s="147" t="n"/>
      <c r="C12" s="307" t="n"/>
      <c r="D12" s="146" t="n"/>
      <c r="E12" s="307" t="n"/>
      <c r="F12" s="307" t="n"/>
      <c r="G12" s="233" t="n"/>
      <c r="H12" s="233" t="n"/>
      <c r="I12" s="233" t="n"/>
      <c r="J12" s="233" t="n"/>
      <c r="K12" s="233" t="n"/>
      <c r="L12" s="233" t="n"/>
      <c r="M12" s="233" t="n"/>
      <c r="N12" s="233" t="n"/>
      <c r="O12" s="233" t="n"/>
      <c r="P12" s="233" t="n"/>
      <c r="Q12" s="233" t="n"/>
      <c r="R12" s="233" t="n"/>
      <c r="S12" s="233" t="n"/>
      <c r="T12" s="233" t="n"/>
      <c r="U12" s="233" t="n"/>
      <c r="V12" s="233" t="n"/>
      <c r="W12" s="233" t="n"/>
      <c r="X12" s="233" t="n"/>
      <c r="Y12" s="233" t="n"/>
      <c r="Z12" s="233" t="n"/>
      <c r="AA12" s="233" t="n"/>
      <c r="AB12" s="233" t="n"/>
      <c r="AC12" s="233" t="n"/>
      <c r="AD12" s="233" t="n"/>
      <c r="AE12" s="233" t="n"/>
      <c r="AF12" s="233" t="n"/>
      <c r="AG12" s="233" t="n"/>
      <c r="AH12" s="233" t="n"/>
      <c r="AI12" s="233" t="n"/>
      <c r="AJ12" s="233" t="n"/>
      <c r="AK12" s="233" t="n"/>
      <c r="AL12" s="233" t="n"/>
      <c r="AM12" s="233" t="n"/>
      <c r="AN12" s="233" t="n"/>
      <c r="AO12" s="233" t="n"/>
      <c r="AP12" s="233" t="n"/>
      <c r="AQ12" s="233" t="n"/>
      <c r="AR12" s="233" t="n"/>
      <c r="AS12" s="233" t="n"/>
      <c r="AT12" s="233" t="n"/>
      <c r="AU12" s="233" t="n"/>
      <c r="AV12" s="233" t="n"/>
      <c r="AW12" s="233" t="n"/>
      <c r="AX12" s="233" t="n"/>
      <c r="AY12" s="233" t="n"/>
      <c r="AZ12" s="233" t="n"/>
      <c r="BA12" s="233" t="n"/>
      <c r="BB12" s="233" t="n"/>
      <c r="BC12" s="233" t="n"/>
      <c r="BD12" s="233" t="n"/>
      <c r="BE12" s="233" t="n"/>
      <c r="BF12" s="233" t="n"/>
      <c r="BG12" s="233" t="n"/>
      <c r="BH12" s="233" t="n"/>
      <c r="BI12" s="233" t="n"/>
      <c r="BJ12" s="233" t="n"/>
      <c r="BK12" s="83" t="n"/>
      <c r="BL12" s="233" t="n"/>
      <c r="BM12" s="233" t="n"/>
    </row>
    <row r="13" ht="13.5" customHeight="1" s="349">
      <c r="A13" s="254" t="n"/>
      <c r="B13" s="144" t="inlineStr">
        <is>
          <t>R&amp;D COSTS</t>
        </is>
      </c>
      <c r="C13" s="104" t="n"/>
      <c r="D13" s="272" t="n"/>
      <c r="E13" s="104" t="n"/>
      <c r="F13" s="104" t="n"/>
      <c r="G13" s="80" t="n"/>
      <c r="H13" s="80" t="n"/>
      <c r="I13" s="80" t="n"/>
      <c r="J13" s="80" t="n"/>
      <c r="K13" s="80" t="n"/>
      <c r="L13" s="80" t="n"/>
      <c r="M13" s="80" t="n"/>
      <c r="N13" s="80" t="n"/>
      <c r="O13" s="80" t="n"/>
      <c r="P13" s="80" t="n"/>
      <c r="Q13" s="80" t="n"/>
      <c r="R13" s="80" t="n"/>
      <c r="S13" s="80" t="n"/>
      <c r="T13" s="80" t="n"/>
      <c r="U13" s="80" t="n"/>
      <c r="V13" s="80" t="n"/>
      <c r="W13" s="80" t="n"/>
      <c r="X13" s="80" t="n"/>
      <c r="Y13" s="80" t="n"/>
      <c r="Z13" s="80" t="n"/>
      <c r="AA13" s="80" t="n"/>
      <c r="AB13" s="80" t="n"/>
      <c r="AC13" s="80" t="n"/>
      <c r="AD13" s="80" t="n"/>
      <c r="AE13" s="80" t="n"/>
      <c r="AF13" s="80" t="n"/>
      <c r="AG13" s="80" t="n"/>
      <c r="AH13" s="80" t="n"/>
      <c r="AI13" s="80" t="n"/>
      <c r="AJ13" s="80" t="n"/>
      <c r="AK13" s="80" t="n"/>
      <c r="AL13" s="80" t="n"/>
      <c r="AM13" s="80" t="n"/>
      <c r="AN13" s="80" t="n"/>
      <c r="AO13" s="80" t="n"/>
      <c r="AP13" s="80" t="n"/>
      <c r="AQ13" s="80" t="n"/>
      <c r="AR13" s="80" t="n"/>
      <c r="AS13" s="80" t="n"/>
      <c r="AT13" s="80" t="n"/>
      <c r="AU13" s="80" t="n"/>
      <c r="AV13" s="80" t="n"/>
      <c r="AW13" s="80" t="n"/>
      <c r="AX13" s="80" t="n"/>
      <c r="AY13" s="80" t="n"/>
      <c r="AZ13" s="80" t="n"/>
      <c r="BA13" s="80" t="n"/>
      <c r="BB13" s="80" t="n"/>
      <c r="BC13" s="233" t="n"/>
      <c r="BD13" s="80" t="n"/>
      <c r="BE13" s="80" t="n"/>
      <c r="BF13" s="80" t="n"/>
      <c r="BG13" s="80" t="n"/>
      <c r="BH13" s="80" t="n"/>
      <c r="BI13" s="233" t="n"/>
      <c r="BJ13" s="233" t="n"/>
      <c r="BK13" s="83" t="n"/>
      <c r="BL13" s="233" t="n"/>
      <c r="BM13" s="233" t="n"/>
    </row>
    <row r="14" ht="15" customHeight="1" s="349">
      <c r="A14" s="31" t="n"/>
      <c r="B14" s="237" t="inlineStr">
        <is>
          <t>Kicker Development Cost</t>
        </is>
      </c>
      <c r="C14" s="307" t="n"/>
      <c r="D14" s="273" t="inlineStr">
        <is>
          <t>€</t>
        </is>
      </c>
      <c r="E14" s="224" t="n"/>
      <c r="F14" s="224" t="n"/>
      <c r="G14" s="241" t="n"/>
      <c r="H14" s="241" t="n"/>
      <c r="I14" s="241" t="n"/>
      <c r="J14" s="241" t="n"/>
      <c r="K14" s="241" t="n"/>
      <c r="L14" s="241" t="n"/>
      <c r="M14" s="241" t="n"/>
      <c r="N14" s="241" t="n"/>
      <c r="O14" s="241" t="n"/>
      <c r="P14" s="241" t="n"/>
      <c r="Q14" s="241" t="n"/>
      <c r="R14" s="241">
        <f>Assumptions!E94</f>
        <v/>
      </c>
      <c r="S14" s="241" t="n"/>
      <c r="T14" s="241" t="n"/>
      <c r="U14" s="241" t="n"/>
      <c r="V14" s="241" t="n"/>
      <c r="W14" s="241" t="n"/>
      <c r="X14" s="241" t="n"/>
      <c r="Y14" s="241" t="n"/>
      <c r="Z14" s="241" t="n"/>
      <c r="AA14" s="241" t="n"/>
      <c r="AB14" s="241" t="n"/>
      <c r="AC14" s="241" t="n"/>
      <c r="AD14" s="241" t="n"/>
      <c r="AE14" s="241" t="n"/>
      <c r="AF14" s="241" t="n"/>
      <c r="AG14" s="241" t="n"/>
      <c r="AH14" s="241" t="n"/>
      <c r="AI14" s="241" t="n"/>
      <c r="AJ14" s="241" t="n"/>
      <c r="AK14" s="241" t="n"/>
      <c r="AL14" s="241" t="n"/>
      <c r="AM14" s="241" t="n"/>
      <c r="AN14" s="241" t="n"/>
      <c r="AO14" s="241" t="n"/>
      <c r="AP14" s="241" t="n"/>
      <c r="AQ14" s="241" t="n"/>
      <c r="AR14" s="241" t="n"/>
      <c r="AS14" s="241" t="n"/>
      <c r="AT14" s="241" t="n"/>
      <c r="AU14" s="241" t="n"/>
      <c r="AV14" s="241" t="n"/>
      <c r="AW14" s="241" t="n"/>
      <c r="AX14" s="241" t="n"/>
      <c r="AY14" s="241" t="n"/>
      <c r="AZ14" s="241" t="n"/>
      <c r="BA14" s="241" t="n"/>
      <c r="BB14" s="241" t="n"/>
      <c r="BC14" s="233" t="n"/>
      <c r="BD14" s="241">
        <f>SUM(G14:R14)</f>
        <v/>
      </c>
      <c r="BE14" s="241">
        <f>SUM(S14:AD14)</f>
        <v/>
      </c>
      <c r="BF14" s="241">
        <f>SUM(AE14:AP14)</f>
        <v/>
      </c>
      <c r="BG14" s="241">
        <f>SUM(AQ14:BB14)</f>
        <v/>
      </c>
      <c r="BH14" s="241" t="n">
        <v>0</v>
      </c>
      <c r="BI14" s="233" t="n"/>
      <c r="BJ14" s="233" t="n"/>
      <c r="BK14" s="83" t="inlineStr">
        <is>
          <t>one-off from Assumptions, booked in its month</t>
        </is>
      </c>
      <c r="BL14" s="233" t="n"/>
      <c r="BM14" s="233" t="n"/>
    </row>
    <row r="15" ht="15" customHeight="1" s="349">
      <c r="A15" s="31" t="n"/>
      <c r="B15" s="274" t="inlineStr">
        <is>
          <t>Ongoing Development costs</t>
        </is>
      </c>
      <c r="C15" s="307" t="n"/>
      <c r="D15" s="273" t="inlineStr">
        <is>
          <t>€</t>
        </is>
      </c>
      <c r="E15" s="237" t="n"/>
      <c r="F15" s="237" t="n"/>
      <c r="G15" s="241" t="n"/>
      <c r="H15" s="241" t="n"/>
      <c r="I15" s="241" t="n"/>
      <c r="J15" s="241" t="n"/>
      <c r="K15" s="241" t="n"/>
      <c r="L15" s="241" t="n"/>
      <c r="M15" s="241" t="n"/>
      <c r="N15" s="241" t="n"/>
      <c r="O15" s="241" t="n"/>
      <c r="P15" s="241" t="n"/>
      <c r="Q15" s="241" t="n"/>
      <c r="R15" s="241" t="n"/>
      <c r="S15" s="241">
        <f t="array" ref="S15">INDEX(Assumptions!$E$92:$I$92,MATCH(YEAR(S$3),Assumptions!$E$87:$I$87,0))</f>
        <v/>
      </c>
      <c r="T15" s="241">
        <f t="array" ref="T15">INDEX(Assumptions!$E$92:$I$92,MATCH(YEAR(T$3),Assumptions!$E$87:$I$87,0))</f>
        <v/>
      </c>
      <c r="U15" s="241">
        <f t="array" ref="U15">INDEX(Assumptions!$E$92:$I$92,MATCH(YEAR(U$3),Assumptions!$E$87:$I$87,0))</f>
        <v/>
      </c>
      <c r="V15" s="241">
        <f t="array" ref="V15">INDEX(Assumptions!$E$92:$I$92,MATCH(YEAR(V$3),Assumptions!$E$87:$I$87,0))</f>
        <v/>
      </c>
      <c r="W15" s="241">
        <f t="array" ref="W15">INDEX(Assumptions!$E$92:$I$92,MATCH(YEAR(W$3),Assumptions!$E$87:$I$87,0))</f>
        <v/>
      </c>
      <c r="X15" s="241">
        <f t="array" ref="X15">INDEX(Assumptions!$E$92:$I$92,MATCH(YEAR(X$3),Assumptions!$E$87:$I$87,0))</f>
        <v/>
      </c>
      <c r="Y15" s="241">
        <f t="array" ref="Y15">INDEX(Assumptions!$E$92:$I$92,MATCH(YEAR(Y$3),Assumptions!$E$87:$I$87,0))</f>
        <v/>
      </c>
      <c r="Z15" s="241">
        <f t="array" ref="Z15">INDEX(Assumptions!$E$92:$I$92,MATCH(YEAR(Z$3),Assumptions!$E$87:$I$87,0))</f>
        <v/>
      </c>
      <c r="AA15" s="241">
        <f t="array" ref="AA15">INDEX(Assumptions!$E$92:$I$92,MATCH(YEAR(AA$3),Assumptions!$E$87:$I$87,0))</f>
        <v/>
      </c>
      <c r="AB15" s="241">
        <f t="array" ref="AB15">INDEX(Assumptions!$E$92:$I$92,MATCH(YEAR(AB$3),Assumptions!$E$87:$I$87,0))</f>
        <v/>
      </c>
      <c r="AC15" s="241">
        <f t="array" ref="AC15">INDEX(Assumptions!$E$92:$I$92,MATCH(YEAR(AC$3),Assumptions!$E$87:$I$87,0))</f>
        <v/>
      </c>
      <c r="AD15" s="241">
        <f t="array" ref="AD15">INDEX(Assumptions!$E$92:$I$92,MATCH(YEAR(AD$3),Assumptions!$E$87:$I$87,0))</f>
        <v/>
      </c>
      <c r="AE15" s="241">
        <f t="array" ref="AE15">INDEX(Assumptions!$E$92:$I$92,MATCH(YEAR(AE$3),Assumptions!$E$87:$I$87,0))</f>
        <v/>
      </c>
      <c r="AF15" s="241">
        <f t="array" ref="AF15">INDEX(Assumptions!$E$92:$I$92,MATCH(YEAR(AF$3),Assumptions!$E$87:$I$87,0))</f>
        <v/>
      </c>
      <c r="AG15" s="241">
        <f t="array" ref="AG15">INDEX(Assumptions!$E$92:$I$92,MATCH(YEAR(AG$3),Assumptions!$E$87:$I$87,0))</f>
        <v/>
      </c>
      <c r="AH15" s="241">
        <f t="array" ref="AH15">INDEX(Assumptions!$E$92:$I$92,MATCH(YEAR(AH$3),Assumptions!$E$87:$I$87,0))</f>
        <v/>
      </c>
      <c r="AI15" s="241">
        <f t="array" ref="AI15">INDEX(Assumptions!$E$92:$I$92,MATCH(YEAR(AI$3),Assumptions!$E$87:$I$87,0))</f>
        <v/>
      </c>
      <c r="AJ15" s="241">
        <f t="array" ref="AJ15">INDEX(Assumptions!$E$92:$I$92,MATCH(YEAR(AJ$3),Assumptions!$E$87:$I$87,0))</f>
        <v/>
      </c>
      <c r="AK15" s="241">
        <f t="array" ref="AK15">INDEX(Assumptions!$E$92:$I$92,MATCH(YEAR(AK$3),Assumptions!$E$87:$I$87,0))</f>
        <v/>
      </c>
      <c r="AL15" s="241">
        <f t="array" ref="AL15">INDEX(Assumptions!$E$92:$I$92,MATCH(YEAR(AL$3),Assumptions!$E$87:$I$87,0))</f>
        <v/>
      </c>
      <c r="AM15" s="241">
        <f t="array" ref="AM15">INDEX(Assumptions!$E$92:$I$92,MATCH(YEAR(AM$3),Assumptions!$E$87:$I$87,0))</f>
        <v/>
      </c>
      <c r="AN15" s="241">
        <f t="array" ref="AN15">INDEX(Assumptions!$E$92:$I$92,MATCH(YEAR(AN$3),Assumptions!$E$87:$I$87,0))</f>
        <v/>
      </c>
      <c r="AO15" s="241">
        <f t="array" ref="AO15">INDEX(Assumptions!$E$92:$I$92,MATCH(YEAR(AO$3),Assumptions!$E$87:$I$87,0))</f>
        <v/>
      </c>
      <c r="AP15" s="241">
        <f t="array" ref="AP15">INDEX(Assumptions!$E$92:$I$92,MATCH(YEAR(AP$3),Assumptions!$E$87:$I$87,0))</f>
        <v/>
      </c>
      <c r="AQ15" s="241">
        <f t="array" ref="AQ15">INDEX(Assumptions!$E$92:$I$92,MATCH(YEAR(AQ$3),Assumptions!$E$87:$I$87,0))</f>
        <v/>
      </c>
      <c r="AR15" s="241">
        <f t="array" ref="AR15">INDEX(Assumptions!$E$92:$I$92,MATCH(YEAR(AR$3),Assumptions!$E$87:$I$87,0))</f>
        <v/>
      </c>
      <c r="AS15" s="241">
        <f t="array" ref="AS15">INDEX(Assumptions!$E$92:$I$92,MATCH(YEAR(AS$3),Assumptions!$E$87:$I$87,0))</f>
        <v/>
      </c>
      <c r="AT15" s="241">
        <f t="array" ref="AT15">INDEX(Assumptions!$E$92:$I$92,MATCH(YEAR(AT$3),Assumptions!$E$87:$I$87,0))</f>
        <v/>
      </c>
      <c r="AU15" s="241">
        <f t="array" ref="AU15">INDEX(Assumptions!$E$92:$I$92,MATCH(YEAR(AU$3),Assumptions!$E$87:$I$87,0))</f>
        <v/>
      </c>
      <c r="AV15" s="241">
        <f t="array" ref="AV15">INDEX(Assumptions!$E$92:$I$92,MATCH(YEAR(AV$3),Assumptions!$E$87:$I$87,0))</f>
        <v/>
      </c>
      <c r="AW15" s="241">
        <f t="array" ref="AW15">INDEX(Assumptions!$E$92:$I$92,MATCH(YEAR(AW$3),Assumptions!$E$87:$I$87,0))</f>
        <v/>
      </c>
      <c r="AX15" s="241">
        <f t="array" ref="AX15">INDEX(Assumptions!$E$92:$I$92,MATCH(YEAR(AX$3),Assumptions!$E$87:$I$87,0))</f>
        <v/>
      </c>
      <c r="AY15" s="241">
        <f t="array" ref="AY15">INDEX(Assumptions!$E$92:$I$92,MATCH(YEAR(AY$3),Assumptions!$E$87:$I$87,0))</f>
        <v/>
      </c>
      <c r="AZ15" s="241">
        <f t="array" ref="AZ15">INDEX(Assumptions!$E$92:$I$92,MATCH(YEAR(AZ$3),Assumptions!$E$87:$I$87,0))</f>
        <v/>
      </c>
      <c r="BA15" s="241">
        <f t="array" ref="BA15">INDEX(Assumptions!$E$92:$I$92,MATCH(YEAR(BA$3),Assumptions!$E$87:$I$87,0))</f>
        <v/>
      </c>
      <c r="BB15" s="241">
        <f t="array" ref="BB15">INDEX(Assumptions!$E$92:$I$92,MATCH(YEAR(BB$3),Assumptions!$E$87:$I$87,0))</f>
        <v/>
      </c>
      <c r="BC15" s="233" t="n"/>
      <c r="BD15" s="241">
        <f>SUM(G15:R15)</f>
        <v/>
      </c>
      <c r="BE15" s="241">
        <f>SUM(S15:AD15)</f>
        <v/>
      </c>
      <c r="BF15" s="241">
        <f>SUM(AE15:AP15)</f>
        <v/>
      </c>
      <c r="BG15" s="241">
        <f>SUM(AQ15:BB15)</f>
        <v/>
      </c>
      <c r="BH15" s="241">
        <f>BG15*('Financial Statements'!$BE$7/'Financial Statements'!$BD$7)^0.4</f>
        <v/>
      </c>
      <c r="BI15" s="233" t="n"/>
      <c r="BJ15" s="233" t="n"/>
      <c r="BK15" s="83" t="inlineStr">
        <is>
          <t>from Assumptions; 2029 scaled off 2028 by revenue growth</t>
        </is>
      </c>
      <c r="BL15" s="233" t="n"/>
      <c r="BM15" s="233" t="n"/>
    </row>
    <row r="16" ht="15" customHeight="1" s="349">
      <c r="A16" s="31" t="n"/>
      <c r="B16" s="274" t="inlineStr">
        <is>
          <t>Assembly partner</t>
        </is>
      </c>
      <c r="C16" s="307" t="n"/>
      <c r="D16" s="273" t="inlineStr">
        <is>
          <t>€</t>
        </is>
      </c>
      <c r="E16" s="237" t="n"/>
      <c r="F16" s="237" t="n"/>
      <c r="G16" s="241" t="n"/>
      <c r="H16" s="241" t="n"/>
      <c r="I16" s="241" t="n"/>
      <c r="J16" s="241" t="n"/>
      <c r="K16" s="241" t="n"/>
      <c r="L16" s="241" t="n"/>
      <c r="M16" s="241" t="n"/>
      <c r="N16" s="241" t="n"/>
      <c r="O16" s="241" t="n"/>
      <c r="P16" s="241" t="n"/>
      <c r="Q16" s="241" t="n"/>
      <c r="R16" s="241" t="n"/>
      <c r="S16" s="241" t="n"/>
      <c r="T16" s="241" t="n"/>
      <c r="U16" s="241" t="n"/>
      <c r="V16" s="241" t="n"/>
      <c r="W16" s="241" t="n"/>
      <c r="X16" s="241" t="n"/>
      <c r="Y16" s="241" t="n"/>
      <c r="Z16" s="241" t="n"/>
      <c r="AA16" s="241" t="n"/>
      <c r="AB16" s="241">
        <f>Assumptions!E97</f>
        <v/>
      </c>
      <c r="AC16" s="241" t="n"/>
      <c r="AE16" s="241" t="n"/>
      <c r="AF16" s="241" t="n"/>
      <c r="AG16" s="241" t="n"/>
      <c r="AH16" s="241" t="n"/>
      <c r="AI16" s="241" t="n"/>
      <c r="AJ16" s="241" t="n"/>
      <c r="AK16" s="241" t="n"/>
      <c r="AL16" s="241" t="n"/>
      <c r="AM16" s="241" t="n"/>
      <c r="AN16" s="241" t="n"/>
      <c r="AO16" s="241" t="n"/>
      <c r="AP16" s="241" t="n"/>
      <c r="AQ16" s="241" t="n"/>
      <c r="AR16" s="241" t="n"/>
      <c r="AS16" s="241" t="n"/>
      <c r="AT16" s="241" t="n"/>
      <c r="AU16" s="241" t="n"/>
      <c r="AV16" s="241" t="n"/>
      <c r="AW16" s="241" t="n"/>
      <c r="AX16" s="241" t="n"/>
      <c r="AY16" s="241" t="n"/>
      <c r="AZ16" s="241" t="n"/>
      <c r="BA16" s="241" t="n"/>
      <c r="BB16" s="241" t="n"/>
      <c r="BC16" s="233" t="n"/>
      <c r="BD16" s="241">
        <f>SUM(G16:R16)</f>
        <v/>
      </c>
      <c r="BE16" s="241">
        <f>SUM(S16:AC16)</f>
        <v/>
      </c>
      <c r="BF16" s="241">
        <f>SUM(AE16:AP16)</f>
        <v/>
      </c>
      <c r="BG16" s="241">
        <f>SUM(AQ16:BB16)</f>
        <v/>
      </c>
      <c r="BH16" s="275" t="n">
        <v>0</v>
      </c>
      <c r="BI16" s="233" t="n"/>
      <c r="BJ16" s="233" t="n"/>
      <c r="BK16" s="83" t="inlineStr">
        <is>
          <t>one-off from Assumptions, booked in its month</t>
        </is>
      </c>
      <c r="BL16" s="233" t="n"/>
      <c r="BM16" s="233" t="n"/>
    </row>
    <row r="17" ht="15" customHeight="1" s="349">
      <c r="A17" s="31" t="n"/>
      <c r="B17" s="237" t="inlineStr">
        <is>
          <t>Third party cost product development</t>
        </is>
      </c>
      <c r="C17" s="307" t="n"/>
      <c r="D17" s="273" t="inlineStr">
        <is>
          <t>€</t>
        </is>
      </c>
      <c r="E17" s="237" t="n"/>
      <c r="F17" s="237" t="n"/>
      <c r="G17" s="241" t="n"/>
      <c r="H17" s="241" t="n"/>
      <c r="I17" s="241" t="n"/>
      <c r="J17" s="241" t="n"/>
      <c r="K17" s="241" t="n"/>
      <c r="L17" s="241" t="n"/>
      <c r="M17" s="241" t="n"/>
      <c r="N17" s="241" t="n"/>
      <c r="O17" s="241" t="n"/>
      <c r="P17" s="241" t="n"/>
      <c r="Q17" s="241" t="n"/>
      <c r="R17" s="241" t="n"/>
      <c r="S17" s="241">
        <f t="array" ref="S17">INDEX(Assumptions!$E$93:$I$93,MATCH(YEAR(S$3),Assumptions!$E$87:$I$87,0))</f>
        <v/>
      </c>
      <c r="T17" s="241">
        <f t="array" ref="T17">INDEX(Assumptions!$E$93:$I$93,MATCH(YEAR(T$3),Assumptions!$E$87:$I$87,0))</f>
        <v/>
      </c>
      <c r="U17" s="241">
        <f t="array" ref="U17">INDEX(Assumptions!$E$93:$I$93,MATCH(YEAR(U$3),Assumptions!$E$87:$I$87,0))</f>
        <v/>
      </c>
      <c r="V17" s="241">
        <f t="array" ref="V17">INDEX(Assumptions!$E$93:$I$93,MATCH(YEAR(V$3),Assumptions!$E$87:$I$87,0))</f>
        <v/>
      </c>
      <c r="W17" s="241">
        <f t="array" ref="W17">INDEX(Assumptions!$E$93:$I$93,MATCH(YEAR(W$3),Assumptions!$E$87:$I$87,0))</f>
        <v/>
      </c>
      <c r="X17" s="241">
        <f t="array" ref="X17">INDEX(Assumptions!$E$93:$I$93,MATCH(YEAR(X$3),Assumptions!$E$87:$I$87,0))</f>
        <v/>
      </c>
      <c r="Y17" s="241">
        <f t="array" ref="Y17">INDEX(Assumptions!$E$93:$I$93,MATCH(YEAR(Y$3),Assumptions!$E$87:$I$87,0))</f>
        <v/>
      </c>
      <c r="Z17" s="241">
        <f t="array" ref="Z17">INDEX(Assumptions!$E$93:$I$93,MATCH(YEAR(Z$3),Assumptions!$E$87:$I$87,0))</f>
        <v/>
      </c>
      <c r="AA17" s="241">
        <f t="array" ref="AA17">INDEX(Assumptions!$E$93:$I$93,MATCH(YEAR(AA$3),Assumptions!$E$87:$I$87,0))</f>
        <v/>
      </c>
      <c r="AB17" s="241">
        <f t="array" ref="AB17">INDEX(Assumptions!$E$93:$I$93,MATCH(YEAR(AB$3),Assumptions!$E$87:$I$87,0))</f>
        <v/>
      </c>
      <c r="AC17" s="241">
        <f t="array" ref="AC17">INDEX(Assumptions!$E$93:$I$93,MATCH(YEAR(AC$3),Assumptions!$E$87:$I$87,0))</f>
        <v/>
      </c>
      <c r="AD17" s="241">
        <f t="array" ref="AD17">INDEX(Assumptions!$E$93:$I$93,MATCH(YEAR(AD$3),Assumptions!$E$87:$I$87,0))</f>
        <v/>
      </c>
      <c r="AE17" s="241">
        <f t="array" ref="AE17">INDEX(Assumptions!$E$93:$I$93,MATCH(YEAR(AE$3),Assumptions!$E$87:$I$87,0))</f>
        <v/>
      </c>
      <c r="AF17" s="241">
        <f t="array" ref="AF17">INDEX(Assumptions!$E$93:$I$93,MATCH(YEAR(AF$3),Assumptions!$E$87:$I$87,0))</f>
        <v/>
      </c>
      <c r="AG17" s="241">
        <f t="array" ref="AG17">INDEX(Assumptions!$E$93:$I$93,MATCH(YEAR(AG$3),Assumptions!$E$87:$I$87,0))</f>
        <v/>
      </c>
      <c r="AH17" s="241">
        <f t="array" ref="AH17">INDEX(Assumptions!$E$93:$I$93,MATCH(YEAR(AH$3),Assumptions!$E$87:$I$87,0))</f>
        <v/>
      </c>
      <c r="AI17" s="241">
        <f t="array" ref="AI17">INDEX(Assumptions!$E$93:$I$93,MATCH(YEAR(AI$3),Assumptions!$E$87:$I$87,0))</f>
        <v/>
      </c>
      <c r="AJ17" s="241">
        <f t="array" ref="AJ17">INDEX(Assumptions!$E$93:$I$93,MATCH(YEAR(AJ$3),Assumptions!$E$87:$I$87,0))</f>
        <v/>
      </c>
      <c r="AK17" s="241">
        <f t="array" ref="AK17">INDEX(Assumptions!$E$93:$I$93,MATCH(YEAR(AK$3),Assumptions!$E$87:$I$87,0))</f>
        <v/>
      </c>
      <c r="AL17" s="241">
        <f t="array" ref="AL17">INDEX(Assumptions!$E$93:$I$93,MATCH(YEAR(AL$3),Assumptions!$E$87:$I$87,0))</f>
        <v/>
      </c>
      <c r="AM17" s="241">
        <f t="array" ref="AM17">INDEX(Assumptions!$E$93:$I$93,MATCH(YEAR(AM$3),Assumptions!$E$87:$I$87,0))</f>
        <v/>
      </c>
      <c r="AN17" s="241">
        <f t="array" ref="AN17">INDEX(Assumptions!$E$93:$I$93,MATCH(YEAR(AN$3),Assumptions!$E$87:$I$87,0))</f>
        <v/>
      </c>
      <c r="AO17" s="241">
        <f t="array" ref="AO17">INDEX(Assumptions!$E$93:$I$93,MATCH(YEAR(AO$3),Assumptions!$E$87:$I$87,0))</f>
        <v/>
      </c>
      <c r="AP17" s="241">
        <f t="array" ref="AP17">INDEX(Assumptions!$E$93:$I$93,MATCH(YEAR(AP$3),Assumptions!$E$87:$I$87,0))</f>
        <v/>
      </c>
      <c r="AQ17" s="241">
        <f t="array" ref="AQ17">INDEX(Assumptions!$E$93:$I$93,MATCH(YEAR(AQ$3),Assumptions!$E$87:$I$87,0))</f>
        <v/>
      </c>
      <c r="AR17" s="241">
        <f t="array" ref="AR17">INDEX(Assumptions!$E$93:$I$93,MATCH(YEAR(AR$3),Assumptions!$E$87:$I$87,0))</f>
        <v/>
      </c>
      <c r="AS17" s="241">
        <f t="array" ref="AS17">INDEX(Assumptions!$E$93:$I$93,MATCH(YEAR(AS$3),Assumptions!$E$87:$I$87,0))</f>
        <v/>
      </c>
      <c r="AT17" s="241">
        <f t="array" ref="AT17">INDEX(Assumptions!$E$93:$I$93,MATCH(YEAR(AT$3),Assumptions!$E$87:$I$87,0))</f>
        <v/>
      </c>
      <c r="AU17" s="241">
        <f t="array" ref="AU17">INDEX(Assumptions!$E$93:$I$93,MATCH(YEAR(AU$3),Assumptions!$E$87:$I$87,0))</f>
        <v/>
      </c>
      <c r="AV17" s="241">
        <f t="array" ref="AV17">INDEX(Assumptions!$E$93:$I$93,MATCH(YEAR(AV$3),Assumptions!$E$87:$I$87,0))</f>
        <v/>
      </c>
      <c r="AW17" s="241">
        <f t="array" ref="AW17">INDEX(Assumptions!$E$93:$I$93,MATCH(YEAR(AW$3),Assumptions!$E$87:$I$87,0))</f>
        <v/>
      </c>
      <c r="AX17" s="241">
        <f t="array" ref="AX17">INDEX(Assumptions!$E$93:$I$93,MATCH(YEAR(AX$3),Assumptions!$E$87:$I$87,0))</f>
        <v/>
      </c>
      <c r="AY17" s="241">
        <f t="array" ref="AY17">INDEX(Assumptions!$E$93:$I$93,MATCH(YEAR(AY$3),Assumptions!$E$87:$I$87,0))</f>
        <v/>
      </c>
      <c r="AZ17" s="241">
        <f t="array" ref="AZ17">INDEX(Assumptions!$E$93:$I$93,MATCH(YEAR(AZ$3),Assumptions!$E$87:$I$87,0))</f>
        <v/>
      </c>
      <c r="BA17" s="241">
        <f t="array" ref="BA17">INDEX(Assumptions!$E$93:$I$93,MATCH(YEAR(BA$3),Assumptions!$E$87:$I$87,0))</f>
        <v/>
      </c>
      <c r="BB17" s="241">
        <f t="array" ref="BB17">INDEX(Assumptions!$E$93:$I$93,MATCH(YEAR(BB$3),Assumptions!$E$87:$I$87,0))</f>
        <v/>
      </c>
      <c r="BC17" s="233" t="n"/>
      <c r="BD17" s="241">
        <f>SUM(G17:R17)</f>
        <v/>
      </c>
      <c r="BE17" s="241">
        <f>SUM(S17:AD17)</f>
        <v/>
      </c>
      <c r="BF17" s="241">
        <f>SUM(AE17:AP17)</f>
        <v/>
      </c>
      <c r="BG17" s="241">
        <f>SUM(AQ17:BB17)</f>
        <v/>
      </c>
      <c r="BH17" s="241">
        <f>BG17*('Financial Statements'!$BE$7/'Financial Statements'!$BD$7)^0.4</f>
        <v/>
      </c>
      <c r="BI17" s="233" t="n"/>
      <c r="BJ17" s="233" t="n"/>
      <c r="BK17" s="83" t="inlineStr">
        <is>
          <t>from Assumptions; 2029 scaled off 2028 by revenue growth</t>
        </is>
      </c>
      <c r="BL17" s="233" t="n"/>
      <c r="BM17" s="233" t="n"/>
    </row>
    <row r="18" ht="15" customHeight="1" s="349">
      <c r="A18" s="31" t="n"/>
      <c r="B18" s="274" t="inlineStr">
        <is>
          <t>Tooling Fisher (result: 2%-3%)</t>
        </is>
      </c>
      <c r="C18" s="307" t="n"/>
      <c r="D18" s="273" t="inlineStr">
        <is>
          <t>€</t>
        </is>
      </c>
      <c r="E18" s="237" t="n"/>
      <c r="F18" s="237" t="n"/>
      <c r="G18" s="241" t="n"/>
      <c r="H18" s="241" t="n"/>
      <c r="I18" s="241" t="n"/>
      <c r="J18" s="241" t="n"/>
      <c r="K18" s="241" t="n"/>
      <c r="L18" s="241" t="n"/>
      <c r="M18" s="241" t="n"/>
      <c r="N18" s="241" t="n"/>
      <c r="O18" s="241" t="n"/>
      <c r="P18" s="241" t="n"/>
      <c r="Q18" s="241" t="n"/>
      <c r="R18" s="241" t="n"/>
      <c r="S18" s="241" t="n"/>
      <c r="T18" s="241" t="n"/>
      <c r="U18" s="241" t="n"/>
      <c r="V18" s="241" t="n"/>
      <c r="W18" s="241" t="n"/>
      <c r="X18" s="241" t="n"/>
      <c r="Y18" s="241" t="n"/>
      <c r="Z18" s="241" t="n"/>
      <c r="AA18" s="241" t="n"/>
      <c r="AB18" s="241" t="n"/>
      <c r="AC18" s="241">
        <f>Assumptions!E98</f>
        <v/>
      </c>
      <c r="AE18" s="241" t="n"/>
      <c r="AF18" s="241" t="n"/>
      <c r="AG18" s="241" t="n"/>
      <c r="AH18" s="241" t="n"/>
      <c r="AI18" s="241" t="n"/>
      <c r="AJ18" s="241" t="n"/>
      <c r="AK18" s="241" t="n"/>
      <c r="AL18" s="241" t="n"/>
      <c r="AM18" s="241" t="n"/>
      <c r="AN18" s="241" t="n"/>
      <c r="AO18" s="241" t="n"/>
      <c r="AP18" s="241" t="n"/>
      <c r="AQ18" s="241" t="n"/>
      <c r="AR18" s="241" t="n"/>
      <c r="AS18" s="241" t="n"/>
      <c r="AT18" s="241" t="n"/>
      <c r="AU18" s="241" t="n"/>
      <c r="AV18" s="241" t="n"/>
      <c r="AW18" s="241" t="n"/>
      <c r="AX18" s="241" t="n"/>
      <c r="AY18" s="241" t="n"/>
      <c r="AZ18" s="241" t="n"/>
      <c r="BA18" s="241" t="n"/>
      <c r="BB18" s="241" t="n"/>
      <c r="BC18" s="233" t="n"/>
      <c r="BD18" s="241">
        <f>SUM(G18:R18)</f>
        <v/>
      </c>
      <c r="BE18" s="241">
        <f>SUM(S18:AC18)</f>
        <v/>
      </c>
      <c r="BF18" s="241">
        <f>SUM(AE18:AP18)</f>
        <v/>
      </c>
      <c r="BG18" s="241">
        <f>SUM(AQ18:BB18)</f>
        <v/>
      </c>
      <c r="BH18" s="275" t="n">
        <v>0</v>
      </c>
      <c r="BI18" s="233" t="n"/>
      <c r="BJ18" s="233" t="n"/>
      <c r="BK18" s="83" t="inlineStr">
        <is>
          <t>one-off from Assumptions, booked in its month</t>
        </is>
      </c>
      <c r="BL18" s="233" t="n"/>
      <c r="BM18" s="233" t="n"/>
    </row>
    <row r="19" ht="12.75" customHeight="1" s="349">
      <c r="A19" s="254" t="n"/>
      <c r="B19" s="243" t="inlineStr">
        <is>
          <t>Total R&amp;D</t>
        </is>
      </c>
      <c r="C19" s="276" t="n"/>
      <c r="D19" s="277" t="n"/>
      <c r="E19" s="278" t="n"/>
      <c r="F19" s="278" t="n"/>
      <c r="G19" s="227" t="n"/>
      <c r="H19" s="227" t="n"/>
      <c r="I19" s="227" t="n"/>
      <c r="J19" s="227" t="n"/>
      <c r="K19" s="227" t="n"/>
      <c r="L19" s="227" t="n"/>
      <c r="M19" s="227" t="n"/>
      <c r="N19" s="227" t="n"/>
      <c r="O19" s="227" t="n"/>
      <c r="P19" s="227" t="n"/>
      <c r="Q19" s="227" t="n"/>
      <c r="R19" s="227">
        <f>R14+R15+R16</f>
        <v/>
      </c>
      <c r="S19" s="227">
        <f>sum(S14:S18)</f>
        <v/>
      </c>
      <c r="T19" s="227">
        <f>sum(T14:T18)</f>
        <v/>
      </c>
      <c r="U19" s="227">
        <f>sum(U14:U18)</f>
        <v/>
      </c>
      <c r="V19" s="227">
        <f>sum(V14:V18)</f>
        <v/>
      </c>
      <c r="W19" s="227">
        <f>sum(W14:W18)</f>
        <v/>
      </c>
      <c r="X19" s="227">
        <f>sum(X14:X18)</f>
        <v/>
      </c>
      <c r="Y19" s="227">
        <f>sum(Y14:Y18)</f>
        <v/>
      </c>
      <c r="Z19" s="227">
        <f>sum(Z14:Z18)</f>
        <v/>
      </c>
      <c r="AA19" s="227">
        <f>sum(AA14:AA18)</f>
        <v/>
      </c>
      <c r="AB19" s="227">
        <f>sum(AB14:AB18)</f>
        <v/>
      </c>
      <c r="AC19" s="227">
        <f>sum(AC14:AC18)</f>
        <v/>
      </c>
      <c r="AD19" s="227">
        <f>sum(AD14:AD18)</f>
        <v/>
      </c>
      <c r="AE19" s="227">
        <f>sum(AE14:AE18)</f>
        <v/>
      </c>
      <c r="AF19" s="227">
        <f>sum(AF14:AF18)</f>
        <v/>
      </c>
      <c r="AG19" s="227">
        <f>sum(AG14:AG18)</f>
        <v/>
      </c>
      <c r="AH19" s="227">
        <f>sum(AH14:AH18)</f>
        <v/>
      </c>
      <c r="AI19" s="227">
        <f>sum(AI14:AI18)</f>
        <v/>
      </c>
      <c r="AJ19" s="227">
        <f>sum(AJ14:AJ18)</f>
        <v/>
      </c>
      <c r="AK19" s="227">
        <f>sum(AK14:AK18)</f>
        <v/>
      </c>
      <c r="AL19" s="227">
        <f>sum(AL14:AL18)</f>
        <v/>
      </c>
      <c r="AM19" s="227">
        <f>sum(AM14:AM18)</f>
        <v/>
      </c>
      <c r="AN19" s="227">
        <f>sum(AN14:AN18)</f>
        <v/>
      </c>
      <c r="AO19" s="227">
        <f>sum(AO14:AO18)</f>
        <v/>
      </c>
      <c r="AP19" s="227">
        <f>sum(AP14:AP18)</f>
        <v/>
      </c>
      <c r="AQ19" s="227">
        <f>sum(AQ14:AQ18)</f>
        <v/>
      </c>
      <c r="AR19" s="227">
        <f>sum(AR14:AR18)</f>
        <v/>
      </c>
      <c r="AS19" s="227">
        <f>sum(AS14:AS18)</f>
        <v/>
      </c>
      <c r="AT19" s="227">
        <f>sum(AT14:AT18)</f>
        <v/>
      </c>
      <c r="AU19" s="227">
        <f>sum(AU14:AU18)</f>
        <v/>
      </c>
      <c r="AV19" s="227">
        <f>sum(AV14:AV18)</f>
        <v/>
      </c>
      <c r="AW19" s="227">
        <f>sum(AW14:AW18)</f>
        <v/>
      </c>
      <c r="AX19" s="227">
        <f>sum(AX14:AX18)</f>
        <v/>
      </c>
      <c r="AY19" s="227">
        <f>sum(AY14:AY18)</f>
        <v/>
      </c>
      <c r="AZ19" s="227">
        <f>sum(AZ14:AZ18)</f>
        <v/>
      </c>
      <c r="BA19" s="227">
        <f>sum(BA14:BA18)</f>
        <v/>
      </c>
      <c r="BB19" s="227">
        <f>sum(BB14:BB18)</f>
        <v/>
      </c>
      <c r="BC19" s="233" t="n"/>
      <c r="BD19" s="227">
        <f>SUM(G19:R19)</f>
        <v/>
      </c>
      <c r="BE19" s="227">
        <f>SUM(S19:AD19)</f>
        <v/>
      </c>
      <c r="BF19" s="227">
        <f>SUM(AE19:AP19)</f>
        <v/>
      </c>
      <c r="BG19" s="227">
        <f>SUM(AQ19:BB19)</f>
        <v/>
      </c>
      <c r="BH19" s="227">
        <f>sum(BH14:BH18)</f>
        <v/>
      </c>
      <c r="BI19" s="233" t="n"/>
      <c r="BJ19" s="233" t="n"/>
      <c r="BK19" s="83" t="inlineStr">
        <is>
          <t>all the non-people R&amp;D lines added</t>
        </is>
      </c>
      <c r="BL19" s="233" t="n"/>
      <c r="BM19" s="233" t="n"/>
    </row>
    <row r="20">
      <c r="A20" s="31" t="n"/>
      <c r="B20" s="307" t="n"/>
      <c r="C20" s="307" t="n"/>
      <c r="D20" s="146" t="n"/>
      <c r="E20" s="307" t="n"/>
      <c r="F20" s="307" t="n"/>
      <c r="G20" s="233" t="n"/>
      <c r="H20" s="233" t="n"/>
      <c r="I20" s="233" t="n"/>
      <c r="J20" s="233" t="n"/>
      <c r="K20" s="233" t="n"/>
      <c r="L20" s="233" t="n"/>
      <c r="M20" s="233" t="n"/>
      <c r="N20" s="233" t="n"/>
      <c r="O20" s="233" t="n"/>
      <c r="P20" s="233" t="n"/>
      <c r="Q20" s="233" t="n"/>
      <c r="R20" s="233" t="n"/>
      <c r="S20" s="233" t="n"/>
      <c r="T20" s="233" t="n"/>
      <c r="U20" s="233" t="n"/>
      <c r="V20" s="233" t="n"/>
      <c r="W20" s="233" t="n"/>
      <c r="X20" s="233" t="n"/>
      <c r="Y20" s="233" t="n"/>
      <c r="Z20" s="233" t="n"/>
      <c r="AA20" s="233" t="n"/>
      <c r="AB20" s="233" t="n"/>
      <c r="AC20" s="233" t="n"/>
      <c r="AD20" s="233" t="n"/>
      <c r="AE20" s="233" t="n"/>
      <c r="AF20" s="233" t="n"/>
      <c r="AG20" s="233" t="n"/>
      <c r="AH20" s="233" t="n"/>
      <c r="AI20" s="233" t="n"/>
      <c r="AJ20" s="233" t="n"/>
      <c r="AK20" s="233" t="n"/>
      <c r="AL20" s="233" t="n"/>
      <c r="AM20" s="233" t="n"/>
      <c r="AN20" s="233" t="n"/>
      <c r="AO20" s="233" t="n"/>
      <c r="AP20" s="233" t="n"/>
      <c r="AQ20" s="233" t="n"/>
      <c r="AR20" s="233" t="n"/>
      <c r="AS20" s="233" t="n"/>
      <c r="AT20" s="233" t="n"/>
      <c r="AU20" s="233" t="n"/>
      <c r="AV20" s="233" t="n"/>
      <c r="AW20" s="233" t="n"/>
      <c r="AX20" s="233" t="n"/>
      <c r="AY20" s="233" t="n"/>
      <c r="AZ20" s="233" t="n"/>
      <c r="BA20" s="233" t="n"/>
      <c r="BB20" s="233" t="n"/>
      <c r="BC20" s="233" t="n"/>
      <c r="BD20" s="217" t="n"/>
      <c r="BE20" s="217">
        <f>BE19/BD19-1</f>
        <v/>
      </c>
      <c r="BF20" s="217">
        <f>BF19/BE19-1</f>
        <v/>
      </c>
      <c r="BG20" s="217">
        <f>BG19/BF19-1</f>
        <v/>
      </c>
      <c r="BH20" s="217">
        <f>BH19/BG19-1</f>
        <v/>
      </c>
      <c r="BI20" s="233" t="n"/>
      <c r="BJ20" s="233" t="n"/>
      <c r="BK20" s="83" t="inlineStr">
        <is>
          <t>year-on-year change in R&amp;D spend</t>
        </is>
      </c>
      <c r="BL20" s="233" t="n"/>
      <c r="BM20" s="233" t="n"/>
    </row>
    <row r="21" ht="13.5" customHeight="1" s="349">
      <c r="A21" s="254" t="n"/>
      <c r="B21" s="144" t="inlineStr">
        <is>
          <t>SALES &amp; MARKETING</t>
        </is>
      </c>
      <c r="C21" s="104" t="n"/>
      <c r="D21" s="272" t="n"/>
      <c r="E21" s="104" t="n"/>
      <c r="F21" s="104" t="n"/>
      <c r="G21" s="80" t="n"/>
      <c r="H21" s="80" t="n"/>
      <c r="I21" s="80" t="n"/>
      <c r="J21" s="80" t="n"/>
      <c r="K21" s="80" t="n"/>
      <c r="L21" s="80" t="n"/>
      <c r="M21" s="80" t="n"/>
      <c r="N21" s="80" t="n"/>
      <c r="O21" s="80" t="n"/>
      <c r="P21" s="80" t="n"/>
      <c r="Q21" s="80" t="n"/>
      <c r="R21" s="80" t="n"/>
      <c r="S21" s="80" t="n"/>
      <c r="T21" s="80" t="n"/>
      <c r="U21" s="80" t="n"/>
      <c r="V21" s="80" t="n"/>
      <c r="W21" s="80" t="n"/>
      <c r="X21" s="80" t="n"/>
      <c r="Y21" s="80" t="n"/>
      <c r="Z21" s="80" t="n"/>
      <c r="AA21" s="80" t="n"/>
      <c r="AB21" s="80" t="n"/>
      <c r="AC21" s="80" t="n"/>
      <c r="AD21" s="80" t="n"/>
      <c r="AE21" s="80" t="n"/>
      <c r="AF21" s="80" t="n"/>
      <c r="AG21" s="80" t="n"/>
      <c r="AH21" s="80" t="n"/>
      <c r="AI21" s="80" t="n"/>
      <c r="AJ21" s="80" t="n"/>
      <c r="AK21" s="80" t="n"/>
      <c r="AL21" s="80" t="n"/>
      <c r="AM21" s="80" t="n"/>
      <c r="AN21" s="80" t="n"/>
      <c r="AO21" s="80" t="n"/>
      <c r="AP21" s="80" t="n"/>
      <c r="AQ21" s="80" t="n"/>
      <c r="AR21" s="80" t="n"/>
      <c r="AS21" s="80" t="n"/>
      <c r="AT21" s="80" t="n"/>
      <c r="AU21" s="80" t="n"/>
      <c r="AV21" s="80" t="n"/>
      <c r="AW21" s="80" t="n"/>
      <c r="AX21" s="80" t="n"/>
      <c r="AY21" s="80" t="n"/>
      <c r="AZ21" s="80" t="n"/>
      <c r="BA21" s="80" t="n"/>
      <c r="BB21" s="80" t="n"/>
      <c r="BC21" s="233" t="n"/>
      <c r="BD21" s="80" t="n"/>
      <c r="BE21" s="80" t="n"/>
      <c r="BF21" s="80" t="n"/>
      <c r="BG21" s="80" t="n"/>
      <c r="BH21" s="80" t="n"/>
      <c r="BI21" s="233" t="n"/>
      <c r="BJ21" s="233" t="n"/>
      <c r="BK21" s="83" t="n"/>
      <c r="BL21" s="233" t="n"/>
      <c r="BM21" s="233" t="n"/>
    </row>
    <row r="22" ht="15" customHeight="1" s="349">
      <c r="A22" s="31" t="n"/>
      <c r="B22" s="274" t="inlineStr">
        <is>
          <t>Baseline Sales &amp; Marketting</t>
        </is>
      </c>
      <c r="C22" s="307" t="n"/>
      <c r="D22" s="273" t="n"/>
      <c r="E22" s="224" t="n"/>
      <c r="F22" s="224" t="n"/>
      <c r="G22" s="241" t="n"/>
      <c r="H22" s="241" t="n"/>
      <c r="I22" s="241" t="n"/>
      <c r="J22" s="241" t="n"/>
      <c r="K22" s="241" t="n"/>
      <c r="L22" s="241" t="n"/>
      <c r="M22" s="241" t="n"/>
      <c r="N22" s="241" t="n"/>
      <c r="O22" s="241" t="n"/>
      <c r="P22" s="241" t="n"/>
      <c r="Q22" s="241" t="n"/>
      <c r="R22" s="233" t="n"/>
      <c r="S22" s="241">
        <f t="array" ref="S22">INDEX(Assumptions!$E$90:$I$90,MATCH(YEAR(S$3),Assumptions!$E$87:$I$87,0))</f>
        <v/>
      </c>
      <c r="T22" s="241">
        <f t="array" ref="T22">INDEX(Assumptions!$E$90:$I$90,MATCH(YEAR(T$3),Assumptions!$E$87:$I$87,0))</f>
        <v/>
      </c>
      <c r="U22" s="241">
        <f t="array" ref="U22">INDEX(Assumptions!$E$90:$I$90,MATCH(YEAR(U$3),Assumptions!$E$87:$I$87,0))</f>
        <v/>
      </c>
      <c r="V22" s="241">
        <f t="array" ref="V22">INDEX(Assumptions!$E$90:$I$90,MATCH(YEAR(V$3),Assumptions!$E$87:$I$87,0))</f>
        <v/>
      </c>
      <c r="W22" s="241">
        <f t="array" ref="W22">INDEX(Assumptions!$E$90:$I$90,MATCH(YEAR(W$3),Assumptions!$E$87:$I$87,0))</f>
        <v/>
      </c>
      <c r="X22" s="241">
        <f t="array" ref="X22">INDEX(Assumptions!$E$90:$I$90,MATCH(YEAR(X$3),Assumptions!$E$87:$I$87,0))</f>
        <v/>
      </c>
      <c r="Y22" s="241">
        <f t="array" ref="Y22">INDEX(Assumptions!$E$90:$I$90,MATCH(YEAR(Y$3),Assumptions!$E$87:$I$87,0))</f>
        <v/>
      </c>
      <c r="Z22" s="241">
        <f t="array" ref="Z22">INDEX(Assumptions!$E$90:$I$90,MATCH(YEAR(Z$3),Assumptions!$E$87:$I$87,0))</f>
        <v/>
      </c>
      <c r="AA22" s="241">
        <f t="array" ref="AA22">INDEX(Assumptions!$E$90:$I$90,MATCH(YEAR(AA$3),Assumptions!$E$87:$I$87,0))</f>
        <v/>
      </c>
      <c r="AB22" s="241">
        <f t="array" ref="AB22">INDEX(Assumptions!$E$90:$I$90,MATCH(YEAR(AB$3),Assumptions!$E$87:$I$87,0))</f>
        <v/>
      </c>
      <c r="AC22" s="241">
        <f t="array" ref="AC22">INDEX(Assumptions!$E$90:$I$90,MATCH(YEAR(AC$3),Assumptions!$E$87:$I$87,0))</f>
        <v/>
      </c>
      <c r="AD22" s="241">
        <f t="array" ref="AD22">INDEX(Assumptions!$E$90:$I$90,MATCH(YEAR(AD$3),Assumptions!$E$87:$I$87,0))</f>
        <v/>
      </c>
      <c r="AE22" s="241">
        <f t="array" ref="AE22">INDEX(Assumptions!$E$90:$I$90,MATCH(YEAR(AE$3),Assumptions!$E$87:$I$87,0))</f>
        <v/>
      </c>
      <c r="AF22" s="241">
        <f t="array" ref="AF22">INDEX(Assumptions!$E$90:$I$90,MATCH(YEAR(AF$3),Assumptions!$E$87:$I$87,0))</f>
        <v/>
      </c>
      <c r="AG22" s="241">
        <f t="array" ref="AG22">INDEX(Assumptions!$E$90:$I$90,MATCH(YEAR(AG$3),Assumptions!$E$87:$I$87,0))</f>
        <v/>
      </c>
      <c r="AH22" s="241">
        <f t="array" ref="AH22">INDEX(Assumptions!$E$90:$I$90,MATCH(YEAR(AH$3),Assumptions!$E$87:$I$87,0))</f>
        <v/>
      </c>
      <c r="AI22" s="241">
        <f t="array" ref="AI22">INDEX(Assumptions!$E$90:$I$90,MATCH(YEAR(AI$3),Assumptions!$E$87:$I$87,0))</f>
        <v/>
      </c>
      <c r="AJ22" s="241">
        <f t="array" ref="AJ22">INDEX(Assumptions!$E$90:$I$90,MATCH(YEAR(AJ$3),Assumptions!$E$87:$I$87,0))</f>
        <v/>
      </c>
      <c r="AK22" s="241">
        <f t="array" ref="AK22">INDEX(Assumptions!$E$90:$I$90,MATCH(YEAR(AK$3),Assumptions!$E$87:$I$87,0))</f>
        <v/>
      </c>
      <c r="AL22" s="241">
        <f t="array" ref="AL22">INDEX(Assumptions!$E$90:$I$90,MATCH(YEAR(AL$3),Assumptions!$E$87:$I$87,0))</f>
        <v/>
      </c>
      <c r="AM22" s="241">
        <f t="array" ref="AM22">INDEX(Assumptions!$E$90:$I$90,MATCH(YEAR(AM$3),Assumptions!$E$87:$I$87,0))</f>
        <v/>
      </c>
      <c r="AN22" s="241">
        <f t="array" ref="AN22">INDEX(Assumptions!$E$90:$I$90,MATCH(YEAR(AN$3),Assumptions!$E$87:$I$87,0))</f>
        <v/>
      </c>
      <c r="AO22" s="241">
        <f t="array" ref="AO22">INDEX(Assumptions!$E$90:$I$90,MATCH(YEAR(AO$3),Assumptions!$E$87:$I$87,0))</f>
        <v/>
      </c>
      <c r="AP22" s="241">
        <f t="array" ref="AP22">INDEX(Assumptions!$E$90:$I$90,MATCH(YEAR(AP$3),Assumptions!$E$87:$I$87,0))</f>
        <v/>
      </c>
      <c r="AQ22" s="241">
        <f t="array" ref="AQ22">INDEX(Assumptions!$E$90:$I$90,MATCH(YEAR(AQ$3),Assumptions!$E$87:$I$87,0))</f>
        <v/>
      </c>
      <c r="AR22" s="241">
        <f t="array" ref="AR22">INDEX(Assumptions!$E$90:$I$90,MATCH(YEAR(AR$3),Assumptions!$E$87:$I$87,0))</f>
        <v/>
      </c>
      <c r="AS22" s="241">
        <f t="array" ref="AS22">INDEX(Assumptions!$E$90:$I$90,MATCH(YEAR(AS$3),Assumptions!$E$87:$I$87,0))</f>
        <v/>
      </c>
      <c r="AT22" s="241">
        <f t="array" ref="AT22">INDEX(Assumptions!$E$90:$I$90,MATCH(YEAR(AT$3),Assumptions!$E$87:$I$87,0))</f>
        <v/>
      </c>
      <c r="AU22" s="241">
        <f t="array" ref="AU22">INDEX(Assumptions!$E$90:$I$90,MATCH(YEAR(AU$3),Assumptions!$E$87:$I$87,0))</f>
        <v/>
      </c>
      <c r="AV22" s="241">
        <f t="array" ref="AV22">INDEX(Assumptions!$E$90:$I$90,MATCH(YEAR(AV$3),Assumptions!$E$87:$I$87,0))</f>
        <v/>
      </c>
      <c r="AW22" s="241">
        <f t="array" ref="AW22">INDEX(Assumptions!$E$90:$I$90,MATCH(YEAR(AW$3),Assumptions!$E$87:$I$87,0))</f>
        <v/>
      </c>
      <c r="AX22" s="241">
        <f t="array" ref="AX22">INDEX(Assumptions!$E$90:$I$90,MATCH(YEAR(AX$3),Assumptions!$E$87:$I$87,0))</f>
        <v/>
      </c>
      <c r="AY22" s="241">
        <f t="array" ref="AY22">INDEX(Assumptions!$E$90:$I$90,MATCH(YEAR(AY$3),Assumptions!$E$87:$I$87,0))</f>
        <v/>
      </c>
      <c r="AZ22" s="241">
        <f t="array" ref="AZ22">INDEX(Assumptions!$E$90:$I$90,MATCH(YEAR(AZ$3),Assumptions!$E$87:$I$87,0))</f>
        <v/>
      </c>
      <c r="BA22" s="241">
        <f t="array" ref="BA22">INDEX(Assumptions!$E$90:$I$90,MATCH(YEAR(BA$3),Assumptions!$E$87:$I$87,0))</f>
        <v/>
      </c>
      <c r="BB22" s="241">
        <f t="array" ref="BB22">INDEX(Assumptions!$E$90:$I$90,MATCH(YEAR(BB$3),Assumptions!$E$87:$I$87,0))</f>
        <v/>
      </c>
      <c r="BC22" s="233" t="n"/>
      <c r="BD22" s="241">
        <f>SUM(G22:R22)</f>
        <v/>
      </c>
      <c r="BE22" s="241">
        <f>SUM(S22:AD22)</f>
        <v/>
      </c>
      <c r="BF22" s="241">
        <f>SUM(AE22:AP22)</f>
        <v/>
      </c>
      <c r="BG22" s="241">
        <f>SUM(AQ22:BB22)</f>
        <v/>
      </c>
      <c r="BH22" s="275">
        <f>BG22*('Financial Statements'!$BE$7/'Financial Statements'!$BD$7)^0.5</f>
        <v/>
      </c>
      <c r="BI22" s="233" t="n"/>
      <c r="BJ22" s="233" t="n"/>
      <c r="BK22" s="83" t="inlineStr">
        <is>
          <t>baseline marketing from Assumptions; 2029 scaled off revenue growth</t>
        </is>
      </c>
      <c r="BL22" s="233" t="n"/>
      <c r="BM22" s="233" t="n"/>
    </row>
    <row r="23" ht="15" customHeight="1" s="349">
      <c r="A23" s="31" t="n"/>
      <c r="B23" s="274" t="inlineStr">
        <is>
          <t>Sales &amp; Marketing (3rd party)</t>
        </is>
      </c>
      <c r="C23" s="307" t="n"/>
      <c r="D23" s="273" t="inlineStr">
        <is>
          <t>€</t>
        </is>
      </c>
      <c r="E23" s="224" t="n"/>
      <c r="F23" s="224" t="n"/>
      <c r="G23" s="241" t="n"/>
      <c r="H23" s="241" t="n"/>
      <c r="I23" s="241" t="n"/>
      <c r="J23" s="241" t="n"/>
      <c r="K23" s="241" t="n"/>
      <c r="L23" s="241" t="n"/>
      <c r="M23" s="241" t="n"/>
      <c r="N23" s="241" t="n"/>
      <c r="O23" s="241" t="n"/>
      <c r="P23" s="241" t="n"/>
      <c r="Q23" s="241" t="n"/>
      <c r="R23" s="233" t="n"/>
      <c r="S23" s="241" t="n">
        <v>7000</v>
      </c>
      <c r="T23" s="241" t="n">
        <v>7000</v>
      </c>
      <c r="U23" s="241" t="n">
        <v>7000</v>
      </c>
      <c r="V23" s="241" t="n">
        <v>7000</v>
      </c>
      <c r="W23" s="241" t="n">
        <v>7000</v>
      </c>
      <c r="X23" s="241" t="n">
        <v>7000</v>
      </c>
      <c r="Y23" s="241" t="n">
        <v>7000</v>
      </c>
      <c r="Z23" s="241" t="n">
        <v>7000</v>
      </c>
      <c r="AA23" s="241" t="n">
        <v>7000</v>
      </c>
      <c r="AB23" s="241" t="n">
        <v>10000</v>
      </c>
      <c r="AC23" s="241" t="n">
        <v>10000</v>
      </c>
      <c r="AD23" s="241" t="n">
        <v>10000</v>
      </c>
      <c r="AE23" s="241">
        <f>('Revenue Forecast'!AC6+'Revenue Forecast'!AC12)*VLOOKUP('Revenue Forecast'!AC33,Assumptions!$G$102:$H$109,2,TRUE)</f>
        <v/>
      </c>
      <c r="AF23" s="241">
        <f>('Revenue Forecast'!AD6+'Revenue Forecast'!AD12)*VLOOKUP('Revenue Forecast'!AD33,Assumptions!$G$102:$H$109,2,TRUE)</f>
        <v/>
      </c>
      <c r="AG23" s="241">
        <f>('Revenue Forecast'!AE6+'Revenue Forecast'!AE12)*VLOOKUP('Revenue Forecast'!AE33,Assumptions!$G$102:$H$109,2,TRUE)</f>
        <v/>
      </c>
      <c r="AH23" s="241">
        <f>('Revenue Forecast'!AF6+'Revenue Forecast'!AF12)*VLOOKUP('Revenue Forecast'!AF33,Assumptions!$G$102:$H$109,2,TRUE)</f>
        <v/>
      </c>
      <c r="AI23" s="241">
        <f>('Revenue Forecast'!AG6+'Revenue Forecast'!AG12)*VLOOKUP('Revenue Forecast'!AG33,Assumptions!$G$102:$H$109,2,TRUE)</f>
        <v/>
      </c>
      <c r="AJ23" s="241">
        <f>('Revenue Forecast'!AH6+'Revenue Forecast'!AH12)*VLOOKUP('Revenue Forecast'!AH33,Assumptions!$G$102:$H$109,2,TRUE)</f>
        <v/>
      </c>
      <c r="AK23" s="241">
        <f>('Revenue Forecast'!AI6+'Revenue Forecast'!AI12)*VLOOKUP('Revenue Forecast'!AI33,Assumptions!$G$102:$H$109,2,TRUE)</f>
        <v/>
      </c>
      <c r="AL23" s="241">
        <f>('Revenue Forecast'!AJ6+'Revenue Forecast'!AJ12)*VLOOKUP('Revenue Forecast'!AJ33,Assumptions!$G$102:$H$109,2,TRUE)</f>
        <v/>
      </c>
      <c r="AM23" s="241">
        <f>('Revenue Forecast'!AK6+'Revenue Forecast'!AK12)*VLOOKUP('Revenue Forecast'!AK33,Assumptions!$G$102:$H$109,2,TRUE)</f>
        <v/>
      </c>
      <c r="AN23" s="241">
        <f>('Revenue Forecast'!AL6+'Revenue Forecast'!AL12)*VLOOKUP('Revenue Forecast'!AL33,Assumptions!$G$102:$H$109,2,TRUE)</f>
        <v/>
      </c>
      <c r="AO23" s="241">
        <f>('Revenue Forecast'!AM6+'Revenue Forecast'!AM12)*VLOOKUP('Revenue Forecast'!AM33,Assumptions!$G$102:$H$109,2,TRUE)</f>
        <v/>
      </c>
      <c r="AP23" s="241">
        <f>('Revenue Forecast'!AN6+'Revenue Forecast'!AN12)*VLOOKUP('Revenue Forecast'!AN33,Assumptions!$G$102:$H$109,2,TRUE)</f>
        <v/>
      </c>
      <c r="AQ23" s="241">
        <f>('Revenue Forecast'!AO6+'Revenue Forecast'!AO12)*VLOOKUP('Revenue Forecast'!AO33,Assumptions!$G$102:$H$109,2,TRUE)</f>
        <v/>
      </c>
      <c r="AR23" s="241">
        <f>('Revenue Forecast'!AP6+'Revenue Forecast'!AP12)*VLOOKUP('Revenue Forecast'!AP33,Assumptions!$G$102:$H$109,2,TRUE)</f>
        <v/>
      </c>
      <c r="AS23" s="241">
        <f>('Revenue Forecast'!AQ6+'Revenue Forecast'!AQ12)*VLOOKUP('Revenue Forecast'!AQ33,Assumptions!$G$102:$H$109,2,TRUE)</f>
        <v/>
      </c>
      <c r="AT23" s="241">
        <f>('Revenue Forecast'!AR6+'Revenue Forecast'!AR12)*VLOOKUP('Revenue Forecast'!AR33,Assumptions!$G$102:$H$109,2,TRUE)</f>
        <v/>
      </c>
      <c r="AU23" s="241">
        <f>('Revenue Forecast'!AS6+'Revenue Forecast'!AS12)*VLOOKUP('Revenue Forecast'!AS33,Assumptions!$G$102:$H$109,2,TRUE)</f>
        <v/>
      </c>
      <c r="AV23" s="241">
        <f>('Revenue Forecast'!AT6+'Revenue Forecast'!AT12)*VLOOKUP('Revenue Forecast'!AT33,Assumptions!$G$102:$H$109,2,TRUE)</f>
        <v/>
      </c>
      <c r="AW23" s="241">
        <f>('Revenue Forecast'!AU6+'Revenue Forecast'!AU12)*VLOOKUP('Revenue Forecast'!AU33,Assumptions!$G$102:$H$109,2,TRUE)</f>
        <v/>
      </c>
      <c r="AX23" s="241">
        <f>('Revenue Forecast'!AV6+'Revenue Forecast'!AV12)*VLOOKUP('Revenue Forecast'!AV33,Assumptions!$G$102:$H$109,2,TRUE)</f>
        <v/>
      </c>
      <c r="AY23" s="241">
        <f>('Revenue Forecast'!AW6+'Revenue Forecast'!AW12)*VLOOKUP('Revenue Forecast'!AW33,Assumptions!$G$102:$H$109,2,TRUE)</f>
        <v/>
      </c>
      <c r="AZ23" s="241">
        <f>('Revenue Forecast'!AX6+'Revenue Forecast'!AX12)*VLOOKUP('Revenue Forecast'!AX33,Assumptions!$G$102:$H$109,2,TRUE)</f>
        <v/>
      </c>
      <c r="BA23" s="241">
        <f>('Revenue Forecast'!AY6+'Revenue Forecast'!AY12)*VLOOKUP('Revenue Forecast'!AY33,Assumptions!$G$102:$H$109,2,TRUE)</f>
        <v/>
      </c>
      <c r="BB23" s="241">
        <f>('Revenue Forecast'!AZ6+'Revenue Forecast'!AZ12)*VLOOKUP('Revenue Forecast'!AZ33,Assumptions!$G$102:$H$109,2,TRUE)</f>
        <v/>
      </c>
      <c r="BC23" s="233" t="n"/>
      <c r="BD23" s="241">
        <f>SUM(G23:R23)</f>
        <v/>
      </c>
      <c r="BE23" s="241">
        <f>SUM(S23:AD23)</f>
        <v/>
      </c>
      <c r="BF23" s="241">
        <f>SUM(AE23:AP23)</f>
        <v/>
      </c>
      <c r="BG23" s="241">
        <f>SUM(AQ23:BB23)</f>
        <v/>
      </c>
      <c r="BH23" s="241">
        <f>('Revenue Forecast'!BF6+'Revenue Forecast'!BF12)*VLOOKUP('Revenue Forecast'!BF33,Assumptions!$G$102:$H$109,2,TRUE)</f>
        <v/>
      </c>
      <c r="BI23" s="233" t="n"/>
      <c r="BJ23" s="233" t="n"/>
      <c r="BK23" s="83" t="inlineStr">
        <is>
          <t>units sold x sales cost per unit, which falls as volume grows</t>
        </is>
      </c>
      <c r="BL23" s="233" t="n"/>
      <c r="BM23" s="233" t="n"/>
    </row>
    <row r="24" ht="15" customHeight="1" s="349">
      <c r="A24" s="31" t="n"/>
      <c r="B24" s="274" t="inlineStr">
        <is>
          <t>Customer journey (third party)</t>
        </is>
      </c>
      <c r="C24" s="307" t="n"/>
      <c r="D24" s="273" t="inlineStr">
        <is>
          <t>€</t>
        </is>
      </c>
      <c r="E24" s="237" t="n"/>
      <c r="F24" s="237" t="n"/>
      <c r="G24" s="241" t="n"/>
      <c r="H24" s="241" t="n"/>
      <c r="I24" s="241" t="n"/>
      <c r="J24" s="241" t="n"/>
      <c r="K24" s="241" t="n"/>
      <c r="L24" s="241" t="n"/>
      <c r="M24" s="241" t="n"/>
      <c r="N24" s="241" t="n"/>
      <c r="O24" s="241" t="n"/>
      <c r="P24" s="241" t="n"/>
      <c r="Q24" s="241" t="n"/>
      <c r="R24" s="241">
        <f>Assumptions!$E$95</f>
        <v/>
      </c>
      <c r="T24" s="241" t="n"/>
      <c r="U24" s="241" t="n"/>
      <c r="V24" s="241" t="n"/>
      <c r="W24" s="241" t="n"/>
      <c r="X24" s="241">
        <f>Assumptions!E95</f>
        <v/>
      </c>
      <c r="Y24" s="241" t="n"/>
      <c r="Z24" s="241" t="n"/>
      <c r="AA24" s="241" t="n"/>
      <c r="AB24" s="241" t="n"/>
      <c r="AC24" s="241" t="n"/>
      <c r="AE24" s="241" t="n"/>
      <c r="AF24" s="241" t="n"/>
      <c r="AG24" s="241" t="n"/>
      <c r="AH24" s="241" t="n"/>
      <c r="AI24" s="241" t="n"/>
      <c r="AJ24" s="241" t="n"/>
      <c r="AK24" s="241" t="n"/>
      <c r="AL24" s="241" t="n"/>
      <c r="AM24" s="241" t="n"/>
      <c r="AN24" s="241" t="n"/>
      <c r="AO24" s="241" t="n"/>
      <c r="AP24" s="241" t="n"/>
      <c r="AQ24" s="241" t="n"/>
      <c r="AR24" s="241" t="n"/>
      <c r="AS24" s="241" t="n"/>
      <c r="AT24" s="241" t="n"/>
      <c r="AU24" s="241" t="n"/>
      <c r="AV24" s="241" t="n"/>
      <c r="AW24" s="241" t="n"/>
      <c r="AX24" s="241" t="n"/>
      <c r="AY24" s="241" t="n"/>
      <c r="AZ24" s="241" t="n"/>
      <c r="BA24" s="241" t="n"/>
      <c r="BB24" s="241" t="n"/>
      <c r="BC24" s="233" t="n"/>
      <c r="BD24" s="241">
        <f>SUM(G24:R24)</f>
        <v/>
      </c>
      <c r="BE24" s="241">
        <f>SUM(T24:AC24)</f>
        <v/>
      </c>
      <c r="BF24" s="241">
        <f>SUM(AE24:AP24)</f>
        <v/>
      </c>
      <c r="BG24" s="241">
        <f>SUM(AQ24:BB24)</f>
        <v/>
      </c>
      <c r="BH24" s="275">
        <f>BG24*('Financial Statements'!$BE$7/'Financial Statements'!$BD$7)^0.5</f>
        <v/>
      </c>
      <c r="BI24" s="233" t="n"/>
      <c r="BJ24" s="233" t="n"/>
      <c r="BK24" s="83" t="inlineStr">
        <is>
          <t>one-off from Assumptions; 2029 scaled off revenue growth</t>
        </is>
      </c>
      <c r="BL24" s="233" t="n"/>
      <c r="BM24" s="233" t="n"/>
    </row>
    <row r="25" ht="15" customHeight="1" s="349">
      <c r="A25" s="31" t="n"/>
      <c r="B25" s="274" t="inlineStr">
        <is>
          <t>Branding + Website (third party cost)</t>
        </is>
      </c>
      <c r="C25" s="307" t="n"/>
      <c r="D25" s="273" t="inlineStr">
        <is>
          <t>€</t>
        </is>
      </c>
      <c r="E25" s="237" t="n"/>
      <c r="F25" s="237" t="n"/>
      <c r="G25" s="241" t="n"/>
      <c r="H25" s="241" t="n"/>
      <c r="I25" s="241" t="n"/>
      <c r="J25" s="241" t="n"/>
      <c r="K25" s="241" t="n"/>
      <c r="L25" s="241" t="n"/>
      <c r="M25" s="241" t="n"/>
      <c r="N25" s="241" t="n"/>
      <c r="O25" s="241" t="n"/>
      <c r="P25" s="241" t="n"/>
      <c r="Q25" s="241" t="n"/>
      <c r="R25" s="241">
        <f>Assumptions!$E$96</f>
        <v/>
      </c>
      <c r="S25" s="241" t="n"/>
      <c r="T25" s="241" t="n"/>
      <c r="U25" s="241" t="n"/>
      <c r="V25" s="241" t="n"/>
      <c r="W25" s="241">
        <f>Assumptions!E96</f>
        <v/>
      </c>
      <c r="X25" s="241" t="n"/>
      <c r="Y25" s="241" t="n"/>
      <c r="Z25" s="241" t="n"/>
      <c r="AA25" s="241" t="n"/>
      <c r="AB25" s="241" t="n"/>
      <c r="AC25" s="241" t="n"/>
      <c r="AE25" s="241" t="n"/>
      <c r="AF25" s="241" t="n"/>
      <c r="AG25" s="241" t="n"/>
      <c r="AH25" s="241" t="n"/>
      <c r="AJ25" s="241" t="n"/>
      <c r="AK25" s="241" t="n"/>
      <c r="AL25" s="241" t="n"/>
      <c r="AM25" s="241" t="n"/>
      <c r="AN25" s="241" t="n"/>
      <c r="AO25" s="241" t="n"/>
      <c r="AP25" s="241" t="n"/>
      <c r="AQ25" s="241" t="n"/>
      <c r="AR25" s="241" t="n"/>
      <c r="AS25" s="241" t="n"/>
      <c r="AT25" s="241" t="n"/>
      <c r="AU25" s="241" t="n"/>
      <c r="AV25" s="241" t="n"/>
      <c r="AW25" s="241" t="n"/>
      <c r="AX25" s="241" t="n"/>
      <c r="AY25" s="241" t="n"/>
      <c r="AZ25" s="241" t="n"/>
      <c r="BA25" s="241" t="n"/>
      <c r="BB25" s="241" t="n"/>
      <c r="BC25" s="233" t="n"/>
      <c r="BD25" s="241">
        <f>SUM(G25:R25)</f>
        <v/>
      </c>
      <c r="BE25" s="241">
        <f>SUM(S25:AH25)</f>
        <v/>
      </c>
      <c r="BF25" s="241">
        <f>SUM(AE25:AP25)</f>
        <v/>
      </c>
      <c r="BG25" s="241">
        <f>SUM(AQ25:BB25)</f>
        <v/>
      </c>
      <c r="BH25" s="275">
        <f>BG25*('Financial Statements'!$BE$7/'Financial Statements'!$BD$7)^0.5</f>
        <v/>
      </c>
      <c r="BI25" s="233" t="n"/>
      <c r="BJ25" s="233" t="n"/>
      <c r="BK25" s="83" t="inlineStr">
        <is>
          <t>one-off from Assumptions; 2029 scaled off revenue growth</t>
        </is>
      </c>
      <c r="BL25" s="233" t="n"/>
      <c r="BM25" s="233" t="n"/>
    </row>
    <row r="26" ht="12.75" customHeight="1" s="349">
      <c r="A26" s="254" t="n"/>
      <c r="B26" s="243" t="inlineStr">
        <is>
          <t>Total S&amp;M</t>
        </is>
      </c>
      <c r="C26" s="276" t="n"/>
      <c r="D26" s="277" t="n"/>
      <c r="E26" s="278" t="n"/>
      <c r="F26" s="278" t="n"/>
      <c r="G26" s="227">
        <f>SUM(G23:G25)</f>
        <v/>
      </c>
      <c r="H26" s="227">
        <f>SUM(H23:H25)</f>
        <v/>
      </c>
      <c r="I26" s="227">
        <f>SUM(I23:I25)</f>
        <v/>
      </c>
      <c r="J26" s="227">
        <f>SUM(J23:J25)</f>
        <v/>
      </c>
      <c r="K26" s="227">
        <f>SUM(K23:K25)</f>
        <v/>
      </c>
      <c r="L26" s="227">
        <f>SUM(L23:L25)</f>
        <v/>
      </c>
      <c r="M26" s="227">
        <f>SUM(M23:M25)</f>
        <v/>
      </c>
      <c r="N26" s="227">
        <f>SUM(N23:N25)</f>
        <v/>
      </c>
      <c r="O26" s="227">
        <f>SUM(O23:O25)</f>
        <v/>
      </c>
      <c r="P26" s="227">
        <f>SUM(P23:P25)</f>
        <v/>
      </c>
      <c r="Q26" s="227">
        <f>SUM(Q23:Q25)</f>
        <v/>
      </c>
      <c r="R26" s="227">
        <f>SUM(R23:R25)</f>
        <v/>
      </c>
      <c r="S26" s="227">
        <f>sum(S22:S25)</f>
        <v/>
      </c>
      <c r="T26" s="227">
        <f>sum(T22:T25)</f>
        <v/>
      </c>
      <c r="U26" s="227">
        <f>sum(U22:U25)</f>
        <v/>
      </c>
      <c r="V26" s="227">
        <f>sum(V22:V25)</f>
        <v/>
      </c>
      <c r="W26" s="227">
        <f>sum(W22:W25)</f>
        <v/>
      </c>
      <c r="X26" s="227">
        <f>sum(X22:X25)</f>
        <v/>
      </c>
      <c r="Y26" s="227">
        <f>sum(Y22:Y25)</f>
        <v/>
      </c>
      <c r="Z26" s="227">
        <f>sum(Z22:Z25)</f>
        <v/>
      </c>
      <c r="AA26" s="227">
        <f>sum(AA22:AA25)</f>
        <v/>
      </c>
      <c r="AB26" s="227">
        <f>sum(AB22:AB25)</f>
        <v/>
      </c>
      <c r="AC26" s="227">
        <f>sum(AC22:AC25)</f>
        <v/>
      </c>
      <c r="AD26" s="227">
        <f>sum(AD22:AD25)</f>
        <v/>
      </c>
      <c r="AE26" s="227">
        <f>sum(AE22:AE25)</f>
        <v/>
      </c>
      <c r="AF26" s="227">
        <f>sum(AF22:AF25)</f>
        <v/>
      </c>
      <c r="AG26" s="227">
        <f>sum(AG22:AG25)</f>
        <v/>
      </c>
      <c r="AH26" s="227">
        <f>sum(AH22:AH25)</f>
        <v/>
      </c>
      <c r="AI26" s="227">
        <f>sum(AI22:AI25)</f>
        <v/>
      </c>
      <c r="AJ26" s="227">
        <f>sum(AJ22:AJ25)</f>
        <v/>
      </c>
      <c r="AK26" s="227">
        <f>sum(AK22:AK25)</f>
        <v/>
      </c>
      <c r="AL26" s="227">
        <f>sum(AL22:AL25)</f>
        <v/>
      </c>
      <c r="AM26" s="227">
        <f>sum(AM22:AM25)</f>
        <v/>
      </c>
      <c r="AN26" s="227">
        <f>sum(AN22:AN25)</f>
        <v/>
      </c>
      <c r="AO26" s="227">
        <f>sum(AO22:AO25)</f>
        <v/>
      </c>
      <c r="AP26" s="227">
        <f>sum(AP22:AP25)</f>
        <v/>
      </c>
      <c r="AQ26" s="227">
        <f>sum(AQ22:AQ25)</f>
        <v/>
      </c>
      <c r="AR26" s="227">
        <f>sum(AR22:AR25)</f>
        <v/>
      </c>
      <c r="AS26" s="227">
        <f>sum(AS22:AS25)</f>
        <v/>
      </c>
      <c r="AT26" s="227">
        <f>sum(AT22:AT25)</f>
        <v/>
      </c>
      <c r="AU26" s="227">
        <f>sum(AU22:AU25)</f>
        <v/>
      </c>
      <c r="AV26" s="227">
        <f>sum(AV22:AV25)</f>
        <v/>
      </c>
      <c r="AW26" s="227">
        <f>sum(AW22:AW25)</f>
        <v/>
      </c>
      <c r="AX26" s="227">
        <f>sum(AX22:AX25)</f>
        <v/>
      </c>
      <c r="AY26" s="227">
        <f>sum(AY22:AY25)</f>
        <v/>
      </c>
      <c r="AZ26" s="227">
        <f>sum(AZ22:AZ25)</f>
        <v/>
      </c>
      <c r="BA26" s="227">
        <f>sum(BA22:BA25)</f>
        <v/>
      </c>
      <c r="BB26" s="227">
        <f>sum(BB22:BB25)</f>
        <v/>
      </c>
      <c r="BC26" s="233" t="n"/>
      <c r="BD26" s="227">
        <f>SUM(G26:R26)</f>
        <v/>
      </c>
      <c r="BE26" s="227">
        <f>SUM(S26:AD26)</f>
        <v/>
      </c>
      <c r="BF26" s="227">
        <f>SUM(AE26:AP26)</f>
        <v/>
      </c>
      <c r="BG26" s="227">
        <f>SUM(AQ26:BB26)</f>
        <v/>
      </c>
      <c r="BH26" s="227">
        <f>sum(BH22:BH25)</f>
        <v/>
      </c>
      <c r="BI26" s="233" t="n"/>
      <c r="BJ26" s="233" t="n"/>
      <c r="BK26" s="83" t="inlineStr">
        <is>
          <t>all the non-people sales &amp; marketing lines added</t>
        </is>
      </c>
      <c r="BL26" s="233" t="n"/>
      <c r="BM26" s="233" t="n"/>
    </row>
    <row r="27" ht="15.75" customHeight="1" s="349">
      <c r="A27" s="31" t="n"/>
      <c r="B27" s="307" t="n"/>
      <c r="C27" s="307" t="n"/>
      <c r="D27" s="146" t="n"/>
      <c r="E27" s="307" t="n"/>
      <c r="F27" s="307" t="n"/>
      <c r="G27" s="233" t="n"/>
      <c r="H27" s="233" t="n"/>
      <c r="I27" s="233" t="n"/>
      <c r="J27" s="233" t="n"/>
      <c r="K27" s="233" t="n"/>
      <c r="L27" s="233" t="n"/>
      <c r="M27" s="233" t="n"/>
      <c r="N27" s="233" t="n"/>
      <c r="O27" s="233" t="n"/>
      <c r="P27" s="233" t="n"/>
      <c r="Q27" s="233" t="n"/>
      <c r="R27" s="233" t="n"/>
      <c r="S27" s="233" t="n"/>
      <c r="T27" s="233" t="n"/>
      <c r="U27" s="233" t="n"/>
      <c r="V27" s="233" t="n"/>
      <c r="W27" s="233" t="n"/>
      <c r="X27" s="233" t="n"/>
      <c r="Y27" s="233" t="n"/>
      <c r="Z27" s="233" t="n"/>
      <c r="AA27" s="233" t="n"/>
      <c r="AB27" s="233" t="n"/>
      <c r="AC27" s="233" t="n"/>
      <c r="AD27" s="233" t="n"/>
      <c r="AE27" s="233" t="n"/>
      <c r="AF27" s="233" t="n"/>
      <c r="AG27" s="233" t="n"/>
      <c r="AH27" s="233" t="n"/>
      <c r="AI27" s="233" t="n"/>
      <c r="AJ27" s="233" t="n"/>
      <c r="AK27" s="233" t="n"/>
      <c r="AL27" s="233" t="n"/>
      <c r="AM27" s="233" t="n"/>
      <c r="AN27" s="233" t="n"/>
      <c r="AO27" s="233" t="n"/>
      <c r="AP27" s="233" t="n"/>
      <c r="AQ27" s="233" t="n"/>
      <c r="AR27" s="233" t="n"/>
      <c r="AS27" s="233" t="n"/>
      <c r="AT27" s="233" t="n"/>
      <c r="AU27" s="233" t="n"/>
      <c r="AV27" s="233" t="n"/>
      <c r="AW27" s="233" t="n"/>
      <c r="AX27" s="233" t="n"/>
      <c r="AY27" s="233" t="n"/>
      <c r="AZ27" s="233" t="n"/>
      <c r="BA27" s="233" t="n"/>
      <c r="BB27" s="233" t="n"/>
      <c r="BC27" s="233" t="n"/>
      <c r="BD27" s="233" t="n"/>
      <c r="BE27" s="217">
        <f>BE26/BD26-1</f>
        <v/>
      </c>
      <c r="BF27" s="217">
        <f>BF26/BE26-1</f>
        <v/>
      </c>
      <c r="BG27" s="217">
        <f>BG26/BF26-1</f>
        <v/>
      </c>
      <c r="BH27" s="217">
        <f>BH26/BG26-1</f>
        <v/>
      </c>
      <c r="BI27" s="233" t="n"/>
      <c r="BJ27" s="233" t="n"/>
      <c r="BK27" s="83" t="inlineStr">
        <is>
          <t>year-on-year change in S&amp;M spend</t>
        </is>
      </c>
      <c r="BL27" s="233" t="n"/>
      <c r="BM27" s="233" t="n"/>
    </row>
    <row r="28" ht="13.5" customHeight="1" s="349">
      <c r="A28" s="254" t="n"/>
      <c r="B28" s="144" t="inlineStr">
        <is>
          <t>G&amp;A (NON-LABOUR)</t>
        </is>
      </c>
      <c r="C28" s="104" t="n"/>
      <c r="D28" s="272" t="n"/>
      <c r="E28" s="104" t="n"/>
      <c r="F28" s="104" t="n"/>
      <c r="G28" s="80" t="n"/>
      <c r="H28" s="80" t="n"/>
      <c r="I28" s="80" t="n"/>
      <c r="J28" s="80" t="n"/>
      <c r="K28" s="80" t="n"/>
      <c r="L28" s="80" t="n"/>
      <c r="M28" s="80" t="n"/>
      <c r="N28" s="80" t="n"/>
      <c r="O28" s="80" t="n"/>
      <c r="P28" s="80" t="n"/>
      <c r="Q28" s="80" t="n"/>
      <c r="R28" s="80" t="n"/>
      <c r="S28" s="80" t="n"/>
      <c r="T28" s="80" t="n"/>
      <c r="U28" s="80" t="n"/>
      <c r="V28" s="80" t="n"/>
      <c r="W28" s="80" t="n"/>
      <c r="X28" s="80" t="n"/>
      <c r="Y28" s="80" t="n"/>
      <c r="Z28" s="80" t="n"/>
      <c r="AA28" s="80" t="n"/>
      <c r="AB28" s="80" t="n"/>
      <c r="AC28" s="80" t="n"/>
      <c r="AD28" s="80" t="n"/>
      <c r="AE28" s="80" t="n"/>
      <c r="AF28" s="80" t="n"/>
      <c r="AG28" s="80" t="n"/>
      <c r="AH28" s="80" t="n"/>
      <c r="AI28" s="80" t="n"/>
      <c r="AJ28" s="80" t="n"/>
      <c r="AK28" s="80" t="n"/>
      <c r="AL28" s="80" t="n"/>
      <c r="AM28" s="80" t="n"/>
      <c r="AN28" s="80" t="n"/>
      <c r="AO28" s="80" t="n"/>
      <c r="AP28" s="80" t="n"/>
      <c r="AQ28" s="80" t="n"/>
      <c r="AR28" s="80" t="n"/>
      <c r="AS28" s="80" t="n"/>
      <c r="AT28" s="80" t="n"/>
      <c r="AU28" s="80" t="n"/>
      <c r="AV28" s="80" t="n"/>
      <c r="AW28" s="80" t="n"/>
      <c r="AX28" s="80" t="n"/>
      <c r="AY28" s="80" t="n"/>
      <c r="AZ28" s="80" t="n"/>
      <c r="BA28" s="80" t="n"/>
      <c r="BB28" s="80" t="n"/>
      <c r="BC28" s="233" t="n"/>
      <c r="BD28" s="80" t="n"/>
      <c r="BE28" s="80" t="n"/>
      <c r="BF28" s="80" t="n"/>
      <c r="BG28" s="80" t="n"/>
      <c r="BH28" s="80" t="n"/>
      <c r="BI28" s="233" t="n"/>
      <c r="BJ28" s="233" t="n"/>
      <c r="BK28" s="83" t="n"/>
      <c r="BL28" s="233" t="n"/>
      <c r="BM28" s="233" t="n"/>
    </row>
    <row r="29" ht="15.75" customHeight="1" s="349">
      <c r="A29" s="31" t="n"/>
      <c r="B29" s="274" t="inlineStr">
        <is>
          <t>Office rent (part of General)</t>
        </is>
      </c>
      <c r="C29" s="307" t="n"/>
      <c r="D29" s="273" t="inlineStr">
        <is>
          <t>€</t>
        </is>
      </c>
      <c r="E29" s="224" t="n"/>
      <c r="F29" s="224" t="n"/>
      <c r="G29" s="241">
        <f>Assumptions!$E$88</f>
        <v/>
      </c>
      <c r="H29" s="241">
        <f>Assumptions!$E$88</f>
        <v/>
      </c>
      <c r="I29" s="241">
        <f>Assumptions!$E$88</f>
        <v/>
      </c>
      <c r="J29" s="241">
        <f>Assumptions!$E$88</f>
        <v/>
      </c>
      <c r="K29" s="241">
        <f>Assumptions!$E$88</f>
        <v/>
      </c>
      <c r="L29" s="241">
        <f>Assumptions!$E$88</f>
        <v/>
      </c>
      <c r="M29" s="241">
        <f>Assumptions!$E$88</f>
        <v/>
      </c>
      <c r="N29" s="241">
        <f>Assumptions!$E$88</f>
        <v/>
      </c>
      <c r="O29" s="241">
        <f>Assumptions!$E$88</f>
        <v/>
      </c>
      <c r="P29" s="241">
        <f>Assumptions!$E$88</f>
        <v/>
      </c>
      <c r="Q29" s="241">
        <f>Assumptions!$E$88</f>
        <v/>
      </c>
      <c r="R29" s="241">
        <f>Assumptions!$E$88</f>
        <v/>
      </c>
      <c r="S29" s="241">
        <f t="array" ref="S29">INDEX(Assumptions!$E$88:$I$88,MATCH(YEAR(S$3),Assumptions!$E$87:$I$87,0))</f>
        <v/>
      </c>
      <c r="T29" s="241">
        <f t="array" ref="T29">INDEX(Assumptions!$E$88:$I$88,MATCH(YEAR(T$3),Assumptions!$E$87:$I$87,0))</f>
        <v/>
      </c>
      <c r="U29" s="241">
        <f t="array" ref="U29">INDEX(Assumptions!$E$88:$I$88,MATCH(YEAR(U$3),Assumptions!$E$87:$I$87,0))</f>
        <v/>
      </c>
      <c r="V29" s="241">
        <f t="array" ref="V29">INDEX(Assumptions!$E$88:$I$88,MATCH(YEAR(V$3),Assumptions!$E$87:$I$87,0))</f>
        <v/>
      </c>
      <c r="W29" s="241">
        <f t="array" ref="W29">INDEX(Assumptions!$E$88:$I$88,MATCH(YEAR(W$3),Assumptions!$E$87:$I$87,0))</f>
        <v/>
      </c>
      <c r="X29" s="241">
        <f t="array" ref="X29">INDEX(Assumptions!$E$88:$I$88,MATCH(YEAR(X$3),Assumptions!$E$87:$I$87,0))</f>
        <v/>
      </c>
      <c r="Y29" s="241">
        <f t="array" ref="Y29">INDEX(Assumptions!$E$88:$I$88,MATCH(YEAR(Y$3),Assumptions!$E$87:$I$87,0))</f>
        <v/>
      </c>
      <c r="Z29" s="241">
        <f t="array" ref="Z29">INDEX(Assumptions!$E$88:$I$88,MATCH(YEAR(Z$3),Assumptions!$E$87:$I$87,0))</f>
        <v/>
      </c>
      <c r="AA29" s="241">
        <f t="array" ref="AA29">INDEX(Assumptions!$E$88:$I$88,MATCH(YEAR(AA$3),Assumptions!$E$87:$I$87,0))</f>
        <v/>
      </c>
      <c r="AB29" s="241">
        <f t="array" ref="AB29">INDEX(Assumptions!$E$88:$I$88,MATCH(YEAR(AB$3),Assumptions!$E$87:$I$87,0))</f>
        <v/>
      </c>
      <c r="AC29" s="241">
        <f t="array" ref="AC29">INDEX(Assumptions!$E$88:$I$88,MATCH(YEAR(AC$3),Assumptions!$E$87:$I$87,0))</f>
        <v/>
      </c>
      <c r="AD29" s="241">
        <f t="array" ref="AD29">INDEX(Assumptions!$E$88:$I$88,MATCH(YEAR(AD$3),Assumptions!$E$87:$I$87,0))</f>
        <v/>
      </c>
      <c r="AE29" s="241">
        <f t="array" ref="AE29">INDEX(Assumptions!$E$88:$I$88,MATCH(YEAR(AE$3),Assumptions!$E$87:$I$87,0))</f>
        <v/>
      </c>
      <c r="AF29" s="241">
        <f t="array" ref="AF29">INDEX(Assumptions!$E$88:$I$88,MATCH(YEAR(AF$3),Assumptions!$E$87:$I$87,0))</f>
        <v/>
      </c>
      <c r="AG29" s="241">
        <f t="array" ref="AG29">INDEX(Assumptions!$E$88:$I$88,MATCH(YEAR(AG$3),Assumptions!$E$87:$I$87,0))</f>
        <v/>
      </c>
      <c r="AH29" s="241">
        <f t="array" ref="AH29">INDEX(Assumptions!$E$88:$I$88,MATCH(YEAR(AH$3),Assumptions!$E$87:$I$87,0))</f>
        <v/>
      </c>
      <c r="AI29" s="241">
        <f t="array" ref="AI29">INDEX(Assumptions!$E$88:$I$88,MATCH(YEAR(AI$3),Assumptions!$E$87:$I$87,0))</f>
        <v/>
      </c>
      <c r="AJ29" s="241">
        <f t="array" ref="AJ29">INDEX(Assumptions!$E$88:$I$88,MATCH(YEAR(AJ$3),Assumptions!$E$87:$I$87,0))</f>
        <v/>
      </c>
      <c r="AK29" s="241">
        <f t="array" ref="AK29">INDEX(Assumptions!$E$88:$I$88,MATCH(YEAR(AK$3),Assumptions!$E$87:$I$87,0))</f>
        <v/>
      </c>
      <c r="AL29" s="241">
        <f t="array" ref="AL29">INDEX(Assumptions!$E$88:$I$88,MATCH(YEAR(AL$3),Assumptions!$E$87:$I$87,0))</f>
        <v/>
      </c>
      <c r="AM29" s="241">
        <f t="array" ref="AM29">INDEX(Assumptions!$E$88:$I$88,MATCH(YEAR(AM$3),Assumptions!$E$87:$I$87,0))</f>
        <v/>
      </c>
      <c r="AN29" s="241">
        <f t="array" ref="AN29">INDEX(Assumptions!$E$88:$I$88,MATCH(YEAR(AN$3),Assumptions!$E$87:$I$87,0))</f>
        <v/>
      </c>
      <c r="AO29" s="241">
        <f t="array" ref="AO29">INDEX(Assumptions!$E$88:$I$88,MATCH(YEAR(AO$3),Assumptions!$E$87:$I$87,0))</f>
        <v/>
      </c>
      <c r="AP29" s="241">
        <f t="array" ref="AP29">INDEX(Assumptions!$E$88:$I$88,MATCH(YEAR(AP$3),Assumptions!$E$87:$I$87,0))</f>
        <v/>
      </c>
      <c r="AQ29" s="241">
        <f t="array" ref="AQ29">INDEX(Assumptions!$E$88:$I$88,MATCH(YEAR(AQ$3),Assumptions!$E$87:$I$87,0))</f>
        <v/>
      </c>
      <c r="AR29" s="241">
        <f t="array" ref="AR29">INDEX(Assumptions!$E$88:$I$88,MATCH(YEAR(AR$3),Assumptions!$E$87:$I$87,0))</f>
        <v/>
      </c>
      <c r="AS29" s="241">
        <f t="array" ref="AS29">INDEX(Assumptions!$E$88:$I$88,MATCH(YEAR(AS$3),Assumptions!$E$87:$I$87,0))</f>
        <v/>
      </c>
      <c r="AT29" s="241">
        <f t="array" ref="AT29">INDEX(Assumptions!$E$88:$I$88,MATCH(YEAR(AT$3),Assumptions!$E$87:$I$87,0))</f>
        <v/>
      </c>
      <c r="AU29" s="241">
        <f t="array" ref="AU29">INDEX(Assumptions!$E$88:$I$88,MATCH(YEAR(AU$3),Assumptions!$E$87:$I$87,0))</f>
        <v/>
      </c>
      <c r="AV29" s="241">
        <f t="array" ref="AV29">INDEX(Assumptions!$E$88:$I$88,MATCH(YEAR(AV$3),Assumptions!$E$87:$I$87,0))</f>
        <v/>
      </c>
      <c r="AW29" s="241">
        <f t="array" ref="AW29">INDEX(Assumptions!$E$88:$I$88,MATCH(YEAR(AW$3),Assumptions!$E$87:$I$87,0))</f>
        <v/>
      </c>
      <c r="AX29" s="241">
        <f t="array" ref="AX29">INDEX(Assumptions!$E$88:$I$88,MATCH(YEAR(AX$3),Assumptions!$E$87:$I$87,0))</f>
        <v/>
      </c>
      <c r="AY29" s="241">
        <f t="array" ref="AY29">INDEX(Assumptions!$E$88:$I$88,MATCH(YEAR(AY$3),Assumptions!$E$87:$I$87,0))</f>
        <v/>
      </c>
      <c r="AZ29" s="241">
        <f t="array" ref="AZ29">INDEX(Assumptions!$E$88:$I$88,MATCH(YEAR(AZ$3),Assumptions!$E$87:$I$87,0))</f>
        <v/>
      </c>
      <c r="BA29" s="241">
        <f t="array" ref="BA29">INDEX(Assumptions!$E$88:$I$88,MATCH(YEAR(BA$3),Assumptions!$E$87:$I$87,0))</f>
        <v/>
      </c>
      <c r="BB29" s="241">
        <f t="array" ref="BB29">INDEX(Assumptions!$E$88:$I$88,MATCH(YEAR(BB$3),Assumptions!$E$87:$I$87,0))</f>
        <v/>
      </c>
      <c r="BC29" s="233" t="n"/>
      <c r="BD29" s="241">
        <f>SUM(G29:R29)</f>
        <v/>
      </c>
      <c r="BE29" s="241">
        <f>SUM(S29:AD29)</f>
        <v/>
      </c>
      <c r="BF29" s="241">
        <f>SUM(AE29:AP29)</f>
        <v/>
      </c>
      <c r="BG29" s="241">
        <f>SUM(AQ29:BB29)</f>
        <v/>
      </c>
      <c r="BH29" s="275">
        <f>BG29*('Financial Statements'!$BE$7/'Financial Statements'!$BD$7)^0.2</f>
        <v/>
      </c>
      <c r="BI29" s="233" t="n"/>
      <c r="BJ29" s="233" t="n"/>
      <c r="BK29" s="83" t="inlineStr">
        <is>
          <t>rent from Assumptions, growing each year</t>
        </is>
      </c>
      <c r="BL29" s="233" t="n"/>
      <c r="BM29" s="233" t="n"/>
    </row>
    <row r="30" ht="15.75" customHeight="1" s="349">
      <c r="A30" s="31" t="n"/>
      <c r="B30" s="274" t="inlineStr">
        <is>
          <t>Other General</t>
        </is>
      </c>
      <c r="C30" s="307" t="n"/>
      <c r="D30" s="273" t="inlineStr">
        <is>
          <t>€</t>
        </is>
      </c>
      <c r="E30" s="224" t="n"/>
      <c r="F30" s="224" t="n"/>
      <c r="G30" s="241">
        <f>Assumptions!$E$89</f>
        <v/>
      </c>
      <c r="H30" s="241">
        <f>Assumptions!$E$89</f>
        <v/>
      </c>
      <c r="I30" s="241">
        <f>Assumptions!$E$89</f>
        <v/>
      </c>
      <c r="J30" s="241">
        <f>Assumptions!$E$89</f>
        <v/>
      </c>
      <c r="K30" s="241">
        <f>Assumptions!$E$89</f>
        <v/>
      </c>
      <c r="L30" s="241">
        <f>Assumptions!$E$89</f>
        <v/>
      </c>
      <c r="M30" s="241">
        <f>Assumptions!$E$89</f>
        <v/>
      </c>
      <c r="N30" s="241">
        <f>Assumptions!$E$89</f>
        <v/>
      </c>
      <c r="O30" s="241">
        <f>Assumptions!$E$89</f>
        <v/>
      </c>
      <c r="P30" s="241">
        <f>Assumptions!$E$89</f>
        <v/>
      </c>
      <c r="Q30" s="241">
        <f>Assumptions!$E$89</f>
        <v/>
      </c>
      <c r="R30" s="241">
        <f>Assumptions!$E$89</f>
        <v/>
      </c>
      <c r="S30" s="241">
        <f t="array" ref="S30">INDEX(Assumptions!$E$89:$I$89,MATCH(YEAR(S$3),Assumptions!$E$87:$I$87,0))</f>
        <v/>
      </c>
      <c r="T30" s="241">
        <f t="array" ref="T30">INDEX(Assumptions!$E$89:$I$89,MATCH(YEAR(T$3),Assumptions!$E$87:$I$87,0))</f>
        <v/>
      </c>
      <c r="U30" s="241">
        <f t="array" ref="U30">INDEX(Assumptions!$E$89:$I$89,MATCH(YEAR(U$3),Assumptions!$E$87:$I$87,0))</f>
        <v/>
      </c>
      <c r="V30" s="241">
        <f t="array" ref="V30">INDEX(Assumptions!$E$89:$I$89,MATCH(YEAR(V$3),Assumptions!$E$87:$I$87,0))</f>
        <v/>
      </c>
      <c r="W30" s="241">
        <f t="array" ref="W30">INDEX(Assumptions!$E$89:$I$89,MATCH(YEAR(W$3),Assumptions!$E$87:$I$87,0))</f>
        <v/>
      </c>
      <c r="X30" s="241">
        <f t="array" ref="X30">INDEX(Assumptions!$E$89:$I$89,MATCH(YEAR(X$3),Assumptions!$E$87:$I$87,0))</f>
        <v/>
      </c>
      <c r="Y30" s="241">
        <f t="array" ref="Y30">INDEX(Assumptions!$E$89:$I$89,MATCH(YEAR(Y$3),Assumptions!$E$87:$I$87,0))</f>
        <v/>
      </c>
      <c r="Z30" s="241">
        <f t="array" ref="Z30">INDEX(Assumptions!$E$89:$I$89,MATCH(YEAR(Z$3),Assumptions!$E$87:$I$87,0))</f>
        <v/>
      </c>
      <c r="AA30" s="241">
        <f t="array" ref="AA30">INDEX(Assumptions!$E$89:$I$89,MATCH(YEAR(AA$3),Assumptions!$E$87:$I$87,0))</f>
        <v/>
      </c>
      <c r="AB30" s="241">
        <f t="array" ref="AB30">INDEX(Assumptions!$E$89:$I$89,MATCH(YEAR(AB$3),Assumptions!$E$87:$I$87,0))</f>
        <v/>
      </c>
      <c r="AC30" s="241">
        <f t="array" ref="AC30">INDEX(Assumptions!$E$89:$I$89,MATCH(YEAR(AC$3),Assumptions!$E$87:$I$87,0))</f>
        <v/>
      </c>
      <c r="AD30" s="241">
        <f t="array" ref="AD30">INDEX(Assumptions!$E$89:$I$89,MATCH(YEAR(AD$3),Assumptions!$E$87:$I$87,0))</f>
        <v/>
      </c>
      <c r="AE30" s="241">
        <f t="array" ref="AE30">INDEX(Assumptions!$E$89:$I$89,MATCH(YEAR(AE$3),Assumptions!$E$87:$I$87,0))</f>
        <v/>
      </c>
      <c r="AF30" s="241">
        <f t="array" ref="AF30">INDEX(Assumptions!$E$89:$I$89,MATCH(YEAR(AF$3),Assumptions!$E$87:$I$87,0))</f>
        <v/>
      </c>
      <c r="AG30" s="241">
        <f t="array" ref="AG30">INDEX(Assumptions!$E$89:$I$89,MATCH(YEAR(AG$3),Assumptions!$E$87:$I$87,0))</f>
        <v/>
      </c>
      <c r="AH30" s="241">
        <f t="array" ref="AH30">INDEX(Assumptions!$E$89:$I$89,MATCH(YEAR(AH$3),Assumptions!$E$87:$I$87,0))</f>
        <v/>
      </c>
      <c r="AI30" s="241">
        <f t="array" ref="AI30">INDEX(Assumptions!$E$89:$I$89,MATCH(YEAR(AI$3),Assumptions!$E$87:$I$87,0))</f>
        <v/>
      </c>
      <c r="AJ30" s="241">
        <f t="array" ref="AJ30">INDEX(Assumptions!$E$89:$I$89,MATCH(YEAR(AJ$3),Assumptions!$E$87:$I$87,0))</f>
        <v/>
      </c>
      <c r="AK30" s="241">
        <f t="array" ref="AK30">INDEX(Assumptions!$E$89:$I$89,MATCH(YEAR(AK$3),Assumptions!$E$87:$I$87,0))</f>
        <v/>
      </c>
      <c r="AL30" s="241">
        <f t="array" ref="AL30">INDEX(Assumptions!$E$89:$I$89,MATCH(YEAR(AL$3),Assumptions!$E$87:$I$87,0))</f>
        <v/>
      </c>
      <c r="AM30" s="241">
        <f t="array" ref="AM30">INDEX(Assumptions!$E$89:$I$89,MATCH(YEAR(AM$3),Assumptions!$E$87:$I$87,0))</f>
        <v/>
      </c>
      <c r="AN30" s="241">
        <f t="array" ref="AN30">INDEX(Assumptions!$E$89:$I$89,MATCH(YEAR(AN$3),Assumptions!$E$87:$I$87,0))</f>
        <v/>
      </c>
      <c r="AO30" s="241">
        <f t="array" ref="AO30">INDEX(Assumptions!$E$89:$I$89,MATCH(YEAR(AO$3),Assumptions!$E$87:$I$87,0))</f>
        <v/>
      </c>
      <c r="AP30" s="241">
        <f t="array" ref="AP30">INDEX(Assumptions!$E$89:$I$89,MATCH(YEAR(AP$3),Assumptions!$E$87:$I$87,0))</f>
        <v/>
      </c>
      <c r="AQ30" s="241">
        <f t="array" ref="AQ30">INDEX(Assumptions!$E$89:$I$89,MATCH(YEAR(AQ$3),Assumptions!$E$87:$I$87,0))</f>
        <v/>
      </c>
      <c r="AR30" s="241">
        <f t="array" ref="AR30">INDEX(Assumptions!$E$89:$I$89,MATCH(YEAR(AR$3),Assumptions!$E$87:$I$87,0))</f>
        <v/>
      </c>
      <c r="AS30" s="241">
        <f t="array" ref="AS30">INDEX(Assumptions!$E$89:$I$89,MATCH(YEAR(AS$3),Assumptions!$E$87:$I$87,0))</f>
        <v/>
      </c>
      <c r="AT30" s="241">
        <f t="array" ref="AT30">INDEX(Assumptions!$E$89:$I$89,MATCH(YEAR(AT$3),Assumptions!$E$87:$I$87,0))</f>
        <v/>
      </c>
      <c r="AU30" s="241">
        <f t="array" ref="AU30">INDEX(Assumptions!$E$89:$I$89,MATCH(YEAR(AU$3),Assumptions!$E$87:$I$87,0))</f>
        <v/>
      </c>
      <c r="AV30" s="241">
        <f t="array" ref="AV30">INDEX(Assumptions!$E$89:$I$89,MATCH(YEAR(AV$3),Assumptions!$E$87:$I$87,0))</f>
        <v/>
      </c>
      <c r="AW30" s="241">
        <f t="array" ref="AW30">INDEX(Assumptions!$E$89:$I$89,MATCH(YEAR(AW$3),Assumptions!$E$87:$I$87,0))</f>
        <v/>
      </c>
      <c r="AX30" s="241">
        <f t="array" ref="AX30">INDEX(Assumptions!$E$89:$I$89,MATCH(YEAR(AX$3),Assumptions!$E$87:$I$87,0))</f>
        <v/>
      </c>
      <c r="AY30" s="241">
        <f t="array" ref="AY30">INDEX(Assumptions!$E$89:$I$89,MATCH(YEAR(AY$3),Assumptions!$E$87:$I$87,0))</f>
        <v/>
      </c>
      <c r="AZ30" s="241">
        <f t="array" ref="AZ30">INDEX(Assumptions!$E$89:$I$89,MATCH(YEAR(AZ$3),Assumptions!$E$87:$I$87,0))</f>
        <v/>
      </c>
      <c r="BA30" s="241">
        <f t="array" ref="BA30">INDEX(Assumptions!$E$89:$I$89,MATCH(YEAR(BA$3),Assumptions!$E$87:$I$87,0))</f>
        <v/>
      </c>
      <c r="BB30" s="241">
        <f t="array" ref="BB30">INDEX(Assumptions!$E$89:$I$89,MATCH(YEAR(BB$3),Assumptions!$E$87:$I$87,0))</f>
        <v/>
      </c>
      <c r="BC30" s="233" t="n"/>
      <c r="BD30" s="241">
        <f>SUM(G30:R30)</f>
        <v/>
      </c>
      <c r="BE30" s="241">
        <f>SUM(S30:AD30)</f>
        <v/>
      </c>
      <c r="BF30" s="241">
        <f>SUM(AE30:AP30)</f>
        <v/>
      </c>
      <c r="BG30" s="241">
        <f>SUM(AQ30:BB30)</f>
        <v/>
      </c>
      <c r="BH30" s="275">
        <f>BG30*('Financial Statements'!$BE$7/'Financial Statements'!$BD$7)^0.2</f>
        <v/>
      </c>
      <c r="BI30" s="233" t="n"/>
      <c r="BJ30" s="233" t="n"/>
      <c r="BK30" s="83" t="inlineStr">
        <is>
          <t>other general costs from Assumptions, growing each year</t>
        </is>
      </c>
      <c r="BL30" s="233" t="n"/>
      <c r="BM30" s="233" t="n"/>
    </row>
    <row r="31" ht="15.75" customHeight="1" s="349">
      <c r="A31" s="31" t="n"/>
      <c r="B31" s="274" t="inlineStr">
        <is>
          <t>Finance &amp; Legal etc.</t>
        </is>
      </c>
      <c r="C31" s="307" t="n"/>
      <c r="D31" s="273" t="inlineStr">
        <is>
          <t>€</t>
        </is>
      </c>
      <c r="E31" s="224" t="n"/>
      <c r="F31" s="224" t="n"/>
      <c r="G31" s="241">
        <f>Assumptions!$E$91</f>
        <v/>
      </c>
      <c r="H31" s="241">
        <f>Assumptions!$E$91</f>
        <v/>
      </c>
      <c r="I31" s="241">
        <f>Assumptions!$E$91</f>
        <v/>
      </c>
      <c r="J31" s="241">
        <f>Assumptions!$E$91</f>
        <v/>
      </c>
      <c r="K31" s="241">
        <f>Assumptions!$E$91</f>
        <v/>
      </c>
      <c r="L31" s="241">
        <f>Assumptions!$E$91</f>
        <v/>
      </c>
      <c r="M31" s="241">
        <f>Assumptions!$E$91</f>
        <v/>
      </c>
      <c r="N31" s="241">
        <f>Assumptions!$E$91</f>
        <v/>
      </c>
      <c r="O31" s="241">
        <f>Assumptions!$E$91</f>
        <v/>
      </c>
      <c r="P31" s="241">
        <f>Assumptions!$E$91</f>
        <v/>
      </c>
      <c r="Q31" s="241">
        <f>Assumptions!$E$91</f>
        <v/>
      </c>
      <c r="R31" s="241">
        <f>Assumptions!$E$91</f>
        <v/>
      </c>
      <c r="S31" s="241">
        <f t="array" ref="S31">INDEX(Assumptions!$E$91:$I$91,MATCH(YEAR(S$3),Assumptions!$E$87:$I$87,0))</f>
        <v/>
      </c>
      <c r="T31" s="241">
        <f t="array" ref="T31">INDEX(Assumptions!$E$91:$I$91,MATCH(YEAR(T$3),Assumptions!$E$87:$I$87,0))</f>
        <v/>
      </c>
      <c r="U31" s="241">
        <f t="array" ref="U31">INDEX(Assumptions!$E$91:$I$91,MATCH(YEAR(U$3),Assumptions!$E$87:$I$87,0))</f>
        <v/>
      </c>
      <c r="V31" s="241">
        <f t="array" ref="V31">INDEX(Assumptions!$E$91:$I$91,MATCH(YEAR(V$3),Assumptions!$E$87:$I$87,0))</f>
        <v/>
      </c>
      <c r="W31" s="241">
        <f t="array" ref="W31">INDEX(Assumptions!$E$91:$I$91,MATCH(YEAR(W$3),Assumptions!$E$87:$I$87,0))</f>
        <v/>
      </c>
      <c r="X31" s="241">
        <f t="array" ref="X31">INDEX(Assumptions!$E$91:$I$91,MATCH(YEAR(X$3),Assumptions!$E$87:$I$87,0))</f>
        <v/>
      </c>
      <c r="Y31" s="241">
        <f t="array" ref="Y31">INDEX(Assumptions!$E$91:$I$91,MATCH(YEAR(Y$3),Assumptions!$E$87:$I$87,0))</f>
        <v/>
      </c>
      <c r="Z31" s="241">
        <f t="array" ref="Z31">INDEX(Assumptions!$E$91:$I$91,MATCH(YEAR(Z$3),Assumptions!$E$87:$I$87,0))</f>
        <v/>
      </c>
      <c r="AA31" s="241">
        <f t="array" ref="AA31">INDEX(Assumptions!$E$91:$I$91,MATCH(YEAR(AA$3),Assumptions!$E$87:$I$87,0))</f>
        <v/>
      </c>
      <c r="AB31" s="241">
        <f t="array" ref="AB31">INDEX(Assumptions!$E$91:$I$91,MATCH(YEAR(AB$3),Assumptions!$E$87:$I$87,0))</f>
        <v/>
      </c>
      <c r="AC31" s="241">
        <f t="array" ref="AC31">INDEX(Assumptions!$E$91:$I$91,MATCH(YEAR(AC$3),Assumptions!$E$87:$I$87,0))</f>
        <v/>
      </c>
      <c r="AD31" s="241">
        <f t="array" ref="AD31">INDEX(Assumptions!$E$91:$I$91,MATCH(YEAR(AD$3),Assumptions!$E$87:$I$87,0))</f>
        <v/>
      </c>
      <c r="AE31" s="241">
        <f t="array" ref="AE31">INDEX(Assumptions!$E$91:$I$91,MATCH(YEAR(AE$3),Assumptions!$E$87:$I$87,0))</f>
        <v/>
      </c>
      <c r="AF31" s="241">
        <f t="array" ref="AF31">INDEX(Assumptions!$E$91:$I$91,MATCH(YEAR(AF$3),Assumptions!$E$87:$I$87,0))</f>
        <v/>
      </c>
      <c r="AG31" s="241">
        <f t="array" ref="AG31">INDEX(Assumptions!$E$91:$I$91,MATCH(YEAR(AG$3),Assumptions!$E$87:$I$87,0))</f>
        <v/>
      </c>
      <c r="AH31" s="241">
        <f t="array" ref="AH31">INDEX(Assumptions!$E$91:$I$91,MATCH(YEAR(AH$3),Assumptions!$E$87:$I$87,0))</f>
        <v/>
      </c>
      <c r="AI31" s="241">
        <f t="array" ref="AI31">INDEX(Assumptions!$E$91:$I$91,MATCH(YEAR(AI$3),Assumptions!$E$87:$I$87,0))</f>
        <v/>
      </c>
      <c r="AJ31" s="241">
        <f t="array" ref="AJ31">INDEX(Assumptions!$E$91:$I$91,MATCH(YEAR(AJ$3),Assumptions!$E$87:$I$87,0))</f>
        <v/>
      </c>
      <c r="AK31" s="241">
        <f t="array" ref="AK31">INDEX(Assumptions!$E$91:$I$91,MATCH(YEAR(AK$3),Assumptions!$E$87:$I$87,0))</f>
        <v/>
      </c>
      <c r="AL31" s="241">
        <f t="array" ref="AL31">INDEX(Assumptions!$E$91:$I$91,MATCH(YEAR(AL$3),Assumptions!$E$87:$I$87,0))</f>
        <v/>
      </c>
      <c r="AM31" s="241">
        <f t="array" ref="AM31">INDEX(Assumptions!$E$91:$I$91,MATCH(YEAR(AM$3),Assumptions!$E$87:$I$87,0))</f>
        <v/>
      </c>
      <c r="AN31" s="241">
        <f t="array" ref="AN31">INDEX(Assumptions!$E$91:$I$91,MATCH(YEAR(AN$3),Assumptions!$E$87:$I$87,0))</f>
        <v/>
      </c>
      <c r="AO31" s="241">
        <f t="array" ref="AO31">INDEX(Assumptions!$E$91:$I$91,MATCH(YEAR(AO$3),Assumptions!$E$87:$I$87,0))</f>
        <v/>
      </c>
      <c r="AP31" s="241">
        <f t="array" ref="AP31">INDEX(Assumptions!$E$91:$I$91,MATCH(YEAR(AP$3),Assumptions!$E$87:$I$87,0))</f>
        <v/>
      </c>
      <c r="AQ31" s="241">
        <f t="array" ref="AQ31">INDEX(Assumptions!$E$91:$I$91,MATCH(YEAR(AQ$3),Assumptions!$E$87:$I$87,0))</f>
        <v/>
      </c>
      <c r="AR31" s="241">
        <f t="array" ref="AR31">INDEX(Assumptions!$E$91:$I$91,MATCH(YEAR(AR$3),Assumptions!$E$87:$I$87,0))</f>
        <v/>
      </c>
      <c r="AS31" s="241">
        <f t="array" ref="AS31">INDEX(Assumptions!$E$91:$I$91,MATCH(YEAR(AS$3),Assumptions!$E$87:$I$87,0))</f>
        <v/>
      </c>
      <c r="AT31" s="241">
        <f t="array" ref="AT31">INDEX(Assumptions!$E$91:$I$91,MATCH(YEAR(AT$3),Assumptions!$E$87:$I$87,0))</f>
        <v/>
      </c>
      <c r="AU31" s="241">
        <f t="array" ref="AU31">INDEX(Assumptions!$E$91:$I$91,MATCH(YEAR(AU$3),Assumptions!$E$87:$I$87,0))</f>
        <v/>
      </c>
      <c r="AV31" s="241">
        <f t="array" ref="AV31">INDEX(Assumptions!$E$91:$I$91,MATCH(YEAR(AV$3),Assumptions!$E$87:$I$87,0))</f>
        <v/>
      </c>
      <c r="AW31" s="241">
        <f t="array" ref="AW31">INDEX(Assumptions!$E$91:$I$91,MATCH(YEAR(AW$3),Assumptions!$E$87:$I$87,0))</f>
        <v/>
      </c>
      <c r="AX31" s="241">
        <f t="array" ref="AX31">INDEX(Assumptions!$E$91:$I$91,MATCH(YEAR(AX$3),Assumptions!$E$87:$I$87,0))</f>
        <v/>
      </c>
      <c r="AY31" s="241">
        <f t="array" ref="AY31">INDEX(Assumptions!$E$91:$I$91,MATCH(YEAR(AY$3),Assumptions!$E$87:$I$87,0))</f>
        <v/>
      </c>
      <c r="AZ31" s="241">
        <f t="array" ref="AZ31">INDEX(Assumptions!$E$91:$I$91,MATCH(YEAR(AZ$3),Assumptions!$E$87:$I$87,0))</f>
        <v/>
      </c>
      <c r="BA31" s="241">
        <f t="array" ref="BA31">INDEX(Assumptions!$E$91:$I$91,MATCH(YEAR(BA$3),Assumptions!$E$87:$I$87,0))</f>
        <v/>
      </c>
      <c r="BB31" s="241">
        <f t="array" ref="BB31">INDEX(Assumptions!$E$91:$I$91,MATCH(YEAR(BB$3),Assumptions!$E$87:$I$87,0))</f>
        <v/>
      </c>
      <c r="BC31" s="233" t="n"/>
      <c r="BD31" s="241">
        <f>SUM(G31:R31)</f>
        <v/>
      </c>
      <c r="BE31" s="241">
        <f>SUM(S31:AD31)</f>
        <v/>
      </c>
      <c r="BF31" s="241">
        <f>SUM(AE31:AP31)</f>
        <v/>
      </c>
      <c r="BG31" s="241">
        <f>SUM(AQ31:BB31)</f>
        <v/>
      </c>
      <c r="BH31" s="275">
        <f>BG31*('Financial Statements'!$BE$7/'Financial Statements'!$BD$7)^0.2</f>
        <v/>
      </c>
      <c r="BI31" s="233" t="n"/>
      <c r="BJ31" s="233" t="n"/>
      <c r="BK31" s="83" t="inlineStr">
        <is>
          <t>finance &amp; legal from Assumptions, growing each year</t>
        </is>
      </c>
      <c r="BL31" s="233" t="n"/>
      <c r="BM31" s="233" t="n"/>
    </row>
    <row r="32" ht="12.75" customHeight="1" s="349">
      <c r="A32" s="254" t="n"/>
      <c r="B32" s="243" t="inlineStr">
        <is>
          <t>Total G&amp;A</t>
        </is>
      </c>
      <c r="C32" s="276" t="n"/>
      <c r="D32" s="277" t="n"/>
      <c r="E32" s="278" t="n"/>
      <c r="F32" s="278" t="n"/>
      <c r="G32" s="227" t="n"/>
      <c r="H32" s="227" t="n"/>
      <c r="I32" s="227" t="n"/>
      <c r="J32" s="227" t="n"/>
      <c r="K32" s="227" t="n"/>
      <c r="L32" s="227" t="n"/>
      <c r="M32" s="227" t="n"/>
      <c r="N32" s="227" t="n"/>
      <c r="O32" s="227" t="n"/>
      <c r="P32" s="227" t="n"/>
      <c r="Q32" s="227" t="n"/>
      <c r="R32" s="227" t="n"/>
      <c r="S32" s="227">
        <f>sum(S29:S31)</f>
        <v/>
      </c>
      <c r="T32" s="227">
        <f>sum(T29:T31)</f>
        <v/>
      </c>
      <c r="U32" s="227">
        <f>sum(U29:U31)</f>
        <v/>
      </c>
      <c r="V32" s="227">
        <f>sum(V29:V31)</f>
        <v/>
      </c>
      <c r="W32" s="227">
        <f>sum(W29:W31)</f>
        <v/>
      </c>
      <c r="X32" s="227">
        <f>sum(X29:X31)</f>
        <v/>
      </c>
      <c r="Y32" s="227">
        <f>sum(Y29:Y31)</f>
        <v/>
      </c>
      <c r="Z32" s="227">
        <f>sum(Z29:Z31)</f>
        <v/>
      </c>
      <c r="AA32" s="227">
        <f>sum(AA29:AA31)</f>
        <v/>
      </c>
      <c r="AB32" s="227">
        <f>sum(AB29:AB31)</f>
        <v/>
      </c>
      <c r="AC32" s="227">
        <f>sum(AC29:AC31)</f>
        <v/>
      </c>
      <c r="AD32" s="227">
        <f>sum(AD29:AD31)</f>
        <v/>
      </c>
      <c r="AE32" s="227">
        <f>sum(AE29:AE31)</f>
        <v/>
      </c>
      <c r="AF32" s="227">
        <f>sum(AF29:AF31)</f>
        <v/>
      </c>
      <c r="AG32" s="227">
        <f>sum(AG29:AG31)</f>
        <v/>
      </c>
      <c r="AH32" s="227">
        <f>sum(AH29:AH31)</f>
        <v/>
      </c>
      <c r="AI32" s="227">
        <f>sum(AI29:AI31)</f>
        <v/>
      </c>
      <c r="AJ32" s="227">
        <f>sum(AJ29:AJ31)</f>
        <v/>
      </c>
      <c r="AK32" s="227">
        <f>sum(AK29:AK31)</f>
        <v/>
      </c>
      <c r="AL32" s="227">
        <f>sum(AL29:AL31)</f>
        <v/>
      </c>
      <c r="AM32" s="227">
        <f>sum(AM29:AM31)</f>
        <v/>
      </c>
      <c r="AN32" s="227">
        <f>sum(AN29:AN31)</f>
        <v/>
      </c>
      <c r="AO32" s="227">
        <f>sum(AO29:AO31)</f>
        <v/>
      </c>
      <c r="AP32" s="227">
        <f>sum(AP29:AP31)</f>
        <v/>
      </c>
      <c r="AQ32" s="227">
        <f>sum(AQ29:AQ31)</f>
        <v/>
      </c>
      <c r="AR32" s="227">
        <f>sum(AR29:AR31)</f>
        <v/>
      </c>
      <c r="AS32" s="227">
        <f>sum(AS29:AS31)</f>
        <v/>
      </c>
      <c r="AT32" s="227">
        <f>sum(AT29:AT31)</f>
        <v/>
      </c>
      <c r="AU32" s="227">
        <f>sum(AU29:AU31)</f>
        <v/>
      </c>
      <c r="AV32" s="227">
        <f>sum(AV29:AV31)</f>
        <v/>
      </c>
      <c r="AW32" s="227">
        <f>sum(AW29:AW31)</f>
        <v/>
      </c>
      <c r="AX32" s="227">
        <f>sum(AX29:AX31)</f>
        <v/>
      </c>
      <c r="AY32" s="227">
        <f>sum(AY29:AY31)</f>
        <v/>
      </c>
      <c r="AZ32" s="227">
        <f>sum(AZ29:AZ31)</f>
        <v/>
      </c>
      <c r="BA32" s="227">
        <f>sum(BA29:BA31)</f>
        <v/>
      </c>
      <c r="BB32" s="227">
        <f>sum(BB29:BB31)</f>
        <v/>
      </c>
      <c r="BC32" s="233" t="n"/>
      <c r="BD32" s="227">
        <f>SUM(G32:R32)</f>
        <v/>
      </c>
      <c r="BE32" s="227">
        <f>SUM(S32:AD32)</f>
        <v/>
      </c>
      <c r="BF32" s="227">
        <f>SUM(AE32:AP32)</f>
        <v/>
      </c>
      <c r="BG32" s="227">
        <f>SUM(AQ32:BB32)</f>
        <v/>
      </c>
      <c r="BH32" s="227">
        <f>sum(BH29:BH31)</f>
        <v/>
      </c>
      <c r="BI32" s="233" t="n"/>
      <c r="BJ32" s="233" t="n"/>
      <c r="BK32" s="83" t="inlineStr">
        <is>
          <t>the three G&amp;A lines added</t>
        </is>
      </c>
      <c r="BL32" s="233" t="n"/>
      <c r="BM32" s="233" t="n"/>
    </row>
    <row r="33" ht="15.75" customHeight="1" s="349">
      <c r="A33" s="31" t="n"/>
      <c r="B33" s="307" t="n"/>
      <c r="C33" s="307" t="n"/>
      <c r="D33" s="146" t="n"/>
      <c r="E33" s="307" t="n"/>
      <c r="F33" s="307" t="n"/>
      <c r="G33" s="233" t="n"/>
      <c r="H33" s="233" t="n"/>
      <c r="I33" s="233" t="n"/>
      <c r="J33" s="233" t="n"/>
      <c r="K33" s="233" t="n"/>
      <c r="L33" s="233" t="n"/>
      <c r="M33" s="233" t="n"/>
      <c r="N33" s="233" t="n"/>
      <c r="O33" s="233" t="n"/>
      <c r="P33" s="233" t="n"/>
      <c r="Q33" s="233" t="n"/>
      <c r="R33" s="233" t="n"/>
      <c r="S33" s="233" t="n"/>
      <c r="T33" s="233" t="n"/>
      <c r="U33" s="233" t="n"/>
      <c r="V33" s="233" t="n"/>
      <c r="W33" s="233" t="n"/>
      <c r="X33" s="233" t="n"/>
      <c r="Y33" s="233" t="n"/>
      <c r="Z33" s="233" t="n"/>
      <c r="AA33" s="233" t="n"/>
      <c r="AB33" s="233" t="n"/>
      <c r="AC33" s="233" t="n"/>
      <c r="AD33" s="233" t="n"/>
      <c r="AE33" s="233" t="n"/>
      <c r="AF33" s="233" t="n"/>
      <c r="AG33" s="233" t="n"/>
      <c r="AH33" s="233" t="n"/>
      <c r="AI33" s="233" t="n"/>
      <c r="AJ33" s="233" t="n"/>
      <c r="AK33" s="233" t="n"/>
      <c r="AL33" s="233" t="n"/>
      <c r="AM33" s="233" t="n"/>
      <c r="AN33" s="233" t="n"/>
      <c r="AO33" s="233" t="n"/>
      <c r="AP33" s="233" t="n"/>
      <c r="AQ33" s="233" t="n"/>
      <c r="AR33" s="233" t="n"/>
      <c r="AS33" s="233" t="n"/>
      <c r="AT33" s="233" t="n"/>
      <c r="AU33" s="233" t="n"/>
      <c r="AV33" s="233" t="n"/>
      <c r="AW33" s="233" t="n"/>
      <c r="AX33" s="233" t="n"/>
      <c r="AY33" s="233" t="n"/>
      <c r="AZ33" s="233" t="n"/>
      <c r="BA33" s="233" t="n"/>
      <c r="BB33" s="233" t="n"/>
      <c r="BC33" s="233" t="n"/>
      <c r="BD33" s="233" t="n"/>
      <c r="BE33" s="233" t="n"/>
      <c r="BF33" s="233" t="n"/>
      <c r="BG33" s="233" t="n"/>
      <c r="BH33" s="233" t="n"/>
      <c r="BI33" s="233" t="n"/>
      <c r="BJ33" s="233" t="n"/>
      <c r="BK33" s="83" t="n"/>
      <c r="BL33" s="233" t="n"/>
      <c r="BM33" s="233" t="n"/>
    </row>
    <row r="34" ht="15.75" customHeight="1" s="349">
      <c r="A34" s="290" t="n"/>
      <c r="B34" s="8" t="inlineStr">
        <is>
          <t>Total non-personnell</t>
        </is>
      </c>
      <c r="C34" s="214" t="n"/>
      <c r="D34" s="282" t="inlineStr">
        <is>
          <t>€</t>
        </is>
      </c>
      <c r="E34" s="214" t="n"/>
      <c r="F34" s="214" t="n"/>
      <c r="G34" s="126">
        <f>G32+G26+G19</f>
        <v/>
      </c>
      <c r="H34" s="126">
        <f>H32+H26+H19</f>
        <v/>
      </c>
      <c r="I34" s="126">
        <f>I32+I26+I19</f>
        <v/>
      </c>
      <c r="J34" s="126">
        <f>J32+J26+J19</f>
        <v/>
      </c>
      <c r="K34" s="126">
        <f>K32+K26+K19</f>
        <v/>
      </c>
      <c r="L34" s="126">
        <f>L32+L26+L19</f>
        <v/>
      </c>
      <c r="M34" s="126">
        <f>M32+M26+M19</f>
        <v/>
      </c>
      <c r="N34" s="126">
        <f>N32+N26+N19</f>
        <v/>
      </c>
      <c r="O34" s="126">
        <f>O32+O26+O19</f>
        <v/>
      </c>
      <c r="P34" s="126">
        <f>P32+P26+P19</f>
        <v/>
      </c>
      <c r="Q34" s="126">
        <f>Q32+Q26+Q19</f>
        <v/>
      </c>
      <c r="R34" s="126">
        <f>R32+R26+R19</f>
        <v/>
      </c>
      <c r="S34" s="126">
        <f>S32+S26+S19</f>
        <v/>
      </c>
      <c r="T34" s="126">
        <f>T32+T26+T19</f>
        <v/>
      </c>
      <c r="U34" s="126">
        <f>U32+U26+U19</f>
        <v/>
      </c>
      <c r="V34" s="126">
        <f>V32+V26+V19</f>
        <v/>
      </c>
      <c r="W34" s="126">
        <f>W32+W26+W19</f>
        <v/>
      </c>
      <c r="X34" s="126">
        <f>X32+X26+X19</f>
        <v/>
      </c>
      <c r="Y34" s="126">
        <f>Y32+Y26+Y19</f>
        <v/>
      </c>
      <c r="Z34" s="126">
        <f>Z32+Z26+Z19</f>
        <v/>
      </c>
      <c r="AA34" s="126">
        <f>AA32+AA26+AA19</f>
        <v/>
      </c>
      <c r="AB34" s="126">
        <f>AB32+AB26+AB19</f>
        <v/>
      </c>
      <c r="AC34" s="126">
        <f>AC32+AC26+AC19</f>
        <v/>
      </c>
      <c r="AD34" s="126">
        <f>AD32+AD26+AD19</f>
        <v/>
      </c>
      <c r="AE34" s="126">
        <f>AE32+AE26+AE19</f>
        <v/>
      </c>
      <c r="AF34" s="126">
        <f>AF32+AF26+AF19</f>
        <v/>
      </c>
      <c r="AG34" s="126">
        <f>AG32+AG26+AG19</f>
        <v/>
      </c>
      <c r="AH34" s="126">
        <f>AH32+AH26+AH19</f>
        <v/>
      </c>
      <c r="AI34" s="126">
        <f>AI32+AI26+AI19</f>
        <v/>
      </c>
      <c r="AJ34" s="126">
        <f>AJ32+AJ26+AJ19</f>
        <v/>
      </c>
      <c r="AK34" s="126">
        <f>AK32+AK26+AK19</f>
        <v/>
      </c>
      <c r="AL34" s="126">
        <f>AL32+AL26+AL19</f>
        <v/>
      </c>
      <c r="AM34" s="126">
        <f>AM32+AM26+AM19</f>
        <v/>
      </c>
      <c r="AN34" s="126">
        <f>AN32+AN26+AN19</f>
        <v/>
      </c>
      <c r="AO34" s="126">
        <f>AO32+AO26+AO19</f>
        <v/>
      </c>
      <c r="AP34" s="126">
        <f>AP32+AP26+AP19</f>
        <v/>
      </c>
      <c r="AQ34" s="126">
        <f>AQ32+AQ26+AQ19</f>
        <v/>
      </c>
      <c r="AR34" s="126">
        <f>AR32+AR26+AR19</f>
        <v/>
      </c>
      <c r="AS34" s="126">
        <f>AS32+AS26+AS19</f>
        <v/>
      </c>
      <c r="AT34" s="126">
        <f>AT32+AT26+AT19</f>
        <v/>
      </c>
      <c r="AU34" s="126">
        <f>AU32+AU26+AU19</f>
        <v/>
      </c>
      <c r="AV34" s="126">
        <f>AV32+AV26+AV19</f>
        <v/>
      </c>
      <c r="AW34" s="126">
        <f>AW32+AW26+AW19</f>
        <v/>
      </c>
      <c r="AX34" s="126">
        <f>AX32+AX26+AX19</f>
        <v/>
      </c>
      <c r="AY34" s="126">
        <f>AY32+AY26+AY19</f>
        <v/>
      </c>
      <c r="AZ34" s="126">
        <f>AZ32+AZ26+AZ19</f>
        <v/>
      </c>
      <c r="BA34" s="126">
        <f>BA32+BA26+BA19</f>
        <v/>
      </c>
      <c r="BB34" s="126">
        <f>BB32+BB26+BB19</f>
        <v/>
      </c>
      <c r="BC34" s="156" t="n"/>
      <c r="BD34" s="126">
        <f>SUM(G34:R34)</f>
        <v/>
      </c>
      <c r="BE34" s="126">
        <f>SUM(S34:AD34)</f>
        <v/>
      </c>
      <c r="BF34" s="126">
        <f>SUM(AE34:AP34)</f>
        <v/>
      </c>
      <c r="BG34" s="126">
        <f>SUM(AQ34:BB34)</f>
        <v/>
      </c>
      <c r="BH34" s="126">
        <f>BH32+BH26+BH19</f>
        <v/>
      </c>
      <c r="BI34" s="156" t="n"/>
      <c r="BJ34" s="156" t="n"/>
      <c r="BK34" s="83" t="inlineStr">
        <is>
          <t>R&amp;D + S&amp;M + G&amp;A, everything except salaries</t>
        </is>
      </c>
      <c r="BL34" s="156" t="n"/>
      <c r="BM34" s="156" t="n"/>
    </row>
    <row r="35" ht="15.75" customHeight="1" s="349">
      <c r="A35" s="57" t="n"/>
      <c r="B35" s="291" t="n"/>
      <c r="C35" s="57" t="n"/>
      <c r="D35" s="292" t="n"/>
      <c r="E35" s="293" t="n"/>
      <c r="F35" s="293" t="n"/>
      <c r="G35" s="294" t="n"/>
      <c r="H35" s="294" t="n"/>
      <c r="I35" s="294" t="n"/>
      <c r="J35" s="294" t="n"/>
      <c r="K35" s="294" t="n"/>
      <c r="L35" s="294" t="n"/>
      <c r="M35" s="294" t="n"/>
      <c r="N35" s="294" t="n"/>
      <c r="O35" s="294" t="n"/>
      <c r="P35" s="294" t="n"/>
      <c r="Q35" s="294" t="n"/>
      <c r="R35" s="294" t="n"/>
      <c r="S35" s="294" t="n"/>
      <c r="T35" s="294" t="n"/>
      <c r="U35" s="294" t="n"/>
      <c r="V35" s="294" t="n"/>
      <c r="W35" s="294" t="n"/>
      <c r="X35" s="294" t="n"/>
      <c r="Y35" s="294" t="n"/>
      <c r="Z35" s="294" t="n"/>
      <c r="AA35" s="294" t="n"/>
      <c r="AB35" s="294" t="n"/>
      <c r="AC35" s="294" t="n"/>
      <c r="AD35" s="294" t="n"/>
      <c r="AE35" s="294" t="n"/>
      <c r="AF35" s="294" t="n"/>
      <c r="AG35" s="294" t="n"/>
      <c r="AH35" s="294" t="n"/>
      <c r="AI35" s="294" t="n"/>
      <c r="AJ35" s="294" t="n"/>
      <c r="AK35" s="294" t="n"/>
      <c r="AL35" s="294" t="n"/>
      <c r="AM35" s="294" t="n"/>
      <c r="AN35" s="294" t="n"/>
      <c r="AO35" s="294" t="n"/>
      <c r="AP35" s="294" t="n"/>
      <c r="AQ35" s="294" t="n"/>
      <c r="AR35" s="294" t="n"/>
      <c r="AS35" s="294" t="n"/>
      <c r="AT35" s="294" t="n"/>
      <c r="AU35" s="294" t="n"/>
      <c r="AV35" s="294" t="n"/>
      <c r="AW35" s="294" t="n"/>
      <c r="AX35" s="294" t="n"/>
      <c r="AY35" s="294" t="n"/>
      <c r="AZ35" s="294" t="n"/>
      <c r="BA35" s="294" t="n"/>
      <c r="BB35" s="294" t="n"/>
      <c r="BC35" s="156" t="n"/>
      <c r="BD35" s="294" t="n"/>
      <c r="BE35" s="294" t="n"/>
      <c r="BF35" s="294" t="n"/>
      <c r="BG35" s="294" t="n"/>
      <c r="BH35" s="294" t="n"/>
      <c r="BI35" s="156" t="n"/>
      <c r="BJ35" s="156" t="n"/>
      <c r="BK35" s="83" t="n"/>
      <c r="BL35" s="156" t="n"/>
      <c r="BM35" s="156" t="n"/>
    </row>
    <row r="36" ht="15.75" customHeight="1" s="349">
      <c r="A36" s="290" t="n"/>
      <c r="B36" s="8" t="inlineStr">
        <is>
          <t>TOTAL OPEX</t>
        </is>
      </c>
      <c r="C36" s="214" t="n"/>
      <c r="D36" s="282" t="inlineStr">
        <is>
          <t>€</t>
        </is>
      </c>
      <c r="E36" s="214" t="n"/>
      <c r="F36" s="214" t="n"/>
      <c r="G36" s="126">
        <f>G34+G9</f>
        <v/>
      </c>
      <c r="H36" s="126">
        <f>H34+H9</f>
        <v/>
      </c>
      <c r="I36" s="126">
        <f>I34+I9</f>
        <v/>
      </c>
      <c r="J36" s="126">
        <f>J34+J9</f>
        <v/>
      </c>
      <c r="K36" s="126">
        <f>K34+K9</f>
        <v/>
      </c>
      <c r="L36" s="126">
        <f>L34+L9</f>
        <v/>
      </c>
      <c r="M36" s="126">
        <f>M34+M9</f>
        <v/>
      </c>
      <c r="N36" s="126">
        <f>N34+N9</f>
        <v/>
      </c>
      <c r="O36" s="126">
        <f>O34+O9</f>
        <v/>
      </c>
      <c r="P36" s="126">
        <f>P34+P9</f>
        <v/>
      </c>
      <c r="Q36" s="126">
        <f>Q34+Q9</f>
        <v/>
      </c>
      <c r="R36" s="126">
        <f>R34+R9</f>
        <v/>
      </c>
      <c r="S36" s="126">
        <f>S34+S9</f>
        <v/>
      </c>
      <c r="T36" s="126">
        <f>T34+T9</f>
        <v/>
      </c>
      <c r="U36" s="126">
        <f>U34+U9</f>
        <v/>
      </c>
      <c r="V36" s="126">
        <f>V34+V9</f>
        <v/>
      </c>
      <c r="W36" s="126">
        <f>W34+W9</f>
        <v/>
      </c>
      <c r="X36" s="126">
        <f>X34+X9</f>
        <v/>
      </c>
      <c r="Y36" s="126">
        <f>Y34+Y9</f>
        <v/>
      </c>
      <c r="Z36" s="126">
        <f>Z34+Z9</f>
        <v/>
      </c>
      <c r="AA36" s="126">
        <f>AA34+AA9</f>
        <v/>
      </c>
      <c r="AB36" s="126">
        <f>AB34+AB9</f>
        <v/>
      </c>
      <c r="AC36" s="126">
        <f>AC34+AC9</f>
        <v/>
      </c>
      <c r="AD36" s="126">
        <f>AD34+AD9</f>
        <v/>
      </c>
      <c r="AE36" s="126">
        <f>AE34+AE9</f>
        <v/>
      </c>
      <c r="AF36" s="126">
        <f>AF34+AF9</f>
        <v/>
      </c>
      <c r="AG36" s="126">
        <f>AG34+AG9</f>
        <v/>
      </c>
      <c r="AH36" s="126">
        <f>AH34+AH9</f>
        <v/>
      </c>
      <c r="AI36" s="126">
        <f>AI34+AI9</f>
        <v/>
      </c>
      <c r="AJ36" s="126">
        <f>AJ34+AJ9</f>
        <v/>
      </c>
      <c r="AK36" s="126">
        <f>AK34+AK9</f>
        <v/>
      </c>
      <c r="AL36" s="126">
        <f>AL34+AL9</f>
        <v/>
      </c>
      <c r="AM36" s="126">
        <f>AM34+AM9</f>
        <v/>
      </c>
      <c r="AN36" s="126">
        <f>AN34+AN9</f>
        <v/>
      </c>
      <c r="AO36" s="126">
        <f>AO34+AO9</f>
        <v/>
      </c>
      <c r="AP36" s="126">
        <f>AP34+AP9</f>
        <v/>
      </c>
      <c r="AQ36" s="126">
        <f>AQ34+AQ9</f>
        <v/>
      </c>
      <c r="AR36" s="126">
        <f>AR34+AR9</f>
        <v/>
      </c>
      <c r="AS36" s="126">
        <f>AS34+AS9</f>
        <v/>
      </c>
      <c r="AT36" s="126">
        <f>AT34+AT9</f>
        <v/>
      </c>
      <c r="AU36" s="126">
        <f>AU34+AU9</f>
        <v/>
      </c>
      <c r="AV36" s="126">
        <f>AV34+AV9</f>
        <v/>
      </c>
      <c r="AW36" s="126">
        <f>AW34+AW9</f>
        <v/>
      </c>
      <c r="AX36" s="126">
        <f>AX34+AX9</f>
        <v/>
      </c>
      <c r="AY36" s="126">
        <f>AY34+AY9</f>
        <v/>
      </c>
      <c r="AZ36" s="126">
        <f>AZ34+AZ9</f>
        <v/>
      </c>
      <c r="BA36" s="126">
        <f>BA34+BA9</f>
        <v/>
      </c>
      <c r="BB36" s="126">
        <f>BB34+BB9</f>
        <v/>
      </c>
      <c r="BC36" s="156" t="n"/>
      <c r="BD36" s="126">
        <f>SUM(G36:R36)</f>
        <v/>
      </c>
      <c r="BE36" s="126">
        <f>SUM(S36:AD36)</f>
        <v/>
      </c>
      <c r="BF36" s="126">
        <f>SUM(AE36:AP36)</f>
        <v/>
      </c>
      <c r="BG36" s="126">
        <f>SUM(AQ36:BB36)</f>
        <v/>
      </c>
      <c r="BH36" s="126">
        <f>BH34+BH9</f>
        <v/>
      </c>
      <c r="BI36" s="156" t="n"/>
      <c r="BJ36" s="156" t="n"/>
      <c r="BK36" s="83" t="inlineStr">
        <is>
          <t>salaries + all other operating costs</t>
        </is>
      </c>
      <c r="BL36" s="156" t="n"/>
      <c r="BM36" s="156" t="n"/>
    </row>
    <row r="37" ht="15.75" customHeight="1" s="349">
      <c r="A37" s="151" t="n"/>
      <c r="B37" s="107" t="n"/>
      <c r="C37" s="107" t="n"/>
      <c r="D37" s="148" t="n"/>
      <c r="E37" s="107" t="n"/>
      <c r="F37" s="107" t="n"/>
      <c r="G37" s="156" t="n"/>
      <c r="H37" s="156" t="n"/>
      <c r="I37" s="156" t="n"/>
      <c r="J37" s="156" t="n"/>
      <c r="K37" s="156" t="n"/>
      <c r="L37" s="156" t="n"/>
      <c r="M37" s="156" t="n"/>
      <c r="N37" s="156" t="n"/>
      <c r="O37" s="156" t="n"/>
      <c r="P37" s="156" t="n"/>
      <c r="Q37" s="156" t="n"/>
      <c r="R37" s="156" t="n"/>
      <c r="S37" s="156" t="n"/>
      <c r="T37" s="156" t="n"/>
      <c r="U37" s="156" t="n"/>
      <c r="V37" s="156" t="n"/>
      <c r="W37" s="156" t="n"/>
      <c r="X37" s="156" t="n"/>
      <c r="Y37" s="156" t="n"/>
      <c r="Z37" s="156" t="n"/>
      <c r="AA37" s="156" t="n"/>
      <c r="AB37" s="156" t="n"/>
      <c r="AC37" s="156" t="n"/>
      <c r="AD37" s="156" t="n"/>
      <c r="AE37" s="156" t="n"/>
      <c r="AF37" s="156" t="n"/>
      <c r="AG37" s="156" t="n"/>
      <c r="AH37" s="156" t="n"/>
      <c r="AI37" s="156" t="n"/>
      <c r="AJ37" s="156" t="n"/>
      <c r="AK37" s="156" t="n"/>
      <c r="AL37" s="156" t="n"/>
      <c r="AM37" s="156" t="n"/>
      <c r="AN37" s="156" t="n"/>
      <c r="AO37" s="156" t="n"/>
      <c r="AP37" s="156" t="n"/>
      <c r="AQ37" s="156" t="n"/>
      <c r="AR37" s="156" t="n"/>
      <c r="AS37" s="156" t="n"/>
      <c r="AT37" s="156" t="n"/>
      <c r="AU37" s="156" t="n"/>
      <c r="AV37" s="156" t="n"/>
      <c r="AW37" s="156" t="n"/>
      <c r="AX37" s="156" t="n"/>
      <c r="AY37" s="156" t="n"/>
      <c r="AZ37" s="156" t="n"/>
      <c r="BA37" s="156" t="n"/>
      <c r="BB37" s="156" t="n"/>
      <c r="BC37" s="156" t="n"/>
      <c r="BD37" s="156" t="n"/>
      <c r="BE37" s="156" t="n"/>
      <c r="BF37" s="156" t="n"/>
      <c r="BG37" s="156" t="n"/>
      <c r="BH37" s="156" t="n"/>
      <c r="BI37" s="156" t="n"/>
      <c r="BJ37" s="156" t="n"/>
      <c r="BK37" s="83" t="n"/>
      <c r="BL37" s="156" t="n"/>
      <c r="BM37" s="156" t="n"/>
    </row>
    <row r="38" ht="15.75" customHeight="1" s="349">
      <c r="A38" s="290" t="n"/>
      <c r="B38" s="8" t="inlineStr">
        <is>
          <t>Total R&amp;D</t>
        </is>
      </c>
      <c r="C38" s="214" t="n"/>
      <c r="D38" s="282" t="inlineStr">
        <is>
          <t>€</t>
        </is>
      </c>
      <c r="E38" s="214" t="n"/>
      <c r="F38" s="214" t="n"/>
      <c r="G38" s="126">
        <f>G19+G6</f>
        <v/>
      </c>
      <c r="H38" s="126">
        <f>H19+H6</f>
        <v/>
      </c>
      <c r="I38" s="126">
        <f>I19+I6</f>
        <v/>
      </c>
      <c r="J38" s="126">
        <f>J19+J6</f>
        <v/>
      </c>
      <c r="K38" s="126">
        <f>K19+K6</f>
        <v/>
      </c>
      <c r="L38" s="126">
        <f>L19+L6</f>
        <v/>
      </c>
      <c r="M38" s="126">
        <f>M19+M6</f>
        <v/>
      </c>
      <c r="N38" s="126">
        <f>N19+N6</f>
        <v/>
      </c>
      <c r="O38" s="126">
        <f>O19+O6</f>
        <v/>
      </c>
      <c r="P38" s="126">
        <f>P19+P6</f>
        <v/>
      </c>
      <c r="Q38" s="126">
        <f>Q19+Q6</f>
        <v/>
      </c>
      <c r="R38" s="126">
        <f>R19+R6</f>
        <v/>
      </c>
      <c r="S38" s="126">
        <f>S19+S6</f>
        <v/>
      </c>
      <c r="T38" s="126">
        <f>T19+T6</f>
        <v/>
      </c>
      <c r="U38" s="126">
        <f>U19+U6</f>
        <v/>
      </c>
      <c r="V38" s="126">
        <f>V19+V6</f>
        <v/>
      </c>
      <c r="W38" s="126">
        <f>W19+W6</f>
        <v/>
      </c>
      <c r="X38" s="126">
        <f>X19+X6</f>
        <v/>
      </c>
      <c r="Y38" s="126">
        <f>Y19+Y6</f>
        <v/>
      </c>
      <c r="Z38" s="126">
        <f>Z19+Z6</f>
        <v/>
      </c>
      <c r="AA38" s="126">
        <f>AA19+AA6</f>
        <v/>
      </c>
      <c r="AB38" s="126">
        <f>AB19+AB6</f>
        <v/>
      </c>
      <c r="AC38" s="126">
        <f>AC19+AC6</f>
        <v/>
      </c>
      <c r="AD38" s="126">
        <f>AD19+AD6</f>
        <v/>
      </c>
      <c r="AE38" s="126">
        <f>AE19+AE6</f>
        <v/>
      </c>
      <c r="AF38" s="126">
        <f>AF19+AF6</f>
        <v/>
      </c>
      <c r="AG38" s="126">
        <f>AG19+AG6</f>
        <v/>
      </c>
      <c r="AH38" s="126">
        <f>AH19+AH6</f>
        <v/>
      </c>
      <c r="AI38" s="126">
        <f>AI19+AI6</f>
        <v/>
      </c>
      <c r="AJ38" s="126">
        <f>AJ19+AJ6</f>
        <v/>
      </c>
      <c r="AK38" s="126">
        <f>AK19+AK6</f>
        <v/>
      </c>
      <c r="AL38" s="126">
        <f>AL19+AL6</f>
        <v/>
      </c>
      <c r="AM38" s="126">
        <f>AM19+AM6</f>
        <v/>
      </c>
      <c r="AN38" s="126">
        <f>AN19+AN6</f>
        <v/>
      </c>
      <c r="AO38" s="126">
        <f>AO19+AO6</f>
        <v/>
      </c>
      <c r="AP38" s="126">
        <f>AP19+AP6</f>
        <v/>
      </c>
      <c r="AQ38" s="126">
        <f>AQ19+AQ6</f>
        <v/>
      </c>
      <c r="AR38" s="126">
        <f>AR19+AR6</f>
        <v/>
      </c>
      <c r="AS38" s="126">
        <f>AS19+AS6</f>
        <v/>
      </c>
      <c r="AT38" s="126">
        <f>AT19+AT6</f>
        <v/>
      </c>
      <c r="AU38" s="126">
        <f>AU19+AU6</f>
        <v/>
      </c>
      <c r="AV38" s="126">
        <f>AV19+AV6</f>
        <v/>
      </c>
      <c r="AW38" s="126">
        <f>AW19+AW6</f>
        <v/>
      </c>
      <c r="AX38" s="126">
        <f>AX19+AX6</f>
        <v/>
      </c>
      <c r="AY38" s="126">
        <f>AY19+AY6</f>
        <v/>
      </c>
      <c r="AZ38" s="126">
        <f>AZ19+AZ6</f>
        <v/>
      </c>
      <c r="BA38" s="126">
        <f>BA19+BA6</f>
        <v/>
      </c>
      <c r="BB38" s="126">
        <f>BB19+BB6</f>
        <v/>
      </c>
      <c r="BC38" s="156" t="n"/>
      <c r="BD38" s="126">
        <f>BD19+BD6</f>
        <v/>
      </c>
      <c r="BE38" s="126">
        <f>BE19+BE6</f>
        <v/>
      </c>
      <c r="BF38" s="126">
        <f>BF19+BF6</f>
        <v/>
      </c>
      <c r="BG38" s="126">
        <f>BG19+BG6</f>
        <v/>
      </c>
      <c r="BH38" s="126">
        <f>BH19+BH6</f>
        <v/>
      </c>
      <c r="BI38" s="156" t="n"/>
      <c r="BJ38" s="156" t="n"/>
      <c r="BK38" s="83" t="inlineStr">
        <is>
          <t>R&amp;D people + R&amp;D other. this is the line the P&amp;L reads</t>
        </is>
      </c>
      <c r="BL38" s="156" t="n"/>
      <c r="BM38" s="156" t="n"/>
    </row>
    <row r="39" ht="15.75" customHeight="1" s="349">
      <c r="A39" s="290" t="n"/>
      <c r="B39" s="8" t="inlineStr">
        <is>
          <t>Total S&amp;M</t>
        </is>
      </c>
      <c r="C39" s="214" t="n"/>
      <c r="D39" s="282" t="inlineStr">
        <is>
          <t>€</t>
        </is>
      </c>
      <c r="E39" s="214" t="n"/>
      <c r="F39" s="214" t="n"/>
      <c r="G39" s="126">
        <f>G26+G7</f>
        <v/>
      </c>
      <c r="H39" s="126">
        <f>H26+H7</f>
        <v/>
      </c>
      <c r="I39" s="126">
        <f>I26+I7</f>
        <v/>
      </c>
      <c r="J39" s="126">
        <f>J26+J7</f>
        <v/>
      </c>
      <c r="K39" s="126">
        <f>K26+K7</f>
        <v/>
      </c>
      <c r="L39" s="126">
        <f>L26+L7</f>
        <v/>
      </c>
      <c r="M39" s="126">
        <f>M26+M7</f>
        <v/>
      </c>
      <c r="N39" s="126">
        <f>N26+N7</f>
        <v/>
      </c>
      <c r="O39" s="126">
        <f>O26+O7</f>
        <v/>
      </c>
      <c r="P39" s="126">
        <f>P26+P7</f>
        <v/>
      </c>
      <c r="Q39" s="126">
        <f>Q26+Q7</f>
        <v/>
      </c>
      <c r="R39" s="126">
        <f>R26+R7</f>
        <v/>
      </c>
      <c r="S39" s="126">
        <f>S26+S7</f>
        <v/>
      </c>
      <c r="T39" s="126">
        <f>T26+T7</f>
        <v/>
      </c>
      <c r="U39" s="126">
        <f>U26+U7</f>
        <v/>
      </c>
      <c r="V39" s="126">
        <f>V26+V7</f>
        <v/>
      </c>
      <c r="W39" s="126">
        <f>W26+W7</f>
        <v/>
      </c>
      <c r="X39" s="126">
        <f>X26+X7</f>
        <v/>
      </c>
      <c r="Y39" s="126">
        <f>Y26+Y7</f>
        <v/>
      </c>
      <c r="Z39" s="126">
        <f>Z26+Z7</f>
        <v/>
      </c>
      <c r="AA39" s="126">
        <f>AA26+AA7</f>
        <v/>
      </c>
      <c r="AB39" s="126">
        <f>AB26+AB7</f>
        <v/>
      </c>
      <c r="AC39" s="126">
        <f>AC26+AC7</f>
        <v/>
      </c>
      <c r="AD39" s="126">
        <f>AD26+AD7</f>
        <v/>
      </c>
      <c r="AE39" s="126">
        <f>AE26+AE7</f>
        <v/>
      </c>
      <c r="AF39" s="126">
        <f>AF26+AF7</f>
        <v/>
      </c>
      <c r="AG39" s="126">
        <f>AG26+AG7</f>
        <v/>
      </c>
      <c r="AH39" s="126">
        <f>AH26+AH7</f>
        <v/>
      </c>
      <c r="AI39" s="126">
        <f>AI26+AI7</f>
        <v/>
      </c>
      <c r="AJ39" s="126">
        <f>AJ26+AJ7</f>
        <v/>
      </c>
      <c r="AK39" s="126">
        <f>AK26+AK7</f>
        <v/>
      </c>
      <c r="AL39" s="126">
        <f>AL26+AL7</f>
        <v/>
      </c>
      <c r="AM39" s="126">
        <f>AM26+AM7</f>
        <v/>
      </c>
      <c r="AN39" s="126">
        <f>AN26+AN7</f>
        <v/>
      </c>
      <c r="AO39" s="126">
        <f>AO26+AO7</f>
        <v/>
      </c>
      <c r="AP39" s="126">
        <f>AP26+AP7</f>
        <v/>
      </c>
      <c r="AQ39" s="126">
        <f>AQ26+AQ7</f>
        <v/>
      </c>
      <c r="AR39" s="126">
        <f>AR26+AR7</f>
        <v/>
      </c>
      <c r="AS39" s="126">
        <f>AS26+AS7</f>
        <v/>
      </c>
      <c r="AT39" s="126">
        <f>AT26+AT7</f>
        <v/>
      </c>
      <c r="AU39" s="126">
        <f>AU26+AU7</f>
        <v/>
      </c>
      <c r="AV39" s="126">
        <f>AV26+AV7</f>
        <v/>
      </c>
      <c r="AW39" s="126">
        <f>AW26+AW7</f>
        <v/>
      </c>
      <c r="AX39" s="126">
        <f>AX26+AX7</f>
        <v/>
      </c>
      <c r="AY39" s="126">
        <f>AY26+AY7</f>
        <v/>
      </c>
      <c r="AZ39" s="126">
        <f>AZ26+AZ7</f>
        <v/>
      </c>
      <c r="BA39" s="126">
        <f>BA26+BA7</f>
        <v/>
      </c>
      <c r="BB39" s="126">
        <f>BB26+BB7</f>
        <v/>
      </c>
      <c r="BC39" s="156" t="n"/>
      <c r="BD39" s="126">
        <f>BD26+BD7</f>
        <v/>
      </c>
      <c r="BE39" s="126">
        <f>BE26+BE7</f>
        <v/>
      </c>
      <c r="BF39" s="126">
        <f>BF26+BF7</f>
        <v/>
      </c>
      <c r="BG39" s="126">
        <f>BG26+BG7</f>
        <v/>
      </c>
      <c r="BH39" s="126">
        <f>BH26+BH7</f>
        <v/>
      </c>
      <c r="BI39" s="156" t="n"/>
      <c r="BJ39" s="156" t="n"/>
      <c r="BK39" s="83" t="inlineStr">
        <is>
          <t>S&amp;M people + S&amp;M other. this is the line the P&amp;L reads</t>
        </is>
      </c>
      <c r="BL39" s="156" t="n"/>
      <c r="BM39" s="156" t="n"/>
    </row>
    <row r="40" ht="15.75" customHeight="1" s="349">
      <c r="A40" s="290" t="n"/>
      <c r="B40" s="8" t="inlineStr">
        <is>
          <t>Total G&amp;A</t>
        </is>
      </c>
      <c r="C40" s="214" t="n"/>
      <c r="D40" s="282" t="inlineStr">
        <is>
          <t>€</t>
        </is>
      </c>
      <c r="E40" s="214" t="n"/>
      <c r="F40" s="214" t="n"/>
      <c r="G40" s="126">
        <f>G32+G8</f>
        <v/>
      </c>
      <c r="H40" s="126">
        <f>H32+H8</f>
        <v/>
      </c>
      <c r="I40" s="126">
        <f>I32+I8</f>
        <v/>
      </c>
      <c r="J40" s="126">
        <f>J32+J8</f>
        <v/>
      </c>
      <c r="K40" s="126">
        <f>K32+K8</f>
        <v/>
      </c>
      <c r="L40" s="126">
        <f>L32+L8</f>
        <v/>
      </c>
      <c r="M40" s="126">
        <f>M32+M8</f>
        <v/>
      </c>
      <c r="N40" s="126">
        <f>N32+N8</f>
        <v/>
      </c>
      <c r="O40" s="126">
        <f>O32+O8</f>
        <v/>
      </c>
      <c r="P40" s="126">
        <f>P32+P8</f>
        <v/>
      </c>
      <c r="Q40" s="126">
        <f>Q32+Q8</f>
        <v/>
      </c>
      <c r="R40" s="126">
        <f>R32+R8</f>
        <v/>
      </c>
      <c r="S40" s="126">
        <f>S32+S8</f>
        <v/>
      </c>
      <c r="T40" s="126">
        <f>T32+T8</f>
        <v/>
      </c>
      <c r="U40" s="126">
        <f>U32+U8</f>
        <v/>
      </c>
      <c r="V40" s="126">
        <f>V32+V8</f>
        <v/>
      </c>
      <c r="W40" s="126">
        <f>W32+W8</f>
        <v/>
      </c>
      <c r="X40" s="126">
        <f>X32+X8</f>
        <v/>
      </c>
      <c r="Y40" s="126">
        <f>Y32+Y8</f>
        <v/>
      </c>
      <c r="Z40" s="126">
        <f>Z32+Z8</f>
        <v/>
      </c>
      <c r="AA40" s="126">
        <f>AA32+AA8</f>
        <v/>
      </c>
      <c r="AB40" s="126">
        <f>AB32+AB8</f>
        <v/>
      </c>
      <c r="AC40" s="126">
        <f>AC32+AC8</f>
        <v/>
      </c>
      <c r="AD40" s="126">
        <f>AD32+AD8</f>
        <v/>
      </c>
      <c r="AE40" s="126">
        <f>AE32+AE8</f>
        <v/>
      </c>
      <c r="AF40" s="126">
        <f>AF32+AF8</f>
        <v/>
      </c>
      <c r="AG40" s="126">
        <f>AG32+AG8</f>
        <v/>
      </c>
      <c r="AH40" s="126">
        <f>AH32+AH8</f>
        <v/>
      </c>
      <c r="AI40" s="126">
        <f>AI32+AI8</f>
        <v/>
      </c>
      <c r="AJ40" s="126">
        <f>AJ32+AJ8</f>
        <v/>
      </c>
      <c r="AK40" s="126">
        <f>AK32+AK8</f>
        <v/>
      </c>
      <c r="AL40" s="126">
        <f>AL32+AL8</f>
        <v/>
      </c>
      <c r="AM40" s="126">
        <f>AM32+AM8</f>
        <v/>
      </c>
      <c r="AN40" s="126">
        <f>AN32+AN8</f>
        <v/>
      </c>
      <c r="AO40" s="126">
        <f>AO32+AO8</f>
        <v/>
      </c>
      <c r="AP40" s="126">
        <f>AP32+AP8</f>
        <v/>
      </c>
      <c r="AQ40" s="126">
        <f>AQ32+AQ8</f>
        <v/>
      </c>
      <c r="AR40" s="126">
        <f>AR32+AR8</f>
        <v/>
      </c>
      <c r="AS40" s="126">
        <f>AS32+AS8</f>
        <v/>
      </c>
      <c r="AT40" s="126">
        <f>AT32+AT8</f>
        <v/>
      </c>
      <c r="AU40" s="126">
        <f>AU32+AU8</f>
        <v/>
      </c>
      <c r="AV40" s="126">
        <f>AV32+AV8</f>
        <v/>
      </c>
      <c r="AW40" s="126">
        <f>AW32+AW8</f>
        <v/>
      </c>
      <c r="AX40" s="126">
        <f>AX32+AX8</f>
        <v/>
      </c>
      <c r="AY40" s="126">
        <f>AY32+AY8</f>
        <v/>
      </c>
      <c r="AZ40" s="126">
        <f>AZ32+AZ8</f>
        <v/>
      </c>
      <c r="BA40" s="126">
        <f>BA32+BA8</f>
        <v/>
      </c>
      <c r="BB40" s="126">
        <f>BB32+BB8</f>
        <v/>
      </c>
      <c r="BC40" s="156" t="n"/>
      <c r="BD40" s="126">
        <f>BD32+BD8</f>
        <v/>
      </c>
      <c r="BE40" s="126">
        <f>BE32+BE8</f>
        <v/>
      </c>
      <c r="BF40" s="126">
        <f>BF32+BF8</f>
        <v/>
      </c>
      <c r="BG40" s="126">
        <f>BG32+BG8</f>
        <v/>
      </c>
      <c r="BH40" s="126">
        <f>BH32+BH8</f>
        <v/>
      </c>
      <c r="BI40" s="156" t="n"/>
      <c r="BJ40" s="156" t="n"/>
      <c r="BK40" s="83" t="inlineStr">
        <is>
          <t>G&amp;A people + G&amp;A other. this is the line the P&amp;L reads</t>
        </is>
      </c>
      <c r="BL40" s="156" t="n"/>
      <c r="BM40" s="156" t="n"/>
    </row>
    <row r="41" ht="15.75" customHeight="1" s="349">
      <c r="A41" s="303" t="n"/>
      <c r="B41" s="303" t="inlineStr">
        <is>
          <t>R&amp;D % of Total OPEX</t>
        </is>
      </c>
      <c r="C41" s="303" t="n"/>
      <c r="D41" s="303" t="n"/>
      <c r="E41" s="303" t="n"/>
      <c r="F41" s="303" t="n"/>
      <c r="G41" s="303" t="n"/>
      <c r="H41" s="303" t="n"/>
      <c r="I41" s="303" t="n"/>
      <c r="J41" s="303" t="n"/>
      <c r="K41" s="303" t="n"/>
      <c r="L41" s="303" t="n"/>
      <c r="M41" s="303" t="n"/>
      <c r="N41" s="303" t="n"/>
      <c r="O41" s="303" t="n"/>
      <c r="P41" s="303" t="n"/>
      <c r="Q41" s="303" t="n"/>
      <c r="R41" s="303" t="n"/>
      <c r="S41" s="304">
        <f>S38/S$36</f>
        <v/>
      </c>
      <c r="T41" s="304">
        <f>T38/T$36</f>
        <v/>
      </c>
      <c r="U41" s="304">
        <f>U38/U$36</f>
        <v/>
      </c>
      <c r="V41" s="304">
        <f>V38/V$36</f>
        <v/>
      </c>
      <c r="W41" s="304">
        <f>W38/W$36</f>
        <v/>
      </c>
      <c r="X41" s="304">
        <f>X38/X$36</f>
        <v/>
      </c>
      <c r="Y41" s="304">
        <f>Y38/Y$36</f>
        <v/>
      </c>
      <c r="Z41" s="304">
        <f>Z38/Z$36</f>
        <v/>
      </c>
      <c r="AA41" s="304">
        <f>AA38/AA$36</f>
        <v/>
      </c>
      <c r="AB41" s="304">
        <f>AB38/AB$36</f>
        <v/>
      </c>
      <c r="AC41" s="304">
        <f>AC38/AC$36</f>
        <v/>
      </c>
      <c r="AD41" s="304">
        <f>AD38/AD$36</f>
        <v/>
      </c>
      <c r="AE41" s="304">
        <f>AE38/AE$36</f>
        <v/>
      </c>
      <c r="AF41" s="304">
        <f>AF38/AF$36</f>
        <v/>
      </c>
      <c r="AG41" s="304">
        <f>AG38/AG$36</f>
        <v/>
      </c>
      <c r="AH41" s="304">
        <f>AH38/AH$36</f>
        <v/>
      </c>
      <c r="AI41" s="304">
        <f>AI38/AI$36</f>
        <v/>
      </c>
      <c r="AJ41" s="304">
        <f>AJ38/AJ$36</f>
        <v/>
      </c>
      <c r="AK41" s="304">
        <f>AK38/AK$36</f>
        <v/>
      </c>
      <c r="AL41" s="304">
        <f>AL38/AL$36</f>
        <v/>
      </c>
      <c r="AM41" s="304">
        <f>AM38/AM$36</f>
        <v/>
      </c>
      <c r="AN41" s="304">
        <f>AN38/AN$36</f>
        <v/>
      </c>
      <c r="AO41" s="304">
        <f>AO38/AO$36</f>
        <v/>
      </c>
      <c r="AP41" s="304">
        <f>AP38/AP$36</f>
        <v/>
      </c>
      <c r="AQ41" s="304">
        <f>AQ38/AQ$36</f>
        <v/>
      </c>
      <c r="AR41" s="304">
        <f>AR38/AR$36</f>
        <v/>
      </c>
      <c r="AS41" s="304">
        <f>AS38/AS$36</f>
        <v/>
      </c>
      <c r="AT41" s="304">
        <f>AT38/AT$36</f>
        <v/>
      </c>
      <c r="AU41" s="304">
        <f>AU38/AU$36</f>
        <v/>
      </c>
      <c r="AV41" s="304">
        <f>AV38/AV$36</f>
        <v/>
      </c>
      <c r="AW41" s="304">
        <f>AW38/AW$36</f>
        <v/>
      </c>
      <c r="AX41" s="304">
        <f>AX38/AX$36</f>
        <v/>
      </c>
      <c r="AY41" s="304">
        <f>AY38/AY$36</f>
        <v/>
      </c>
      <c r="AZ41" s="304">
        <f>AZ38/AZ$36</f>
        <v/>
      </c>
      <c r="BA41" s="304">
        <f>BA38/BA$36</f>
        <v/>
      </c>
      <c r="BB41" s="304">
        <f>BB38/BB$36</f>
        <v/>
      </c>
      <c r="BC41" s="233" t="n"/>
      <c r="BD41" s="304">
        <f>BD38/BD$36</f>
        <v/>
      </c>
      <c r="BE41" s="304">
        <f>BE38/BE$36</f>
        <v/>
      </c>
      <c r="BF41" s="304">
        <f>BF38/BF$36</f>
        <v/>
      </c>
      <c r="BG41" s="304">
        <f>BG38/BG$36</f>
        <v/>
      </c>
      <c r="BH41" s="304">
        <f>BH38/BH$36</f>
        <v/>
      </c>
      <c r="BI41" s="233" t="n"/>
      <c r="BJ41" s="233" t="n"/>
      <c r="BK41" s="83" t="inlineStr">
        <is>
          <t>R&amp;D share of total operating costs</t>
        </is>
      </c>
      <c r="BL41" s="233" t="n"/>
      <c r="BM41" s="233" t="n"/>
    </row>
    <row r="42" ht="15.75" customHeight="1" s="349">
      <c r="A42" s="303" t="n"/>
      <c r="B42" s="303" t="inlineStr">
        <is>
          <t>S&amp;M % of Total OPEX</t>
        </is>
      </c>
      <c r="C42" s="303" t="n"/>
      <c r="D42" s="303" t="n"/>
      <c r="E42" s="303" t="n"/>
      <c r="F42" s="303" t="n"/>
      <c r="G42" s="303" t="n"/>
      <c r="H42" s="303" t="n"/>
      <c r="I42" s="303" t="n"/>
      <c r="J42" s="303" t="n"/>
      <c r="K42" s="303" t="n"/>
      <c r="L42" s="303" t="n"/>
      <c r="M42" s="303" t="n"/>
      <c r="N42" s="303" t="n"/>
      <c r="O42" s="303" t="n"/>
      <c r="P42" s="303" t="n"/>
      <c r="Q42" s="303" t="n"/>
      <c r="R42" s="303" t="n"/>
      <c r="S42" s="304">
        <f>S39/S$36</f>
        <v/>
      </c>
      <c r="T42" s="304">
        <f>T39/T$36</f>
        <v/>
      </c>
      <c r="U42" s="304">
        <f>U39/U$36</f>
        <v/>
      </c>
      <c r="V42" s="304">
        <f>V39/V$36</f>
        <v/>
      </c>
      <c r="W42" s="304">
        <f>W39/W$36</f>
        <v/>
      </c>
      <c r="X42" s="304">
        <f>X39/X$36</f>
        <v/>
      </c>
      <c r="Y42" s="304">
        <f>Y39/Y$36</f>
        <v/>
      </c>
      <c r="Z42" s="304">
        <f>Z39/Z$36</f>
        <v/>
      </c>
      <c r="AA42" s="304">
        <f>AA39/AA$36</f>
        <v/>
      </c>
      <c r="AB42" s="304">
        <f>AB39/AB$36</f>
        <v/>
      </c>
      <c r="AC42" s="304">
        <f>AC39/AC$36</f>
        <v/>
      </c>
      <c r="AD42" s="304">
        <f>AD39/AD$36</f>
        <v/>
      </c>
      <c r="AE42" s="304">
        <f>AE39/AE$36</f>
        <v/>
      </c>
      <c r="AF42" s="304">
        <f>AF39/AF$36</f>
        <v/>
      </c>
      <c r="AG42" s="304">
        <f>AG39/AG$36</f>
        <v/>
      </c>
      <c r="AH42" s="304">
        <f>AH39/AH$36</f>
        <v/>
      </c>
      <c r="AI42" s="304">
        <f>AI39/AI$36</f>
        <v/>
      </c>
      <c r="AJ42" s="304">
        <f>AJ39/AJ$36</f>
        <v/>
      </c>
      <c r="AK42" s="304">
        <f>AK39/AK$36</f>
        <v/>
      </c>
      <c r="AL42" s="304">
        <f>AL39/AL$36</f>
        <v/>
      </c>
      <c r="AM42" s="304">
        <f>AM39/AM$36</f>
        <v/>
      </c>
      <c r="AN42" s="304">
        <f>AN39/AN$36</f>
        <v/>
      </c>
      <c r="AO42" s="304">
        <f>AO39/AO$36</f>
        <v/>
      </c>
      <c r="AP42" s="304">
        <f>AP39/AP$36</f>
        <v/>
      </c>
      <c r="AQ42" s="304">
        <f>AQ39/AQ$36</f>
        <v/>
      </c>
      <c r="AR42" s="304">
        <f>AR39/AR$36</f>
        <v/>
      </c>
      <c r="AS42" s="304">
        <f>AS39/AS$36</f>
        <v/>
      </c>
      <c r="AT42" s="304">
        <f>AT39/AT$36</f>
        <v/>
      </c>
      <c r="AU42" s="304">
        <f>AU39/AU$36</f>
        <v/>
      </c>
      <c r="AV42" s="304">
        <f>AV39/AV$36</f>
        <v/>
      </c>
      <c r="AW42" s="304">
        <f>AW39/AW$36</f>
        <v/>
      </c>
      <c r="AX42" s="304">
        <f>AX39/AX$36</f>
        <v/>
      </c>
      <c r="AY42" s="304">
        <f>AY39/AY$36</f>
        <v/>
      </c>
      <c r="AZ42" s="304">
        <f>AZ39/AZ$36</f>
        <v/>
      </c>
      <c r="BA42" s="304">
        <f>BA39/BA$36</f>
        <v/>
      </c>
      <c r="BB42" s="304">
        <f>BB39/BB$36</f>
        <v/>
      </c>
      <c r="BC42" s="233" t="n"/>
      <c r="BD42" s="304">
        <f>BD39/BD$36</f>
        <v/>
      </c>
      <c r="BE42" s="304">
        <f>BE39/BE$36</f>
        <v/>
      </c>
      <c r="BF42" s="304">
        <f>BF39/BF$36</f>
        <v/>
      </c>
      <c r="BG42" s="304">
        <f>BG39/BG$36</f>
        <v/>
      </c>
      <c r="BH42" s="304">
        <f>BH39/BH$36</f>
        <v/>
      </c>
      <c r="BI42" s="233" t="n"/>
      <c r="BJ42" s="233" t="n"/>
      <c r="BK42" s="83" t="inlineStr">
        <is>
          <t>S&amp;M share of total operating costs</t>
        </is>
      </c>
      <c r="BL42" s="233" t="n"/>
      <c r="BM42" s="233" t="n"/>
    </row>
    <row r="43" ht="15.75" customHeight="1" s="349">
      <c r="A43" s="303" t="n"/>
      <c r="B43" s="303" t="inlineStr">
        <is>
          <t>G&amp;A % of Total OPEX</t>
        </is>
      </c>
      <c r="C43" s="303" t="n"/>
      <c r="D43" s="303" t="n"/>
      <c r="E43" s="303" t="n"/>
      <c r="F43" s="303" t="n"/>
      <c r="G43" s="303" t="n"/>
      <c r="H43" s="303" t="n"/>
      <c r="I43" s="303" t="n"/>
      <c r="J43" s="303" t="n"/>
      <c r="K43" s="303" t="n"/>
      <c r="L43" s="303" t="n"/>
      <c r="M43" s="303" t="n"/>
      <c r="N43" s="303" t="n"/>
      <c r="O43" s="303" t="n"/>
      <c r="P43" s="303" t="n"/>
      <c r="Q43" s="303" t="n"/>
      <c r="R43" s="303" t="n"/>
      <c r="S43" s="304">
        <f>S40/S$36</f>
        <v/>
      </c>
      <c r="T43" s="304">
        <f>T40/T$36</f>
        <v/>
      </c>
      <c r="U43" s="304">
        <f>U40/U$36</f>
        <v/>
      </c>
      <c r="V43" s="304">
        <f>V40/V$36</f>
        <v/>
      </c>
      <c r="W43" s="304">
        <f>W40/W$36</f>
        <v/>
      </c>
      <c r="X43" s="304">
        <f>X40/X$36</f>
        <v/>
      </c>
      <c r="Y43" s="304">
        <f>Y40/Y$36</f>
        <v/>
      </c>
      <c r="Z43" s="304">
        <f>Z40/Z$36</f>
        <v/>
      </c>
      <c r="AA43" s="304">
        <f>AA40/AA$36</f>
        <v/>
      </c>
      <c r="AB43" s="304">
        <f>AB40/AB$36</f>
        <v/>
      </c>
      <c r="AC43" s="304">
        <f>AC40/AC$36</f>
        <v/>
      </c>
      <c r="AD43" s="304">
        <f>AD40/AD$36</f>
        <v/>
      </c>
      <c r="AE43" s="304">
        <f>AE40/AE$36</f>
        <v/>
      </c>
      <c r="AF43" s="304">
        <f>AF40/AF$36</f>
        <v/>
      </c>
      <c r="AG43" s="304">
        <f>AG40/AG$36</f>
        <v/>
      </c>
      <c r="AH43" s="304">
        <f>AH40/AH$36</f>
        <v/>
      </c>
      <c r="AI43" s="304">
        <f>AI40/AI$36</f>
        <v/>
      </c>
      <c r="AJ43" s="304">
        <f>AJ40/AJ$36</f>
        <v/>
      </c>
      <c r="AK43" s="304">
        <f>AK40/AK$36</f>
        <v/>
      </c>
      <c r="AL43" s="304">
        <f>AL40/AL$36</f>
        <v/>
      </c>
      <c r="AM43" s="304">
        <f>AM40/AM$36</f>
        <v/>
      </c>
      <c r="AN43" s="304">
        <f>AN40/AN$36</f>
        <v/>
      </c>
      <c r="AO43" s="304">
        <f>AO40/AO$36</f>
        <v/>
      </c>
      <c r="AP43" s="304">
        <f>AP40/AP$36</f>
        <v/>
      </c>
      <c r="AQ43" s="304">
        <f>AQ40/AQ$36</f>
        <v/>
      </c>
      <c r="AR43" s="304">
        <f>AR40/AR$36</f>
        <v/>
      </c>
      <c r="AS43" s="304">
        <f>AS40/AS$36</f>
        <v/>
      </c>
      <c r="AT43" s="304">
        <f>AT40/AT$36</f>
        <v/>
      </c>
      <c r="AU43" s="304">
        <f>AU40/AU$36</f>
        <v/>
      </c>
      <c r="AV43" s="304">
        <f>AV40/AV$36</f>
        <v/>
      </c>
      <c r="AW43" s="304">
        <f>AW40/AW$36</f>
        <v/>
      </c>
      <c r="AX43" s="304">
        <f>AX40/AX$36</f>
        <v/>
      </c>
      <c r="AY43" s="304">
        <f>AY40/AY$36</f>
        <v/>
      </c>
      <c r="AZ43" s="304">
        <f>AZ40/AZ$36</f>
        <v/>
      </c>
      <c r="BA43" s="304">
        <f>BA40/BA$36</f>
        <v/>
      </c>
      <c r="BB43" s="304">
        <f>BB40/BB$36</f>
        <v/>
      </c>
      <c r="BC43" s="233" t="n"/>
      <c r="BD43" s="304">
        <f>BD40/BD$36</f>
        <v/>
      </c>
      <c r="BE43" s="304">
        <f>BE40/BE$36</f>
        <v/>
      </c>
      <c r="BF43" s="304">
        <f>BF40/BF$36</f>
        <v/>
      </c>
      <c r="BG43" s="304">
        <f>BG40/BG$36</f>
        <v/>
      </c>
      <c r="BH43" s="304">
        <f>BH40/BH$36</f>
        <v/>
      </c>
      <c r="BI43" s="233" t="n"/>
      <c r="BJ43" s="233" t="n"/>
      <c r="BK43" s="83" t="inlineStr">
        <is>
          <t>G&amp;A share of total operating costs</t>
        </is>
      </c>
      <c r="BL43" s="233" t="n"/>
      <c r="BM43" s="233" t="n"/>
    </row>
    <row r="44" ht="15.75" customHeight="1" s="349">
      <c r="A44" s="308" t="n"/>
      <c r="B44" s="308" t="n"/>
      <c r="C44" s="308" t="n"/>
      <c r="D44" s="308" t="n"/>
      <c r="E44" s="308" t="n"/>
      <c r="F44" s="308" t="n"/>
      <c r="G44" s="308" t="n"/>
      <c r="H44" s="308" t="n"/>
      <c r="I44" s="308" t="n"/>
      <c r="J44" s="308" t="n"/>
      <c r="K44" s="308" t="n"/>
      <c r="L44" s="308" t="n"/>
      <c r="M44" s="308" t="n"/>
      <c r="N44" s="308" t="n"/>
      <c r="O44" s="308" t="n"/>
      <c r="P44" s="308" t="n"/>
      <c r="Q44" s="308" t="n"/>
      <c r="R44" s="308" t="n"/>
      <c r="S44" s="308" t="n"/>
      <c r="T44" s="308" t="n"/>
      <c r="U44" s="308" t="n"/>
      <c r="V44" s="308" t="n"/>
      <c r="W44" s="308" t="n"/>
      <c r="X44" s="308" t="n"/>
      <c r="Y44" s="308" t="n"/>
      <c r="Z44" s="308" t="n"/>
      <c r="AA44" s="308" t="n"/>
      <c r="AB44" s="308" t="n"/>
      <c r="AC44" s="308" t="n"/>
      <c r="AD44" s="308" t="n"/>
      <c r="AE44" s="308" t="n"/>
      <c r="AF44" s="308" t="n"/>
      <c r="AG44" s="308" t="n"/>
      <c r="AH44" s="308" t="n"/>
      <c r="AI44" s="308" t="n"/>
      <c r="AJ44" s="308" t="n"/>
      <c r="AK44" s="308" t="n"/>
      <c r="AL44" s="308" t="n"/>
      <c r="AM44" s="308" t="n"/>
      <c r="AN44" s="308" t="n"/>
      <c r="AO44" s="308" t="n"/>
      <c r="AP44" s="308" t="n"/>
      <c r="AQ44" s="308" t="n"/>
      <c r="AR44" s="308" t="n"/>
      <c r="AS44" s="308" t="n"/>
      <c r="AT44" s="308" t="n"/>
      <c r="AU44" s="308" t="n"/>
      <c r="AV44" s="308" t="n"/>
      <c r="AW44" s="308" t="n"/>
      <c r="AX44" s="308" t="n"/>
      <c r="AY44" s="308" t="n"/>
      <c r="AZ44" s="308" t="n"/>
      <c r="BA44" s="308" t="n"/>
      <c r="BB44" s="308" t="n"/>
      <c r="BC44" s="233" t="n"/>
      <c r="BD44" s="308" t="n"/>
      <c r="BE44" s="308" t="n"/>
      <c r="BF44" s="308" t="n"/>
      <c r="BG44" s="308" t="n"/>
      <c r="BH44" s="308" t="n"/>
      <c r="BI44" s="233" t="n"/>
      <c r="BJ44" s="233" t="n"/>
      <c r="BK44" s="233" t="n"/>
      <c r="BL44" s="233" t="n"/>
      <c r="BM44" s="233" t="n"/>
    </row>
    <row r="45" ht="15.75" customHeight="1" s="349">
      <c r="A45" s="31" t="n"/>
      <c r="B45" s="307" t="n"/>
      <c r="C45" s="307" t="n"/>
      <c r="D45" s="146" t="n"/>
      <c r="E45" s="307" t="n"/>
      <c r="F45" s="307" t="n"/>
      <c r="G45" s="233" t="n"/>
      <c r="H45" s="233" t="n"/>
      <c r="I45" s="233" t="n"/>
      <c r="J45" s="233" t="n"/>
      <c r="K45" s="233" t="n"/>
      <c r="L45" s="233" t="n"/>
      <c r="M45" s="233" t="n"/>
      <c r="N45" s="233" t="n"/>
      <c r="O45" s="233" t="n"/>
      <c r="P45" s="233" t="n"/>
      <c r="Q45" s="233" t="n"/>
      <c r="R45" s="233" t="n"/>
      <c r="S45" s="233" t="n"/>
      <c r="T45" s="233" t="n"/>
      <c r="U45" s="233" t="n"/>
      <c r="V45" s="233" t="n"/>
      <c r="W45" s="233" t="n"/>
      <c r="X45" s="233" t="n"/>
      <c r="Y45" s="233" t="n"/>
      <c r="Z45" s="233" t="n"/>
      <c r="AA45" s="233" t="n"/>
      <c r="AB45" s="233" t="n"/>
      <c r="AC45" s="233" t="n"/>
      <c r="AD45" s="233" t="n"/>
      <c r="AE45" s="233" t="n"/>
      <c r="AF45" s="233" t="n"/>
      <c r="AG45" s="233" t="n"/>
      <c r="AH45" s="233" t="n"/>
      <c r="AI45" s="233" t="n"/>
      <c r="AJ45" s="233" t="n"/>
      <c r="AK45" s="233" t="n"/>
      <c r="AL45" s="233" t="n"/>
      <c r="AM45" s="233" t="n"/>
      <c r="AN45" s="233" t="n"/>
      <c r="AO45" s="233" t="n"/>
      <c r="AP45" s="233" t="n"/>
      <c r="AQ45" s="233" t="n"/>
      <c r="AR45" s="233" t="n"/>
      <c r="AS45" s="233" t="n"/>
      <c r="AT45" s="233" t="n"/>
      <c r="AU45" s="233" t="n"/>
      <c r="AV45" s="233" t="n"/>
      <c r="AW45" s="233" t="n"/>
      <c r="AX45" s="233" t="n"/>
      <c r="AY45" s="233" t="n"/>
      <c r="AZ45" s="233" t="n"/>
      <c r="BA45" s="233" t="n"/>
      <c r="BB45" s="233" t="n"/>
      <c r="BC45" s="233" t="n"/>
      <c r="BD45" s="233" t="n"/>
      <c r="BE45" s="233" t="n"/>
      <c r="BF45" s="233" t="n"/>
      <c r="BG45" s="233" t="n"/>
      <c r="BH45" s="233" t="n"/>
      <c r="BI45" s="233" t="n"/>
      <c r="BJ45" s="233" t="n"/>
      <c r="BK45" s="233" t="n"/>
      <c r="BL45" s="233" t="n"/>
      <c r="BM45" s="233" t="n"/>
    </row>
    <row r="46" ht="15.75" customHeight="1" s="349">
      <c r="A46" s="31" t="n"/>
      <c r="B46" s="307" t="n"/>
      <c r="C46" s="307" t="n"/>
      <c r="D46" s="146" t="n"/>
      <c r="E46" s="307" t="n"/>
      <c r="F46" s="307" t="n"/>
      <c r="G46" s="307" t="n"/>
      <c r="H46" s="307" t="n"/>
      <c r="I46" s="307" t="n"/>
      <c r="J46" s="307" t="n"/>
      <c r="K46" s="307" t="n"/>
      <c r="L46" s="307" t="n"/>
      <c r="M46" s="307" t="n"/>
      <c r="N46" s="307" t="n"/>
      <c r="O46" s="233" t="n"/>
      <c r="P46" s="233" t="n"/>
      <c r="Q46" s="233" t="n"/>
      <c r="R46" s="233" t="n"/>
      <c r="S46" s="233" t="n"/>
      <c r="T46" s="233" t="n"/>
      <c r="U46" s="233" t="n"/>
      <c r="V46" s="233" t="n"/>
      <c r="W46" s="233" t="n"/>
      <c r="X46" s="233" t="n"/>
      <c r="Y46" s="233" t="n"/>
      <c r="Z46" s="233" t="n"/>
      <c r="AA46" s="233" t="n"/>
      <c r="AB46" s="233" t="n"/>
      <c r="AC46" s="233" t="n"/>
      <c r="AD46" s="233" t="n"/>
      <c r="AE46" s="233" t="n"/>
      <c r="AF46" s="233" t="n"/>
      <c r="AG46" s="233" t="n"/>
      <c r="AH46" s="233" t="n"/>
      <c r="AI46" s="233" t="n"/>
      <c r="AJ46" s="233" t="n"/>
      <c r="AK46" s="233" t="n"/>
      <c r="AL46" s="233" t="n"/>
      <c r="AM46" s="233" t="n"/>
      <c r="AN46" s="233" t="n"/>
      <c r="AO46" s="233" t="n"/>
      <c r="AP46" s="233" t="n"/>
      <c r="AQ46" s="233" t="n"/>
      <c r="AR46" s="233" t="n"/>
      <c r="AS46" s="233" t="n"/>
      <c r="AT46" s="233" t="n"/>
      <c r="AU46" s="233" t="n"/>
      <c r="AV46" s="233" t="n"/>
      <c r="AW46" s="233" t="n"/>
      <c r="AX46" s="233" t="n"/>
      <c r="AY46" s="233" t="n"/>
      <c r="AZ46" s="233" t="n"/>
      <c r="BA46" s="233" t="n"/>
      <c r="BB46" s="233" t="n"/>
      <c r="BC46" s="233" t="n"/>
      <c r="BD46" s="233" t="n"/>
      <c r="BE46" s="233" t="n"/>
      <c r="BF46" s="233" t="n"/>
      <c r="BG46" s="233" t="n"/>
      <c r="BH46" s="233" t="n"/>
      <c r="BI46" s="233" t="n"/>
      <c r="BJ46" s="233" t="n"/>
      <c r="BK46" s="233" t="n"/>
      <c r="BL46" s="233" t="n"/>
      <c r="BM46" s="233" t="n"/>
    </row>
    <row r="47" ht="15.75" customHeight="1" s="349">
      <c r="A47" s="31" t="n"/>
      <c r="B47" s="307" t="n"/>
      <c r="C47" s="307" t="n"/>
      <c r="D47" s="146" t="n"/>
      <c r="E47" s="307" t="n"/>
      <c r="F47" s="307" t="n"/>
      <c r="G47" s="307" t="n"/>
      <c r="H47" s="307" t="n"/>
      <c r="I47" s="307" t="n"/>
      <c r="J47" s="307" t="n"/>
      <c r="K47" s="307" t="n"/>
      <c r="L47" s="307" t="n"/>
      <c r="M47" s="307" t="n"/>
      <c r="N47" s="307" t="n"/>
      <c r="O47" s="233" t="n"/>
      <c r="P47" s="233" t="n"/>
      <c r="Q47" s="233" t="n"/>
      <c r="R47" s="233" t="n"/>
      <c r="S47" s="233" t="n"/>
      <c r="T47" s="233" t="n"/>
      <c r="U47" s="233" t="n"/>
      <c r="V47" s="233" t="n"/>
      <c r="W47" s="233" t="n"/>
      <c r="X47" s="233" t="n"/>
      <c r="Y47" s="233" t="n"/>
      <c r="Z47" s="233" t="n"/>
      <c r="AA47" s="233" t="n"/>
      <c r="AB47" s="233" t="n"/>
      <c r="AC47" s="233" t="n"/>
      <c r="AD47" s="233" t="n"/>
      <c r="AE47" s="233" t="n"/>
      <c r="AF47" s="233" t="n"/>
      <c r="AG47" s="233" t="n"/>
      <c r="AH47" s="233" t="n"/>
      <c r="AI47" s="233" t="n"/>
      <c r="AJ47" s="233" t="n"/>
      <c r="AK47" s="233" t="n"/>
      <c r="AL47" s="233" t="n"/>
      <c r="AM47" s="233" t="n"/>
      <c r="AN47" s="233" t="n"/>
      <c r="AO47" s="233" t="n"/>
      <c r="AP47" s="233" t="n"/>
      <c r="AQ47" s="233" t="n"/>
      <c r="AR47" s="233" t="n"/>
      <c r="AS47" s="233" t="n"/>
      <c r="AT47" s="233" t="n"/>
      <c r="AU47" s="233" t="n"/>
      <c r="AV47" s="233" t="n"/>
      <c r="AW47" s="233" t="n"/>
      <c r="AX47" s="233" t="n"/>
      <c r="AY47" s="233" t="n"/>
      <c r="AZ47" s="233" t="n"/>
      <c r="BA47" s="233" t="n"/>
      <c r="BB47" s="233" t="n"/>
      <c r="BC47" s="233" t="n"/>
      <c r="BD47" s="233" t="n"/>
      <c r="BE47" s="233" t="n"/>
      <c r="BF47" s="233" t="n"/>
      <c r="BG47" s="233" t="n"/>
      <c r="BH47" s="233" t="n"/>
      <c r="BI47" s="233" t="n"/>
      <c r="BJ47" s="233" t="n"/>
      <c r="BK47" s="233" t="n"/>
      <c r="BL47" s="233" t="n"/>
      <c r="BM47" s="233" t="n"/>
    </row>
    <row r="48" ht="15.75" customHeight="1" s="349">
      <c r="A48" s="31" t="n"/>
      <c r="B48" s="307" t="n"/>
      <c r="C48" s="307" t="n"/>
      <c r="D48" s="146" t="n"/>
      <c r="E48" s="307" t="n"/>
      <c r="F48" s="307" t="n"/>
      <c r="G48" s="307" t="n"/>
      <c r="H48" s="307" t="n"/>
      <c r="I48" s="307" t="n"/>
      <c r="J48" s="307" t="n"/>
      <c r="K48" s="307" t="n"/>
      <c r="L48" s="307" t="n"/>
      <c r="M48" s="307" t="n"/>
      <c r="N48" s="307" t="n"/>
      <c r="O48" s="233" t="n"/>
      <c r="P48" s="233" t="n"/>
      <c r="Q48" s="233" t="n"/>
      <c r="R48" s="233" t="n"/>
      <c r="S48" s="233" t="n"/>
      <c r="T48" s="233" t="n"/>
      <c r="U48" s="233" t="n"/>
      <c r="V48" s="233" t="n"/>
      <c r="W48" s="233" t="n"/>
      <c r="X48" s="233" t="n"/>
      <c r="Y48" s="233" t="n"/>
      <c r="Z48" s="233" t="n"/>
      <c r="AA48" s="233" t="n"/>
      <c r="AB48" s="233" t="n"/>
      <c r="AC48" s="233" t="n"/>
      <c r="AD48" s="233" t="n"/>
      <c r="AE48" s="233" t="n"/>
      <c r="AF48" s="233" t="n"/>
      <c r="AG48" s="233" t="n"/>
      <c r="AH48" s="233" t="n"/>
      <c r="AI48" s="233" t="n"/>
      <c r="AJ48" s="233" t="n"/>
      <c r="AK48" s="233" t="n"/>
      <c r="AL48" s="233" t="n"/>
      <c r="AM48" s="233" t="n"/>
      <c r="AN48" s="233" t="n"/>
      <c r="AO48" s="233" t="n"/>
      <c r="AP48" s="233" t="n"/>
      <c r="AQ48" s="233" t="n"/>
      <c r="AR48" s="233" t="n"/>
      <c r="AS48" s="233" t="n"/>
      <c r="AT48" s="233" t="n"/>
      <c r="AU48" s="233" t="n"/>
      <c r="AV48" s="233" t="n"/>
      <c r="AW48" s="233" t="n"/>
      <c r="AX48" s="233" t="n"/>
      <c r="AY48" s="233" t="n"/>
      <c r="AZ48" s="233" t="n"/>
      <c r="BA48" s="233" t="n"/>
      <c r="BB48" s="233" t="n"/>
      <c r="BC48" s="233" t="n"/>
      <c r="BD48" s="233" t="n"/>
      <c r="BE48" s="233" t="n"/>
      <c r="BF48" s="233" t="n"/>
      <c r="BG48" s="233" t="n"/>
      <c r="BH48" s="233" t="n"/>
      <c r="BI48" s="233" t="n"/>
      <c r="BJ48" s="233" t="n"/>
      <c r="BK48" s="233" t="n"/>
      <c r="BL48" s="233" t="n"/>
      <c r="BM48" s="233" t="n"/>
    </row>
    <row r="49" ht="15.75" customHeight="1" s="349">
      <c r="A49" s="31" t="n"/>
      <c r="B49" s="307" t="n"/>
      <c r="C49" s="307" t="n"/>
      <c r="D49" s="146" t="n"/>
      <c r="E49" s="307" t="n"/>
      <c r="F49" s="307" t="n"/>
      <c r="G49" s="307" t="n"/>
      <c r="H49" s="307" t="n"/>
      <c r="I49" s="307" t="n"/>
      <c r="J49" s="307" t="n"/>
      <c r="K49" s="307" t="n"/>
      <c r="L49" s="307" t="n"/>
      <c r="M49" s="307" t="n"/>
      <c r="N49" s="307" t="n"/>
      <c r="O49" s="233" t="n"/>
      <c r="P49" s="233" t="n"/>
      <c r="Q49" s="233" t="n"/>
      <c r="R49" s="233" t="n"/>
      <c r="S49" s="233" t="n"/>
      <c r="T49" s="233" t="n"/>
      <c r="U49" s="233" t="n"/>
      <c r="V49" s="233" t="n"/>
      <c r="W49" s="233" t="n"/>
      <c r="X49" s="233" t="n"/>
      <c r="Y49" s="233" t="n"/>
      <c r="Z49" s="233" t="n"/>
      <c r="AA49" s="233" t="n"/>
      <c r="AB49" s="233" t="n"/>
      <c r="AC49" s="233" t="n"/>
      <c r="AD49" s="233" t="n"/>
      <c r="AE49" s="233" t="n"/>
      <c r="AF49" s="233" t="n"/>
      <c r="AG49" s="233" t="n"/>
      <c r="AH49" s="233" t="n"/>
      <c r="AI49" s="233" t="n"/>
      <c r="AJ49" s="233" t="n"/>
      <c r="AK49" s="233" t="n"/>
      <c r="AL49" s="233" t="n"/>
      <c r="AM49" s="233" t="n"/>
      <c r="AN49" s="233" t="n"/>
      <c r="AO49" s="233" t="n"/>
      <c r="AP49" s="233" t="n"/>
      <c r="AQ49" s="233" t="n"/>
      <c r="AR49" s="233" t="n"/>
      <c r="AS49" s="233" t="n"/>
      <c r="AT49" s="233" t="n"/>
      <c r="AU49" s="233" t="n"/>
      <c r="AV49" s="233" t="n"/>
      <c r="AW49" s="233" t="n"/>
      <c r="AX49" s="233" t="n"/>
      <c r="AY49" s="233" t="n"/>
      <c r="AZ49" s="233" t="n"/>
      <c r="BA49" s="233" t="n"/>
      <c r="BB49" s="233" t="n"/>
      <c r="BC49" s="233" t="n"/>
      <c r="BD49" s="233" t="n"/>
      <c r="BE49" s="233" t="n"/>
      <c r="BF49" s="233" t="n"/>
      <c r="BG49" s="233" t="n"/>
      <c r="BH49" s="233" t="n"/>
      <c r="BI49" s="233" t="n"/>
      <c r="BJ49" s="233" t="n"/>
      <c r="BK49" s="233" t="n"/>
      <c r="BL49" s="233" t="n"/>
      <c r="BM49" s="233" t="n"/>
    </row>
    <row r="50" ht="15.75" customHeight="1" s="349">
      <c r="A50" s="31" t="n"/>
      <c r="B50" s="307" t="n"/>
      <c r="C50" s="307" t="n"/>
      <c r="D50" s="146" t="n"/>
      <c r="E50" s="307" t="n"/>
      <c r="F50" s="307" t="n"/>
      <c r="G50" s="307" t="n"/>
      <c r="H50" s="307" t="n"/>
      <c r="I50" s="307" t="n"/>
      <c r="J50" s="307" t="n"/>
      <c r="K50" s="307" t="n"/>
      <c r="L50" s="307" t="n"/>
      <c r="M50" s="307" t="n"/>
      <c r="N50" s="307" t="n"/>
      <c r="O50" s="233" t="n"/>
      <c r="P50" s="233" t="n"/>
      <c r="Q50" s="233" t="n"/>
      <c r="R50" s="233" t="n"/>
      <c r="S50" s="233" t="n"/>
      <c r="T50" s="233" t="n"/>
      <c r="U50" s="233" t="n"/>
      <c r="V50" s="233" t="n"/>
      <c r="W50" s="233" t="n"/>
      <c r="X50" s="233" t="n"/>
      <c r="Y50" s="233" t="n"/>
      <c r="Z50" s="233" t="n"/>
      <c r="AA50" s="233" t="n"/>
      <c r="AB50" s="233" t="n"/>
      <c r="AC50" s="233" t="n"/>
      <c r="AD50" s="233" t="n"/>
      <c r="AE50" s="233" t="n"/>
      <c r="AF50" s="233" t="n"/>
      <c r="AG50" s="233" t="n"/>
      <c r="AH50" s="233" t="n"/>
      <c r="AI50" s="233" t="n"/>
      <c r="AJ50" s="233" t="n"/>
      <c r="AK50" s="233" t="n"/>
      <c r="AL50" s="233" t="n"/>
      <c r="AM50" s="233" t="n"/>
      <c r="AN50" s="233" t="n"/>
      <c r="AO50" s="233" t="n"/>
      <c r="AP50" s="233" t="n"/>
      <c r="AQ50" s="233" t="n"/>
      <c r="AR50" s="233" t="n"/>
      <c r="AS50" s="233" t="n"/>
      <c r="AT50" s="233" t="n"/>
      <c r="AU50" s="233" t="n"/>
      <c r="AV50" s="233" t="n"/>
      <c r="AW50" s="233" t="n"/>
      <c r="AX50" s="233" t="n"/>
      <c r="AY50" s="233" t="n"/>
      <c r="AZ50" s="233" t="n"/>
      <c r="BA50" s="233" t="n"/>
      <c r="BB50" s="233" t="n"/>
      <c r="BC50" s="233" t="n"/>
      <c r="BD50" s="233" t="n"/>
      <c r="BE50" s="233" t="n"/>
      <c r="BF50" s="233" t="n"/>
      <c r="BG50" s="233" t="n"/>
      <c r="BH50" s="233" t="n"/>
      <c r="BI50" s="233" t="n"/>
      <c r="BJ50" s="233" t="n"/>
      <c r="BK50" s="233" t="n"/>
      <c r="BL50" s="233" t="n"/>
      <c r="BM50" s="233" t="n"/>
    </row>
    <row r="51" ht="15.75" customHeight="1" s="349">
      <c r="A51" s="31" t="n"/>
      <c r="B51" s="307" t="n"/>
      <c r="C51" s="307" t="n"/>
      <c r="D51" s="146" t="n"/>
      <c r="E51" s="307" t="n"/>
      <c r="F51" s="307" t="n"/>
      <c r="G51" s="307" t="n"/>
      <c r="H51" s="307" t="n"/>
      <c r="I51" s="307" t="n"/>
      <c r="J51" s="307" t="n"/>
      <c r="K51" s="307" t="n"/>
      <c r="L51" s="307" t="n"/>
      <c r="M51" s="307" t="n"/>
      <c r="N51" s="307" t="n"/>
      <c r="O51" s="233" t="n"/>
      <c r="P51" s="233" t="n"/>
      <c r="Q51" s="233" t="n"/>
      <c r="R51" s="233" t="n"/>
      <c r="S51" s="233" t="n"/>
      <c r="T51" s="233" t="n"/>
      <c r="U51" s="233" t="n"/>
      <c r="V51" s="233" t="n"/>
      <c r="W51" s="233" t="n"/>
      <c r="X51" s="233" t="n"/>
      <c r="Y51" s="233" t="n"/>
      <c r="Z51" s="233" t="n"/>
      <c r="AA51" s="233" t="n"/>
      <c r="AB51" s="233" t="n"/>
      <c r="AC51" s="233" t="n"/>
      <c r="AD51" s="233" t="n"/>
      <c r="AE51" s="233" t="n"/>
      <c r="AF51" s="233" t="n"/>
      <c r="AG51" s="233" t="n"/>
      <c r="AH51" s="233" t="n"/>
      <c r="AI51" s="233" t="n"/>
      <c r="AJ51" s="233" t="n"/>
      <c r="AK51" s="233" t="n"/>
      <c r="AL51" s="233" t="n"/>
      <c r="AM51" s="233" t="n"/>
      <c r="AN51" s="233" t="n"/>
      <c r="AO51" s="233" t="n"/>
      <c r="AP51" s="233" t="n"/>
      <c r="AQ51" s="233" t="n"/>
      <c r="AR51" s="233" t="n"/>
      <c r="AS51" s="233" t="n"/>
      <c r="AT51" s="233" t="n"/>
      <c r="AU51" s="233" t="n"/>
      <c r="AV51" s="233" t="n"/>
      <c r="AW51" s="233" t="n"/>
      <c r="AX51" s="233" t="n"/>
      <c r="AY51" s="233" t="n"/>
      <c r="AZ51" s="233" t="n"/>
      <c r="BA51" s="233" t="n"/>
      <c r="BB51" s="233" t="n"/>
      <c r="BC51" s="233" t="n"/>
      <c r="BD51" s="233" t="n"/>
      <c r="BE51" s="233" t="n"/>
      <c r="BF51" s="233" t="n"/>
      <c r="BG51" s="233" t="n"/>
      <c r="BH51" s="233" t="n"/>
      <c r="BI51" s="233" t="n"/>
      <c r="BJ51" s="233" t="n"/>
      <c r="BK51" s="233" t="n"/>
      <c r="BL51" s="233" t="n"/>
      <c r="BM51" s="233" t="n"/>
    </row>
    <row r="52" ht="15.75" customHeight="1" s="349">
      <c r="A52" s="31" t="n"/>
      <c r="B52" s="307" t="n"/>
      <c r="C52" s="307" t="n"/>
      <c r="D52" s="146" t="n"/>
      <c r="E52" s="307" t="n"/>
      <c r="F52" s="307" t="n"/>
      <c r="G52" s="307" t="n"/>
      <c r="H52" s="307" t="n"/>
      <c r="I52" s="307" t="n"/>
      <c r="J52" s="307" t="n"/>
      <c r="K52" s="307" t="n"/>
      <c r="L52" s="307" t="n"/>
      <c r="M52" s="307" t="n"/>
      <c r="N52" s="307" t="n"/>
      <c r="O52" s="233" t="n"/>
      <c r="P52" s="233" t="n"/>
      <c r="Q52" s="233" t="n"/>
      <c r="R52" s="233" t="n"/>
      <c r="S52" s="233" t="n"/>
      <c r="T52" s="233" t="n"/>
      <c r="U52" s="233" t="n"/>
      <c r="V52" s="233" t="n"/>
      <c r="W52" s="233" t="n"/>
      <c r="X52" s="233" t="n"/>
      <c r="Y52" s="233" t="n"/>
      <c r="Z52" s="233" t="n"/>
      <c r="AA52" s="233" t="n"/>
      <c r="AB52" s="233" t="n"/>
      <c r="AC52" s="233" t="n"/>
      <c r="AD52" s="233" t="n"/>
      <c r="AE52" s="233" t="n"/>
      <c r="AF52" s="233" t="n"/>
      <c r="AG52" s="233" t="n"/>
      <c r="AH52" s="233" t="n"/>
      <c r="AI52" s="233" t="n"/>
      <c r="AJ52" s="233" t="n"/>
      <c r="AK52" s="233" t="n"/>
      <c r="AL52" s="233" t="n"/>
      <c r="AM52" s="233" t="n"/>
      <c r="AN52" s="233" t="n"/>
      <c r="AO52" s="233" t="n"/>
      <c r="AP52" s="233" t="n"/>
      <c r="AQ52" s="233" t="n"/>
      <c r="AR52" s="233" t="n"/>
      <c r="AS52" s="233" t="n"/>
      <c r="AT52" s="233" t="n"/>
      <c r="AU52" s="233" t="n"/>
      <c r="AV52" s="233" t="n"/>
      <c r="AW52" s="233" t="n"/>
      <c r="AX52" s="233" t="n"/>
      <c r="AY52" s="233" t="n"/>
      <c r="AZ52" s="233" t="n"/>
      <c r="BA52" s="233" t="n"/>
      <c r="BB52" s="233" t="n"/>
      <c r="BC52" s="233" t="n"/>
      <c r="BD52" s="233" t="n"/>
      <c r="BE52" s="233" t="n"/>
      <c r="BF52" s="233" t="n"/>
      <c r="BG52" s="233" t="n"/>
      <c r="BH52" s="233" t="n"/>
      <c r="BI52" s="233" t="n"/>
      <c r="BJ52" s="233" t="n"/>
      <c r="BK52" s="233" t="n"/>
      <c r="BL52" s="233" t="n"/>
      <c r="BM52" s="233" t="n"/>
    </row>
    <row r="53" ht="15.75" customHeight="1" s="349">
      <c r="A53" s="31" t="n"/>
      <c r="B53" s="307" t="n"/>
      <c r="C53" s="307" t="n"/>
      <c r="D53" s="146" t="n"/>
      <c r="E53" s="307" t="n"/>
      <c r="F53" s="307" t="n"/>
      <c r="G53" s="307" t="n"/>
      <c r="H53" s="307" t="n"/>
      <c r="I53" s="307" t="n"/>
      <c r="J53" s="307" t="n"/>
      <c r="K53" s="307" t="n"/>
      <c r="L53" s="307" t="n"/>
      <c r="M53" s="307" t="n"/>
      <c r="N53" s="307" t="n"/>
      <c r="O53" s="233" t="n"/>
      <c r="P53" s="233" t="n"/>
      <c r="Q53" s="233" t="n"/>
      <c r="R53" s="233" t="n"/>
      <c r="S53" s="233" t="n"/>
      <c r="T53" s="233" t="n"/>
      <c r="U53" s="233" t="n"/>
      <c r="V53" s="233" t="n"/>
      <c r="W53" s="233" t="n"/>
      <c r="X53" s="233" t="n"/>
      <c r="Y53" s="233" t="n"/>
      <c r="Z53" s="233" t="n"/>
      <c r="AA53" s="233" t="n"/>
      <c r="AB53" s="233" t="n"/>
      <c r="AC53" s="233" t="n"/>
      <c r="AD53" s="233" t="n"/>
      <c r="AE53" s="233" t="n"/>
      <c r="AF53" s="233" t="n"/>
      <c r="AG53" s="233" t="n"/>
      <c r="AH53" s="233" t="n"/>
      <c r="AI53" s="233" t="n"/>
      <c r="AJ53" s="233" t="n"/>
      <c r="AK53" s="233" t="n"/>
      <c r="AL53" s="233" t="n"/>
      <c r="AM53" s="233" t="n"/>
      <c r="AN53" s="233" t="n"/>
      <c r="AO53" s="233" t="n"/>
      <c r="AP53" s="233" t="n"/>
      <c r="AQ53" s="233" t="n"/>
      <c r="AR53" s="233" t="n"/>
      <c r="AS53" s="233" t="n"/>
      <c r="AT53" s="233" t="n"/>
      <c r="AU53" s="233" t="n"/>
      <c r="AV53" s="233" t="n"/>
      <c r="AW53" s="233" t="n"/>
      <c r="AX53" s="233" t="n"/>
      <c r="AY53" s="233" t="n"/>
      <c r="AZ53" s="233" t="n"/>
      <c r="BA53" s="233" t="n"/>
      <c r="BB53" s="233" t="n"/>
      <c r="BC53" s="233" t="n"/>
      <c r="BD53" s="233" t="n"/>
      <c r="BE53" s="233" t="n"/>
      <c r="BF53" s="233" t="n"/>
      <c r="BG53" s="233" t="n"/>
      <c r="BH53" s="233" t="n"/>
      <c r="BI53" s="233" t="n"/>
      <c r="BJ53" s="233" t="n"/>
      <c r="BK53" s="233" t="n"/>
      <c r="BL53" s="233" t="n"/>
      <c r="BM53" s="233" t="n"/>
    </row>
    <row r="54" ht="15.75" customHeight="1" s="349">
      <c r="A54" s="31" t="n"/>
      <c r="B54" s="307" t="n"/>
      <c r="C54" s="307" t="n"/>
      <c r="D54" s="146" t="n"/>
      <c r="E54" s="307" t="n"/>
      <c r="F54" s="307" t="n"/>
      <c r="G54" s="307" t="n"/>
      <c r="H54" s="307" t="n"/>
      <c r="I54" s="307" t="n"/>
      <c r="J54" s="307" t="n"/>
      <c r="K54" s="307" t="n"/>
      <c r="L54" s="307" t="n"/>
      <c r="M54" s="307" t="n"/>
      <c r="N54" s="307" t="n"/>
      <c r="O54" s="233" t="n"/>
      <c r="P54" s="233" t="n"/>
      <c r="Q54" s="233" t="n"/>
      <c r="R54" s="233" t="n"/>
      <c r="S54" s="233" t="n"/>
      <c r="T54" s="233" t="n"/>
      <c r="U54" s="233" t="n"/>
      <c r="V54" s="233" t="n"/>
      <c r="W54" s="233" t="n"/>
      <c r="X54" s="233" t="n"/>
      <c r="Y54" s="233" t="n"/>
      <c r="Z54" s="233" t="n"/>
      <c r="AA54" s="233" t="n"/>
      <c r="AB54" s="233" t="n"/>
      <c r="AC54" s="233" t="n"/>
      <c r="AD54" s="233" t="n"/>
      <c r="AE54" s="233" t="n"/>
      <c r="AF54" s="233" t="n"/>
      <c r="AG54" s="233" t="n"/>
      <c r="AH54" s="233" t="n"/>
      <c r="AI54" s="233" t="n"/>
      <c r="AJ54" s="233" t="n"/>
      <c r="AK54" s="233" t="n"/>
      <c r="AL54" s="233" t="n"/>
      <c r="AM54" s="233" t="n"/>
      <c r="AN54" s="233" t="n"/>
      <c r="AO54" s="233" t="n"/>
      <c r="AP54" s="233" t="n"/>
      <c r="AQ54" s="233" t="n"/>
      <c r="AR54" s="233" t="n"/>
      <c r="AS54" s="233" t="n"/>
      <c r="AT54" s="233" t="n"/>
      <c r="AU54" s="233" t="n"/>
      <c r="AV54" s="233" t="n"/>
      <c r="AW54" s="233" t="n"/>
      <c r="AX54" s="233" t="n"/>
      <c r="AY54" s="233" t="n"/>
      <c r="AZ54" s="233" t="n"/>
      <c r="BA54" s="233" t="n"/>
      <c r="BB54" s="233" t="n"/>
      <c r="BC54" s="233" t="n"/>
      <c r="BD54" s="233" t="n"/>
      <c r="BE54" s="233" t="n"/>
      <c r="BF54" s="233" t="n"/>
      <c r="BG54" s="233" t="n"/>
      <c r="BH54" s="233" t="n"/>
      <c r="BI54" s="233" t="n"/>
      <c r="BJ54" s="233" t="n"/>
      <c r="BK54" s="233" t="n"/>
      <c r="BL54" s="233" t="n"/>
      <c r="BM54" s="233" t="n"/>
    </row>
    <row r="55" ht="15.75" customHeight="1" s="349">
      <c r="A55" s="31" t="n"/>
      <c r="B55" s="307" t="n"/>
      <c r="C55" s="307" t="n"/>
      <c r="D55" s="146" t="n"/>
      <c r="E55" s="307" t="n"/>
      <c r="F55" s="307" t="n"/>
      <c r="G55" s="307" t="n"/>
      <c r="H55" s="307" t="n"/>
      <c r="I55" s="307" t="n"/>
      <c r="J55" s="307" t="n"/>
      <c r="K55" s="307" t="n"/>
      <c r="L55" s="307" t="n"/>
      <c r="M55" s="307" t="n"/>
      <c r="N55" s="307" t="n"/>
      <c r="O55" s="233" t="n"/>
      <c r="P55" s="233" t="n"/>
      <c r="Q55" s="233" t="n"/>
      <c r="R55" s="233" t="n"/>
      <c r="S55" s="233" t="n"/>
      <c r="T55" s="233" t="n"/>
      <c r="U55" s="233" t="n"/>
      <c r="V55" s="233" t="n"/>
      <c r="W55" s="233" t="n"/>
      <c r="X55" s="233" t="n"/>
      <c r="Y55" s="233" t="n"/>
      <c r="Z55" s="233" t="n"/>
      <c r="AA55" s="233" t="n"/>
      <c r="AB55" s="233" t="n"/>
      <c r="AC55" s="233" t="n"/>
      <c r="AD55" s="233" t="n"/>
      <c r="AE55" s="233" t="n"/>
      <c r="AF55" s="233" t="n"/>
      <c r="AG55" s="233" t="n"/>
      <c r="AH55" s="233" t="n"/>
      <c r="AI55" s="233" t="n"/>
      <c r="AJ55" s="233" t="n"/>
      <c r="AK55" s="233" t="n"/>
      <c r="AL55" s="233" t="n"/>
      <c r="AM55" s="233" t="n"/>
      <c r="AN55" s="233" t="n"/>
      <c r="AO55" s="233" t="n"/>
      <c r="AP55" s="233" t="n"/>
      <c r="AQ55" s="233" t="n"/>
      <c r="AR55" s="233" t="n"/>
      <c r="AS55" s="233" t="n"/>
      <c r="AT55" s="233" t="n"/>
      <c r="AU55" s="233" t="n"/>
      <c r="AV55" s="233" t="n"/>
      <c r="AW55" s="233" t="n"/>
      <c r="AX55" s="233" t="n"/>
      <c r="AY55" s="233" t="n"/>
      <c r="AZ55" s="233" t="n"/>
      <c r="BA55" s="233" t="n"/>
      <c r="BB55" s="233" t="n"/>
      <c r="BC55" s="233" t="n"/>
      <c r="BD55" s="233" t="n"/>
      <c r="BE55" s="233" t="n"/>
      <c r="BF55" s="233" t="n"/>
      <c r="BG55" s="233" t="n"/>
      <c r="BH55" s="233" t="n"/>
      <c r="BI55" s="233" t="n"/>
      <c r="BJ55" s="233" t="n"/>
      <c r="BK55" s="233" t="n"/>
      <c r="BL55" s="233" t="n"/>
      <c r="BM55" s="233" t="n"/>
    </row>
    <row r="56" ht="15.75" customHeight="1" s="349">
      <c r="A56" s="31" t="n"/>
      <c r="B56" s="307" t="n"/>
      <c r="C56" s="307" t="n"/>
      <c r="D56" s="146" t="n"/>
      <c r="E56" s="307" t="n"/>
      <c r="F56" s="307" t="n"/>
      <c r="G56" s="307" t="n"/>
      <c r="H56" s="307" t="n"/>
      <c r="I56" s="307" t="n"/>
      <c r="J56" s="307" t="n"/>
      <c r="K56" s="307" t="n"/>
      <c r="L56" s="307" t="n"/>
      <c r="M56" s="307" t="n"/>
      <c r="N56" s="307" t="n"/>
      <c r="O56" s="233" t="n"/>
      <c r="P56" s="233" t="n"/>
      <c r="Q56" s="233" t="n"/>
      <c r="R56" s="233" t="n"/>
      <c r="S56" s="233" t="n"/>
      <c r="T56" s="233" t="n"/>
      <c r="U56" s="233" t="n"/>
      <c r="V56" s="233" t="n"/>
      <c r="W56" s="233" t="n"/>
      <c r="X56" s="233" t="n"/>
      <c r="Y56" s="233" t="n"/>
      <c r="Z56" s="233" t="n"/>
      <c r="AA56" s="233" t="n"/>
      <c r="AB56" s="233" t="n"/>
      <c r="AC56" s="233" t="n"/>
      <c r="AD56" s="233" t="n"/>
      <c r="AE56" s="233" t="n"/>
      <c r="AF56" s="233" t="n"/>
      <c r="AG56" s="233" t="n"/>
      <c r="AH56" s="233" t="n"/>
      <c r="AI56" s="233" t="n"/>
      <c r="AJ56" s="233" t="n"/>
      <c r="AK56" s="233" t="n"/>
      <c r="AL56" s="233" t="n"/>
      <c r="AM56" s="233" t="n"/>
      <c r="AN56" s="233" t="n"/>
      <c r="AO56" s="233" t="n"/>
      <c r="AP56" s="233" t="n"/>
      <c r="AQ56" s="233" t="n"/>
      <c r="AR56" s="233" t="n"/>
      <c r="AS56" s="233" t="n"/>
      <c r="AT56" s="233" t="n"/>
      <c r="AU56" s="233" t="n"/>
      <c r="AV56" s="233" t="n"/>
      <c r="AW56" s="233" t="n"/>
      <c r="AX56" s="233" t="n"/>
      <c r="AY56" s="233" t="n"/>
      <c r="AZ56" s="233" t="n"/>
      <c r="BA56" s="233" t="n"/>
      <c r="BB56" s="233" t="n"/>
      <c r="BC56" s="233" t="n"/>
      <c r="BD56" s="233" t="n"/>
      <c r="BE56" s="233" t="n"/>
      <c r="BF56" s="233" t="n"/>
      <c r="BG56" s="233" t="n"/>
      <c r="BH56" s="233" t="n"/>
      <c r="BI56" s="233" t="n"/>
      <c r="BJ56" s="233" t="n"/>
      <c r="BK56" s="233" t="n"/>
      <c r="BL56" s="233" t="n"/>
      <c r="BM56" s="233" t="n"/>
    </row>
    <row r="57" ht="15.75" customHeight="1" s="349">
      <c r="A57" s="31" t="n"/>
      <c r="B57" s="307" t="n"/>
      <c r="C57" s="307" t="n"/>
      <c r="D57" s="146" t="n"/>
      <c r="E57" s="307" t="n"/>
      <c r="F57" s="307" t="n"/>
      <c r="G57" s="307" t="n"/>
      <c r="H57" s="307" t="n"/>
      <c r="I57" s="307" t="n"/>
      <c r="J57" s="307" t="n"/>
      <c r="K57" s="307" t="n"/>
      <c r="L57" s="307" t="n"/>
      <c r="M57" s="307" t="n"/>
      <c r="N57" s="307" t="n"/>
      <c r="O57" s="233" t="n"/>
      <c r="P57" s="233" t="n"/>
      <c r="Q57" s="233" t="n"/>
      <c r="R57" s="233" t="n"/>
      <c r="S57" s="233" t="n"/>
      <c r="T57" s="233" t="n"/>
      <c r="U57" s="233" t="n"/>
      <c r="V57" s="233" t="n"/>
      <c r="W57" s="233" t="n"/>
      <c r="X57" s="233" t="n"/>
      <c r="Y57" s="233" t="n"/>
      <c r="Z57" s="233" t="n"/>
      <c r="AA57" s="233" t="n"/>
      <c r="AB57" s="233" t="n"/>
      <c r="AC57" s="233" t="n"/>
      <c r="AD57" s="233" t="n"/>
      <c r="AE57" s="233" t="n"/>
      <c r="AF57" s="233" t="n"/>
      <c r="AG57" s="233" t="n"/>
      <c r="AH57" s="233" t="n"/>
      <c r="AI57" s="233" t="n"/>
      <c r="AJ57" s="233" t="n"/>
      <c r="AK57" s="233" t="n"/>
      <c r="AL57" s="233" t="n"/>
      <c r="AM57" s="233" t="n"/>
      <c r="AN57" s="233" t="n"/>
      <c r="AO57" s="233" t="n"/>
      <c r="AP57" s="233" t="n"/>
      <c r="AQ57" s="233" t="n"/>
      <c r="AR57" s="233" t="n"/>
      <c r="AS57" s="233" t="n"/>
      <c r="AT57" s="233" t="n"/>
      <c r="AU57" s="233" t="n"/>
      <c r="AV57" s="233" t="n"/>
      <c r="AW57" s="233" t="n"/>
      <c r="AX57" s="233" t="n"/>
      <c r="AY57" s="233" t="n"/>
      <c r="AZ57" s="233" t="n"/>
      <c r="BA57" s="233" t="n"/>
      <c r="BB57" s="233" t="n"/>
      <c r="BC57" s="233" t="n"/>
      <c r="BD57" s="233" t="n"/>
      <c r="BE57" s="233" t="n"/>
      <c r="BF57" s="233" t="n"/>
      <c r="BG57" s="233" t="n"/>
      <c r="BH57" s="233" t="n"/>
      <c r="BI57" s="233" t="n"/>
      <c r="BJ57" s="233" t="n"/>
      <c r="BK57" s="233" t="n"/>
      <c r="BL57" s="233" t="n"/>
      <c r="BM57" s="233" t="n"/>
    </row>
    <row r="58" ht="15.75" customHeight="1" s="349">
      <c r="A58" s="31" t="n"/>
      <c r="B58" s="307" t="n"/>
      <c r="C58" s="307" t="n"/>
      <c r="D58" s="146" t="n"/>
      <c r="E58" s="307" t="n"/>
      <c r="F58" s="307" t="n"/>
      <c r="G58" s="307" t="n"/>
      <c r="H58" s="307" t="n"/>
      <c r="I58" s="307" t="n"/>
      <c r="J58" s="307" t="n"/>
      <c r="K58" s="307" t="n"/>
      <c r="L58" s="307" t="n"/>
      <c r="M58" s="307" t="n"/>
      <c r="N58" s="307" t="n"/>
      <c r="O58" s="233" t="n"/>
      <c r="P58" s="233" t="n"/>
      <c r="Q58" s="233" t="n"/>
      <c r="R58" s="233" t="n"/>
      <c r="S58" s="233" t="n"/>
      <c r="T58" s="233" t="n"/>
      <c r="U58" s="233" t="n"/>
      <c r="V58" s="233" t="n"/>
      <c r="W58" s="233" t="n"/>
      <c r="X58" s="233" t="n"/>
      <c r="Y58" s="233" t="n"/>
      <c r="Z58" s="233" t="n"/>
      <c r="AA58" s="233" t="n"/>
      <c r="AB58" s="233" t="n"/>
      <c r="AC58" s="233" t="n"/>
      <c r="AD58" s="233" t="n"/>
      <c r="AE58" s="233" t="n"/>
      <c r="AF58" s="233" t="n"/>
      <c r="AG58" s="233" t="n"/>
      <c r="AH58" s="233" t="n"/>
      <c r="AI58" s="233" t="n"/>
      <c r="AJ58" s="233" t="n"/>
      <c r="AK58" s="233" t="n"/>
      <c r="AL58" s="233" t="n"/>
      <c r="AM58" s="233" t="n"/>
      <c r="AN58" s="233" t="n"/>
      <c r="AO58" s="233" t="n"/>
      <c r="AP58" s="233" t="n"/>
      <c r="AQ58" s="233" t="n"/>
      <c r="AR58" s="233" t="n"/>
      <c r="AS58" s="233" t="n"/>
      <c r="AT58" s="233" t="n"/>
      <c r="AU58" s="233" t="n"/>
      <c r="AV58" s="233" t="n"/>
      <c r="AW58" s="233" t="n"/>
      <c r="AX58" s="233" t="n"/>
      <c r="AY58" s="233" t="n"/>
      <c r="AZ58" s="233" t="n"/>
      <c r="BA58" s="233" t="n"/>
      <c r="BB58" s="233" t="n"/>
      <c r="BC58" s="233" t="n"/>
      <c r="BD58" s="233" t="n"/>
      <c r="BE58" s="233" t="n"/>
      <c r="BF58" s="233" t="n"/>
      <c r="BG58" s="233" t="n"/>
      <c r="BH58" s="233" t="n"/>
      <c r="BI58" s="233" t="n"/>
      <c r="BJ58" s="233" t="n"/>
      <c r="BK58" s="233" t="n"/>
      <c r="BL58" s="233" t="n"/>
      <c r="BM58" s="233" t="n"/>
    </row>
    <row r="59" ht="15.75" customHeight="1" s="349">
      <c r="A59" s="31" t="n"/>
      <c r="B59" s="307" t="n"/>
      <c r="C59" s="307" t="n"/>
      <c r="D59" s="146" t="n"/>
      <c r="E59" s="307" t="n"/>
      <c r="F59" s="307" t="n"/>
      <c r="G59" s="307" t="n"/>
      <c r="H59" s="307" t="n"/>
      <c r="I59" s="307" t="n"/>
      <c r="J59" s="307" t="n"/>
      <c r="K59" s="307" t="n"/>
      <c r="L59" s="307" t="n"/>
      <c r="M59" s="307" t="n"/>
      <c r="N59" s="307" t="n"/>
      <c r="O59" s="233" t="n"/>
      <c r="P59" s="233" t="n"/>
      <c r="Q59" s="233" t="n"/>
      <c r="R59" s="233" t="n"/>
      <c r="S59" s="233" t="n"/>
      <c r="T59" s="233" t="n"/>
      <c r="U59" s="233" t="n"/>
      <c r="V59" s="233" t="n"/>
      <c r="W59" s="233" t="n"/>
      <c r="X59" s="233" t="n"/>
      <c r="Y59" s="233" t="n"/>
      <c r="Z59" s="233" t="n"/>
      <c r="AA59" s="233" t="n"/>
      <c r="AB59" s="233" t="n"/>
      <c r="AC59" s="233" t="n"/>
      <c r="AD59" s="233" t="n"/>
      <c r="AE59" s="233" t="n"/>
      <c r="AF59" s="233" t="n"/>
      <c r="AG59" s="233" t="n"/>
      <c r="AH59" s="233" t="n"/>
      <c r="AI59" s="233" t="n"/>
      <c r="AJ59" s="233" t="n"/>
      <c r="AK59" s="233" t="n"/>
      <c r="AL59" s="233" t="n"/>
      <c r="AM59" s="233" t="n"/>
      <c r="AN59" s="233" t="n"/>
      <c r="AO59" s="233" t="n"/>
      <c r="AP59" s="233" t="n"/>
      <c r="AQ59" s="233" t="n"/>
      <c r="AR59" s="233" t="n"/>
      <c r="AS59" s="233" t="n"/>
      <c r="AT59" s="233" t="n"/>
      <c r="AU59" s="233" t="n"/>
      <c r="AV59" s="233" t="n"/>
      <c r="AW59" s="233" t="n"/>
      <c r="AX59" s="233" t="n"/>
      <c r="AY59" s="233" t="n"/>
      <c r="AZ59" s="233" t="n"/>
      <c r="BA59" s="233" t="n"/>
      <c r="BB59" s="233" t="n"/>
      <c r="BC59" s="233" t="n"/>
      <c r="BD59" s="233" t="n"/>
      <c r="BE59" s="233" t="n"/>
      <c r="BF59" s="233" t="n"/>
      <c r="BG59" s="233" t="n"/>
      <c r="BH59" s="233" t="n"/>
      <c r="BI59" s="233" t="n"/>
      <c r="BJ59" s="233" t="n"/>
      <c r="BK59" s="233" t="n"/>
      <c r="BL59" s="233" t="n"/>
      <c r="BM59" s="233" t="n"/>
    </row>
    <row r="60" ht="15.75" customHeight="1" s="349">
      <c r="A60" s="31" t="n"/>
      <c r="B60" s="307" t="n"/>
      <c r="C60" s="307" t="n"/>
      <c r="D60" s="146" t="n"/>
      <c r="E60" s="307" t="n"/>
      <c r="F60" s="307" t="n"/>
      <c r="G60" s="307" t="n"/>
      <c r="H60" s="307" t="n"/>
      <c r="I60" s="307" t="n"/>
      <c r="J60" s="307" t="n"/>
      <c r="K60" s="307" t="n"/>
      <c r="L60" s="307" t="n"/>
      <c r="M60" s="307" t="n"/>
      <c r="N60" s="307" t="n"/>
      <c r="O60" s="233" t="n"/>
      <c r="P60" s="233" t="n"/>
      <c r="Q60" s="233" t="n"/>
      <c r="R60" s="233" t="n"/>
      <c r="S60" s="233" t="n"/>
      <c r="T60" s="233" t="n"/>
      <c r="U60" s="233" t="n"/>
      <c r="V60" s="233" t="n"/>
      <c r="W60" s="233" t="n"/>
      <c r="X60" s="233" t="n"/>
      <c r="Y60" s="233" t="n"/>
      <c r="Z60" s="233" t="n"/>
      <c r="AA60" s="233" t="n"/>
      <c r="AB60" s="233" t="n"/>
      <c r="AC60" s="233" t="n"/>
      <c r="AD60" s="233" t="n"/>
      <c r="AE60" s="233" t="n"/>
      <c r="AF60" s="233" t="n"/>
      <c r="AG60" s="233" t="n"/>
      <c r="AH60" s="233" t="n"/>
      <c r="AI60" s="233" t="n"/>
      <c r="AJ60" s="233" t="n"/>
      <c r="AK60" s="233" t="n"/>
      <c r="AL60" s="233" t="n"/>
      <c r="AM60" s="233" t="n"/>
      <c r="AN60" s="233" t="n"/>
      <c r="AO60" s="233" t="n"/>
      <c r="AP60" s="233" t="n"/>
      <c r="AQ60" s="233" t="n"/>
      <c r="AR60" s="233" t="n"/>
      <c r="AS60" s="233" t="n"/>
      <c r="AT60" s="233" t="n"/>
      <c r="AU60" s="233" t="n"/>
      <c r="AV60" s="233" t="n"/>
      <c r="AW60" s="233" t="n"/>
      <c r="AX60" s="233" t="n"/>
      <c r="AY60" s="233" t="n"/>
      <c r="AZ60" s="233" t="n"/>
      <c r="BA60" s="233" t="n"/>
      <c r="BB60" s="233" t="n"/>
      <c r="BC60" s="233" t="n"/>
      <c r="BD60" s="233" t="n"/>
      <c r="BE60" s="233" t="n"/>
      <c r="BF60" s="233" t="n"/>
      <c r="BG60" s="233" t="n"/>
      <c r="BH60" s="233" t="n"/>
      <c r="BI60" s="233" t="n"/>
      <c r="BJ60" s="233" t="n"/>
      <c r="BK60" s="233" t="n"/>
      <c r="BL60" s="233" t="n"/>
      <c r="BM60" s="233" t="n"/>
    </row>
    <row r="61" ht="15.75" customHeight="1" s="349">
      <c r="A61" s="31" t="n"/>
      <c r="B61" s="307" t="n"/>
      <c r="C61" s="307" t="n"/>
      <c r="D61" s="146" t="n"/>
      <c r="E61" s="307" t="n"/>
      <c r="F61" s="307" t="n"/>
      <c r="G61" s="307" t="n"/>
      <c r="H61" s="307" t="n"/>
      <c r="I61" s="307" t="n"/>
      <c r="J61" s="307" t="n"/>
      <c r="K61" s="307" t="n"/>
      <c r="L61" s="307" t="n"/>
      <c r="M61" s="307" t="n"/>
      <c r="N61" s="307" t="n"/>
      <c r="O61" s="233" t="n"/>
      <c r="P61" s="233" t="n"/>
      <c r="Q61" s="233" t="n"/>
      <c r="R61" s="233" t="n"/>
      <c r="S61" s="233" t="n"/>
      <c r="T61" s="233" t="n"/>
      <c r="U61" s="233" t="n"/>
      <c r="V61" s="233" t="n"/>
      <c r="W61" s="233" t="n"/>
      <c r="X61" s="233" t="n"/>
      <c r="Y61" s="233" t="n"/>
      <c r="Z61" s="233" t="n"/>
      <c r="AA61" s="233" t="n"/>
      <c r="AB61" s="233" t="n"/>
      <c r="AC61" s="233" t="n"/>
      <c r="AD61" s="233" t="n"/>
      <c r="AE61" s="233" t="n"/>
      <c r="AF61" s="233" t="n"/>
      <c r="AG61" s="233" t="n"/>
      <c r="AH61" s="233" t="n"/>
      <c r="AI61" s="233" t="n"/>
      <c r="AJ61" s="233" t="n"/>
      <c r="AK61" s="233" t="n"/>
      <c r="AL61" s="233" t="n"/>
      <c r="AM61" s="233" t="n"/>
      <c r="AN61" s="233" t="n"/>
      <c r="AO61" s="233" t="n"/>
      <c r="AP61" s="233" t="n"/>
      <c r="AQ61" s="233" t="n"/>
      <c r="AR61" s="233" t="n"/>
      <c r="AS61" s="233" t="n"/>
      <c r="AT61" s="233" t="n"/>
      <c r="AU61" s="233" t="n"/>
      <c r="AV61" s="233" t="n"/>
      <c r="AW61" s="233" t="n"/>
      <c r="AX61" s="233" t="n"/>
      <c r="AY61" s="233" t="n"/>
      <c r="AZ61" s="233" t="n"/>
      <c r="BA61" s="233" t="n"/>
      <c r="BB61" s="233" t="n"/>
      <c r="BC61" s="233" t="n"/>
      <c r="BD61" s="233" t="n"/>
      <c r="BE61" s="233" t="n"/>
      <c r="BF61" s="233" t="n"/>
      <c r="BG61" s="233" t="n"/>
      <c r="BH61" s="233" t="n"/>
      <c r="BI61" s="233" t="n"/>
      <c r="BJ61" s="233" t="n"/>
      <c r="BK61" s="233" t="n"/>
      <c r="BL61" s="233" t="n"/>
      <c r="BM61" s="233" t="n"/>
    </row>
    <row r="62" ht="15.75" customHeight="1" s="349">
      <c r="A62" s="31" t="n"/>
      <c r="B62" s="307" t="n"/>
      <c r="C62" s="307" t="n"/>
      <c r="D62" s="146" t="n"/>
      <c r="E62" s="307" t="n"/>
      <c r="F62" s="307" t="n"/>
      <c r="G62" s="307" t="n"/>
      <c r="H62" s="307" t="n"/>
      <c r="I62" s="307" t="n"/>
      <c r="J62" s="307" t="n"/>
      <c r="K62" s="307" t="n"/>
      <c r="L62" s="307" t="n"/>
      <c r="M62" s="307" t="n"/>
      <c r="N62" s="307" t="n"/>
      <c r="O62" s="233" t="n"/>
      <c r="P62" s="233" t="n"/>
      <c r="Q62" s="233" t="n"/>
      <c r="R62" s="233" t="n"/>
      <c r="S62" s="233" t="n"/>
      <c r="T62" s="233" t="n"/>
      <c r="U62" s="233" t="n"/>
      <c r="V62" s="233" t="n"/>
      <c r="W62" s="233" t="n"/>
      <c r="X62" s="233" t="n"/>
      <c r="Y62" s="233" t="n"/>
      <c r="Z62" s="233" t="n"/>
      <c r="AA62" s="233" t="n"/>
      <c r="AB62" s="233" t="n"/>
      <c r="AC62" s="233" t="n"/>
      <c r="AD62" s="233" t="n"/>
      <c r="AE62" s="233" t="n"/>
      <c r="AF62" s="233" t="n"/>
      <c r="AG62" s="233" t="n"/>
      <c r="AH62" s="233" t="n"/>
      <c r="AI62" s="233" t="n"/>
      <c r="AJ62" s="233" t="n"/>
      <c r="AK62" s="233" t="n"/>
      <c r="AL62" s="233" t="n"/>
      <c r="AM62" s="233" t="n"/>
      <c r="AN62" s="233" t="n"/>
      <c r="AO62" s="233" t="n"/>
      <c r="AP62" s="233" t="n"/>
      <c r="AQ62" s="233" t="n"/>
      <c r="AR62" s="233" t="n"/>
      <c r="AS62" s="233" t="n"/>
      <c r="AT62" s="233" t="n"/>
      <c r="AU62" s="233" t="n"/>
      <c r="AV62" s="233" t="n"/>
      <c r="AW62" s="233" t="n"/>
      <c r="AX62" s="233" t="n"/>
      <c r="AY62" s="233" t="n"/>
      <c r="AZ62" s="233" t="n"/>
      <c r="BA62" s="233" t="n"/>
      <c r="BB62" s="233" t="n"/>
      <c r="BC62" s="233" t="n"/>
      <c r="BD62" s="233" t="n"/>
      <c r="BE62" s="233" t="n"/>
      <c r="BF62" s="233" t="n"/>
      <c r="BG62" s="233" t="n"/>
      <c r="BH62" s="233" t="n"/>
      <c r="BI62" s="233" t="n"/>
      <c r="BJ62" s="233" t="n"/>
      <c r="BK62" s="233" t="n"/>
      <c r="BL62" s="233" t="n"/>
      <c r="BM62" s="233" t="n"/>
    </row>
    <row r="63" ht="15.75" customHeight="1" s="349">
      <c r="A63" s="31" t="n"/>
      <c r="B63" s="307" t="n"/>
      <c r="C63" s="307" t="n"/>
      <c r="D63" s="146" t="n"/>
      <c r="E63" s="307" t="n"/>
      <c r="F63" s="307" t="n"/>
      <c r="G63" s="307" t="n"/>
      <c r="H63" s="307" t="n"/>
      <c r="I63" s="307" t="n"/>
      <c r="J63" s="307" t="n"/>
      <c r="K63" s="307" t="n"/>
      <c r="L63" s="307" t="n"/>
      <c r="M63" s="307" t="n"/>
      <c r="N63" s="307" t="n"/>
      <c r="O63" s="233" t="n"/>
      <c r="P63" s="233" t="n"/>
      <c r="Q63" s="233" t="n"/>
      <c r="R63" s="233" t="n"/>
      <c r="S63" s="233" t="n"/>
      <c r="T63" s="233" t="n"/>
      <c r="U63" s="233" t="n"/>
      <c r="V63" s="233" t="n"/>
      <c r="W63" s="233" t="n"/>
      <c r="X63" s="233" t="n"/>
      <c r="Y63" s="233" t="n"/>
      <c r="Z63" s="233" t="n"/>
      <c r="AA63" s="233" t="n"/>
      <c r="AB63" s="233" t="n"/>
      <c r="AC63" s="233" t="n"/>
      <c r="AD63" s="233" t="n"/>
      <c r="AE63" s="233" t="n"/>
      <c r="AF63" s="233" t="n"/>
      <c r="AG63" s="233" t="n"/>
      <c r="AH63" s="233" t="n"/>
      <c r="AI63" s="233" t="n"/>
      <c r="AJ63" s="233" t="n"/>
      <c r="AK63" s="233" t="n"/>
      <c r="AL63" s="233" t="n"/>
      <c r="AM63" s="233" t="n"/>
      <c r="AN63" s="233" t="n"/>
      <c r="AO63" s="233" t="n"/>
      <c r="AP63" s="233" t="n"/>
      <c r="AQ63" s="233" t="n"/>
      <c r="AR63" s="233" t="n"/>
      <c r="AS63" s="233" t="n"/>
      <c r="AT63" s="233" t="n"/>
      <c r="AU63" s="233" t="n"/>
      <c r="AV63" s="233" t="n"/>
      <c r="AW63" s="233" t="n"/>
      <c r="AX63" s="233" t="n"/>
      <c r="AY63" s="233" t="n"/>
      <c r="AZ63" s="233" t="n"/>
      <c r="BA63" s="233" t="n"/>
      <c r="BB63" s="233" t="n"/>
      <c r="BC63" s="233" t="n"/>
      <c r="BD63" s="233" t="n"/>
      <c r="BE63" s="233" t="n"/>
      <c r="BF63" s="233" t="n"/>
      <c r="BG63" s="233" t="n"/>
      <c r="BH63" s="233" t="n"/>
      <c r="BI63" s="233" t="n"/>
      <c r="BJ63" s="233" t="n"/>
      <c r="BK63" s="233" t="n"/>
      <c r="BL63" s="233" t="n"/>
      <c r="BM63" s="233" t="n"/>
    </row>
    <row r="64" ht="15.75" customHeight="1" s="349">
      <c r="A64" s="31" t="n"/>
      <c r="B64" s="307" t="n"/>
      <c r="C64" s="307" t="n"/>
      <c r="D64" s="146" t="n"/>
      <c r="E64" s="307" t="n"/>
      <c r="F64" s="307" t="n"/>
      <c r="G64" s="307" t="n"/>
      <c r="H64" s="307" t="n"/>
      <c r="I64" s="307" t="n"/>
      <c r="J64" s="307" t="n"/>
      <c r="K64" s="307" t="n"/>
      <c r="L64" s="307" t="n"/>
      <c r="M64" s="307" t="n"/>
      <c r="N64" s="307" t="n"/>
      <c r="O64" s="233" t="n"/>
      <c r="P64" s="233" t="n"/>
      <c r="Q64" s="233" t="n"/>
      <c r="R64" s="233" t="n"/>
      <c r="S64" s="233" t="n"/>
      <c r="T64" s="233" t="n"/>
      <c r="U64" s="233" t="n"/>
      <c r="V64" s="233" t="n"/>
      <c r="W64" s="233" t="n"/>
      <c r="X64" s="233" t="n"/>
      <c r="Y64" s="233" t="n"/>
      <c r="Z64" s="233" t="n"/>
      <c r="AA64" s="233" t="n"/>
      <c r="AB64" s="233" t="n"/>
      <c r="AC64" s="233" t="n"/>
      <c r="AD64" s="233" t="n"/>
      <c r="AE64" s="233" t="n"/>
      <c r="AF64" s="233" t="n"/>
      <c r="AG64" s="233" t="n"/>
      <c r="AH64" s="233" t="n"/>
      <c r="AI64" s="233" t="n"/>
      <c r="AJ64" s="233" t="n"/>
      <c r="AK64" s="233" t="n"/>
      <c r="AL64" s="233" t="n"/>
      <c r="AM64" s="233" t="n"/>
      <c r="AN64" s="233" t="n"/>
      <c r="AO64" s="233" t="n"/>
      <c r="AP64" s="233" t="n"/>
      <c r="AQ64" s="233" t="n"/>
      <c r="AR64" s="233" t="n"/>
      <c r="AS64" s="233" t="n"/>
      <c r="AT64" s="233" t="n"/>
      <c r="AU64" s="233" t="n"/>
      <c r="AV64" s="233" t="n"/>
      <c r="AW64" s="233" t="n"/>
      <c r="AX64" s="233" t="n"/>
      <c r="AY64" s="233" t="n"/>
      <c r="AZ64" s="233" t="n"/>
      <c r="BA64" s="233" t="n"/>
      <c r="BB64" s="233" t="n"/>
      <c r="BC64" s="233" t="n"/>
      <c r="BD64" s="233" t="n"/>
      <c r="BE64" s="233" t="n"/>
      <c r="BF64" s="233" t="n"/>
      <c r="BG64" s="233" t="n"/>
      <c r="BH64" s="233" t="n"/>
      <c r="BI64" s="233" t="n"/>
      <c r="BJ64" s="233" t="n"/>
      <c r="BK64" s="233" t="n"/>
      <c r="BL64" s="233" t="n"/>
      <c r="BM64" s="233" t="n"/>
    </row>
    <row r="65" ht="15.75" customHeight="1" s="349">
      <c r="A65" s="31" t="n"/>
      <c r="B65" s="307" t="n"/>
      <c r="C65" s="307" t="n"/>
      <c r="D65" s="146" t="n"/>
      <c r="E65" s="307" t="n"/>
      <c r="F65" s="307" t="n"/>
      <c r="G65" s="307" t="n"/>
      <c r="H65" s="307" t="n"/>
      <c r="I65" s="307" t="n"/>
      <c r="J65" s="307" t="n"/>
      <c r="K65" s="307" t="n"/>
      <c r="L65" s="307" t="n"/>
      <c r="M65" s="307" t="n"/>
      <c r="N65" s="307" t="n"/>
      <c r="O65" s="233" t="n"/>
      <c r="P65" s="233" t="n"/>
      <c r="Q65" s="233" t="n"/>
      <c r="R65" s="233" t="n"/>
      <c r="S65" s="233" t="n"/>
      <c r="T65" s="233" t="n"/>
      <c r="U65" s="233" t="n"/>
      <c r="V65" s="233" t="n"/>
      <c r="W65" s="233" t="n"/>
      <c r="X65" s="233" t="n"/>
      <c r="Y65" s="233" t="n"/>
      <c r="Z65" s="233" t="n"/>
      <c r="AA65" s="233" t="n"/>
      <c r="AB65" s="233" t="n"/>
      <c r="AC65" s="233" t="n"/>
      <c r="AD65" s="233" t="n"/>
      <c r="AE65" s="233" t="n"/>
      <c r="AF65" s="233" t="n"/>
      <c r="AG65" s="233" t="n"/>
      <c r="AH65" s="233" t="n"/>
      <c r="AI65" s="233" t="n"/>
      <c r="AJ65" s="233" t="n"/>
      <c r="AK65" s="233" t="n"/>
      <c r="AL65" s="233" t="n"/>
      <c r="AM65" s="233" t="n"/>
      <c r="AN65" s="233" t="n"/>
      <c r="AO65" s="233" t="n"/>
      <c r="AP65" s="233" t="n"/>
      <c r="AQ65" s="233" t="n"/>
      <c r="AR65" s="233" t="n"/>
      <c r="AS65" s="233" t="n"/>
      <c r="AT65" s="233" t="n"/>
      <c r="AU65" s="233" t="n"/>
      <c r="AV65" s="233" t="n"/>
      <c r="AW65" s="233" t="n"/>
      <c r="AX65" s="233" t="n"/>
      <c r="AY65" s="233" t="n"/>
      <c r="AZ65" s="233" t="n"/>
      <c r="BA65" s="233" t="n"/>
      <c r="BB65" s="233" t="n"/>
      <c r="BC65" s="233" t="n"/>
      <c r="BD65" s="233" t="n"/>
      <c r="BE65" s="233" t="n"/>
      <c r="BF65" s="233" t="n"/>
      <c r="BG65" s="233" t="n"/>
      <c r="BH65" s="233" t="n"/>
      <c r="BI65" s="233" t="n"/>
      <c r="BJ65" s="233" t="n"/>
      <c r="BK65" s="233" t="n"/>
      <c r="BL65" s="233" t="n"/>
      <c r="BM65" s="233" t="n"/>
    </row>
    <row r="66" ht="15.75" customHeight="1" s="349">
      <c r="A66" s="31" t="n"/>
      <c r="B66" s="307" t="n"/>
      <c r="C66" s="307" t="n"/>
      <c r="D66" s="146" t="n"/>
      <c r="E66" s="307" t="n"/>
      <c r="F66" s="307" t="n"/>
      <c r="G66" s="307" t="n"/>
      <c r="H66" s="307" t="n"/>
      <c r="I66" s="307" t="n"/>
      <c r="J66" s="307" t="n"/>
      <c r="K66" s="307" t="n"/>
      <c r="L66" s="307" t="n"/>
      <c r="M66" s="307" t="n"/>
      <c r="N66" s="307" t="n"/>
      <c r="O66" s="233" t="n"/>
      <c r="P66" s="233" t="n"/>
      <c r="Q66" s="233" t="n"/>
      <c r="R66" s="233" t="n"/>
      <c r="S66" s="233" t="n"/>
      <c r="T66" s="233" t="n"/>
      <c r="U66" s="233" t="n"/>
      <c r="V66" s="233" t="n"/>
      <c r="W66" s="233" t="n"/>
      <c r="X66" s="233" t="n"/>
      <c r="Y66" s="233" t="n"/>
      <c r="Z66" s="233" t="n"/>
      <c r="AA66" s="233" t="n"/>
      <c r="AB66" s="233" t="n"/>
      <c r="AC66" s="233" t="n"/>
      <c r="AD66" s="233" t="n"/>
      <c r="AE66" s="233" t="n"/>
      <c r="AF66" s="233" t="n"/>
      <c r="AG66" s="233" t="n"/>
      <c r="AH66" s="233" t="n"/>
      <c r="AI66" s="233" t="n"/>
      <c r="AJ66" s="233" t="n"/>
      <c r="AK66" s="233" t="n"/>
      <c r="AL66" s="233" t="n"/>
      <c r="AM66" s="233" t="n"/>
      <c r="AN66" s="233" t="n"/>
      <c r="AO66" s="233" t="n"/>
      <c r="AP66" s="233" t="n"/>
      <c r="AQ66" s="233" t="n"/>
      <c r="AR66" s="233" t="n"/>
      <c r="AS66" s="233" t="n"/>
      <c r="AT66" s="233" t="n"/>
      <c r="AU66" s="233" t="n"/>
      <c r="AV66" s="233" t="n"/>
      <c r="AW66" s="233" t="n"/>
      <c r="AX66" s="233" t="n"/>
      <c r="AY66" s="233" t="n"/>
      <c r="AZ66" s="233" t="n"/>
      <c r="BA66" s="233" t="n"/>
      <c r="BB66" s="233" t="n"/>
      <c r="BC66" s="233" t="n"/>
      <c r="BD66" s="233" t="n"/>
      <c r="BE66" s="233" t="n"/>
      <c r="BF66" s="233" t="n"/>
      <c r="BG66" s="233" t="n"/>
      <c r="BH66" s="233" t="n"/>
      <c r="BI66" s="233" t="n"/>
      <c r="BJ66" s="233" t="n"/>
      <c r="BK66" s="233" t="n"/>
      <c r="BL66" s="233" t="n"/>
      <c r="BM66" s="233" t="n"/>
    </row>
    <row r="67" ht="15.75" customHeight="1" s="349">
      <c r="A67" s="31" t="n"/>
      <c r="B67" s="307" t="n"/>
      <c r="C67" s="307" t="n"/>
      <c r="D67" s="146" t="n"/>
      <c r="E67" s="307" t="n"/>
      <c r="F67" s="307" t="n"/>
      <c r="G67" s="307" t="n"/>
      <c r="H67" s="307" t="n"/>
      <c r="I67" s="307" t="n"/>
      <c r="J67" s="307" t="n"/>
      <c r="K67" s="307" t="n"/>
      <c r="L67" s="307" t="n"/>
      <c r="M67" s="307" t="n"/>
      <c r="N67" s="307" t="n"/>
      <c r="O67" s="233" t="n"/>
      <c r="P67" s="233" t="n"/>
      <c r="Q67" s="233" t="n"/>
      <c r="R67" s="233" t="n"/>
      <c r="S67" s="233" t="n"/>
      <c r="T67" s="233" t="n"/>
      <c r="U67" s="233" t="n"/>
      <c r="V67" s="233" t="n"/>
      <c r="W67" s="233" t="n"/>
      <c r="X67" s="233" t="n"/>
      <c r="Y67" s="233" t="n"/>
      <c r="Z67" s="233" t="n"/>
      <c r="AA67" s="233" t="n"/>
      <c r="AB67" s="233" t="n"/>
      <c r="AC67" s="233" t="n"/>
      <c r="AD67" s="233" t="n"/>
      <c r="AE67" s="233" t="n"/>
      <c r="AF67" s="233" t="n"/>
      <c r="AG67" s="233" t="n"/>
      <c r="AH67" s="233" t="n"/>
      <c r="AI67" s="233" t="n"/>
      <c r="AJ67" s="233" t="n"/>
      <c r="AK67" s="233" t="n"/>
      <c r="AL67" s="233" t="n"/>
      <c r="AM67" s="233" t="n"/>
      <c r="AN67" s="233" t="n"/>
      <c r="AO67" s="233" t="n"/>
      <c r="AP67" s="233" t="n"/>
      <c r="AQ67" s="233" t="n"/>
      <c r="AR67" s="233" t="n"/>
      <c r="AS67" s="233" t="n"/>
      <c r="AT67" s="233" t="n"/>
      <c r="AU67" s="233" t="n"/>
      <c r="AV67" s="233" t="n"/>
      <c r="AW67" s="233" t="n"/>
      <c r="AX67" s="233" t="n"/>
      <c r="AY67" s="233" t="n"/>
      <c r="AZ67" s="233" t="n"/>
      <c r="BA67" s="233" t="n"/>
      <c r="BB67" s="233" t="n"/>
      <c r="BC67" s="233" t="n"/>
      <c r="BD67" s="233" t="n"/>
      <c r="BE67" s="233" t="n"/>
      <c r="BF67" s="233" t="n"/>
      <c r="BG67" s="233" t="n"/>
      <c r="BH67" s="233" t="n"/>
      <c r="BI67" s="233" t="n"/>
      <c r="BJ67" s="233" t="n"/>
      <c r="BK67" s="233" t="n"/>
      <c r="BL67" s="233" t="n"/>
      <c r="BM67" s="233" t="n"/>
    </row>
    <row r="68" ht="15.75" customHeight="1" s="349">
      <c r="A68" s="31" t="n"/>
      <c r="B68" s="307" t="n"/>
      <c r="C68" s="307" t="n"/>
      <c r="D68" s="146" t="n"/>
      <c r="E68" s="307" t="n"/>
      <c r="F68" s="307" t="n"/>
      <c r="G68" s="307" t="n"/>
      <c r="H68" s="307" t="n"/>
      <c r="I68" s="307" t="n"/>
      <c r="J68" s="307" t="n"/>
      <c r="K68" s="307" t="n"/>
      <c r="L68" s="307" t="n"/>
      <c r="M68" s="307" t="n"/>
      <c r="N68" s="307" t="n"/>
      <c r="O68" s="233" t="n"/>
      <c r="P68" s="233" t="n"/>
      <c r="Q68" s="233" t="n"/>
      <c r="R68" s="233" t="n"/>
      <c r="S68" s="233" t="n"/>
      <c r="T68" s="233" t="n"/>
      <c r="U68" s="233" t="n"/>
      <c r="V68" s="233" t="n"/>
      <c r="W68" s="233" t="n"/>
      <c r="X68" s="233" t="n"/>
      <c r="Y68" s="233" t="n"/>
      <c r="Z68" s="233" t="n"/>
      <c r="AA68" s="233" t="n"/>
      <c r="AB68" s="233" t="n"/>
      <c r="AC68" s="233" t="n"/>
      <c r="AD68" s="233" t="n"/>
      <c r="AE68" s="233" t="n"/>
      <c r="AF68" s="233" t="n"/>
      <c r="AG68" s="233" t="n"/>
      <c r="AH68" s="233" t="n"/>
      <c r="AI68" s="233" t="n"/>
      <c r="AJ68" s="233" t="n"/>
      <c r="AK68" s="233" t="n"/>
      <c r="AL68" s="233" t="n"/>
      <c r="AM68" s="233" t="n"/>
      <c r="AN68" s="233" t="n"/>
      <c r="AO68" s="233" t="n"/>
      <c r="AP68" s="233" t="n"/>
      <c r="AQ68" s="233" t="n"/>
      <c r="AR68" s="233" t="n"/>
      <c r="AS68" s="233" t="n"/>
      <c r="AT68" s="233" t="n"/>
      <c r="AU68" s="233" t="n"/>
      <c r="AV68" s="233" t="n"/>
      <c r="AW68" s="233" t="n"/>
      <c r="AX68" s="233" t="n"/>
      <c r="AY68" s="233" t="n"/>
      <c r="AZ68" s="233" t="n"/>
      <c r="BA68" s="233" t="n"/>
      <c r="BB68" s="233" t="n"/>
      <c r="BC68" s="233" t="n"/>
      <c r="BD68" s="233" t="n"/>
      <c r="BE68" s="233" t="n"/>
      <c r="BF68" s="233" t="n"/>
      <c r="BG68" s="233" t="n"/>
      <c r="BH68" s="233" t="n"/>
      <c r="BI68" s="233" t="n"/>
      <c r="BJ68" s="233" t="n"/>
      <c r="BK68" s="233" t="n"/>
      <c r="BL68" s="233" t="n"/>
      <c r="BM68" s="233" t="n"/>
    </row>
    <row r="69" ht="15.75" customHeight="1" s="349">
      <c r="A69" s="31" t="n"/>
      <c r="B69" s="307" t="n"/>
      <c r="C69" s="307" t="n"/>
      <c r="D69" s="146" t="n"/>
      <c r="E69" s="307" t="n"/>
      <c r="F69" s="307" t="n"/>
      <c r="G69" s="307" t="n"/>
      <c r="H69" s="307" t="n"/>
      <c r="I69" s="307" t="n"/>
      <c r="J69" s="307" t="n"/>
      <c r="K69" s="307" t="n"/>
      <c r="L69" s="307" t="n"/>
      <c r="M69" s="307" t="n"/>
      <c r="N69" s="307" t="n"/>
      <c r="O69" s="233" t="n"/>
      <c r="P69" s="233" t="n"/>
      <c r="Q69" s="233" t="n"/>
      <c r="R69" s="233" t="n"/>
      <c r="S69" s="233" t="n"/>
      <c r="T69" s="233" t="n"/>
      <c r="U69" s="233" t="n"/>
      <c r="V69" s="233" t="n"/>
      <c r="W69" s="233" t="n"/>
      <c r="X69" s="233" t="n"/>
      <c r="Y69" s="233" t="n"/>
      <c r="Z69" s="233" t="n"/>
      <c r="AA69" s="233" t="n"/>
      <c r="AB69" s="233" t="n"/>
      <c r="AC69" s="233" t="n"/>
      <c r="AD69" s="233" t="n"/>
      <c r="AE69" s="233" t="n"/>
      <c r="AF69" s="233" t="n"/>
      <c r="AG69" s="233" t="n"/>
      <c r="AH69" s="233" t="n"/>
      <c r="AI69" s="233" t="n"/>
      <c r="AJ69" s="233" t="n"/>
      <c r="AK69" s="233" t="n"/>
      <c r="AL69" s="233" t="n"/>
      <c r="AM69" s="233" t="n"/>
      <c r="AN69" s="233" t="n"/>
      <c r="AO69" s="233" t="n"/>
      <c r="AP69" s="233" t="n"/>
      <c r="AQ69" s="233" t="n"/>
      <c r="AR69" s="233" t="n"/>
      <c r="AS69" s="233" t="n"/>
      <c r="AT69" s="233" t="n"/>
      <c r="AU69" s="233" t="n"/>
      <c r="AV69" s="233" t="n"/>
      <c r="AW69" s="233" t="n"/>
      <c r="AX69" s="233" t="n"/>
      <c r="AY69" s="233" t="n"/>
      <c r="AZ69" s="233" t="n"/>
      <c r="BA69" s="233" t="n"/>
      <c r="BB69" s="233" t="n"/>
      <c r="BC69" s="233" t="n"/>
      <c r="BD69" s="233" t="n"/>
      <c r="BE69" s="233" t="n"/>
      <c r="BF69" s="233" t="n"/>
      <c r="BG69" s="233" t="n"/>
      <c r="BH69" s="233" t="n"/>
      <c r="BI69" s="233" t="n"/>
      <c r="BJ69" s="233" t="n"/>
      <c r="BK69" s="233" t="n"/>
      <c r="BL69" s="233" t="n"/>
      <c r="BM69" s="233" t="n"/>
    </row>
    <row r="70" ht="15.75" customHeight="1" s="349">
      <c r="A70" s="31" t="n"/>
      <c r="B70" s="307" t="n"/>
      <c r="C70" s="307" t="n"/>
      <c r="D70" s="146" t="n"/>
      <c r="E70" s="307" t="n"/>
      <c r="F70" s="307" t="n"/>
      <c r="G70" s="307" t="n"/>
      <c r="H70" s="307" t="n"/>
      <c r="I70" s="307" t="n"/>
      <c r="J70" s="307" t="n"/>
      <c r="K70" s="307" t="n"/>
      <c r="L70" s="307" t="n"/>
      <c r="M70" s="307" t="n"/>
      <c r="N70" s="307" t="n"/>
      <c r="O70" s="233" t="n"/>
      <c r="P70" s="233" t="n"/>
      <c r="Q70" s="233" t="n"/>
      <c r="R70" s="233" t="n"/>
      <c r="S70" s="233" t="n"/>
      <c r="T70" s="233" t="n"/>
      <c r="U70" s="233" t="n"/>
      <c r="V70" s="233" t="n"/>
      <c r="W70" s="233" t="n"/>
      <c r="X70" s="233" t="n"/>
      <c r="Y70" s="233" t="n"/>
      <c r="Z70" s="233" t="n"/>
      <c r="AA70" s="233" t="n"/>
      <c r="AB70" s="233" t="n"/>
      <c r="AC70" s="233" t="n"/>
      <c r="AD70" s="233" t="n"/>
      <c r="AE70" s="233" t="n"/>
      <c r="AF70" s="233" t="n"/>
      <c r="AG70" s="233" t="n"/>
      <c r="AH70" s="233" t="n"/>
      <c r="AI70" s="233" t="n"/>
      <c r="AJ70" s="233" t="n"/>
      <c r="AK70" s="233" t="n"/>
      <c r="AL70" s="233" t="n"/>
      <c r="AM70" s="233" t="n"/>
      <c r="AN70" s="233" t="n"/>
      <c r="AO70" s="233" t="n"/>
      <c r="AP70" s="233" t="n"/>
      <c r="AQ70" s="233" t="n"/>
      <c r="AR70" s="233" t="n"/>
      <c r="AS70" s="233" t="n"/>
      <c r="AT70" s="233" t="n"/>
      <c r="AU70" s="233" t="n"/>
      <c r="AV70" s="233" t="n"/>
      <c r="AW70" s="233" t="n"/>
      <c r="AX70" s="233" t="n"/>
      <c r="AY70" s="233" t="n"/>
      <c r="AZ70" s="233" t="n"/>
      <c r="BA70" s="233" t="n"/>
      <c r="BB70" s="233" t="n"/>
      <c r="BC70" s="233" t="n"/>
      <c r="BD70" s="233" t="n"/>
      <c r="BE70" s="233" t="n"/>
      <c r="BF70" s="233" t="n"/>
      <c r="BG70" s="233" t="n"/>
      <c r="BH70" s="233" t="n"/>
      <c r="BI70" s="233" t="n"/>
      <c r="BJ70" s="233" t="n"/>
      <c r="BK70" s="233" t="n"/>
      <c r="BL70" s="233" t="n"/>
      <c r="BM70" s="233" t="n"/>
    </row>
    <row r="71" ht="15.75" customHeight="1" s="349">
      <c r="A71" s="31" t="n"/>
      <c r="B71" s="307" t="n"/>
      <c r="C71" s="307" t="n"/>
      <c r="D71" s="146" t="n"/>
      <c r="E71" s="307" t="n"/>
      <c r="F71" s="307" t="n"/>
      <c r="G71" s="307" t="n"/>
      <c r="H71" s="307" t="n"/>
      <c r="I71" s="307" t="n"/>
      <c r="J71" s="307" t="n"/>
      <c r="K71" s="307" t="n"/>
      <c r="L71" s="307" t="n"/>
      <c r="M71" s="307" t="n"/>
      <c r="N71" s="307" t="n"/>
      <c r="O71" s="233" t="n"/>
      <c r="P71" s="233" t="n"/>
      <c r="Q71" s="233" t="n"/>
      <c r="R71" s="233" t="n"/>
      <c r="S71" s="233" t="n"/>
      <c r="T71" s="233" t="n"/>
      <c r="U71" s="233" t="n"/>
      <c r="V71" s="233" t="n"/>
      <c r="W71" s="233" t="n"/>
      <c r="X71" s="233" t="n"/>
      <c r="Y71" s="233" t="n"/>
      <c r="Z71" s="233" t="n"/>
      <c r="AA71" s="233" t="n"/>
      <c r="AB71" s="233" t="n"/>
      <c r="AC71" s="233" t="n"/>
      <c r="AD71" s="233" t="n"/>
      <c r="AE71" s="233" t="n"/>
      <c r="AF71" s="233" t="n"/>
      <c r="AG71" s="233" t="n"/>
      <c r="AH71" s="233" t="n"/>
      <c r="AI71" s="233" t="n"/>
      <c r="AJ71" s="233" t="n"/>
      <c r="AK71" s="233" t="n"/>
      <c r="AL71" s="233" t="n"/>
      <c r="AM71" s="233" t="n"/>
      <c r="AN71" s="233" t="n"/>
      <c r="AO71" s="233" t="n"/>
      <c r="AP71" s="233" t="n"/>
      <c r="AQ71" s="233" t="n"/>
      <c r="AR71" s="233" t="n"/>
      <c r="AS71" s="233" t="n"/>
      <c r="AT71" s="233" t="n"/>
      <c r="AU71" s="233" t="n"/>
      <c r="AV71" s="233" t="n"/>
      <c r="AW71" s="233" t="n"/>
      <c r="AX71" s="233" t="n"/>
      <c r="AY71" s="233" t="n"/>
      <c r="AZ71" s="233" t="n"/>
      <c r="BA71" s="233" t="n"/>
      <c r="BB71" s="233" t="n"/>
      <c r="BC71" s="233" t="n"/>
      <c r="BD71" s="233" t="n"/>
      <c r="BE71" s="233" t="n"/>
      <c r="BF71" s="233" t="n"/>
      <c r="BG71" s="233" t="n"/>
      <c r="BH71" s="233" t="n"/>
      <c r="BI71" s="233" t="n"/>
      <c r="BJ71" s="233" t="n"/>
      <c r="BK71" s="233" t="n"/>
      <c r="BL71" s="233" t="n"/>
      <c r="BM71" s="233" t="n"/>
    </row>
    <row r="72" ht="15.75" customHeight="1" s="349">
      <c r="A72" s="31" t="n"/>
      <c r="B72" s="307" t="n"/>
      <c r="C72" s="307" t="n"/>
      <c r="D72" s="146" t="n"/>
      <c r="E72" s="307" t="n"/>
      <c r="F72" s="307" t="n"/>
      <c r="G72" s="307" t="n"/>
      <c r="H72" s="307" t="n"/>
      <c r="I72" s="307" t="n"/>
      <c r="J72" s="307" t="n"/>
      <c r="K72" s="307" t="n"/>
      <c r="L72" s="307" t="n"/>
      <c r="M72" s="307" t="n"/>
      <c r="N72" s="307" t="n"/>
      <c r="O72" s="233" t="n"/>
      <c r="P72" s="233" t="n"/>
      <c r="Q72" s="233" t="n"/>
      <c r="R72" s="233" t="n"/>
      <c r="S72" s="233" t="n"/>
      <c r="T72" s="233" t="n"/>
      <c r="U72" s="233" t="n"/>
      <c r="V72" s="233" t="n"/>
      <c r="W72" s="233" t="n"/>
      <c r="X72" s="233" t="n"/>
      <c r="Y72" s="233" t="n"/>
      <c r="Z72" s="233" t="n"/>
      <c r="AA72" s="233" t="n"/>
      <c r="AB72" s="233" t="n"/>
      <c r="AC72" s="233" t="n"/>
      <c r="AD72" s="233" t="n"/>
      <c r="AE72" s="233" t="n"/>
      <c r="AF72" s="233" t="n"/>
      <c r="AG72" s="233" t="n"/>
      <c r="AH72" s="233" t="n"/>
      <c r="AI72" s="233" t="n"/>
      <c r="AJ72" s="233" t="n"/>
      <c r="AK72" s="233" t="n"/>
      <c r="AL72" s="233" t="n"/>
      <c r="AM72" s="233" t="n"/>
      <c r="AN72" s="233" t="n"/>
      <c r="AO72" s="233" t="n"/>
      <c r="AP72" s="233" t="n"/>
      <c r="AQ72" s="233" t="n"/>
      <c r="AR72" s="233" t="n"/>
      <c r="AS72" s="233" t="n"/>
      <c r="AT72" s="233" t="n"/>
      <c r="AU72" s="233" t="n"/>
      <c r="AV72" s="233" t="n"/>
      <c r="AW72" s="233" t="n"/>
      <c r="AX72" s="233" t="n"/>
      <c r="AY72" s="233" t="n"/>
      <c r="AZ72" s="233" t="n"/>
      <c r="BA72" s="233" t="n"/>
      <c r="BB72" s="233" t="n"/>
      <c r="BC72" s="233" t="n"/>
      <c r="BD72" s="233" t="n"/>
      <c r="BE72" s="233" t="n"/>
      <c r="BF72" s="233" t="n"/>
      <c r="BG72" s="233" t="n"/>
      <c r="BH72" s="233" t="n"/>
      <c r="BI72" s="233" t="n"/>
      <c r="BJ72" s="233" t="n"/>
      <c r="BK72" s="233" t="n"/>
      <c r="BL72" s="233" t="n"/>
      <c r="BM72" s="233" t="n"/>
    </row>
    <row r="73" ht="15.75" customHeight="1" s="349">
      <c r="A73" s="31" t="n"/>
      <c r="B73" s="307" t="n"/>
      <c r="C73" s="307" t="n"/>
      <c r="D73" s="146" t="n"/>
      <c r="E73" s="307" t="n"/>
      <c r="F73" s="307" t="n"/>
      <c r="G73" s="307" t="n"/>
      <c r="H73" s="307" t="n"/>
      <c r="I73" s="307" t="n"/>
      <c r="J73" s="307" t="n"/>
      <c r="K73" s="307" t="n"/>
      <c r="L73" s="307" t="n"/>
      <c r="M73" s="307" t="n"/>
      <c r="N73" s="307" t="n"/>
      <c r="O73" s="233" t="n"/>
      <c r="P73" s="233" t="n"/>
      <c r="Q73" s="233" t="n"/>
      <c r="R73" s="233" t="n"/>
      <c r="S73" s="233" t="n"/>
      <c r="T73" s="233" t="n"/>
      <c r="U73" s="233" t="n"/>
      <c r="V73" s="233" t="n"/>
      <c r="W73" s="233" t="n"/>
      <c r="X73" s="233" t="n"/>
      <c r="Y73" s="233" t="n"/>
      <c r="Z73" s="233" t="n"/>
      <c r="AA73" s="233" t="n"/>
      <c r="AB73" s="233" t="n"/>
      <c r="AC73" s="233" t="n"/>
      <c r="AD73" s="233" t="n"/>
      <c r="AE73" s="233" t="n"/>
      <c r="AF73" s="233" t="n"/>
      <c r="AG73" s="233" t="n"/>
      <c r="AH73" s="233" t="n"/>
      <c r="AI73" s="233" t="n"/>
      <c r="AJ73" s="233" t="n"/>
      <c r="AK73" s="233" t="n"/>
      <c r="AL73" s="233" t="n"/>
      <c r="AM73" s="233" t="n"/>
      <c r="AN73" s="233" t="n"/>
      <c r="AO73" s="233" t="n"/>
      <c r="AP73" s="233" t="n"/>
      <c r="AQ73" s="233" t="n"/>
      <c r="AR73" s="233" t="n"/>
      <c r="AS73" s="233" t="n"/>
      <c r="AT73" s="233" t="n"/>
      <c r="AU73" s="233" t="n"/>
      <c r="AV73" s="233" t="n"/>
      <c r="AW73" s="233" t="n"/>
      <c r="AX73" s="233" t="n"/>
      <c r="AY73" s="233" t="n"/>
      <c r="AZ73" s="233" t="n"/>
      <c r="BA73" s="233" t="n"/>
      <c r="BB73" s="233" t="n"/>
      <c r="BC73" s="233" t="n"/>
      <c r="BD73" s="233" t="n"/>
      <c r="BE73" s="233" t="n"/>
      <c r="BF73" s="233" t="n"/>
      <c r="BG73" s="233" t="n"/>
      <c r="BH73" s="233" t="n"/>
      <c r="BI73" s="233" t="n"/>
      <c r="BJ73" s="233" t="n"/>
      <c r="BK73" s="233" t="n"/>
      <c r="BL73" s="233" t="n"/>
      <c r="BM73" s="233" t="n"/>
    </row>
    <row r="74" ht="15.75" customHeight="1" s="349">
      <c r="A74" s="31" t="n"/>
      <c r="B74" s="307" t="n"/>
      <c r="C74" s="307" t="n"/>
      <c r="D74" s="146" t="n"/>
      <c r="E74" s="307" t="n"/>
      <c r="F74" s="307" t="n"/>
      <c r="G74" s="307" t="n"/>
      <c r="H74" s="307" t="n"/>
      <c r="I74" s="307" t="n"/>
      <c r="J74" s="307" t="n"/>
      <c r="K74" s="307" t="n"/>
      <c r="L74" s="307" t="n"/>
      <c r="M74" s="307" t="n"/>
      <c r="N74" s="307" t="n"/>
      <c r="O74" s="233" t="n"/>
      <c r="P74" s="233" t="n"/>
      <c r="Q74" s="233" t="n"/>
      <c r="R74" s="233" t="n"/>
      <c r="S74" s="233" t="n"/>
      <c r="T74" s="233" t="n"/>
      <c r="U74" s="233" t="n"/>
      <c r="V74" s="233" t="n"/>
      <c r="W74" s="233" t="n"/>
      <c r="X74" s="233" t="n"/>
      <c r="Y74" s="233" t="n"/>
      <c r="Z74" s="233" t="n"/>
      <c r="AA74" s="233" t="n"/>
      <c r="AB74" s="233" t="n"/>
      <c r="AC74" s="233" t="n"/>
      <c r="AD74" s="233" t="n"/>
      <c r="AE74" s="233" t="n"/>
      <c r="AF74" s="233" t="n"/>
      <c r="AG74" s="233" t="n"/>
      <c r="AH74" s="233" t="n"/>
      <c r="AI74" s="233" t="n"/>
      <c r="AJ74" s="233" t="n"/>
      <c r="AK74" s="233" t="n"/>
      <c r="AL74" s="233" t="n"/>
      <c r="AM74" s="233" t="n"/>
      <c r="AN74" s="233" t="n"/>
      <c r="AO74" s="233" t="n"/>
      <c r="AP74" s="233" t="n"/>
      <c r="AQ74" s="233" t="n"/>
      <c r="AR74" s="233" t="n"/>
      <c r="AS74" s="233" t="n"/>
      <c r="AT74" s="233" t="n"/>
      <c r="AU74" s="233" t="n"/>
      <c r="AV74" s="233" t="n"/>
      <c r="AW74" s="233" t="n"/>
      <c r="AX74" s="233" t="n"/>
      <c r="AY74" s="233" t="n"/>
      <c r="AZ74" s="233" t="n"/>
      <c r="BA74" s="233" t="n"/>
      <c r="BB74" s="233" t="n"/>
      <c r="BC74" s="233" t="n"/>
      <c r="BD74" s="233" t="n"/>
      <c r="BE74" s="233" t="n"/>
      <c r="BF74" s="233" t="n"/>
      <c r="BG74" s="233" t="n"/>
      <c r="BH74" s="233" t="n"/>
      <c r="BI74" s="233" t="n"/>
      <c r="BJ74" s="233" t="n"/>
      <c r="BK74" s="233" t="n"/>
      <c r="BL74" s="233" t="n"/>
      <c r="BM74" s="233" t="n"/>
    </row>
    <row r="75" ht="15.75" customHeight="1" s="349">
      <c r="A75" s="31" t="n"/>
      <c r="B75" s="307" t="n"/>
      <c r="C75" s="307" t="n"/>
      <c r="D75" s="146" t="n"/>
      <c r="E75" s="307" t="n"/>
      <c r="F75" s="307" t="n"/>
      <c r="G75" s="307" t="n"/>
      <c r="H75" s="307" t="n"/>
      <c r="I75" s="307" t="n"/>
      <c r="J75" s="307" t="n"/>
      <c r="K75" s="307" t="n"/>
      <c r="L75" s="307" t="n"/>
      <c r="M75" s="307" t="n"/>
      <c r="N75" s="307" t="n"/>
      <c r="O75" s="233" t="n"/>
      <c r="P75" s="233" t="n"/>
      <c r="Q75" s="233" t="n"/>
      <c r="R75" s="233" t="n"/>
      <c r="S75" s="233" t="n"/>
      <c r="T75" s="233" t="n"/>
      <c r="U75" s="233" t="n"/>
      <c r="V75" s="233" t="n"/>
      <c r="W75" s="233" t="n"/>
      <c r="X75" s="233" t="n"/>
      <c r="Y75" s="233" t="n"/>
      <c r="Z75" s="233" t="n"/>
      <c r="AA75" s="233" t="n"/>
      <c r="AB75" s="233" t="n"/>
      <c r="AC75" s="233" t="n"/>
      <c r="AD75" s="233" t="n"/>
      <c r="AE75" s="233" t="n"/>
      <c r="AF75" s="233" t="n"/>
      <c r="AG75" s="233" t="n"/>
      <c r="AH75" s="233" t="n"/>
      <c r="AI75" s="233" t="n"/>
      <c r="AJ75" s="233" t="n"/>
      <c r="AK75" s="233" t="n"/>
      <c r="AL75" s="233" t="n"/>
      <c r="AM75" s="233" t="n"/>
      <c r="AN75" s="233" t="n"/>
      <c r="AO75" s="233" t="n"/>
      <c r="AP75" s="233" t="n"/>
      <c r="AQ75" s="233" t="n"/>
      <c r="AR75" s="233" t="n"/>
      <c r="AS75" s="233" t="n"/>
      <c r="AT75" s="233" t="n"/>
      <c r="AU75" s="233" t="n"/>
      <c r="AV75" s="233" t="n"/>
      <c r="AW75" s="233" t="n"/>
      <c r="AX75" s="233" t="n"/>
      <c r="AY75" s="233" t="n"/>
      <c r="AZ75" s="233" t="n"/>
      <c r="BA75" s="233" t="n"/>
      <c r="BB75" s="233" t="n"/>
      <c r="BC75" s="233" t="n"/>
      <c r="BD75" s="233" t="n"/>
      <c r="BE75" s="233" t="n"/>
      <c r="BF75" s="233" t="n"/>
      <c r="BG75" s="233" t="n"/>
      <c r="BH75" s="233" t="n"/>
      <c r="BI75" s="233" t="n"/>
      <c r="BJ75" s="233" t="n"/>
      <c r="BK75" s="233" t="n"/>
      <c r="BL75" s="233" t="n"/>
      <c r="BM75" s="233" t="n"/>
    </row>
    <row r="76" ht="15.75" customHeight="1" s="349">
      <c r="A76" s="31" t="n"/>
      <c r="B76" s="307" t="n"/>
      <c r="C76" s="307" t="n"/>
      <c r="D76" s="146" t="n"/>
      <c r="E76" s="307" t="n"/>
      <c r="F76" s="307" t="n"/>
      <c r="G76" s="307" t="n"/>
      <c r="H76" s="307" t="n"/>
      <c r="I76" s="307" t="n"/>
      <c r="J76" s="307" t="n"/>
      <c r="K76" s="307" t="n"/>
      <c r="L76" s="307" t="n"/>
      <c r="M76" s="307" t="n"/>
      <c r="N76" s="307" t="n"/>
      <c r="O76" s="233" t="n"/>
      <c r="P76" s="233" t="n"/>
      <c r="Q76" s="233" t="n"/>
      <c r="R76" s="233" t="n"/>
      <c r="S76" s="233" t="n"/>
      <c r="T76" s="233" t="n"/>
      <c r="U76" s="233" t="n"/>
      <c r="V76" s="233" t="n"/>
      <c r="W76" s="233" t="n"/>
      <c r="X76" s="233" t="n"/>
      <c r="Y76" s="233" t="n"/>
      <c r="Z76" s="233" t="n"/>
      <c r="AA76" s="233" t="n"/>
      <c r="AB76" s="233" t="n"/>
      <c r="AC76" s="233" t="n"/>
      <c r="AD76" s="233" t="n"/>
      <c r="AE76" s="233" t="n"/>
      <c r="AF76" s="233" t="n"/>
      <c r="AG76" s="233" t="n"/>
      <c r="AH76" s="233" t="n"/>
      <c r="AI76" s="233" t="n"/>
      <c r="AJ76" s="233" t="n"/>
      <c r="AK76" s="233" t="n"/>
      <c r="AL76" s="233" t="n"/>
      <c r="AM76" s="233" t="n"/>
      <c r="AN76" s="233" t="n"/>
      <c r="AO76" s="233" t="n"/>
      <c r="AP76" s="233" t="n"/>
      <c r="AQ76" s="233" t="n"/>
      <c r="AR76" s="233" t="n"/>
      <c r="AS76" s="233" t="n"/>
      <c r="AT76" s="233" t="n"/>
      <c r="AU76" s="233" t="n"/>
      <c r="AV76" s="233" t="n"/>
      <c r="AW76" s="233" t="n"/>
      <c r="AX76" s="233" t="n"/>
      <c r="AY76" s="233" t="n"/>
      <c r="AZ76" s="233" t="n"/>
      <c r="BA76" s="233" t="n"/>
      <c r="BB76" s="233" t="n"/>
      <c r="BC76" s="233" t="n"/>
      <c r="BD76" s="233" t="n"/>
      <c r="BE76" s="233" t="n"/>
      <c r="BF76" s="233" t="n"/>
      <c r="BG76" s="233" t="n"/>
      <c r="BH76" s="233" t="n"/>
      <c r="BI76" s="233" t="n"/>
      <c r="BJ76" s="233" t="n"/>
      <c r="BK76" s="233" t="n"/>
      <c r="BL76" s="233" t="n"/>
      <c r="BM76" s="233" t="n"/>
    </row>
    <row r="77" ht="15.75" customHeight="1" s="349">
      <c r="A77" s="31" t="n"/>
      <c r="B77" s="307" t="n"/>
      <c r="C77" s="307" t="n"/>
      <c r="D77" s="146" t="n"/>
      <c r="E77" s="307" t="n"/>
      <c r="F77" s="307" t="n"/>
      <c r="G77" s="307" t="n"/>
      <c r="H77" s="307" t="n"/>
      <c r="I77" s="307" t="n"/>
      <c r="J77" s="307" t="n"/>
      <c r="K77" s="307" t="n"/>
      <c r="L77" s="307" t="n"/>
      <c r="M77" s="307" t="n"/>
      <c r="N77" s="307" t="n"/>
      <c r="O77" s="233" t="n"/>
      <c r="P77" s="233" t="n"/>
      <c r="Q77" s="233" t="n"/>
      <c r="R77" s="233" t="n"/>
      <c r="S77" s="233" t="n"/>
      <c r="T77" s="233" t="n"/>
      <c r="U77" s="233" t="n"/>
      <c r="V77" s="233" t="n"/>
      <c r="W77" s="233" t="n"/>
      <c r="X77" s="233" t="n"/>
      <c r="Y77" s="233" t="n"/>
      <c r="Z77" s="233" t="n"/>
      <c r="AA77" s="233" t="n"/>
      <c r="AB77" s="233" t="n"/>
      <c r="AC77" s="233" t="n"/>
      <c r="AD77" s="233" t="n"/>
      <c r="AE77" s="233" t="n"/>
      <c r="AF77" s="233" t="n"/>
      <c r="AG77" s="233" t="n"/>
      <c r="AH77" s="233" t="n"/>
      <c r="AI77" s="233" t="n"/>
      <c r="AJ77" s="233" t="n"/>
      <c r="AK77" s="233" t="n"/>
      <c r="AL77" s="233" t="n"/>
      <c r="AM77" s="233" t="n"/>
      <c r="AN77" s="233" t="n"/>
      <c r="AO77" s="233" t="n"/>
      <c r="AP77" s="233" t="n"/>
      <c r="AQ77" s="233" t="n"/>
      <c r="AR77" s="233" t="n"/>
      <c r="AS77" s="233" t="n"/>
      <c r="AT77" s="233" t="n"/>
      <c r="AU77" s="233" t="n"/>
      <c r="AV77" s="233" t="n"/>
      <c r="AW77" s="233" t="n"/>
      <c r="AX77" s="233" t="n"/>
      <c r="AY77" s="233" t="n"/>
      <c r="AZ77" s="233" t="n"/>
      <c r="BA77" s="233" t="n"/>
      <c r="BB77" s="233" t="n"/>
      <c r="BC77" s="233" t="n"/>
      <c r="BD77" s="233" t="n"/>
      <c r="BE77" s="233" t="n"/>
      <c r="BF77" s="233" t="n"/>
      <c r="BG77" s="233" t="n"/>
      <c r="BH77" s="233" t="n"/>
      <c r="BI77" s="233" t="n"/>
      <c r="BJ77" s="233" t="n"/>
      <c r="BK77" s="233" t="n"/>
      <c r="BL77" s="233" t="n"/>
      <c r="BM77" s="233" t="n"/>
    </row>
    <row r="78" ht="15.75" customHeight="1" s="349">
      <c r="A78" s="31" t="n"/>
      <c r="B78" s="307" t="n"/>
      <c r="C78" s="307" t="n"/>
      <c r="D78" s="146" t="n"/>
      <c r="E78" s="307" t="n"/>
      <c r="F78" s="307" t="n"/>
      <c r="G78" s="307" t="n"/>
      <c r="H78" s="307" t="n"/>
      <c r="I78" s="307" t="n"/>
      <c r="J78" s="307" t="n"/>
      <c r="K78" s="307" t="n"/>
      <c r="L78" s="307" t="n"/>
      <c r="M78" s="307" t="n"/>
      <c r="N78" s="307" t="n"/>
      <c r="O78" s="233" t="n"/>
      <c r="P78" s="233" t="n"/>
      <c r="Q78" s="233" t="n"/>
      <c r="R78" s="233" t="n"/>
      <c r="S78" s="233" t="n"/>
      <c r="T78" s="233" t="n"/>
      <c r="U78" s="233" t="n"/>
      <c r="V78" s="233" t="n"/>
      <c r="W78" s="233" t="n"/>
      <c r="X78" s="233" t="n"/>
      <c r="Y78" s="233" t="n"/>
      <c r="Z78" s="233" t="n"/>
      <c r="AA78" s="233" t="n"/>
      <c r="AB78" s="233" t="n"/>
      <c r="AC78" s="233" t="n"/>
      <c r="AD78" s="233" t="n"/>
      <c r="AE78" s="233" t="n"/>
      <c r="AF78" s="233" t="n"/>
      <c r="AG78" s="233" t="n"/>
      <c r="AH78" s="233" t="n"/>
      <c r="AI78" s="233" t="n"/>
      <c r="AJ78" s="233" t="n"/>
      <c r="AK78" s="233" t="n"/>
      <c r="AL78" s="233" t="n"/>
      <c r="AM78" s="233" t="n"/>
      <c r="AN78" s="233" t="n"/>
      <c r="AO78" s="233" t="n"/>
      <c r="AP78" s="233" t="n"/>
      <c r="AQ78" s="233" t="n"/>
      <c r="AR78" s="233" t="n"/>
      <c r="AS78" s="233" t="n"/>
      <c r="AT78" s="233" t="n"/>
      <c r="AU78" s="233" t="n"/>
      <c r="AV78" s="233" t="n"/>
      <c r="AW78" s="233" t="n"/>
      <c r="AX78" s="233" t="n"/>
      <c r="AY78" s="233" t="n"/>
      <c r="AZ78" s="233" t="n"/>
      <c r="BA78" s="233" t="n"/>
      <c r="BB78" s="233" t="n"/>
      <c r="BC78" s="233" t="n"/>
      <c r="BD78" s="233" t="n"/>
      <c r="BE78" s="233" t="n"/>
      <c r="BF78" s="233" t="n"/>
      <c r="BG78" s="233" t="n"/>
      <c r="BH78" s="233" t="n"/>
      <c r="BI78" s="233" t="n"/>
      <c r="BJ78" s="233" t="n"/>
      <c r="BK78" s="233" t="n"/>
      <c r="BL78" s="233" t="n"/>
      <c r="BM78" s="233" t="n"/>
    </row>
    <row r="79" ht="15.75" customHeight="1" s="349">
      <c r="A79" s="31" t="n"/>
      <c r="B79" s="307" t="n"/>
      <c r="C79" s="307" t="n"/>
      <c r="D79" s="146" t="n"/>
      <c r="E79" s="307" t="n"/>
      <c r="F79" s="307" t="n"/>
      <c r="G79" s="307" t="n"/>
      <c r="H79" s="307" t="n"/>
      <c r="I79" s="307" t="n"/>
      <c r="J79" s="307" t="n"/>
      <c r="K79" s="307" t="n"/>
      <c r="L79" s="307" t="n"/>
      <c r="M79" s="307" t="n"/>
      <c r="N79" s="307" t="n"/>
      <c r="O79" s="233" t="n"/>
      <c r="P79" s="233" t="n"/>
      <c r="Q79" s="233" t="n"/>
      <c r="R79" s="233" t="n"/>
      <c r="S79" s="233" t="n"/>
      <c r="T79" s="233" t="n"/>
      <c r="U79" s="233" t="n"/>
      <c r="V79" s="233" t="n"/>
      <c r="W79" s="233" t="n"/>
      <c r="X79" s="233" t="n"/>
      <c r="Y79" s="233" t="n"/>
      <c r="Z79" s="233" t="n"/>
      <c r="AA79" s="233" t="n"/>
      <c r="AB79" s="233" t="n"/>
      <c r="AC79" s="233" t="n"/>
      <c r="AD79" s="233" t="n"/>
      <c r="AE79" s="233" t="n"/>
      <c r="AF79" s="233" t="n"/>
      <c r="AG79" s="233" t="n"/>
      <c r="AH79" s="233" t="n"/>
      <c r="AI79" s="233" t="n"/>
      <c r="AJ79" s="233" t="n"/>
      <c r="AK79" s="233" t="n"/>
      <c r="AL79" s="233" t="n"/>
      <c r="AM79" s="233" t="n"/>
      <c r="AN79" s="233" t="n"/>
      <c r="AO79" s="233" t="n"/>
      <c r="AP79" s="233" t="n"/>
      <c r="AQ79" s="233" t="n"/>
      <c r="AR79" s="233" t="n"/>
      <c r="AS79" s="233" t="n"/>
      <c r="AT79" s="233" t="n"/>
      <c r="AU79" s="233" t="n"/>
      <c r="AV79" s="233" t="n"/>
      <c r="AW79" s="233" t="n"/>
      <c r="AX79" s="233" t="n"/>
      <c r="AY79" s="233" t="n"/>
      <c r="AZ79" s="233" t="n"/>
      <c r="BA79" s="233" t="n"/>
      <c r="BB79" s="233" t="n"/>
      <c r="BC79" s="233" t="n"/>
      <c r="BD79" s="233" t="n"/>
      <c r="BE79" s="233" t="n"/>
      <c r="BF79" s="233" t="n"/>
      <c r="BG79" s="233" t="n"/>
      <c r="BH79" s="233" t="n"/>
      <c r="BI79" s="233" t="n"/>
      <c r="BJ79" s="233" t="n"/>
      <c r="BK79" s="233" t="n"/>
      <c r="BL79" s="233" t="n"/>
      <c r="BM79" s="233" t="n"/>
    </row>
    <row r="80" ht="15.75" customHeight="1" s="349">
      <c r="A80" s="31" t="n"/>
      <c r="B80" s="307" t="n"/>
      <c r="C80" s="307" t="n"/>
      <c r="D80" s="146" t="n"/>
      <c r="E80" s="307" t="n"/>
      <c r="F80" s="307" t="n"/>
      <c r="G80" s="307" t="n"/>
      <c r="H80" s="307" t="n"/>
      <c r="I80" s="307" t="n"/>
      <c r="J80" s="307" t="n"/>
      <c r="K80" s="307" t="n"/>
      <c r="L80" s="307" t="n"/>
      <c r="M80" s="307" t="n"/>
      <c r="N80" s="307" t="n"/>
      <c r="O80" s="233" t="n"/>
      <c r="P80" s="233" t="n"/>
      <c r="Q80" s="233" t="n"/>
      <c r="R80" s="233" t="n"/>
      <c r="S80" s="233" t="n"/>
      <c r="T80" s="233" t="n"/>
      <c r="U80" s="233" t="n"/>
      <c r="V80" s="233" t="n"/>
      <c r="W80" s="233" t="n"/>
      <c r="X80" s="233" t="n"/>
      <c r="Y80" s="233" t="n"/>
      <c r="Z80" s="233" t="n"/>
      <c r="AA80" s="233" t="n"/>
      <c r="AB80" s="233" t="n"/>
      <c r="AC80" s="233" t="n"/>
      <c r="AD80" s="233" t="n"/>
      <c r="AE80" s="233" t="n"/>
      <c r="AF80" s="233" t="n"/>
      <c r="AG80" s="233" t="n"/>
      <c r="AH80" s="233" t="n"/>
      <c r="AI80" s="233" t="n"/>
      <c r="AJ80" s="233" t="n"/>
      <c r="AK80" s="233" t="n"/>
      <c r="AL80" s="233" t="n"/>
      <c r="AM80" s="233" t="n"/>
      <c r="AN80" s="233" t="n"/>
      <c r="AO80" s="233" t="n"/>
      <c r="AP80" s="233" t="n"/>
      <c r="AQ80" s="233" t="n"/>
      <c r="AR80" s="233" t="n"/>
      <c r="AS80" s="233" t="n"/>
      <c r="AT80" s="233" t="n"/>
      <c r="AU80" s="233" t="n"/>
      <c r="AV80" s="233" t="n"/>
      <c r="AW80" s="233" t="n"/>
      <c r="AX80" s="233" t="n"/>
      <c r="AY80" s="233" t="n"/>
      <c r="AZ80" s="233" t="n"/>
      <c r="BA80" s="233" t="n"/>
      <c r="BB80" s="233" t="n"/>
      <c r="BC80" s="233" t="n"/>
      <c r="BD80" s="233" t="n"/>
      <c r="BE80" s="233" t="n"/>
      <c r="BF80" s="233" t="n"/>
      <c r="BG80" s="233" t="n"/>
      <c r="BH80" s="233" t="n"/>
      <c r="BI80" s="233" t="n"/>
      <c r="BJ80" s="233" t="n"/>
      <c r="BK80" s="233" t="n"/>
      <c r="BL80" s="233" t="n"/>
      <c r="BM80" s="233" t="n"/>
    </row>
    <row r="81" ht="15.75" customHeight="1" s="349">
      <c r="A81" s="31" t="n"/>
      <c r="B81" s="307" t="n"/>
      <c r="C81" s="307" t="n"/>
      <c r="D81" s="146" t="n"/>
      <c r="E81" s="307" t="n"/>
      <c r="F81" s="307" t="n"/>
      <c r="G81" s="307" t="n"/>
      <c r="H81" s="307" t="n"/>
      <c r="I81" s="307" t="n"/>
      <c r="J81" s="307" t="n"/>
      <c r="K81" s="307" t="n"/>
      <c r="L81" s="307" t="n"/>
      <c r="M81" s="307" t="n"/>
      <c r="N81" s="307" t="n"/>
      <c r="O81" s="233" t="n"/>
      <c r="P81" s="233" t="n"/>
      <c r="Q81" s="233" t="n"/>
      <c r="R81" s="233" t="n"/>
      <c r="S81" s="233" t="n"/>
      <c r="T81" s="233" t="n"/>
      <c r="U81" s="233" t="n"/>
      <c r="V81" s="233" t="n"/>
      <c r="W81" s="233" t="n"/>
      <c r="X81" s="233" t="n"/>
      <c r="Y81" s="233" t="n"/>
      <c r="Z81" s="233" t="n"/>
      <c r="AA81" s="233" t="n"/>
      <c r="AB81" s="233" t="n"/>
      <c r="AC81" s="233" t="n"/>
      <c r="AD81" s="233" t="n"/>
      <c r="AE81" s="233" t="n"/>
      <c r="AF81" s="233" t="n"/>
      <c r="AG81" s="233" t="n"/>
      <c r="AH81" s="233" t="n"/>
      <c r="AI81" s="233" t="n"/>
      <c r="AJ81" s="233" t="n"/>
      <c r="AK81" s="233" t="n"/>
      <c r="AL81" s="233" t="n"/>
      <c r="AM81" s="233" t="n"/>
      <c r="AN81" s="233" t="n"/>
      <c r="AO81" s="233" t="n"/>
      <c r="AP81" s="233" t="n"/>
      <c r="AQ81" s="233" t="n"/>
      <c r="AR81" s="233" t="n"/>
      <c r="AS81" s="233" t="n"/>
      <c r="AT81" s="233" t="n"/>
      <c r="AU81" s="233" t="n"/>
      <c r="AV81" s="233" t="n"/>
      <c r="AW81" s="233" t="n"/>
      <c r="AX81" s="233" t="n"/>
      <c r="AY81" s="233" t="n"/>
      <c r="AZ81" s="233" t="n"/>
      <c r="BA81" s="233" t="n"/>
      <c r="BB81" s="233" t="n"/>
      <c r="BC81" s="233" t="n"/>
      <c r="BD81" s="233" t="n"/>
      <c r="BE81" s="233" t="n"/>
      <c r="BF81" s="233" t="n"/>
      <c r="BG81" s="233" t="n"/>
      <c r="BH81" s="233" t="n"/>
      <c r="BI81" s="233" t="n"/>
      <c r="BJ81" s="233" t="n"/>
      <c r="BK81" s="233" t="n"/>
      <c r="BL81" s="233" t="n"/>
      <c r="BM81" s="233" t="n"/>
    </row>
    <row r="82" ht="15.75" customHeight="1" s="349">
      <c r="A82" s="31" t="n"/>
      <c r="B82" s="307" t="n"/>
      <c r="C82" s="307" t="n"/>
      <c r="D82" s="146" t="n"/>
      <c r="E82" s="307" t="n"/>
      <c r="F82" s="307" t="n"/>
      <c r="G82" s="307" t="n"/>
      <c r="H82" s="307" t="n"/>
      <c r="I82" s="307" t="n"/>
      <c r="J82" s="307" t="n"/>
      <c r="K82" s="307" t="n"/>
      <c r="L82" s="307" t="n"/>
      <c r="M82" s="307" t="n"/>
      <c r="N82" s="307" t="n"/>
      <c r="O82" s="233" t="n"/>
      <c r="P82" s="233" t="n"/>
      <c r="Q82" s="233" t="n"/>
      <c r="R82" s="233" t="n"/>
      <c r="S82" s="233" t="n"/>
      <c r="T82" s="233" t="n"/>
      <c r="U82" s="233" t="n"/>
      <c r="V82" s="233" t="n"/>
      <c r="W82" s="233" t="n"/>
      <c r="X82" s="233" t="n"/>
      <c r="Y82" s="233" t="n"/>
      <c r="Z82" s="233" t="n"/>
      <c r="AA82" s="233" t="n"/>
      <c r="AB82" s="233" t="n"/>
      <c r="AC82" s="233" t="n"/>
      <c r="AD82" s="233" t="n"/>
      <c r="AE82" s="233" t="n"/>
      <c r="AF82" s="233" t="n"/>
      <c r="AG82" s="233" t="n"/>
      <c r="AH82" s="233" t="n"/>
      <c r="AI82" s="233" t="n"/>
      <c r="AJ82" s="233" t="n"/>
      <c r="AK82" s="233" t="n"/>
      <c r="AL82" s="233" t="n"/>
      <c r="AM82" s="233" t="n"/>
      <c r="AN82" s="233" t="n"/>
      <c r="AO82" s="233" t="n"/>
      <c r="AP82" s="233" t="n"/>
      <c r="AQ82" s="233" t="n"/>
      <c r="AR82" s="233" t="n"/>
      <c r="AS82" s="233" t="n"/>
      <c r="AT82" s="233" t="n"/>
      <c r="AU82" s="233" t="n"/>
      <c r="AV82" s="233" t="n"/>
      <c r="AW82" s="233" t="n"/>
      <c r="AX82" s="233" t="n"/>
      <c r="AY82" s="233" t="n"/>
      <c r="AZ82" s="233" t="n"/>
      <c r="BA82" s="233" t="n"/>
      <c r="BB82" s="233" t="n"/>
      <c r="BC82" s="233" t="n"/>
      <c r="BD82" s="233" t="n"/>
      <c r="BE82" s="233" t="n"/>
      <c r="BF82" s="233" t="n"/>
      <c r="BG82" s="233" t="n"/>
      <c r="BH82" s="233" t="n"/>
      <c r="BI82" s="233" t="n"/>
      <c r="BJ82" s="233" t="n"/>
      <c r="BK82" s="233" t="n"/>
      <c r="BL82" s="233" t="n"/>
      <c r="BM82" s="233" t="n"/>
    </row>
    <row r="83" ht="15.75" customHeight="1" s="349">
      <c r="A83" s="31" t="n"/>
      <c r="B83" s="307" t="n"/>
      <c r="C83" s="307" t="n"/>
      <c r="D83" s="146" t="n"/>
      <c r="E83" s="307" t="n"/>
      <c r="F83" s="307" t="n"/>
      <c r="G83" s="307" t="n"/>
      <c r="H83" s="307" t="n"/>
      <c r="I83" s="307" t="n"/>
      <c r="J83" s="307" t="n"/>
      <c r="K83" s="307" t="n"/>
      <c r="L83" s="307" t="n"/>
      <c r="M83" s="307" t="n"/>
      <c r="N83" s="307" t="n"/>
      <c r="O83" s="233" t="n"/>
      <c r="P83" s="233" t="n"/>
      <c r="Q83" s="233" t="n"/>
      <c r="R83" s="233" t="n"/>
      <c r="S83" s="233" t="n"/>
      <c r="T83" s="233" t="n"/>
      <c r="U83" s="233" t="n"/>
      <c r="V83" s="233" t="n"/>
      <c r="W83" s="233" t="n"/>
      <c r="X83" s="233" t="n"/>
      <c r="Y83" s="233" t="n"/>
      <c r="Z83" s="233" t="n"/>
      <c r="AA83" s="233" t="n"/>
      <c r="AB83" s="233" t="n"/>
      <c r="AC83" s="233" t="n"/>
      <c r="AD83" s="233" t="n"/>
      <c r="AE83" s="233" t="n"/>
      <c r="AF83" s="233" t="n"/>
      <c r="AG83" s="233" t="n"/>
      <c r="AH83" s="233" t="n"/>
      <c r="AI83" s="233" t="n"/>
      <c r="AJ83" s="233" t="n"/>
      <c r="AK83" s="233" t="n"/>
      <c r="AL83" s="233" t="n"/>
      <c r="AM83" s="233" t="n"/>
      <c r="AN83" s="233" t="n"/>
      <c r="AO83" s="233" t="n"/>
      <c r="AP83" s="233" t="n"/>
      <c r="AQ83" s="233" t="n"/>
      <c r="AR83" s="233" t="n"/>
      <c r="AS83" s="233" t="n"/>
      <c r="AT83" s="233" t="n"/>
      <c r="AU83" s="233" t="n"/>
      <c r="AV83" s="233" t="n"/>
      <c r="AW83" s="233" t="n"/>
      <c r="AX83" s="233" t="n"/>
      <c r="AY83" s="233" t="n"/>
      <c r="AZ83" s="233" t="n"/>
      <c r="BA83" s="233" t="n"/>
      <c r="BB83" s="233" t="n"/>
      <c r="BC83" s="233" t="n"/>
      <c r="BD83" s="233" t="n"/>
      <c r="BE83" s="233" t="n"/>
      <c r="BF83" s="233" t="n"/>
      <c r="BG83" s="233" t="n"/>
      <c r="BH83" s="233" t="n"/>
      <c r="BI83" s="233" t="n"/>
      <c r="BJ83" s="233" t="n"/>
      <c r="BK83" s="233" t="n"/>
      <c r="BL83" s="233" t="n"/>
      <c r="BM83" s="233" t="n"/>
    </row>
    <row r="84" ht="15.75" customHeight="1" s="349">
      <c r="A84" s="31" t="n"/>
      <c r="B84" s="307" t="n"/>
      <c r="C84" s="307" t="n"/>
      <c r="D84" s="146" t="n"/>
      <c r="E84" s="307" t="n"/>
      <c r="F84" s="307" t="n"/>
      <c r="G84" s="307" t="n"/>
      <c r="H84" s="307" t="n"/>
      <c r="I84" s="307" t="n"/>
      <c r="J84" s="307" t="n"/>
      <c r="K84" s="307" t="n"/>
      <c r="L84" s="307" t="n"/>
      <c r="M84" s="307" t="n"/>
      <c r="N84" s="307" t="n"/>
      <c r="O84" s="233" t="n"/>
      <c r="P84" s="233" t="n"/>
      <c r="Q84" s="233" t="n"/>
      <c r="R84" s="233" t="n"/>
      <c r="S84" s="233" t="n"/>
      <c r="T84" s="233" t="n"/>
      <c r="U84" s="233" t="n"/>
      <c r="V84" s="233" t="n"/>
      <c r="W84" s="233" t="n"/>
      <c r="X84" s="233" t="n"/>
      <c r="Y84" s="233" t="n"/>
      <c r="Z84" s="233" t="n"/>
      <c r="AA84" s="233" t="n"/>
      <c r="AB84" s="233" t="n"/>
      <c r="AC84" s="233" t="n"/>
      <c r="AD84" s="233" t="n"/>
      <c r="AE84" s="233" t="n"/>
      <c r="AF84" s="233" t="n"/>
      <c r="AG84" s="233" t="n"/>
      <c r="AH84" s="233" t="n"/>
      <c r="AI84" s="233" t="n"/>
      <c r="AJ84" s="233" t="n"/>
      <c r="AK84" s="233" t="n"/>
      <c r="AL84" s="233" t="n"/>
      <c r="AM84" s="233" t="n"/>
      <c r="AN84" s="233" t="n"/>
      <c r="AO84" s="233" t="n"/>
      <c r="AP84" s="233" t="n"/>
      <c r="AQ84" s="233" t="n"/>
      <c r="AR84" s="233" t="n"/>
      <c r="AS84" s="233" t="n"/>
      <c r="AT84" s="233" t="n"/>
      <c r="AU84" s="233" t="n"/>
      <c r="AV84" s="233" t="n"/>
      <c r="AW84" s="233" t="n"/>
      <c r="AX84" s="233" t="n"/>
      <c r="AY84" s="233" t="n"/>
      <c r="AZ84" s="233" t="n"/>
      <c r="BA84" s="233" t="n"/>
      <c r="BB84" s="233" t="n"/>
      <c r="BC84" s="233" t="n"/>
      <c r="BD84" s="233" t="n"/>
      <c r="BE84" s="233" t="n"/>
      <c r="BF84" s="233" t="n"/>
      <c r="BG84" s="233" t="n"/>
      <c r="BH84" s="233" t="n"/>
      <c r="BI84" s="233" t="n"/>
      <c r="BJ84" s="233" t="n"/>
      <c r="BK84" s="233" t="n"/>
      <c r="BL84" s="233" t="n"/>
      <c r="BM84" s="233" t="n"/>
    </row>
    <row r="85" ht="15.75" customHeight="1" s="349">
      <c r="A85" s="31" t="n"/>
      <c r="B85" s="307" t="n"/>
      <c r="C85" s="307" t="n"/>
      <c r="D85" s="146" t="n"/>
      <c r="E85" s="307" t="n"/>
      <c r="F85" s="307" t="n"/>
      <c r="G85" s="307" t="n"/>
      <c r="H85" s="307" t="n"/>
      <c r="I85" s="307" t="n"/>
      <c r="J85" s="307" t="n"/>
      <c r="K85" s="307" t="n"/>
      <c r="L85" s="307" t="n"/>
      <c r="M85" s="307" t="n"/>
      <c r="N85" s="307" t="n"/>
      <c r="O85" s="233" t="n"/>
      <c r="P85" s="233" t="n"/>
      <c r="Q85" s="233" t="n"/>
      <c r="R85" s="233" t="n"/>
      <c r="S85" s="233" t="n"/>
      <c r="T85" s="233" t="n"/>
      <c r="U85" s="233" t="n"/>
      <c r="V85" s="233" t="n"/>
      <c r="W85" s="233" t="n"/>
      <c r="X85" s="233" t="n"/>
      <c r="Y85" s="233" t="n"/>
      <c r="Z85" s="233" t="n"/>
      <c r="AA85" s="233" t="n"/>
      <c r="AB85" s="233" t="n"/>
      <c r="AC85" s="233" t="n"/>
      <c r="AD85" s="233" t="n"/>
      <c r="AE85" s="233" t="n"/>
      <c r="AF85" s="233" t="n"/>
      <c r="AG85" s="233" t="n"/>
      <c r="AH85" s="233" t="n"/>
      <c r="AI85" s="233" t="n"/>
      <c r="AJ85" s="233" t="n"/>
      <c r="AK85" s="233" t="n"/>
      <c r="AL85" s="233" t="n"/>
      <c r="AM85" s="233" t="n"/>
      <c r="AN85" s="233" t="n"/>
      <c r="AO85" s="233" t="n"/>
      <c r="AP85" s="233" t="n"/>
      <c r="AQ85" s="233" t="n"/>
      <c r="AR85" s="233" t="n"/>
      <c r="AS85" s="233" t="n"/>
      <c r="AT85" s="233" t="n"/>
      <c r="AU85" s="233" t="n"/>
      <c r="AV85" s="233" t="n"/>
      <c r="AW85" s="233" t="n"/>
      <c r="AX85" s="233" t="n"/>
      <c r="AY85" s="233" t="n"/>
      <c r="AZ85" s="233" t="n"/>
      <c r="BA85" s="233" t="n"/>
      <c r="BB85" s="233" t="n"/>
      <c r="BC85" s="233" t="n"/>
      <c r="BD85" s="233" t="n"/>
      <c r="BE85" s="233" t="n"/>
      <c r="BF85" s="233" t="n"/>
      <c r="BG85" s="233" t="n"/>
      <c r="BH85" s="233" t="n"/>
      <c r="BI85" s="233" t="n"/>
      <c r="BJ85" s="233" t="n"/>
      <c r="BK85" s="233" t="n"/>
      <c r="BL85" s="233" t="n"/>
      <c r="BM85" s="233" t="n"/>
    </row>
    <row r="86" ht="15.75" customHeight="1" s="349">
      <c r="A86" s="31" t="n"/>
      <c r="B86" s="307" t="n"/>
      <c r="C86" s="307" t="n"/>
      <c r="D86" s="146" t="n"/>
      <c r="E86" s="307" t="n"/>
      <c r="F86" s="307" t="n"/>
      <c r="G86" s="307" t="n"/>
      <c r="H86" s="307" t="n"/>
      <c r="I86" s="307" t="n"/>
      <c r="J86" s="307" t="n"/>
      <c r="K86" s="307" t="n"/>
      <c r="L86" s="307" t="n"/>
      <c r="M86" s="307" t="n"/>
      <c r="N86" s="307" t="n"/>
      <c r="O86" s="233" t="n"/>
      <c r="P86" s="233" t="n"/>
      <c r="Q86" s="233" t="n"/>
      <c r="R86" s="233" t="n"/>
      <c r="S86" s="233" t="n"/>
      <c r="T86" s="233" t="n"/>
      <c r="U86" s="233" t="n"/>
      <c r="V86" s="233" t="n"/>
      <c r="W86" s="233" t="n"/>
      <c r="X86" s="233" t="n"/>
      <c r="Y86" s="233" t="n"/>
      <c r="Z86" s="233" t="n"/>
      <c r="AA86" s="233" t="n"/>
      <c r="AB86" s="233" t="n"/>
      <c r="AC86" s="233" t="n"/>
      <c r="AD86" s="233" t="n"/>
      <c r="AE86" s="233" t="n"/>
      <c r="AF86" s="233" t="n"/>
      <c r="AG86" s="233" t="n"/>
      <c r="AH86" s="233" t="n"/>
      <c r="AI86" s="233" t="n"/>
      <c r="AJ86" s="233" t="n"/>
      <c r="AK86" s="233" t="n"/>
      <c r="AL86" s="233" t="n"/>
      <c r="AM86" s="233" t="n"/>
      <c r="AN86" s="233" t="n"/>
      <c r="AO86" s="233" t="n"/>
      <c r="AP86" s="233" t="n"/>
      <c r="AQ86" s="233" t="n"/>
      <c r="AR86" s="233" t="n"/>
      <c r="AS86" s="233" t="n"/>
      <c r="AT86" s="233" t="n"/>
      <c r="AU86" s="233" t="n"/>
      <c r="AV86" s="233" t="n"/>
      <c r="AW86" s="233" t="n"/>
      <c r="AX86" s="233" t="n"/>
      <c r="AY86" s="233" t="n"/>
      <c r="AZ86" s="233" t="n"/>
      <c r="BA86" s="233" t="n"/>
      <c r="BB86" s="233" t="n"/>
      <c r="BC86" s="233" t="n"/>
      <c r="BD86" s="233" t="n"/>
      <c r="BE86" s="233" t="n"/>
      <c r="BF86" s="233" t="n"/>
      <c r="BG86" s="233" t="n"/>
      <c r="BH86" s="233" t="n"/>
      <c r="BI86" s="233" t="n"/>
      <c r="BJ86" s="233" t="n"/>
      <c r="BK86" s="233" t="n"/>
      <c r="BL86" s="233" t="n"/>
      <c r="BM86" s="233" t="n"/>
    </row>
    <row r="87" ht="15.75" customHeight="1" s="349">
      <c r="A87" s="31" t="n"/>
      <c r="B87" s="307" t="n"/>
      <c r="C87" s="307" t="n"/>
      <c r="D87" s="146" t="n"/>
      <c r="E87" s="307" t="n"/>
      <c r="F87" s="307" t="n"/>
      <c r="G87" s="307" t="n"/>
      <c r="H87" s="307" t="n"/>
      <c r="I87" s="307" t="n"/>
      <c r="J87" s="307" t="n"/>
      <c r="K87" s="307" t="n"/>
      <c r="L87" s="307" t="n"/>
      <c r="M87" s="307" t="n"/>
      <c r="N87" s="307" t="n"/>
      <c r="O87" s="233" t="n"/>
      <c r="P87" s="233" t="n"/>
      <c r="Q87" s="233" t="n"/>
      <c r="R87" s="233" t="n"/>
      <c r="S87" s="233" t="n"/>
      <c r="T87" s="233" t="n"/>
      <c r="U87" s="233" t="n"/>
      <c r="V87" s="233" t="n"/>
      <c r="W87" s="233" t="n"/>
      <c r="X87" s="233" t="n"/>
      <c r="Y87" s="233" t="n"/>
      <c r="Z87" s="233" t="n"/>
      <c r="AA87" s="233" t="n"/>
      <c r="AB87" s="233" t="n"/>
      <c r="AC87" s="233" t="n"/>
      <c r="AD87" s="233" t="n"/>
      <c r="AE87" s="233" t="n"/>
      <c r="AF87" s="233" t="n"/>
      <c r="AG87" s="233" t="n"/>
      <c r="AH87" s="233" t="n"/>
      <c r="AI87" s="233" t="n"/>
      <c r="AJ87" s="233" t="n"/>
      <c r="AK87" s="233" t="n"/>
      <c r="AL87" s="233" t="n"/>
      <c r="AM87" s="233" t="n"/>
      <c r="AN87" s="233" t="n"/>
      <c r="AO87" s="233" t="n"/>
      <c r="AP87" s="233" t="n"/>
      <c r="AQ87" s="233" t="n"/>
      <c r="AR87" s="233" t="n"/>
      <c r="AS87" s="233" t="n"/>
      <c r="AT87" s="233" t="n"/>
      <c r="AU87" s="233" t="n"/>
      <c r="AV87" s="233" t="n"/>
      <c r="AW87" s="233" t="n"/>
      <c r="AX87" s="233" t="n"/>
      <c r="AY87" s="233" t="n"/>
      <c r="AZ87" s="233" t="n"/>
      <c r="BA87" s="233" t="n"/>
      <c r="BB87" s="233" t="n"/>
      <c r="BC87" s="233" t="n"/>
      <c r="BD87" s="233" t="n"/>
      <c r="BE87" s="233" t="n"/>
      <c r="BF87" s="233" t="n"/>
      <c r="BG87" s="233" t="n"/>
      <c r="BH87" s="233" t="n"/>
      <c r="BI87" s="233" t="n"/>
      <c r="BJ87" s="233" t="n"/>
      <c r="BK87" s="233" t="n"/>
      <c r="BL87" s="233" t="n"/>
      <c r="BM87" s="233" t="n"/>
    </row>
    <row r="88" ht="15.75" customHeight="1" s="349">
      <c r="A88" s="31" t="n"/>
      <c r="B88" s="307" t="n"/>
      <c r="C88" s="307" t="n"/>
      <c r="D88" s="146" t="n"/>
      <c r="E88" s="307" t="n"/>
      <c r="F88" s="307" t="n"/>
      <c r="G88" s="307" t="n"/>
      <c r="H88" s="307" t="n"/>
      <c r="I88" s="307" t="n"/>
      <c r="J88" s="307" t="n"/>
      <c r="K88" s="307" t="n"/>
      <c r="L88" s="307" t="n"/>
      <c r="M88" s="307" t="n"/>
      <c r="N88" s="307" t="n"/>
      <c r="O88" s="233" t="n"/>
      <c r="P88" s="233" t="n"/>
      <c r="Q88" s="233" t="n"/>
      <c r="R88" s="233" t="n"/>
      <c r="S88" s="233" t="n"/>
      <c r="T88" s="233" t="n"/>
      <c r="U88" s="233" t="n"/>
      <c r="V88" s="233" t="n"/>
      <c r="W88" s="233" t="n"/>
      <c r="X88" s="233" t="n"/>
      <c r="Y88" s="233" t="n"/>
      <c r="Z88" s="233" t="n"/>
      <c r="AA88" s="233" t="n"/>
      <c r="AB88" s="233" t="n"/>
      <c r="AC88" s="233" t="n"/>
      <c r="AD88" s="233" t="n"/>
      <c r="AE88" s="233" t="n"/>
      <c r="AF88" s="233" t="n"/>
      <c r="AG88" s="233" t="n"/>
      <c r="AH88" s="233" t="n"/>
      <c r="AI88" s="233" t="n"/>
      <c r="AJ88" s="233" t="n"/>
      <c r="AK88" s="233" t="n"/>
      <c r="AL88" s="233" t="n"/>
      <c r="AM88" s="233" t="n"/>
      <c r="AN88" s="233" t="n"/>
      <c r="AO88" s="233" t="n"/>
      <c r="AP88" s="233" t="n"/>
      <c r="AQ88" s="233" t="n"/>
      <c r="AR88" s="233" t="n"/>
      <c r="AS88" s="233" t="n"/>
      <c r="AT88" s="233" t="n"/>
      <c r="AU88" s="233" t="n"/>
      <c r="AV88" s="233" t="n"/>
      <c r="AW88" s="233" t="n"/>
      <c r="AX88" s="233" t="n"/>
      <c r="AY88" s="233" t="n"/>
      <c r="AZ88" s="233" t="n"/>
      <c r="BA88" s="233" t="n"/>
      <c r="BB88" s="233" t="n"/>
      <c r="BC88" s="233" t="n"/>
      <c r="BD88" s="233" t="n"/>
      <c r="BE88" s="233" t="n"/>
      <c r="BF88" s="233" t="n"/>
      <c r="BG88" s="233" t="n"/>
      <c r="BH88" s="233" t="n"/>
      <c r="BI88" s="233" t="n"/>
      <c r="BJ88" s="233" t="n"/>
      <c r="BK88" s="233" t="n"/>
      <c r="BL88" s="233" t="n"/>
      <c r="BM88" s="233" t="n"/>
    </row>
    <row r="89" ht="15.75" customHeight="1" s="349">
      <c r="A89" s="31" t="n"/>
      <c r="B89" s="307" t="n"/>
      <c r="C89" s="307" t="n"/>
      <c r="D89" s="146" t="n"/>
      <c r="E89" s="307" t="n"/>
      <c r="F89" s="307" t="n"/>
      <c r="G89" s="307" t="n"/>
      <c r="H89" s="307" t="n"/>
      <c r="I89" s="307" t="n"/>
      <c r="J89" s="307" t="n"/>
      <c r="K89" s="307" t="n"/>
      <c r="L89" s="307" t="n"/>
      <c r="M89" s="307" t="n"/>
      <c r="N89" s="307" t="n"/>
      <c r="O89" s="233" t="n"/>
      <c r="P89" s="233" t="n"/>
      <c r="Q89" s="233" t="n"/>
      <c r="R89" s="233" t="n"/>
      <c r="S89" s="233" t="n"/>
      <c r="T89" s="233" t="n"/>
      <c r="U89" s="233" t="n"/>
      <c r="V89" s="233" t="n"/>
      <c r="W89" s="233" t="n"/>
      <c r="X89" s="233" t="n"/>
      <c r="Y89" s="233" t="n"/>
      <c r="Z89" s="233" t="n"/>
      <c r="AA89" s="233" t="n"/>
      <c r="AB89" s="233" t="n"/>
      <c r="AC89" s="233" t="n"/>
      <c r="AD89" s="233" t="n"/>
      <c r="AE89" s="233" t="n"/>
      <c r="AF89" s="233" t="n"/>
      <c r="AG89" s="233" t="n"/>
      <c r="AH89" s="233" t="n"/>
      <c r="AI89" s="233" t="n"/>
      <c r="AJ89" s="233" t="n"/>
      <c r="AK89" s="233" t="n"/>
      <c r="AL89" s="233" t="n"/>
      <c r="AM89" s="233" t="n"/>
      <c r="AN89" s="233" t="n"/>
      <c r="AO89" s="233" t="n"/>
      <c r="AP89" s="233" t="n"/>
      <c r="AQ89" s="233" t="n"/>
      <c r="AR89" s="233" t="n"/>
      <c r="AS89" s="233" t="n"/>
      <c r="AT89" s="233" t="n"/>
      <c r="AU89" s="233" t="n"/>
      <c r="AV89" s="233" t="n"/>
      <c r="AW89" s="233" t="n"/>
      <c r="AX89" s="233" t="n"/>
      <c r="AY89" s="233" t="n"/>
      <c r="AZ89" s="233" t="n"/>
      <c r="BA89" s="233" t="n"/>
      <c r="BB89" s="233" t="n"/>
      <c r="BC89" s="233" t="n"/>
      <c r="BD89" s="233" t="n"/>
      <c r="BE89" s="233" t="n"/>
      <c r="BF89" s="233" t="n"/>
      <c r="BG89" s="233" t="n"/>
      <c r="BH89" s="233" t="n"/>
      <c r="BI89" s="233" t="n"/>
      <c r="BJ89" s="233" t="n"/>
      <c r="BK89" s="233" t="n"/>
      <c r="BL89" s="233" t="n"/>
      <c r="BM89" s="233" t="n"/>
    </row>
    <row r="90" ht="15.75" customHeight="1" s="349">
      <c r="A90" s="31" t="n"/>
      <c r="B90" s="307" t="n"/>
      <c r="C90" s="307" t="n"/>
      <c r="D90" s="146" t="n"/>
      <c r="E90" s="307" t="n"/>
      <c r="F90" s="307" t="n"/>
      <c r="G90" s="307" t="n"/>
      <c r="H90" s="307" t="n"/>
      <c r="I90" s="307" t="n"/>
      <c r="J90" s="307" t="n"/>
      <c r="K90" s="307" t="n"/>
      <c r="L90" s="307" t="n"/>
      <c r="M90" s="307" t="n"/>
      <c r="N90" s="307" t="n"/>
      <c r="O90" s="233" t="n"/>
      <c r="P90" s="233" t="n"/>
      <c r="Q90" s="233" t="n"/>
      <c r="R90" s="233" t="n"/>
      <c r="S90" s="233" t="n"/>
      <c r="T90" s="233" t="n"/>
      <c r="U90" s="233" t="n"/>
      <c r="V90" s="233" t="n"/>
      <c r="W90" s="233" t="n"/>
      <c r="X90" s="233" t="n"/>
      <c r="Y90" s="233" t="n"/>
      <c r="Z90" s="233" t="n"/>
      <c r="AA90" s="233" t="n"/>
      <c r="AB90" s="233" t="n"/>
      <c r="AC90" s="233" t="n"/>
      <c r="AD90" s="233" t="n"/>
      <c r="AE90" s="233" t="n"/>
      <c r="AF90" s="233" t="n"/>
      <c r="AG90" s="233" t="n"/>
      <c r="AH90" s="233" t="n"/>
      <c r="AI90" s="233" t="n"/>
      <c r="AJ90" s="233" t="n"/>
      <c r="AK90" s="233" t="n"/>
      <c r="AL90" s="233" t="n"/>
      <c r="AM90" s="233" t="n"/>
      <c r="AN90" s="233" t="n"/>
      <c r="AO90" s="233" t="n"/>
      <c r="AP90" s="233" t="n"/>
      <c r="AQ90" s="233" t="n"/>
      <c r="AR90" s="233" t="n"/>
      <c r="AS90" s="233" t="n"/>
      <c r="AT90" s="233" t="n"/>
      <c r="AU90" s="233" t="n"/>
      <c r="AV90" s="233" t="n"/>
      <c r="AW90" s="233" t="n"/>
      <c r="AX90" s="233" t="n"/>
      <c r="AY90" s="233" t="n"/>
      <c r="AZ90" s="233" t="n"/>
      <c r="BA90" s="233" t="n"/>
      <c r="BB90" s="233" t="n"/>
      <c r="BC90" s="233" t="n"/>
      <c r="BD90" s="233" t="n"/>
      <c r="BE90" s="233" t="n"/>
      <c r="BF90" s="233" t="n"/>
      <c r="BG90" s="233" t="n"/>
      <c r="BH90" s="233" t="n"/>
      <c r="BI90" s="233" t="n"/>
      <c r="BJ90" s="233" t="n"/>
      <c r="BK90" s="233" t="n"/>
      <c r="BL90" s="233" t="n"/>
      <c r="BM90" s="233" t="n"/>
    </row>
    <row r="91" ht="15.75" customHeight="1" s="349">
      <c r="A91" s="31" t="n"/>
      <c r="B91" s="307" t="n"/>
      <c r="C91" s="307" t="n"/>
      <c r="D91" s="146" t="n"/>
      <c r="E91" s="307" t="n"/>
      <c r="F91" s="307" t="n"/>
      <c r="G91" s="307" t="n"/>
      <c r="H91" s="307" t="n"/>
      <c r="I91" s="307" t="n"/>
      <c r="J91" s="307" t="n"/>
      <c r="K91" s="307" t="n"/>
      <c r="L91" s="307" t="n"/>
      <c r="M91" s="307" t="n"/>
      <c r="N91" s="307" t="n"/>
      <c r="O91" s="233" t="n"/>
      <c r="P91" s="233" t="n"/>
      <c r="Q91" s="233" t="n"/>
      <c r="R91" s="233" t="n"/>
      <c r="S91" s="233" t="n"/>
      <c r="T91" s="233" t="n"/>
      <c r="U91" s="233" t="n"/>
      <c r="V91" s="233" t="n"/>
      <c r="W91" s="233" t="n"/>
      <c r="X91" s="233" t="n"/>
      <c r="Y91" s="233" t="n"/>
      <c r="Z91" s="233" t="n"/>
      <c r="AA91" s="233" t="n"/>
      <c r="AB91" s="233" t="n"/>
      <c r="AC91" s="233" t="n"/>
      <c r="AD91" s="233" t="n"/>
      <c r="AE91" s="233" t="n"/>
      <c r="AF91" s="233" t="n"/>
      <c r="AG91" s="233" t="n"/>
      <c r="AH91" s="233" t="n"/>
      <c r="AI91" s="233" t="n"/>
      <c r="AJ91" s="233" t="n"/>
      <c r="AK91" s="233" t="n"/>
      <c r="AL91" s="233" t="n"/>
      <c r="AM91" s="233" t="n"/>
      <c r="AN91" s="233" t="n"/>
      <c r="AO91" s="233" t="n"/>
      <c r="AP91" s="233" t="n"/>
      <c r="AQ91" s="233" t="n"/>
      <c r="AR91" s="233" t="n"/>
      <c r="AS91" s="233" t="n"/>
      <c r="AT91" s="233" t="n"/>
      <c r="AU91" s="233" t="n"/>
      <c r="AV91" s="233" t="n"/>
      <c r="AW91" s="233" t="n"/>
      <c r="AX91" s="233" t="n"/>
      <c r="AY91" s="233" t="n"/>
      <c r="AZ91" s="233" t="n"/>
      <c r="BA91" s="233" t="n"/>
      <c r="BB91" s="233" t="n"/>
      <c r="BC91" s="233" t="n"/>
      <c r="BD91" s="233" t="n"/>
      <c r="BE91" s="233" t="n"/>
      <c r="BF91" s="233" t="n"/>
      <c r="BG91" s="233" t="n"/>
      <c r="BH91" s="233" t="n"/>
      <c r="BI91" s="233" t="n"/>
      <c r="BJ91" s="233" t="n"/>
      <c r="BK91" s="233" t="n"/>
      <c r="BL91" s="233" t="n"/>
      <c r="BM91" s="233" t="n"/>
    </row>
    <row r="92" ht="15.75" customHeight="1" s="349">
      <c r="A92" s="31" t="n"/>
      <c r="B92" s="307" t="n"/>
      <c r="C92" s="307" t="n"/>
      <c r="D92" s="146" t="n"/>
      <c r="E92" s="307" t="n"/>
      <c r="F92" s="307" t="n"/>
      <c r="G92" s="307" t="n"/>
      <c r="H92" s="307" t="n"/>
      <c r="I92" s="307" t="n"/>
      <c r="J92" s="307" t="n"/>
      <c r="K92" s="307" t="n"/>
      <c r="L92" s="307" t="n"/>
      <c r="M92" s="307" t="n"/>
      <c r="N92" s="307" t="n"/>
      <c r="O92" s="233" t="n"/>
      <c r="P92" s="233" t="n"/>
      <c r="Q92" s="233" t="n"/>
      <c r="R92" s="233" t="n"/>
      <c r="S92" s="233" t="n"/>
      <c r="T92" s="233" t="n"/>
      <c r="U92" s="233" t="n"/>
      <c r="V92" s="233" t="n"/>
      <c r="W92" s="233" t="n"/>
      <c r="X92" s="233" t="n"/>
      <c r="Y92" s="233" t="n"/>
      <c r="Z92" s="233" t="n"/>
      <c r="AA92" s="233" t="n"/>
      <c r="AB92" s="233" t="n"/>
      <c r="AC92" s="233" t="n"/>
      <c r="AD92" s="233" t="n"/>
      <c r="AE92" s="233" t="n"/>
      <c r="AF92" s="233" t="n"/>
      <c r="AG92" s="233" t="n"/>
      <c r="AH92" s="233" t="n"/>
      <c r="AI92" s="233" t="n"/>
      <c r="AJ92" s="233" t="n"/>
      <c r="AK92" s="233" t="n"/>
      <c r="AL92" s="233" t="n"/>
      <c r="AM92" s="233" t="n"/>
      <c r="AN92" s="233" t="n"/>
      <c r="AO92" s="233" t="n"/>
      <c r="AP92" s="233" t="n"/>
      <c r="AQ92" s="233" t="n"/>
      <c r="AR92" s="233" t="n"/>
      <c r="AS92" s="233" t="n"/>
      <c r="AT92" s="233" t="n"/>
      <c r="AU92" s="233" t="n"/>
      <c r="AV92" s="233" t="n"/>
      <c r="AW92" s="233" t="n"/>
      <c r="AX92" s="233" t="n"/>
      <c r="AY92" s="233" t="n"/>
      <c r="AZ92" s="233" t="n"/>
      <c r="BA92" s="233" t="n"/>
      <c r="BB92" s="233" t="n"/>
      <c r="BC92" s="233" t="n"/>
      <c r="BD92" s="233" t="n"/>
      <c r="BE92" s="233" t="n"/>
      <c r="BF92" s="233" t="n"/>
      <c r="BG92" s="233" t="n"/>
      <c r="BH92" s="233" t="n"/>
      <c r="BI92" s="233" t="n"/>
      <c r="BJ92" s="233" t="n"/>
      <c r="BK92" s="233" t="n"/>
      <c r="BL92" s="233" t="n"/>
      <c r="BM92" s="233" t="n"/>
    </row>
    <row r="93" ht="15.75" customHeight="1" s="349">
      <c r="A93" s="31" t="n"/>
      <c r="B93" s="307" t="n"/>
      <c r="C93" s="307" t="n"/>
      <c r="D93" s="146" t="n"/>
      <c r="E93" s="307" t="n"/>
      <c r="F93" s="307" t="n"/>
      <c r="G93" s="307" t="n"/>
      <c r="H93" s="307" t="n"/>
      <c r="I93" s="307" t="n"/>
      <c r="J93" s="307" t="n"/>
      <c r="K93" s="307" t="n"/>
      <c r="L93" s="307" t="n"/>
      <c r="M93" s="307" t="n"/>
      <c r="N93" s="307" t="n"/>
      <c r="O93" s="233" t="n"/>
      <c r="P93" s="233" t="n"/>
      <c r="Q93" s="233" t="n"/>
      <c r="R93" s="233" t="n"/>
      <c r="S93" s="233" t="n"/>
      <c r="T93" s="233" t="n"/>
      <c r="U93" s="233" t="n"/>
      <c r="V93" s="233" t="n"/>
      <c r="W93" s="233" t="n"/>
      <c r="X93" s="233" t="n"/>
      <c r="Y93" s="233" t="n"/>
      <c r="Z93" s="233" t="n"/>
      <c r="AA93" s="233" t="n"/>
      <c r="AB93" s="233" t="n"/>
      <c r="AC93" s="233" t="n"/>
      <c r="AD93" s="233" t="n"/>
      <c r="AE93" s="233" t="n"/>
      <c r="AF93" s="233" t="n"/>
      <c r="AG93" s="233" t="n"/>
      <c r="AH93" s="233" t="n"/>
      <c r="AI93" s="233" t="n"/>
      <c r="AJ93" s="233" t="n"/>
      <c r="AK93" s="233" t="n"/>
      <c r="AL93" s="233" t="n"/>
      <c r="AM93" s="233" t="n"/>
      <c r="AN93" s="233" t="n"/>
      <c r="AO93" s="233" t="n"/>
      <c r="AP93" s="233" t="n"/>
      <c r="AQ93" s="233" t="n"/>
      <c r="AR93" s="233" t="n"/>
      <c r="AS93" s="233" t="n"/>
      <c r="AT93" s="233" t="n"/>
      <c r="AU93" s="233" t="n"/>
      <c r="AV93" s="233" t="n"/>
      <c r="AW93" s="233" t="n"/>
      <c r="AX93" s="233" t="n"/>
      <c r="AY93" s="233" t="n"/>
      <c r="AZ93" s="233" t="n"/>
      <c r="BA93" s="233" t="n"/>
      <c r="BB93" s="233" t="n"/>
      <c r="BC93" s="233" t="n"/>
      <c r="BD93" s="233" t="n"/>
      <c r="BE93" s="233" t="n"/>
      <c r="BF93" s="233" t="n"/>
      <c r="BG93" s="233" t="n"/>
      <c r="BH93" s="233" t="n"/>
      <c r="BI93" s="233" t="n"/>
      <c r="BJ93" s="233" t="n"/>
      <c r="BK93" s="233" t="n"/>
      <c r="BL93" s="233" t="n"/>
      <c r="BM93" s="233" t="n"/>
    </row>
    <row r="94" ht="15.75" customHeight="1" s="349">
      <c r="A94" s="31" t="n"/>
      <c r="B94" s="307" t="n"/>
      <c r="C94" s="307" t="n"/>
      <c r="D94" s="146" t="n"/>
      <c r="E94" s="307" t="n"/>
      <c r="F94" s="307" t="n"/>
      <c r="G94" s="307" t="n"/>
      <c r="H94" s="307" t="n"/>
      <c r="I94" s="307" t="n"/>
      <c r="J94" s="307" t="n"/>
      <c r="K94" s="307" t="n"/>
      <c r="L94" s="307" t="n"/>
      <c r="M94" s="307" t="n"/>
      <c r="N94" s="307" t="n"/>
      <c r="O94" s="233" t="n"/>
      <c r="P94" s="233" t="n"/>
      <c r="Q94" s="233" t="n"/>
      <c r="R94" s="233" t="n"/>
      <c r="S94" s="233" t="n"/>
      <c r="T94" s="233" t="n"/>
      <c r="U94" s="233" t="n"/>
      <c r="V94" s="233" t="n"/>
      <c r="W94" s="233" t="n"/>
      <c r="X94" s="233" t="n"/>
      <c r="Y94" s="233" t="n"/>
      <c r="Z94" s="233" t="n"/>
      <c r="AA94" s="233" t="n"/>
      <c r="AB94" s="233" t="n"/>
      <c r="AC94" s="233" t="n"/>
      <c r="AD94" s="233" t="n"/>
      <c r="AE94" s="233" t="n"/>
      <c r="AF94" s="233" t="n"/>
      <c r="AG94" s="233" t="n"/>
      <c r="AH94" s="233" t="n"/>
      <c r="AI94" s="233" t="n"/>
      <c r="AJ94" s="233" t="n"/>
      <c r="AK94" s="233" t="n"/>
      <c r="AL94" s="233" t="n"/>
      <c r="AM94" s="233" t="n"/>
      <c r="AN94" s="233" t="n"/>
      <c r="AO94" s="233" t="n"/>
      <c r="AP94" s="233" t="n"/>
      <c r="AQ94" s="233" t="n"/>
      <c r="AR94" s="233" t="n"/>
      <c r="AS94" s="233" t="n"/>
      <c r="AT94" s="233" t="n"/>
      <c r="AU94" s="233" t="n"/>
      <c r="AV94" s="233" t="n"/>
      <c r="AW94" s="233" t="n"/>
      <c r="AX94" s="233" t="n"/>
      <c r="AY94" s="233" t="n"/>
      <c r="AZ94" s="233" t="n"/>
      <c r="BA94" s="233" t="n"/>
      <c r="BB94" s="233" t="n"/>
      <c r="BC94" s="233" t="n"/>
      <c r="BD94" s="233" t="n"/>
      <c r="BE94" s="233" t="n"/>
      <c r="BF94" s="233" t="n"/>
      <c r="BG94" s="233" t="n"/>
      <c r="BH94" s="233" t="n"/>
      <c r="BI94" s="233" t="n"/>
      <c r="BJ94" s="233" t="n"/>
      <c r="BK94" s="233" t="n"/>
      <c r="BL94" s="233" t="n"/>
      <c r="BM94" s="233" t="n"/>
    </row>
    <row r="95" ht="15.75" customHeight="1" s="349">
      <c r="A95" s="31" t="n"/>
      <c r="B95" s="307" t="n"/>
      <c r="C95" s="307" t="n"/>
      <c r="D95" s="146" t="n"/>
      <c r="E95" s="307" t="n"/>
      <c r="F95" s="307" t="n"/>
      <c r="G95" s="307" t="n"/>
      <c r="H95" s="307" t="n"/>
      <c r="I95" s="307" t="n"/>
      <c r="J95" s="307" t="n"/>
      <c r="K95" s="307" t="n"/>
      <c r="L95" s="307" t="n"/>
      <c r="M95" s="307" t="n"/>
      <c r="N95" s="307" t="n"/>
      <c r="O95" s="233" t="n"/>
      <c r="P95" s="233" t="n"/>
      <c r="Q95" s="233" t="n"/>
      <c r="R95" s="233" t="n"/>
      <c r="S95" s="233" t="n"/>
      <c r="T95" s="233" t="n"/>
      <c r="U95" s="233" t="n"/>
      <c r="V95" s="233" t="n"/>
      <c r="W95" s="233" t="n"/>
      <c r="X95" s="233" t="n"/>
      <c r="Y95" s="233" t="n"/>
      <c r="Z95" s="233" t="n"/>
      <c r="AA95" s="233" t="n"/>
      <c r="AB95" s="233" t="n"/>
      <c r="AC95" s="233" t="n"/>
      <c r="AD95" s="233" t="n"/>
      <c r="AE95" s="233" t="n"/>
      <c r="AF95" s="233" t="n"/>
      <c r="AG95" s="233" t="n"/>
      <c r="AH95" s="233" t="n"/>
      <c r="AI95" s="233" t="n"/>
      <c r="AJ95" s="233" t="n"/>
      <c r="AK95" s="233" t="n"/>
      <c r="AL95" s="233" t="n"/>
      <c r="AM95" s="233" t="n"/>
      <c r="AN95" s="233" t="n"/>
      <c r="AO95" s="233" t="n"/>
      <c r="AP95" s="233" t="n"/>
      <c r="AQ95" s="233" t="n"/>
      <c r="AR95" s="233" t="n"/>
      <c r="AS95" s="233" t="n"/>
      <c r="AT95" s="233" t="n"/>
      <c r="AU95" s="233" t="n"/>
      <c r="AV95" s="233" t="n"/>
      <c r="AW95" s="233" t="n"/>
      <c r="AX95" s="233" t="n"/>
      <c r="AY95" s="233" t="n"/>
      <c r="AZ95" s="233" t="n"/>
      <c r="BA95" s="233" t="n"/>
      <c r="BB95" s="233" t="n"/>
      <c r="BC95" s="233" t="n"/>
      <c r="BD95" s="233" t="n"/>
      <c r="BE95" s="233" t="n"/>
      <c r="BF95" s="233" t="n"/>
      <c r="BG95" s="233" t="n"/>
      <c r="BH95" s="233" t="n"/>
      <c r="BI95" s="233" t="n"/>
      <c r="BJ95" s="233" t="n"/>
      <c r="BK95" s="233" t="n"/>
      <c r="BL95" s="233" t="n"/>
      <c r="BM95" s="233" t="n"/>
    </row>
    <row r="96" ht="15.75" customHeight="1" s="349">
      <c r="A96" s="31" t="n"/>
      <c r="B96" s="307" t="n"/>
      <c r="C96" s="307" t="n"/>
      <c r="D96" s="146" t="n"/>
      <c r="E96" s="307" t="n"/>
      <c r="F96" s="307" t="n"/>
      <c r="G96" s="307" t="n"/>
      <c r="H96" s="307" t="n"/>
      <c r="I96" s="307" t="n"/>
      <c r="J96" s="307" t="n"/>
      <c r="K96" s="307" t="n"/>
      <c r="L96" s="307" t="n"/>
      <c r="M96" s="307" t="n"/>
      <c r="N96" s="307" t="n"/>
      <c r="O96" s="233" t="n"/>
      <c r="P96" s="233" t="n"/>
      <c r="Q96" s="233" t="n"/>
      <c r="R96" s="233" t="n"/>
      <c r="S96" s="233" t="n"/>
      <c r="T96" s="233" t="n"/>
      <c r="U96" s="233" t="n"/>
      <c r="V96" s="233" t="n"/>
      <c r="W96" s="233" t="n"/>
      <c r="X96" s="233" t="n"/>
      <c r="Y96" s="233" t="n"/>
      <c r="Z96" s="233" t="n"/>
      <c r="AA96" s="233" t="n"/>
      <c r="AB96" s="233" t="n"/>
      <c r="AC96" s="233" t="n"/>
      <c r="AD96" s="233" t="n"/>
      <c r="AE96" s="233" t="n"/>
      <c r="AF96" s="233" t="n"/>
      <c r="AG96" s="233" t="n"/>
      <c r="AH96" s="233" t="n"/>
      <c r="AI96" s="233" t="n"/>
      <c r="AJ96" s="233" t="n"/>
      <c r="AK96" s="233" t="n"/>
      <c r="AL96" s="233" t="n"/>
      <c r="AM96" s="233" t="n"/>
      <c r="AN96" s="233" t="n"/>
      <c r="AO96" s="233" t="n"/>
      <c r="AP96" s="233" t="n"/>
      <c r="AQ96" s="233" t="n"/>
      <c r="AR96" s="233" t="n"/>
      <c r="AS96" s="233" t="n"/>
      <c r="AT96" s="233" t="n"/>
      <c r="AU96" s="233" t="n"/>
      <c r="AV96" s="233" t="n"/>
      <c r="AW96" s="233" t="n"/>
      <c r="AX96" s="233" t="n"/>
      <c r="AY96" s="233" t="n"/>
      <c r="AZ96" s="233" t="n"/>
      <c r="BA96" s="233" t="n"/>
      <c r="BB96" s="233" t="n"/>
      <c r="BC96" s="233" t="n"/>
      <c r="BD96" s="233" t="n"/>
      <c r="BE96" s="233" t="n"/>
      <c r="BF96" s="233" t="n"/>
      <c r="BG96" s="233" t="n"/>
      <c r="BH96" s="233" t="n"/>
      <c r="BI96" s="233" t="n"/>
      <c r="BJ96" s="233" t="n"/>
      <c r="BK96" s="233" t="n"/>
      <c r="BL96" s="233" t="n"/>
      <c r="BM96" s="233" t="n"/>
    </row>
    <row r="97" ht="15.75" customHeight="1" s="349">
      <c r="A97" s="31" t="n"/>
      <c r="B97" s="307" t="n"/>
      <c r="C97" s="307" t="n"/>
      <c r="D97" s="146" t="n"/>
      <c r="E97" s="307" t="n"/>
      <c r="F97" s="307" t="n"/>
      <c r="G97" s="307" t="n"/>
      <c r="H97" s="307" t="n"/>
      <c r="I97" s="307" t="n"/>
      <c r="J97" s="307" t="n"/>
      <c r="K97" s="307" t="n"/>
      <c r="L97" s="307" t="n"/>
      <c r="M97" s="307" t="n"/>
      <c r="N97" s="307" t="n"/>
      <c r="O97" s="233" t="n"/>
      <c r="P97" s="233" t="n"/>
      <c r="Q97" s="233" t="n"/>
      <c r="R97" s="233" t="n"/>
      <c r="S97" s="233" t="n"/>
      <c r="T97" s="233" t="n"/>
      <c r="U97" s="233" t="n"/>
      <c r="V97" s="233" t="n"/>
      <c r="W97" s="233" t="n"/>
      <c r="X97" s="233" t="n"/>
      <c r="Y97" s="233" t="n"/>
      <c r="Z97" s="233" t="n"/>
      <c r="AA97" s="233" t="n"/>
      <c r="AB97" s="233" t="n"/>
      <c r="AC97" s="233" t="n"/>
      <c r="AD97" s="233" t="n"/>
      <c r="AE97" s="233" t="n"/>
      <c r="AF97" s="233" t="n"/>
      <c r="AG97" s="233" t="n"/>
      <c r="AH97" s="233" t="n"/>
      <c r="AI97" s="233" t="n"/>
      <c r="AJ97" s="233" t="n"/>
      <c r="AK97" s="233" t="n"/>
      <c r="AL97" s="233" t="n"/>
      <c r="AM97" s="233" t="n"/>
      <c r="AN97" s="233" t="n"/>
      <c r="AO97" s="233" t="n"/>
      <c r="AP97" s="233" t="n"/>
      <c r="AQ97" s="233" t="n"/>
      <c r="AR97" s="233" t="n"/>
      <c r="AS97" s="233" t="n"/>
      <c r="AT97" s="233" t="n"/>
      <c r="AU97" s="233" t="n"/>
      <c r="AV97" s="233" t="n"/>
      <c r="AW97" s="233" t="n"/>
      <c r="AX97" s="233" t="n"/>
      <c r="AY97" s="233" t="n"/>
      <c r="AZ97" s="233" t="n"/>
      <c r="BA97" s="233" t="n"/>
      <c r="BB97" s="233" t="n"/>
      <c r="BC97" s="233" t="n"/>
      <c r="BD97" s="233" t="n"/>
      <c r="BE97" s="233" t="n"/>
      <c r="BF97" s="233" t="n"/>
      <c r="BG97" s="233" t="n"/>
      <c r="BH97" s="233" t="n"/>
      <c r="BI97" s="233" t="n"/>
      <c r="BJ97" s="233" t="n"/>
      <c r="BK97" s="233" t="n"/>
      <c r="BL97" s="233" t="n"/>
      <c r="BM97" s="233" t="n"/>
    </row>
    <row r="98" ht="15.75" customHeight="1" s="349">
      <c r="A98" s="31" t="n"/>
      <c r="B98" s="307" t="n"/>
      <c r="C98" s="307" t="n"/>
      <c r="D98" s="146" t="n"/>
      <c r="E98" s="307" t="n"/>
      <c r="F98" s="307" t="n"/>
      <c r="G98" s="307" t="n"/>
      <c r="H98" s="307" t="n"/>
      <c r="I98" s="307" t="n"/>
      <c r="J98" s="307" t="n"/>
      <c r="K98" s="307" t="n"/>
      <c r="L98" s="307" t="n"/>
      <c r="M98" s="307" t="n"/>
      <c r="N98" s="307" t="n"/>
      <c r="O98" s="233" t="n"/>
      <c r="P98" s="233" t="n"/>
      <c r="Q98" s="233" t="n"/>
      <c r="R98" s="233" t="n"/>
      <c r="S98" s="233" t="n"/>
      <c r="T98" s="233" t="n"/>
      <c r="U98" s="233" t="n"/>
      <c r="V98" s="233" t="n"/>
      <c r="W98" s="233" t="n"/>
      <c r="X98" s="233" t="n"/>
      <c r="Y98" s="233" t="n"/>
      <c r="Z98" s="233" t="n"/>
      <c r="AA98" s="233" t="n"/>
      <c r="AB98" s="233" t="n"/>
      <c r="AC98" s="233" t="n"/>
      <c r="AD98" s="233" t="n"/>
      <c r="AE98" s="233" t="n"/>
      <c r="AF98" s="233" t="n"/>
      <c r="AG98" s="233" t="n"/>
      <c r="AH98" s="233" t="n"/>
      <c r="AI98" s="233" t="n"/>
      <c r="AJ98" s="233" t="n"/>
      <c r="AK98" s="233" t="n"/>
      <c r="AL98" s="233" t="n"/>
      <c r="AM98" s="233" t="n"/>
      <c r="AN98" s="233" t="n"/>
      <c r="AO98" s="233" t="n"/>
      <c r="AP98" s="233" t="n"/>
      <c r="AQ98" s="233" t="n"/>
      <c r="AR98" s="233" t="n"/>
      <c r="AS98" s="233" t="n"/>
      <c r="AT98" s="233" t="n"/>
      <c r="AU98" s="233" t="n"/>
      <c r="AV98" s="233" t="n"/>
      <c r="AW98" s="233" t="n"/>
      <c r="AX98" s="233" t="n"/>
      <c r="AY98" s="233" t="n"/>
      <c r="AZ98" s="233" t="n"/>
      <c r="BA98" s="233" t="n"/>
      <c r="BB98" s="233" t="n"/>
      <c r="BC98" s="233" t="n"/>
      <c r="BD98" s="233" t="n"/>
      <c r="BE98" s="233" t="n"/>
      <c r="BF98" s="233" t="n"/>
      <c r="BG98" s="233" t="n"/>
      <c r="BH98" s="233" t="n"/>
      <c r="BI98" s="233" t="n"/>
      <c r="BJ98" s="233" t="n"/>
      <c r="BK98" s="233" t="n"/>
      <c r="BL98" s="233" t="n"/>
      <c r="BM98" s="233" t="n"/>
    </row>
    <row r="99" ht="15.75" customHeight="1" s="349">
      <c r="A99" s="31" t="n"/>
      <c r="B99" s="307" t="n"/>
      <c r="C99" s="307" t="n"/>
      <c r="D99" s="146" t="n"/>
      <c r="E99" s="307" t="n"/>
      <c r="F99" s="307" t="n"/>
      <c r="G99" s="307" t="n"/>
      <c r="H99" s="307" t="n"/>
      <c r="I99" s="307" t="n"/>
      <c r="J99" s="307" t="n"/>
      <c r="K99" s="307" t="n"/>
      <c r="L99" s="307" t="n"/>
      <c r="M99" s="307" t="n"/>
      <c r="N99" s="307" t="n"/>
      <c r="O99" s="233" t="n"/>
      <c r="P99" s="233" t="n"/>
      <c r="Q99" s="233" t="n"/>
      <c r="R99" s="233" t="n"/>
      <c r="S99" s="233" t="n"/>
      <c r="T99" s="233" t="n"/>
      <c r="U99" s="233" t="n"/>
      <c r="V99" s="233" t="n"/>
      <c r="W99" s="233" t="n"/>
      <c r="X99" s="233" t="n"/>
      <c r="Y99" s="233" t="n"/>
      <c r="Z99" s="233" t="n"/>
      <c r="AA99" s="233" t="n"/>
      <c r="AB99" s="233" t="n"/>
      <c r="AC99" s="233" t="n"/>
      <c r="AD99" s="233" t="n"/>
      <c r="AE99" s="233" t="n"/>
      <c r="AF99" s="233" t="n"/>
      <c r="AG99" s="233" t="n"/>
      <c r="AH99" s="233" t="n"/>
      <c r="AI99" s="233" t="n"/>
      <c r="AJ99" s="233" t="n"/>
      <c r="AK99" s="233" t="n"/>
      <c r="AL99" s="233" t="n"/>
      <c r="AM99" s="233" t="n"/>
      <c r="AN99" s="233" t="n"/>
      <c r="AO99" s="233" t="n"/>
      <c r="AP99" s="233" t="n"/>
      <c r="AQ99" s="233" t="n"/>
      <c r="AR99" s="233" t="n"/>
      <c r="AS99" s="233" t="n"/>
      <c r="AT99" s="233" t="n"/>
      <c r="AU99" s="233" t="n"/>
      <c r="AV99" s="233" t="n"/>
      <c r="AW99" s="233" t="n"/>
      <c r="AX99" s="233" t="n"/>
      <c r="AY99" s="233" t="n"/>
      <c r="AZ99" s="233" t="n"/>
      <c r="BA99" s="233" t="n"/>
      <c r="BB99" s="233" t="n"/>
      <c r="BC99" s="233" t="n"/>
      <c r="BD99" s="233" t="n"/>
      <c r="BE99" s="233" t="n"/>
      <c r="BF99" s="233" t="n"/>
      <c r="BG99" s="233" t="n"/>
      <c r="BH99" s="233" t="n"/>
      <c r="BI99" s="233" t="n"/>
      <c r="BJ99" s="233" t="n"/>
      <c r="BK99" s="233" t="n"/>
      <c r="BL99" s="233" t="n"/>
      <c r="BM99" s="233" t="n"/>
    </row>
    <row r="100" ht="15.75" customHeight="1" s="349">
      <c r="A100" s="31" t="n"/>
      <c r="B100" s="307" t="n"/>
      <c r="C100" s="307" t="n"/>
      <c r="D100" s="146" t="n"/>
      <c r="E100" s="307" t="n"/>
      <c r="F100" s="307" t="n"/>
      <c r="G100" s="307" t="n"/>
      <c r="H100" s="307" t="n"/>
      <c r="I100" s="307" t="n"/>
      <c r="J100" s="307" t="n"/>
      <c r="K100" s="307" t="n"/>
      <c r="L100" s="307" t="n"/>
      <c r="M100" s="307" t="n"/>
      <c r="N100" s="307" t="n"/>
      <c r="O100" s="233" t="n"/>
      <c r="P100" s="233" t="n"/>
      <c r="Q100" s="233" t="n"/>
      <c r="R100" s="233" t="n"/>
      <c r="S100" s="233" t="n"/>
      <c r="T100" s="233" t="n"/>
      <c r="U100" s="233" t="n"/>
      <c r="V100" s="233" t="n"/>
      <c r="W100" s="233" t="n"/>
      <c r="X100" s="233" t="n"/>
      <c r="Y100" s="233" t="n"/>
      <c r="Z100" s="233" t="n"/>
      <c r="AA100" s="233" t="n"/>
      <c r="AB100" s="233" t="n"/>
      <c r="AC100" s="233" t="n"/>
      <c r="AD100" s="233" t="n"/>
      <c r="AE100" s="233" t="n"/>
      <c r="AF100" s="233" t="n"/>
      <c r="AG100" s="233" t="n"/>
      <c r="AH100" s="233" t="n"/>
      <c r="AI100" s="233" t="n"/>
      <c r="AJ100" s="233" t="n"/>
      <c r="AK100" s="233" t="n"/>
      <c r="AL100" s="233" t="n"/>
      <c r="AM100" s="233" t="n"/>
      <c r="AN100" s="233" t="n"/>
      <c r="AO100" s="233" t="n"/>
      <c r="AP100" s="233" t="n"/>
      <c r="AQ100" s="233" t="n"/>
      <c r="AR100" s="233" t="n"/>
      <c r="AS100" s="233" t="n"/>
      <c r="AT100" s="233" t="n"/>
      <c r="AU100" s="233" t="n"/>
      <c r="AV100" s="233" t="n"/>
      <c r="AW100" s="233" t="n"/>
      <c r="AX100" s="233" t="n"/>
      <c r="AY100" s="233" t="n"/>
      <c r="AZ100" s="233" t="n"/>
      <c r="BA100" s="233" t="n"/>
      <c r="BB100" s="233" t="n"/>
      <c r="BC100" s="233" t="n"/>
      <c r="BD100" s="233" t="n"/>
      <c r="BE100" s="233" t="n"/>
      <c r="BF100" s="233" t="n"/>
      <c r="BG100" s="233" t="n"/>
      <c r="BH100" s="233" t="n"/>
      <c r="BI100" s="233" t="n"/>
      <c r="BJ100" s="233" t="n"/>
      <c r="BK100" s="233" t="n"/>
      <c r="BL100" s="233" t="n"/>
      <c r="BM100" s="233" t="n"/>
    </row>
    <row r="101" ht="15.75" customHeight="1" s="349">
      <c r="A101" s="31" t="n"/>
      <c r="B101" s="307" t="n"/>
      <c r="C101" s="307" t="n"/>
      <c r="D101" s="146" t="n"/>
      <c r="E101" s="307" t="n"/>
      <c r="F101" s="307" t="n"/>
      <c r="G101" s="307" t="n"/>
      <c r="H101" s="307" t="n"/>
      <c r="I101" s="307" t="n"/>
      <c r="J101" s="307" t="n"/>
      <c r="K101" s="307" t="n"/>
      <c r="L101" s="307" t="n"/>
      <c r="M101" s="307" t="n"/>
      <c r="N101" s="307" t="n"/>
      <c r="O101" s="233" t="n"/>
      <c r="P101" s="233" t="n"/>
      <c r="Q101" s="233" t="n"/>
      <c r="R101" s="233" t="n"/>
      <c r="S101" s="233" t="n"/>
      <c r="T101" s="233" t="n"/>
      <c r="U101" s="233" t="n"/>
      <c r="V101" s="233" t="n"/>
      <c r="W101" s="233" t="n"/>
      <c r="X101" s="233" t="n"/>
      <c r="Y101" s="233" t="n"/>
      <c r="Z101" s="233" t="n"/>
      <c r="AA101" s="233" t="n"/>
      <c r="AB101" s="233" t="n"/>
      <c r="AC101" s="233" t="n"/>
      <c r="AD101" s="233" t="n"/>
      <c r="AE101" s="233" t="n"/>
      <c r="AF101" s="233" t="n"/>
      <c r="AG101" s="233" t="n"/>
      <c r="AH101" s="233" t="n"/>
      <c r="AI101" s="233" t="n"/>
      <c r="AJ101" s="233" t="n"/>
      <c r="AK101" s="233" t="n"/>
      <c r="AL101" s="233" t="n"/>
      <c r="AM101" s="233" t="n"/>
      <c r="AN101" s="233" t="n"/>
      <c r="AO101" s="233" t="n"/>
      <c r="AP101" s="233" t="n"/>
      <c r="AQ101" s="233" t="n"/>
      <c r="AR101" s="233" t="n"/>
      <c r="AS101" s="233" t="n"/>
      <c r="AT101" s="233" t="n"/>
      <c r="AU101" s="233" t="n"/>
      <c r="AV101" s="233" t="n"/>
      <c r="AW101" s="233" t="n"/>
      <c r="AX101" s="233" t="n"/>
      <c r="AY101" s="233" t="n"/>
      <c r="AZ101" s="233" t="n"/>
      <c r="BA101" s="233" t="n"/>
      <c r="BB101" s="233" t="n"/>
      <c r="BC101" s="233" t="n"/>
      <c r="BD101" s="233" t="n"/>
      <c r="BE101" s="233" t="n"/>
      <c r="BF101" s="233" t="n"/>
      <c r="BG101" s="233" t="n"/>
      <c r="BH101" s="233" t="n"/>
      <c r="BI101" s="233" t="n"/>
      <c r="BJ101" s="233" t="n"/>
      <c r="BK101" s="233" t="n"/>
      <c r="BL101" s="233" t="n"/>
      <c r="BM101" s="233" t="n"/>
    </row>
    <row r="102" ht="15.75" customHeight="1" s="349">
      <c r="A102" s="31" t="n"/>
      <c r="B102" s="307" t="n"/>
      <c r="C102" s="307" t="n"/>
      <c r="D102" s="146" t="n"/>
      <c r="E102" s="307" t="n"/>
      <c r="F102" s="307" t="n"/>
      <c r="G102" s="307" t="n"/>
      <c r="H102" s="307" t="n"/>
      <c r="I102" s="307" t="n"/>
      <c r="J102" s="307" t="n"/>
      <c r="K102" s="307" t="n"/>
      <c r="L102" s="307" t="n"/>
      <c r="M102" s="307" t="n"/>
      <c r="N102" s="307" t="n"/>
      <c r="O102" s="233" t="n"/>
      <c r="P102" s="233" t="n"/>
      <c r="Q102" s="233" t="n"/>
      <c r="R102" s="233" t="n"/>
      <c r="S102" s="233" t="n"/>
      <c r="T102" s="233" t="n"/>
      <c r="U102" s="233" t="n"/>
      <c r="V102" s="233" t="n"/>
      <c r="W102" s="233" t="n"/>
      <c r="X102" s="233" t="n"/>
      <c r="Y102" s="233" t="n"/>
      <c r="Z102" s="233" t="n"/>
      <c r="AA102" s="233" t="n"/>
      <c r="AB102" s="233" t="n"/>
      <c r="AC102" s="233" t="n"/>
      <c r="AD102" s="233" t="n"/>
      <c r="AE102" s="233" t="n"/>
      <c r="AF102" s="233" t="n"/>
      <c r="AG102" s="233" t="n"/>
      <c r="AH102" s="233" t="n"/>
      <c r="AI102" s="233" t="n"/>
      <c r="AJ102" s="233" t="n"/>
      <c r="AK102" s="233" t="n"/>
      <c r="AL102" s="233" t="n"/>
      <c r="AM102" s="233" t="n"/>
      <c r="AN102" s="233" t="n"/>
      <c r="AO102" s="233" t="n"/>
      <c r="AP102" s="233" t="n"/>
      <c r="AQ102" s="233" t="n"/>
      <c r="AR102" s="233" t="n"/>
      <c r="AS102" s="233" t="n"/>
      <c r="AT102" s="233" t="n"/>
      <c r="AU102" s="233" t="n"/>
      <c r="AV102" s="233" t="n"/>
      <c r="AW102" s="233" t="n"/>
      <c r="AX102" s="233" t="n"/>
      <c r="AY102" s="233" t="n"/>
      <c r="AZ102" s="233" t="n"/>
      <c r="BA102" s="233" t="n"/>
      <c r="BB102" s="233" t="n"/>
      <c r="BC102" s="233" t="n"/>
      <c r="BD102" s="233" t="n"/>
      <c r="BE102" s="233" t="n"/>
      <c r="BF102" s="233" t="n"/>
      <c r="BG102" s="233" t="n"/>
      <c r="BH102" s="233" t="n"/>
      <c r="BI102" s="233" t="n"/>
      <c r="BJ102" s="233" t="n"/>
      <c r="BK102" s="233" t="n"/>
      <c r="BL102" s="233" t="n"/>
      <c r="BM102" s="233" t="n"/>
    </row>
    <row r="103" ht="15.75" customHeight="1" s="349">
      <c r="A103" s="31" t="n"/>
      <c r="B103" s="307" t="n"/>
      <c r="C103" s="307" t="n"/>
      <c r="D103" s="146" t="n"/>
      <c r="E103" s="307" t="n"/>
      <c r="F103" s="307" t="n"/>
      <c r="G103" s="307" t="n"/>
      <c r="H103" s="307" t="n"/>
      <c r="I103" s="307" t="n"/>
      <c r="J103" s="307" t="n"/>
      <c r="K103" s="307" t="n"/>
      <c r="L103" s="307" t="n"/>
      <c r="M103" s="307" t="n"/>
      <c r="N103" s="307" t="n"/>
      <c r="O103" s="233" t="n"/>
      <c r="P103" s="233" t="n"/>
      <c r="Q103" s="233" t="n"/>
      <c r="R103" s="233" t="n"/>
      <c r="S103" s="233" t="n"/>
      <c r="T103" s="233" t="n"/>
      <c r="U103" s="233" t="n"/>
      <c r="V103" s="233" t="n"/>
      <c r="W103" s="233" t="n"/>
      <c r="X103" s="233" t="n"/>
      <c r="Y103" s="233" t="n"/>
      <c r="Z103" s="233" t="n"/>
      <c r="AA103" s="233" t="n"/>
      <c r="AB103" s="233" t="n"/>
      <c r="AC103" s="233" t="n"/>
      <c r="AD103" s="233" t="n"/>
      <c r="AE103" s="233" t="n"/>
      <c r="AF103" s="233" t="n"/>
      <c r="AG103" s="233" t="n"/>
      <c r="AH103" s="233" t="n"/>
      <c r="AI103" s="233" t="n"/>
      <c r="AJ103" s="233" t="n"/>
      <c r="AK103" s="233" t="n"/>
      <c r="AL103" s="233" t="n"/>
      <c r="AM103" s="233" t="n"/>
      <c r="AN103" s="233" t="n"/>
      <c r="AO103" s="233" t="n"/>
      <c r="AP103" s="233" t="n"/>
      <c r="AQ103" s="233" t="n"/>
      <c r="AR103" s="233" t="n"/>
      <c r="AS103" s="233" t="n"/>
      <c r="AT103" s="233" t="n"/>
      <c r="AU103" s="233" t="n"/>
      <c r="AV103" s="233" t="n"/>
      <c r="AW103" s="233" t="n"/>
      <c r="AX103" s="233" t="n"/>
      <c r="AY103" s="233" t="n"/>
      <c r="AZ103" s="233" t="n"/>
      <c r="BA103" s="233" t="n"/>
      <c r="BB103" s="233" t="n"/>
      <c r="BC103" s="233" t="n"/>
      <c r="BD103" s="233" t="n"/>
      <c r="BE103" s="233" t="n"/>
      <c r="BF103" s="233" t="n"/>
      <c r="BG103" s="233" t="n"/>
      <c r="BH103" s="233" t="n"/>
      <c r="BI103" s="233" t="n"/>
      <c r="BJ103" s="233" t="n"/>
      <c r="BK103" s="233" t="n"/>
      <c r="BL103" s="233" t="n"/>
      <c r="BM103" s="233" t="n"/>
    </row>
    <row r="104" ht="15.75" customHeight="1" s="349">
      <c r="A104" s="31" t="n"/>
      <c r="B104" s="307" t="n"/>
      <c r="C104" s="307" t="n"/>
      <c r="D104" s="146" t="n"/>
      <c r="E104" s="307" t="n"/>
      <c r="F104" s="307" t="n"/>
      <c r="G104" s="307" t="n"/>
      <c r="H104" s="307" t="n"/>
      <c r="I104" s="307" t="n"/>
      <c r="J104" s="307" t="n"/>
      <c r="K104" s="307" t="n"/>
      <c r="L104" s="307" t="n"/>
      <c r="M104" s="307" t="n"/>
      <c r="N104" s="307" t="n"/>
      <c r="O104" s="233" t="n"/>
      <c r="P104" s="233" t="n"/>
      <c r="Q104" s="233" t="n"/>
      <c r="R104" s="233" t="n"/>
      <c r="S104" s="233" t="n"/>
      <c r="T104" s="233" t="n"/>
      <c r="U104" s="233" t="n"/>
      <c r="V104" s="233" t="n"/>
      <c r="W104" s="233" t="n"/>
      <c r="X104" s="233" t="n"/>
      <c r="Y104" s="233" t="n"/>
      <c r="Z104" s="233" t="n"/>
      <c r="AA104" s="233" t="n"/>
      <c r="AB104" s="233" t="n"/>
      <c r="AC104" s="233" t="n"/>
      <c r="AD104" s="233" t="n"/>
      <c r="AE104" s="233" t="n"/>
      <c r="AF104" s="233" t="n"/>
      <c r="AG104" s="233" t="n"/>
      <c r="AH104" s="233" t="n"/>
      <c r="AI104" s="233" t="n"/>
      <c r="AJ104" s="233" t="n"/>
      <c r="AK104" s="233" t="n"/>
      <c r="AL104" s="233" t="n"/>
      <c r="AM104" s="233" t="n"/>
      <c r="AN104" s="233" t="n"/>
      <c r="AO104" s="233" t="n"/>
      <c r="AP104" s="233" t="n"/>
      <c r="AQ104" s="233" t="n"/>
      <c r="AR104" s="233" t="n"/>
      <c r="AS104" s="233" t="n"/>
      <c r="AT104" s="233" t="n"/>
      <c r="AU104" s="233" t="n"/>
      <c r="AV104" s="233" t="n"/>
      <c r="AW104" s="233" t="n"/>
      <c r="AX104" s="233" t="n"/>
      <c r="AY104" s="233" t="n"/>
      <c r="AZ104" s="233" t="n"/>
      <c r="BA104" s="233" t="n"/>
      <c r="BB104" s="233" t="n"/>
      <c r="BC104" s="233" t="n"/>
      <c r="BD104" s="233" t="n"/>
      <c r="BE104" s="233" t="n"/>
      <c r="BF104" s="233" t="n"/>
      <c r="BG104" s="233" t="n"/>
      <c r="BH104" s="233" t="n"/>
      <c r="BI104" s="233" t="n"/>
      <c r="BJ104" s="233" t="n"/>
      <c r="BK104" s="233" t="n"/>
      <c r="BL104" s="233" t="n"/>
      <c r="BM104" s="233" t="n"/>
    </row>
    <row r="105" ht="15.75" customHeight="1" s="349">
      <c r="A105" s="31" t="n"/>
      <c r="B105" s="307" t="n"/>
      <c r="C105" s="307" t="n"/>
      <c r="D105" s="146" t="n"/>
      <c r="E105" s="307" t="n"/>
      <c r="F105" s="307" t="n"/>
      <c r="G105" s="307" t="n"/>
      <c r="H105" s="307" t="n"/>
      <c r="I105" s="307" t="n"/>
      <c r="J105" s="307" t="n"/>
      <c r="K105" s="307" t="n"/>
      <c r="L105" s="307" t="n"/>
      <c r="M105" s="307" t="n"/>
      <c r="N105" s="307" t="n"/>
      <c r="O105" s="233" t="n"/>
      <c r="P105" s="233" t="n"/>
      <c r="Q105" s="233" t="n"/>
      <c r="R105" s="233" t="n"/>
      <c r="S105" s="233" t="n"/>
      <c r="T105" s="233" t="n"/>
      <c r="U105" s="233" t="n"/>
      <c r="V105" s="233" t="n"/>
      <c r="W105" s="233" t="n"/>
      <c r="X105" s="233" t="n"/>
      <c r="Y105" s="233" t="n"/>
      <c r="Z105" s="233" t="n"/>
      <c r="AA105" s="233" t="n"/>
      <c r="AB105" s="233" t="n"/>
      <c r="AC105" s="233" t="n"/>
      <c r="AD105" s="233" t="n"/>
      <c r="AE105" s="233" t="n"/>
      <c r="AF105" s="233" t="n"/>
      <c r="AG105" s="233" t="n"/>
      <c r="AH105" s="233" t="n"/>
      <c r="AI105" s="233" t="n"/>
      <c r="AJ105" s="233" t="n"/>
      <c r="AK105" s="233" t="n"/>
      <c r="AL105" s="233" t="n"/>
      <c r="AM105" s="233" t="n"/>
      <c r="AN105" s="233" t="n"/>
      <c r="AO105" s="233" t="n"/>
      <c r="AP105" s="233" t="n"/>
      <c r="AQ105" s="233" t="n"/>
      <c r="AR105" s="233" t="n"/>
      <c r="AS105" s="233" t="n"/>
      <c r="AT105" s="233" t="n"/>
      <c r="AU105" s="233" t="n"/>
      <c r="AV105" s="233" t="n"/>
      <c r="AW105" s="233" t="n"/>
      <c r="AX105" s="233" t="n"/>
      <c r="AY105" s="233" t="n"/>
      <c r="AZ105" s="233" t="n"/>
      <c r="BA105" s="233" t="n"/>
      <c r="BB105" s="233" t="n"/>
      <c r="BC105" s="233" t="n"/>
      <c r="BD105" s="233" t="n"/>
      <c r="BE105" s="233" t="n"/>
      <c r="BF105" s="233" t="n"/>
      <c r="BG105" s="233" t="n"/>
      <c r="BH105" s="233" t="n"/>
      <c r="BI105" s="233" t="n"/>
      <c r="BJ105" s="233" t="n"/>
      <c r="BK105" s="233" t="n"/>
      <c r="BL105" s="233" t="n"/>
      <c r="BM105" s="233" t="n"/>
    </row>
    <row r="106" ht="15.75" customHeight="1" s="349">
      <c r="A106" s="31" t="n"/>
      <c r="B106" s="307" t="n"/>
      <c r="C106" s="307" t="n"/>
      <c r="D106" s="146" t="n"/>
      <c r="E106" s="307" t="n"/>
      <c r="F106" s="307" t="n"/>
      <c r="G106" s="307" t="n"/>
      <c r="H106" s="307" t="n"/>
      <c r="I106" s="307" t="n"/>
      <c r="J106" s="307" t="n"/>
      <c r="K106" s="307" t="n"/>
      <c r="L106" s="307" t="n"/>
      <c r="M106" s="307" t="n"/>
      <c r="N106" s="307" t="n"/>
      <c r="O106" s="233" t="n"/>
      <c r="P106" s="233" t="n"/>
      <c r="Q106" s="233" t="n"/>
      <c r="R106" s="233" t="n"/>
      <c r="S106" s="233" t="n"/>
      <c r="T106" s="233" t="n"/>
      <c r="U106" s="233" t="n"/>
      <c r="V106" s="233" t="n"/>
      <c r="W106" s="233" t="n"/>
      <c r="X106" s="233" t="n"/>
      <c r="Y106" s="233" t="n"/>
      <c r="Z106" s="233" t="n"/>
      <c r="AA106" s="233" t="n"/>
      <c r="AB106" s="233" t="n"/>
      <c r="AC106" s="233" t="n"/>
      <c r="AD106" s="233" t="n"/>
      <c r="AE106" s="233" t="n"/>
      <c r="AF106" s="233" t="n"/>
      <c r="AG106" s="233" t="n"/>
      <c r="AH106" s="233" t="n"/>
      <c r="AI106" s="233" t="n"/>
      <c r="AJ106" s="233" t="n"/>
      <c r="AK106" s="233" t="n"/>
      <c r="AL106" s="233" t="n"/>
      <c r="AM106" s="233" t="n"/>
      <c r="AN106" s="233" t="n"/>
      <c r="AO106" s="233" t="n"/>
      <c r="AP106" s="233" t="n"/>
      <c r="AQ106" s="233" t="n"/>
      <c r="AR106" s="233" t="n"/>
      <c r="AS106" s="233" t="n"/>
      <c r="AT106" s="233" t="n"/>
      <c r="AU106" s="233" t="n"/>
      <c r="AV106" s="233" t="n"/>
      <c r="AW106" s="233" t="n"/>
      <c r="AX106" s="233" t="n"/>
      <c r="AY106" s="233" t="n"/>
      <c r="AZ106" s="233" t="n"/>
      <c r="BA106" s="233" t="n"/>
      <c r="BB106" s="233" t="n"/>
      <c r="BC106" s="233" t="n"/>
      <c r="BD106" s="233" t="n"/>
      <c r="BE106" s="233" t="n"/>
      <c r="BF106" s="233" t="n"/>
      <c r="BG106" s="233" t="n"/>
      <c r="BH106" s="233" t="n"/>
      <c r="BI106" s="233" t="n"/>
      <c r="BJ106" s="233" t="n"/>
      <c r="BK106" s="233" t="n"/>
      <c r="BL106" s="233" t="n"/>
      <c r="BM106" s="233" t="n"/>
    </row>
    <row r="107" ht="15.75" customHeight="1" s="349">
      <c r="A107" s="31" t="n"/>
      <c r="B107" s="307" t="n"/>
      <c r="C107" s="307" t="n"/>
      <c r="D107" s="146" t="n"/>
      <c r="E107" s="307" t="n"/>
      <c r="F107" s="307" t="n"/>
      <c r="G107" s="307" t="n"/>
      <c r="H107" s="307" t="n"/>
      <c r="I107" s="307" t="n"/>
      <c r="J107" s="307" t="n"/>
      <c r="K107" s="307" t="n"/>
      <c r="L107" s="307" t="n"/>
      <c r="M107" s="307" t="n"/>
      <c r="N107" s="307" t="n"/>
      <c r="O107" s="233" t="n"/>
      <c r="P107" s="233" t="n"/>
      <c r="Q107" s="233" t="n"/>
      <c r="R107" s="233" t="n"/>
      <c r="S107" s="233" t="n"/>
      <c r="T107" s="233" t="n"/>
      <c r="U107" s="233" t="n"/>
      <c r="V107" s="233" t="n"/>
      <c r="W107" s="233" t="n"/>
      <c r="X107" s="233" t="n"/>
      <c r="Y107" s="233" t="n"/>
      <c r="Z107" s="233" t="n"/>
      <c r="AA107" s="233" t="n"/>
      <c r="AB107" s="233" t="n"/>
      <c r="AC107" s="233" t="n"/>
      <c r="AD107" s="233" t="n"/>
      <c r="AE107" s="233" t="n"/>
      <c r="AF107" s="233" t="n"/>
      <c r="AG107" s="233" t="n"/>
      <c r="AH107" s="233" t="n"/>
      <c r="AI107" s="233" t="n"/>
      <c r="AJ107" s="233" t="n"/>
      <c r="AK107" s="233" t="n"/>
      <c r="AL107" s="233" t="n"/>
      <c r="AM107" s="233" t="n"/>
      <c r="AN107" s="233" t="n"/>
      <c r="AO107" s="233" t="n"/>
      <c r="AP107" s="233" t="n"/>
      <c r="AQ107" s="233" t="n"/>
      <c r="AR107" s="233" t="n"/>
      <c r="AS107" s="233" t="n"/>
      <c r="AT107" s="233" t="n"/>
      <c r="AU107" s="233" t="n"/>
      <c r="AV107" s="233" t="n"/>
      <c r="AW107" s="233" t="n"/>
      <c r="AX107" s="233" t="n"/>
      <c r="AY107" s="233" t="n"/>
      <c r="AZ107" s="233" t="n"/>
      <c r="BA107" s="233" t="n"/>
      <c r="BB107" s="233" t="n"/>
      <c r="BC107" s="233" t="n"/>
      <c r="BD107" s="233" t="n"/>
      <c r="BE107" s="233" t="n"/>
      <c r="BF107" s="233" t="n"/>
      <c r="BG107" s="233" t="n"/>
      <c r="BH107" s="233" t="n"/>
      <c r="BI107" s="233" t="n"/>
      <c r="BJ107" s="233" t="n"/>
      <c r="BK107" s="233" t="n"/>
      <c r="BL107" s="233" t="n"/>
      <c r="BM107" s="233" t="n"/>
    </row>
    <row r="108" ht="15.75" customHeight="1" s="349">
      <c r="A108" s="31" t="n"/>
      <c r="B108" s="307" t="n"/>
      <c r="C108" s="307" t="n"/>
      <c r="D108" s="146" t="n"/>
      <c r="E108" s="307" t="n"/>
      <c r="F108" s="307" t="n"/>
      <c r="G108" s="307" t="n"/>
      <c r="H108" s="307" t="n"/>
      <c r="I108" s="307" t="n"/>
      <c r="J108" s="307" t="n"/>
      <c r="K108" s="307" t="n"/>
      <c r="L108" s="307" t="n"/>
      <c r="M108" s="307" t="n"/>
      <c r="N108" s="307" t="n"/>
      <c r="O108" s="233" t="n"/>
      <c r="P108" s="233" t="n"/>
      <c r="Q108" s="233" t="n"/>
      <c r="R108" s="233" t="n"/>
      <c r="S108" s="233" t="n"/>
      <c r="T108" s="233" t="n"/>
      <c r="U108" s="233" t="n"/>
      <c r="V108" s="233" t="n"/>
      <c r="W108" s="233" t="n"/>
      <c r="X108" s="233" t="n"/>
      <c r="Y108" s="233" t="n"/>
      <c r="Z108" s="233" t="n"/>
      <c r="AA108" s="233" t="n"/>
      <c r="AB108" s="233" t="n"/>
      <c r="AC108" s="233" t="n"/>
      <c r="AD108" s="233" t="n"/>
      <c r="AE108" s="233" t="n"/>
      <c r="AF108" s="233" t="n"/>
      <c r="AG108" s="233" t="n"/>
      <c r="AH108" s="233" t="n"/>
      <c r="AI108" s="233" t="n"/>
      <c r="AJ108" s="233" t="n"/>
      <c r="AK108" s="233" t="n"/>
      <c r="AL108" s="233" t="n"/>
      <c r="AM108" s="233" t="n"/>
      <c r="AN108" s="233" t="n"/>
      <c r="AO108" s="233" t="n"/>
      <c r="AP108" s="233" t="n"/>
      <c r="AQ108" s="233" t="n"/>
      <c r="AR108" s="233" t="n"/>
      <c r="AS108" s="233" t="n"/>
      <c r="AT108" s="233" t="n"/>
      <c r="AU108" s="233" t="n"/>
      <c r="AV108" s="233" t="n"/>
      <c r="AW108" s="233" t="n"/>
      <c r="AX108" s="233" t="n"/>
      <c r="AY108" s="233" t="n"/>
      <c r="AZ108" s="233" t="n"/>
      <c r="BA108" s="233" t="n"/>
      <c r="BB108" s="233" t="n"/>
      <c r="BC108" s="233" t="n"/>
      <c r="BD108" s="233" t="n"/>
      <c r="BE108" s="233" t="n"/>
      <c r="BF108" s="233" t="n"/>
      <c r="BG108" s="233" t="n"/>
      <c r="BH108" s="233" t="n"/>
      <c r="BI108" s="233" t="n"/>
      <c r="BJ108" s="233" t="n"/>
      <c r="BK108" s="233" t="n"/>
      <c r="BL108" s="233" t="n"/>
      <c r="BM108" s="233" t="n"/>
    </row>
    <row r="109" ht="15.75" customHeight="1" s="349">
      <c r="A109" s="31" t="n"/>
      <c r="B109" s="307" t="n"/>
      <c r="C109" s="307" t="n"/>
      <c r="D109" s="146" t="n"/>
      <c r="E109" s="307" t="n"/>
      <c r="F109" s="307" t="n"/>
      <c r="G109" s="307" t="n"/>
      <c r="H109" s="307" t="n"/>
      <c r="I109" s="307" t="n"/>
      <c r="J109" s="307" t="n"/>
      <c r="K109" s="307" t="n"/>
      <c r="L109" s="307" t="n"/>
      <c r="M109" s="307" t="n"/>
      <c r="N109" s="307" t="n"/>
      <c r="O109" s="233" t="n"/>
      <c r="P109" s="233" t="n"/>
      <c r="Q109" s="233" t="n"/>
      <c r="R109" s="233" t="n"/>
      <c r="S109" s="233" t="n"/>
      <c r="T109" s="233" t="n"/>
      <c r="U109" s="233" t="n"/>
      <c r="V109" s="233" t="n"/>
      <c r="W109" s="233" t="n"/>
      <c r="X109" s="233" t="n"/>
      <c r="Y109" s="233" t="n"/>
      <c r="Z109" s="233" t="n"/>
      <c r="AA109" s="233" t="n"/>
      <c r="AB109" s="233" t="n"/>
      <c r="AC109" s="233" t="n"/>
      <c r="AD109" s="233" t="n"/>
      <c r="AE109" s="233" t="n"/>
      <c r="AF109" s="233" t="n"/>
      <c r="AG109" s="233" t="n"/>
      <c r="AH109" s="233" t="n"/>
      <c r="AI109" s="233" t="n"/>
      <c r="AJ109" s="233" t="n"/>
      <c r="AK109" s="233" t="n"/>
      <c r="AL109" s="233" t="n"/>
      <c r="AM109" s="233" t="n"/>
      <c r="AN109" s="233" t="n"/>
      <c r="AO109" s="233" t="n"/>
      <c r="AP109" s="233" t="n"/>
      <c r="AQ109" s="233" t="n"/>
      <c r="AR109" s="233" t="n"/>
      <c r="AS109" s="233" t="n"/>
      <c r="AT109" s="233" t="n"/>
      <c r="AU109" s="233" t="n"/>
      <c r="AV109" s="233" t="n"/>
      <c r="AW109" s="233" t="n"/>
      <c r="AX109" s="233" t="n"/>
      <c r="AY109" s="233" t="n"/>
      <c r="AZ109" s="233" t="n"/>
      <c r="BA109" s="233" t="n"/>
      <c r="BB109" s="233" t="n"/>
      <c r="BC109" s="233" t="n"/>
      <c r="BD109" s="233" t="n"/>
      <c r="BE109" s="233" t="n"/>
      <c r="BF109" s="233" t="n"/>
      <c r="BG109" s="233" t="n"/>
      <c r="BH109" s="233" t="n"/>
      <c r="BI109" s="233" t="n"/>
      <c r="BJ109" s="233" t="n"/>
      <c r="BK109" s="233" t="n"/>
      <c r="BL109" s="233" t="n"/>
      <c r="BM109" s="233" t="n"/>
    </row>
    <row r="110" ht="15.75" customHeight="1" s="349">
      <c r="A110" s="31" t="n"/>
      <c r="B110" s="307" t="n"/>
      <c r="C110" s="307" t="n"/>
      <c r="D110" s="146" t="n"/>
      <c r="E110" s="307" t="n"/>
      <c r="F110" s="307" t="n"/>
      <c r="G110" s="307" t="n"/>
      <c r="H110" s="307" t="n"/>
      <c r="I110" s="307" t="n"/>
      <c r="J110" s="307" t="n"/>
      <c r="K110" s="307" t="n"/>
      <c r="L110" s="307" t="n"/>
      <c r="M110" s="307" t="n"/>
      <c r="N110" s="307" t="n"/>
      <c r="O110" s="233" t="n"/>
      <c r="P110" s="233" t="n"/>
      <c r="Q110" s="233" t="n"/>
      <c r="R110" s="233" t="n"/>
      <c r="S110" s="233" t="n"/>
      <c r="T110" s="233" t="n"/>
      <c r="U110" s="233" t="n"/>
      <c r="V110" s="233" t="n"/>
      <c r="W110" s="233" t="n"/>
      <c r="X110" s="233" t="n"/>
      <c r="Y110" s="233" t="n"/>
      <c r="Z110" s="233" t="n"/>
      <c r="AA110" s="233" t="n"/>
      <c r="AB110" s="233" t="n"/>
      <c r="AC110" s="233" t="n"/>
      <c r="AD110" s="233" t="n"/>
      <c r="AE110" s="233" t="n"/>
      <c r="AF110" s="233" t="n"/>
      <c r="AG110" s="233" t="n"/>
      <c r="AH110" s="233" t="n"/>
      <c r="AI110" s="233" t="n"/>
      <c r="AJ110" s="233" t="n"/>
      <c r="AK110" s="233" t="n"/>
      <c r="AL110" s="233" t="n"/>
      <c r="AM110" s="233" t="n"/>
      <c r="AN110" s="233" t="n"/>
      <c r="AO110" s="233" t="n"/>
      <c r="AP110" s="233" t="n"/>
      <c r="AQ110" s="233" t="n"/>
      <c r="AR110" s="233" t="n"/>
      <c r="AS110" s="233" t="n"/>
      <c r="AT110" s="233" t="n"/>
      <c r="AU110" s="233" t="n"/>
      <c r="AV110" s="233" t="n"/>
      <c r="AW110" s="233" t="n"/>
      <c r="AX110" s="233" t="n"/>
      <c r="AY110" s="233" t="n"/>
      <c r="AZ110" s="233" t="n"/>
      <c r="BA110" s="233" t="n"/>
      <c r="BB110" s="233" t="n"/>
      <c r="BC110" s="233" t="n"/>
      <c r="BD110" s="233" t="n"/>
      <c r="BE110" s="233" t="n"/>
      <c r="BF110" s="233" t="n"/>
      <c r="BG110" s="233" t="n"/>
      <c r="BH110" s="233" t="n"/>
      <c r="BI110" s="233" t="n"/>
      <c r="BJ110" s="233" t="n"/>
      <c r="BK110" s="233" t="n"/>
      <c r="BL110" s="233" t="n"/>
      <c r="BM110" s="233" t="n"/>
    </row>
    <row r="111" ht="15.75" customHeight="1" s="349">
      <c r="A111" s="31" t="n"/>
      <c r="B111" s="307" t="n"/>
      <c r="C111" s="307" t="n"/>
      <c r="D111" s="146" t="n"/>
      <c r="E111" s="307" t="n"/>
      <c r="F111" s="307" t="n"/>
      <c r="G111" s="307" t="n"/>
      <c r="H111" s="307" t="n"/>
      <c r="I111" s="307" t="n"/>
      <c r="J111" s="307" t="n"/>
      <c r="K111" s="307" t="n"/>
      <c r="L111" s="307" t="n"/>
      <c r="M111" s="307" t="n"/>
      <c r="N111" s="307" t="n"/>
      <c r="O111" s="233" t="n"/>
      <c r="P111" s="233" t="n"/>
      <c r="Q111" s="233" t="n"/>
      <c r="R111" s="233" t="n"/>
      <c r="S111" s="233" t="n"/>
      <c r="T111" s="233" t="n"/>
      <c r="U111" s="233" t="n"/>
      <c r="V111" s="233" t="n"/>
      <c r="W111" s="233" t="n"/>
      <c r="X111" s="233" t="n"/>
      <c r="Y111" s="233" t="n"/>
      <c r="Z111" s="233" t="n"/>
      <c r="AA111" s="233" t="n"/>
      <c r="AB111" s="233" t="n"/>
      <c r="AC111" s="233" t="n"/>
      <c r="AD111" s="233" t="n"/>
      <c r="AE111" s="233" t="n"/>
      <c r="AF111" s="233" t="n"/>
      <c r="AG111" s="233" t="n"/>
      <c r="AH111" s="233" t="n"/>
      <c r="AI111" s="233" t="n"/>
      <c r="AJ111" s="233" t="n"/>
      <c r="AK111" s="233" t="n"/>
      <c r="AL111" s="233" t="n"/>
      <c r="AM111" s="233" t="n"/>
      <c r="AN111" s="233" t="n"/>
      <c r="AO111" s="233" t="n"/>
      <c r="AP111" s="233" t="n"/>
      <c r="AQ111" s="233" t="n"/>
      <c r="AR111" s="233" t="n"/>
      <c r="AS111" s="233" t="n"/>
      <c r="AT111" s="233" t="n"/>
      <c r="AU111" s="233" t="n"/>
      <c r="AV111" s="233" t="n"/>
      <c r="AW111" s="233" t="n"/>
      <c r="AX111" s="233" t="n"/>
      <c r="AY111" s="233" t="n"/>
      <c r="AZ111" s="233" t="n"/>
      <c r="BA111" s="233" t="n"/>
      <c r="BB111" s="233" t="n"/>
      <c r="BC111" s="233" t="n"/>
      <c r="BD111" s="233" t="n"/>
      <c r="BE111" s="233" t="n"/>
      <c r="BF111" s="233" t="n"/>
      <c r="BG111" s="233" t="n"/>
      <c r="BH111" s="233" t="n"/>
      <c r="BI111" s="233" t="n"/>
      <c r="BJ111" s="233" t="n"/>
      <c r="BK111" s="233" t="n"/>
      <c r="BL111" s="233" t="n"/>
      <c r="BM111" s="233" t="n"/>
    </row>
    <row r="112" ht="15.75" customHeight="1" s="349">
      <c r="A112" s="31" t="n"/>
      <c r="B112" s="307" t="n"/>
      <c r="C112" s="307" t="n"/>
      <c r="D112" s="146" t="n"/>
      <c r="E112" s="307" t="n"/>
      <c r="F112" s="307" t="n"/>
      <c r="G112" s="307" t="n"/>
      <c r="H112" s="307" t="n"/>
      <c r="I112" s="307" t="n"/>
      <c r="J112" s="307" t="n"/>
      <c r="K112" s="307" t="n"/>
      <c r="L112" s="307" t="n"/>
      <c r="M112" s="307" t="n"/>
      <c r="N112" s="307" t="n"/>
      <c r="O112" s="233" t="n"/>
      <c r="P112" s="233" t="n"/>
      <c r="Q112" s="233" t="n"/>
      <c r="R112" s="233" t="n"/>
      <c r="S112" s="233" t="n"/>
      <c r="T112" s="233" t="n"/>
      <c r="U112" s="233" t="n"/>
      <c r="V112" s="233" t="n"/>
      <c r="W112" s="233" t="n"/>
      <c r="X112" s="233" t="n"/>
      <c r="Y112" s="233" t="n"/>
      <c r="Z112" s="233" t="n"/>
      <c r="AA112" s="233" t="n"/>
      <c r="AB112" s="233" t="n"/>
      <c r="AC112" s="233" t="n"/>
      <c r="AD112" s="233" t="n"/>
      <c r="AE112" s="233" t="n"/>
      <c r="AF112" s="233" t="n"/>
      <c r="AG112" s="233" t="n"/>
      <c r="AH112" s="233" t="n"/>
      <c r="AI112" s="233" t="n"/>
      <c r="AJ112" s="233" t="n"/>
      <c r="AK112" s="233" t="n"/>
      <c r="AL112" s="233" t="n"/>
      <c r="AM112" s="233" t="n"/>
      <c r="AN112" s="233" t="n"/>
      <c r="AO112" s="233" t="n"/>
      <c r="AP112" s="233" t="n"/>
      <c r="AQ112" s="233" t="n"/>
      <c r="AR112" s="233" t="n"/>
      <c r="AS112" s="233" t="n"/>
      <c r="AT112" s="233" t="n"/>
      <c r="AU112" s="233" t="n"/>
      <c r="AV112" s="233" t="n"/>
      <c r="AW112" s="233" t="n"/>
      <c r="AX112" s="233" t="n"/>
      <c r="AY112" s="233" t="n"/>
      <c r="AZ112" s="233" t="n"/>
      <c r="BA112" s="233" t="n"/>
      <c r="BB112" s="233" t="n"/>
      <c r="BC112" s="233" t="n"/>
      <c r="BD112" s="233" t="n"/>
      <c r="BE112" s="233" t="n"/>
      <c r="BF112" s="233" t="n"/>
      <c r="BG112" s="233" t="n"/>
      <c r="BH112" s="233" t="n"/>
      <c r="BI112" s="233" t="n"/>
      <c r="BJ112" s="233" t="n"/>
      <c r="BK112" s="233" t="n"/>
      <c r="BL112" s="233" t="n"/>
      <c r="BM112" s="233" t="n"/>
    </row>
    <row r="113" ht="15.75" customHeight="1" s="349">
      <c r="A113" s="31" t="n"/>
      <c r="B113" s="307" t="n"/>
      <c r="C113" s="307" t="n"/>
      <c r="D113" s="146" t="n"/>
      <c r="E113" s="307" t="n"/>
      <c r="F113" s="307" t="n"/>
      <c r="G113" s="307" t="n"/>
      <c r="H113" s="307" t="n"/>
      <c r="I113" s="307" t="n"/>
      <c r="J113" s="307" t="n"/>
      <c r="K113" s="307" t="n"/>
      <c r="L113" s="307" t="n"/>
      <c r="M113" s="307" t="n"/>
      <c r="N113" s="307" t="n"/>
      <c r="O113" s="233" t="n"/>
      <c r="P113" s="233" t="n"/>
      <c r="Q113" s="233" t="n"/>
      <c r="R113" s="233" t="n"/>
      <c r="S113" s="233" t="n"/>
      <c r="T113" s="233" t="n"/>
      <c r="U113" s="233" t="n"/>
      <c r="V113" s="233" t="n"/>
      <c r="W113" s="233" t="n"/>
      <c r="X113" s="233" t="n"/>
      <c r="Y113" s="233" t="n"/>
      <c r="Z113" s="233" t="n"/>
      <c r="AA113" s="233" t="n"/>
      <c r="AB113" s="233" t="n"/>
      <c r="AC113" s="233" t="n"/>
      <c r="AD113" s="233" t="n"/>
      <c r="AE113" s="233" t="n"/>
      <c r="AF113" s="233" t="n"/>
      <c r="AG113" s="233" t="n"/>
      <c r="AH113" s="233" t="n"/>
      <c r="AI113" s="233" t="n"/>
      <c r="AJ113" s="233" t="n"/>
      <c r="AK113" s="233" t="n"/>
      <c r="AL113" s="233" t="n"/>
      <c r="AM113" s="233" t="n"/>
      <c r="AN113" s="233" t="n"/>
      <c r="AO113" s="233" t="n"/>
      <c r="AP113" s="233" t="n"/>
      <c r="AQ113" s="233" t="n"/>
      <c r="AR113" s="233" t="n"/>
      <c r="AS113" s="233" t="n"/>
      <c r="AT113" s="233" t="n"/>
      <c r="AU113" s="233" t="n"/>
      <c r="AV113" s="233" t="n"/>
      <c r="AW113" s="233" t="n"/>
      <c r="AX113" s="233" t="n"/>
      <c r="AY113" s="233" t="n"/>
      <c r="AZ113" s="233" t="n"/>
      <c r="BA113" s="233" t="n"/>
      <c r="BB113" s="233" t="n"/>
      <c r="BC113" s="233" t="n"/>
      <c r="BD113" s="233" t="n"/>
      <c r="BE113" s="233" t="n"/>
      <c r="BF113" s="233" t="n"/>
      <c r="BG113" s="233" t="n"/>
      <c r="BH113" s="233" t="n"/>
      <c r="BI113" s="233" t="n"/>
      <c r="BJ113" s="233" t="n"/>
      <c r="BK113" s="233" t="n"/>
      <c r="BL113" s="233" t="n"/>
      <c r="BM113" s="233" t="n"/>
    </row>
    <row r="114" ht="15.75" customHeight="1" s="349">
      <c r="A114" s="31" t="n"/>
      <c r="B114" s="307" t="n"/>
      <c r="C114" s="307" t="n"/>
      <c r="D114" s="146" t="n"/>
      <c r="E114" s="307" t="n"/>
      <c r="F114" s="307" t="n"/>
      <c r="G114" s="307" t="n"/>
      <c r="H114" s="307" t="n"/>
      <c r="I114" s="307" t="n"/>
      <c r="J114" s="307" t="n"/>
      <c r="K114" s="307" t="n"/>
      <c r="L114" s="307" t="n"/>
      <c r="M114" s="307" t="n"/>
      <c r="N114" s="307" t="n"/>
      <c r="O114" s="233" t="n"/>
      <c r="P114" s="233" t="n"/>
      <c r="Q114" s="233" t="n"/>
      <c r="R114" s="233" t="n"/>
      <c r="S114" s="233" t="n"/>
      <c r="T114" s="233" t="n"/>
      <c r="U114" s="233" t="n"/>
      <c r="V114" s="233" t="n"/>
      <c r="W114" s="233" t="n"/>
      <c r="X114" s="233" t="n"/>
      <c r="Y114" s="233" t="n"/>
      <c r="Z114" s="233" t="n"/>
      <c r="AA114" s="233" t="n"/>
      <c r="AB114" s="233" t="n"/>
      <c r="AC114" s="233" t="n"/>
      <c r="AD114" s="233" t="n"/>
      <c r="AE114" s="233" t="n"/>
      <c r="AF114" s="233" t="n"/>
      <c r="AG114" s="233" t="n"/>
      <c r="AH114" s="233" t="n"/>
      <c r="AI114" s="233" t="n"/>
      <c r="AJ114" s="233" t="n"/>
      <c r="AK114" s="233" t="n"/>
      <c r="AL114" s="233" t="n"/>
      <c r="AM114" s="233" t="n"/>
      <c r="AN114" s="233" t="n"/>
      <c r="AO114" s="233" t="n"/>
      <c r="AP114" s="233" t="n"/>
      <c r="AQ114" s="233" t="n"/>
      <c r="AR114" s="233" t="n"/>
      <c r="AS114" s="233" t="n"/>
      <c r="AT114" s="233" t="n"/>
      <c r="AU114" s="233" t="n"/>
      <c r="AV114" s="233" t="n"/>
      <c r="AW114" s="233" t="n"/>
      <c r="AX114" s="233" t="n"/>
      <c r="AY114" s="233" t="n"/>
      <c r="AZ114" s="233" t="n"/>
      <c r="BA114" s="233" t="n"/>
      <c r="BB114" s="233" t="n"/>
      <c r="BC114" s="233" t="n"/>
      <c r="BD114" s="233" t="n"/>
      <c r="BE114" s="233" t="n"/>
      <c r="BF114" s="233" t="n"/>
      <c r="BG114" s="233" t="n"/>
      <c r="BH114" s="233" t="n"/>
      <c r="BI114" s="233" t="n"/>
      <c r="BJ114" s="233" t="n"/>
      <c r="BK114" s="233" t="n"/>
      <c r="BL114" s="233" t="n"/>
      <c r="BM114" s="233" t="n"/>
    </row>
    <row r="115" ht="15.75" customHeight="1" s="349">
      <c r="A115" s="31" t="n"/>
      <c r="B115" s="307" t="n"/>
      <c r="C115" s="307" t="n"/>
      <c r="D115" s="146" t="n"/>
      <c r="E115" s="307" t="n"/>
      <c r="F115" s="307" t="n"/>
      <c r="G115" s="307" t="n"/>
      <c r="H115" s="307" t="n"/>
      <c r="I115" s="307" t="n"/>
      <c r="J115" s="307" t="n"/>
      <c r="K115" s="307" t="n"/>
      <c r="L115" s="307" t="n"/>
      <c r="M115" s="307" t="n"/>
      <c r="N115" s="307" t="n"/>
      <c r="O115" s="233" t="n"/>
      <c r="P115" s="233" t="n"/>
      <c r="Q115" s="233" t="n"/>
      <c r="R115" s="233" t="n"/>
      <c r="S115" s="233" t="n"/>
      <c r="T115" s="233" t="n"/>
      <c r="U115" s="233" t="n"/>
      <c r="V115" s="233" t="n"/>
      <c r="W115" s="233" t="n"/>
      <c r="X115" s="233" t="n"/>
      <c r="Y115" s="233" t="n"/>
      <c r="Z115" s="233" t="n"/>
      <c r="AA115" s="233" t="n"/>
      <c r="AB115" s="233" t="n"/>
      <c r="AC115" s="233" t="n"/>
      <c r="AD115" s="233" t="n"/>
      <c r="AE115" s="233" t="n"/>
      <c r="AF115" s="233" t="n"/>
      <c r="AG115" s="233" t="n"/>
      <c r="AH115" s="233" t="n"/>
      <c r="AI115" s="233" t="n"/>
      <c r="AJ115" s="233" t="n"/>
      <c r="AK115" s="233" t="n"/>
      <c r="AL115" s="233" t="n"/>
      <c r="AM115" s="233" t="n"/>
      <c r="AN115" s="233" t="n"/>
      <c r="AO115" s="233" t="n"/>
      <c r="AP115" s="233" t="n"/>
      <c r="AQ115" s="233" t="n"/>
      <c r="AR115" s="233" t="n"/>
      <c r="AS115" s="233" t="n"/>
      <c r="AT115" s="233" t="n"/>
      <c r="AU115" s="233" t="n"/>
      <c r="AV115" s="233" t="n"/>
      <c r="AW115" s="233" t="n"/>
      <c r="AX115" s="233" t="n"/>
      <c r="AY115" s="233" t="n"/>
      <c r="AZ115" s="233" t="n"/>
      <c r="BA115" s="233" t="n"/>
      <c r="BB115" s="233" t="n"/>
      <c r="BC115" s="233" t="n"/>
      <c r="BD115" s="233" t="n"/>
      <c r="BE115" s="233" t="n"/>
      <c r="BF115" s="233" t="n"/>
      <c r="BG115" s="233" t="n"/>
      <c r="BH115" s="233" t="n"/>
      <c r="BI115" s="233" t="n"/>
      <c r="BJ115" s="233" t="n"/>
      <c r="BK115" s="233" t="n"/>
      <c r="BL115" s="233" t="n"/>
      <c r="BM115" s="233" t="n"/>
    </row>
    <row r="116" ht="15.75" customHeight="1" s="349">
      <c r="A116" s="31" t="n"/>
      <c r="B116" s="307" t="n"/>
      <c r="C116" s="307" t="n"/>
      <c r="D116" s="146" t="n"/>
      <c r="E116" s="307" t="n"/>
      <c r="F116" s="307" t="n"/>
      <c r="G116" s="307" t="n"/>
      <c r="H116" s="307" t="n"/>
      <c r="I116" s="307" t="n"/>
      <c r="J116" s="307" t="n"/>
      <c r="K116" s="307" t="n"/>
      <c r="L116" s="307" t="n"/>
      <c r="M116" s="307" t="n"/>
      <c r="N116" s="307" t="n"/>
      <c r="O116" s="233" t="n"/>
      <c r="P116" s="233" t="n"/>
      <c r="Q116" s="233" t="n"/>
      <c r="R116" s="233" t="n"/>
      <c r="S116" s="233" t="n"/>
      <c r="T116" s="233" t="n"/>
      <c r="U116" s="233" t="n"/>
      <c r="V116" s="233" t="n"/>
      <c r="W116" s="233" t="n"/>
      <c r="X116" s="233" t="n"/>
      <c r="Y116" s="233" t="n"/>
      <c r="Z116" s="233" t="n"/>
      <c r="AA116" s="233" t="n"/>
      <c r="AB116" s="233" t="n"/>
      <c r="AC116" s="233" t="n"/>
      <c r="AD116" s="233" t="n"/>
      <c r="AE116" s="233" t="n"/>
      <c r="AF116" s="233" t="n"/>
      <c r="AG116" s="233" t="n"/>
      <c r="AH116" s="233" t="n"/>
      <c r="AI116" s="233" t="n"/>
      <c r="AJ116" s="233" t="n"/>
      <c r="AK116" s="233" t="n"/>
      <c r="AL116" s="233" t="n"/>
      <c r="AM116" s="233" t="n"/>
      <c r="AN116" s="233" t="n"/>
      <c r="AO116" s="233" t="n"/>
      <c r="AP116" s="233" t="n"/>
      <c r="AQ116" s="233" t="n"/>
      <c r="AR116" s="233" t="n"/>
      <c r="AS116" s="233" t="n"/>
      <c r="AT116" s="233" t="n"/>
      <c r="AU116" s="233" t="n"/>
      <c r="AV116" s="233" t="n"/>
      <c r="AW116" s="233" t="n"/>
      <c r="AX116" s="233" t="n"/>
      <c r="AY116" s="233" t="n"/>
      <c r="AZ116" s="233" t="n"/>
      <c r="BA116" s="233" t="n"/>
      <c r="BB116" s="233" t="n"/>
      <c r="BC116" s="233" t="n"/>
      <c r="BD116" s="233" t="n"/>
      <c r="BE116" s="233" t="n"/>
      <c r="BF116" s="233" t="n"/>
      <c r="BG116" s="233" t="n"/>
      <c r="BH116" s="233" t="n"/>
      <c r="BI116" s="233" t="n"/>
      <c r="BJ116" s="233" t="n"/>
      <c r="BK116" s="233" t="n"/>
      <c r="BL116" s="233" t="n"/>
      <c r="BM116" s="233" t="n"/>
    </row>
    <row r="117" ht="15.75" customHeight="1" s="349">
      <c r="A117" s="31" t="n"/>
      <c r="B117" s="307" t="n"/>
      <c r="C117" s="307" t="n"/>
      <c r="D117" s="146" t="n"/>
      <c r="E117" s="307" t="n"/>
      <c r="F117" s="307" t="n"/>
      <c r="G117" s="307" t="n"/>
      <c r="H117" s="307" t="n"/>
      <c r="I117" s="307" t="n"/>
      <c r="J117" s="307" t="n"/>
      <c r="K117" s="307" t="n"/>
      <c r="L117" s="307" t="n"/>
      <c r="M117" s="307" t="n"/>
      <c r="N117" s="307" t="n"/>
      <c r="O117" s="233" t="n"/>
      <c r="P117" s="233" t="n"/>
      <c r="Q117" s="233" t="n"/>
      <c r="R117" s="233" t="n"/>
      <c r="S117" s="233" t="n"/>
      <c r="T117" s="233" t="n"/>
      <c r="U117" s="233" t="n"/>
      <c r="V117" s="233" t="n"/>
      <c r="W117" s="233" t="n"/>
      <c r="X117" s="233" t="n"/>
      <c r="Y117" s="233" t="n"/>
      <c r="Z117" s="233" t="n"/>
      <c r="AA117" s="233" t="n"/>
      <c r="AB117" s="233" t="n"/>
      <c r="AC117" s="233" t="n"/>
      <c r="AD117" s="233" t="n"/>
      <c r="AE117" s="233" t="n"/>
      <c r="AF117" s="233" t="n"/>
      <c r="AG117" s="233" t="n"/>
      <c r="AH117" s="233" t="n"/>
      <c r="AI117" s="233" t="n"/>
      <c r="AJ117" s="233" t="n"/>
      <c r="AK117" s="233" t="n"/>
      <c r="AL117" s="233" t="n"/>
      <c r="AM117" s="233" t="n"/>
      <c r="AN117" s="233" t="n"/>
      <c r="AO117" s="233" t="n"/>
      <c r="AP117" s="233" t="n"/>
      <c r="AQ117" s="233" t="n"/>
      <c r="AR117" s="233" t="n"/>
      <c r="AS117" s="233" t="n"/>
      <c r="AT117" s="233" t="n"/>
      <c r="AU117" s="233" t="n"/>
      <c r="AV117" s="233" t="n"/>
      <c r="AW117" s="233" t="n"/>
      <c r="AX117" s="233" t="n"/>
      <c r="AY117" s="233" t="n"/>
      <c r="AZ117" s="233" t="n"/>
      <c r="BA117" s="233" t="n"/>
      <c r="BB117" s="233" t="n"/>
      <c r="BC117" s="233" t="n"/>
      <c r="BD117" s="233" t="n"/>
      <c r="BE117" s="233" t="n"/>
      <c r="BF117" s="233" t="n"/>
      <c r="BG117" s="233" t="n"/>
      <c r="BH117" s="233" t="n"/>
      <c r="BI117" s="233" t="n"/>
      <c r="BJ117" s="233" t="n"/>
      <c r="BK117" s="233" t="n"/>
      <c r="BL117" s="233" t="n"/>
      <c r="BM117" s="233" t="n"/>
    </row>
    <row r="118" ht="15.75" customHeight="1" s="349">
      <c r="A118" s="31" t="n"/>
      <c r="B118" s="307" t="n"/>
      <c r="C118" s="307" t="n"/>
      <c r="D118" s="146" t="n"/>
      <c r="E118" s="307" t="n"/>
      <c r="F118" s="307" t="n"/>
      <c r="G118" s="307" t="n"/>
      <c r="H118" s="307" t="n"/>
      <c r="I118" s="307" t="n"/>
      <c r="J118" s="307" t="n"/>
      <c r="K118" s="307" t="n"/>
      <c r="L118" s="307" t="n"/>
      <c r="M118" s="307" t="n"/>
      <c r="N118" s="307" t="n"/>
      <c r="O118" s="233" t="n"/>
      <c r="P118" s="233" t="n"/>
      <c r="Q118" s="233" t="n"/>
      <c r="R118" s="233" t="n"/>
      <c r="S118" s="233" t="n"/>
      <c r="T118" s="233" t="n"/>
      <c r="U118" s="233" t="n"/>
      <c r="V118" s="233" t="n"/>
      <c r="W118" s="233" t="n"/>
      <c r="X118" s="233" t="n"/>
      <c r="Y118" s="233" t="n"/>
      <c r="Z118" s="233" t="n"/>
      <c r="AA118" s="233" t="n"/>
      <c r="AB118" s="233" t="n"/>
      <c r="AC118" s="233" t="n"/>
      <c r="AD118" s="233" t="n"/>
      <c r="AE118" s="233" t="n"/>
      <c r="AF118" s="233" t="n"/>
      <c r="AG118" s="233" t="n"/>
      <c r="AH118" s="233" t="n"/>
      <c r="AI118" s="233" t="n"/>
      <c r="AJ118" s="233" t="n"/>
      <c r="AK118" s="233" t="n"/>
      <c r="AL118" s="233" t="n"/>
      <c r="AM118" s="233" t="n"/>
      <c r="AN118" s="233" t="n"/>
      <c r="AO118" s="233" t="n"/>
      <c r="AP118" s="233" t="n"/>
      <c r="AQ118" s="233" t="n"/>
      <c r="AR118" s="233" t="n"/>
      <c r="AS118" s="233" t="n"/>
      <c r="AT118" s="233" t="n"/>
      <c r="AU118" s="233" t="n"/>
      <c r="AV118" s="233" t="n"/>
      <c r="AW118" s="233" t="n"/>
      <c r="AX118" s="233" t="n"/>
      <c r="AY118" s="233" t="n"/>
      <c r="AZ118" s="233" t="n"/>
      <c r="BA118" s="233" t="n"/>
      <c r="BB118" s="233" t="n"/>
      <c r="BC118" s="233" t="n"/>
      <c r="BD118" s="233" t="n"/>
      <c r="BE118" s="233" t="n"/>
      <c r="BF118" s="233" t="n"/>
      <c r="BG118" s="233" t="n"/>
      <c r="BH118" s="233" t="n"/>
      <c r="BI118" s="233" t="n"/>
      <c r="BJ118" s="233" t="n"/>
      <c r="BK118" s="233" t="n"/>
      <c r="BL118" s="233" t="n"/>
      <c r="BM118" s="233" t="n"/>
    </row>
    <row r="119" ht="15.75" customHeight="1" s="349">
      <c r="A119" s="31" t="n"/>
      <c r="B119" s="307" t="n"/>
      <c r="C119" s="307" t="n"/>
      <c r="D119" s="146" t="n"/>
      <c r="E119" s="307" t="n"/>
      <c r="F119" s="307" t="n"/>
      <c r="G119" s="307" t="n"/>
      <c r="H119" s="307" t="n"/>
      <c r="I119" s="307" t="n"/>
      <c r="J119" s="307" t="n"/>
      <c r="K119" s="307" t="n"/>
      <c r="L119" s="307" t="n"/>
      <c r="M119" s="307" t="n"/>
      <c r="N119" s="307" t="n"/>
      <c r="O119" s="233" t="n"/>
      <c r="P119" s="233" t="n"/>
      <c r="Q119" s="233" t="n"/>
      <c r="R119" s="233" t="n"/>
      <c r="S119" s="233" t="n"/>
      <c r="T119" s="233" t="n"/>
      <c r="U119" s="233" t="n"/>
      <c r="V119" s="233" t="n"/>
      <c r="W119" s="233" t="n"/>
      <c r="X119" s="233" t="n"/>
      <c r="Y119" s="233" t="n"/>
      <c r="Z119" s="233" t="n"/>
      <c r="AA119" s="233" t="n"/>
      <c r="AB119" s="233" t="n"/>
      <c r="AC119" s="233" t="n"/>
      <c r="AD119" s="233" t="n"/>
      <c r="AE119" s="233" t="n"/>
      <c r="AF119" s="233" t="n"/>
      <c r="AG119" s="233" t="n"/>
      <c r="AH119" s="233" t="n"/>
      <c r="AI119" s="233" t="n"/>
      <c r="AJ119" s="233" t="n"/>
      <c r="AK119" s="233" t="n"/>
      <c r="AL119" s="233" t="n"/>
      <c r="AM119" s="233" t="n"/>
      <c r="AN119" s="233" t="n"/>
      <c r="AO119" s="233" t="n"/>
      <c r="AP119" s="233" t="n"/>
      <c r="AQ119" s="233" t="n"/>
      <c r="AR119" s="233" t="n"/>
      <c r="AS119" s="233" t="n"/>
      <c r="AT119" s="233" t="n"/>
      <c r="AU119" s="233" t="n"/>
      <c r="AV119" s="233" t="n"/>
      <c r="AW119" s="233" t="n"/>
      <c r="AX119" s="233" t="n"/>
      <c r="AY119" s="233" t="n"/>
      <c r="AZ119" s="233" t="n"/>
      <c r="BA119" s="233" t="n"/>
      <c r="BB119" s="233" t="n"/>
      <c r="BC119" s="233" t="n"/>
      <c r="BD119" s="233" t="n"/>
      <c r="BE119" s="233" t="n"/>
      <c r="BF119" s="233" t="n"/>
      <c r="BG119" s="233" t="n"/>
      <c r="BH119" s="233" t="n"/>
      <c r="BI119" s="233" t="n"/>
      <c r="BJ119" s="233" t="n"/>
      <c r="BK119" s="233" t="n"/>
      <c r="BL119" s="233" t="n"/>
      <c r="BM119" s="233" t="n"/>
    </row>
    <row r="120" ht="15.75" customHeight="1" s="349">
      <c r="A120" s="31" t="n"/>
      <c r="B120" s="307" t="n"/>
      <c r="C120" s="307" t="n"/>
      <c r="D120" s="146" t="n"/>
      <c r="E120" s="307" t="n"/>
      <c r="F120" s="307" t="n"/>
      <c r="G120" s="307" t="n"/>
      <c r="H120" s="307" t="n"/>
      <c r="I120" s="307" t="n"/>
      <c r="J120" s="307" t="n"/>
      <c r="K120" s="307" t="n"/>
      <c r="L120" s="307" t="n"/>
      <c r="M120" s="307" t="n"/>
      <c r="N120" s="307" t="n"/>
      <c r="O120" s="233" t="n"/>
      <c r="P120" s="233" t="n"/>
      <c r="Q120" s="233" t="n"/>
      <c r="R120" s="233" t="n"/>
      <c r="S120" s="233" t="n"/>
      <c r="T120" s="233" t="n"/>
      <c r="U120" s="233" t="n"/>
      <c r="V120" s="233" t="n"/>
      <c r="W120" s="233" t="n"/>
      <c r="X120" s="233" t="n"/>
      <c r="Y120" s="233" t="n"/>
      <c r="Z120" s="233" t="n"/>
      <c r="AA120" s="233" t="n"/>
      <c r="AB120" s="233" t="n"/>
      <c r="AC120" s="233" t="n"/>
      <c r="AD120" s="233" t="n"/>
      <c r="AE120" s="233" t="n"/>
      <c r="AF120" s="233" t="n"/>
      <c r="AG120" s="233" t="n"/>
      <c r="AH120" s="233" t="n"/>
      <c r="AI120" s="233" t="n"/>
      <c r="AJ120" s="233" t="n"/>
      <c r="AK120" s="233" t="n"/>
      <c r="AL120" s="233" t="n"/>
      <c r="AM120" s="233" t="n"/>
      <c r="AN120" s="233" t="n"/>
      <c r="AO120" s="233" t="n"/>
      <c r="AP120" s="233" t="n"/>
      <c r="AQ120" s="233" t="n"/>
      <c r="AR120" s="233" t="n"/>
      <c r="AS120" s="233" t="n"/>
      <c r="AT120" s="233" t="n"/>
      <c r="AU120" s="233" t="n"/>
      <c r="AV120" s="233" t="n"/>
      <c r="AW120" s="233" t="n"/>
      <c r="AX120" s="233" t="n"/>
      <c r="AY120" s="233" t="n"/>
      <c r="AZ120" s="233" t="n"/>
      <c r="BA120" s="233" t="n"/>
      <c r="BB120" s="233" t="n"/>
      <c r="BC120" s="233" t="n"/>
      <c r="BD120" s="233" t="n"/>
      <c r="BE120" s="233" t="n"/>
      <c r="BF120" s="233" t="n"/>
      <c r="BG120" s="233" t="n"/>
      <c r="BH120" s="233" t="n"/>
      <c r="BI120" s="233" t="n"/>
      <c r="BJ120" s="233" t="n"/>
      <c r="BK120" s="233" t="n"/>
      <c r="BL120" s="233" t="n"/>
      <c r="BM120" s="233" t="n"/>
    </row>
    <row r="121" ht="15.75" customHeight="1" s="349">
      <c r="A121" s="31" t="n"/>
      <c r="B121" s="307" t="n"/>
      <c r="C121" s="307" t="n"/>
      <c r="D121" s="146" t="n"/>
      <c r="E121" s="307" t="n"/>
      <c r="F121" s="307" t="n"/>
      <c r="G121" s="307" t="n"/>
      <c r="H121" s="307" t="n"/>
      <c r="I121" s="307" t="n"/>
      <c r="J121" s="307" t="n"/>
      <c r="K121" s="307" t="n"/>
      <c r="L121" s="307" t="n"/>
      <c r="M121" s="307" t="n"/>
      <c r="N121" s="307" t="n"/>
      <c r="O121" s="233" t="n"/>
      <c r="P121" s="233" t="n"/>
      <c r="Q121" s="233" t="n"/>
      <c r="R121" s="233" t="n"/>
      <c r="S121" s="233" t="n"/>
      <c r="T121" s="233" t="n"/>
      <c r="U121" s="233" t="n"/>
      <c r="V121" s="233" t="n"/>
      <c r="W121" s="233" t="n"/>
      <c r="X121" s="233" t="n"/>
      <c r="Y121" s="233" t="n"/>
      <c r="Z121" s="233" t="n"/>
      <c r="AA121" s="233" t="n"/>
      <c r="AB121" s="233" t="n"/>
      <c r="AC121" s="233" t="n"/>
      <c r="AD121" s="233" t="n"/>
      <c r="AE121" s="233" t="n"/>
      <c r="AF121" s="233" t="n"/>
      <c r="AG121" s="233" t="n"/>
      <c r="AH121" s="233" t="n"/>
      <c r="AI121" s="233" t="n"/>
      <c r="AJ121" s="233" t="n"/>
      <c r="AK121" s="233" t="n"/>
      <c r="AL121" s="233" t="n"/>
      <c r="AM121" s="233" t="n"/>
      <c r="AN121" s="233" t="n"/>
      <c r="AO121" s="233" t="n"/>
      <c r="AP121" s="233" t="n"/>
      <c r="AQ121" s="233" t="n"/>
      <c r="AR121" s="233" t="n"/>
      <c r="AS121" s="233" t="n"/>
      <c r="AT121" s="233" t="n"/>
      <c r="AU121" s="233" t="n"/>
      <c r="AV121" s="233" t="n"/>
      <c r="AW121" s="233" t="n"/>
      <c r="AX121" s="233" t="n"/>
      <c r="AY121" s="233" t="n"/>
      <c r="AZ121" s="233" t="n"/>
      <c r="BA121" s="233" t="n"/>
      <c r="BB121" s="233" t="n"/>
      <c r="BC121" s="233" t="n"/>
      <c r="BD121" s="233" t="n"/>
      <c r="BE121" s="233" t="n"/>
      <c r="BF121" s="233" t="n"/>
      <c r="BG121" s="233" t="n"/>
      <c r="BH121" s="233" t="n"/>
      <c r="BI121" s="233" t="n"/>
      <c r="BJ121" s="233" t="n"/>
      <c r="BK121" s="233" t="n"/>
      <c r="BL121" s="233" t="n"/>
      <c r="BM121" s="233" t="n"/>
    </row>
    <row r="122" ht="15.75" customHeight="1" s="349">
      <c r="A122" s="31" t="n"/>
      <c r="B122" s="307" t="n"/>
      <c r="C122" s="307" t="n"/>
      <c r="D122" s="146" t="n"/>
      <c r="E122" s="307" t="n"/>
      <c r="F122" s="307" t="n"/>
      <c r="G122" s="307" t="n"/>
      <c r="H122" s="307" t="n"/>
      <c r="I122" s="307" t="n"/>
      <c r="J122" s="307" t="n"/>
      <c r="K122" s="307" t="n"/>
      <c r="L122" s="307" t="n"/>
      <c r="M122" s="307" t="n"/>
      <c r="N122" s="307" t="n"/>
      <c r="O122" s="233" t="n"/>
      <c r="P122" s="233" t="n"/>
      <c r="Q122" s="233" t="n"/>
      <c r="R122" s="233" t="n"/>
      <c r="S122" s="233" t="n"/>
      <c r="T122" s="233" t="n"/>
      <c r="U122" s="233" t="n"/>
      <c r="V122" s="233" t="n"/>
      <c r="W122" s="233" t="n"/>
      <c r="X122" s="233" t="n"/>
      <c r="Y122" s="233" t="n"/>
      <c r="Z122" s="233" t="n"/>
      <c r="AA122" s="233" t="n"/>
      <c r="AB122" s="233" t="n"/>
      <c r="AC122" s="233" t="n"/>
      <c r="AD122" s="233" t="n"/>
      <c r="AE122" s="233" t="n"/>
      <c r="AF122" s="233" t="n"/>
      <c r="AG122" s="233" t="n"/>
      <c r="AH122" s="233" t="n"/>
      <c r="AI122" s="233" t="n"/>
      <c r="AJ122" s="233" t="n"/>
      <c r="AK122" s="233" t="n"/>
      <c r="AL122" s="233" t="n"/>
      <c r="AM122" s="233" t="n"/>
      <c r="AN122" s="233" t="n"/>
      <c r="AO122" s="233" t="n"/>
      <c r="AP122" s="233" t="n"/>
      <c r="AQ122" s="233" t="n"/>
      <c r="AR122" s="233" t="n"/>
      <c r="AS122" s="233" t="n"/>
      <c r="AT122" s="233" t="n"/>
      <c r="AU122" s="233" t="n"/>
      <c r="AV122" s="233" t="n"/>
      <c r="AW122" s="233" t="n"/>
      <c r="AX122" s="233" t="n"/>
      <c r="AY122" s="233" t="n"/>
      <c r="AZ122" s="233" t="n"/>
      <c r="BA122" s="233" t="n"/>
      <c r="BB122" s="233" t="n"/>
      <c r="BC122" s="233" t="n"/>
      <c r="BD122" s="233" t="n"/>
      <c r="BE122" s="233" t="n"/>
      <c r="BF122" s="233" t="n"/>
      <c r="BG122" s="233" t="n"/>
      <c r="BH122" s="233" t="n"/>
      <c r="BI122" s="233" t="n"/>
      <c r="BJ122" s="233" t="n"/>
      <c r="BK122" s="233" t="n"/>
      <c r="BL122" s="233" t="n"/>
      <c r="BM122" s="233" t="n"/>
    </row>
    <row r="123" ht="15.75" customHeight="1" s="349">
      <c r="A123" s="31" t="n"/>
      <c r="B123" s="307" t="n"/>
      <c r="C123" s="307" t="n"/>
      <c r="D123" s="146" t="n"/>
      <c r="E123" s="307" t="n"/>
      <c r="F123" s="307" t="n"/>
      <c r="G123" s="307" t="n"/>
      <c r="H123" s="307" t="n"/>
      <c r="I123" s="307" t="n"/>
      <c r="J123" s="307" t="n"/>
      <c r="K123" s="307" t="n"/>
      <c r="L123" s="307" t="n"/>
      <c r="M123" s="307" t="n"/>
      <c r="N123" s="307" t="n"/>
      <c r="O123" s="233" t="n"/>
      <c r="P123" s="233" t="n"/>
      <c r="Q123" s="233" t="n"/>
      <c r="R123" s="233" t="n"/>
      <c r="S123" s="233" t="n"/>
      <c r="T123" s="233" t="n"/>
      <c r="U123" s="233" t="n"/>
      <c r="V123" s="233" t="n"/>
      <c r="W123" s="233" t="n"/>
      <c r="X123" s="233" t="n"/>
      <c r="Y123" s="233" t="n"/>
      <c r="Z123" s="233" t="n"/>
      <c r="AA123" s="233" t="n"/>
      <c r="AB123" s="233" t="n"/>
      <c r="AC123" s="233" t="n"/>
      <c r="AD123" s="233" t="n"/>
      <c r="AE123" s="233" t="n"/>
      <c r="AF123" s="233" t="n"/>
      <c r="AG123" s="233" t="n"/>
      <c r="AH123" s="233" t="n"/>
      <c r="AI123" s="233" t="n"/>
      <c r="AJ123" s="233" t="n"/>
      <c r="AK123" s="233" t="n"/>
      <c r="AL123" s="233" t="n"/>
      <c r="AM123" s="233" t="n"/>
      <c r="AN123" s="233" t="n"/>
      <c r="AO123" s="233" t="n"/>
      <c r="AP123" s="233" t="n"/>
      <c r="AQ123" s="233" t="n"/>
      <c r="AR123" s="233" t="n"/>
      <c r="AS123" s="233" t="n"/>
      <c r="AT123" s="233" t="n"/>
      <c r="AU123" s="233" t="n"/>
      <c r="AV123" s="233" t="n"/>
      <c r="AW123" s="233" t="n"/>
      <c r="AX123" s="233" t="n"/>
      <c r="AY123" s="233" t="n"/>
      <c r="AZ123" s="233" t="n"/>
      <c r="BA123" s="233" t="n"/>
      <c r="BB123" s="233" t="n"/>
      <c r="BC123" s="233" t="n"/>
      <c r="BD123" s="233" t="n"/>
      <c r="BE123" s="233" t="n"/>
      <c r="BF123" s="233" t="n"/>
      <c r="BG123" s="233" t="n"/>
      <c r="BH123" s="233" t="n"/>
      <c r="BI123" s="233" t="n"/>
      <c r="BJ123" s="233" t="n"/>
      <c r="BK123" s="233" t="n"/>
      <c r="BL123" s="233" t="n"/>
      <c r="BM123" s="233" t="n"/>
    </row>
    <row r="124" ht="15.75" customHeight="1" s="349">
      <c r="A124" s="31" t="n"/>
      <c r="B124" s="307" t="n"/>
      <c r="C124" s="307" t="n"/>
      <c r="D124" s="146" t="n"/>
      <c r="E124" s="307" t="n"/>
      <c r="F124" s="307" t="n"/>
      <c r="G124" s="307" t="n"/>
      <c r="H124" s="307" t="n"/>
      <c r="I124" s="307" t="n"/>
      <c r="J124" s="307" t="n"/>
      <c r="K124" s="307" t="n"/>
      <c r="L124" s="307" t="n"/>
      <c r="M124" s="307" t="n"/>
      <c r="N124" s="307" t="n"/>
      <c r="O124" s="233" t="n"/>
      <c r="P124" s="233" t="n"/>
      <c r="Q124" s="233" t="n"/>
      <c r="R124" s="233" t="n"/>
      <c r="S124" s="233" t="n"/>
      <c r="T124" s="233" t="n"/>
      <c r="U124" s="233" t="n"/>
      <c r="V124" s="233" t="n"/>
      <c r="W124" s="233" t="n"/>
      <c r="X124" s="233" t="n"/>
      <c r="Y124" s="233" t="n"/>
      <c r="Z124" s="233" t="n"/>
      <c r="AA124" s="233" t="n"/>
      <c r="AB124" s="233" t="n"/>
      <c r="AC124" s="233" t="n"/>
      <c r="AD124" s="233" t="n"/>
      <c r="AE124" s="233" t="n"/>
      <c r="AF124" s="233" t="n"/>
      <c r="AG124" s="233" t="n"/>
      <c r="AH124" s="233" t="n"/>
      <c r="AI124" s="233" t="n"/>
      <c r="AJ124" s="233" t="n"/>
      <c r="AK124" s="233" t="n"/>
      <c r="AL124" s="233" t="n"/>
      <c r="AM124" s="233" t="n"/>
      <c r="AN124" s="233" t="n"/>
      <c r="AO124" s="233" t="n"/>
      <c r="AP124" s="233" t="n"/>
      <c r="AQ124" s="233" t="n"/>
      <c r="AR124" s="233" t="n"/>
      <c r="AS124" s="233" t="n"/>
      <c r="AT124" s="233" t="n"/>
      <c r="AU124" s="233" t="n"/>
      <c r="AV124" s="233" t="n"/>
      <c r="AW124" s="233" t="n"/>
      <c r="AX124" s="233" t="n"/>
      <c r="AY124" s="233" t="n"/>
      <c r="AZ124" s="233" t="n"/>
      <c r="BA124" s="233" t="n"/>
      <c r="BB124" s="233" t="n"/>
      <c r="BC124" s="233" t="n"/>
      <c r="BD124" s="233" t="n"/>
      <c r="BE124" s="233" t="n"/>
      <c r="BF124" s="233" t="n"/>
      <c r="BG124" s="233" t="n"/>
      <c r="BH124" s="233" t="n"/>
      <c r="BI124" s="233" t="n"/>
      <c r="BJ124" s="233" t="n"/>
      <c r="BK124" s="233" t="n"/>
      <c r="BL124" s="233" t="n"/>
      <c r="BM124" s="233" t="n"/>
    </row>
    <row r="125" ht="15.75" customHeight="1" s="349">
      <c r="A125" s="31" t="n"/>
      <c r="B125" s="307" t="n"/>
      <c r="C125" s="307" t="n"/>
      <c r="D125" s="146" t="n"/>
      <c r="E125" s="307" t="n"/>
      <c r="F125" s="307" t="n"/>
      <c r="G125" s="307" t="n"/>
      <c r="H125" s="307" t="n"/>
      <c r="I125" s="307" t="n"/>
      <c r="J125" s="307" t="n"/>
      <c r="K125" s="307" t="n"/>
      <c r="L125" s="307" t="n"/>
      <c r="M125" s="307" t="n"/>
      <c r="N125" s="307" t="n"/>
      <c r="O125" s="233" t="n"/>
      <c r="P125" s="233" t="n"/>
      <c r="Q125" s="233" t="n"/>
      <c r="R125" s="233" t="n"/>
      <c r="S125" s="233" t="n"/>
      <c r="T125" s="233" t="n"/>
      <c r="U125" s="233" t="n"/>
      <c r="V125" s="233" t="n"/>
      <c r="W125" s="233" t="n"/>
      <c r="X125" s="233" t="n"/>
      <c r="Y125" s="233" t="n"/>
      <c r="Z125" s="233" t="n"/>
      <c r="AA125" s="233" t="n"/>
      <c r="AB125" s="233" t="n"/>
      <c r="AC125" s="233" t="n"/>
      <c r="AD125" s="233" t="n"/>
      <c r="AE125" s="233" t="n"/>
      <c r="AF125" s="233" t="n"/>
      <c r="AG125" s="233" t="n"/>
      <c r="AH125" s="233" t="n"/>
      <c r="AI125" s="233" t="n"/>
      <c r="AJ125" s="233" t="n"/>
      <c r="AK125" s="233" t="n"/>
      <c r="AL125" s="233" t="n"/>
      <c r="AM125" s="233" t="n"/>
      <c r="AN125" s="233" t="n"/>
      <c r="AO125" s="233" t="n"/>
      <c r="AP125" s="233" t="n"/>
      <c r="AQ125" s="233" t="n"/>
      <c r="AR125" s="233" t="n"/>
      <c r="AS125" s="233" t="n"/>
      <c r="AT125" s="233" t="n"/>
      <c r="AU125" s="233" t="n"/>
      <c r="AV125" s="233" t="n"/>
      <c r="AW125" s="233" t="n"/>
      <c r="AX125" s="233" t="n"/>
      <c r="AY125" s="233" t="n"/>
      <c r="AZ125" s="233" t="n"/>
      <c r="BA125" s="233" t="n"/>
      <c r="BB125" s="233" t="n"/>
      <c r="BC125" s="233" t="n"/>
      <c r="BD125" s="233" t="n"/>
      <c r="BE125" s="233" t="n"/>
      <c r="BF125" s="233" t="n"/>
      <c r="BG125" s="233" t="n"/>
      <c r="BH125" s="233" t="n"/>
      <c r="BI125" s="233" t="n"/>
      <c r="BJ125" s="233" t="n"/>
      <c r="BK125" s="233" t="n"/>
      <c r="BL125" s="233" t="n"/>
      <c r="BM125" s="233" t="n"/>
    </row>
    <row r="126" ht="15.75" customHeight="1" s="349">
      <c r="A126" s="31" t="n"/>
      <c r="B126" s="307" t="n"/>
      <c r="C126" s="307" t="n"/>
      <c r="D126" s="146" t="n"/>
      <c r="E126" s="307" t="n"/>
      <c r="F126" s="307" t="n"/>
      <c r="G126" s="307" t="n"/>
      <c r="H126" s="307" t="n"/>
      <c r="I126" s="307" t="n"/>
      <c r="J126" s="307" t="n"/>
      <c r="K126" s="307" t="n"/>
      <c r="L126" s="307" t="n"/>
      <c r="M126" s="307" t="n"/>
      <c r="N126" s="307" t="n"/>
      <c r="O126" s="233" t="n"/>
      <c r="P126" s="233" t="n"/>
      <c r="Q126" s="233" t="n"/>
      <c r="R126" s="233" t="n"/>
      <c r="S126" s="233" t="n"/>
      <c r="T126" s="233" t="n"/>
      <c r="U126" s="233" t="n"/>
      <c r="V126" s="233" t="n"/>
      <c r="W126" s="233" t="n"/>
      <c r="X126" s="233" t="n"/>
      <c r="Y126" s="233" t="n"/>
      <c r="Z126" s="233" t="n"/>
      <c r="AA126" s="233" t="n"/>
      <c r="AB126" s="233" t="n"/>
      <c r="AC126" s="233" t="n"/>
      <c r="AD126" s="233" t="n"/>
      <c r="AE126" s="233" t="n"/>
      <c r="AF126" s="233" t="n"/>
      <c r="AG126" s="233" t="n"/>
      <c r="AH126" s="233" t="n"/>
      <c r="AI126" s="233" t="n"/>
      <c r="AJ126" s="233" t="n"/>
      <c r="AK126" s="233" t="n"/>
      <c r="AL126" s="233" t="n"/>
      <c r="AM126" s="233" t="n"/>
      <c r="AN126" s="233" t="n"/>
      <c r="AO126" s="233" t="n"/>
      <c r="AP126" s="233" t="n"/>
      <c r="AQ126" s="233" t="n"/>
      <c r="AR126" s="233" t="n"/>
      <c r="AS126" s="233" t="n"/>
      <c r="AT126" s="233" t="n"/>
      <c r="AU126" s="233" t="n"/>
      <c r="AV126" s="233" t="n"/>
      <c r="AW126" s="233" t="n"/>
      <c r="AX126" s="233" t="n"/>
      <c r="AY126" s="233" t="n"/>
      <c r="AZ126" s="233" t="n"/>
      <c r="BA126" s="233" t="n"/>
      <c r="BB126" s="233" t="n"/>
      <c r="BC126" s="233" t="n"/>
      <c r="BD126" s="233" t="n"/>
      <c r="BE126" s="233" t="n"/>
      <c r="BF126" s="233" t="n"/>
      <c r="BG126" s="233" t="n"/>
      <c r="BH126" s="233" t="n"/>
      <c r="BI126" s="233" t="n"/>
      <c r="BJ126" s="233" t="n"/>
      <c r="BK126" s="233" t="n"/>
      <c r="BL126" s="233" t="n"/>
      <c r="BM126" s="233" t="n"/>
    </row>
    <row r="127" ht="15.75" customHeight="1" s="349">
      <c r="A127" s="31" t="n"/>
      <c r="B127" s="307" t="n"/>
      <c r="C127" s="307" t="n"/>
      <c r="D127" s="146" t="n"/>
      <c r="E127" s="307" t="n"/>
      <c r="F127" s="307" t="n"/>
      <c r="G127" s="307" t="n"/>
      <c r="H127" s="307" t="n"/>
      <c r="I127" s="307" t="n"/>
      <c r="J127" s="307" t="n"/>
      <c r="K127" s="307" t="n"/>
      <c r="L127" s="307" t="n"/>
      <c r="M127" s="307" t="n"/>
      <c r="N127" s="307" t="n"/>
      <c r="O127" s="233" t="n"/>
      <c r="P127" s="233" t="n"/>
      <c r="Q127" s="233" t="n"/>
      <c r="R127" s="233" t="n"/>
      <c r="S127" s="233" t="n"/>
      <c r="T127" s="233" t="n"/>
      <c r="U127" s="233" t="n"/>
      <c r="V127" s="233" t="n"/>
      <c r="W127" s="233" t="n"/>
      <c r="X127" s="233" t="n"/>
      <c r="Y127" s="233" t="n"/>
      <c r="Z127" s="233" t="n"/>
      <c r="AA127" s="233" t="n"/>
      <c r="AB127" s="233" t="n"/>
      <c r="AC127" s="233" t="n"/>
      <c r="AD127" s="233" t="n"/>
      <c r="AE127" s="233" t="n"/>
      <c r="AF127" s="233" t="n"/>
      <c r="AG127" s="233" t="n"/>
      <c r="AH127" s="233" t="n"/>
      <c r="AI127" s="233" t="n"/>
      <c r="AJ127" s="233" t="n"/>
      <c r="AK127" s="233" t="n"/>
      <c r="AL127" s="233" t="n"/>
      <c r="AM127" s="233" t="n"/>
      <c r="AN127" s="233" t="n"/>
      <c r="AO127" s="233" t="n"/>
      <c r="AP127" s="233" t="n"/>
      <c r="AQ127" s="233" t="n"/>
      <c r="AR127" s="233" t="n"/>
      <c r="AS127" s="233" t="n"/>
      <c r="AT127" s="233" t="n"/>
      <c r="AU127" s="233" t="n"/>
      <c r="AV127" s="233" t="n"/>
      <c r="AW127" s="233" t="n"/>
      <c r="AX127" s="233" t="n"/>
      <c r="AY127" s="233" t="n"/>
      <c r="AZ127" s="233" t="n"/>
      <c r="BA127" s="233" t="n"/>
      <c r="BB127" s="233" t="n"/>
      <c r="BC127" s="233" t="n"/>
      <c r="BD127" s="233" t="n"/>
      <c r="BE127" s="233" t="n"/>
      <c r="BF127" s="233" t="n"/>
      <c r="BG127" s="233" t="n"/>
      <c r="BH127" s="233" t="n"/>
      <c r="BI127" s="233" t="n"/>
      <c r="BJ127" s="233" t="n"/>
      <c r="BK127" s="233" t="n"/>
      <c r="BL127" s="233" t="n"/>
      <c r="BM127" s="233" t="n"/>
    </row>
    <row r="128" ht="15.75" customHeight="1" s="349">
      <c r="A128" s="31" t="n"/>
      <c r="B128" s="307" t="n"/>
      <c r="C128" s="307" t="n"/>
      <c r="D128" s="146" t="n"/>
      <c r="E128" s="307" t="n"/>
      <c r="F128" s="307" t="n"/>
      <c r="G128" s="307" t="n"/>
      <c r="H128" s="307" t="n"/>
      <c r="I128" s="307" t="n"/>
      <c r="J128" s="307" t="n"/>
      <c r="K128" s="307" t="n"/>
      <c r="L128" s="307" t="n"/>
      <c r="M128" s="307" t="n"/>
      <c r="N128" s="307" t="n"/>
      <c r="O128" s="233" t="n"/>
      <c r="P128" s="233" t="n"/>
      <c r="Q128" s="233" t="n"/>
      <c r="R128" s="233" t="n"/>
      <c r="S128" s="233" t="n"/>
      <c r="T128" s="233" t="n"/>
      <c r="U128" s="233" t="n"/>
      <c r="V128" s="233" t="n"/>
      <c r="W128" s="233" t="n"/>
      <c r="X128" s="233" t="n"/>
      <c r="Y128" s="233" t="n"/>
      <c r="Z128" s="233" t="n"/>
      <c r="AA128" s="233" t="n"/>
      <c r="AB128" s="233" t="n"/>
      <c r="AC128" s="233" t="n"/>
      <c r="AD128" s="233" t="n"/>
      <c r="AE128" s="233" t="n"/>
      <c r="AF128" s="233" t="n"/>
      <c r="AG128" s="233" t="n"/>
      <c r="AH128" s="233" t="n"/>
      <c r="AI128" s="233" t="n"/>
      <c r="AJ128" s="233" t="n"/>
      <c r="AK128" s="233" t="n"/>
      <c r="AL128" s="233" t="n"/>
      <c r="AM128" s="233" t="n"/>
      <c r="AN128" s="233" t="n"/>
      <c r="AO128" s="233" t="n"/>
      <c r="AP128" s="233" t="n"/>
      <c r="AQ128" s="233" t="n"/>
      <c r="AR128" s="233" t="n"/>
      <c r="AS128" s="233" t="n"/>
      <c r="AT128" s="233" t="n"/>
      <c r="AU128" s="233" t="n"/>
      <c r="AV128" s="233" t="n"/>
      <c r="AW128" s="233" t="n"/>
      <c r="AX128" s="233" t="n"/>
      <c r="AY128" s="233" t="n"/>
      <c r="AZ128" s="233" t="n"/>
      <c r="BA128" s="233" t="n"/>
      <c r="BB128" s="233" t="n"/>
      <c r="BC128" s="233" t="n"/>
      <c r="BD128" s="233" t="n"/>
      <c r="BE128" s="233" t="n"/>
      <c r="BF128" s="233" t="n"/>
      <c r="BG128" s="233" t="n"/>
      <c r="BH128" s="233" t="n"/>
      <c r="BI128" s="233" t="n"/>
      <c r="BJ128" s="233" t="n"/>
      <c r="BK128" s="233" t="n"/>
      <c r="BL128" s="233" t="n"/>
      <c r="BM128" s="233" t="n"/>
    </row>
    <row r="129" ht="15.75" customHeight="1" s="349">
      <c r="A129" s="31" t="n"/>
      <c r="B129" s="307" t="n"/>
      <c r="C129" s="307" t="n"/>
      <c r="D129" s="146" t="n"/>
      <c r="E129" s="307" t="n"/>
      <c r="F129" s="307" t="n"/>
      <c r="G129" s="307" t="n"/>
      <c r="H129" s="307" t="n"/>
      <c r="I129" s="307" t="n"/>
      <c r="J129" s="307" t="n"/>
      <c r="K129" s="307" t="n"/>
      <c r="L129" s="307" t="n"/>
      <c r="M129" s="307" t="n"/>
      <c r="N129" s="307" t="n"/>
      <c r="O129" s="233" t="n"/>
      <c r="P129" s="233" t="n"/>
      <c r="Q129" s="233" t="n"/>
      <c r="R129" s="233" t="n"/>
      <c r="S129" s="233" t="n"/>
      <c r="T129" s="233" t="n"/>
      <c r="U129" s="233" t="n"/>
      <c r="V129" s="233" t="n"/>
      <c r="W129" s="233" t="n"/>
      <c r="X129" s="233" t="n"/>
      <c r="Y129" s="233" t="n"/>
      <c r="Z129" s="233" t="n"/>
      <c r="AA129" s="233" t="n"/>
      <c r="AB129" s="233" t="n"/>
      <c r="AC129" s="233" t="n"/>
      <c r="AD129" s="233" t="n"/>
      <c r="AE129" s="233" t="n"/>
      <c r="AF129" s="233" t="n"/>
      <c r="AG129" s="233" t="n"/>
      <c r="AH129" s="233" t="n"/>
      <c r="AI129" s="233" t="n"/>
      <c r="AJ129" s="233" t="n"/>
      <c r="AK129" s="233" t="n"/>
      <c r="AL129" s="233" t="n"/>
      <c r="AM129" s="233" t="n"/>
      <c r="AN129" s="233" t="n"/>
      <c r="AO129" s="233" t="n"/>
      <c r="AP129" s="233" t="n"/>
      <c r="AQ129" s="233" t="n"/>
      <c r="AR129" s="233" t="n"/>
      <c r="AS129" s="233" t="n"/>
      <c r="AT129" s="233" t="n"/>
      <c r="AU129" s="233" t="n"/>
      <c r="AV129" s="233" t="n"/>
      <c r="AW129" s="233" t="n"/>
      <c r="AX129" s="233" t="n"/>
      <c r="AY129" s="233" t="n"/>
      <c r="AZ129" s="233" t="n"/>
      <c r="BA129" s="233" t="n"/>
      <c r="BB129" s="233" t="n"/>
      <c r="BC129" s="233" t="n"/>
      <c r="BD129" s="233" t="n"/>
      <c r="BE129" s="233" t="n"/>
      <c r="BF129" s="233" t="n"/>
      <c r="BG129" s="233" t="n"/>
      <c r="BH129" s="233" t="n"/>
      <c r="BI129" s="233" t="n"/>
      <c r="BJ129" s="233" t="n"/>
      <c r="BK129" s="233" t="n"/>
      <c r="BL129" s="233" t="n"/>
      <c r="BM129" s="233" t="n"/>
    </row>
    <row r="130" ht="15.75" customHeight="1" s="349">
      <c r="A130" s="31" t="n"/>
      <c r="B130" s="307" t="n"/>
      <c r="C130" s="307" t="n"/>
      <c r="D130" s="146" t="n"/>
      <c r="E130" s="307" t="n"/>
      <c r="F130" s="307" t="n"/>
      <c r="G130" s="307" t="n"/>
      <c r="H130" s="307" t="n"/>
      <c r="I130" s="307" t="n"/>
      <c r="J130" s="307" t="n"/>
      <c r="K130" s="307" t="n"/>
      <c r="L130" s="307" t="n"/>
      <c r="M130" s="307" t="n"/>
      <c r="N130" s="307" t="n"/>
      <c r="O130" s="233" t="n"/>
      <c r="P130" s="233" t="n"/>
      <c r="Q130" s="233" t="n"/>
      <c r="R130" s="233" t="n"/>
      <c r="S130" s="233" t="n"/>
      <c r="T130" s="233" t="n"/>
      <c r="U130" s="233" t="n"/>
      <c r="V130" s="233" t="n"/>
      <c r="W130" s="233" t="n"/>
      <c r="X130" s="233" t="n"/>
      <c r="Y130" s="233" t="n"/>
      <c r="Z130" s="233" t="n"/>
      <c r="AA130" s="233" t="n"/>
      <c r="AB130" s="233" t="n"/>
      <c r="AC130" s="233" t="n"/>
      <c r="AD130" s="233" t="n"/>
      <c r="AE130" s="233" t="n"/>
      <c r="AF130" s="233" t="n"/>
      <c r="AG130" s="233" t="n"/>
      <c r="AH130" s="233" t="n"/>
      <c r="AI130" s="233" t="n"/>
      <c r="AJ130" s="233" t="n"/>
      <c r="AK130" s="233" t="n"/>
      <c r="AL130" s="233" t="n"/>
      <c r="AM130" s="233" t="n"/>
      <c r="AN130" s="233" t="n"/>
      <c r="AO130" s="233" t="n"/>
      <c r="AP130" s="233" t="n"/>
      <c r="AQ130" s="233" t="n"/>
      <c r="AR130" s="233" t="n"/>
      <c r="AS130" s="233" t="n"/>
      <c r="AT130" s="233" t="n"/>
      <c r="AU130" s="233" t="n"/>
      <c r="AV130" s="233" t="n"/>
      <c r="AW130" s="233" t="n"/>
      <c r="AX130" s="233" t="n"/>
      <c r="AY130" s="233" t="n"/>
      <c r="AZ130" s="233" t="n"/>
      <c r="BA130" s="233" t="n"/>
      <c r="BB130" s="233" t="n"/>
      <c r="BC130" s="233" t="n"/>
      <c r="BD130" s="233" t="n"/>
      <c r="BE130" s="233" t="n"/>
      <c r="BF130" s="233" t="n"/>
      <c r="BG130" s="233" t="n"/>
      <c r="BH130" s="233" t="n"/>
      <c r="BI130" s="233" t="n"/>
      <c r="BJ130" s="233" t="n"/>
      <c r="BK130" s="233" t="n"/>
      <c r="BL130" s="233" t="n"/>
      <c r="BM130" s="233" t="n"/>
    </row>
    <row r="131" ht="15.75" customHeight="1" s="349">
      <c r="A131" s="31" t="n"/>
      <c r="B131" s="307" t="n"/>
      <c r="C131" s="307" t="n"/>
      <c r="D131" s="146" t="n"/>
      <c r="E131" s="307" t="n"/>
      <c r="F131" s="307" t="n"/>
      <c r="G131" s="307" t="n"/>
      <c r="H131" s="307" t="n"/>
      <c r="I131" s="307" t="n"/>
      <c r="J131" s="307" t="n"/>
      <c r="K131" s="307" t="n"/>
      <c r="L131" s="307" t="n"/>
      <c r="M131" s="307" t="n"/>
      <c r="N131" s="307" t="n"/>
      <c r="O131" s="233" t="n"/>
      <c r="P131" s="233" t="n"/>
      <c r="Q131" s="233" t="n"/>
      <c r="R131" s="233" t="n"/>
      <c r="S131" s="233" t="n"/>
      <c r="T131" s="233" t="n"/>
      <c r="U131" s="233" t="n"/>
      <c r="V131" s="233" t="n"/>
      <c r="W131" s="233" t="n"/>
      <c r="X131" s="233" t="n"/>
      <c r="Y131" s="233" t="n"/>
      <c r="Z131" s="233" t="n"/>
      <c r="AA131" s="233" t="n"/>
      <c r="AB131" s="233" t="n"/>
      <c r="AC131" s="233" t="n"/>
      <c r="AD131" s="233" t="n"/>
      <c r="AE131" s="233" t="n"/>
      <c r="AF131" s="233" t="n"/>
      <c r="AG131" s="233" t="n"/>
      <c r="AH131" s="233" t="n"/>
      <c r="AI131" s="233" t="n"/>
      <c r="AJ131" s="233" t="n"/>
      <c r="AK131" s="233" t="n"/>
      <c r="AL131" s="233" t="n"/>
      <c r="AM131" s="233" t="n"/>
      <c r="AN131" s="233" t="n"/>
      <c r="AO131" s="233" t="n"/>
      <c r="AP131" s="233" t="n"/>
      <c r="AQ131" s="233" t="n"/>
      <c r="AR131" s="233" t="n"/>
      <c r="AS131" s="233" t="n"/>
      <c r="AT131" s="233" t="n"/>
      <c r="AU131" s="233" t="n"/>
      <c r="AV131" s="233" t="n"/>
      <c r="AW131" s="233" t="n"/>
      <c r="AX131" s="233" t="n"/>
      <c r="AY131" s="233" t="n"/>
      <c r="AZ131" s="233" t="n"/>
      <c r="BA131" s="233" t="n"/>
      <c r="BB131" s="233" t="n"/>
      <c r="BC131" s="233" t="n"/>
      <c r="BD131" s="233" t="n"/>
      <c r="BE131" s="233" t="n"/>
      <c r="BF131" s="233" t="n"/>
      <c r="BG131" s="233" t="n"/>
      <c r="BH131" s="233" t="n"/>
      <c r="BI131" s="233" t="n"/>
      <c r="BJ131" s="233" t="n"/>
      <c r="BK131" s="233" t="n"/>
      <c r="BL131" s="233" t="n"/>
      <c r="BM131" s="233" t="n"/>
    </row>
    <row r="132" ht="15.75" customHeight="1" s="349">
      <c r="A132" s="31" t="n"/>
      <c r="B132" s="307" t="n"/>
      <c r="C132" s="307" t="n"/>
      <c r="D132" s="146" t="n"/>
      <c r="E132" s="307" t="n"/>
      <c r="F132" s="307" t="n"/>
      <c r="G132" s="307" t="n"/>
      <c r="H132" s="307" t="n"/>
      <c r="I132" s="307" t="n"/>
      <c r="J132" s="307" t="n"/>
      <c r="K132" s="307" t="n"/>
      <c r="L132" s="307" t="n"/>
      <c r="M132" s="307" t="n"/>
      <c r="N132" s="307" t="n"/>
      <c r="O132" s="233" t="n"/>
      <c r="P132" s="233" t="n"/>
      <c r="Q132" s="233" t="n"/>
      <c r="R132" s="233" t="n"/>
      <c r="S132" s="233" t="n"/>
      <c r="T132" s="233" t="n"/>
      <c r="U132" s="233" t="n"/>
      <c r="V132" s="233" t="n"/>
      <c r="W132" s="233" t="n"/>
      <c r="X132" s="233" t="n"/>
      <c r="Y132" s="233" t="n"/>
      <c r="Z132" s="233" t="n"/>
      <c r="AA132" s="233" t="n"/>
      <c r="AB132" s="233" t="n"/>
      <c r="AC132" s="233" t="n"/>
      <c r="AD132" s="233" t="n"/>
      <c r="AE132" s="233" t="n"/>
      <c r="AF132" s="233" t="n"/>
      <c r="AG132" s="233" t="n"/>
      <c r="AH132" s="233" t="n"/>
      <c r="AI132" s="233" t="n"/>
      <c r="AJ132" s="233" t="n"/>
      <c r="AK132" s="233" t="n"/>
      <c r="AL132" s="233" t="n"/>
      <c r="AM132" s="233" t="n"/>
      <c r="AN132" s="233" t="n"/>
      <c r="AO132" s="233" t="n"/>
      <c r="AP132" s="233" t="n"/>
      <c r="AQ132" s="233" t="n"/>
      <c r="AR132" s="233" t="n"/>
      <c r="AS132" s="233" t="n"/>
      <c r="AT132" s="233" t="n"/>
      <c r="AU132" s="233" t="n"/>
      <c r="AV132" s="233" t="n"/>
      <c r="AW132" s="233" t="n"/>
      <c r="AX132" s="233" t="n"/>
      <c r="AY132" s="233" t="n"/>
      <c r="AZ132" s="233" t="n"/>
      <c r="BA132" s="233" t="n"/>
      <c r="BB132" s="233" t="n"/>
      <c r="BC132" s="233" t="n"/>
      <c r="BD132" s="233" t="n"/>
      <c r="BE132" s="233" t="n"/>
      <c r="BF132" s="233" t="n"/>
      <c r="BG132" s="233" t="n"/>
      <c r="BH132" s="233" t="n"/>
      <c r="BI132" s="233" t="n"/>
      <c r="BJ132" s="233" t="n"/>
      <c r="BK132" s="233" t="n"/>
      <c r="BL132" s="233" t="n"/>
      <c r="BM132" s="233" t="n"/>
    </row>
    <row r="133" ht="15.75" customHeight="1" s="349">
      <c r="A133" s="31" t="n"/>
      <c r="B133" s="307" t="n"/>
      <c r="C133" s="307" t="n"/>
      <c r="D133" s="146" t="n"/>
      <c r="E133" s="307" t="n"/>
      <c r="F133" s="307" t="n"/>
      <c r="G133" s="307" t="n"/>
      <c r="H133" s="307" t="n"/>
      <c r="I133" s="307" t="n"/>
      <c r="J133" s="307" t="n"/>
      <c r="K133" s="307" t="n"/>
      <c r="L133" s="307" t="n"/>
      <c r="M133" s="307" t="n"/>
      <c r="N133" s="307" t="n"/>
      <c r="O133" s="233" t="n"/>
      <c r="P133" s="233" t="n"/>
      <c r="Q133" s="233" t="n"/>
      <c r="R133" s="233" t="n"/>
      <c r="S133" s="233" t="n"/>
      <c r="T133" s="233" t="n"/>
      <c r="U133" s="233" t="n"/>
      <c r="V133" s="233" t="n"/>
      <c r="W133" s="233" t="n"/>
      <c r="X133" s="233" t="n"/>
      <c r="Y133" s="233" t="n"/>
      <c r="Z133" s="233" t="n"/>
      <c r="AA133" s="233" t="n"/>
      <c r="AB133" s="233" t="n"/>
      <c r="AC133" s="233" t="n"/>
      <c r="AD133" s="233" t="n"/>
      <c r="AE133" s="233" t="n"/>
      <c r="AF133" s="233" t="n"/>
      <c r="AG133" s="233" t="n"/>
      <c r="AH133" s="233" t="n"/>
      <c r="AI133" s="233" t="n"/>
      <c r="AJ133" s="233" t="n"/>
      <c r="AK133" s="233" t="n"/>
      <c r="AL133" s="233" t="n"/>
      <c r="AM133" s="233" t="n"/>
      <c r="AN133" s="233" t="n"/>
      <c r="AO133" s="233" t="n"/>
      <c r="AP133" s="233" t="n"/>
      <c r="AQ133" s="233" t="n"/>
      <c r="AR133" s="233" t="n"/>
      <c r="AS133" s="233" t="n"/>
      <c r="AT133" s="233" t="n"/>
      <c r="AU133" s="233" t="n"/>
      <c r="AV133" s="233" t="n"/>
      <c r="AW133" s="233" t="n"/>
      <c r="AX133" s="233" t="n"/>
      <c r="AY133" s="233" t="n"/>
      <c r="AZ133" s="233" t="n"/>
      <c r="BA133" s="233" t="n"/>
      <c r="BB133" s="233" t="n"/>
      <c r="BC133" s="233" t="n"/>
      <c r="BD133" s="233" t="n"/>
      <c r="BE133" s="233" t="n"/>
      <c r="BF133" s="233" t="n"/>
      <c r="BG133" s="233" t="n"/>
      <c r="BH133" s="233" t="n"/>
      <c r="BI133" s="233" t="n"/>
      <c r="BJ133" s="233" t="n"/>
      <c r="BK133" s="233" t="n"/>
      <c r="BL133" s="233" t="n"/>
      <c r="BM133" s="233" t="n"/>
    </row>
    <row r="134" ht="15.75" customHeight="1" s="349">
      <c r="A134" s="31" t="n"/>
      <c r="B134" s="307" t="n"/>
      <c r="C134" s="307" t="n"/>
      <c r="D134" s="146" t="n"/>
      <c r="E134" s="307" t="n"/>
      <c r="F134" s="307" t="n"/>
      <c r="G134" s="307" t="n"/>
      <c r="H134" s="307" t="n"/>
      <c r="I134" s="307" t="n"/>
      <c r="J134" s="307" t="n"/>
      <c r="K134" s="307" t="n"/>
      <c r="L134" s="307" t="n"/>
      <c r="M134" s="307" t="n"/>
      <c r="N134" s="307" t="n"/>
      <c r="O134" s="233" t="n"/>
      <c r="P134" s="233" t="n"/>
      <c r="Q134" s="233" t="n"/>
      <c r="R134" s="233" t="n"/>
      <c r="S134" s="233" t="n"/>
      <c r="T134" s="233" t="n"/>
      <c r="U134" s="233" t="n"/>
      <c r="V134" s="233" t="n"/>
      <c r="W134" s="233" t="n"/>
      <c r="X134" s="233" t="n"/>
      <c r="Y134" s="233" t="n"/>
      <c r="Z134" s="233" t="n"/>
      <c r="AA134" s="233" t="n"/>
      <c r="AB134" s="233" t="n"/>
      <c r="AC134" s="233" t="n"/>
      <c r="AD134" s="233" t="n"/>
      <c r="AE134" s="233" t="n"/>
      <c r="AF134" s="233" t="n"/>
      <c r="AG134" s="233" t="n"/>
      <c r="AH134" s="233" t="n"/>
      <c r="AI134" s="233" t="n"/>
      <c r="AJ134" s="233" t="n"/>
      <c r="AK134" s="233" t="n"/>
      <c r="AL134" s="233" t="n"/>
      <c r="AM134" s="233" t="n"/>
      <c r="AN134" s="233" t="n"/>
      <c r="AO134" s="233" t="n"/>
      <c r="AP134" s="233" t="n"/>
      <c r="AQ134" s="233" t="n"/>
      <c r="AR134" s="233" t="n"/>
      <c r="AS134" s="233" t="n"/>
      <c r="AT134" s="233" t="n"/>
      <c r="AU134" s="233" t="n"/>
      <c r="AV134" s="233" t="n"/>
      <c r="AW134" s="233" t="n"/>
      <c r="AX134" s="233" t="n"/>
      <c r="AY134" s="233" t="n"/>
      <c r="AZ134" s="233" t="n"/>
      <c r="BA134" s="233" t="n"/>
      <c r="BB134" s="233" t="n"/>
      <c r="BC134" s="233" t="n"/>
      <c r="BD134" s="233" t="n"/>
      <c r="BE134" s="233" t="n"/>
      <c r="BF134" s="233" t="n"/>
      <c r="BG134" s="233" t="n"/>
      <c r="BH134" s="233" t="n"/>
      <c r="BI134" s="233" t="n"/>
      <c r="BJ134" s="233" t="n"/>
      <c r="BK134" s="233" t="n"/>
      <c r="BL134" s="233" t="n"/>
      <c r="BM134" s="233" t="n"/>
    </row>
    <row r="135" ht="15.75" customHeight="1" s="349">
      <c r="A135" s="31" t="n"/>
      <c r="B135" s="307" t="n"/>
      <c r="C135" s="307" t="n"/>
      <c r="D135" s="146" t="n"/>
      <c r="E135" s="307" t="n"/>
      <c r="F135" s="307" t="n"/>
      <c r="G135" s="307" t="n"/>
      <c r="H135" s="307" t="n"/>
      <c r="I135" s="307" t="n"/>
      <c r="J135" s="307" t="n"/>
      <c r="K135" s="307" t="n"/>
      <c r="L135" s="307" t="n"/>
      <c r="M135" s="307" t="n"/>
      <c r="N135" s="307" t="n"/>
      <c r="O135" s="233" t="n"/>
      <c r="P135" s="233" t="n"/>
      <c r="Q135" s="233" t="n"/>
      <c r="R135" s="233" t="n"/>
      <c r="S135" s="233" t="n"/>
      <c r="T135" s="233" t="n"/>
      <c r="U135" s="233" t="n"/>
      <c r="V135" s="233" t="n"/>
      <c r="W135" s="233" t="n"/>
      <c r="X135" s="233" t="n"/>
      <c r="Y135" s="233" t="n"/>
      <c r="Z135" s="233" t="n"/>
      <c r="AA135" s="233" t="n"/>
      <c r="AB135" s="233" t="n"/>
      <c r="AC135" s="233" t="n"/>
      <c r="AD135" s="233" t="n"/>
      <c r="AE135" s="233" t="n"/>
      <c r="AF135" s="233" t="n"/>
      <c r="AG135" s="233" t="n"/>
      <c r="AH135" s="233" t="n"/>
      <c r="AI135" s="233" t="n"/>
      <c r="AJ135" s="233" t="n"/>
      <c r="AK135" s="233" t="n"/>
      <c r="AL135" s="233" t="n"/>
      <c r="AM135" s="233" t="n"/>
      <c r="AN135" s="233" t="n"/>
      <c r="AO135" s="233" t="n"/>
      <c r="AP135" s="233" t="n"/>
      <c r="AQ135" s="233" t="n"/>
      <c r="AR135" s="233" t="n"/>
      <c r="AS135" s="233" t="n"/>
      <c r="AT135" s="233" t="n"/>
      <c r="AU135" s="233" t="n"/>
      <c r="AV135" s="233" t="n"/>
      <c r="AW135" s="233" t="n"/>
      <c r="AX135" s="233" t="n"/>
      <c r="AY135" s="233" t="n"/>
      <c r="AZ135" s="233" t="n"/>
      <c r="BA135" s="233" t="n"/>
      <c r="BB135" s="233" t="n"/>
      <c r="BC135" s="233" t="n"/>
      <c r="BD135" s="233" t="n"/>
      <c r="BE135" s="233" t="n"/>
      <c r="BF135" s="233" t="n"/>
      <c r="BG135" s="233" t="n"/>
      <c r="BH135" s="233" t="n"/>
      <c r="BI135" s="233" t="n"/>
      <c r="BJ135" s="233" t="n"/>
      <c r="BK135" s="233" t="n"/>
      <c r="BL135" s="233" t="n"/>
      <c r="BM135" s="233" t="n"/>
    </row>
    <row r="136" ht="15.75" customHeight="1" s="349">
      <c r="A136" s="31" t="n"/>
      <c r="B136" s="307" t="n"/>
      <c r="C136" s="307" t="n"/>
      <c r="D136" s="146" t="n"/>
      <c r="E136" s="307" t="n"/>
      <c r="F136" s="307" t="n"/>
      <c r="G136" s="307" t="n"/>
      <c r="H136" s="307" t="n"/>
      <c r="I136" s="307" t="n"/>
      <c r="J136" s="307" t="n"/>
      <c r="K136" s="307" t="n"/>
      <c r="L136" s="307" t="n"/>
      <c r="M136" s="307" t="n"/>
      <c r="N136" s="307" t="n"/>
      <c r="O136" s="233" t="n"/>
      <c r="P136" s="233" t="n"/>
      <c r="Q136" s="233" t="n"/>
      <c r="R136" s="233" t="n"/>
      <c r="S136" s="233" t="n"/>
      <c r="T136" s="233" t="n"/>
      <c r="U136" s="233" t="n"/>
      <c r="V136" s="233" t="n"/>
      <c r="W136" s="233" t="n"/>
      <c r="X136" s="233" t="n"/>
      <c r="Y136" s="233" t="n"/>
      <c r="Z136" s="233" t="n"/>
      <c r="AA136" s="233" t="n"/>
      <c r="AB136" s="233" t="n"/>
      <c r="AC136" s="233" t="n"/>
      <c r="AD136" s="233" t="n"/>
      <c r="AE136" s="233" t="n"/>
      <c r="AF136" s="233" t="n"/>
      <c r="AG136" s="233" t="n"/>
      <c r="AH136" s="233" t="n"/>
      <c r="AI136" s="233" t="n"/>
      <c r="AJ136" s="233" t="n"/>
      <c r="AK136" s="233" t="n"/>
      <c r="AL136" s="233" t="n"/>
      <c r="AM136" s="233" t="n"/>
      <c r="AN136" s="233" t="n"/>
      <c r="AO136" s="233" t="n"/>
      <c r="AP136" s="233" t="n"/>
      <c r="AQ136" s="233" t="n"/>
      <c r="AR136" s="233" t="n"/>
      <c r="AS136" s="233" t="n"/>
      <c r="AT136" s="233" t="n"/>
      <c r="AU136" s="233" t="n"/>
      <c r="AV136" s="233" t="n"/>
      <c r="AW136" s="233" t="n"/>
      <c r="AX136" s="233" t="n"/>
      <c r="AY136" s="233" t="n"/>
      <c r="AZ136" s="233" t="n"/>
      <c r="BA136" s="233" t="n"/>
      <c r="BB136" s="233" t="n"/>
      <c r="BC136" s="233" t="n"/>
      <c r="BD136" s="233" t="n"/>
      <c r="BE136" s="233" t="n"/>
      <c r="BF136" s="233" t="n"/>
      <c r="BG136" s="233" t="n"/>
      <c r="BH136" s="233" t="n"/>
      <c r="BI136" s="233" t="n"/>
      <c r="BJ136" s="233" t="n"/>
      <c r="BK136" s="233" t="n"/>
      <c r="BL136" s="233" t="n"/>
      <c r="BM136" s="233" t="n"/>
    </row>
    <row r="137" ht="15.75" customHeight="1" s="349">
      <c r="A137" s="31" t="n"/>
      <c r="B137" s="307" t="n"/>
      <c r="C137" s="307" t="n"/>
      <c r="D137" s="146" t="n"/>
      <c r="E137" s="307" t="n"/>
      <c r="F137" s="307" t="n"/>
      <c r="G137" s="307" t="n"/>
      <c r="H137" s="307" t="n"/>
      <c r="I137" s="307" t="n"/>
      <c r="J137" s="307" t="n"/>
      <c r="K137" s="307" t="n"/>
      <c r="L137" s="307" t="n"/>
      <c r="M137" s="307" t="n"/>
      <c r="N137" s="307" t="n"/>
      <c r="O137" s="233" t="n"/>
      <c r="P137" s="233" t="n"/>
      <c r="Q137" s="233" t="n"/>
      <c r="R137" s="233" t="n"/>
      <c r="S137" s="233" t="n"/>
      <c r="T137" s="233" t="n"/>
      <c r="U137" s="233" t="n"/>
      <c r="V137" s="233" t="n"/>
      <c r="W137" s="233" t="n"/>
      <c r="X137" s="233" t="n"/>
      <c r="Y137" s="233" t="n"/>
      <c r="Z137" s="233" t="n"/>
      <c r="AA137" s="233" t="n"/>
      <c r="AB137" s="233" t="n"/>
      <c r="AC137" s="233" t="n"/>
      <c r="AD137" s="233" t="n"/>
      <c r="AE137" s="233" t="n"/>
      <c r="AF137" s="233" t="n"/>
      <c r="AG137" s="233" t="n"/>
      <c r="AH137" s="233" t="n"/>
      <c r="AI137" s="233" t="n"/>
      <c r="AJ137" s="233" t="n"/>
      <c r="AK137" s="233" t="n"/>
      <c r="AL137" s="233" t="n"/>
      <c r="AM137" s="233" t="n"/>
      <c r="AN137" s="233" t="n"/>
      <c r="AO137" s="233" t="n"/>
      <c r="AP137" s="233" t="n"/>
      <c r="AQ137" s="233" t="n"/>
      <c r="AR137" s="233" t="n"/>
      <c r="AS137" s="233" t="n"/>
      <c r="AT137" s="233" t="n"/>
      <c r="AU137" s="233" t="n"/>
      <c r="AV137" s="233" t="n"/>
      <c r="AW137" s="233" t="n"/>
      <c r="AX137" s="233" t="n"/>
      <c r="AY137" s="233" t="n"/>
      <c r="AZ137" s="233" t="n"/>
      <c r="BA137" s="233" t="n"/>
      <c r="BB137" s="233" t="n"/>
      <c r="BC137" s="233" t="n"/>
      <c r="BD137" s="233" t="n"/>
      <c r="BE137" s="233" t="n"/>
      <c r="BF137" s="233" t="n"/>
      <c r="BG137" s="233" t="n"/>
      <c r="BH137" s="233" t="n"/>
      <c r="BI137" s="233" t="n"/>
      <c r="BJ137" s="233" t="n"/>
      <c r="BK137" s="233" t="n"/>
      <c r="BL137" s="233" t="n"/>
      <c r="BM137" s="233" t="n"/>
    </row>
    <row r="138" ht="15.75" customHeight="1" s="349">
      <c r="A138" s="31" t="n"/>
      <c r="B138" s="307" t="n"/>
      <c r="C138" s="307" t="n"/>
      <c r="D138" s="146" t="n"/>
      <c r="E138" s="307" t="n"/>
      <c r="F138" s="307" t="n"/>
      <c r="G138" s="307" t="n"/>
      <c r="H138" s="307" t="n"/>
      <c r="I138" s="307" t="n"/>
      <c r="J138" s="307" t="n"/>
      <c r="K138" s="307" t="n"/>
      <c r="L138" s="307" t="n"/>
      <c r="M138" s="307" t="n"/>
      <c r="N138" s="307" t="n"/>
      <c r="O138" s="233" t="n"/>
      <c r="P138" s="233" t="n"/>
      <c r="Q138" s="233" t="n"/>
      <c r="R138" s="233" t="n"/>
      <c r="S138" s="233" t="n"/>
      <c r="T138" s="233" t="n"/>
      <c r="U138" s="233" t="n"/>
      <c r="V138" s="233" t="n"/>
      <c r="W138" s="233" t="n"/>
      <c r="X138" s="233" t="n"/>
      <c r="Y138" s="233" t="n"/>
      <c r="Z138" s="233" t="n"/>
      <c r="AA138" s="233" t="n"/>
      <c r="AB138" s="233" t="n"/>
      <c r="AC138" s="233" t="n"/>
      <c r="AD138" s="233" t="n"/>
      <c r="AE138" s="233" t="n"/>
      <c r="AF138" s="233" t="n"/>
      <c r="AG138" s="233" t="n"/>
      <c r="AH138" s="233" t="n"/>
      <c r="AI138" s="233" t="n"/>
      <c r="AJ138" s="233" t="n"/>
      <c r="AK138" s="233" t="n"/>
      <c r="AL138" s="233" t="n"/>
      <c r="AM138" s="233" t="n"/>
      <c r="AN138" s="233" t="n"/>
      <c r="AO138" s="233" t="n"/>
      <c r="AP138" s="233" t="n"/>
      <c r="AQ138" s="233" t="n"/>
      <c r="AR138" s="233" t="n"/>
      <c r="AS138" s="233" t="n"/>
      <c r="AT138" s="233" t="n"/>
      <c r="AU138" s="233" t="n"/>
      <c r="AV138" s="233" t="n"/>
      <c r="AW138" s="233" t="n"/>
      <c r="AX138" s="233" t="n"/>
      <c r="AY138" s="233" t="n"/>
      <c r="AZ138" s="233" t="n"/>
      <c r="BA138" s="233" t="n"/>
      <c r="BB138" s="233" t="n"/>
      <c r="BC138" s="233" t="n"/>
      <c r="BD138" s="233" t="n"/>
      <c r="BE138" s="233" t="n"/>
      <c r="BF138" s="233" t="n"/>
      <c r="BG138" s="233" t="n"/>
      <c r="BH138" s="233" t="n"/>
      <c r="BI138" s="233" t="n"/>
      <c r="BJ138" s="233" t="n"/>
      <c r="BK138" s="233" t="n"/>
      <c r="BL138" s="233" t="n"/>
      <c r="BM138" s="233" t="n"/>
    </row>
    <row r="139" ht="15.75" customHeight="1" s="349">
      <c r="A139" s="31" t="n"/>
      <c r="B139" s="307" t="n"/>
      <c r="C139" s="307" t="n"/>
      <c r="D139" s="146" t="n"/>
      <c r="E139" s="307" t="n"/>
      <c r="F139" s="307" t="n"/>
      <c r="G139" s="307" t="n"/>
      <c r="H139" s="307" t="n"/>
      <c r="I139" s="307" t="n"/>
      <c r="J139" s="307" t="n"/>
      <c r="K139" s="307" t="n"/>
      <c r="L139" s="307" t="n"/>
      <c r="M139" s="307" t="n"/>
      <c r="N139" s="307" t="n"/>
      <c r="O139" s="233" t="n"/>
      <c r="P139" s="233" t="n"/>
      <c r="Q139" s="233" t="n"/>
      <c r="R139" s="233" t="n"/>
      <c r="S139" s="233" t="n"/>
      <c r="T139" s="233" t="n"/>
      <c r="U139" s="233" t="n"/>
      <c r="V139" s="233" t="n"/>
      <c r="W139" s="233" t="n"/>
      <c r="X139" s="233" t="n"/>
      <c r="Y139" s="233" t="n"/>
      <c r="Z139" s="233" t="n"/>
      <c r="AA139" s="233" t="n"/>
      <c r="AB139" s="233" t="n"/>
      <c r="AC139" s="233" t="n"/>
      <c r="AD139" s="233" t="n"/>
      <c r="AE139" s="233" t="n"/>
      <c r="AF139" s="233" t="n"/>
      <c r="AG139" s="233" t="n"/>
      <c r="AH139" s="233" t="n"/>
      <c r="AI139" s="233" t="n"/>
      <c r="AJ139" s="233" t="n"/>
      <c r="AK139" s="233" t="n"/>
      <c r="AL139" s="233" t="n"/>
      <c r="AM139" s="233" t="n"/>
      <c r="AN139" s="233" t="n"/>
      <c r="AO139" s="233" t="n"/>
      <c r="AP139" s="233" t="n"/>
      <c r="AQ139" s="233" t="n"/>
      <c r="AR139" s="233" t="n"/>
      <c r="AS139" s="233" t="n"/>
      <c r="AT139" s="233" t="n"/>
      <c r="AU139" s="233" t="n"/>
      <c r="AV139" s="233" t="n"/>
      <c r="AW139" s="233" t="n"/>
      <c r="AX139" s="233" t="n"/>
      <c r="AY139" s="233" t="n"/>
      <c r="AZ139" s="233" t="n"/>
      <c r="BA139" s="233" t="n"/>
      <c r="BB139" s="233" t="n"/>
      <c r="BC139" s="233" t="n"/>
      <c r="BD139" s="233" t="n"/>
      <c r="BE139" s="233" t="n"/>
      <c r="BF139" s="233" t="n"/>
      <c r="BG139" s="233" t="n"/>
      <c r="BH139" s="233" t="n"/>
      <c r="BI139" s="233" t="n"/>
      <c r="BJ139" s="233" t="n"/>
      <c r="BK139" s="233" t="n"/>
      <c r="BL139" s="233" t="n"/>
      <c r="BM139" s="233" t="n"/>
    </row>
    <row r="140" ht="15.75" customHeight="1" s="349">
      <c r="A140" s="31" t="n"/>
      <c r="B140" s="307" t="n"/>
      <c r="C140" s="307" t="n"/>
      <c r="D140" s="146" t="n"/>
      <c r="E140" s="307" t="n"/>
      <c r="F140" s="307" t="n"/>
      <c r="G140" s="307" t="n"/>
      <c r="H140" s="307" t="n"/>
      <c r="I140" s="307" t="n"/>
      <c r="J140" s="307" t="n"/>
      <c r="K140" s="307" t="n"/>
      <c r="L140" s="307" t="n"/>
      <c r="M140" s="307" t="n"/>
      <c r="N140" s="307" t="n"/>
      <c r="O140" s="233" t="n"/>
      <c r="P140" s="233" t="n"/>
      <c r="Q140" s="233" t="n"/>
      <c r="R140" s="233" t="n"/>
      <c r="S140" s="233" t="n"/>
      <c r="T140" s="233" t="n"/>
      <c r="U140" s="233" t="n"/>
      <c r="V140" s="233" t="n"/>
      <c r="W140" s="233" t="n"/>
      <c r="X140" s="233" t="n"/>
      <c r="Y140" s="233" t="n"/>
      <c r="Z140" s="233" t="n"/>
      <c r="AA140" s="233" t="n"/>
      <c r="AB140" s="233" t="n"/>
      <c r="AC140" s="233" t="n"/>
      <c r="AD140" s="233" t="n"/>
      <c r="AE140" s="233" t="n"/>
      <c r="AF140" s="233" t="n"/>
      <c r="AG140" s="233" t="n"/>
      <c r="AH140" s="233" t="n"/>
      <c r="AI140" s="233" t="n"/>
      <c r="AJ140" s="233" t="n"/>
      <c r="AK140" s="233" t="n"/>
      <c r="AL140" s="233" t="n"/>
      <c r="AM140" s="233" t="n"/>
      <c r="AN140" s="233" t="n"/>
      <c r="AO140" s="233" t="n"/>
      <c r="AP140" s="233" t="n"/>
      <c r="AQ140" s="233" t="n"/>
      <c r="AR140" s="233" t="n"/>
      <c r="AS140" s="233" t="n"/>
      <c r="AT140" s="233" t="n"/>
      <c r="AU140" s="233" t="n"/>
      <c r="AV140" s="233" t="n"/>
      <c r="AW140" s="233" t="n"/>
      <c r="AX140" s="233" t="n"/>
      <c r="AY140" s="233" t="n"/>
      <c r="AZ140" s="233" t="n"/>
      <c r="BA140" s="233" t="n"/>
      <c r="BB140" s="233" t="n"/>
      <c r="BC140" s="233" t="n"/>
      <c r="BD140" s="233" t="n"/>
      <c r="BE140" s="233" t="n"/>
      <c r="BF140" s="233" t="n"/>
      <c r="BG140" s="233" t="n"/>
      <c r="BH140" s="233" t="n"/>
      <c r="BI140" s="233" t="n"/>
      <c r="BJ140" s="233" t="n"/>
      <c r="BK140" s="233" t="n"/>
      <c r="BL140" s="233" t="n"/>
      <c r="BM140" s="233" t="n"/>
    </row>
    <row r="141" ht="15.75" customHeight="1" s="349">
      <c r="A141" s="31" t="n"/>
      <c r="B141" s="307" t="n"/>
      <c r="C141" s="307" t="n"/>
      <c r="D141" s="146" t="n"/>
      <c r="E141" s="307" t="n"/>
      <c r="F141" s="307" t="n"/>
      <c r="G141" s="307" t="n"/>
      <c r="H141" s="307" t="n"/>
      <c r="I141" s="307" t="n"/>
      <c r="J141" s="307" t="n"/>
      <c r="K141" s="307" t="n"/>
      <c r="L141" s="307" t="n"/>
      <c r="M141" s="307" t="n"/>
      <c r="N141" s="307" t="n"/>
      <c r="O141" s="233" t="n"/>
      <c r="P141" s="233" t="n"/>
      <c r="Q141" s="233" t="n"/>
      <c r="R141" s="233" t="n"/>
      <c r="S141" s="233" t="n"/>
      <c r="T141" s="233" t="n"/>
      <c r="U141" s="233" t="n"/>
      <c r="V141" s="233" t="n"/>
      <c r="W141" s="233" t="n"/>
      <c r="X141" s="233" t="n"/>
      <c r="Y141" s="233" t="n"/>
      <c r="Z141" s="233" t="n"/>
      <c r="AA141" s="233" t="n"/>
      <c r="AB141" s="233" t="n"/>
      <c r="AC141" s="233" t="n"/>
      <c r="AD141" s="233" t="n"/>
      <c r="AE141" s="233" t="n"/>
      <c r="AF141" s="233" t="n"/>
      <c r="AG141" s="233" t="n"/>
      <c r="AH141" s="233" t="n"/>
      <c r="AI141" s="233" t="n"/>
      <c r="AJ141" s="233" t="n"/>
      <c r="AK141" s="233" t="n"/>
      <c r="AL141" s="233" t="n"/>
      <c r="AM141" s="233" t="n"/>
      <c r="AN141" s="233" t="n"/>
      <c r="AO141" s="233" t="n"/>
      <c r="AP141" s="233" t="n"/>
      <c r="AQ141" s="233" t="n"/>
      <c r="AR141" s="233" t="n"/>
      <c r="AS141" s="233" t="n"/>
      <c r="AT141" s="233" t="n"/>
      <c r="AU141" s="233" t="n"/>
      <c r="AV141" s="233" t="n"/>
      <c r="AW141" s="233" t="n"/>
      <c r="AX141" s="233" t="n"/>
      <c r="AY141" s="233" t="n"/>
      <c r="AZ141" s="233" t="n"/>
      <c r="BA141" s="233" t="n"/>
      <c r="BB141" s="233" t="n"/>
      <c r="BC141" s="233" t="n"/>
      <c r="BD141" s="233" t="n"/>
      <c r="BE141" s="233" t="n"/>
      <c r="BF141" s="233" t="n"/>
      <c r="BG141" s="233" t="n"/>
      <c r="BH141" s="233" t="n"/>
      <c r="BI141" s="233" t="n"/>
      <c r="BJ141" s="233" t="n"/>
      <c r="BK141" s="233" t="n"/>
      <c r="BL141" s="233" t="n"/>
      <c r="BM141" s="233" t="n"/>
    </row>
    <row r="142" ht="15.75" customHeight="1" s="349">
      <c r="A142" s="31" t="n"/>
      <c r="B142" s="307" t="n"/>
      <c r="C142" s="307" t="n"/>
      <c r="D142" s="146" t="n"/>
      <c r="E142" s="307" t="n"/>
      <c r="F142" s="307" t="n"/>
      <c r="G142" s="307" t="n"/>
      <c r="H142" s="307" t="n"/>
      <c r="I142" s="307" t="n"/>
      <c r="J142" s="307" t="n"/>
      <c r="K142" s="307" t="n"/>
      <c r="L142" s="307" t="n"/>
      <c r="M142" s="307" t="n"/>
      <c r="N142" s="307" t="n"/>
      <c r="O142" s="233" t="n"/>
      <c r="P142" s="233" t="n"/>
      <c r="Q142" s="233" t="n"/>
      <c r="R142" s="233" t="n"/>
      <c r="S142" s="233" t="n"/>
      <c r="T142" s="233" t="n"/>
      <c r="U142" s="233" t="n"/>
      <c r="V142" s="233" t="n"/>
      <c r="W142" s="233" t="n"/>
      <c r="X142" s="233" t="n"/>
      <c r="Y142" s="233" t="n"/>
      <c r="Z142" s="233" t="n"/>
      <c r="AA142" s="233" t="n"/>
      <c r="AB142" s="233" t="n"/>
      <c r="AC142" s="233" t="n"/>
      <c r="AD142" s="233" t="n"/>
      <c r="AE142" s="233" t="n"/>
      <c r="AF142" s="233" t="n"/>
      <c r="AG142" s="233" t="n"/>
      <c r="AH142" s="233" t="n"/>
      <c r="AI142" s="233" t="n"/>
      <c r="AJ142" s="233" t="n"/>
      <c r="AK142" s="233" t="n"/>
      <c r="AL142" s="233" t="n"/>
      <c r="AM142" s="233" t="n"/>
      <c r="AN142" s="233" t="n"/>
      <c r="AO142" s="233" t="n"/>
      <c r="AP142" s="233" t="n"/>
      <c r="AQ142" s="233" t="n"/>
      <c r="AR142" s="233" t="n"/>
      <c r="AS142" s="233" t="n"/>
      <c r="AT142" s="233" t="n"/>
      <c r="AU142" s="233" t="n"/>
      <c r="AV142" s="233" t="n"/>
      <c r="AW142" s="233" t="n"/>
      <c r="AX142" s="233" t="n"/>
      <c r="AY142" s="233" t="n"/>
      <c r="AZ142" s="233" t="n"/>
      <c r="BA142" s="233" t="n"/>
      <c r="BB142" s="233" t="n"/>
      <c r="BC142" s="233" t="n"/>
      <c r="BD142" s="233" t="n"/>
      <c r="BE142" s="233" t="n"/>
      <c r="BF142" s="233" t="n"/>
      <c r="BG142" s="233" t="n"/>
      <c r="BH142" s="233" t="n"/>
      <c r="BI142" s="233" t="n"/>
      <c r="BJ142" s="233" t="n"/>
      <c r="BK142" s="233" t="n"/>
      <c r="BL142" s="233" t="n"/>
      <c r="BM142" s="233" t="n"/>
    </row>
    <row r="143" ht="15.75" customHeight="1" s="349">
      <c r="A143" s="31" t="n"/>
      <c r="B143" s="307" t="n"/>
      <c r="C143" s="307" t="n"/>
      <c r="D143" s="146" t="n"/>
      <c r="E143" s="307" t="n"/>
      <c r="F143" s="307" t="n"/>
      <c r="G143" s="307" t="n"/>
      <c r="H143" s="307" t="n"/>
      <c r="I143" s="307" t="n"/>
      <c r="J143" s="307" t="n"/>
      <c r="K143" s="307" t="n"/>
      <c r="L143" s="307" t="n"/>
      <c r="M143" s="307" t="n"/>
      <c r="N143" s="307" t="n"/>
      <c r="O143" s="233" t="n"/>
      <c r="P143" s="233" t="n"/>
      <c r="Q143" s="233" t="n"/>
      <c r="R143" s="233" t="n"/>
      <c r="S143" s="233" t="n"/>
      <c r="T143" s="233" t="n"/>
      <c r="U143" s="233" t="n"/>
      <c r="V143" s="233" t="n"/>
      <c r="W143" s="233" t="n"/>
      <c r="X143" s="233" t="n"/>
      <c r="Y143" s="233" t="n"/>
      <c r="Z143" s="233" t="n"/>
      <c r="AA143" s="233" t="n"/>
      <c r="AB143" s="233" t="n"/>
      <c r="AC143" s="233" t="n"/>
      <c r="AD143" s="233" t="n"/>
      <c r="AE143" s="233" t="n"/>
      <c r="AF143" s="233" t="n"/>
      <c r="AG143" s="233" t="n"/>
      <c r="AH143" s="233" t="n"/>
      <c r="AI143" s="233" t="n"/>
      <c r="AJ143" s="233" t="n"/>
      <c r="AK143" s="233" t="n"/>
      <c r="AL143" s="233" t="n"/>
      <c r="AM143" s="233" t="n"/>
      <c r="AN143" s="233" t="n"/>
      <c r="AO143" s="233" t="n"/>
      <c r="AP143" s="233" t="n"/>
      <c r="AQ143" s="233" t="n"/>
      <c r="AR143" s="233" t="n"/>
      <c r="AS143" s="233" t="n"/>
      <c r="AT143" s="233" t="n"/>
      <c r="AU143" s="233" t="n"/>
      <c r="AV143" s="233" t="n"/>
      <c r="AW143" s="233" t="n"/>
      <c r="AX143" s="233" t="n"/>
      <c r="AY143" s="233" t="n"/>
      <c r="AZ143" s="233" t="n"/>
      <c r="BA143" s="233" t="n"/>
      <c r="BB143" s="233" t="n"/>
      <c r="BC143" s="233" t="n"/>
      <c r="BD143" s="233" t="n"/>
      <c r="BE143" s="233" t="n"/>
      <c r="BF143" s="233" t="n"/>
      <c r="BG143" s="233" t="n"/>
      <c r="BH143" s="233" t="n"/>
      <c r="BI143" s="233" t="n"/>
      <c r="BJ143" s="233" t="n"/>
      <c r="BK143" s="233" t="n"/>
      <c r="BL143" s="233" t="n"/>
      <c r="BM143" s="233" t="n"/>
    </row>
    <row r="144" ht="15.75" customHeight="1" s="349">
      <c r="A144" s="31" t="n"/>
      <c r="B144" s="307" t="n"/>
      <c r="C144" s="307" t="n"/>
      <c r="D144" s="146" t="n"/>
      <c r="E144" s="307" t="n"/>
      <c r="F144" s="307" t="n"/>
      <c r="G144" s="307" t="n"/>
      <c r="H144" s="307" t="n"/>
      <c r="I144" s="307" t="n"/>
      <c r="J144" s="307" t="n"/>
      <c r="K144" s="307" t="n"/>
      <c r="L144" s="307" t="n"/>
      <c r="M144" s="307" t="n"/>
      <c r="N144" s="307" t="n"/>
      <c r="O144" s="233" t="n"/>
      <c r="P144" s="233" t="n"/>
      <c r="Q144" s="233" t="n"/>
      <c r="R144" s="233" t="n"/>
      <c r="S144" s="233" t="n"/>
      <c r="T144" s="233" t="n"/>
      <c r="U144" s="233" t="n"/>
      <c r="V144" s="233" t="n"/>
      <c r="W144" s="233" t="n"/>
      <c r="X144" s="233" t="n"/>
      <c r="Y144" s="233" t="n"/>
      <c r="Z144" s="233" t="n"/>
      <c r="AA144" s="233" t="n"/>
      <c r="AB144" s="233" t="n"/>
      <c r="AC144" s="233" t="n"/>
      <c r="AD144" s="233" t="n"/>
      <c r="AE144" s="233" t="n"/>
      <c r="AF144" s="233" t="n"/>
      <c r="AG144" s="233" t="n"/>
      <c r="AH144" s="233" t="n"/>
      <c r="AI144" s="233" t="n"/>
      <c r="AJ144" s="233" t="n"/>
      <c r="AK144" s="233" t="n"/>
      <c r="AL144" s="233" t="n"/>
      <c r="AM144" s="233" t="n"/>
      <c r="AN144" s="233" t="n"/>
      <c r="AO144" s="233" t="n"/>
      <c r="AP144" s="233" t="n"/>
      <c r="AQ144" s="233" t="n"/>
      <c r="AR144" s="233" t="n"/>
      <c r="AS144" s="233" t="n"/>
      <c r="AT144" s="233" t="n"/>
      <c r="AU144" s="233" t="n"/>
      <c r="AV144" s="233" t="n"/>
      <c r="AW144" s="233" t="n"/>
      <c r="AX144" s="233" t="n"/>
      <c r="AY144" s="233" t="n"/>
      <c r="AZ144" s="233" t="n"/>
      <c r="BA144" s="233" t="n"/>
      <c r="BB144" s="233" t="n"/>
      <c r="BC144" s="233" t="n"/>
      <c r="BD144" s="233" t="n"/>
      <c r="BE144" s="233" t="n"/>
      <c r="BF144" s="233" t="n"/>
      <c r="BG144" s="233" t="n"/>
      <c r="BH144" s="233" t="n"/>
      <c r="BI144" s="233" t="n"/>
      <c r="BJ144" s="233" t="n"/>
      <c r="BK144" s="233" t="n"/>
      <c r="BL144" s="233" t="n"/>
      <c r="BM144" s="233" t="n"/>
    </row>
    <row r="145" ht="15.75" customHeight="1" s="349">
      <c r="A145" s="31" t="n"/>
      <c r="B145" s="307" t="n"/>
      <c r="C145" s="307" t="n"/>
      <c r="D145" s="146" t="n"/>
      <c r="E145" s="307" t="n"/>
      <c r="F145" s="307" t="n"/>
      <c r="G145" s="307" t="n"/>
      <c r="H145" s="307" t="n"/>
      <c r="I145" s="307" t="n"/>
      <c r="J145" s="307" t="n"/>
      <c r="K145" s="307" t="n"/>
      <c r="L145" s="307" t="n"/>
      <c r="M145" s="307" t="n"/>
      <c r="N145" s="307" t="n"/>
      <c r="O145" s="233" t="n"/>
      <c r="P145" s="233" t="n"/>
      <c r="Q145" s="233" t="n"/>
      <c r="R145" s="233" t="n"/>
      <c r="S145" s="233" t="n"/>
      <c r="T145" s="233" t="n"/>
      <c r="U145" s="233" t="n"/>
      <c r="V145" s="233" t="n"/>
      <c r="W145" s="233" t="n"/>
      <c r="X145" s="233" t="n"/>
      <c r="Y145" s="233" t="n"/>
      <c r="Z145" s="233" t="n"/>
      <c r="AA145" s="233" t="n"/>
      <c r="AB145" s="233" t="n"/>
      <c r="AC145" s="233" t="n"/>
      <c r="AD145" s="233" t="n"/>
      <c r="AE145" s="233" t="n"/>
      <c r="AF145" s="233" t="n"/>
      <c r="AG145" s="233" t="n"/>
      <c r="AH145" s="233" t="n"/>
      <c r="AI145" s="233" t="n"/>
      <c r="AJ145" s="233" t="n"/>
      <c r="AK145" s="233" t="n"/>
      <c r="AL145" s="233" t="n"/>
      <c r="AM145" s="233" t="n"/>
      <c r="AN145" s="233" t="n"/>
      <c r="AO145" s="233" t="n"/>
      <c r="AP145" s="233" t="n"/>
      <c r="AQ145" s="233" t="n"/>
      <c r="AR145" s="233" t="n"/>
      <c r="AS145" s="233" t="n"/>
      <c r="AT145" s="233" t="n"/>
      <c r="AU145" s="233" t="n"/>
      <c r="AV145" s="233" t="n"/>
      <c r="AW145" s="233" t="n"/>
      <c r="AX145" s="233" t="n"/>
      <c r="AY145" s="233" t="n"/>
      <c r="AZ145" s="233" t="n"/>
      <c r="BA145" s="233" t="n"/>
      <c r="BB145" s="233" t="n"/>
      <c r="BC145" s="233" t="n"/>
      <c r="BD145" s="233" t="n"/>
      <c r="BE145" s="233" t="n"/>
      <c r="BF145" s="233" t="n"/>
      <c r="BG145" s="233" t="n"/>
      <c r="BH145" s="233" t="n"/>
      <c r="BI145" s="233" t="n"/>
      <c r="BJ145" s="233" t="n"/>
      <c r="BK145" s="233" t="n"/>
      <c r="BL145" s="233" t="n"/>
      <c r="BM145" s="233" t="n"/>
    </row>
    <row r="146" ht="15.75" customHeight="1" s="349">
      <c r="A146" s="31" t="n"/>
      <c r="B146" s="307" t="n"/>
      <c r="C146" s="307" t="n"/>
      <c r="D146" s="146" t="n"/>
      <c r="E146" s="307" t="n"/>
      <c r="F146" s="307" t="n"/>
      <c r="G146" s="307" t="n"/>
      <c r="H146" s="307" t="n"/>
      <c r="I146" s="307" t="n"/>
      <c r="J146" s="307" t="n"/>
      <c r="K146" s="307" t="n"/>
      <c r="L146" s="307" t="n"/>
      <c r="M146" s="307" t="n"/>
      <c r="N146" s="307" t="n"/>
      <c r="O146" s="233" t="n"/>
      <c r="P146" s="233" t="n"/>
      <c r="Q146" s="233" t="n"/>
      <c r="R146" s="233" t="n"/>
      <c r="S146" s="233" t="n"/>
      <c r="T146" s="233" t="n"/>
      <c r="U146" s="233" t="n"/>
      <c r="V146" s="233" t="n"/>
      <c r="W146" s="233" t="n"/>
      <c r="X146" s="233" t="n"/>
      <c r="Y146" s="233" t="n"/>
      <c r="Z146" s="233" t="n"/>
      <c r="AA146" s="233" t="n"/>
      <c r="AB146" s="233" t="n"/>
      <c r="AC146" s="233" t="n"/>
      <c r="AD146" s="233" t="n"/>
      <c r="AE146" s="233" t="n"/>
      <c r="AF146" s="233" t="n"/>
      <c r="AG146" s="233" t="n"/>
      <c r="AH146" s="233" t="n"/>
      <c r="AI146" s="233" t="n"/>
      <c r="AJ146" s="233" t="n"/>
      <c r="AK146" s="233" t="n"/>
      <c r="AL146" s="233" t="n"/>
      <c r="AM146" s="233" t="n"/>
      <c r="AN146" s="233" t="n"/>
      <c r="AO146" s="233" t="n"/>
      <c r="AP146" s="233" t="n"/>
      <c r="AQ146" s="233" t="n"/>
      <c r="AR146" s="233" t="n"/>
      <c r="AS146" s="233" t="n"/>
      <c r="AT146" s="233" t="n"/>
      <c r="AU146" s="233" t="n"/>
      <c r="AV146" s="233" t="n"/>
      <c r="AW146" s="233" t="n"/>
      <c r="AX146" s="233" t="n"/>
      <c r="AY146" s="233" t="n"/>
      <c r="AZ146" s="233" t="n"/>
      <c r="BA146" s="233" t="n"/>
      <c r="BB146" s="233" t="n"/>
      <c r="BC146" s="233" t="n"/>
      <c r="BD146" s="233" t="n"/>
      <c r="BE146" s="233" t="n"/>
      <c r="BF146" s="233" t="n"/>
      <c r="BG146" s="233" t="n"/>
      <c r="BH146" s="233" t="n"/>
      <c r="BI146" s="233" t="n"/>
      <c r="BJ146" s="233" t="n"/>
      <c r="BK146" s="233" t="n"/>
      <c r="BL146" s="233" t="n"/>
      <c r="BM146" s="233" t="n"/>
    </row>
    <row r="147" ht="15.75" customHeight="1" s="349">
      <c r="A147" s="31" t="n"/>
      <c r="B147" s="307" t="n"/>
      <c r="C147" s="307" t="n"/>
      <c r="D147" s="146" t="n"/>
      <c r="E147" s="307" t="n"/>
      <c r="F147" s="307" t="n"/>
      <c r="G147" s="307" t="n"/>
      <c r="H147" s="307" t="n"/>
      <c r="I147" s="307" t="n"/>
      <c r="J147" s="307" t="n"/>
      <c r="K147" s="307" t="n"/>
      <c r="L147" s="307" t="n"/>
      <c r="M147" s="307" t="n"/>
      <c r="N147" s="307" t="n"/>
      <c r="O147" s="233" t="n"/>
      <c r="P147" s="233" t="n"/>
      <c r="Q147" s="233" t="n"/>
      <c r="R147" s="233" t="n"/>
      <c r="S147" s="233" t="n"/>
      <c r="T147" s="233" t="n"/>
      <c r="U147" s="233" t="n"/>
      <c r="V147" s="233" t="n"/>
      <c r="W147" s="233" t="n"/>
      <c r="X147" s="233" t="n"/>
      <c r="Y147" s="233" t="n"/>
      <c r="Z147" s="233" t="n"/>
      <c r="AA147" s="233" t="n"/>
      <c r="AB147" s="233" t="n"/>
      <c r="AC147" s="233" t="n"/>
      <c r="AD147" s="233" t="n"/>
      <c r="AE147" s="233" t="n"/>
      <c r="AF147" s="233" t="n"/>
      <c r="AG147" s="233" t="n"/>
      <c r="AH147" s="233" t="n"/>
      <c r="AI147" s="233" t="n"/>
      <c r="AJ147" s="233" t="n"/>
      <c r="AK147" s="233" t="n"/>
      <c r="AL147" s="233" t="n"/>
      <c r="AM147" s="233" t="n"/>
      <c r="AN147" s="233" t="n"/>
      <c r="AO147" s="233" t="n"/>
      <c r="AP147" s="233" t="n"/>
      <c r="AQ147" s="233" t="n"/>
      <c r="AR147" s="233" t="n"/>
      <c r="AS147" s="233" t="n"/>
      <c r="AT147" s="233" t="n"/>
      <c r="AU147" s="233" t="n"/>
      <c r="AV147" s="233" t="n"/>
      <c r="AW147" s="233" t="n"/>
      <c r="AX147" s="233" t="n"/>
      <c r="AY147" s="233" t="n"/>
      <c r="AZ147" s="233" t="n"/>
      <c r="BA147" s="233" t="n"/>
      <c r="BB147" s="233" t="n"/>
      <c r="BC147" s="233" t="n"/>
      <c r="BD147" s="233" t="n"/>
      <c r="BE147" s="233" t="n"/>
      <c r="BF147" s="233" t="n"/>
      <c r="BG147" s="233" t="n"/>
      <c r="BH147" s="233" t="n"/>
      <c r="BI147" s="233" t="n"/>
      <c r="BJ147" s="233" t="n"/>
      <c r="BK147" s="233" t="n"/>
      <c r="BL147" s="233" t="n"/>
      <c r="BM147" s="233" t="n"/>
    </row>
    <row r="148" ht="15.75" customHeight="1" s="349">
      <c r="A148" s="31" t="n"/>
      <c r="B148" s="307" t="n"/>
      <c r="C148" s="307" t="n"/>
      <c r="D148" s="146" t="n"/>
      <c r="E148" s="307" t="n"/>
      <c r="F148" s="307" t="n"/>
      <c r="G148" s="307" t="n"/>
      <c r="H148" s="307" t="n"/>
      <c r="I148" s="307" t="n"/>
      <c r="J148" s="307" t="n"/>
      <c r="K148" s="307" t="n"/>
      <c r="L148" s="307" t="n"/>
      <c r="M148" s="307" t="n"/>
      <c r="N148" s="307" t="n"/>
      <c r="O148" s="233" t="n"/>
      <c r="P148" s="233" t="n"/>
      <c r="Q148" s="233" t="n"/>
      <c r="R148" s="233" t="n"/>
      <c r="S148" s="233" t="n"/>
      <c r="T148" s="233" t="n"/>
      <c r="U148" s="233" t="n"/>
      <c r="V148" s="233" t="n"/>
      <c r="W148" s="233" t="n"/>
      <c r="X148" s="233" t="n"/>
      <c r="Y148" s="233" t="n"/>
      <c r="Z148" s="233" t="n"/>
      <c r="AA148" s="233" t="n"/>
      <c r="AB148" s="233" t="n"/>
      <c r="AC148" s="233" t="n"/>
      <c r="AD148" s="233" t="n"/>
      <c r="AE148" s="233" t="n"/>
      <c r="AF148" s="233" t="n"/>
      <c r="AG148" s="233" t="n"/>
      <c r="AH148" s="233" t="n"/>
      <c r="AI148" s="233" t="n"/>
      <c r="AJ148" s="233" t="n"/>
      <c r="AK148" s="233" t="n"/>
      <c r="AL148" s="233" t="n"/>
      <c r="AM148" s="233" t="n"/>
      <c r="AN148" s="233" t="n"/>
      <c r="AO148" s="233" t="n"/>
      <c r="AP148" s="233" t="n"/>
      <c r="AQ148" s="233" t="n"/>
      <c r="AR148" s="233" t="n"/>
      <c r="AS148" s="233" t="n"/>
      <c r="AT148" s="233" t="n"/>
      <c r="AU148" s="233" t="n"/>
      <c r="AV148" s="233" t="n"/>
      <c r="AW148" s="233" t="n"/>
      <c r="AX148" s="233" t="n"/>
      <c r="AY148" s="233" t="n"/>
      <c r="AZ148" s="233" t="n"/>
      <c r="BA148" s="233" t="n"/>
      <c r="BB148" s="233" t="n"/>
      <c r="BC148" s="233" t="n"/>
      <c r="BD148" s="233" t="n"/>
      <c r="BE148" s="233" t="n"/>
      <c r="BF148" s="233" t="n"/>
      <c r="BG148" s="233" t="n"/>
      <c r="BH148" s="233" t="n"/>
      <c r="BI148" s="233" t="n"/>
      <c r="BJ148" s="233" t="n"/>
      <c r="BK148" s="233" t="n"/>
      <c r="BL148" s="233" t="n"/>
      <c r="BM148" s="233" t="n"/>
    </row>
    <row r="149" ht="15.75" customHeight="1" s="349">
      <c r="A149" s="31" t="n"/>
      <c r="B149" s="307" t="n"/>
      <c r="C149" s="307" t="n"/>
      <c r="D149" s="146" t="n"/>
      <c r="E149" s="307" t="n"/>
      <c r="F149" s="307" t="n"/>
      <c r="G149" s="307" t="n"/>
      <c r="H149" s="307" t="n"/>
      <c r="I149" s="307" t="n"/>
      <c r="J149" s="307" t="n"/>
      <c r="K149" s="307" t="n"/>
      <c r="L149" s="307" t="n"/>
      <c r="M149" s="307" t="n"/>
      <c r="N149" s="307" t="n"/>
      <c r="O149" s="233" t="n"/>
      <c r="P149" s="233" t="n"/>
      <c r="Q149" s="233" t="n"/>
      <c r="R149" s="233" t="n"/>
      <c r="S149" s="233" t="n"/>
      <c r="T149" s="233" t="n"/>
      <c r="U149" s="233" t="n"/>
      <c r="V149" s="233" t="n"/>
      <c r="W149" s="233" t="n"/>
      <c r="X149" s="233" t="n"/>
      <c r="Y149" s="233" t="n"/>
      <c r="Z149" s="233" t="n"/>
      <c r="AA149" s="233" t="n"/>
      <c r="AB149" s="233" t="n"/>
      <c r="AC149" s="233" t="n"/>
      <c r="AD149" s="233" t="n"/>
      <c r="AE149" s="233" t="n"/>
      <c r="AF149" s="233" t="n"/>
      <c r="AG149" s="233" t="n"/>
      <c r="AH149" s="233" t="n"/>
      <c r="AI149" s="233" t="n"/>
      <c r="AJ149" s="233" t="n"/>
      <c r="AK149" s="233" t="n"/>
      <c r="AL149" s="233" t="n"/>
      <c r="AM149" s="233" t="n"/>
      <c r="AN149" s="233" t="n"/>
      <c r="AO149" s="233" t="n"/>
      <c r="AP149" s="233" t="n"/>
      <c r="AQ149" s="233" t="n"/>
      <c r="AR149" s="233" t="n"/>
      <c r="AS149" s="233" t="n"/>
      <c r="AT149" s="233" t="n"/>
      <c r="AU149" s="233" t="n"/>
      <c r="AV149" s="233" t="n"/>
      <c r="AW149" s="233" t="n"/>
      <c r="AX149" s="233" t="n"/>
      <c r="AY149" s="233" t="n"/>
      <c r="AZ149" s="233" t="n"/>
      <c r="BA149" s="233" t="n"/>
      <c r="BB149" s="233" t="n"/>
      <c r="BC149" s="233" t="n"/>
      <c r="BD149" s="233" t="n"/>
      <c r="BE149" s="233" t="n"/>
      <c r="BF149" s="233" t="n"/>
      <c r="BG149" s="233" t="n"/>
      <c r="BH149" s="233" t="n"/>
      <c r="BI149" s="233" t="n"/>
      <c r="BJ149" s="233" t="n"/>
      <c r="BK149" s="233" t="n"/>
      <c r="BL149" s="233" t="n"/>
      <c r="BM149" s="233" t="n"/>
    </row>
    <row r="150" ht="15.75" customHeight="1" s="349">
      <c r="A150" s="31" t="n"/>
      <c r="B150" s="307" t="n"/>
      <c r="C150" s="307" t="n"/>
      <c r="D150" s="146" t="n"/>
      <c r="E150" s="307" t="n"/>
      <c r="F150" s="307" t="n"/>
      <c r="G150" s="307" t="n"/>
      <c r="H150" s="307" t="n"/>
      <c r="I150" s="307" t="n"/>
      <c r="J150" s="307" t="n"/>
      <c r="K150" s="307" t="n"/>
      <c r="L150" s="307" t="n"/>
      <c r="M150" s="307" t="n"/>
      <c r="N150" s="307" t="n"/>
      <c r="O150" s="233" t="n"/>
      <c r="P150" s="233" t="n"/>
      <c r="Q150" s="233" t="n"/>
      <c r="R150" s="233" t="n"/>
      <c r="S150" s="233" t="n"/>
      <c r="T150" s="233" t="n"/>
      <c r="U150" s="233" t="n"/>
      <c r="V150" s="233" t="n"/>
      <c r="W150" s="233" t="n"/>
      <c r="X150" s="233" t="n"/>
      <c r="Y150" s="233" t="n"/>
      <c r="Z150" s="233" t="n"/>
      <c r="AA150" s="233" t="n"/>
      <c r="AB150" s="233" t="n"/>
      <c r="AC150" s="233" t="n"/>
      <c r="AD150" s="233" t="n"/>
      <c r="AE150" s="233" t="n"/>
      <c r="AF150" s="233" t="n"/>
      <c r="AG150" s="233" t="n"/>
      <c r="AH150" s="233" t="n"/>
      <c r="AI150" s="233" t="n"/>
      <c r="AJ150" s="233" t="n"/>
      <c r="AK150" s="233" t="n"/>
      <c r="AL150" s="233" t="n"/>
      <c r="AM150" s="233" t="n"/>
      <c r="AN150" s="233" t="n"/>
      <c r="AO150" s="233" t="n"/>
      <c r="AP150" s="233" t="n"/>
      <c r="AQ150" s="233" t="n"/>
      <c r="AR150" s="233" t="n"/>
      <c r="AS150" s="233" t="n"/>
      <c r="AT150" s="233" t="n"/>
      <c r="AU150" s="233" t="n"/>
      <c r="AV150" s="233" t="n"/>
      <c r="AW150" s="233" t="n"/>
      <c r="AX150" s="233" t="n"/>
      <c r="AY150" s="233" t="n"/>
      <c r="AZ150" s="233" t="n"/>
      <c r="BA150" s="233" t="n"/>
      <c r="BB150" s="233" t="n"/>
      <c r="BC150" s="233" t="n"/>
      <c r="BD150" s="233" t="n"/>
      <c r="BE150" s="233" t="n"/>
      <c r="BF150" s="233" t="n"/>
      <c r="BG150" s="233" t="n"/>
      <c r="BH150" s="233" t="n"/>
      <c r="BI150" s="233" t="n"/>
      <c r="BJ150" s="233" t="n"/>
      <c r="BK150" s="233" t="n"/>
      <c r="BL150" s="233" t="n"/>
      <c r="BM150" s="233" t="n"/>
    </row>
    <row r="151" ht="15.75" customHeight="1" s="349">
      <c r="A151" s="31" t="n"/>
      <c r="B151" s="307" t="n"/>
      <c r="C151" s="307" t="n"/>
      <c r="D151" s="146" t="n"/>
      <c r="E151" s="307" t="n"/>
      <c r="F151" s="307" t="n"/>
      <c r="G151" s="307" t="n"/>
      <c r="H151" s="307" t="n"/>
      <c r="I151" s="307" t="n"/>
      <c r="J151" s="307" t="n"/>
      <c r="K151" s="307" t="n"/>
      <c r="L151" s="307" t="n"/>
      <c r="M151" s="307" t="n"/>
      <c r="N151" s="307" t="n"/>
      <c r="O151" s="233" t="n"/>
      <c r="P151" s="233" t="n"/>
      <c r="Q151" s="233" t="n"/>
      <c r="R151" s="233" t="n"/>
      <c r="S151" s="233" t="n"/>
      <c r="T151" s="233" t="n"/>
      <c r="U151" s="233" t="n"/>
      <c r="V151" s="233" t="n"/>
      <c r="W151" s="233" t="n"/>
      <c r="X151" s="233" t="n"/>
      <c r="Y151" s="233" t="n"/>
      <c r="Z151" s="233" t="n"/>
      <c r="AA151" s="233" t="n"/>
      <c r="AB151" s="233" t="n"/>
      <c r="AC151" s="233" t="n"/>
      <c r="AD151" s="233" t="n"/>
      <c r="AE151" s="233" t="n"/>
      <c r="AF151" s="233" t="n"/>
      <c r="AG151" s="233" t="n"/>
      <c r="AH151" s="233" t="n"/>
      <c r="AI151" s="233" t="n"/>
      <c r="AJ151" s="233" t="n"/>
      <c r="AK151" s="233" t="n"/>
      <c r="AL151" s="233" t="n"/>
      <c r="AM151" s="233" t="n"/>
      <c r="AN151" s="233" t="n"/>
      <c r="AO151" s="233" t="n"/>
      <c r="AP151" s="233" t="n"/>
      <c r="AQ151" s="233" t="n"/>
      <c r="AR151" s="233" t="n"/>
      <c r="AS151" s="233" t="n"/>
      <c r="AT151" s="233" t="n"/>
      <c r="AU151" s="233" t="n"/>
      <c r="AV151" s="233" t="n"/>
      <c r="AW151" s="233" t="n"/>
      <c r="AX151" s="233" t="n"/>
      <c r="AY151" s="233" t="n"/>
      <c r="AZ151" s="233" t="n"/>
      <c r="BA151" s="233" t="n"/>
      <c r="BB151" s="233" t="n"/>
      <c r="BC151" s="233" t="n"/>
      <c r="BD151" s="233" t="n"/>
      <c r="BE151" s="233" t="n"/>
      <c r="BF151" s="233" t="n"/>
      <c r="BG151" s="233" t="n"/>
      <c r="BH151" s="233" t="n"/>
      <c r="BI151" s="233" t="n"/>
      <c r="BJ151" s="233" t="n"/>
      <c r="BK151" s="233" t="n"/>
      <c r="BL151" s="233" t="n"/>
      <c r="BM151" s="233" t="n"/>
    </row>
    <row r="152" ht="15.75" customHeight="1" s="349">
      <c r="A152" s="31" t="n"/>
      <c r="B152" s="307" t="n"/>
      <c r="C152" s="307" t="n"/>
      <c r="D152" s="146" t="n"/>
      <c r="E152" s="307" t="n"/>
      <c r="F152" s="307" t="n"/>
      <c r="G152" s="307" t="n"/>
      <c r="H152" s="307" t="n"/>
      <c r="I152" s="307" t="n"/>
      <c r="J152" s="307" t="n"/>
      <c r="K152" s="307" t="n"/>
      <c r="L152" s="307" t="n"/>
      <c r="M152" s="307" t="n"/>
      <c r="N152" s="307" t="n"/>
      <c r="O152" s="233" t="n"/>
      <c r="P152" s="233" t="n"/>
      <c r="Q152" s="233" t="n"/>
      <c r="R152" s="233" t="n"/>
      <c r="S152" s="233" t="n"/>
      <c r="T152" s="233" t="n"/>
      <c r="U152" s="233" t="n"/>
      <c r="V152" s="233" t="n"/>
      <c r="W152" s="233" t="n"/>
      <c r="X152" s="233" t="n"/>
      <c r="Y152" s="233" t="n"/>
      <c r="Z152" s="233" t="n"/>
      <c r="AA152" s="233" t="n"/>
      <c r="AB152" s="233" t="n"/>
      <c r="AC152" s="233" t="n"/>
      <c r="AD152" s="233" t="n"/>
      <c r="AE152" s="233" t="n"/>
      <c r="AF152" s="233" t="n"/>
      <c r="AG152" s="233" t="n"/>
      <c r="AH152" s="233" t="n"/>
      <c r="AI152" s="233" t="n"/>
      <c r="AJ152" s="233" t="n"/>
      <c r="AK152" s="233" t="n"/>
      <c r="AL152" s="233" t="n"/>
      <c r="AM152" s="233" t="n"/>
      <c r="AN152" s="233" t="n"/>
      <c r="AO152" s="233" t="n"/>
      <c r="AP152" s="233" t="n"/>
      <c r="AQ152" s="233" t="n"/>
      <c r="AR152" s="233" t="n"/>
      <c r="AS152" s="233" t="n"/>
      <c r="AT152" s="233" t="n"/>
      <c r="AU152" s="233" t="n"/>
      <c r="AV152" s="233" t="n"/>
      <c r="AW152" s="233" t="n"/>
      <c r="AX152" s="233" t="n"/>
      <c r="AY152" s="233" t="n"/>
      <c r="AZ152" s="233" t="n"/>
      <c r="BA152" s="233" t="n"/>
      <c r="BB152" s="233" t="n"/>
      <c r="BC152" s="233" t="n"/>
      <c r="BD152" s="233" t="n"/>
      <c r="BE152" s="233" t="n"/>
      <c r="BF152" s="233" t="n"/>
      <c r="BG152" s="233" t="n"/>
      <c r="BH152" s="233" t="n"/>
      <c r="BI152" s="233" t="n"/>
      <c r="BJ152" s="233" t="n"/>
      <c r="BK152" s="233" t="n"/>
      <c r="BL152" s="233" t="n"/>
      <c r="BM152" s="233" t="n"/>
    </row>
    <row r="153" ht="15.75" customHeight="1" s="349">
      <c r="A153" s="31" t="n"/>
      <c r="B153" s="307" t="n"/>
      <c r="C153" s="307" t="n"/>
      <c r="D153" s="146" t="n"/>
      <c r="E153" s="307" t="n"/>
      <c r="F153" s="307" t="n"/>
      <c r="G153" s="307" t="n"/>
      <c r="H153" s="307" t="n"/>
      <c r="I153" s="307" t="n"/>
      <c r="J153" s="307" t="n"/>
      <c r="K153" s="307" t="n"/>
      <c r="L153" s="307" t="n"/>
      <c r="M153" s="307" t="n"/>
      <c r="N153" s="307" t="n"/>
      <c r="O153" s="233" t="n"/>
      <c r="P153" s="233" t="n"/>
      <c r="Q153" s="233" t="n"/>
      <c r="R153" s="233" t="n"/>
      <c r="S153" s="233" t="n"/>
      <c r="T153" s="233" t="n"/>
      <c r="U153" s="233" t="n"/>
      <c r="V153" s="233" t="n"/>
      <c r="W153" s="233" t="n"/>
      <c r="X153" s="233" t="n"/>
      <c r="Y153" s="233" t="n"/>
      <c r="Z153" s="233" t="n"/>
      <c r="AA153" s="233" t="n"/>
      <c r="AB153" s="233" t="n"/>
      <c r="AC153" s="233" t="n"/>
      <c r="AD153" s="233" t="n"/>
      <c r="AE153" s="233" t="n"/>
      <c r="AF153" s="233" t="n"/>
      <c r="AG153" s="233" t="n"/>
      <c r="AH153" s="233" t="n"/>
      <c r="AI153" s="233" t="n"/>
      <c r="AJ153" s="233" t="n"/>
      <c r="AK153" s="233" t="n"/>
      <c r="AL153" s="233" t="n"/>
      <c r="AM153" s="233" t="n"/>
      <c r="AN153" s="233" t="n"/>
      <c r="AO153" s="233" t="n"/>
      <c r="AP153" s="233" t="n"/>
      <c r="AQ153" s="233" t="n"/>
      <c r="AR153" s="233" t="n"/>
      <c r="AS153" s="233" t="n"/>
      <c r="AT153" s="233" t="n"/>
      <c r="AU153" s="233" t="n"/>
      <c r="AV153" s="233" t="n"/>
      <c r="AW153" s="233" t="n"/>
      <c r="AX153" s="233" t="n"/>
      <c r="AY153" s="233" t="n"/>
      <c r="AZ153" s="233" t="n"/>
      <c r="BA153" s="233" t="n"/>
      <c r="BB153" s="233" t="n"/>
      <c r="BC153" s="233" t="n"/>
      <c r="BD153" s="233" t="n"/>
      <c r="BE153" s="233" t="n"/>
      <c r="BF153" s="233" t="n"/>
      <c r="BG153" s="233" t="n"/>
      <c r="BH153" s="233" t="n"/>
      <c r="BI153" s="233" t="n"/>
      <c r="BJ153" s="233" t="n"/>
      <c r="BK153" s="233" t="n"/>
      <c r="BL153" s="233" t="n"/>
      <c r="BM153" s="233" t="n"/>
    </row>
    <row r="154" ht="15.75" customHeight="1" s="349">
      <c r="A154" s="31" t="n"/>
      <c r="B154" s="307" t="n"/>
      <c r="C154" s="307" t="n"/>
      <c r="D154" s="146" t="n"/>
      <c r="E154" s="307" t="n"/>
      <c r="F154" s="307" t="n"/>
      <c r="G154" s="307" t="n"/>
      <c r="H154" s="307" t="n"/>
      <c r="I154" s="307" t="n"/>
      <c r="J154" s="307" t="n"/>
      <c r="K154" s="307" t="n"/>
      <c r="L154" s="307" t="n"/>
      <c r="M154" s="307" t="n"/>
      <c r="N154" s="307" t="n"/>
      <c r="O154" s="233" t="n"/>
      <c r="P154" s="233" t="n"/>
      <c r="Q154" s="233" t="n"/>
      <c r="R154" s="233" t="n"/>
      <c r="S154" s="233" t="n"/>
      <c r="T154" s="233" t="n"/>
      <c r="U154" s="233" t="n"/>
      <c r="V154" s="233" t="n"/>
      <c r="W154" s="233" t="n"/>
      <c r="X154" s="233" t="n"/>
      <c r="Y154" s="233" t="n"/>
      <c r="Z154" s="233" t="n"/>
      <c r="AA154" s="233" t="n"/>
      <c r="AB154" s="233" t="n"/>
      <c r="AC154" s="233" t="n"/>
      <c r="AD154" s="233" t="n"/>
      <c r="AE154" s="233" t="n"/>
      <c r="AF154" s="233" t="n"/>
      <c r="AG154" s="233" t="n"/>
      <c r="AH154" s="233" t="n"/>
      <c r="AI154" s="233" t="n"/>
      <c r="AJ154" s="233" t="n"/>
      <c r="AK154" s="233" t="n"/>
      <c r="AL154" s="233" t="n"/>
      <c r="AM154" s="233" t="n"/>
      <c r="AN154" s="233" t="n"/>
      <c r="AO154" s="233" t="n"/>
      <c r="AP154" s="233" t="n"/>
      <c r="AQ154" s="233" t="n"/>
      <c r="AR154" s="233" t="n"/>
      <c r="AS154" s="233" t="n"/>
      <c r="AT154" s="233" t="n"/>
      <c r="AU154" s="233" t="n"/>
      <c r="AV154" s="233" t="n"/>
      <c r="AW154" s="233" t="n"/>
      <c r="AX154" s="233" t="n"/>
      <c r="AY154" s="233" t="n"/>
      <c r="AZ154" s="233" t="n"/>
      <c r="BA154" s="233" t="n"/>
      <c r="BB154" s="233" t="n"/>
      <c r="BC154" s="233" t="n"/>
      <c r="BD154" s="233" t="n"/>
      <c r="BE154" s="233" t="n"/>
      <c r="BF154" s="233" t="n"/>
      <c r="BG154" s="233" t="n"/>
      <c r="BH154" s="233" t="n"/>
      <c r="BI154" s="233" t="n"/>
      <c r="BJ154" s="233" t="n"/>
      <c r="BK154" s="233" t="n"/>
      <c r="BL154" s="233" t="n"/>
      <c r="BM154" s="233" t="n"/>
    </row>
    <row r="155" ht="15.75" customHeight="1" s="349">
      <c r="A155" s="31" t="n"/>
      <c r="B155" s="307" t="n"/>
      <c r="C155" s="307" t="n"/>
      <c r="D155" s="146" t="n"/>
      <c r="E155" s="307" t="n"/>
      <c r="F155" s="307" t="n"/>
      <c r="G155" s="307" t="n"/>
      <c r="H155" s="307" t="n"/>
      <c r="I155" s="307" t="n"/>
      <c r="J155" s="307" t="n"/>
      <c r="K155" s="307" t="n"/>
      <c r="L155" s="307" t="n"/>
      <c r="M155" s="307" t="n"/>
      <c r="N155" s="307" t="n"/>
      <c r="O155" s="233" t="n"/>
      <c r="P155" s="233" t="n"/>
      <c r="Q155" s="233" t="n"/>
      <c r="R155" s="233" t="n"/>
      <c r="S155" s="233" t="n"/>
      <c r="T155" s="233" t="n"/>
      <c r="U155" s="233" t="n"/>
      <c r="V155" s="233" t="n"/>
      <c r="W155" s="233" t="n"/>
      <c r="X155" s="233" t="n"/>
      <c r="Y155" s="233" t="n"/>
      <c r="Z155" s="233" t="n"/>
      <c r="AA155" s="233" t="n"/>
      <c r="AB155" s="233" t="n"/>
      <c r="AC155" s="233" t="n"/>
      <c r="AD155" s="233" t="n"/>
      <c r="AE155" s="233" t="n"/>
      <c r="AF155" s="233" t="n"/>
      <c r="AG155" s="233" t="n"/>
      <c r="AH155" s="233" t="n"/>
      <c r="AI155" s="233" t="n"/>
      <c r="AJ155" s="233" t="n"/>
      <c r="AK155" s="233" t="n"/>
      <c r="AL155" s="233" t="n"/>
      <c r="AM155" s="233" t="n"/>
      <c r="AN155" s="233" t="n"/>
      <c r="AO155" s="233" t="n"/>
      <c r="AP155" s="233" t="n"/>
      <c r="AQ155" s="233" t="n"/>
      <c r="AR155" s="233" t="n"/>
      <c r="AS155" s="233" t="n"/>
      <c r="AT155" s="233" t="n"/>
      <c r="AU155" s="233" t="n"/>
      <c r="AV155" s="233" t="n"/>
      <c r="AW155" s="233" t="n"/>
      <c r="AX155" s="233" t="n"/>
      <c r="AY155" s="233" t="n"/>
      <c r="AZ155" s="233" t="n"/>
      <c r="BA155" s="233" t="n"/>
      <c r="BB155" s="233" t="n"/>
      <c r="BC155" s="233" t="n"/>
      <c r="BD155" s="233" t="n"/>
      <c r="BE155" s="233" t="n"/>
      <c r="BF155" s="233" t="n"/>
      <c r="BG155" s="233" t="n"/>
      <c r="BH155" s="233" t="n"/>
      <c r="BI155" s="233" t="n"/>
      <c r="BJ155" s="233" t="n"/>
      <c r="BK155" s="233" t="n"/>
      <c r="BL155" s="233" t="n"/>
      <c r="BM155" s="233" t="n"/>
    </row>
    <row r="156" ht="15.75" customHeight="1" s="349">
      <c r="A156" s="31" t="n"/>
      <c r="B156" s="307" t="n"/>
      <c r="C156" s="307" t="n"/>
      <c r="D156" s="146" t="n"/>
      <c r="E156" s="307" t="n"/>
      <c r="F156" s="307" t="n"/>
      <c r="G156" s="307" t="n"/>
      <c r="H156" s="307" t="n"/>
      <c r="I156" s="307" t="n"/>
      <c r="J156" s="307" t="n"/>
      <c r="K156" s="307" t="n"/>
      <c r="L156" s="307" t="n"/>
      <c r="M156" s="307" t="n"/>
      <c r="N156" s="307" t="n"/>
      <c r="O156" s="233" t="n"/>
      <c r="P156" s="233" t="n"/>
      <c r="Q156" s="233" t="n"/>
      <c r="R156" s="233" t="n"/>
      <c r="S156" s="233" t="n"/>
      <c r="T156" s="233" t="n"/>
      <c r="U156" s="233" t="n"/>
      <c r="V156" s="233" t="n"/>
      <c r="W156" s="233" t="n"/>
      <c r="X156" s="233" t="n"/>
      <c r="Y156" s="233" t="n"/>
      <c r="Z156" s="233" t="n"/>
      <c r="AA156" s="233" t="n"/>
      <c r="AB156" s="233" t="n"/>
      <c r="AC156" s="233" t="n"/>
      <c r="AD156" s="233" t="n"/>
      <c r="AE156" s="233" t="n"/>
      <c r="AF156" s="233" t="n"/>
      <c r="AG156" s="233" t="n"/>
      <c r="AH156" s="233" t="n"/>
      <c r="AI156" s="233" t="n"/>
      <c r="AJ156" s="233" t="n"/>
      <c r="AK156" s="233" t="n"/>
      <c r="AL156" s="233" t="n"/>
      <c r="AM156" s="233" t="n"/>
      <c r="AN156" s="233" t="n"/>
      <c r="AO156" s="233" t="n"/>
      <c r="AP156" s="233" t="n"/>
      <c r="AQ156" s="233" t="n"/>
      <c r="AR156" s="233" t="n"/>
      <c r="AS156" s="233" t="n"/>
      <c r="AT156" s="233" t="n"/>
      <c r="AU156" s="233" t="n"/>
      <c r="AV156" s="233" t="n"/>
      <c r="AW156" s="233" t="n"/>
      <c r="AX156" s="233" t="n"/>
      <c r="AY156" s="233" t="n"/>
      <c r="AZ156" s="233" t="n"/>
      <c r="BA156" s="233" t="n"/>
      <c r="BB156" s="233" t="n"/>
      <c r="BC156" s="233" t="n"/>
      <c r="BD156" s="233" t="n"/>
      <c r="BE156" s="233" t="n"/>
      <c r="BF156" s="233" t="n"/>
      <c r="BG156" s="233" t="n"/>
      <c r="BH156" s="233" t="n"/>
      <c r="BI156" s="233" t="n"/>
      <c r="BJ156" s="233" t="n"/>
      <c r="BK156" s="233" t="n"/>
      <c r="BL156" s="233" t="n"/>
      <c r="BM156" s="233" t="n"/>
    </row>
    <row r="157" ht="15.75" customHeight="1" s="349">
      <c r="A157" s="31" t="n"/>
      <c r="B157" s="307" t="n"/>
      <c r="C157" s="307" t="n"/>
      <c r="D157" s="146" t="n"/>
      <c r="E157" s="307" t="n"/>
      <c r="F157" s="307" t="n"/>
      <c r="G157" s="307" t="n"/>
      <c r="H157" s="307" t="n"/>
      <c r="I157" s="307" t="n"/>
      <c r="J157" s="307" t="n"/>
      <c r="K157" s="307" t="n"/>
      <c r="L157" s="307" t="n"/>
      <c r="M157" s="307" t="n"/>
      <c r="N157" s="307" t="n"/>
      <c r="O157" s="233" t="n"/>
      <c r="P157" s="233" t="n"/>
      <c r="Q157" s="233" t="n"/>
      <c r="R157" s="233" t="n"/>
      <c r="S157" s="233" t="n"/>
      <c r="T157" s="233" t="n"/>
      <c r="U157" s="233" t="n"/>
      <c r="V157" s="233" t="n"/>
      <c r="W157" s="233" t="n"/>
      <c r="X157" s="233" t="n"/>
      <c r="Y157" s="233" t="n"/>
      <c r="Z157" s="233" t="n"/>
      <c r="AA157" s="233" t="n"/>
      <c r="AB157" s="233" t="n"/>
      <c r="AC157" s="233" t="n"/>
      <c r="AD157" s="233" t="n"/>
      <c r="AE157" s="233" t="n"/>
      <c r="AF157" s="233" t="n"/>
      <c r="AG157" s="233" t="n"/>
      <c r="AH157" s="233" t="n"/>
      <c r="AI157" s="233" t="n"/>
      <c r="AJ157" s="233" t="n"/>
      <c r="AK157" s="233" t="n"/>
      <c r="AL157" s="233" t="n"/>
      <c r="AM157" s="233" t="n"/>
      <c r="AN157" s="233" t="n"/>
      <c r="AO157" s="233" t="n"/>
      <c r="AP157" s="233" t="n"/>
      <c r="AQ157" s="233" t="n"/>
      <c r="AR157" s="233" t="n"/>
      <c r="AS157" s="233" t="n"/>
      <c r="AT157" s="233" t="n"/>
      <c r="AU157" s="233" t="n"/>
      <c r="AV157" s="233" t="n"/>
      <c r="AW157" s="233" t="n"/>
      <c r="AX157" s="233" t="n"/>
      <c r="AY157" s="233" t="n"/>
      <c r="AZ157" s="233" t="n"/>
      <c r="BA157" s="233" t="n"/>
      <c r="BB157" s="233" t="n"/>
      <c r="BC157" s="233" t="n"/>
      <c r="BD157" s="233" t="n"/>
      <c r="BE157" s="233" t="n"/>
      <c r="BF157" s="233" t="n"/>
      <c r="BG157" s="233" t="n"/>
      <c r="BH157" s="233" t="n"/>
      <c r="BI157" s="233" t="n"/>
      <c r="BJ157" s="233" t="n"/>
      <c r="BK157" s="233" t="n"/>
      <c r="BL157" s="233" t="n"/>
      <c r="BM157" s="233" t="n"/>
    </row>
    <row r="158" ht="15.75" customHeight="1" s="349">
      <c r="A158" s="31" t="n"/>
      <c r="B158" s="307" t="n"/>
      <c r="C158" s="307" t="n"/>
      <c r="D158" s="146" t="n"/>
      <c r="E158" s="307" t="n"/>
      <c r="F158" s="307" t="n"/>
      <c r="G158" s="307" t="n"/>
      <c r="H158" s="307" t="n"/>
      <c r="I158" s="307" t="n"/>
      <c r="J158" s="307" t="n"/>
      <c r="K158" s="307" t="n"/>
      <c r="L158" s="307" t="n"/>
      <c r="M158" s="307" t="n"/>
      <c r="N158" s="307" t="n"/>
      <c r="O158" s="233" t="n"/>
      <c r="P158" s="233" t="n"/>
      <c r="Q158" s="233" t="n"/>
      <c r="R158" s="233" t="n"/>
      <c r="S158" s="233" t="n"/>
      <c r="T158" s="233" t="n"/>
      <c r="U158" s="233" t="n"/>
      <c r="V158" s="233" t="n"/>
      <c r="W158" s="233" t="n"/>
      <c r="X158" s="233" t="n"/>
      <c r="Y158" s="233" t="n"/>
      <c r="Z158" s="233" t="n"/>
      <c r="AA158" s="233" t="n"/>
      <c r="AB158" s="233" t="n"/>
      <c r="AC158" s="233" t="n"/>
      <c r="AD158" s="233" t="n"/>
      <c r="AE158" s="233" t="n"/>
      <c r="AF158" s="233" t="n"/>
      <c r="AG158" s="233" t="n"/>
      <c r="AH158" s="233" t="n"/>
      <c r="AI158" s="233" t="n"/>
      <c r="AJ158" s="233" t="n"/>
      <c r="AK158" s="233" t="n"/>
      <c r="AL158" s="233" t="n"/>
      <c r="AM158" s="233" t="n"/>
      <c r="AN158" s="233" t="n"/>
      <c r="AO158" s="233" t="n"/>
      <c r="AP158" s="233" t="n"/>
      <c r="AQ158" s="233" t="n"/>
      <c r="AR158" s="233" t="n"/>
      <c r="AS158" s="233" t="n"/>
      <c r="AT158" s="233" t="n"/>
      <c r="AU158" s="233" t="n"/>
      <c r="AV158" s="233" t="n"/>
      <c r="AW158" s="233" t="n"/>
      <c r="AX158" s="233" t="n"/>
      <c r="AY158" s="233" t="n"/>
      <c r="AZ158" s="233" t="n"/>
      <c r="BA158" s="233" t="n"/>
      <c r="BB158" s="233" t="n"/>
      <c r="BC158" s="233" t="n"/>
      <c r="BD158" s="233" t="n"/>
      <c r="BE158" s="233" t="n"/>
      <c r="BF158" s="233" t="n"/>
      <c r="BG158" s="233" t="n"/>
      <c r="BH158" s="233" t="n"/>
      <c r="BI158" s="233" t="n"/>
      <c r="BJ158" s="233" t="n"/>
      <c r="BK158" s="233" t="n"/>
      <c r="BL158" s="233" t="n"/>
      <c r="BM158" s="233" t="n"/>
    </row>
    <row r="159" ht="15.75" customHeight="1" s="349">
      <c r="A159" s="31" t="n"/>
      <c r="B159" s="307" t="n"/>
      <c r="C159" s="307" t="n"/>
      <c r="D159" s="146" t="n"/>
      <c r="E159" s="307" t="n"/>
      <c r="F159" s="307" t="n"/>
      <c r="G159" s="307" t="n"/>
      <c r="H159" s="307" t="n"/>
      <c r="I159" s="307" t="n"/>
      <c r="J159" s="307" t="n"/>
      <c r="K159" s="307" t="n"/>
      <c r="L159" s="307" t="n"/>
      <c r="M159" s="307" t="n"/>
      <c r="N159" s="307" t="n"/>
      <c r="O159" s="233" t="n"/>
      <c r="P159" s="233" t="n"/>
      <c r="Q159" s="233" t="n"/>
      <c r="R159" s="233" t="n"/>
      <c r="S159" s="233" t="n"/>
      <c r="T159" s="233" t="n"/>
      <c r="U159" s="233" t="n"/>
      <c r="V159" s="233" t="n"/>
      <c r="W159" s="233" t="n"/>
      <c r="X159" s="233" t="n"/>
      <c r="Y159" s="233" t="n"/>
      <c r="Z159" s="233" t="n"/>
      <c r="AA159" s="233" t="n"/>
      <c r="AB159" s="233" t="n"/>
      <c r="AC159" s="233" t="n"/>
      <c r="AD159" s="233" t="n"/>
      <c r="AE159" s="233" t="n"/>
      <c r="AF159" s="233" t="n"/>
      <c r="AG159" s="233" t="n"/>
      <c r="AH159" s="233" t="n"/>
      <c r="AI159" s="233" t="n"/>
      <c r="AJ159" s="233" t="n"/>
      <c r="AK159" s="233" t="n"/>
      <c r="AL159" s="233" t="n"/>
      <c r="AM159" s="233" t="n"/>
      <c r="AN159" s="233" t="n"/>
      <c r="AO159" s="233" t="n"/>
      <c r="AP159" s="233" t="n"/>
      <c r="AQ159" s="233" t="n"/>
      <c r="AR159" s="233" t="n"/>
      <c r="AS159" s="233" t="n"/>
      <c r="AT159" s="233" t="n"/>
      <c r="AU159" s="233" t="n"/>
      <c r="AV159" s="233" t="n"/>
      <c r="AW159" s="233" t="n"/>
      <c r="AX159" s="233" t="n"/>
      <c r="AY159" s="233" t="n"/>
      <c r="AZ159" s="233" t="n"/>
      <c r="BA159" s="233" t="n"/>
      <c r="BB159" s="233" t="n"/>
      <c r="BC159" s="233" t="n"/>
      <c r="BD159" s="233" t="n"/>
      <c r="BE159" s="233" t="n"/>
      <c r="BF159" s="233" t="n"/>
      <c r="BG159" s="233" t="n"/>
      <c r="BH159" s="233" t="n"/>
      <c r="BI159" s="233" t="n"/>
      <c r="BJ159" s="233" t="n"/>
      <c r="BK159" s="233" t="n"/>
      <c r="BL159" s="233" t="n"/>
      <c r="BM159" s="233" t="n"/>
    </row>
    <row r="160" ht="15.75" customHeight="1" s="349">
      <c r="A160" s="31" t="n"/>
      <c r="B160" s="307" t="n"/>
      <c r="C160" s="307" t="n"/>
      <c r="D160" s="146" t="n"/>
      <c r="E160" s="307" t="n"/>
      <c r="F160" s="307" t="n"/>
      <c r="G160" s="307" t="n"/>
      <c r="H160" s="307" t="n"/>
      <c r="I160" s="307" t="n"/>
      <c r="J160" s="307" t="n"/>
      <c r="K160" s="307" t="n"/>
      <c r="L160" s="307" t="n"/>
      <c r="M160" s="307" t="n"/>
      <c r="N160" s="307" t="n"/>
      <c r="O160" s="233" t="n"/>
      <c r="P160" s="233" t="n"/>
      <c r="Q160" s="233" t="n"/>
      <c r="R160" s="233" t="n"/>
      <c r="S160" s="233" t="n"/>
      <c r="T160" s="233" t="n"/>
      <c r="U160" s="233" t="n"/>
      <c r="V160" s="233" t="n"/>
      <c r="W160" s="233" t="n"/>
      <c r="X160" s="233" t="n"/>
      <c r="Y160" s="233" t="n"/>
      <c r="Z160" s="233" t="n"/>
      <c r="AA160" s="233" t="n"/>
      <c r="AB160" s="233" t="n"/>
      <c r="AC160" s="233" t="n"/>
      <c r="AD160" s="233" t="n"/>
      <c r="AE160" s="233" t="n"/>
      <c r="AF160" s="233" t="n"/>
      <c r="AG160" s="233" t="n"/>
      <c r="AH160" s="233" t="n"/>
      <c r="AI160" s="233" t="n"/>
      <c r="AJ160" s="233" t="n"/>
      <c r="AK160" s="233" t="n"/>
      <c r="AL160" s="233" t="n"/>
      <c r="AM160" s="233" t="n"/>
      <c r="AN160" s="233" t="n"/>
      <c r="AO160" s="233" t="n"/>
      <c r="AP160" s="233" t="n"/>
      <c r="AQ160" s="233" t="n"/>
      <c r="AR160" s="233" t="n"/>
      <c r="AS160" s="233" t="n"/>
      <c r="AT160" s="233" t="n"/>
      <c r="AU160" s="233" t="n"/>
      <c r="AV160" s="233" t="n"/>
      <c r="AW160" s="233" t="n"/>
      <c r="AX160" s="233" t="n"/>
      <c r="AY160" s="233" t="n"/>
      <c r="AZ160" s="233" t="n"/>
      <c r="BA160" s="233" t="n"/>
      <c r="BB160" s="233" t="n"/>
      <c r="BC160" s="233" t="n"/>
      <c r="BD160" s="233" t="n"/>
      <c r="BE160" s="233" t="n"/>
      <c r="BF160" s="233" t="n"/>
      <c r="BG160" s="233" t="n"/>
      <c r="BH160" s="233" t="n"/>
      <c r="BI160" s="233" t="n"/>
      <c r="BJ160" s="233" t="n"/>
      <c r="BK160" s="233" t="n"/>
      <c r="BL160" s="233" t="n"/>
      <c r="BM160" s="233" t="n"/>
    </row>
    <row r="161" ht="15.75" customHeight="1" s="349">
      <c r="A161" s="31" t="n"/>
      <c r="B161" s="307" t="n"/>
      <c r="C161" s="307" t="n"/>
      <c r="D161" s="146" t="n"/>
      <c r="E161" s="307" t="n"/>
      <c r="F161" s="307" t="n"/>
      <c r="G161" s="307" t="n"/>
      <c r="H161" s="307" t="n"/>
      <c r="I161" s="307" t="n"/>
      <c r="J161" s="307" t="n"/>
      <c r="K161" s="307" t="n"/>
      <c r="L161" s="307" t="n"/>
      <c r="M161" s="307" t="n"/>
      <c r="N161" s="307" t="n"/>
      <c r="O161" s="233" t="n"/>
      <c r="P161" s="233" t="n"/>
      <c r="Q161" s="233" t="n"/>
      <c r="R161" s="233" t="n"/>
      <c r="S161" s="233" t="n"/>
      <c r="T161" s="233" t="n"/>
      <c r="U161" s="233" t="n"/>
      <c r="V161" s="233" t="n"/>
      <c r="W161" s="233" t="n"/>
      <c r="X161" s="233" t="n"/>
      <c r="Y161" s="233" t="n"/>
      <c r="Z161" s="233" t="n"/>
      <c r="AA161" s="233" t="n"/>
      <c r="AB161" s="233" t="n"/>
      <c r="AC161" s="233" t="n"/>
      <c r="AD161" s="233" t="n"/>
      <c r="AE161" s="233" t="n"/>
      <c r="AF161" s="233" t="n"/>
      <c r="AG161" s="233" t="n"/>
      <c r="AH161" s="233" t="n"/>
      <c r="AI161" s="233" t="n"/>
      <c r="AJ161" s="233" t="n"/>
      <c r="AK161" s="233" t="n"/>
      <c r="AL161" s="233" t="n"/>
      <c r="AM161" s="233" t="n"/>
      <c r="AN161" s="233" t="n"/>
      <c r="AO161" s="233" t="n"/>
      <c r="AP161" s="233" t="n"/>
      <c r="AQ161" s="233" t="n"/>
      <c r="AR161" s="233" t="n"/>
      <c r="AS161" s="233" t="n"/>
      <c r="AT161" s="233" t="n"/>
      <c r="AU161" s="233" t="n"/>
      <c r="AV161" s="233" t="n"/>
      <c r="AW161" s="233" t="n"/>
      <c r="AX161" s="233" t="n"/>
      <c r="AY161" s="233" t="n"/>
      <c r="AZ161" s="233" t="n"/>
      <c r="BA161" s="233" t="n"/>
      <c r="BB161" s="233" t="n"/>
      <c r="BC161" s="233" t="n"/>
      <c r="BD161" s="233" t="n"/>
      <c r="BE161" s="233" t="n"/>
      <c r="BF161" s="233" t="n"/>
      <c r="BG161" s="233" t="n"/>
      <c r="BH161" s="233" t="n"/>
      <c r="BI161" s="233" t="n"/>
      <c r="BJ161" s="233" t="n"/>
      <c r="BK161" s="233" t="n"/>
      <c r="BL161" s="233" t="n"/>
      <c r="BM161" s="233" t="n"/>
    </row>
    <row r="162" ht="15.75" customHeight="1" s="349">
      <c r="A162" s="31" t="n"/>
      <c r="B162" s="307" t="n"/>
      <c r="C162" s="307" t="n"/>
      <c r="D162" s="146" t="n"/>
      <c r="E162" s="307" t="n"/>
      <c r="F162" s="307" t="n"/>
      <c r="G162" s="307" t="n"/>
      <c r="H162" s="307" t="n"/>
      <c r="I162" s="307" t="n"/>
      <c r="J162" s="307" t="n"/>
      <c r="K162" s="307" t="n"/>
      <c r="L162" s="307" t="n"/>
      <c r="M162" s="307" t="n"/>
      <c r="N162" s="307" t="n"/>
      <c r="O162" s="233" t="n"/>
      <c r="P162" s="233" t="n"/>
      <c r="Q162" s="233" t="n"/>
      <c r="R162" s="233" t="n"/>
      <c r="S162" s="233" t="n"/>
      <c r="T162" s="233" t="n"/>
      <c r="U162" s="233" t="n"/>
      <c r="V162" s="233" t="n"/>
      <c r="W162" s="233" t="n"/>
      <c r="X162" s="233" t="n"/>
      <c r="Y162" s="233" t="n"/>
      <c r="Z162" s="233" t="n"/>
      <c r="AA162" s="233" t="n"/>
      <c r="AB162" s="233" t="n"/>
      <c r="AC162" s="233" t="n"/>
      <c r="AD162" s="233" t="n"/>
      <c r="AE162" s="233" t="n"/>
      <c r="AF162" s="233" t="n"/>
      <c r="AG162" s="233" t="n"/>
      <c r="AH162" s="233" t="n"/>
      <c r="AI162" s="233" t="n"/>
      <c r="AJ162" s="233" t="n"/>
      <c r="AK162" s="233" t="n"/>
      <c r="AL162" s="233" t="n"/>
      <c r="AM162" s="233" t="n"/>
      <c r="AN162" s="233" t="n"/>
      <c r="AO162" s="233" t="n"/>
      <c r="AP162" s="233" t="n"/>
      <c r="AQ162" s="233" t="n"/>
      <c r="AR162" s="233" t="n"/>
      <c r="AS162" s="233" t="n"/>
      <c r="AT162" s="233" t="n"/>
      <c r="AU162" s="233" t="n"/>
      <c r="AV162" s="233" t="n"/>
      <c r="AW162" s="233" t="n"/>
      <c r="AX162" s="233" t="n"/>
      <c r="AY162" s="233" t="n"/>
      <c r="AZ162" s="233" t="n"/>
      <c r="BA162" s="233" t="n"/>
      <c r="BB162" s="233" t="n"/>
      <c r="BC162" s="233" t="n"/>
      <c r="BD162" s="233" t="n"/>
      <c r="BE162" s="233" t="n"/>
      <c r="BF162" s="233" t="n"/>
      <c r="BG162" s="233" t="n"/>
      <c r="BH162" s="233" t="n"/>
      <c r="BI162" s="233" t="n"/>
      <c r="BJ162" s="233" t="n"/>
      <c r="BK162" s="233" t="n"/>
      <c r="BL162" s="233" t="n"/>
      <c r="BM162" s="233" t="n"/>
    </row>
    <row r="163" ht="15.75" customHeight="1" s="349">
      <c r="A163" s="31" t="n"/>
      <c r="B163" s="307" t="n"/>
      <c r="C163" s="307" t="n"/>
      <c r="D163" s="146" t="n"/>
      <c r="E163" s="307" t="n"/>
      <c r="F163" s="307" t="n"/>
      <c r="G163" s="307" t="n"/>
      <c r="H163" s="307" t="n"/>
      <c r="I163" s="307" t="n"/>
      <c r="J163" s="307" t="n"/>
      <c r="K163" s="307" t="n"/>
      <c r="L163" s="307" t="n"/>
      <c r="M163" s="307" t="n"/>
      <c r="N163" s="307" t="n"/>
      <c r="O163" s="233" t="n"/>
      <c r="P163" s="233" t="n"/>
      <c r="Q163" s="233" t="n"/>
      <c r="R163" s="233" t="n"/>
      <c r="S163" s="233" t="n"/>
      <c r="T163" s="233" t="n"/>
      <c r="U163" s="233" t="n"/>
      <c r="V163" s="233" t="n"/>
      <c r="W163" s="233" t="n"/>
      <c r="X163" s="233" t="n"/>
      <c r="Y163" s="233" t="n"/>
      <c r="Z163" s="233" t="n"/>
      <c r="AA163" s="233" t="n"/>
      <c r="AB163" s="233" t="n"/>
      <c r="AC163" s="233" t="n"/>
      <c r="AD163" s="233" t="n"/>
      <c r="AE163" s="233" t="n"/>
      <c r="AF163" s="233" t="n"/>
      <c r="AG163" s="233" t="n"/>
      <c r="AH163" s="233" t="n"/>
      <c r="AI163" s="233" t="n"/>
      <c r="AJ163" s="233" t="n"/>
      <c r="AK163" s="233" t="n"/>
      <c r="AL163" s="233" t="n"/>
      <c r="AM163" s="233" t="n"/>
      <c r="AN163" s="233" t="n"/>
      <c r="AO163" s="233" t="n"/>
      <c r="AP163" s="233" t="n"/>
      <c r="AQ163" s="233" t="n"/>
      <c r="AR163" s="233" t="n"/>
      <c r="AS163" s="233" t="n"/>
      <c r="AT163" s="233" t="n"/>
      <c r="AU163" s="233" t="n"/>
      <c r="AV163" s="233" t="n"/>
      <c r="AW163" s="233" t="n"/>
      <c r="AX163" s="233" t="n"/>
      <c r="AY163" s="233" t="n"/>
      <c r="AZ163" s="233" t="n"/>
      <c r="BA163" s="233" t="n"/>
      <c r="BB163" s="233" t="n"/>
      <c r="BC163" s="233" t="n"/>
      <c r="BD163" s="233" t="n"/>
      <c r="BE163" s="233" t="n"/>
      <c r="BF163" s="233" t="n"/>
      <c r="BG163" s="233" t="n"/>
      <c r="BH163" s="233" t="n"/>
      <c r="BI163" s="233" t="n"/>
      <c r="BJ163" s="233" t="n"/>
      <c r="BK163" s="233" t="n"/>
      <c r="BL163" s="233" t="n"/>
      <c r="BM163" s="233" t="n"/>
    </row>
    <row r="164" ht="15.75" customHeight="1" s="349">
      <c r="A164" s="31" t="n"/>
      <c r="B164" s="307" t="n"/>
      <c r="C164" s="307" t="n"/>
      <c r="D164" s="146" t="n"/>
      <c r="E164" s="307" t="n"/>
      <c r="F164" s="307" t="n"/>
      <c r="G164" s="307" t="n"/>
      <c r="H164" s="307" t="n"/>
      <c r="I164" s="307" t="n"/>
      <c r="J164" s="307" t="n"/>
      <c r="K164" s="307" t="n"/>
      <c r="L164" s="307" t="n"/>
      <c r="M164" s="307" t="n"/>
      <c r="N164" s="307" t="n"/>
      <c r="O164" s="233" t="n"/>
      <c r="P164" s="233" t="n"/>
      <c r="Q164" s="233" t="n"/>
      <c r="R164" s="233" t="n"/>
      <c r="S164" s="233" t="n"/>
      <c r="T164" s="233" t="n"/>
      <c r="U164" s="233" t="n"/>
      <c r="V164" s="233" t="n"/>
      <c r="W164" s="233" t="n"/>
      <c r="X164" s="233" t="n"/>
      <c r="Y164" s="233" t="n"/>
      <c r="Z164" s="233" t="n"/>
      <c r="AA164" s="233" t="n"/>
      <c r="AB164" s="233" t="n"/>
      <c r="AC164" s="233" t="n"/>
      <c r="AD164" s="233" t="n"/>
      <c r="AE164" s="233" t="n"/>
      <c r="AF164" s="233" t="n"/>
      <c r="AG164" s="233" t="n"/>
      <c r="AH164" s="233" t="n"/>
      <c r="AI164" s="233" t="n"/>
      <c r="AJ164" s="233" t="n"/>
      <c r="AK164" s="233" t="n"/>
      <c r="AL164" s="233" t="n"/>
      <c r="AM164" s="233" t="n"/>
      <c r="AN164" s="233" t="n"/>
      <c r="AO164" s="233" t="n"/>
      <c r="AP164" s="233" t="n"/>
      <c r="AQ164" s="233" t="n"/>
      <c r="AR164" s="233" t="n"/>
      <c r="AS164" s="233" t="n"/>
      <c r="AT164" s="233" t="n"/>
      <c r="AU164" s="233" t="n"/>
      <c r="AV164" s="233" t="n"/>
      <c r="AW164" s="233" t="n"/>
      <c r="AX164" s="233" t="n"/>
      <c r="AY164" s="233" t="n"/>
      <c r="AZ164" s="233" t="n"/>
      <c r="BA164" s="233" t="n"/>
      <c r="BB164" s="233" t="n"/>
      <c r="BC164" s="233" t="n"/>
      <c r="BD164" s="233" t="n"/>
      <c r="BE164" s="233" t="n"/>
      <c r="BF164" s="233" t="n"/>
      <c r="BG164" s="233" t="n"/>
      <c r="BH164" s="233" t="n"/>
      <c r="BI164" s="233" t="n"/>
      <c r="BJ164" s="233" t="n"/>
      <c r="BK164" s="233" t="n"/>
      <c r="BL164" s="233" t="n"/>
      <c r="BM164" s="233" t="n"/>
    </row>
    <row r="165" ht="15.75" customHeight="1" s="349">
      <c r="A165" s="31" t="n"/>
      <c r="B165" s="307" t="n"/>
      <c r="C165" s="307" t="n"/>
      <c r="D165" s="146" t="n"/>
      <c r="E165" s="307" t="n"/>
      <c r="F165" s="307" t="n"/>
      <c r="G165" s="307" t="n"/>
      <c r="H165" s="307" t="n"/>
      <c r="I165" s="307" t="n"/>
      <c r="J165" s="307" t="n"/>
      <c r="K165" s="307" t="n"/>
      <c r="L165" s="307" t="n"/>
      <c r="M165" s="307" t="n"/>
      <c r="N165" s="307" t="n"/>
      <c r="O165" s="233" t="n"/>
      <c r="P165" s="233" t="n"/>
      <c r="Q165" s="233" t="n"/>
      <c r="R165" s="233" t="n"/>
      <c r="S165" s="233" t="n"/>
      <c r="T165" s="233" t="n"/>
      <c r="U165" s="233" t="n"/>
      <c r="V165" s="233" t="n"/>
      <c r="W165" s="233" t="n"/>
      <c r="X165" s="233" t="n"/>
      <c r="Y165" s="233" t="n"/>
      <c r="Z165" s="233" t="n"/>
      <c r="AA165" s="233" t="n"/>
      <c r="AB165" s="233" t="n"/>
      <c r="AC165" s="233" t="n"/>
      <c r="AD165" s="233" t="n"/>
      <c r="AE165" s="233" t="n"/>
      <c r="AF165" s="233" t="n"/>
      <c r="AG165" s="233" t="n"/>
      <c r="AH165" s="233" t="n"/>
      <c r="AI165" s="233" t="n"/>
      <c r="AJ165" s="233" t="n"/>
      <c r="AK165" s="233" t="n"/>
      <c r="AL165" s="233" t="n"/>
      <c r="AM165" s="233" t="n"/>
      <c r="AN165" s="233" t="n"/>
      <c r="AO165" s="233" t="n"/>
      <c r="AP165" s="233" t="n"/>
      <c r="AQ165" s="233" t="n"/>
      <c r="AR165" s="233" t="n"/>
      <c r="AS165" s="233" t="n"/>
      <c r="AT165" s="233" t="n"/>
      <c r="AU165" s="233" t="n"/>
      <c r="AV165" s="233" t="n"/>
      <c r="AW165" s="233" t="n"/>
      <c r="AX165" s="233" t="n"/>
      <c r="AY165" s="233" t="n"/>
      <c r="AZ165" s="233" t="n"/>
      <c r="BA165" s="233" t="n"/>
      <c r="BB165" s="233" t="n"/>
      <c r="BC165" s="233" t="n"/>
      <c r="BD165" s="233" t="n"/>
      <c r="BE165" s="233" t="n"/>
      <c r="BF165" s="233" t="n"/>
      <c r="BG165" s="233" t="n"/>
      <c r="BH165" s="233" t="n"/>
      <c r="BI165" s="233" t="n"/>
      <c r="BJ165" s="233" t="n"/>
      <c r="BK165" s="233" t="n"/>
      <c r="BL165" s="233" t="n"/>
      <c r="BM165" s="233" t="n"/>
    </row>
    <row r="166" ht="15.75" customHeight="1" s="349">
      <c r="A166" s="31" t="n"/>
      <c r="B166" s="307" t="n"/>
      <c r="C166" s="307" t="n"/>
      <c r="D166" s="146" t="n"/>
      <c r="E166" s="307" t="n"/>
      <c r="F166" s="307" t="n"/>
      <c r="G166" s="307" t="n"/>
      <c r="H166" s="307" t="n"/>
      <c r="I166" s="307" t="n"/>
      <c r="J166" s="307" t="n"/>
      <c r="K166" s="307" t="n"/>
      <c r="L166" s="307" t="n"/>
      <c r="M166" s="307" t="n"/>
      <c r="N166" s="307" t="n"/>
      <c r="O166" s="233" t="n"/>
      <c r="P166" s="233" t="n"/>
      <c r="Q166" s="233" t="n"/>
      <c r="R166" s="233" t="n"/>
      <c r="S166" s="233" t="n"/>
      <c r="T166" s="233" t="n"/>
      <c r="U166" s="233" t="n"/>
      <c r="V166" s="233" t="n"/>
      <c r="W166" s="233" t="n"/>
      <c r="X166" s="233" t="n"/>
      <c r="Y166" s="233" t="n"/>
      <c r="Z166" s="233" t="n"/>
      <c r="AA166" s="233" t="n"/>
      <c r="AB166" s="233" t="n"/>
      <c r="AC166" s="233" t="n"/>
      <c r="AD166" s="233" t="n"/>
      <c r="AE166" s="233" t="n"/>
      <c r="AF166" s="233" t="n"/>
      <c r="AG166" s="233" t="n"/>
      <c r="AH166" s="233" t="n"/>
      <c r="AI166" s="233" t="n"/>
      <c r="AJ166" s="233" t="n"/>
      <c r="AK166" s="233" t="n"/>
      <c r="AL166" s="233" t="n"/>
      <c r="AM166" s="233" t="n"/>
      <c r="AN166" s="233" t="n"/>
      <c r="AO166" s="233" t="n"/>
      <c r="AP166" s="233" t="n"/>
      <c r="AQ166" s="233" t="n"/>
      <c r="AR166" s="233" t="n"/>
      <c r="AS166" s="233" t="n"/>
      <c r="AT166" s="233" t="n"/>
      <c r="AU166" s="233" t="n"/>
      <c r="AV166" s="233" t="n"/>
      <c r="AW166" s="233" t="n"/>
      <c r="AX166" s="233" t="n"/>
      <c r="AY166" s="233" t="n"/>
      <c r="AZ166" s="233" t="n"/>
      <c r="BA166" s="233" t="n"/>
      <c r="BB166" s="233" t="n"/>
      <c r="BC166" s="233" t="n"/>
      <c r="BD166" s="233" t="n"/>
      <c r="BE166" s="233" t="n"/>
      <c r="BF166" s="233" t="n"/>
      <c r="BG166" s="233" t="n"/>
      <c r="BH166" s="233" t="n"/>
      <c r="BI166" s="233" t="n"/>
      <c r="BJ166" s="233" t="n"/>
      <c r="BK166" s="233" t="n"/>
      <c r="BL166" s="233" t="n"/>
      <c r="BM166" s="233" t="n"/>
    </row>
    <row r="167" ht="15.75" customHeight="1" s="349">
      <c r="A167" s="31" t="n"/>
      <c r="B167" s="307" t="n"/>
      <c r="C167" s="307" t="n"/>
      <c r="D167" s="146" t="n"/>
      <c r="E167" s="307" t="n"/>
      <c r="F167" s="307" t="n"/>
      <c r="G167" s="307" t="n"/>
      <c r="H167" s="307" t="n"/>
      <c r="I167" s="307" t="n"/>
      <c r="J167" s="307" t="n"/>
      <c r="K167" s="307" t="n"/>
      <c r="L167" s="307" t="n"/>
      <c r="M167" s="307" t="n"/>
      <c r="N167" s="307" t="n"/>
      <c r="O167" s="233" t="n"/>
      <c r="P167" s="233" t="n"/>
      <c r="Q167" s="233" t="n"/>
      <c r="R167" s="233" t="n"/>
      <c r="S167" s="233" t="n"/>
      <c r="T167" s="233" t="n"/>
      <c r="U167" s="233" t="n"/>
      <c r="V167" s="233" t="n"/>
      <c r="W167" s="233" t="n"/>
      <c r="X167" s="233" t="n"/>
      <c r="Y167" s="233" t="n"/>
      <c r="Z167" s="233" t="n"/>
      <c r="AA167" s="233" t="n"/>
      <c r="AB167" s="233" t="n"/>
      <c r="AC167" s="233" t="n"/>
      <c r="AD167" s="233" t="n"/>
      <c r="AE167" s="233" t="n"/>
      <c r="AF167" s="233" t="n"/>
      <c r="AG167" s="233" t="n"/>
      <c r="AH167" s="233" t="n"/>
      <c r="AI167" s="233" t="n"/>
      <c r="AJ167" s="233" t="n"/>
      <c r="AK167" s="233" t="n"/>
      <c r="AL167" s="233" t="n"/>
      <c r="AM167" s="233" t="n"/>
      <c r="AN167" s="233" t="n"/>
      <c r="AO167" s="233" t="n"/>
      <c r="AP167" s="233" t="n"/>
      <c r="AQ167" s="233" t="n"/>
      <c r="AR167" s="233" t="n"/>
      <c r="AS167" s="233" t="n"/>
      <c r="AT167" s="233" t="n"/>
      <c r="AU167" s="233" t="n"/>
      <c r="AV167" s="233" t="n"/>
      <c r="AW167" s="233" t="n"/>
      <c r="AX167" s="233" t="n"/>
      <c r="AY167" s="233" t="n"/>
      <c r="AZ167" s="233" t="n"/>
      <c r="BA167" s="233" t="n"/>
      <c r="BB167" s="233" t="n"/>
      <c r="BC167" s="233" t="n"/>
      <c r="BD167" s="233" t="n"/>
      <c r="BE167" s="233" t="n"/>
      <c r="BF167" s="233" t="n"/>
      <c r="BG167" s="233" t="n"/>
      <c r="BH167" s="233" t="n"/>
      <c r="BI167" s="233" t="n"/>
      <c r="BJ167" s="233" t="n"/>
      <c r="BK167" s="233" t="n"/>
      <c r="BL167" s="233" t="n"/>
      <c r="BM167" s="233" t="n"/>
    </row>
    <row r="168" ht="15.75" customHeight="1" s="349">
      <c r="A168" s="31" t="n"/>
      <c r="B168" s="307" t="n"/>
      <c r="C168" s="307" t="n"/>
      <c r="D168" s="146" t="n"/>
      <c r="E168" s="307" t="n"/>
      <c r="F168" s="307" t="n"/>
      <c r="G168" s="307" t="n"/>
      <c r="H168" s="307" t="n"/>
      <c r="I168" s="307" t="n"/>
      <c r="J168" s="307" t="n"/>
      <c r="K168" s="307" t="n"/>
      <c r="L168" s="307" t="n"/>
      <c r="M168" s="307" t="n"/>
      <c r="N168" s="307" t="n"/>
      <c r="O168" s="233" t="n"/>
      <c r="P168" s="233" t="n"/>
      <c r="Q168" s="233" t="n"/>
      <c r="R168" s="233" t="n"/>
      <c r="S168" s="233" t="n"/>
      <c r="T168" s="233" t="n"/>
      <c r="U168" s="233" t="n"/>
      <c r="V168" s="233" t="n"/>
      <c r="W168" s="233" t="n"/>
      <c r="X168" s="233" t="n"/>
      <c r="Y168" s="233" t="n"/>
      <c r="Z168" s="233" t="n"/>
      <c r="AA168" s="233" t="n"/>
      <c r="AB168" s="233" t="n"/>
      <c r="AC168" s="233" t="n"/>
      <c r="AD168" s="233" t="n"/>
      <c r="AE168" s="233" t="n"/>
      <c r="AF168" s="233" t="n"/>
      <c r="AG168" s="233" t="n"/>
      <c r="AH168" s="233" t="n"/>
      <c r="AI168" s="233" t="n"/>
      <c r="AJ168" s="233" t="n"/>
      <c r="AK168" s="233" t="n"/>
      <c r="AL168" s="233" t="n"/>
      <c r="AM168" s="233" t="n"/>
      <c r="AN168" s="233" t="n"/>
      <c r="AO168" s="233" t="n"/>
      <c r="AP168" s="233" t="n"/>
      <c r="AQ168" s="233" t="n"/>
      <c r="AR168" s="233" t="n"/>
      <c r="AS168" s="233" t="n"/>
      <c r="AT168" s="233" t="n"/>
      <c r="AU168" s="233" t="n"/>
      <c r="AV168" s="233" t="n"/>
      <c r="AW168" s="233" t="n"/>
      <c r="AX168" s="233" t="n"/>
      <c r="AY168" s="233" t="n"/>
      <c r="AZ168" s="233" t="n"/>
      <c r="BA168" s="233" t="n"/>
      <c r="BB168" s="233" t="n"/>
      <c r="BC168" s="233" t="n"/>
      <c r="BD168" s="233" t="n"/>
      <c r="BE168" s="233" t="n"/>
      <c r="BF168" s="233" t="n"/>
      <c r="BG168" s="233" t="n"/>
      <c r="BH168" s="233" t="n"/>
      <c r="BI168" s="233" t="n"/>
      <c r="BJ168" s="233" t="n"/>
      <c r="BK168" s="233" t="n"/>
      <c r="BL168" s="233" t="n"/>
      <c r="BM168" s="233" t="n"/>
    </row>
    <row r="169" ht="15.75" customHeight="1" s="349">
      <c r="A169" s="31" t="n"/>
      <c r="B169" s="307" t="n"/>
      <c r="C169" s="307" t="n"/>
      <c r="D169" s="146" t="n"/>
      <c r="E169" s="307" t="n"/>
      <c r="F169" s="307" t="n"/>
      <c r="G169" s="307" t="n"/>
      <c r="H169" s="307" t="n"/>
      <c r="I169" s="307" t="n"/>
      <c r="J169" s="307" t="n"/>
      <c r="K169" s="307" t="n"/>
      <c r="L169" s="307" t="n"/>
      <c r="M169" s="307" t="n"/>
      <c r="N169" s="307" t="n"/>
      <c r="O169" s="233" t="n"/>
      <c r="P169" s="233" t="n"/>
      <c r="Q169" s="233" t="n"/>
      <c r="R169" s="233" t="n"/>
      <c r="S169" s="233" t="n"/>
      <c r="T169" s="233" t="n"/>
      <c r="U169" s="233" t="n"/>
      <c r="V169" s="233" t="n"/>
      <c r="W169" s="233" t="n"/>
      <c r="X169" s="233" t="n"/>
      <c r="Y169" s="233" t="n"/>
      <c r="Z169" s="233" t="n"/>
      <c r="AA169" s="233" t="n"/>
      <c r="AB169" s="233" t="n"/>
      <c r="AC169" s="233" t="n"/>
      <c r="AD169" s="233" t="n"/>
      <c r="AE169" s="233" t="n"/>
      <c r="AF169" s="233" t="n"/>
      <c r="AG169" s="233" t="n"/>
      <c r="AH169" s="233" t="n"/>
      <c r="AI169" s="233" t="n"/>
      <c r="AJ169" s="233" t="n"/>
      <c r="AK169" s="233" t="n"/>
      <c r="AL169" s="233" t="n"/>
      <c r="AM169" s="233" t="n"/>
      <c r="AN169" s="233" t="n"/>
      <c r="AO169" s="233" t="n"/>
      <c r="AP169" s="233" t="n"/>
      <c r="AQ169" s="233" t="n"/>
      <c r="AR169" s="233" t="n"/>
      <c r="AS169" s="233" t="n"/>
      <c r="AT169" s="233" t="n"/>
      <c r="AU169" s="233" t="n"/>
      <c r="AV169" s="233" t="n"/>
      <c r="AW169" s="233" t="n"/>
      <c r="AX169" s="233" t="n"/>
      <c r="AY169" s="233" t="n"/>
      <c r="AZ169" s="233" t="n"/>
      <c r="BA169" s="233" t="n"/>
      <c r="BB169" s="233" t="n"/>
      <c r="BC169" s="233" t="n"/>
      <c r="BD169" s="233" t="n"/>
      <c r="BE169" s="233" t="n"/>
      <c r="BF169" s="233" t="n"/>
      <c r="BG169" s="233" t="n"/>
      <c r="BH169" s="233" t="n"/>
      <c r="BI169" s="233" t="n"/>
      <c r="BJ169" s="233" t="n"/>
      <c r="BK169" s="233" t="n"/>
      <c r="BL169" s="233" t="n"/>
      <c r="BM169" s="233" t="n"/>
    </row>
    <row r="170" ht="15.75" customHeight="1" s="349">
      <c r="A170" s="31" t="n"/>
      <c r="B170" s="307" t="n"/>
      <c r="C170" s="307" t="n"/>
      <c r="D170" s="146" t="n"/>
      <c r="E170" s="307" t="n"/>
      <c r="F170" s="307" t="n"/>
      <c r="G170" s="307" t="n"/>
      <c r="H170" s="307" t="n"/>
      <c r="I170" s="307" t="n"/>
      <c r="J170" s="307" t="n"/>
      <c r="K170" s="307" t="n"/>
      <c r="L170" s="307" t="n"/>
      <c r="M170" s="307" t="n"/>
      <c r="N170" s="307" t="n"/>
      <c r="O170" s="233" t="n"/>
      <c r="P170" s="233" t="n"/>
      <c r="Q170" s="233" t="n"/>
      <c r="R170" s="233" t="n"/>
      <c r="S170" s="233" t="n"/>
      <c r="T170" s="233" t="n"/>
      <c r="U170" s="233" t="n"/>
      <c r="V170" s="233" t="n"/>
      <c r="W170" s="233" t="n"/>
      <c r="X170" s="233" t="n"/>
      <c r="Y170" s="233" t="n"/>
      <c r="Z170" s="233" t="n"/>
      <c r="AA170" s="233" t="n"/>
      <c r="AB170" s="233" t="n"/>
      <c r="AC170" s="233" t="n"/>
      <c r="AD170" s="233" t="n"/>
      <c r="AE170" s="233" t="n"/>
      <c r="AF170" s="233" t="n"/>
      <c r="AG170" s="233" t="n"/>
      <c r="AH170" s="233" t="n"/>
      <c r="AI170" s="233" t="n"/>
      <c r="AJ170" s="233" t="n"/>
      <c r="AK170" s="233" t="n"/>
      <c r="AL170" s="233" t="n"/>
      <c r="AM170" s="233" t="n"/>
      <c r="AN170" s="233" t="n"/>
      <c r="AO170" s="233" t="n"/>
      <c r="AP170" s="233" t="n"/>
      <c r="AQ170" s="233" t="n"/>
      <c r="AR170" s="233" t="n"/>
      <c r="AS170" s="233" t="n"/>
      <c r="AT170" s="233" t="n"/>
      <c r="AU170" s="233" t="n"/>
      <c r="AV170" s="233" t="n"/>
      <c r="AW170" s="233" t="n"/>
      <c r="AX170" s="233" t="n"/>
      <c r="AY170" s="233" t="n"/>
      <c r="AZ170" s="233" t="n"/>
      <c r="BA170" s="233" t="n"/>
      <c r="BB170" s="233" t="n"/>
      <c r="BC170" s="233" t="n"/>
      <c r="BD170" s="233" t="n"/>
      <c r="BE170" s="233" t="n"/>
      <c r="BF170" s="233" t="n"/>
      <c r="BG170" s="233" t="n"/>
      <c r="BH170" s="233" t="n"/>
      <c r="BI170" s="233" t="n"/>
      <c r="BJ170" s="233" t="n"/>
      <c r="BK170" s="233" t="n"/>
      <c r="BL170" s="233" t="n"/>
      <c r="BM170" s="233" t="n"/>
    </row>
    <row r="171" ht="15.75" customHeight="1" s="349">
      <c r="A171" s="31" t="n"/>
      <c r="B171" s="307" t="n"/>
      <c r="C171" s="307" t="n"/>
      <c r="D171" s="146" t="n"/>
      <c r="E171" s="307" t="n"/>
      <c r="F171" s="307" t="n"/>
      <c r="G171" s="307" t="n"/>
      <c r="H171" s="307" t="n"/>
      <c r="I171" s="307" t="n"/>
      <c r="J171" s="307" t="n"/>
      <c r="K171" s="307" t="n"/>
      <c r="L171" s="307" t="n"/>
      <c r="M171" s="307" t="n"/>
      <c r="N171" s="307" t="n"/>
      <c r="O171" s="233" t="n"/>
      <c r="P171" s="233" t="n"/>
      <c r="Q171" s="233" t="n"/>
      <c r="R171" s="233" t="n"/>
      <c r="S171" s="233" t="n"/>
      <c r="T171" s="233" t="n"/>
      <c r="U171" s="233" t="n"/>
      <c r="V171" s="233" t="n"/>
      <c r="W171" s="233" t="n"/>
      <c r="X171" s="233" t="n"/>
      <c r="Y171" s="233" t="n"/>
      <c r="Z171" s="233" t="n"/>
      <c r="AA171" s="233" t="n"/>
      <c r="AB171" s="233" t="n"/>
      <c r="AC171" s="233" t="n"/>
      <c r="AD171" s="233" t="n"/>
      <c r="AE171" s="233" t="n"/>
      <c r="AF171" s="233" t="n"/>
      <c r="AG171" s="233" t="n"/>
      <c r="AH171" s="233" t="n"/>
      <c r="AI171" s="233" t="n"/>
      <c r="AJ171" s="233" t="n"/>
      <c r="AK171" s="233" t="n"/>
      <c r="AL171" s="233" t="n"/>
      <c r="AM171" s="233" t="n"/>
      <c r="AN171" s="233" t="n"/>
      <c r="AO171" s="233" t="n"/>
      <c r="AP171" s="233" t="n"/>
      <c r="AQ171" s="233" t="n"/>
      <c r="AR171" s="233" t="n"/>
      <c r="AS171" s="233" t="n"/>
      <c r="AT171" s="233" t="n"/>
      <c r="AU171" s="233" t="n"/>
      <c r="AV171" s="233" t="n"/>
      <c r="AW171" s="233" t="n"/>
      <c r="AX171" s="233" t="n"/>
      <c r="AY171" s="233" t="n"/>
      <c r="AZ171" s="233" t="n"/>
      <c r="BA171" s="233" t="n"/>
      <c r="BB171" s="233" t="n"/>
      <c r="BC171" s="233" t="n"/>
      <c r="BD171" s="233" t="n"/>
      <c r="BE171" s="233" t="n"/>
      <c r="BF171" s="233" t="n"/>
      <c r="BG171" s="233" t="n"/>
      <c r="BH171" s="233" t="n"/>
      <c r="BI171" s="233" t="n"/>
      <c r="BJ171" s="233" t="n"/>
      <c r="BK171" s="233" t="n"/>
      <c r="BL171" s="233" t="n"/>
      <c r="BM171" s="233" t="n"/>
    </row>
    <row r="172" ht="15.75" customHeight="1" s="349">
      <c r="A172" s="31" t="n"/>
      <c r="B172" s="307" t="n"/>
      <c r="C172" s="307" t="n"/>
      <c r="D172" s="146" t="n"/>
      <c r="E172" s="307" t="n"/>
      <c r="F172" s="307" t="n"/>
      <c r="G172" s="307" t="n"/>
      <c r="H172" s="307" t="n"/>
      <c r="I172" s="307" t="n"/>
      <c r="J172" s="307" t="n"/>
      <c r="K172" s="307" t="n"/>
      <c r="L172" s="307" t="n"/>
      <c r="M172" s="307" t="n"/>
      <c r="N172" s="307" t="n"/>
      <c r="O172" s="233" t="n"/>
      <c r="P172" s="233" t="n"/>
      <c r="Q172" s="233" t="n"/>
      <c r="R172" s="233" t="n"/>
      <c r="S172" s="233" t="n"/>
      <c r="T172" s="233" t="n"/>
      <c r="U172" s="233" t="n"/>
      <c r="V172" s="233" t="n"/>
      <c r="W172" s="233" t="n"/>
      <c r="X172" s="233" t="n"/>
      <c r="Y172" s="233" t="n"/>
      <c r="Z172" s="233" t="n"/>
      <c r="AA172" s="233" t="n"/>
      <c r="AB172" s="233" t="n"/>
      <c r="AC172" s="233" t="n"/>
      <c r="AD172" s="233" t="n"/>
      <c r="AE172" s="233" t="n"/>
      <c r="AF172" s="233" t="n"/>
      <c r="AG172" s="233" t="n"/>
      <c r="AH172" s="233" t="n"/>
      <c r="AI172" s="233" t="n"/>
      <c r="AJ172" s="233" t="n"/>
      <c r="AK172" s="233" t="n"/>
      <c r="AL172" s="233" t="n"/>
      <c r="AM172" s="233" t="n"/>
      <c r="AN172" s="233" t="n"/>
      <c r="AO172" s="233" t="n"/>
      <c r="AP172" s="233" t="n"/>
      <c r="AQ172" s="233" t="n"/>
      <c r="AR172" s="233" t="n"/>
      <c r="AS172" s="233" t="n"/>
      <c r="AT172" s="233" t="n"/>
      <c r="AU172" s="233" t="n"/>
      <c r="AV172" s="233" t="n"/>
      <c r="AW172" s="233" t="n"/>
      <c r="AX172" s="233" t="n"/>
      <c r="AY172" s="233" t="n"/>
      <c r="AZ172" s="233" t="n"/>
      <c r="BA172" s="233" t="n"/>
      <c r="BB172" s="233" t="n"/>
      <c r="BC172" s="233" t="n"/>
      <c r="BD172" s="233" t="n"/>
      <c r="BE172" s="233" t="n"/>
      <c r="BF172" s="233" t="n"/>
      <c r="BG172" s="233" t="n"/>
      <c r="BH172" s="233" t="n"/>
      <c r="BI172" s="233" t="n"/>
      <c r="BJ172" s="233" t="n"/>
      <c r="BK172" s="233" t="n"/>
      <c r="BL172" s="233" t="n"/>
      <c r="BM172" s="233" t="n"/>
    </row>
    <row r="173" ht="15.75" customHeight="1" s="349">
      <c r="A173" s="31" t="n"/>
      <c r="B173" s="307" t="n"/>
      <c r="C173" s="307" t="n"/>
      <c r="D173" s="146" t="n"/>
      <c r="E173" s="307" t="n"/>
      <c r="F173" s="307" t="n"/>
      <c r="G173" s="307" t="n"/>
      <c r="H173" s="307" t="n"/>
      <c r="I173" s="307" t="n"/>
      <c r="J173" s="307" t="n"/>
      <c r="K173" s="307" t="n"/>
      <c r="L173" s="307" t="n"/>
      <c r="M173" s="307" t="n"/>
      <c r="N173" s="307" t="n"/>
      <c r="O173" s="233" t="n"/>
      <c r="P173" s="233" t="n"/>
      <c r="Q173" s="233" t="n"/>
      <c r="R173" s="233" t="n"/>
      <c r="S173" s="233" t="n"/>
      <c r="T173" s="233" t="n"/>
      <c r="U173" s="233" t="n"/>
      <c r="V173" s="233" t="n"/>
      <c r="W173" s="233" t="n"/>
      <c r="X173" s="233" t="n"/>
      <c r="Y173" s="233" t="n"/>
      <c r="Z173" s="233" t="n"/>
      <c r="AA173" s="233" t="n"/>
      <c r="AB173" s="233" t="n"/>
      <c r="AC173" s="233" t="n"/>
      <c r="AD173" s="233" t="n"/>
      <c r="AE173" s="233" t="n"/>
      <c r="AF173" s="233" t="n"/>
      <c r="AG173" s="233" t="n"/>
      <c r="AH173" s="233" t="n"/>
      <c r="AI173" s="233" t="n"/>
      <c r="AJ173" s="233" t="n"/>
      <c r="AK173" s="233" t="n"/>
      <c r="AL173" s="233" t="n"/>
      <c r="AM173" s="233" t="n"/>
      <c r="AN173" s="233" t="n"/>
      <c r="AO173" s="233" t="n"/>
      <c r="AP173" s="233" t="n"/>
      <c r="AQ173" s="233" t="n"/>
      <c r="AR173" s="233" t="n"/>
      <c r="AS173" s="233" t="n"/>
      <c r="AT173" s="233" t="n"/>
      <c r="AU173" s="233" t="n"/>
      <c r="AV173" s="233" t="n"/>
      <c r="AW173" s="233" t="n"/>
      <c r="AX173" s="233" t="n"/>
      <c r="AY173" s="233" t="n"/>
      <c r="AZ173" s="233" t="n"/>
      <c r="BA173" s="233" t="n"/>
      <c r="BB173" s="233" t="n"/>
      <c r="BC173" s="233" t="n"/>
      <c r="BD173" s="233" t="n"/>
      <c r="BE173" s="233" t="n"/>
      <c r="BF173" s="233" t="n"/>
      <c r="BG173" s="233" t="n"/>
      <c r="BH173" s="233" t="n"/>
      <c r="BI173" s="233" t="n"/>
      <c r="BJ173" s="233" t="n"/>
      <c r="BK173" s="233" t="n"/>
      <c r="BL173" s="233" t="n"/>
      <c r="BM173" s="233" t="n"/>
    </row>
    <row r="174" ht="15.75" customHeight="1" s="349">
      <c r="A174" s="31" t="n"/>
      <c r="B174" s="307" t="n"/>
      <c r="C174" s="307" t="n"/>
      <c r="D174" s="146" t="n"/>
      <c r="E174" s="307" t="n"/>
      <c r="F174" s="307" t="n"/>
      <c r="G174" s="307" t="n"/>
      <c r="H174" s="307" t="n"/>
      <c r="I174" s="307" t="n"/>
      <c r="J174" s="307" t="n"/>
      <c r="K174" s="307" t="n"/>
      <c r="L174" s="307" t="n"/>
      <c r="M174" s="307" t="n"/>
      <c r="N174" s="307" t="n"/>
      <c r="O174" s="233" t="n"/>
      <c r="P174" s="233" t="n"/>
      <c r="Q174" s="233" t="n"/>
      <c r="R174" s="233" t="n"/>
      <c r="S174" s="233" t="n"/>
      <c r="T174" s="233" t="n"/>
      <c r="U174" s="233" t="n"/>
      <c r="V174" s="233" t="n"/>
      <c r="W174" s="233" t="n"/>
      <c r="X174" s="233" t="n"/>
      <c r="Y174" s="233" t="n"/>
      <c r="Z174" s="233" t="n"/>
      <c r="AA174" s="233" t="n"/>
      <c r="AB174" s="233" t="n"/>
      <c r="AC174" s="233" t="n"/>
      <c r="AD174" s="233" t="n"/>
      <c r="AE174" s="233" t="n"/>
      <c r="AF174" s="233" t="n"/>
      <c r="AG174" s="233" t="n"/>
      <c r="AH174" s="233" t="n"/>
      <c r="AI174" s="233" t="n"/>
      <c r="AJ174" s="233" t="n"/>
      <c r="AK174" s="233" t="n"/>
      <c r="AL174" s="233" t="n"/>
      <c r="AM174" s="233" t="n"/>
      <c r="AN174" s="233" t="n"/>
      <c r="AO174" s="233" t="n"/>
      <c r="AP174" s="233" t="n"/>
      <c r="AQ174" s="233" t="n"/>
      <c r="AR174" s="233" t="n"/>
      <c r="AS174" s="233" t="n"/>
      <c r="AT174" s="233" t="n"/>
      <c r="AU174" s="233" t="n"/>
      <c r="AV174" s="233" t="n"/>
      <c r="AW174" s="233" t="n"/>
      <c r="AX174" s="233" t="n"/>
      <c r="AY174" s="233" t="n"/>
      <c r="AZ174" s="233" t="n"/>
      <c r="BA174" s="233" t="n"/>
      <c r="BB174" s="233" t="n"/>
      <c r="BC174" s="233" t="n"/>
      <c r="BD174" s="233" t="n"/>
      <c r="BE174" s="233" t="n"/>
      <c r="BF174" s="233" t="n"/>
      <c r="BG174" s="233" t="n"/>
      <c r="BH174" s="233" t="n"/>
      <c r="BI174" s="233" t="n"/>
      <c r="BJ174" s="233" t="n"/>
      <c r="BK174" s="233" t="n"/>
      <c r="BL174" s="233" t="n"/>
      <c r="BM174" s="233" t="n"/>
    </row>
    <row r="175" ht="15.75" customHeight="1" s="349">
      <c r="A175" s="31" t="n"/>
      <c r="B175" s="307" t="n"/>
      <c r="C175" s="307" t="n"/>
      <c r="D175" s="146" t="n"/>
      <c r="E175" s="307" t="n"/>
      <c r="F175" s="307" t="n"/>
      <c r="G175" s="307" t="n"/>
      <c r="H175" s="307" t="n"/>
      <c r="I175" s="307" t="n"/>
      <c r="J175" s="307" t="n"/>
      <c r="K175" s="307" t="n"/>
      <c r="L175" s="307" t="n"/>
      <c r="M175" s="307" t="n"/>
      <c r="N175" s="307" t="n"/>
      <c r="O175" s="233" t="n"/>
      <c r="P175" s="233" t="n"/>
      <c r="Q175" s="233" t="n"/>
      <c r="R175" s="233" t="n"/>
      <c r="S175" s="233" t="n"/>
      <c r="T175" s="233" t="n"/>
      <c r="U175" s="233" t="n"/>
      <c r="V175" s="233" t="n"/>
      <c r="W175" s="233" t="n"/>
      <c r="X175" s="233" t="n"/>
      <c r="Y175" s="233" t="n"/>
      <c r="Z175" s="233" t="n"/>
      <c r="AA175" s="233" t="n"/>
      <c r="AB175" s="233" t="n"/>
      <c r="AC175" s="233" t="n"/>
      <c r="AD175" s="233" t="n"/>
      <c r="AE175" s="233" t="n"/>
      <c r="AF175" s="233" t="n"/>
      <c r="AG175" s="233" t="n"/>
      <c r="AH175" s="233" t="n"/>
      <c r="AI175" s="233" t="n"/>
      <c r="AJ175" s="233" t="n"/>
      <c r="AK175" s="233" t="n"/>
      <c r="AL175" s="233" t="n"/>
      <c r="AM175" s="233" t="n"/>
      <c r="AN175" s="233" t="n"/>
      <c r="AO175" s="233" t="n"/>
      <c r="AP175" s="233" t="n"/>
      <c r="AQ175" s="233" t="n"/>
      <c r="AR175" s="233" t="n"/>
      <c r="AS175" s="233" t="n"/>
      <c r="AT175" s="233" t="n"/>
      <c r="AU175" s="233" t="n"/>
      <c r="AV175" s="233" t="n"/>
      <c r="AW175" s="233" t="n"/>
      <c r="AX175" s="233" t="n"/>
      <c r="AY175" s="233" t="n"/>
      <c r="AZ175" s="233" t="n"/>
      <c r="BA175" s="233" t="n"/>
      <c r="BB175" s="233" t="n"/>
      <c r="BC175" s="233" t="n"/>
      <c r="BD175" s="233" t="n"/>
      <c r="BE175" s="233" t="n"/>
      <c r="BF175" s="233" t="n"/>
      <c r="BG175" s="233" t="n"/>
      <c r="BH175" s="233" t="n"/>
      <c r="BI175" s="233" t="n"/>
      <c r="BJ175" s="233" t="n"/>
      <c r="BK175" s="233" t="n"/>
      <c r="BL175" s="233" t="n"/>
      <c r="BM175" s="233" t="n"/>
    </row>
    <row r="176" ht="15.75" customHeight="1" s="349">
      <c r="A176" s="31" t="n"/>
      <c r="B176" s="307" t="n"/>
      <c r="C176" s="307" t="n"/>
      <c r="D176" s="146" t="n"/>
      <c r="E176" s="307" t="n"/>
      <c r="F176" s="307" t="n"/>
      <c r="G176" s="307" t="n"/>
      <c r="H176" s="307" t="n"/>
      <c r="I176" s="307" t="n"/>
      <c r="J176" s="307" t="n"/>
      <c r="K176" s="307" t="n"/>
      <c r="L176" s="307" t="n"/>
      <c r="M176" s="307" t="n"/>
      <c r="N176" s="307" t="n"/>
      <c r="O176" s="233" t="n"/>
      <c r="P176" s="233" t="n"/>
      <c r="Q176" s="233" t="n"/>
      <c r="R176" s="233" t="n"/>
      <c r="S176" s="233" t="n"/>
      <c r="T176" s="233" t="n"/>
      <c r="U176" s="233" t="n"/>
      <c r="V176" s="233" t="n"/>
      <c r="W176" s="233" t="n"/>
      <c r="X176" s="233" t="n"/>
      <c r="Y176" s="233" t="n"/>
      <c r="Z176" s="233" t="n"/>
      <c r="AA176" s="233" t="n"/>
      <c r="AB176" s="233" t="n"/>
      <c r="AC176" s="233" t="n"/>
      <c r="AD176" s="233" t="n"/>
      <c r="AE176" s="233" t="n"/>
      <c r="AF176" s="233" t="n"/>
      <c r="AG176" s="233" t="n"/>
      <c r="AH176" s="233" t="n"/>
      <c r="AI176" s="233" t="n"/>
      <c r="AJ176" s="233" t="n"/>
      <c r="AK176" s="233" t="n"/>
      <c r="AL176" s="233" t="n"/>
      <c r="AM176" s="233" t="n"/>
      <c r="AN176" s="233" t="n"/>
      <c r="AO176" s="233" t="n"/>
      <c r="AP176" s="233" t="n"/>
      <c r="AQ176" s="233" t="n"/>
      <c r="AR176" s="233" t="n"/>
      <c r="AS176" s="233" t="n"/>
      <c r="AT176" s="233" t="n"/>
      <c r="AU176" s="233" t="n"/>
      <c r="AV176" s="233" t="n"/>
      <c r="AW176" s="233" t="n"/>
      <c r="AX176" s="233" t="n"/>
      <c r="AY176" s="233" t="n"/>
      <c r="AZ176" s="233" t="n"/>
      <c r="BA176" s="233" t="n"/>
      <c r="BB176" s="233" t="n"/>
      <c r="BC176" s="233" t="n"/>
      <c r="BD176" s="233" t="n"/>
      <c r="BE176" s="233" t="n"/>
      <c r="BF176" s="233" t="n"/>
      <c r="BG176" s="233" t="n"/>
      <c r="BH176" s="233" t="n"/>
      <c r="BI176" s="233" t="n"/>
      <c r="BJ176" s="233" t="n"/>
      <c r="BK176" s="233" t="n"/>
      <c r="BL176" s="233" t="n"/>
      <c r="BM176" s="233" t="n"/>
    </row>
    <row r="177" ht="15.75" customHeight="1" s="349">
      <c r="A177" s="31" t="n"/>
      <c r="B177" s="307" t="n"/>
      <c r="C177" s="307" t="n"/>
      <c r="D177" s="146" t="n"/>
      <c r="E177" s="307" t="n"/>
      <c r="F177" s="307" t="n"/>
      <c r="G177" s="307" t="n"/>
      <c r="H177" s="307" t="n"/>
      <c r="I177" s="307" t="n"/>
      <c r="J177" s="307" t="n"/>
      <c r="K177" s="307" t="n"/>
      <c r="L177" s="307" t="n"/>
      <c r="M177" s="307" t="n"/>
      <c r="N177" s="307" t="n"/>
      <c r="O177" s="233" t="n"/>
      <c r="P177" s="233" t="n"/>
      <c r="Q177" s="233" t="n"/>
      <c r="R177" s="233" t="n"/>
      <c r="S177" s="233" t="n"/>
      <c r="T177" s="233" t="n"/>
      <c r="U177" s="233" t="n"/>
      <c r="V177" s="233" t="n"/>
      <c r="W177" s="233" t="n"/>
      <c r="X177" s="233" t="n"/>
      <c r="Y177" s="233" t="n"/>
      <c r="Z177" s="233" t="n"/>
      <c r="AA177" s="233" t="n"/>
      <c r="AB177" s="233" t="n"/>
      <c r="AC177" s="233" t="n"/>
      <c r="AD177" s="233" t="n"/>
      <c r="AE177" s="233" t="n"/>
      <c r="AF177" s="233" t="n"/>
      <c r="AG177" s="233" t="n"/>
      <c r="AH177" s="233" t="n"/>
      <c r="AI177" s="233" t="n"/>
      <c r="AJ177" s="233" t="n"/>
      <c r="AK177" s="233" t="n"/>
      <c r="AL177" s="233" t="n"/>
      <c r="AM177" s="233" t="n"/>
      <c r="AN177" s="233" t="n"/>
      <c r="AO177" s="233" t="n"/>
      <c r="AP177" s="233" t="n"/>
      <c r="AQ177" s="233" t="n"/>
      <c r="AR177" s="233" t="n"/>
      <c r="AS177" s="233" t="n"/>
      <c r="AT177" s="233" t="n"/>
      <c r="AU177" s="233" t="n"/>
      <c r="AV177" s="233" t="n"/>
      <c r="AW177" s="233" t="n"/>
      <c r="AX177" s="233" t="n"/>
      <c r="AY177" s="233" t="n"/>
      <c r="AZ177" s="233" t="n"/>
      <c r="BA177" s="233" t="n"/>
      <c r="BB177" s="233" t="n"/>
      <c r="BC177" s="233" t="n"/>
      <c r="BD177" s="233" t="n"/>
      <c r="BE177" s="233" t="n"/>
      <c r="BF177" s="233" t="n"/>
      <c r="BG177" s="233" t="n"/>
      <c r="BH177" s="233" t="n"/>
      <c r="BI177" s="233" t="n"/>
      <c r="BJ177" s="233" t="n"/>
      <c r="BK177" s="233" t="n"/>
      <c r="BL177" s="233" t="n"/>
      <c r="BM177" s="233" t="n"/>
    </row>
    <row r="178" ht="15.75" customHeight="1" s="349">
      <c r="A178" s="31" t="n"/>
      <c r="B178" s="307" t="n"/>
      <c r="C178" s="307" t="n"/>
      <c r="D178" s="146" t="n"/>
      <c r="E178" s="307" t="n"/>
      <c r="F178" s="307" t="n"/>
      <c r="G178" s="307" t="n"/>
      <c r="H178" s="307" t="n"/>
      <c r="I178" s="307" t="n"/>
      <c r="J178" s="307" t="n"/>
      <c r="K178" s="307" t="n"/>
      <c r="L178" s="307" t="n"/>
      <c r="M178" s="307" t="n"/>
      <c r="N178" s="307" t="n"/>
      <c r="O178" s="233" t="n"/>
      <c r="P178" s="233" t="n"/>
      <c r="Q178" s="233" t="n"/>
      <c r="R178" s="233" t="n"/>
      <c r="S178" s="233" t="n"/>
      <c r="T178" s="233" t="n"/>
      <c r="U178" s="233" t="n"/>
      <c r="V178" s="233" t="n"/>
      <c r="W178" s="233" t="n"/>
      <c r="X178" s="233" t="n"/>
      <c r="Y178" s="233" t="n"/>
      <c r="Z178" s="233" t="n"/>
      <c r="AA178" s="233" t="n"/>
      <c r="AB178" s="233" t="n"/>
      <c r="AC178" s="233" t="n"/>
      <c r="AD178" s="233" t="n"/>
      <c r="AE178" s="233" t="n"/>
      <c r="AF178" s="233" t="n"/>
      <c r="AG178" s="233" t="n"/>
      <c r="AH178" s="233" t="n"/>
      <c r="AI178" s="233" t="n"/>
      <c r="AJ178" s="233" t="n"/>
      <c r="AK178" s="233" t="n"/>
      <c r="AL178" s="233" t="n"/>
      <c r="AM178" s="233" t="n"/>
      <c r="AN178" s="233" t="n"/>
      <c r="AO178" s="233" t="n"/>
      <c r="AP178" s="233" t="n"/>
      <c r="AQ178" s="233" t="n"/>
      <c r="AR178" s="233" t="n"/>
      <c r="AS178" s="233" t="n"/>
      <c r="AT178" s="233" t="n"/>
      <c r="AU178" s="233" t="n"/>
      <c r="AV178" s="233" t="n"/>
      <c r="AW178" s="233" t="n"/>
      <c r="AX178" s="233" t="n"/>
      <c r="AY178" s="233" t="n"/>
      <c r="AZ178" s="233" t="n"/>
      <c r="BA178" s="233" t="n"/>
      <c r="BB178" s="233" t="n"/>
      <c r="BC178" s="233" t="n"/>
      <c r="BD178" s="233" t="n"/>
      <c r="BE178" s="233" t="n"/>
      <c r="BF178" s="233" t="n"/>
      <c r="BG178" s="233" t="n"/>
      <c r="BH178" s="233" t="n"/>
      <c r="BI178" s="233" t="n"/>
      <c r="BJ178" s="233" t="n"/>
      <c r="BK178" s="233" t="n"/>
      <c r="BL178" s="233" t="n"/>
      <c r="BM178" s="233" t="n"/>
    </row>
    <row r="179" ht="15.75" customHeight="1" s="349">
      <c r="A179" s="31" t="n"/>
      <c r="B179" s="307" t="n"/>
      <c r="C179" s="307" t="n"/>
      <c r="D179" s="146" t="n"/>
      <c r="E179" s="307" t="n"/>
      <c r="F179" s="307" t="n"/>
      <c r="G179" s="307" t="n"/>
      <c r="H179" s="307" t="n"/>
      <c r="I179" s="307" t="n"/>
      <c r="J179" s="307" t="n"/>
      <c r="K179" s="307" t="n"/>
      <c r="L179" s="307" t="n"/>
      <c r="M179" s="307" t="n"/>
      <c r="N179" s="307" t="n"/>
      <c r="O179" s="233" t="n"/>
      <c r="P179" s="233" t="n"/>
      <c r="Q179" s="233" t="n"/>
      <c r="R179" s="233" t="n"/>
      <c r="S179" s="233" t="n"/>
      <c r="T179" s="233" t="n"/>
      <c r="U179" s="233" t="n"/>
      <c r="V179" s="233" t="n"/>
      <c r="W179" s="233" t="n"/>
      <c r="X179" s="233" t="n"/>
      <c r="Y179" s="233" t="n"/>
      <c r="Z179" s="233" t="n"/>
      <c r="AA179" s="233" t="n"/>
      <c r="AB179" s="233" t="n"/>
      <c r="AC179" s="233" t="n"/>
      <c r="AD179" s="233" t="n"/>
      <c r="AE179" s="233" t="n"/>
      <c r="AF179" s="233" t="n"/>
      <c r="AG179" s="233" t="n"/>
      <c r="AH179" s="233" t="n"/>
      <c r="AI179" s="233" t="n"/>
      <c r="AJ179" s="233" t="n"/>
      <c r="AK179" s="233" t="n"/>
      <c r="AL179" s="233" t="n"/>
      <c r="AM179" s="233" t="n"/>
      <c r="AN179" s="233" t="n"/>
      <c r="AO179" s="233" t="n"/>
      <c r="AP179" s="233" t="n"/>
      <c r="AQ179" s="233" t="n"/>
      <c r="AR179" s="233" t="n"/>
      <c r="AS179" s="233" t="n"/>
      <c r="AT179" s="233" t="n"/>
      <c r="AU179" s="233" t="n"/>
      <c r="AV179" s="233" t="n"/>
      <c r="AW179" s="233" t="n"/>
      <c r="AX179" s="233" t="n"/>
      <c r="AY179" s="233" t="n"/>
      <c r="AZ179" s="233" t="n"/>
      <c r="BA179" s="233" t="n"/>
      <c r="BB179" s="233" t="n"/>
      <c r="BC179" s="233" t="n"/>
      <c r="BD179" s="233" t="n"/>
      <c r="BE179" s="233" t="n"/>
      <c r="BF179" s="233" t="n"/>
      <c r="BG179" s="233" t="n"/>
      <c r="BH179" s="233" t="n"/>
      <c r="BI179" s="233" t="n"/>
      <c r="BJ179" s="233" t="n"/>
      <c r="BK179" s="233" t="n"/>
      <c r="BL179" s="233" t="n"/>
      <c r="BM179" s="233" t="n"/>
    </row>
    <row r="180" ht="15.75" customHeight="1" s="349">
      <c r="A180" s="31" t="n"/>
      <c r="B180" s="307" t="n"/>
      <c r="C180" s="307" t="n"/>
      <c r="D180" s="146" t="n"/>
      <c r="E180" s="307" t="n"/>
      <c r="F180" s="307" t="n"/>
      <c r="G180" s="307" t="n"/>
      <c r="H180" s="307" t="n"/>
      <c r="I180" s="307" t="n"/>
      <c r="J180" s="307" t="n"/>
      <c r="K180" s="307" t="n"/>
      <c r="L180" s="307" t="n"/>
      <c r="M180" s="307" t="n"/>
      <c r="N180" s="307" t="n"/>
      <c r="O180" s="233" t="n"/>
      <c r="P180" s="233" t="n"/>
      <c r="Q180" s="233" t="n"/>
      <c r="R180" s="233" t="n"/>
      <c r="S180" s="233" t="n"/>
      <c r="T180" s="233" t="n"/>
      <c r="U180" s="233" t="n"/>
      <c r="V180" s="233" t="n"/>
      <c r="W180" s="233" t="n"/>
      <c r="X180" s="233" t="n"/>
      <c r="Y180" s="233" t="n"/>
      <c r="Z180" s="233" t="n"/>
      <c r="AA180" s="233" t="n"/>
      <c r="AB180" s="233" t="n"/>
      <c r="AC180" s="233" t="n"/>
      <c r="AD180" s="233" t="n"/>
      <c r="AE180" s="233" t="n"/>
      <c r="AF180" s="233" t="n"/>
      <c r="AG180" s="233" t="n"/>
      <c r="AH180" s="233" t="n"/>
      <c r="AI180" s="233" t="n"/>
      <c r="AJ180" s="233" t="n"/>
      <c r="AK180" s="233" t="n"/>
      <c r="AL180" s="233" t="n"/>
      <c r="AM180" s="233" t="n"/>
      <c r="AN180" s="233" t="n"/>
      <c r="AO180" s="233" t="n"/>
      <c r="AP180" s="233" t="n"/>
      <c r="AQ180" s="233" t="n"/>
      <c r="AR180" s="233" t="n"/>
      <c r="AS180" s="233" t="n"/>
      <c r="AT180" s="233" t="n"/>
      <c r="AU180" s="233" t="n"/>
      <c r="AV180" s="233" t="n"/>
      <c r="AW180" s="233" t="n"/>
      <c r="AX180" s="233" t="n"/>
      <c r="AY180" s="233" t="n"/>
      <c r="AZ180" s="233" t="n"/>
      <c r="BA180" s="233" t="n"/>
      <c r="BB180" s="233" t="n"/>
      <c r="BC180" s="233" t="n"/>
      <c r="BD180" s="233" t="n"/>
      <c r="BE180" s="233" t="n"/>
      <c r="BF180" s="233" t="n"/>
      <c r="BG180" s="233" t="n"/>
      <c r="BH180" s="233" t="n"/>
      <c r="BI180" s="233" t="n"/>
      <c r="BJ180" s="233" t="n"/>
      <c r="BK180" s="233" t="n"/>
      <c r="BL180" s="233" t="n"/>
      <c r="BM180" s="233" t="n"/>
    </row>
    <row r="181" ht="15.75" customHeight="1" s="349">
      <c r="A181" s="31" t="n"/>
      <c r="B181" s="307" t="n"/>
      <c r="C181" s="307" t="n"/>
      <c r="D181" s="146" t="n"/>
      <c r="E181" s="307" t="n"/>
      <c r="F181" s="307" t="n"/>
      <c r="G181" s="307" t="n"/>
      <c r="H181" s="307" t="n"/>
      <c r="I181" s="307" t="n"/>
      <c r="J181" s="307" t="n"/>
      <c r="K181" s="307" t="n"/>
      <c r="L181" s="307" t="n"/>
      <c r="M181" s="307" t="n"/>
      <c r="N181" s="307" t="n"/>
      <c r="O181" s="233" t="n"/>
      <c r="P181" s="233" t="n"/>
      <c r="Q181" s="233" t="n"/>
      <c r="R181" s="233" t="n"/>
      <c r="S181" s="233" t="n"/>
      <c r="T181" s="233" t="n"/>
      <c r="U181" s="233" t="n"/>
      <c r="V181" s="233" t="n"/>
      <c r="W181" s="233" t="n"/>
      <c r="X181" s="233" t="n"/>
      <c r="Y181" s="233" t="n"/>
      <c r="Z181" s="233" t="n"/>
      <c r="AA181" s="233" t="n"/>
      <c r="AB181" s="233" t="n"/>
      <c r="AC181" s="233" t="n"/>
      <c r="AD181" s="233" t="n"/>
      <c r="AE181" s="233" t="n"/>
      <c r="AF181" s="233" t="n"/>
      <c r="AG181" s="233" t="n"/>
      <c r="AH181" s="233" t="n"/>
      <c r="AI181" s="233" t="n"/>
      <c r="AJ181" s="233" t="n"/>
      <c r="AK181" s="233" t="n"/>
      <c r="AL181" s="233" t="n"/>
      <c r="AM181" s="233" t="n"/>
      <c r="AN181" s="233" t="n"/>
      <c r="AO181" s="233" t="n"/>
      <c r="AP181" s="233" t="n"/>
      <c r="AQ181" s="233" t="n"/>
      <c r="AR181" s="233" t="n"/>
      <c r="AS181" s="233" t="n"/>
      <c r="AT181" s="233" t="n"/>
      <c r="AU181" s="233" t="n"/>
      <c r="AV181" s="233" t="n"/>
      <c r="AW181" s="233" t="n"/>
      <c r="AX181" s="233" t="n"/>
      <c r="AY181" s="233" t="n"/>
      <c r="AZ181" s="233" t="n"/>
      <c r="BA181" s="233" t="n"/>
      <c r="BB181" s="233" t="n"/>
      <c r="BC181" s="233" t="n"/>
      <c r="BD181" s="233" t="n"/>
      <c r="BE181" s="233" t="n"/>
      <c r="BF181" s="233" t="n"/>
      <c r="BG181" s="233" t="n"/>
      <c r="BH181" s="233" t="n"/>
      <c r="BI181" s="233" t="n"/>
      <c r="BJ181" s="233" t="n"/>
      <c r="BK181" s="233" t="n"/>
      <c r="BL181" s="233" t="n"/>
      <c r="BM181" s="233" t="n"/>
    </row>
    <row r="182" ht="15.75" customHeight="1" s="349">
      <c r="A182" s="31" t="n"/>
      <c r="B182" s="307" t="n"/>
      <c r="C182" s="307" t="n"/>
      <c r="D182" s="146" t="n"/>
      <c r="E182" s="307" t="n"/>
      <c r="F182" s="307" t="n"/>
      <c r="G182" s="307" t="n"/>
      <c r="H182" s="307" t="n"/>
      <c r="I182" s="307" t="n"/>
      <c r="J182" s="307" t="n"/>
      <c r="K182" s="307" t="n"/>
      <c r="L182" s="307" t="n"/>
      <c r="M182" s="307" t="n"/>
      <c r="N182" s="307" t="n"/>
      <c r="O182" s="233" t="n"/>
      <c r="P182" s="233" t="n"/>
      <c r="Q182" s="233" t="n"/>
      <c r="R182" s="233" t="n"/>
      <c r="S182" s="233" t="n"/>
      <c r="T182" s="233" t="n"/>
      <c r="U182" s="233" t="n"/>
      <c r="V182" s="233" t="n"/>
      <c r="W182" s="233" t="n"/>
      <c r="X182" s="233" t="n"/>
      <c r="Y182" s="233" t="n"/>
      <c r="Z182" s="233" t="n"/>
      <c r="AA182" s="233" t="n"/>
      <c r="AB182" s="233" t="n"/>
      <c r="AC182" s="233" t="n"/>
      <c r="AD182" s="233" t="n"/>
      <c r="AE182" s="233" t="n"/>
      <c r="AF182" s="233" t="n"/>
      <c r="AG182" s="233" t="n"/>
      <c r="AH182" s="233" t="n"/>
      <c r="AI182" s="233" t="n"/>
      <c r="AJ182" s="233" t="n"/>
      <c r="AK182" s="233" t="n"/>
      <c r="AL182" s="233" t="n"/>
      <c r="AM182" s="233" t="n"/>
      <c r="AN182" s="233" t="n"/>
      <c r="AO182" s="233" t="n"/>
      <c r="AP182" s="233" t="n"/>
      <c r="AQ182" s="233" t="n"/>
      <c r="AR182" s="233" t="n"/>
      <c r="AS182" s="233" t="n"/>
      <c r="AT182" s="233" t="n"/>
      <c r="AU182" s="233" t="n"/>
      <c r="AV182" s="233" t="n"/>
      <c r="AW182" s="233" t="n"/>
      <c r="AX182" s="233" t="n"/>
      <c r="AY182" s="233" t="n"/>
      <c r="AZ182" s="233" t="n"/>
      <c r="BA182" s="233" t="n"/>
      <c r="BB182" s="233" t="n"/>
      <c r="BC182" s="233" t="n"/>
      <c r="BD182" s="233" t="n"/>
      <c r="BE182" s="233" t="n"/>
      <c r="BF182" s="233" t="n"/>
      <c r="BG182" s="233" t="n"/>
      <c r="BH182" s="233" t="n"/>
      <c r="BI182" s="233" t="n"/>
      <c r="BJ182" s="233" t="n"/>
      <c r="BK182" s="233" t="n"/>
      <c r="BL182" s="233" t="n"/>
      <c r="BM182" s="233" t="n"/>
    </row>
    <row r="183" ht="15.75" customHeight="1" s="349">
      <c r="A183" s="31" t="n"/>
      <c r="B183" s="307" t="n"/>
      <c r="C183" s="307" t="n"/>
      <c r="D183" s="146" t="n"/>
      <c r="E183" s="307" t="n"/>
      <c r="F183" s="307" t="n"/>
      <c r="G183" s="307" t="n"/>
      <c r="H183" s="307" t="n"/>
      <c r="I183" s="307" t="n"/>
      <c r="J183" s="307" t="n"/>
      <c r="K183" s="307" t="n"/>
      <c r="L183" s="307" t="n"/>
      <c r="M183" s="307" t="n"/>
      <c r="N183" s="307" t="n"/>
      <c r="O183" s="233" t="n"/>
      <c r="P183" s="233" t="n"/>
      <c r="Q183" s="233" t="n"/>
      <c r="R183" s="233" t="n"/>
      <c r="S183" s="233" t="n"/>
      <c r="T183" s="233" t="n"/>
      <c r="U183" s="233" t="n"/>
      <c r="V183" s="233" t="n"/>
      <c r="W183" s="233" t="n"/>
      <c r="X183" s="233" t="n"/>
      <c r="Y183" s="233" t="n"/>
      <c r="Z183" s="233" t="n"/>
      <c r="AA183" s="233" t="n"/>
      <c r="AB183" s="233" t="n"/>
      <c r="AC183" s="233" t="n"/>
      <c r="AD183" s="233" t="n"/>
      <c r="AE183" s="233" t="n"/>
      <c r="AF183" s="233" t="n"/>
      <c r="AG183" s="233" t="n"/>
      <c r="AH183" s="233" t="n"/>
      <c r="AI183" s="233" t="n"/>
      <c r="AJ183" s="233" t="n"/>
      <c r="AK183" s="233" t="n"/>
      <c r="AL183" s="233" t="n"/>
      <c r="AM183" s="233" t="n"/>
      <c r="AN183" s="233" t="n"/>
      <c r="AO183" s="233" t="n"/>
      <c r="AP183" s="233" t="n"/>
      <c r="AQ183" s="233" t="n"/>
      <c r="AR183" s="233" t="n"/>
      <c r="AS183" s="233" t="n"/>
      <c r="AT183" s="233" t="n"/>
      <c r="AU183" s="233" t="n"/>
      <c r="AV183" s="233" t="n"/>
      <c r="AW183" s="233" t="n"/>
      <c r="AX183" s="233" t="n"/>
      <c r="AY183" s="233" t="n"/>
      <c r="AZ183" s="233" t="n"/>
      <c r="BA183" s="233" t="n"/>
      <c r="BB183" s="233" t="n"/>
      <c r="BC183" s="233" t="n"/>
      <c r="BD183" s="233" t="n"/>
      <c r="BE183" s="233" t="n"/>
      <c r="BF183" s="233" t="n"/>
      <c r="BG183" s="233" t="n"/>
      <c r="BH183" s="233" t="n"/>
      <c r="BI183" s="233" t="n"/>
      <c r="BJ183" s="233" t="n"/>
      <c r="BK183" s="233" t="n"/>
      <c r="BL183" s="233" t="n"/>
      <c r="BM183" s="233" t="n"/>
    </row>
    <row r="184" ht="15.75" customHeight="1" s="349">
      <c r="A184" s="31" t="n"/>
      <c r="B184" s="307" t="n"/>
      <c r="C184" s="307" t="n"/>
      <c r="D184" s="146" t="n"/>
      <c r="E184" s="307" t="n"/>
      <c r="F184" s="307" t="n"/>
      <c r="G184" s="307" t="n"/>
      <c r="H184" s="307" t="n"/>
      <c r="I184" s="307" t="n"/>
      <c r="J184" s="307" t="n"/>
      <c r="K184" s="307" t="n"/>
      <c r="L184" s="307" t="n"/>
      <c r="M184" s="307" t="n"/>
      <c r="N184" s="307" t="n"/>
      <c r="O184" s="233" t="n"/>
      <c r="P184" s="233" t="n"/>
      <c r="Q184" s="233" t="n"/>
      <c r="R184" s="233" t="n"/>
      <c r="S184" s="233" t="n"/>
      <c r="T184" s="233" t="n"/>
      <c r="U184" s="233" t="n"/>
      <c r="V184" s="233" t="n"/>
      <c r="W184" s="233" t="n"/>
      <c r="X184" s="233" t="n"/>
      <c r="Y184" s="233" t="n"/>
      <c r="Z184" s="233" t="n"/>
      <c r="AA184" s="233" t="n"/>
      <c r="AB184" s="233" t="n"/>
      <c r="AC184" s="233" t="n"/>
      <c r="AD184" s="233" t="n"/>
      <c r="AE184" s="233" t="n"/>
      <c r="AF184" s="233" t="n"/>
      <c r="AG184" s="233" t="n"/>
      <c r="AH184" s="233" t="n"/>
      <c r="AI184" s="233" t="n"/>
      <c r="AJ184" s="233" t="n"/>
      <c r="AK184" s="233" t="n"/>
      <c r="AL184" s="233" t="n"/>
      <c r="AM184" s="233" t="n"/>
      <c r="AN184" s="233" t="n"/>
      <c r="AO184" s="233" t="n"/>
      <c r="AP184" s="233" t="n"/>
      <c r="AQ184" s="233" t="n"/>
      <c r="AR184" s="233" t="n"/>
      <c r="AS184" s="233" t="n"/>
      <c r="AT184" s="233" t="n"/>
      <c r="AU184" s="233" t="n"/>
      <c r="AV184" s="233" t="n"/>
      <c r="AW184" s="233" t="n"/>
      <c r="AX184" s="233" t="n"/>
      <c r="AY184" s="233" t="n"/>
      <c r="AZ184" s="233" t="n"/>
      <c r="BA184" s="233" t="n"/>
      <c r="BB184" s="233" t="n"/>
      <c r="BC184" s="233" t="n"/>
      <c r="BD184" s="233" t="n"/>
      <c r="BE184" s="233" t="n"/>
      <c r="BF184" s="233" t="n"/>
      <c r="BG184" s="233" t="n"/>
      <c r="BH184" s="233" t="n"/>
      <c r="BI184" s="233" t="n"/>
      <c r="BJ184" s="233" t="n"/>
      <c r="BK184" s="233" t="n"/>
      <c r="BL184" s="233" t="n"/>
      <c r="BM184" s="233" t="n"/>
    </row>
    <row r="185" ht="15.75" customHeight="1" s="349">
      <c r="A185" s="31" t="n"/>
      <c r="B185" s="307" t="n"/>
      <c r="C185" s="307" t="n"/>
      <c r="D185" s="146" t="n"/>
      <c r="E185" s="307" t="n"/>
      <c r="F185" s="307" t="n"/>
      <c r="G185" s="307" t="n"/>
      <c r="H185" s="307" t="n"/>
      <c r="I185" s="307" t="n"/>
      <c r="J185" s="307" t="n"/>
      <c r="K185" s="307" t="n"/>
      <c r="L185" s="307" t="n"/>
      <c r="M185" s="307" t="n"/>
      <c r="N185" s="307" t="n"/>
      <c r="O185" s="233" t="n"/>
      <c r="P185" s="233" t="n"/>
      <c r="Q185" s="233" t="n"/>
      <c r="R185" s="233" t="n"/>
      <c r="S185" s="233" t="n"/>
      <c r="T185" s="233" t="n"/>
      <c r="U185" s="233" t="n"/>
      <c r="V185" s="233" t="n"/>
      <c r="W185" s="233" t="n"/>
      <c r="X185" s="233" t="n"/>
      <c r="Y185" s="233" t="n"/>
      <c r="Z185" s="233" t="n"/>
      <c r="AA185" s="233" t="n"/>
      <c r="AB185" s="233" t="n"/>
      <c r="AC185" s="233" t="n"/>
      <c r="AD185" s="233" t="n"/>
      <c r="AE185" s="233" t="n"/>
      <c r="AF185" s="233" t="n"/>
      <c r="AG185" s="233" t="n"/>
      <c r="AH185" s="233" t="n"/>
      <c r="AI185" s="233" t="n"/>
      <c r="AJ185" s="233" t="n"/>
      <c r="AK185" s="233" t="n"/>
      <c r="AL185" s="233" t="n"/>
      <c r="AM185" s="233" t="n"/>
      <c r="AN185" s="233" t="n"/>
      <c r="AO185" s="233" t="n"/>
      <c r="AP185" s="233" t="n"/>
      <c r="AQ185" s="233" t="n"/>
      <c r="AR185" s="233" t="n"/>
      <c r="AS185" s="233" t="n"/>
      <c r="AT185" s="233" t="n"/>
      <c r="AU185" s="233" t="n"/>
      <c r="AV185" s="233" t="n"/>
      <c r="AW185" s="233" t="n"/>
      <c r="AX185" s="233" t="n"/>
      <c r="AY185" s="233" t="n"/>
      <c r="AZ185" s="233" t="n"/>
      <c r="BA185" s="233" t="n"/>
      <c r="BB185" s="233" t="n"/>
      <c r="BC185" s="233" t="n"/>
      <c r="BD185" s="233" t="n"/>
      <c r="BE185" s="233" t="n"/>
      <c r="BF185" s="233" t="n"/>
      <c r="BG185" s="233" t="n"/>
      <c r="BH185" s="233" t="n"/>
      <c r="BI185" s="233" t="n"/>
      <c r="BJ185" s="233" t="n"/>
      <c r="BK185" s="233" t="n"/>
      <c r="BL185" s="233" t="n"/>
      <c r="BM185" s="233" t="n"/>
    </row>
    <row r="186" ht="15.75" customHeight="1" s="349">
      <c r="A186" s="31" t="n"/>
      <c r="B186" s="307" t="n"/>
      <c r="C186" s="307" t="n"/>
      <c r="D186" s="146" t="n"/>
      <c r="E186" s="307" t="n"/>
      <c r="F186" s="307" t="n"/>
      <c r="G186" s="307" t="n"/>
      <c r="H186" s="307" t="n"/>
      <c r="I186" s="307" t="n"/>
      <c r="J186" s="307" t="n"/>
      <c r="K186" s="307" t="n"/>
      <c r="L186" s="307" t="n"/>
      <c r="M186" s="307" t="n"/>
      <c r="N186" s="307" t="n"/>
      <c r="O186" s="233" t="n"/>
      <c r="P186" s="233" t="n"/>
      <c r="Q186" s="233" t="n"/>
      <c r="R186" s="233" t="n"/>
      <c r="S186" s="233" t="n"/>
      <c r="T186" s="233" t="n"/>
      <c r="U186" s="233" t="n"/>
      <c r="V186" s="233" t="n"/>
      <c r="W186" s="233" t="n"/>
      <c r="X186" s="233" t="n"/>
      <c r="Y186" s="233" t="n"/>
      <c r="Z186" s="233" t="n"/>
      <c r="AA186" s="233" t="n"/>
      <c r="AB186" s="233" t="n"/>
      <c r="AC186" s="233" t="n"/>
      <c r="AD186" s="233" t="n"/>
      <c r="AE186" s="233" t="n"/>
      <c r="AF186" s="233" t="n"/>
      <c r="AG186" s="233" t="n"/>
      <c r="AH186" s="233" t="n"/>
      <c r="AI186" s="233" t="n"/>
      <c r="AJ186" s="233" t="n"/>
      <c r="AK186" s="233" t="n"/>
      <c r="AL186" s="233" t="n"/>
      <c r="AM186" s="233" t="n"/>
      <c r="AN186" s="233" t="n"/>
      <c r="AO186" s="233" t="n"/>
      <c r="AP186" s="233" t="n"/>
      <c r="AQ186" s="233" t="n"/>
      <c r="AR186" s="233" t="n"/>
      <c r="AS186" s="233" t="n"/>
      <c r="AT186" s="233" t="n"/>
      <c r="AU186" s="233" t="n"/>
      <c r="AV186" s="233" t="n"/>
      <c r="AW186" s="233" t="n"/>
      <c r="AX186" s="233" t="n"/>
      <c r="AY186" s="233" t="n"/>
      <c r="AZ186" s="233" t="n"/>
      <c r="BA186" s="233" t="n"/>
      <c r="BB186" s="233" t="n"/>
      <c r="BC186" s="233" t="n"/>
      <c r="BD186" s="233" t="n"/>
      <c r="BE186" s="233" t="n"/>
      <c r="BF186" s="233" t="n"/>
      <c r="BG186" s="233" t="n"/>
      <c r="BH186" s="233" t="n"/>
      <c r="BI186" s="233" t="n"/>
      <c r="BJ186" s="233" t="n"/>
      <c r="BK186" s="233" t="n"/>
      <c r="BL186" s="233" t="n"/>
      <c r="BM186" s="233" t="n"/>
    </row>
    <row r="187" ht="15.75" customHeight="1" s="349">
      <c r="A187" s="31" t="n"/>
      <c r="B187" s="307" t="n"/>
      <c r="C187" s="307" t="n"/>
      <c r="D187" s="146" t="n"/>
      <c r="E187" s="307" t="n"/>
      <c r="F187" s="307" t="n"/>
      <c r="G187" s="307" t="n"/>
      <c r="H187" s="307" t="n"/>
      <c r="I187" s="307" t="n"/>
      <c r="J187" s="307" t="n"/>
      <c r="K187" s="307" t="n"/>
      <c r="L187" s="307" t="n"/>
      <c r="M187" s="307" t="n"/>
      <c r="N187" s="307" t="n"/>
      <c r="O187" s="233" t="n"/>
      <c r="P187" s="233" t="n"/>
      <c r="Q187" s="233" t="n"/>
      <c r="R187" s="233" t="n"/>
      <c r="S187" s="233" t="n"/>
      <c r="T187" s="233" t="n"/>
      <c r="U187" s="233" t="n"/>
      <c r="V187" s="233" t="n"/>
      <c r="W187" s="233" t="n"/>
      <c r="X187" s="233" t="n"/>
      <c r="Y187" s="233" t="n"/>
      <c r="Z187" s="233" t="n"/>
      <c r="AA187" s="233" t="n"/>
      <c r="AB187" s="233" t="n"/>
      <c r="AC187" s="233" t="n"/>
      <c r="AD187" s="233" t="n"/>
      <c r="AE187" s="233" t="n"/>
      <c r="AF187" s="233" t="n"/>
      <c r="AG187" s="233" t="n"/>
      <c r="AH187" s="233" t="n"/>
      <c r="AI187" s="233" t="n"/>
      <c r="AJ187" s="233" t="n"/>
      <c r="AK187" s="233" t="n"/>
      <c r="AL187" s="233" t="n"/>
      <c r="AM187" s="233" t="n"/>
      <c r="AN187" s="233" t="n"/>
      <c r="AO187" s="233" t="n"/>
      <c r="AP187" s="233" t="n"/>
      <c r="AQ187" s="233" t="n"/>
      <c r="AR187" s="233" t="n"/>
      <c r="AS187" s="233" t="n"/>
      <c r="AT187" s="233" t="n"/>
      <c r="AU187" s="233" t="n"/>
      <c r="AV187" s="233" t="n"/>
      <c r="AW187" s="233" t="n"/>
      <c r="AX187" s="233" t="n"/>
      <c r="AY187" s="233" t="n"/>
      <c r="AZ187" s="233" t="n"/>
      <c r="BA187" s="233" t="n"/>
      <c r="BB187" s="233" t="n"/>
      <c r="BC187" s="233" t="n"/>
      <c r="BD187" s="233" t="n"/>
      <c r="BE187" s="233" t="n"/>
      <c r="BF187" s="233" t="n"/>
      <c r="BG187" s="233" t="n"/>
      <c r="BH187" s="233" t="n"/>
      <c r="BI187" s="233" t="n"/>
      <c r="BJ187" s="233" t="n"/>
      <c r="BK187" s="233" t="n"/>
      <c r="BL187" s="233" t="n"/>
      <c r="BM187" s="233" t="n"/>
    </row>
    <row r="188" ht="15.75" customHeight="1" s="349">
      <c r="A188" s="31" t="n"/>
      <c r="B188" s="307" t="n"/>
      <c r="C188" s="307" t="n"/>
      <c r="D188" s="146" t="n"/>
      <c r="E188" s="307" t="n"/>
      <c r="F188" s="307" t="n"/>
      <c r="G188" s="307" t="n"/>
      <c r="H188" s="307" t="n"/>
      <c r="I188" s="307" t="n"/>
      <c r="J188" s="307" t="n"/>
      <c r="K188" s="307" t="n"/>
      <c r="L188" s="307" t="n"/>
      <c r="M188" s="307" t="n"/>
      <c r="N188" s="307" t="n"/>
      <c r="O188" s="233" t="n"/>
      <c r="P188" s="233" t="n"/>
      <c r="Q188" s="233" t="n"/>
      <c r="R188" s="233" t="n"/>
      <c r="S188" s="233" t="n"/>
      <c r="T188" s="233" t="n"/>
      <c r="U188" s="233" t="n"/>
      <c r="V188" s="233" t="n"/>
      <c r="W188" s="233" t="n"/>
      <c r="X188" s="233" t="n"/>
      <c r="Y188" s="233" t="n"/>
      <c r="Z188" s="233" t="n"/>
      <c r="AA188" s="233" t="n"/>
      <c r="AB188" s="233" t="n"/>
      <c r="AC188" s="233" t="n"/>
      <c r="AD188" s="233" t="n"/>
      <c r="AE188" s="233" t="n"/>
      <c r="AF188" s="233" t="n"/>
      <c r="AG188" s="233" t="n"/>
      <c r="AH188" s="233" t="n"/>
      <c r="AI188" s="233" t="n"/>
      <c r="AJ188" s="233" t="n"/>
      <c r="AK188" s="233" t="n"/>
      <c r="AL188" s="233" t="n"/>
      <c r="AM188" s="233" t="n"/>
      <c r="AN188" s="233" t="n"/>
      <c r="AO188" s="233" t="n"/>
      <c r="AP188" s="233" t="n"/>
      <c r="AQ188" s="233" t="n"/>
      <c r="AR188" s="233" t="n"/>
      <c r="AS188" s="233" t="n"/>
      <c r="AT188" s="233" t="n"/>
      <c r="AU188" s="233" t="n"/>
      <c r="AV188" s="233" t="n"/>
      <c r="AW188" s="233" t="n"/>
      <c r="AX188" s="233" t="n"/>
      <c r="AY188" s="233" t="n"/>
      <c r="AZ188" s="233" t="n"/>
      <c r="BA188" s="233" t="n"/>
      <c r="BB188" s="233" t="n"/>
      <c r="BC188" s="233" t="n"/>
      <c r="BD188" s="233" t="n"/>
      <c r="BE188" s="233" t="n"/>
      <c r="BF188" s="233" t="n"/>
      <c r="BG188" s="233" t="n"/>
      <c r="BH188" s="233" t="n"/>
      <c r="BI188" s="233" t="n"/>
      <c r="BJ188" s="233" t="n"/>
      <c r="BK188" s="233" t="n"/>
      <c r="BL188" s="233" t="n"/>
      <c r="BM188" s="233" t="n"/>
    </row>
    <row r="189" ht="15.75" customHeight="1" s="349">
      <c r="A189" s="31" t="n"/>
      <c r="B189" s="307" t="n"/>
      <c r="C189" s="307" t="n"/>
      <c r="D189" s="146" t="n"/>
      <c r="E189" s="307" t="n"/>
      <c r="F189" s="307" t="n"/>
      <c r="G189" s="307" t="n"/>
      <c r="H189" s="307" t="n"/>
      <c r="I189" s="307" t="n"/>
      <c r="J189" s="307" t="n"/>
      <c r="K189" s="307" t="n"/>
      <c r="L189" s="307" t="n"/>
      <c r="M189" s="307" t="n"/>
      <c r="N189" s="307" t="n"/>
      <c r="O189" s="233" t="n"/>
      <c r="P189" s="233" t="n"/>
      <c r="Q189" s="233" t="n"/>
      <c r="R189" s="233" t="n"/>
      <c r="S189" s="233" t="n"/>
      <c r="T189" s="233" t="n"/>
      <c r="U189" s="233" t="n"/>
      <c r="V189" s="233" t="n"/>
      <c r="W189" s="233" t="n"/>
      <c r="X189" s="233" t="n"/>
      <c r="Y189" s="233" t="n"/>
      <c r="Z189" s="233" t="n"/>
      <c r="AA189" s="233" t="n"/>
      <c r="AB189" s="233" t="n"/>
      <c r="AC189" s="233" t="n"/>
      <c r="AD189" s="233" t="n"/>
      <c r="AE189" s="233" t="n"/>
      <c r="AF189" s="233" t="n"/>
      <c r="AG189" s="233" t="n"/>
      <c r="AH189" s="233" t="n"/>
      <c r="AI189" s="233" t="n"/>
      <c r="AJ189" s="233" t="n"/>
      <c r="AK189" s="233" t="n"/>
      <c r="AL189" s="233" t="n"/>
      <c r="AM189" s="233" t="n"/>
      <c r="AN189" s="233" t="n"/>
      <c r="AO189" s="233" t="n"/>
      <c r="AP189" s="233" t="n"/>
      <c r="AQ189" s="233" t="n"/>
      <c r="AR189" s="233" t="n"/>
      <c r="AS189" s="233" t="n"/>
      <c r="AT189" s="233" t="n"/>
      <c r="AU189" s="233" t="n"/>
      <c r="AV189" s="233" t="n"/>
      <c r="AW189" s="233" t="n"/>
      <c r="AX189" s="233" t="n"/>
      <c r="AY189" s="233" t="n"/>
      <c r="AZ189" s="233" t="n"/>
      <c r="BA189" s="233" t="n"/>
      <c r="BB189" s="233" t="n"/>
      <c r="BC189" s="233" t="n"/>
      <c r="BD189" s="233" t="n"/>
      <c r="BE189" s="233" t="n"/>
      <c r="BF189" s="233" t="n"/>
      <c r="BG189" s="233" t="n"/>
      <c r="BH189" s="233" t="n"/>
      <c r="BI189" s="233" t="n"/>
      <c r="BJ189" s="233" t="n"/>
      <c r="BK189" s="233" t="n"/>
      <c r="BL189" s="233" t="n"/>
      <c r="BM189" s="233" t="n"/>
    </row>
    <row r="190" ht="15.75" customHeight="1" s="349">
      <c r="A190" s="31" t="n"/>
      <c r="B190" s="307" t="n"/>
      <c r="C190" s="307" t="n"/>
      <c r="D190" s="146" t="n"/>
      <c r="E190" s="307" t="n"/>
      <c r="F190" s="307" t="n"/>
      <c r="G190" s="307" t="n"/>
      <c r="H190" s="307" t="n"/>
      <c r="I190" s="307" t="n"/>
      <c r="J190" s="307" t="n"/>
      <c r="K190" s="307" t="n"/>
      <c r="L190" s="307" t="n"/>
      <c r="M190" s="307" t="n"/>
      <c r="N190" s="307" t="n"/>
      <c r="O190" s="233" t="n"/>
      <c r="P190" s="233" t="n"/>
      <c r="Q190" s="233" t="n"/>
      <c r="R190" s="233" t="n"/>
      <c r="S190" s="233" t="n"/>
      <c r="T190" s="233" t="n"/>
      <c r="U190" s="233" t="n"/>
      <c r="V190" s="233" t="n"/>
      <c r="W190" s="233" t="n"/>
      <c r="X190" s="233" t="n"/>
      <c r="Y190" s="233" t="n"/>
      <c r="Z190" s="233" t="n"/>
      <c r="AA190" s="233" t="n"/>
      <c r="AB190" s="233" t="n"/>
      <c r="AC190" s="233" t="n"/>
      <c r="AD190" s="233" t="n"/>
      <c r="AE190" s="233" t="n"/>
      <c r="AF190" s="233" t="n"/>
      <c r="AG190" s="233" t="n"/>
      <c r="AH190" s="233" t="n"/>
      <c r="AI190" s="233" t="n"/>
      <c r="AJ190" s="233" t="n"/>
      <c r="AK190" s="233" t="n"/>
      <c r="AL190" s="233" t="n"/>
      <c r="AM190" s="233" t="n"/>
      <c r="AN190" s="233" t="n"/>
      <c r="AO190" s="233" t="n"/>
      <c r="AP190" s="233" t="n"/>
      <c r="AQ190" s="233" t="n"/>
      <c r="AR190" s="233" t="n"/>
      <c r="AS190" s="233" t="n"/>
      <c r="AT190" s="233" t="n"/>
      <c r="AU190" s="233" t="n"/>
      <c r="AV190" s="233" t="n"/>
      <c r="AW190" s="233" t="n"/>
      <c r="AX190" s="233" t="n"/>
      <c r="AY190" s="233" t="n"/>
      <c r="AZ190" s="233" t="n"/>
      <c r="BA190" s="233" t="n"/>
      <c r="BB190" s="233" t="n"/>
      <c r="BC190" s="233" t="n"/>
      <c r="BD190" s="233" t="n"/>
      <c r="BE190" s="233" t="n"/>
      <c r="BF190" s="233" t="n"/>
      <c r="BG190" s="233" t="n"/>
      <c r="BH190" s="233" t="n"/>
      <c r="BI190" s="233" t="n"/>
      <c r="BJ190" s="233" t="n"/>
      <c r="BK190" s="233" t="n"/>
      <c r="BL190" s="233" t="n"/>
      <c r="BM190" s="233" t="n"/>
    </row>
    <row r="191" ht="15.75" customHeight="1" s="349">
      <c r="A191" s="31" t="n"/>
      <c r="B191" s="307" t="n"/>
      <c r="C191" s="307" t="n"/>
      <c r="D191" s="146" t="n"/>
      <c r="E191" s="307" t="n"/>
      <c r="F191" s="307" t="n"/>
      <c r="G191" s="307" t="n"/>
      <c r="H191" s="307" t="n"/>
      <c r="I191" s="307" t="n"/>
      <c r="J191" s="307" t="n"/>
      <c r="K191" s="307" t="n"/>
      <c r="L191" s="307" t="n"/>
      <c r="M191" s="307" t="n"/>
      <c r="N191" s="307" t="n"/>
      <c r="O191" s="233" t="n"/>
      <c r="P191" s="233" t="n"/>
      <c r="Q191" s="233" t="n"/>
      <c r="R191" s="233" t="n"/>
      <c r="S191" s="233" t="n"/>
      <c r="T191" s="233" t="n"/>
      <c r="U191" s="233" t="n"/>
      <c r="V191" s="233" t="n"/>
      <c r="W191" s="233" t="n"/>
      <c r="X191" s="233" t="n"/>
      <c r="Y191" s="233" t="n"/>
      <c r="Z191" s="233" t="n"/>
      <c r="AA191" s="233" t="n"/>
      <c r="AB191" s="233" t="n"/>
      <c r="AC191" s="233" t="n"/>
      <c r="AD191" s="233" t="n"/>
      <c r="AE191" s="233" t="n"/>
      <c r="AF191" s="233" t="n"/>
      <c r="AG191" s="233" t="n"/>
      <c r="AH191" s="233" t="n"/>
      <c r="AI191" s="233" t="n"/>
      <c r="AJ191" s="233" t="n"/>
      <c r="AK191" s="233" t="n"/>
      <c r="AL191" s="233" t="n"/>
      <c r="AM191" s="233" t="n"/>
      <c r="AN191" s="233" t="n"/>
      <c r="AO191" s="233" t="n"/>
      <c r="AP191" s="233" t="n"/>
      <c r="AQ191" s="233" t="n"/>
      <c r="AR191" s="233" t="n"/>
      <c r="AS191" s="233" t="n"/>
      <c r="AT191" s="233" t="n"/>
      <c r="AU191" s="233" t="n"/>
      <c r="AV191" s="233" t="n"/>
      <c r="AW191" s="233" t="n"/>
      <c r="AX191" s="233" t="n"/>
      <c r="AY191" s="233" t="n"/>
      <c r="AZ191" s="233" t="n"/>
      <c r="BA191" s="233" t="n"/>
      <c r="BB191" s="233" t="n"/>
      <c r="BC191" s="233" t="n"/>
      <c r="BD191" s="233" t="n"/>
      <c r="BE191" s="233" t="n"/>
      <c r="BF191" s="233" t="n"/>
      <c r="BG191" s="233" t="n"/>
      <c r="BH191" s="233" t="n"/>
      <c r="BI191" s="233" t="n"/>
      <c r="BJ191" s="233" t="n"/>
      <c r="BK191" s="233" t="n"/>
      <c r="BL191" s="233" t="n"/>
      <c r="BM191" s="233" t="n"/>
    </row>
    <row r="192" ht="15.75" customHeight="1" s="349">
      <c r="A192" s="31" t="n"/>
      <c r="B192" s="307" t="n"/>
      <c r="C192" s="307" t="n"/>
      <c r="D192" s="146" t="n"/>
      <c r="E192" s="307" t="n"/>
      <c r="F192" s="307" t="n"/>
      <c r="G192" s="307" t="n"/>
      <c r="H192" s="307" t="n"/>
      <c r="I192" s="307" t="n"/>
      <c r="J192" s="307" t="n"/>
      <c r="K192" s="307" t="n"/>
      <c r="L192" s="307" t="n"/>
      <c r="M192" s="307" t="n"/>
      <c r="N192" s="307" t="n"/>
      <c r="O192" s="233" t="n"/>
      <c r="P192" s="233" t="n"/>
      <c r="Q192" s="233" t="n"/>
      <c r="R192" s="233" t="n"/>
      <c r="S192" s="233" t="n"/>
      <c r="T192" s="233" t="n"/>
      <c r="U192" s="233" t="n"/>
      <c r="V192" s="233" t="n"/>
      <c r="W192" s="233" t="n"/>
      <c r="X192" s="233" t="n"/>
      <c r="Y192" s="233" t="n"/>
      <c r="Z192" s="233" t="n"/>
      <c r="AA192" s="233" t="n"/>
      <c r="AB192" s="233" t="n"/>
      <c r="AC192" s="233" t="n"/>
      <c r="AD192" s="233" t="n"/>
      <c r="AE192" s="233" t="n"/>
      <c r="AF192" s="233" t="n"/>
      <c r="AG192" s="233" t="n"/>
      <c r="AH192" s="233" t="n"/>
      <c r="AI192" s="233" t="n"/>
      <c r="AJ192" s="233" t="n"/>
      <c r="AK192" s="233" t="n"/>
      <c r="AL192" s="233" t="n"/>
      <c r="AM192" s="233" t="n"/>
      <c r="AN192" s="233" t="n"/>
      <c r="AO192" s="233" t="n"/>
      <c r="AP192" s="233" t="n"/>
      <c r="AQ192" s="233" t="n"/>
      <c r="AR192" s="233" t="n"/>
      <c r="AS192" s="233" t="n"/>
      <c r="AT192" s="233" t="n"/>
      <c r="AU192" s="233" t="n"/>
      <c r="AV192" s="233" t="n"/>
      <c r="AW192" s="233" t="n"/>
      <c r="AX192" s="233" t="n"/>
      <c r="AY192" s="233" t="n"/>
      <c r="AZ192" s="233" t="n"/>
      <c r="BA192" s="233" t="n"/>
      <c r="BB192" s="233" t="n"/>
      <c r="BC192" s="233" t="n"/>
      <c r="BD192" s="233" t="n"/>
      <c r="BE192" s="233" t="n"/>
      <c r="BF192" s="233" t="n"/>
      <c r="BG192" s="233" t="n"/>
      <c r="BH192" s="233" t="n"/>
      <c r="BI192" s="233" t="n"/>
      <c r="BJ192" s="233" t="n"/>
      <c r="BK192" s="233" t="n"/>
      <c r="BL192" s="233" t="n"/>
      <c r="BM192" s="233" t="n"/>
    </row>
    <row r="193" ht="15.75" customHeight="1" s="349">
      <c r="A193" s="31" t="n"/>
      <c r="B193" s="307" t="n"/>
      <c r="C193" s="307" t="n"/>
      <c r="D193" s="146" t="n"/>
      <c r="E193" s="307" t="n"/>
      <c r="F193" s="307" t="n"/>
      <c r="G193" s="307" t="n"/>
      <c r="H193" s="307" t="n"/>
      <c r="I193" s="307" t="n"/>
      <c r="J193" s="307" t="n"/>
      <c r="K193" s="307" t="n"/>
      <c r="L193" s="307" t="n"/>
      <c r="M193" s="307" t="n"/>
      <c r="N193" s="307" t="n"/>
      <c r="O193" s="233" t="n"/>
      <c r="P193" s="233" t="n"/>
      <c r="Q193" s="233" t="n"/>
      <c r="R193" s="233" t="n"/>
      <c r="S193" s="233" t="n"/>
      <c r="T193" s="233" t="n"/>
      <c r="U193" s="233" t="n"/>
      <c r="V193" s="233" t="n"/>
      <c r="W193" s="233" t="n"/>
      <c r="X193" s="233" t="n"/>
      <c r="Y193" s="233" t="n"/>
      <c r="Z193" s="233" t="n"/>
      <c r="AA193" s="233" t="n"/>
      <c r="AB193" s="233" t="n"/>
      <c r="AC193" s="233" t="n"/>
      <c r="AD193" s="233" t="n"/>
      <c r="AE193" s="233" t="n"/>
      <c r="AF193" s="233" t="n"/>
      <c r="AG193" s="233" t="n"/>
      <c r="AH193" s="233" t="n"/>
      <c r="AI193" s="233" t="n"/>
      <c r="AJ193" s="233" t="n"/>
      <c r="AK193" s="233" t="n"/>
      <c r="AL193" s="233" t="n"/>
      <c r="AM193" s="233" t="n"/>
      <c r="AN193" s="233" t="n"/>
      <c r="AO193" s="233" t="n"/>
      <c r="AP193" s="233" t="n"/>
      <c r="AQ193" s="233" t="n"/>
      <c r="AR193" s="233" t="n"/>
      <c r="AS193" s="233" t="n"/>
      <c r="AT193" s="233" t="n"/>
      <c r="AU193" s="233" t="n"/>
      <c r="AV193" s="233" t="n"/>
      <c r="AW193" s="233" t="n"/>
      <c r="AX193" s="233" t="n"/>
      <c r="AY193" s="233" t="n"/>
      <c r="AZ193" s="233" t="n"/>
      <c r="BA193" s="233" t="n"/>
      <c r="BB193" s="233" t="n"/>
      <c r="BC193" s="233" t="n"/>
      <c r="BD193" s="233" t="n"/>
      <c r="BE193" s="233" t="n"/>
      <c r="BF193" s="233" t="n"/>
      <c r="BG193" s="233" t="n"/>
      <c r="BH193" s="233" t="n"/>
      <c r="BI193" s="233" t="n"/>
      <c r="BJ193" s="233" t="n"/>
      <c r="BK193" s="233" t="n"/>
      <c r="BL193" s="233" t="n"/>
      <c r="BM193" s="233" t="n"/>
    </row>
    <row r="194" ht="15.75" customHeight="1" s="349">
      <c r="A194" s="31" t="n"/>
      <c r="B194" s="307" t="n"/>
      <c r="C194" s="307" t="n"/>
      <c r="D194" s="146" t="n"/>
      <c r="E194" s="307" t="n"/>
      <c r="F194" s="307" t="n"/>
      <c r="G194" s="307" t="n"/>
      <c r="H194" s="307" t="n"/>
      <c r="I194" s="307" t="n"/>
      <c r="J194" s="307" t="n"/>
      <c r="K194" s="307" t="n"/>
      <c r="L194" s="307" t="n"/>
      <c r="M194" s="307" t="n"/>
      <c r="N194" s="307" t="n"/>
      <c r="O194" s="233" t="n"/>
      <c r="P194" s="233" t="n"/>
      <c r="Q194" s="233" t="n"/>
      <c r="R194" s="233" t="n"/>
      <c r="S194" s="233" t="n"/>
      <c r="T194" s="233" t="n"/>
      <c r="U194" s="233" t="n"/>
      <c r="V194" s="233" t="n"/>
      <c r="W194" s="233" t="n"/>
      <c r="X194" s="233" t="n"/>
      <c r="Y194" s="233" t="n"/>
      <c r="Z194" s="233" t="n"/>
      <c r="AA194" s="233" t="n"/>
      <c r="AB194" s="233" t="n"/>
      <c r="AC194" s="233" t="n"/>
      <c r="AD194" s="233" t="n"/>
      <c r="AE194" s="233" t="n"/>
      <c r="AF194" s="233" t="n"/>
      <c r="AG194" s="233" t="n"/>
      <c r="AH194" s="233" t="n"/>
      <c r="AI194" s="233" t="n"/>
      <c r="AJ194" s="233" t="n"/>
      <c r="AK194" s="233" t="n"/>
      <c r="AL194" s="233" t="n"/>
      <c r="AM194" s="233" t="n"/>
      <c r="AN194" s="233" t="n"/>
      <c r="AO194" s="233" t="n"/>
      <c r="AP194" s="233" t="n"/>
      <c r="AQ194" s="233" t="n"/>
      <c r="AR194" s="233" t="n"/>
      <c r="AS194" s="233" t="n"/>
      <c r="AT194" s="233" t="n"/>
      <c r="AU194" s="233" t="n"/>
      <c r="AV194" s="233" t="n"/>
      <c r="AW194" s="233" t="n"/>
      <c r="AX194" s="233" t="n"/>
      <c r="AY194" s="233" t="n"/>
      <c r="AZ194" s="233" t="n"/>
      <c r="BA194" s="233" t="n"/>
      <c r="BB194" s="233" t="n"/>
      <c r="BC194" s="233" t="n"/>
      <c r="BD194" s="233" t="n"/>
      <c r="BE194" s="233" t="n"/>
      <c r="BF194" s="233" t="n"/>
      <c r="BG194" s="233" t="n"/>
      <c r="BH194" s="233" t="n"/>
      <c r="BI194" s="233" t="n"/>
      <c r="BJ194" s="233" t="n"/>
      <c r="BK194" s="233" t="n"/>
      <c r="BL194" s="233" t="n"/>
      <c r="BM194" s="233" t="n"/>
    </row>
    <row r="195" ht="15.75" customHeight="1" s="349">
      <c r="A195" s="31" t="n"/>
      <c r="B195" s="307" t="n"/>
      <c r="C195" s="307" t="n"/>
      <c r="D195" s="146" t="n"/>
      <c r="E195" s="307" t="n"/>
      <c r="F195" s="307" t="n"/>
      <c r="G195" s="307" t="n"/>
      <c r="H195" s="307" t="n"/>
      <c r="I195" s="307" t="n"/>
      <c r="J195" s="307" t="n"/>
      <c r="K195" s="307" t="n"/>
      <c r="L195" s="307" t="n"/>
      <c r="M195" s="307" t="n"/>
      <c r="N195" s="307" t="n"/>
      <c r="O195" s="233" t="n"/>
      <c r="P195" s="233" t="n"/>
      <c r="Q195" s="233" t="n"/>
      <c r="R195" s="233" t="n"/>
      <c r="S195" s="233" t="n"/>
      <c r="T195" s="233" t="n"/>
      <c r="U195" s="233" t="n"/>
      <c r="V195" s="233" t="n"/>
      <c r="W195" s="233" t="n"/>
      <c r="X195" s="233" t="n"/>
      <c r="Y195" s="233" t="n"/>
      <c r="Z195" s="233" t="n"/>
      <c r="AA195" s="233" t="n"/>
      <c r="AB195" s="233" t="n"/>
      <c r="AC195" s="233" t="n"/>
      <c r="AD195" s="233" t="n"/>
      <c r="AE195" s="233" t="n"/>
      <c r="AF195" s="233" t="n"/>
      <c r="AG195" s="233" t="n"/>
      <c r="AH195" s="233" t="n"/>
      <c r="AI195" s="233" t="n"/>
      <c r="AJ195" s="233" t="n"/>
      <c r="AK195" s="233" t="n"/>
      <c r="AL195" s="233" t="n"/>
      <c r="AM195" s="233" t="n"/>
      <c r="AN195" s="233" t="n"/>
      <c r="AO195" s="233" t="n"/>
      <c r="AP195" s="233" t="n"/>
      <c r="AQ195" s="233" t="n"/>
      <c r="AR195" s="233" t="n"/>
      <c r="AS195" s="233" t="n"/>
      <c r="AT195" s="233" t="n"/>
      <c r="AU195" s="233" t="n"/>
      <c r="AV195" s="233" t="n"/>
      <c r="AW195" s="233" t="n"/>
      <c r="AX195" s="233" t="n"/>
      <c r="AY195" s="233" t="n"/>
      <c r="AZ195" s="233" t="n"/>
      <c r="BA195" s="233" t="n"/>
      <c r="BB195" s="233" t="n"/>
      <c r="BC195" s="233" t="n"/>
      <c r="BD195" s="233" t="n"/>
      <c r="BE195" s="233" t="n"/>
      <c r="BF195" s="233" t="n"/>
      <c r="BG195" s="233" t="n"/>
      <c r="BH195" s="233" t="n"/>
      <c r="BI195" s="233" t="n"/>
      <c r="BJ195" s="233" t="n"/>
      <c r="BK195" s="233" t="n"/>
      <c r="BL195" s="233" t="n"/>
      <c r="BM195" s="233" t="n"/>
    </row>
    <row r="196" ht="15.75" customHeight="1" s="349">
      <c r="A196" s="31" t="n"/>
      <c r="B196" s="307" t="n"/>
      <c r="C196" s="307" t="n"/>
      <c r="D196" s="146" t="n"/>
      <c r="E196" s="307" t="n"/>
      <c r="F196" s="307" t="n"/>
      <c r="G196" s="307" t="n"/>
      <c r="H196" s="307" t="n"/>
      <c r="I196" s="307" t="n"/>
      <c r="J196" s="307" t="n"/>
      <c r="K196" s="307" t="n"/>
      <c r="L196" s="307" t="n"/>
      <c r="M196" s="307" t="n"/>
      <c r="N196" s="307" t="n"/>
      <c r="O196" s="233" t="n"/>
      <c r="P196" s="233" t="n"/>
      <c r="Q196" s="233" t="n"/>
      <c r="R196" s="233" t="n"/>
      <c r="S196" s="233" t="n"/>
      <c r="T196" s="233" t="n"/>
      <c r="U196" s="233" t="n"/>
      <c r="V196" s="233" t="n"/>
      <c r="W196" s="233" t="n"/>
      <c r="X196" s="233" t="n"/>
      <c r="Y196" s="233" t="n"/>
      <c r="Z196" s="233" t="n"/>
      <c r="AA196" s="233" t="n"/>
      <c r="AB196" s="233" t="n"/>
      <c r="AC196" s="233" t="n"/>
      <c r="AD196" s="233" t="n"/>
      <c r="AE196" s="233" t="n"/>
      <c r="AF196" s="233" t="n"/>
      <c r="AG196" s="233" t="n"/>
      <c r="AH196" s="233" t="n"/>
      <c r="AI196" s="233" t="n"/>
      <c r="AJ196" s="233" t="n"/>
      <c r="AK196" s="233" t="n"/>
      <c r="AL196" s="233" t="n"/>
      <c r="AM196" s="233" t="n"/>
      <c r="AN196" s="233" t="n"/>
      <c r="AO196" s="233" t="n"/>
      <c r="AP196" s="233" t="n"/>
      <c r="AQ196" s="233" t="n"/>
      <c r="AR196" s="233" t="n"/>
      <c r="AS196" s="233" t="n"/>
      <c r="AT196" s="233" t="n"/>
      <c r="AU196" s="233" t="n"/>
      <c r="AV196" s="233" t="n"/>
      <c r="AW196" s="233" t="n"/>
      <c r="AX196" s="233" t="n"/>
      <c r="AY196" s="233" t="n"/>
      <c r="AZ196" s="233" t="n"/>
      <c r="BA196" s="233" t="n"/>
      <c r="BB196" s="233" t="n"/>
      <c r="BC196" s="233" t="n"/>
      <c r="BD196" s="233" t="n"/>
      <c r="BE196" s="233" t="n"/>
      <c r="BF196" s="233" t="n"/>
      <c r="BG196" s="233" t="n"/>
      <c r="BH196" s="233" t="n"/>
      <c r="BI196" s="233" t="n"/>
      <c r="BJ196" s="233" t="n"/>
      <c r="BK196" s="233" t="n"/>
      <c r="BL196" s="233" t="n"/>
      <c r="BM196" s="233" t="n"/>
    </row>
    <row r="197" ht="15.75" customHeight="1" s="349">
      <c r="A197" s="31" t="n"/>
      <c r="B197" s="307" t="n"/>
      <c r="C197" s="307" t="n"/>
      <c r="D197" s="146" t="n"/>
      <c r="E197" s="307" t="n"/>
      <c r="F197" s="307" t="n"/>
      <c r="G197" s="307" t="n"/>
      <c r="H197" s="307" t="n"/>
      <c r="I197" s="307" t="n"/>
      <c r="J197" s="307" t="n"/>
      <c r="K197" s="307" t="n"/>
      <c r="L197" s="307" t="n"/>
      <c r="M197" s="307" t="n"/>
      <c r="N197" s="307" t="n"/>
      <c r="O197" s="233" t="n"/>
      <c r="P197" s="233" t="n"/>
      <c r="Q197" s="233" t="n"/>
      <c r="R197" s="233" t="n"/>
      <c r="S197" s="233" t="n"/>
      <c r="T197" s="233" t="n"/>
      <c r="U197" s="233" t="n"/>
      <c r="V197" s="233" t="n"/>
      <c r="W197" s="233" t="n"/>
      <c r="X197" s="233" t="n"/>
      <c r="Y197" s="233" t="n"/>
      <c r="Z197" s="233" t="n"/>
      <c r="AA197" s="233" t="n"/>
      <c r="AB197" s="233" t="n"/>
      <c r="AC197" s="233" t="n"/>
      <c r="AD197" s="233" t="n"/>
      <c r="AE197" s="233" t="n"/>
      <c r="AF197" s="233" t="n"/>
      <c r="AG197" s="233" t="n"/>
      <c r="AH197" s="233" t="n"/>
      <c r="AI197" s="233" t="n"/>
      <c r="AJ197" s="233" t="n"/>
      <c r="AK197" s="233" t="n"/>
      <c r="AL197" s="233" t="n"/>
      <c r="AM197" s="233" t="n"/>
      <c r="AN197" s="233" t="n"/>
      <c r="AO197" s="233" t="n"/>
      <c r="AP197" s="233" t="n"/>
      <c r="AQ197" s="233" t="n"/>
      <c r="AR197" s="233" t="n"/>
      <c r="AS197" s="233" t="n"/>
      <c r="AT197" s="233" t="n"/>
      <c r="AU197" s="233" t="n"/>
      <c r="AV197" s="233" t="n"/>
      <c r="AW197" s="233" t="n"/>
      <c r="AX197" s="233" t="n"/>
      <c r="AY197" s="233" t="n"/>
      <c r="AZ197" s="233" t="n"/>
      <c r="BA197" s="233" t="n"/>
      <c r="BB197" s="233" t="n"/>
      <c r="BC197" s="233" t="n"/>
      <c r="BD197" s="233" t="n"/>
      <c r="BE197" s="233" t="n"/>
      <c r="BF197" s="233" t="n"/>
      <c r="BG197" s="233" t="n"/>
      <c r="BH197" s="233" t="n"/>
      <c r="BI197" s="233" t="n"/>
      <c r="BJ197" s="233" t="n"/>
      <c r="BK197" s="233" t="n"/>
      <c r="BL197" s="233" t="n"/>
      <c r="BM197" s="233" t="n"/>
    </row>
    <row r="198" ht="15.75" customHeight="1" s="349">
      <c r="A198" s="31" t="n"/>
      <c r="B198" s="307" t="n"/>
      <c r="C198" s="307" t="n"/>
      <c r="D198" s="146" t="n"/>
      <c r="E198" s="307" t="n"/>
      <c r="F198" s="307" t="n"/>
      <c r="G198" s="307" t="n"/>
      <c r="H198" s="307" t="n"/>
      <c r="I198" s="307" t="n"/>
      <c r="J198" s="307" t="n"/>
      <c r="K198" s="307" t="n"/>
      <c r="L198" s="307" t="n"/>
      <c r="M198" s="307" t="n"/>
      <c r="N198" s="307" t="n"/>
      <c r="O198" s="233" t="n"/>
      <c r="P198" s="233" t="n"/>
      <c r="Q198" s="233" t="n"/>
      <c r="R198" s="233" t="n"/>
      <c r="S198" s="233" t="n"/>
      <c r="T198" s="233" t="n"/>
      <c r="U198" s="233" t="n"/>
      <c r="V198" s="233" t="n"/>
      <c r="W198" s="233" t="n"/>
      <c r="X198" s="233" t="n"/>
      <c r="Y198" s="233" t="n"/>
      <c r="Z198" s="233" t="n"/>
      <c r="AA198" s="233" t="n"/>
      <c r="AB198" s="233" t="n"/>
      <c r="AC198" s="233" t="n"/>
      <c r="AD198" s="233" t="n"/>
      <c r="AE198" s="233" t="n"/>
      <c r="AF198" s="233" t="n"/>
      <c r="AG198" s="233" t="n"/>
      <c r="AH198" s="233" t="n"/>
      <c r="AI198" s="233" t="n"/>
      <c r="AJ198" s="233" t="n"/>
      <c r="AK198" s="233" t="n"/>
      <c r="AL198" s="233" t="n"/>
      <c r="AM198" s="233" t="n"/>
      <c r="AN198" s="233" t="n"/>
      <c r="AO198" s="233" t="n"/>
      <c r="AP198" s="233" t="n"/>
      <c r="AQ198" s="233" t="n"/>
      <c r="AR198" s="233" t="n"/>
      <c r="AS198" s="233" t="n"/>
      <c r="AT198" s="233" t="n"/>
      <c r="AU198" s="233" t="n"/>
      <c r="AV198" s="233" t="n"/>
      <c r="AW198" s="233" t="n"/>
      <c r="AX198" s="233" t="n"/>
      <c r="AY198" s="233" t="n"/>
      <c r="AZ198" s="233" t="n"/>
      <c r="BA198" s="233" t="n"/>
      <c r="BB198" s="233" t="n"/>
      <c r="BC198" s="233" t="n"/>
      <c r="BD198" s="233" t="n"/>
      <c r="BE198" s="233" t="n"/>
      <c r="BF198" s="233" t="n"/>
      <c r="BG198" s="233" t="n"/>
      <c r="BH198" s="233" t="n"/>
      <c r="BI198" s="233" t="n"/>
      <c r="BJ198" s="233" t="n"/>
      <c r="BK198" s="233" t="n"/>
      <c r="BL198" s="233" t="n"/>
      <c r="BM198" s="233" t="n"/>
    </row>
    <row r="199" ht="15.75" customHeight="1" s="349">
      <c r="A199" s="31" t="n"/>
      <c r="B199" s="307" t="n"/>
      <c r="C199" s="307" t="n"/>
      <c r="D199" s="146" t="n"/>
      <c r="E199" s="307" t="n"/>
      <c r="F199" s="307" t="n"/>
      <c r="G199" s="307" t="n"/>
      <c r="H199" s="307" t="n"/>
      <c r="I199" s="307" t="n"/>
      <c r="J199" s="307" t="n"/>
      <c r="K199" s="307" t="n"/>
      <c r="L199" s="307" t="n"/>
      <c r="M199" s="307" t="n"/>
      <c r="N199" s="307" t="n"/>
      <c r="O199" s="233" t="n"/>
      <c r="P199" s="233" t="n"/>
      <c r="Q199" s="233" t="n"/>
      <c r="R199" s="233" t="n"/>
      <c r="S199" s="233" t="n"/>
      <c r="T199" s="233" t="n"/>
      <c r="U199" s="233" t="n"/>
      <c r="V199" s="233" t="n"/>
      <c r="W199" s="233" t="n"/>
      <c r="X199" s="233" t="n"/>
      <c r="Y199" s="233" t="n"/>
      <c r="Z199" s="233" t="n"/>
      <c r="AA199" s="233" t="n"/>
      <c r="AB199" s="233" t="n"/>
      <c r="AC199" s="233" t="n"/>
      <c r="AD199" s="233" t="n"/>
      <c r="AE199" s="233" t="n"/>
      <c r="AF199" s="233" t="n"/>
      <c r="AG199" s="233" t="n"/>
      <c r="AH199" s="233" t="n"/>
      <c r="AI199" s="233" t="n"/>
      <c r="AJ199" s="233" t="n"/>
      <c r="AK199" s="233" t="n"/>
      <c r="AL199" s="233" t="n"/>
      <c r="AM199" s="233" t="n"/>
      <c r="AN199" s="233" t="n"/>
      <c r="AO199" s="233" t="n"/>
      <c r="AP199" s="233" t="n"/>
      <c r="AQ199" s="233" t="n"/>
      <c r="AR199" s="233" t="n"/>
      <c r="AS199" s="233" t="n"/>
      <c r="AT199" s="233" t="n"/>
      <c r="AU199" s="233" t="n"/>
      <c r="AV199" s="233" t="n"/>
      <c r="AW199" s="233" t="n"/>
      <c r="AX199" s="233" t="n"/>
      <c r="AY199" s="233" t="n"/>
      <c r="AZ199" s="233" t="n"/>
      <c r="BA199" s="233" t="n"/>
      <c r="BB199" s="233" t="n"/>
      <c r="BC199" s="233" t="n"/>
      <c r="BD199" s="233" t="n"/>
      <c r="BE199" s="233" t="n"/>
      <c r="BF199" s="233" t="n"/>
      <c r="BG199" s="233" t="n"/>
      <c r="BH199" s="233" t="n"/>
      <c r="BI199" s="233" t="n"/>
      <c r="BJ199" s="233" t="n"/>
      <c r="BK199" s="233" t="n"/>
      <c r="BL199" s="233" t="n"/>
      <c r="BM199" s="233" t="n"/>
    </row>
    <row r="200" ht="15.75" customHeight="1" s="349">
      <c r="A200" s="31" t="n"/>
      <c r="B200" s="307" t="n"/>
      <c r="C200" s="307" t="n"/>
      <c r="D200" s="146" t="n"/>
      <c r="E200" s="307" t="n"/>
      <c r="F200" s="307" t="n"/>
      <c r="G200" s="307" t="n"/>
      <c r="H200" s="307" t="n"/>
      <c r="I200" s="307" t="n"/>
      <c r="J200" s="307" t="n"/>
      <c r="K200" s="307" t="n"/>
      <c r="L200" s="307" t="n"/>
      <c r="M200" s="307" t="n"/>
      <c r="N200" s="307" t="n"/>
      <c r="O200" s="233" t="n"/>
      <c r="P200" s="233" t="n"/>
      <c r="Q200" s="233" t="n"/>
      <c r="R200" s="233" t="n"/>
      <c r="S200" s="233" t="n"/>
      <c r="T200" s="233" t="n"/>
      <c r="U200" s="233" t="n"/>
      <c r="V200" s="233" t="n"/>
      <c r="W200" s="233" t="n"/>
      <c r="X200" s="233" t="n"/>
      <c r="Y200" s="233" t="n"/>
      <c r="Z200" s="233" t="n"/>
      <c r="AA200" s="233" t="n"/>
      <c r="AB200" s="233" t="n"/>
      <c r="AC200" s="233" t="n"/>
      <c r="AD200" s="233" t="n"/>
      <c r="AE200" s="233" t="n"/>
      <c r="AF200" s="233" t="n"/>
      <c r="AG200" s="233" t="n"/>
      <c r="AH200" s="233" t="n"/>
      <c r="AI200" s="233" t="n"/>
      <c r="AJ200" s="233" t="n"/>
      <c r="AK200" s="233" t="n"/>
      <c r="AL200" s="233" t="n"/>
      <c r="AM200" s="233" t="n"/>
      <c r="AN200" s="233" t="n"/>
      <c r="AO200" s="233" t="n"/>
      <c r="AP200" s="233" t="n"/>
      <c r="AQ200" s="233" t="n"/>
      <c r="AR200" s="233" t="n"/>
      <c r="AS200" s="233" t="n"/>
      <c r="AT200" s="233" t="n"/>
      <c r="AU200" s="233" t="n"/>
      <c r="AV200" s="233" t="n"/>
      <c r="AW200" s="233" t="n"/>
      <c r="AX200" s="233" t="n"/>
      <c r="AY200" s="233" t="n"/>
      <c r="AZ200" s="233" t="n"/>
      <c r="BA200" s="233" t="n"/>
      <c r="BB200" s="233" t="n"/>
      <c r="BC200" s="233" t="n"/>
      <c r="BD200" s="233" t="n"/>
      <c r="BE200" s="233" t="n"/>
      <c r="BF200" s="233" t="n"/>
      <c r="BG200" s="233" t="n"/>
      <c r="BH200" s="233" t="n"/>
      <c r="BI200" s="233" t="n"/>
      <c r="BJ200" s="233" t="n"/>
      <c r="BK200" s="233" t="n"/>
      <c r="BL200" s="233" t="n"/>
      <c r="BM200" s="233" t="n"/>
    </row>
    <row r="201" ht="15.75" customHeight="1" s="349">
      <c r="A201" s="31" t="n"/>
      <c r="B201" s="307" t="n"/>
      <c r="C201" s="307" t="n"/>
      <c r="D201" s="146" t="n"/>
      <c r="E201" s="307" t="n"/>
      <c r="F201" s="307" t="n"/>
      <c r="G201" s="307" t="n"/>
      <c r="H201" s="307" t="n"/>
      <c r="I201" s="307" t="n"/>
      <c r="J201" s="307" t="n"/>
      <c r="K201" s="307" t="n"/>
      <c r="L201" s="307" t="n"/>
      <c r="M201" s="307" t="n"/>
      <c r="N201" s="307" t="n"/>
      <c r="O201" s="233" t="n"/>
      <c r="P201" s="233" t="n"/>
      <c r="Q201" s="233" t="n"/>
      <c r="R201" s="233" t="n"/>
      <c r="S201" s="233" t="n"/>
      <c r="T201" s="233" t="n"/>
      <c r="U201" s="233" t="n"/>
      <c r="V201" s="233" t="n"/>
      <c r="W201" s="233" t="n"/>
      <c r="X201" s="233" t="n"/>
      <c r="Y201" s="233" t="n"/>
      <c r="Z201" s="233" t="n"/>
      <c r="AA201" s="233" t="n"/>
      <c r="AB201" s="233" t="n"/>
      <c r="AC201" s="233" t="n"/>
      <c r="AD201" s="233" t="n"/>
      <c r="AE201" s="233" t="n"/>
      <c r="AF201" s="233" t="n"/>
      <c r="AG201" s="233" t="n"/>
      <c r="AH201" s="233" t="n"/>
      <c r="AI201" s="233" t="n"/>
      <c r="AJ201" s="233" t="n"/>
      <c r="AK201" s="233" t="n"/>
      <c r="AL201" s="233" t="n"/>
      <c r="AM201" s="233" t="n"/>
      <c r="AN201" s="233" t="n"/>
      <c r="AO201" s="233" t="n"/>
      <c r="AP201" s="233" t="n"/>
      <c r="AQ201" s="233" t="n"/>
      <c r="AR201" s="233" t="n"/>
      <c r="AS201" s="233" t="n"/>
      <c r="AT201" s="233" t="n"/>
      <c r="AU201" s="233" t="n"/>
      <c r="AV201" s="233" t="n"/>
      <c r="AW201" s="233" t="n"/>
      <c r="AX201" s="233" t="n"/>
      <c r="AY201" s="233" t="n"/>
      <c r="AZ201" s="233" t="n"/>
      <c r="BA201" s="233" t="n"/>
      <c r="BB201" s="233" t="n"/>
      <c r="BC201" s="233" t="n"/>
      <c r="BD201" s="233" t="n"/>
      <c r="BE201" s="233" t="n"/>
      <c r="BF201" s="233" t="n"/>
      <c r="BG201" s="233" t="n"/>
      <c r="BH201" s="233" t="n"/>
      <c r="BI201" s="233" t="n"/>
      <c r="BJ201" s="233" t="n"/>
      <c r="BK201" s="233" t="n"/>
      <c r="BL201" s="233" t="n"/>
      <c r="BM201" s="233" t="n"/>
    </row>
    <row r="202" ht="15.75" customHeight="1" s="349">
      <c r="A202" s="31" t="n"/>
      <c r="B202" s="307" t="n"/>
      <c r="C202" s="307" t="n"/>
      <c r="D202" s="146" t="n"/>
      <c r="E202" s="307" t="n"/>
      <c r="F202" s="307" t="n"/>
      <c r="G202" s="307" t="n"/>
      <c r="H202" s="307" t="n"/>
      <c r="I202" s="307" t="n"/>
      <c r="J202" s="307" t="n"/>
      <c r="K202" s="307" t="n"/>
      <c r="L202" s="307" t="n"/>
      <c r="M202" s="307" t="n"/>
      <c r="N202" s="307" t="n"/>
      <c r="O202" s="233" t="n"/>
      <c r="P202" s="233" t="n"/>
      <c r="Q202" s="233" t="n"/>
      <c r="R202" s="233" t="n"/>
      <c r="S202" s="233" t="n"/>
      <c r="T202" s="233" t="n"/>
      <c r="U202" s="233" t="n"/>
      <c r="V202" s="233" t="n"/>
      <c r="W202" s="233" t="n"/>
      <c r="X202" s="233" t="n"/>
      <c r="Y202" s="233" t="n"/>
      <c r="Z202" s="233" t="n"/>
      <c r="AA202" s="233" t="n"/>
      <c r="AB202" s="233" t="n"/>
      <c r="AC202" s="233" t="n"/>
      <c r="AD202" s="233" t="n"/>
      <c r="AE202" s="233" t="n"/>
      <c r="AF202" s="233" t="n"/>
      <c r="AG202" s="233" t="n"/>
      <c r="AH202" s="233" t="n"/>
      <c r="AI202" s="233" t="n"/>
      <c r="AJ202" s="233" t="n"/>
      <c r="AK202" s="233" t="n"/>
      <c r="AL202" s="233" t="n"/>
      <c r="AM202" s="233" t="n"/>
      <c r="AN202" s="233" t="n"/>
      <c r="AO202" s="233" t="n"/>
      <c r="AP202" s="233" t="n"/>
      <c r="AQ202" s="233" t="n"/>
      <c r="AR202" s="233" t="n"/>
      <c r="AS202" s="233" t="n"/>
      <c r="AT202" s="233" t="n"/>
      <c r="AU202" s="233" t="n"/>
      <c r="AV202" s="233" t="n"/>
      <c r="AW202" s="233" t="n"/>
      <c r="AX202" s="233" t="n"/>
      <c r="AY202" s="233" t="n"/>
      <c r="AZ202" s="233" t="n"/>
      <c r="BA202" s="233" t="n"/>
      <c r="BB202" s="233" t="n"/>
      <c r="BC202" s="233" t="n"/>
      <c r="BD202" s="233" t="n"/>
      <c r="BE202" s="233" t="n"/>
      <c r="BF202" s="233" t="n"/>
      <c r="BG202" s="233" t="n"/>
      <c r="BH202" s="233" t="n"/>
      <c r="BI202" s="233" t="n"/>
      <c r="BJ202" s="233" t="n"/>
      <c r="BK202" s="233" t="n"/>
      <c r="BL202" s="233" t="n"/>
      <c r="BM202" s="233" t="n"/>
    </row>
    <row r="203" ht="15.75" customHeight="1" s="349">
      <c r="A203" s="31" t="n"/>
      <c r="B203" s="307" t="n"/>
      <c r="C203" s="307" t="n"/>
      <c r="D203" s="146" t="n"/>
      <c r="E203" s="307" t="n"/>
      <c r="F203" s="307" t="n"/>
      <c r="G203" s="307" t="n"/>
      <c r="H203" s="307" t="n"/>
      <c r="I203" s="307" t="n"/>
      <c r="J203" s="307" t="n"/>
      <c r="K203" s="307" t="n"/>
      <c r="L203" s="307" t="n"/>
      <c r="M203" s="307" t="n"/>
      <c r="N203" s="307" t="n"/>
      <c r="O203" s="233" t="n"/>
      <c r="P203" s="233" t="n"/>
      <c r="Q203" s="233" t="n"/>
      <c r="R203" s="233" t="n"/>
      <c r="S203" s="233" t="n"/>
      <c r="T203" s="233" t="n"/>
      <c r="U203" s="233" t="n"/>
      <c r="V203" s="233" t="n"/>
      <c r="W203" s="233" t="n"/>
      <c r="X203" s="233" t="n"/>
      <c r="Y203" s="233" t="n"/>
      <c r="Z203" s="233" t="n"/>
      <c r="AA203" s="233" t="n"/>
      <c r="AB203" s="233" t="n"/>
      <c r="AC203" s="233" t="n"/>
      <c r="AD203" s="233" t="n"/>
      <c r="AE203" s="233" t="n"/>
      <c r="AF203" s="233" t="n"/>
      <c r="AG203" s="233" t="n"/>
      <c r="AH203" s="233" t="n"/>
      <c r="AI203" s="233" t="n"/>
      <c r="AJ203" s="233" t="n"/>
      <c r="AK203" s="233" t="n"/>
      <c r="AL203" s="233" t="n"/>
      <c r="AM203" s="233" t="n"/>
      <c r="AN203" s="233" t="n"/>
      <c r="AO203" s="233" t="n"/>
      <c r="AP203" s="233" t="n"/>
      <c r="AQ203" s="233" t="n"/>
      <c r="AR203" s="233" t="n"/>
      <c r="AS203" s="233" t="n"/>
      <c r="AT203" s="233" t="n"/>
      <c r="AU203" s="233" t="n"/>
      <c r="AV203" s="233" t="n"/>
      <c r="AW203" s="233" t="n"/>
      <c r="AX203" s="233" t="n"/>
      <c r="AY203" s="233" t="n"/>
      <c r="AZ203" s="233" t="n"/>
      <c r="BA203" s="233" t="n"/>
      <c r="BB203" s="233" t="n"/>
      <c r="BC203" s="233" t="n"/>
      <c r="BD203" s="233" t="n"/>
      <c r="BE203" s="233" t="n"/>
      <c r="BF203" s="233" t="n"/>
      <c r="BG203" s="233" t="n"/>
      <c r="BH203" s="233" t="n"/>
      <c r="BI203" s="233" t="n"/>
      <c r="BJ203" s="233" t="n"/>
      <c r="BK203" s="233" t="n"/>
      <c r="BL203" s="233" t="n"/>
      <c r="BM203" s="233" t="n"/>
    </row>
    <row r="204" ht="15.75" customHeight="1" s="349">
      <c r="A204" s="31" t="n"/>
      <c r="B204" s="307" t="n"/>
      <c r="C204" s="307" t="n"/>
      <c r="D204" s="146" t="n"/>
      <c r="E204" s="307" t="n"/>
      <c r="F204" s="307" t="n"/>
      <c r="G204" s="307" t="n"/>
      <c r="H204" s="307" t="n"/>
      <c r="I204" s="307" t="n"/>
      <c r="J204" s="307" t="n"/>
      <c r="K204" s="307" t="n"/>
      <c r="L204" s="307" t="n"/>
      <c r="M204" s="307" t="n"/>
      <c r="N204" s="307" t="n"/>
      <c r="O204" s="233" t="n"/>
      <c r="P204" s="233" t="n"/>
      <c r="Q204" s="233" t="n"/>
      <c r="R204" s="233" t="n"/>
      <c r="S204" s="233" t="n"/>
      <c r="T204" s="233" t="n"/>
      <c r="U204" s="233" t="n"/>
      <c r="V204" s="233" t="n"/>
      <c r="W204" s="233" t="n"/>
      <c r="X204" s="233" t="n"/>
      <c r="Y204" s="233" t="n"/>
      <c r="Z204" s="233" t="n"/>
      <c r="AA204" s="233" t="n"/>
      <c r="AB204" s="233" t="n"/>
      <c r="AC204" s="233" t="n"/>
      <c r="AD204" s="233" t="n"/>
      <c r="AE204" s="233" t="n"/>
      <c r="AF204" s="233" t="n"/>
      <c r="AG204" s="233" t="n"/>
      <c r="AH204" s="233" t="n"/>
      <c r="AI204" s="233" t="n"/>
      <c r="AJ204" s="233" t="n"/>
      <c r="AK204" s="233" t="n"/>
      <c r="AL204" s="233" t="n"/>
      <c r="AM204" s="233" t="n"/>
      <c r="AN204" s="233" t="n"/>
      <c r="AO204" s="233" t="n"/>
      <c r="AP204" s="233" t="n"/>
      <c r="AQ204" s="233" t="n"/>
      <c r="AR204" s="233" t="n"/>
      <c r="AS204" s="233" t="n"/>
      <c r="AT204" s="233" t="n"/>
      <c r="AU204" s="233" t="n"/>
      <c r="AV204" s="233" t="n"/>
      <c r="AW204" s="233" t="n"/>
      <c r="AX204" s="233" t="n"/>
      <c r="AY204" s="233" t="n"/>
      <c r="AZ204" s="233" t="n"/>
      <c r="BA204" s="233" t="n"/>
      <c r="BB204" s="233" t="n"/>
      <c r="BC204" s="233" t="n"/>
      <c r="BD204" s="233" t="n"/>
      <c r="BE204" s="233" t="n"/>
      <c r="BF204" s="233" t="n"/>
      <c r="BG204" s="233" t="n"/>
      <c r="BH204" s="233" t="n"/>
      <c r="BI204" s="233" t="n"/>
      <c r="BJ204" s="233" t="n"/>
      <c r="BK204" s="233" t="n"/>
      <c r="BL204" s="233" t="n"/>
      <c r="BM204" s="233" t="n"/>
    </row>
    <row r="205" ht="15.75" customHeight="1" s="349">
      <c r="A205" s="31" t="n"/>
      <c r="B205" s="307" t="n"/>
      <c r="C205" s="307" t="n"/>
      <c r="D205" s="146" t="n"/>
      <c r="E205" s="307" t="n"/>
      <c r="F205" s="307" t="n"/>
      <c r="G205" s="307" t="n"/>
      <c r="H205" s="307" t="n"/>
      <c r="I205" s="307" t="n"/>
      <c r="J205" s="307" t="n"/>
      <c r="K205" s="307" t="n"/>
      <c r="L205" s="307" t="n"/>
      <c r="M205" s="307" t="n"/>
      <c r="N205" s="307" t="n"/>
      <c r="O205" s="233" t="n"/>
      <c r="P205" s="233" t="n"/>
      <c r="Q205" s="233" t="n"/>
      <c r="R205" s="233" t="n"/>
      <c r="S205" s="233" t="n"/>
      <c r="T205" s="233" t="n"/>
      <c r="U205" s="233" t="n"/>
      <c r="V205" s="233" t="n"/>
      <c r="W205" s="233" t="n"/>
      <c r="X205" s="233" t="n"/>
      <c r="Y205" s="233" t="n"/>
      <c r="Z205" s="233" t="n"/>
      <c r="AA205" s="233" t="n"/>
      <c r="AB205" s="233" t="n"/>
      <c r="AC205" s="233" t="n"/>
      <c r="AD205" s="233" t="n"/>
      <c r="AE205" s="233" t="n"/>
      <c r="AF205" s="233" t="n"/>
      <c r="AG205" s="233" t="n"/>
      <c r="AH205" s="233" t="n"/>
      <c r="AI205" s="233" t="n"/>
      <c r="AJ205" s="233" t="n"/>
      <c r="AK205" s="233" t="n"/>
      <c r="AL205" s="233" t="n"/>
      <c r="AM205" s="233" t="n"/>
      <c r="AN205" s="233" t="n"/>
      <c r="AO205" s="233" t="n"/>
      <c r="AP205" s="233" t="n"/>
      <c r="AQ205" s="233" t="n"/>
      <c r="AR205" s="233" t="n"/>
      <c r="AS205" s="233" t="n"/>
      <c r="AT205" s="233" t="n"/>
      <c r="AU205" s="233" t="n"/>
      <c r="AV205" s="233" t="n"/>
      <c r="AW205" s="233" t="n"/>
      <c r="AX205" s="233" t="n"/>
      <c r="AY205" s="233" t="n"/>
      <c r="AZ205" s="233" t="n"/>
      <c r="BA205" s="233" t="n"/>
      <c r="BB205" s="233" t="n"/>
      <c r="BC205" s="233" t="n"/>
      <c r="BD205" s="233" t="n"/>
      <c r="BE205" s="233" t="n"/>
      <c r="BF205" s="233" t="n"/>
      <c r="BG205" s="233" t="n"/>
      <c r="BH205" s="233" t="n"/>
      <c r="BI205" s="233" t="n"/>
      <c r="BJ205" s="233" t="n"/>
      <c r="BK205" s="233" t="n"/>
      <c r="BL205" s="233" t="n"/>
      <c r="BM205" s="233" t="n"/>
    </row>
    <row r="206" ht="15.75" customHeight="1" s="349">
      <c r="A206" s="31" t="n"/>
      <c r="B206" s="307" t="n"/>
      <c r="C206" s="307" t="n"/>
      <c r="D206" s="146" t="n"/>
      <c r="E206" s="307" t="n"/>
      <c r="F206" s="307" t="n"/>
      <c r="G206" s="307" t="n"/>
      <c r="H206" s="307" t="n"/>
      <c r="I206" s="307" t="n"/>
      <c r="J206" s="307" t="n"/>
      <c r="K206" s="307" t="n"/>
      <c r="L206" s="307" t="n"/>
      <c r="M206" s="307" t="n"/>
      <c r="N206" s="307" t="n"/>
      <c r="O206" s="233" t="n"/>
      <c r="P206" s="233" t="n"/>
      <c r="Q206" s="233" t="n"/>
      <c r="R206" s="233" t="n"/>
      <c r="S206" s="233" t="n"/>
      <c r="T206" s="233" t="n"/>
      <c r="U206" s="233" t="n"/>
      <c r="V206" s="233" t="n"/>
      <c r="W206" s="233" t="n"/>
      <c r="X206" s="233" t="n"/>
      <c r="Y206" s="233" t="n"/>
      <c r="Z206" s="233" t="n"/>
      <c r="AA206" s="233" t="n"/>
      <c r="AB206" s="233" t="n"/>
      <c r="AC206" s="233" t="n"/>
      <c r="AD206" s="233" t="n"/>
      <c r="AE206" s="233" t="n"/>
      <c r="AF206" s="233" t="n"/>
      <c r="AG206" s="233" t="n"/>
      <c r="AH206" s="233" t="n"/>
      <c r="AI206" s="233" t="n"/>
      <c r="AJ206" s="233" t="n"/>
      <c r="AK206" s="233" t="n"/>
      <c r="AL206" s="233" t="n"/>
      <c r="AM206" s="233" t="n"/>
      <c r="AN206" s="233" t="n"/>
      <c r="AO206" s="233" t="n"/>
      <c r="AP206" s="233" t="n"/>
      <c r="AQ206" s="233" t="n"/>
      <c r="AR206" s="233" t="n"/>
      <c r="AS206" s="233" t="n"/>
      <c r="AT206" s="233" t="n"/>
      <c r="AU206" s="233" t="n"/>
      <c r="AV206" s="233" t="n"/>
      <c r="AW206" s="233" t="n"/>
      <c r="AX206" s="233" t="n"/>
      <c r="AY206" s="233" t="n"/>
      <c r="AZ206" s="233" t="n"/>
      <c r="BA206" s="233" t="n"/>
      <c r="BB206" s="233" t="n"/>
      <c r="BC206" s="233" t="n"/>
      <c r="BD206" s="233" t="n"/>
      <c r="BE206" s="233" t="n"/>
      <c r="BF206" s="233" t="n"/>
      <c r="BG206" s="233" t="n"/>
      <c r="BH206" s="233" t="n"/>
      <c r="BI206" s="233" t="n"/>
      <c r="BJ206" s="233" t="n"/>
      <c r="BK206" s="233" t="n"/>
      <c r="BL206" s="233" t="n"/>
      <c r="BM206" s="233" t="n"/>
    </row>
    <row r="207" ht="15.75" customHeight="1" s="349">
      <c r="A207" s="31" t="n"/>
      <c r="B207" s="307" t="n"/>
      <c r="C207" s="307" t="n"/>
      <c r="D207" s="146" t="n"/>
      <c r="E207" s="307" t="n"/>
      <c r="F207" s="307" t="n"/>
      <c r="G207" s="307" t="n"/>
      <c r="H207" s="307" t="n"/>
      <c r="I207" s="307" t="n"/>
      <c r="J207" s="307" t="n"/>
      <c r="K207" s="307" t="n"/>
      <c r="L207" s="307" t="n"/>
      <c r="M207" s="307" t="n"/>
      <c r="N207" s="307" t="n"/>
      <c r="O207" s="233" t="n"/>
      <c r="P207" s="233" t="n"/>
      <c r="Q207" s="233" t="n"/>
      <c r="R207" s="233" t="n"/>
      <c r="S207" s="233" t="n"/>
      <c r="T207" s="233" t="n"/>
      <c r="U207" s="233" t="n"/>
      <c r="V207" s="233" t="n"/>
      <c r="W207" s="233" t="n"/>
      <c r="X207" s="233" t="n"/>
      <c r="Y207" s="233" t="n"/>
      <c r="Z207" s="233" t="n"/>
      <c r="AA207" s="233" t="n"/>
      <c r="AB207" s="233" t="n"/>
      <c r="AC207" s="233" t="n"/>
      <c r="AD207" s="233" t="n"/>
      <c r="AE207" s="233" t="n"/>
      <c r="AF207" s="233" t="n"/>
      <c r="AG207" s="233" t="n"/>
      <c r="AH207" s="233" t="n"/>
      <c r="AI207" s="233" t="n"/>
      <c r="AJ207" s="233" t="n"/>
      <c r="AK207" s="233" t="n"/>
      <c r="AL207" s="233" t="n"/>
      <c r="AM207" s="233" t="n"/>
      <c r="AN207" s="233" t="n"/>
      <c r="AO207" s="233" t="n"/>
      <c r="AP207" s="233" t="n"/>
      <c r="AQ207" s="233" t="n"/>
      <c r="AR207" s="233" t="n"/>
      <c r="AS207" s="233" t="n"/>
      <c r="AT207" s="233" t="n"/>
      <c r="AU207" s="233" t="n"/>
      <c r="AV207" s="233" t="n"/>
      <c r="AW207" s="233" t="n"/>
      <c r="AX207" s="233" t="n"/>
      <c r="AY207" s="233" t="n"/>
      <c r="AZ207" s="233" t="n"/>
      <c r="BA207" s="233" t="n"/>
      <c r="BB207" s="233" t="n"/>
      <c r="BC207" s="233" t="n"/>
      <c r="BD207" s="233" t="n"/>
      <c r="BE207" s="233" t="n"/>
      <c r="BF207" s="233" t="n"/>
      <c r="BG207" s="233" t="n"/>
      <c r="BH207" s="233" t="n"/>
      <c r="BI207" s="233" t="n"/>
      <c r="BJ207" s="233" t="n"/>
      <c r="BK207" s="233" t="n"/>
      <c r="BL207" s="233" t="n"/>
      <c r="BM207" s="233" t="n"/>
    </row>
    <row r="208" ht="15.75" customHeight="1" s="349">
      <c r="A208" s="31" t="n"/>
      <c r="B208" s="307" t="n"/>
      <c r="C208" s="307" t="n"/>
      <c r="D208" s="146" t="n"/>
      <c r="E208" s="307" t="n"/>
      <c r="F208" s="307" t="n"/>
      <c r="G208" s="307" t="n"/>
      <c r="H208" s="307" t="n"/>
      <c r="I208" s="307" t="n"/>
      <c r="J208" s="307" t="n"/>
      <c r="K208" s="307" t="n"/>
      <c r="L208" s="307" t="n"/>
      <c r="M208" s="307" t="n"/>
      <c r="N208" s="307" t="n"/>
      <c r="O208" s="233" t="n"/>
      <c r="P208" s="233" t="n"/>
      <c r="Q208" s="233" t="n"/>
      <c r="R208" s="233" t="n"/>
      <c r="S208" s="233" t="n"/>
      <c r="T208" s="233" t="n"/>
      <c r="U208" s="233" t="n"/>
      <c r="V208" s="233" t="n"/>
      <c r="W208" s="233" t="n"/>
      <c r="X208" s="233" t="n"/>
      <c r="Y208" s="233" t="n"/>
      <c r="Z208" s="233" t="n"/>
      <c r="AA208" s="233" t="n"/>
      <c r="AB208" s="233" t="n"/>
      <c r="AC208" s="233" t="n"/>
      <c r="AD208" s="233" t="n"/>
      <c r="AE208" s="233" t="n"/>
      <c r="AF208" s="233" t="n"/>
      <c r="AG208" s="233" t="n"/>
      <c r="AH208" s="233" t="n"/>
      <c r="AI208" s="233" t="n"/>
      <c r="AJ208" s="233" t="n"/>
      <c r="AK208" s="233" t="n"/>
      <c r="AL208" s="233" t="n"/>
      <c r="AM208" s="233" t="n"/>
      <c r="AN208" s="233" t="n"/>
      <c r="AO208" s="233" t="n"/>
      <c r="AP208" s="233" t="n"/>
      <c r="AQ208" s="233" t="n"/>
      <c r="AR208" s="233" t="n"/>
      <c r="AS208" s="233" t="n"/>
      <c r="AT208" s="233" t="n"/>
      <c r="AU208" s="233" t="n"/>
      <c r="AV208" s="233" t="n"/>
      <c r="AW208" s="233" t="n"/>
      <c r="AX208" s="233" t="n"/>
      <c r="AY208" s="233" t="n"/>
      <c r="AZ208" s="233" t="n"/>
      <c r="BA208" s="233" t="n"/>
      <c r="BB208" s="233" t="n"/>
      <c r="BC208" s="233" t="n"/>
      <c r="BD208" s="233" t="n"/>
      <c r="BE208" s="233" t="n"/>
      <c r="BF208" s="233" t="n"/>
      <c r="BG208" s="233" t="n"/>
      <c r="BH208" s="233" t="n"/>
      <c r="BI208" s="233" t="n"/>
      <c r="BJ208" s="233" t="n"/>
      <c r="BK208" s="233" t="n"/>
      <c r="BL208" s="233" t="n"/>
      <c r="BM208" s="233" t="n"/>
    </row>
    <row r="209" ht="15.75" customHeight="1" s="349">
      <c r="A209" s="31" t="n"/>
      <c r="B209" s="307" t="n"/>
      <c r="C209" s="307" t="n"/>
      <c r="D209" s="146" t="n"/>
      <c r="E209" s="307" t="n"/>
      <c r="F209" s="307" t="n"/>
      <c r="G209" s="307" t="n"/>
      <c r="H209" s="307" t="n"/>
      <c r="I209" s="307" t="n"/>
      <c r="J209" s="307" t="n"/>
      <c r="K209" s="307" t="n"/>
      <c r="L209" s="307" t="n"/>
      <c r="M209" s="307" t="n"/>
      <c r="N209" s="307" t="n"/>
      <c r="O209" s="233" t="n"/>
      <c r="P209" s="233" t="n"/>
      <c r="Q209" s="233" t="n"/>
      <c r="R209" s="233" t="n"/>
      <c r="S209" s="233" t="n"/>
      <c r="T209" s="233" t="n"/>
      <c r="U209" s="233" t="n"/>
      <c r="V209" s="233" t="n"/>
      <c r="W209" s="233" t="n"/>
      <c r="X209" s="233" t="n"/>
      <c r="Y209" s="233" t="n"/>
      <c r="Z209" s="233" t="n"/>
      <c r="AA209" s="233" t="n"/>
      <c r="AB209" s="233" t="n"/>
      <c r="AC209" s="233" t="n"/>
      <c r="AD209" s="233" t="n"/>
      <c r="AE209" s="233" t="n"/>
      <c r="AF209" s="233" t="n"/>
      <c r="AG209" s="233" t="n"/>
      <c r="AH209" s="233" t="n"/>
      <c r="AI209" s="233" t="n"/>
      <c r="AJ209" s="233" t="n"/>
      <c r="AK209" s="233" t="n"/>
      <c r="AL209" s="233" t="n"/>
      <c r="AM209" s="233" t="n"/>
      <c r="AN209" s="233" t="n"/>
      <c r="AO209" s="233" t="n"/>
      <c r="AP209" s="233" t="n"/>
      <c r="AQ209" s="233" t="n"/>
      <c r="AR209" s="233" t="n"/>
      <c r="AS209" s="233" t="n"/>
      <c r="AT209" s="233" t="n"/>
      <c r="AU209" s="233" t="n"/>
      <c r="AV209" s="233" t="n"/>
      <c r="AW209" s="233" t="n"/>
      <c r="AX209" s="233" t="n"/>
      <c r="AY209" s="233" t="n"/>
      <c r="AZ209" s="233" t="n"/>
      <c r="BA209" s="233" t="n"/>
      <c r="BB209" s="233" t="n"/>
      <c r="BC209" s="233" t="n"/>
      <c r="BD209" s="233" t="n"/>
      <c r="BE209" s="233" t="n"/>
      <c r="BF209" s="233" t="n"/>
      <c r="BG209" s="233" t="n"/>
      <c r="BH209" s="233" t="n"/>
      <c r="BI209" s="233" t="n"/>
      <c r="BJ209" s="233" t="n"/>
      <c r="BK209" s="233" t="n"/>
      <c r="BL209" s="233" t="n"/>
      <c r="BM209" s="233" t="n"/>
    </row>
    <row r="210" ht="15.75" customHeight="1" s="349">
      <c r="A210" s="31" t="n"/>
      <c r="B210" s="307" t="n"/>
      <c r="C210" s="307" t="n"/>
      <c r="D210" s="146" t="n"/>
      <c r="E210" s="307" t="n"/>
      <c r="F210" s="307" t="n"/>
      <c r="G210" s="307" t="n"/>
      <c r="H210" s="307" t="n"/>
      <c r="I210" s="307" t="n"/>
      <c r="J210" s="307" t="n"/>
      <c r="K210" s="307" t="n"/>
      <c r="L210" s="307" t="n"/>
      <c r="M210" s="307" t="n"/>
      <c r="N210" s="307" t="n"/>
      <c r="O210" s="233" t="n"/>
      <c r="P210" s="233" t="n"/>
      <c r="Q210" s="233" t="n"/>
      <c r="R210" s="233" t="n"/>
      <c r="S210" s="233" t="n"/>
      <c r="T210" s="233" t="n"/>
      <c r="U210" s="233" t="n"/>
      <c r="V210" s="233" t="n"/>
      <c r="W210" s="233" t="n"/>
      <c r="X210" s="233" t="n"/>
      <c r="Y210" s="233" t="n"/>
      <c r="Z210" s="233" t="n"/>
      <c r="AA210" s="233" t="n"/>
      <c r="AB210" s="233" t="n"/>
      <c r="AC210" s="233" t="n"/>
      <c r="AD210" s="233" t="n"/>
      <c r="AE210" s="233" t="n"/>
      <c r="AF210" s="233" t="n"/>
      <c r="AG210" s="233" t="n"/>
      <c r="AH210" s="233" t="n"/>
      <c r="AI210" s="233" t="n"/>
      <c r="AJ210" s="233" t="n"/>
      <c r="AK210" s="233" t="n"/>
      <c r="AL210" s="233" t="n"/>
      <c r="AM210" s="233" t="n"/>
      <c r="AN210" s="233" t="n"/>
      <c r="AO210" s="233" t="n"/>
      <c r="AP210" s="233" t="n"/>
      <c r="AQ210" s="233" t="n"/>
      <c r="AR210" s="233" t="n"/>
      <c r="AS210" s="233" t="n"/>
      <c r="AT210" s="233" t="n"/>
      <c r="AU210" s="233" t="n"/>
      <c r="AV210" s="233" t="n"/>
      <c r="AW210" s="233" t="n"/>
      <c r="AX210" s="233" t="n"/>
      <c r="AY210" s="233" t="n"/>
      <c r="AZ210" s="233" t="n"/>
      <c r="BA210" s="233" t="n"/>
      <c r="BB210" s="233" t="n"/>
      <c r="BC210" s="233" t="n"/>
      <c r="BD210" s="233" t="n"/>
      <c r="BE210" s="233" t="n"/>
      <c r="BF210" s="233" t="n"/>
      <c r="BG210" s="233" t="n"/>
      <c r="BH210" s="233" t="n"/>
      <c r="BI210" s="233" t="n"/>
      <c r="BJ210" s="233" t="n"/>
      <c r="BK210" s="233" t="n"/>
      <c r="BL210" s="233" t="n"/>
      <c r="BM210" s="233" t="n"/>
    </row>
    <row r="211" ht="15.75" customHeight="1" s="349">
      <c r="A211" s="31" t="n"/>
      <c r="B211" s="307" t="n"/>
      <c r="C211" s="307" t="n"/>
      <c r="D211" s="146" t="n"/>
      <c r="E211" s="307" t="n"/>
      <c r="F211" s="307" t="n"/>
      <c r="G211" s="307" t="n"/>
      <c r="H211" s="307" t="n"/>
      <c r="I211" s="307" t="n"/>
      <c r="J211" s="307" t="n"/>
      <c r="K211" s="307" t="n"/>
      <c r="L211" s="307" t="n"/>
      <c r="M211" s="307" t="n"/>
      <c r="N211" s="307" t="n"/>
      <c r="O211" s="233" t="n"/>
      <c r="P211" s="233" t="n"/>
      <c r="Q211" s="233" t="n"/>
      <c r="R211" s="233" t="n"/>
      <c r="S211" s="233" t="n"/>
      <c r="T211" s="233" t="n"/>
      <c r="U211" s="233" t="n"/>
      <c r="V211" s="233" t="n"/>
      <c r="W211" s="233" t="n"/>
      <c r="X211" s="233" t="n"/>
      <c r="Y211" s="233" t="n"/>
      <c r="Z211" s="233" t="n"/>
      <c r="AA211" s="233" t="n"/>
      <c r="AB211" s="233" t="n"/>
      <c r="AC211" s="233" t="n"/>
      <c r="AD211" s="233" t="n"/>
      <c r="AE211" s="233" t="n"/>
      <c r="AF211" s="233" t="n"/>
      <c r="AG211" s="233" t="n"/>
      <c r="AH211" s="233" t="n"/>
      <c r="AI211" s="233" t="n"/>
      <c r="AJ211" s="233" t="n"/>
      <c r="AK211" s="233" t="n"/>
      <c r="AL211" s="233" t="n"/>
      <c r="AM211" s="233" t="n"/>
      <c r="AN211" s="233" t="n"/>
      <c r="AO211" s="233" t="n"/>
      <c r="AP211" s="233" t="n"/>
      <c r="AQ211" s="233" t="n"/>
      <c r="AR211" s="233" t="n"/>
      <c r="AS211" s="233" t="n"/>
      <c r="AT211" s="233" t="n"/>
      <c r="AU211" s="233" t="n"/>
      <c r="AV211" s="233" t="n"/>
      <c r="AW211" s="233" t="n"/>
      <c r="AX211" s="233" t="n"/>
      <c r="AY211" s="233" t="n"/>
      <c r="AZ211" s="233" t="n"/>
      <c r="BA211" s="233" t="n"/>
      <c r="BB211" s="233" t="n"/>
      <c r="BC211" s="233" t="n"/>
      <c r="BD211" s="233" t="n"/>
      <c r="BE211" s="233" t="n"/>
      <c r="BF211" s="233" t="n"/>
      <c r="BG211" s="233" t="n"/>
      <c r="BH211" s="233" t="n"/>
      <c r="BI211" s="233" t="n"/>
      <c r="BJ211" s="233" t="n"/>
      <c r="BK211" s="233" t="n"/>
      <c r="BL211" s="233" t="n"/>
      <c r="BM211" s="233" t="n"/>
    </row>
    <row r="212" ht="15.75" customHeight="1" s="349">
      <c r="A212" s="31" t="n"/>
      <c r="B212" s="307" t="n"/>
      <c r="C212" s="307" t="n"/>
      <c r="D212" s="146" t="n"/>
      <c r="E212" s="307" t="n"/>
      <c r="F212" s="307" t="n"/>
      <c r="G212" s="307" t="n"/>
      <c r="H212" s="307" t="n"/>
      <c r="I212" s="307" t="n"/>
      <c r="J212" s="307" t="n"/>
      <c r="K212" s="307" t="n"/>
      <c r="L212" s="307" t="n"/>
      <c r="M212" s="307" t="n"/>
      <c r="N212" s="307" t="n"/>
      <c r="O212" s="233" t="n"/>
      <c r="P212" s="233" t="n"/>
      <c r="Q212" s="233" t="n"/>
      <c r="R212" s="233" t="n"/>
      <c r="S212" s="233" t="n"/>
      <c r="T212" s="233" t="n"/>
      <c r="U212" s="233" t="n"/>
      <c r="V212" s="233" t="n"/>
      <c r="W212" s="233" t="n"/>
      <c r="X212" s="233" t="n"/>
      <c r="Y212" s="233" t="n"/>
      <c r="Z212" s="233" t="n"/>
      <c r="AA212" s="233" t="n"/>
      <c r="AB212" s="233" t="n"/>
      <c r="AC212" s="233" t="n"/>
      <c r="AD212" s="233" t="n"/>
      <c r="AE212" s="233" t="n"/>
      <c r="AF212" s="233" t="n"/>
      <c r="AG212" s="233" t="n"/>
      <c r="AH212" s="233" t="n"/>
      <c r="AI212" s="233" t="n"/>
      <c r="AJ212" s="233" t="n"/>
      <c r="AK212" s="233" t="n"/>
      <c r="AL212" s="233" t="n"/>
      <c r="AM212" s="233" t="n"/>
      <c r="AN212" s="233" t="n"/>
      <c r="AO212" s="233" t="n"/>
      <c r="AP212" s="233" t="n"/>
      <c r="AQ212" s="233" t="n"/>
      <c r="AR212" s="233" t="n"/>
      <c r="AS212" s="233" t="n"/>
      <c r="AT212" s="233" t="n"/>
      <c r="AU212" s="233" t="n"/>
      <c r="AV212" s="233" t="n"/>
      <c r="AW212" s="233" t="n"/>
      <c r="AX212" s="233" t="n"/>
      <c r="AY212" s="233" t="n"/>
      <c r="AZ212" s="233" t="n"/>
      <c r="BA212" s="233" t="n"/>
      <c r="BB212" s="233" t="n"/>
      <c r="BC212" s="233" t="n"/>
      <c r="BD212" s="233" t="n"/>
      <c r="BE212" s="233" t="n"/>
      <c r="BF212" s="233" t="n"/>
      <c r="BG212" s="233" t="n"/>
      <c r="BH212" s="233" t="n"/>
      <c r="BI212" s="233" t="n"/>
      <c r="BJ212" s="233" t="n"/>
      <c r="BK212" s="233" t="n"/>
      <c r="BL212" s="233" t="n"/>
      <c r="BM212" s="233" t="n"/>
    </row>
    <row r="213" ht="15.75" customHeight="1" s="349">
      <c r="A213" s="31" t="n"/>
      <c r="B213" s="307" t="n"/>
      <c r="C213" s="307" t="n"/>
      <c r="D213" s="146" t="n"/>
      <c r="E213" s="307" t="n"/>
      <c r="F213" s="307" t="n"/>
      <c r="G213" s="307" t="n"/>
      <c r="H213" s="307" t="n"/>
      <c r="I213" s="307" t="n"/>
      <c r="J213" s="307" t="n"/>
      <c r="K213" s="307" t="n"/>
      <c r="L213" s="307" t="n"/>
      <c r="M213" s="307" t="n"/>
      <c r="N213" s="307" t="n"/>
      <c r="O213" s="233" t="n"/>
      <c r="P213" s="233" t="n"/>
      <c r="Q213" s="233" t="n"/>
      <c r="R213" s="233" t="n"/>
      <c r="S213" s="233" t="n"/>
      <c r="T213" s="233" t="n"/>
      <c r="U213" s="233" t="n"/>
      <c r="V213" s="233" t="n"/>
      <c r="W213" s="233" t="n"/>
      <c r="X213" s="233" t="n"/>
      <c r="Y213" s="233" t="n"/>
      <c r="Z213" s="233" t="n"/>
      <c r="AA213" s="233" t="n"/>
      <c r="AB213" s="233" t="n"/>
      <c r="AC213" s="233" t="n"/>
      <c r="AD213" s="233" t="n"/>
      <c r="AE213" s="233" t="n"/>
      <c r="AF213" s="233" t="n"/>
      <c r="AG213" s="233" t="n"/>
      <c r="AH213" s="233" t="n"/>
      <c r="AI213" s="233" t="n"/>
      <c r="AJ213" s="233" t="n"/>
      <c r="AK213" s="233" t="n"/>
      <c r="AL213" s="233" t="n"/>
      <c r="AM213" s="233" t="n"/>
      <c r="AN213" s="233" t="n"/>
      <c r="AO213" s="233" t="n"/>
      <c r="AP213" s="233" t="n"/>
      <c r="AQ213" s="233" t="n"/>
      <c r="AR213" s="233" t="n"/>
      <c r="AS213" s="233" t="n"/>
      <c r="AT213" s="233" t="n"/>
      <c r="AU213" s="233" t="n"/>
      <c r="AV213" s="233" t="n"/>
      <c r="AW213" s="233" t="n"/>
      <c r="AX213" s="233" t="n"/>
      <c r="AY213" s="233" t="n"/>
      <c r="AZ213" s="233" t="n"/>
      <c r="BA213" s="233" t="n"/>
      <c r="BB213" s="233" t="n"/>
      <c r="BC213" s="233" t="n"/>
      <c r="BD213" s="233" t="n"/>
      <c r="BE213" s="233" t="n"/>
      <c r="BF213" s="233" t="n"/>
      <c r="BG213" s="233" t="n"/>
      <c r="BH213" s="233" t="n"/>
      <c r="BI213" s="233" t="n"/>
      <c r="BJ213" s="233" t="n"/>
      <c r="BK213" s="233" t="n"/>
      <c r="BL213" s="233" t="n"/>
      <c r="BM213" s="233" t="n"/>
    </row>
    <row r="214" ht="15.75" customHeight="1" s="349">
      <c r="A214" s="31" t="n"/>
      <c r="B214" s="307" t="n"/>
      <c r="C214" s="307" t="n"/>
      <c r="D214" s="146" t="n"/>
      <c r="E214" s="307" t="n"/>
      <c r="F214" s="307" t="n"/>
      <c r="G214" s="307" t="n"/>
      <c r="H214" s="307" t="n"/>
      <c r="I214" s="307" t="n"/>
      <c r="J214" s="307" t="n"/>
      <c r="K214" s="307" t="n"/>
      <c r="L214" s="307" t="n"/>
      <c r="M214" s="307" t="n"/>
      <c r="N214" s="307" t="n"/>
      <c r="O214" s="233" t="n"/>
      <c r="P214" s="233" t="n"/>
      <c r="Q214" s="233" t="n"/>
      <c r="R214" s="233" t="n"/>
      <c r="S214" s="233" t="n"/>
      <c r="T214" s="233" t="n"/>
      <c r="U214" s="233" t="n"/>
      <c r="V214" s="233" t="n"/>
      <c r="W214" s="233" t="n"/>
      <c r="X214" s="233" t="n"/>
      <c r="Y214" s="233" t="n"/>
      <c r="Z214" s="233" t="n"/>
      <c r="AA214" s="233" t="n"/>
      <c r="AB214" s="233" t="n"/>
      <c r="AC214" s="233" t="n"/>
      <c r="AD214" s="233" t="n"/>
      <c r="AE214" s="233" t="n"/>
      <c r="AF214" s="233" t="n"/>
      <c r="AG214" s="233" t="n"/>
      <c r="AH214" s="233" t="n"/>
      <c r="AI214" s="233" t="n"/>
      <c r="AJ214" s="233" t="n"/>
      <c r="AK214" s="233" t="n"/>
      <c r="AL214" s="233" t="n"/>
      <c r="AM214" s="233" t="n"/>
      <c r="AN214" s="233" t="n"/>
      <c r="AO214" s="233" t="n"/>
      <c r="AP214" s="233" t="n"/>
      <c r="AQ214" s="233" t="n"/>
      <c r="AR214" s="233" t="n"/>
      <c r="AS214" s="233" t="n"/>
      <c r="AT214" s="233" t="n"/>
      <c r="AU214" s="233" t="n"/>
      <c r="AV214" s="233" t="n"/>
      <c r="AW214" s="233" t="n"/>
      <c r="AX214" s="233" t="n"/>
      <c r="AY214" s="233" t="n"/>
      <c r="AZ214" s="233" t="n"/>
      <c r="BA214" s="233" t="n"/>
      <c r="BB214" s="233" t="n"/>
      <c r="BC214" s="233" t="n"/>
      <c r="BD214" s="233" t="n"/>
      <c r="BE214" s="233" t="n"/>
      <c r="BF214" s="233" t="n"/>
      <c r="BG214" s="233" t="n"/>
      <c r="BH214" s="233" t="n"/>
      <c r="BI214" s="233" t="n"/>
      <c r="BJ214" s="233" t="n"/>
      <c r="BK214" s="233" t="n"/>
      <c r="BL214" s="233" t="n"/>
      <c r="BM214" s="233" t="n"/>
    </row>
    <row r="215" ht="15.75" customHeight="1" s="349">
      <c r="A215" s="31" t="n"/>
      <c r="B215" s="307" t="n"/>
      <c r="C215" s="307" t="n"/>
      <c r="D215" s="146" t="n"/>
      <c r="E215" s="307" t="n"/>
      <c r="F215" s="307" t="n"/>
      <c r="G215" s="307" t="n"/>
      <c r="H215" s="307" t="n"/>
      <c r="I215" s="307" t="n"/>
      <c r="J215" s="307" t="n"/>
      <c r="K215" s="307" t="n"/>
      <c r="L215" s="307" t="n"/>
      <c r="M215" s="307" t="n"/>
      <c r="N215" s="307" t="n"/>
      <c r="O215" s="233" t="n"/>
      <c r="P215" s="233" t="n"/>
      <c r="Q215" s="233" t="n"/>
      <c r="R215" s="233" t="n"/>
      <c r="S215" s="233" t="n"/>
      <c r="T215" s="233" t="n"/>
      <c r="U215" s="233" t="n"/>
      <c r="V215" s="233" t="n"/>
      <c r="W215" s="233" t="n"/>
      <c r="X215" s="233" t="n"/>
      <c r="Y215" s="233" t="n"/>
      <c r="Z215" s="233" t="n"/>
      <c r="AA215" s="233" t="n"/>
      <c r="AB215" s="233" t="n"/>
      <c r="AC215" s="233" t="n"/>
      <c r="AD215" s="233" t="n"/>
      <c r="AE215" s="233" t="n"/>
      <c r="AF215" s="233" t="n"/>
      <c r="AG215" s="233" t="n"/>
      <c r="AH215" s="233" t="n"/>
      <c r="AI215" s="233" t="n"/>
      <c r="AJ215" s="233" t="n"/>
      <c r="AK215" s="233" t="n"/>
      <c r="AL215" s="233" t="n"/>
      <c r="AM215" s="233" t="n"/>
      <c r="AN215" s="233" t="n"/>
      <c r="AO215" s="233" t="n"/>
      <c r="AP215" s="233" t="n"/>
      <c r="AQ215" s="233" t="n"/>
      <c r="AR215" s="233" t="n"/>
      <c r="AS215" s="233" t="n"/>
      <c r="AT215" s="233" t="n"/>
      <c r="AU215" s="233" t="n"/>
      <c r="AV215" s="233" t="n"/>
      <c r="AW215" s="233" t="n"/>
      <c r="AX215" s="233" t="n"/>
      <c r="AY215" s="233" t="n"/>
      <c r="AZ215" s="233" t="n"/>
      <c r="BA215" s="233" t="n"/>
      <c r="BB215" s="233" t="n"/>
      <c r="BC215" s="233" t="n"/>
      <c r="BD215" s="233" t="n"/>
      <c r="BE215" s="233" t="n"/>
      <c r="BF215" s="233" t="n"/>
      <c r="BG215" s="233" t="n"/>
      <c r="BH215" s="233" t="n"/>
      <c r="BI215" s="233" t="n"/>
      <c r="BJ215" s="233" t="n"/>
      <c r="BK215" s="233" t="n"/>
      <c r="BL215" s="233" t="n"/>
      <c r="BM215" s="233" t="n"/>
    </row>
    <row r="216" ht="15.75" customHeight="1" s="349">
      <c r="A216" s="31" t="n"/>
      <c r="B216" s="307" t="n"/>
      <c r="C216" s="307" t="n"/>
      <c r="D216" s="146" t="n"/>
      <c r="E216" s="307" t="n"/>
      <c r="F216" s="307" t="n"/>
      <c r="G216" s="307" t="n"/>
      <c r="H216" s="307" t="n"/>
      <c r="I216" s="307" t="n"/>
      <c r="J216" s="307" t="n"/>
      <c r="K216" s="307" t="n"/>
      <c r="L216" s="307" t="n"/>
      <c r="M216" s="307" t="n"/>
      <c r="N216" s="307" t="n"/>
      <c r="O216" s="233" t="n"/>
      <c r="P216" s="233" t="n"/>
      <c r="Q216" s="233" t="n"/>
      <c r="R216" s="233" t="n"/>
      <c r="S216" s="233" t="n"/>
      <c r="T216" s="233" t="n"/>
      <c r="U216" s="233" t="n"/>
      <c r="V216" s="233" t="n"/>
      <c r="W216" s="233" t="n"/>
      <c r="X216" s="233" t="n"/>
      <c r="Y216" s="233" t="n"/>
      <c r="Z216" s="233" t="n"/>
      <c r="AA216" s="233" t="n"/>
      <c r="AB216" s="233" t="n"/>
      <c r="AC216" s="233" t="n"/>
      <c r="AD216" s="233" t="n"/>
      <c r="AE216" s="233" t="n"/>
      <c r="AF216" s="233" t="n"/>
      <c r="AG216" s="233" t="n"/>
      <c r="AH216" s="233" t="n"/>
      <c r="AI216" s="233" t="n"/>
      <c r="AJ216" s="233" t="n"/>
      <c r="AK216" s="233" t="n"/>
      <c r="AL216" s="233" t="n"/>
      <c r="AM216" s="233" t="n"/>
      <c r="AN216" s="233" t="n"/>
      <c r="AO216" s="233" t="n"/>
      <c r="AP216" s="233" t="n"/>
      <c r="AQ216" s="233" t="n"/>
      <c r="AR216" s="233" t="n"/>
      <c r="AS216" s="233" t="n"/>
      <c r="AT216" s="233" t="n"/>
      <c r="AU216" s="233" t="n"/>
      <c r="AV216" s="233" t="n"/>
      <c r="AW216" s="233" t="n"/>
      <c r="AX216" s="233" t="n"/>
      <c r="AY216" s="233" t="n"/>
      <c r="AZ216" s="233" t="n"/>
      <c r="BA216" s="233" t="n"/>
      <c r="BB216" s="233" t="n"/>
      <c r="BC216" s="233" t="n"/>
      <c r="BD216" s="233" t="n"/>
      <c r="BE216" s="233" t="n"/>
      <c r="BF216" s="233" t="n"/>
      <c r="BG216" s="233" t="n"/>
      <c r="BH216" s="233" t="n"/>
      <c r="BI216" s="233" t="n"/>
      <c r="BJ216" s="233" t="n"/>
      <c r="BK216" s="233" t="n"/>
      <c r="BL216" s="233" t="n"/>
      <c r="BM216" s="233" t="n"/>
    </row>
    <row r="217" ht="15.75" customHeight="1" s="349">
      <c r="A217" s="31" t="n"/>
      <c r="B217" s="307" t="n"/>
      <c r="C217" s="307" t="n"/>
      <c r="D217" s="146" t="n"/>
      <c r="E217" s="307" t="n"/>
      <c r="F217" s="307" t="n"/>
      <c r="G217" s="307" t="n"/>
      <c r="H217" s="307" t="n"/>
      <c r="I217" s="307" t="n"/>
      <c r="J217" s="307" t="n"/>
      <c r="K217" s="307" t="n"/>
      <c r="L217" s="307" t="n"/>
      <c r="M217" s="307" t="n"/>
      <c r="N217" s="307" t="n"/>
      <c r="O217" s="233" t="n"/>
      <c r="P217" s="233" t="n"/>
      <c r="Q217" s="233" t="n"/>
      <c r="R217" s="233" t="n"/>
      <c r="S217" s="233" t="n"/>
      <c r="T217" s="233" t="n"/>
      <c r="U217" s="233" t="n"/>
      <c r="V217" s="233" t="n"/>
      <c r="W217" s="233" t="n"/>
      <c r="X217" s="233" t="n"/>
      <c r="Y217" s="233" t="n"/>
      <c r="Z217" s="233" t="n"/>
      <c r="AA217" s="233" t="n"/>
      <c r="AB217" s="233" t="n"/>
      <c r="AC217" s="233" t="n"/>
      <c r="AD217" s="233" t="n"/>
      <c r="AE217" s="233" t="n"/>
      <c r="AF217" s="233" t="n"/>
      <c r="AG217" s="233" t="n"/>
      <c r="AH217" s="233" t="n"/>
      <c r="AI217" s="233" t="n"/>
      <c r="AJ217" s="233" t="n"/>
      <c r="AK217" s="233" t="n"/>
      <c r="AL217" s="233" t="n"/>
      <c r="AM217" s="233" t="n"/>
      <c r="AN217" s="233" t="n"/>
      <c r="AO217" s="233" t="n"/>
      <c r="AP217" s="233" t="n"/>
      <c r="AQ217" s="233" t="n"/>
      <c r="AR217" s="233" t="n"/>
      <c r="AS217" s="233" t="n"/>
      <c r="AT217" s="233" t="n"/>
      <c r="AU217" s="233" t="n"/>
      <c r="AV217" s="233" t="n"/>
      <c r="AW217" s="233" t="n"/>
      <c r="AX217" s="233" t="n"/>
      <c r="AY217" s="233" t="n"/>
      <c r="AZ217" s="233" t="n"/>
      <c r="BA217" s="233" t="n"/>
      <c r="BB217" s="233" t="n"/>
      <c r="BC217" s="233" t="n"/>
      <c r="BD217" s="233" t="n"/>
      <c r="BE217" s="233" t="n"/>
      <c r="BF217" s="233" t="n"/>
      <c r="BG217" s="233" t="n"/>
      <c r="BH217" s="233" t="n"/>
      <c r="BI217" s="233" t="n"/>
      <c r="BJ217" s="233" t="n"/>
      <c r="BK217" s="233" t="n"/>
      <c r="BL217" s="233" t="n"/>
      <c r="BM217" s="233" t="n"/>
    </row>
    <row r="218" ht="15.75" customHeight="1" s="349">
      <c r="A218" s="31" t="n"/>
      <c r="B218" s="307" t="n"/>
      <c r="C218" s="307" t="n"/>
      <c r="D218" s="146" t="n"/>
      <c r="E218" s="307" t="n"/>
      <c r="F218" s="307" t="n"/>
      <c r="G218" s="307" t="n"/>
      <c r="H218" s="307" t="n"/>
      <c r="I218" s="307" t="n"/>
      <c r="J218" s="307" t="n"/>
      <c r="K218" s="307" t="n"/>
      <c r="L218" s="307" t="n"/>
      <c r="M218" s="307" t="n"/>
      <c r="N218" s="307" t="n"/>
      <c r="O218" s="233" t="n"/>
      <c r="P218" s="233" t="n"/>
      <c r="Q218" s="233" t="n"/>
      <c r="R218" s="233" t="n"/>
      <c r="S218" s="233" t="n"/>
      <c r="T218" s="233" t="n"/>
      <c r="U218" s="233" t="n"/>
      <c r="V218" s="233" t="n"/>
      <c r="W218" s="233" t="n"/>
      <c r="X218" s="233" t="n"/>
      <c r="Y218" s="233" t="n"/>
      <c r="Z218" s="233" t="n"/>
      <c r="AA218" s="233" t="n"/>
      <c r="AB218" s="233" t="n"/>
      <c r="AC218" s="233" t="n"/>
      <c r="AD218" s="233" t="n"/>
      <c r="AE218" s="233" t="n"/>
      <c r="AF218" s="233" t="n"/>
      <c r="AG218" s="233" t="n"/>
      <c r="AH218" s="233" t="n"/>
      <c r="AI218" s="233" t="n"/>
      <c r="AJ218" s="233" t="n"/>
      <c r="AK218" s="233" t="n"/>
      <c r="AL218" s="233" t="n"/>
      <c r="AM218" s="233" t="n"/>
      <c r="AN218" s="233" t="n"/>
      <c r="AO218" s="233" t="n"/>
      <c r="AP218" s="233" t="n"/>
      <c r="AQ218" s="233" t="n"/>
      <c r="AR218" s="233" t="n"/>
      <c r="AS218" s="233" t="n"/>
      <c r="AT218" s="233" t="n"/>
      <c r="AU218" s="233" t="n"/>
      <c r="AV218" s="233" t="n"/>
      <c r="AW218" s="233" t="n"/>
      <c r="AX218" s="233" t="n"/>
      <c r="AY218" s="233" t="n"/>
      <c r="AZ218" s="233" t="n"/>
      <c r="BA218" s="233" t="n"/>
      <c r="BB218" s="233" t="n"/>
      <c r="BC218" s="233" t="n"/>
      <c r="BD218" s="233" t="n"/>
      <c r="BE218" s="233" t="n"/>
      <c r="BF218" s="233" t="n"/>
      <c r="BG218" s="233" t="n"/>
      <c r="BH218" s="233" t="n"/>
      <c r="BI218" s="233" t="n"/>
      <c r="BJ218" s="233" t="n"/>
      <c r="BK218" s="233" t="n"/>
      <c r="BL218" s="233" t="n"/>
      <c r="BM218" s="233" t="n"/>
    </row>
    <row r="219" ht="15.75" customHeight="1" s="349">
      <c r="A219" s="31" t="n"/>
      <c r="B219" s="307" t="n"/>
      <c r="C219" s="307" t="n"/>
      <c r="D219" s="146" t="n"/>
      <c r="E219" s="307" t="n"/>
      <c r="F219" s="307" t="n"/>
      <c r="G219" s="307" t="n"/>
      <c r="H219" s="307" t="n"/>
      <c r="I219" s="307" t="n"/>
      <c r="J219" s="307" t="n"/>
      <c r="K219" s="307" t="n"/>
      <c r="L219" s="307" t="n"/>
      <c r="M219" s="307" t="n"/>
      <c r="N219" s="307" t="n"/>
      <c r="O219" s="233" t="n"/>
      <c r="P219" s="233" t="n"/>
      <c r="Q219" s="233" t="n"/>
      <c r="R219" s="233" t="n"/>
      <c r="S219" s="233" t="n"/>
      <c r="T219" s="233" t="n"/>
      <c r="U219" s="233" t="n"/>
      <c r="V219" s="233" t="n"/>
      <c r="W219" s="233" t="n"/>
      <c r="X219" s="233" t="n"/>
      <c r="Y219" s="233" t="n"/>
      <c r="Z219" s="233" t="n"/>
      <c r="AA219" s="233" t="n"/>
      <c r="AB219" s="233" t="n"/>
      <c r="AC219" s="233" t="n"/>
      <c r="AD219" s="233" t="n"/>
      <c r="AE219" s="233" t="n"/>
      <c r="AF219" s="233" t="n"/>
      <c r="AG219" s="233" t="n"/>
      <c r="AH219" s="233" t="n"/>
      <c r="AI219" s="233" t="n"/>
      <c r="AJ219" s="233" t="n"/>
      <c r="AK219" s="233" t="n"/>
      <c r="AL219" s="233" t="n"/>
      <c r="AM219" s="233" t="n"/>
      <c r="AN219" s="233" t="n"/>
      <c r="AO219" s="233" t="n"/>
      <c r="AP219" s="233" t="n"/>
      <c r="AQ219" s="233" t="n"/>
      <c r="AR219" s="233" t="n"/>
      <c r="AS219" s="233" t="n"/>
      <c r="AT219" s="233" t="n"/>
      <c r="AU219" s="233" t="n"/>
      <c r="AV219" s="233" t="n"/>
      <c r="AW219" s="233" t="n"/>
      <c r="AX219" s="233" t="n"/>
      <c r="AY219" s="233" t="n"/>
      <c r="AZ219" s="233" t="n"/>
      <c r="BA219" s="233" t="n"/>
      <c r="BB219" s="233" t="n"/>
      <c r="BC219" s="233" t="n"/>
      <c r="BD219" s="233" t="n"/>
      <c r="BE219" s="233" t="n"/>
      <c r="BF219" s="233" t="n"/>
      <c r="BG219" s="233" t="n"/>
      <c r="BH219" s="233" t="n"/>
      <c r="BI219" s="233" t="n"/>
      <c r="BJ219" s="233" t="n"/>
      <c r="BK219" s="233" t="n"/>
      <c r="BL219" s="233" t="n"/>
      <c r="BM219" s="233" t="n"/>
    </row>
    <row r="220" ht="15.75" customHeight="1" s="349">
      <c r="A220" s="31" t="n"/>
      <c r="B220" s="307" t="n"/>
      <c r="C220" s="307" t="n"/>
      <c r="D220" s="146" t="n"/>
      <c r="E220" s="307" t="n"/>
      <c r="F220" s="307" t="n"/>
      <c r="G220" s="307" t="n"/>
      <c r="H220" s="307" t="n"/>
      <c r="I220" s="307" t="n"/>
      <c r="J220" s="307" t="n"/>
      <c r="K220" s="307" t="n"/>
      <c r="L220" s="307" t="n"/>
      <c r="M220" s="307" t="n"/>
      <c r="N220" s="307" t="n"/>
      <c r="O220" s="233" t="n"/>
      <c r="P220" s="233" t="n"/>
      <c r="Q220" s="233" t="n"/>
      <c r="R220" s="233" t="n"/>
      <c r="S220" s="233" t="n"/>
      <c r="T220" s="233" t="n"/>
      <c r="U220" s="233" t="n"/>
      <c r="V220" s="233" t="n"/>
      <c r="W220" s="233" t="n"/>
      <c r="X220" s="233" t="n"/>
      <c r="Y220" s="233" t="n"/>
      <c r="Z220" s="233" t="n"/>
      <c r="AA220" s="233" t="n"/>
      <c r="AB220" s="233" t="n"/>
      <c r="AC220" s="233" t="n"/>
      <c r="AD220" s="233" t="n"/>
      <c r="AE220" s="233" t="n"/>
      <c r="AF220" s="233" t="n"/>
      <c r="AG220" s="233" t="n"/>
      <c r="AH220" s="233" t="n"/>
      <c r="AI220" s="233" t="n"/>
      <c r="AJ220" s="233" t="n"/>
      <c r="AK220" s="233" t="n"/>
      <c r="AL220" s="233" t="n"/>
      <c r="AM220" s="233" t="n"/>
      <c r="AN220" s="233" t="n"/>
      <c r="AO220" s="233" t="n"/>
      <c r="AP220" s="233" t="n"/>
      <c r="AQ220" s="233" t="n"/>
      <c r="AR220" s="233" t="n"/>
      <c r="AS220" s="233" t="n"/>
      <c r="AT220" s="233" t="n"/>
      <c r="AU220" s="233" t="n"/>
      <c r="AV220" s="233" t="n"/>
      <c r="AW220" s="233" t="n"/>
      <c r="AX220" s="233" t="n"/>
      <c r="AY220" s="233" t="n"/>
      <c r="AZ220" s="233" t="n"/>
      <c r="BA220" s="233" t="n"/>
      <c r="BB220" s="233" t="n"/>
      <c r="BC220" s="233" t="n"/>
      <c r="BD220" s="233" t="n"/>
      <c r="BE220" s="233" t="n"/>
      <c r="BF220" s="233" t="n"/>
      <c r="BG220" s="233" t="n"/>
      <c r="BH220" s="233" t="n"/>
      <c r="BI220" s="233" t="n"/>
      <c r="BJ220" s="233" t="n"/>
      <c r="BK220" s="233" t="n"/>
      <c r="BL220" s="233" t="n"/>
      <c r="BM220" s="233" t="n"/>
    </row>
    <row r="221" ht="15.75" customHeight="1" s="349">
      <c r="A221" s="31" t="n"/>
      <c r="B221" s="307" t="n"/>
      <c r="C221" s="307" t="n"/>
      <c r="D221" s="146" t="n"/>
      <c r="E221" s="307" t="n"/>
      <c r="F221" s="307" t="n"/>
      <c r="G221" s="307" t="n"/>
      <c r="H221" s="307" t="n"/>
      <c r="I221" s="307" t="n"/>
      <c r="J221" s="307" t="n"/>
      <c r="K221" s="307" t="n"/>
      <c r="L221" s="307" t="n"/>
      <c r="M221" s="307" t="n"/>
      <c r="N221" s="307" t="n"/>
      <c r="O221" s="233" t="n"/>
      <c r="P221" s="233" t="n"/>
      <c r="Q221" s="233" t="n"/>
      <c r="R221" s="233" t="n"/>
      <c r="S221" s="233" t="n"/>
      <c r="T221" s="233" t="n"/>
      <c r="U221" s="233" t="n"/>
      <c r="V221" s="233" t="n"/>
      <c r="W221" s="233" t="n"/>
      <c r="X221" s="233" t="n"/>
      <c r="Y221" s="233" t="n"/>
      <c r="Z221" s="233" t="n"/>
      <c r="AA221" s="233" t="n"/>
      <c r="AB221" s="233" t="n"/>
      <c r="AC221" s="233" t="n"/>
      <c r="AD221" s="233" t="n"/>
      <c r="AE221" s="233" t="n"/>
      <c r="AF221" s="233" t="n"/>
      <c r="AG221" s="233" t="n"/>
      <c r="AH221" s="233" t="n"/>
      <c r="AI221" s="233" t="n"/>
      <c r="AJ221" s="233" t="n"/>
      <c r="AK221" s="233" t="n"/>
      <c r="AL221" s="233" t="n"/>
      <c r="AM221" s="233" t="n"/>
      <c r="AN221" s="233" t="n"/>
      <c r="AO221" s="233" t="n"/>
      <c r="AP221" s="233" t="n"/>
      <c r="AQ221" s="233" t="n"/>
      <c r="AR221" s="233" t="n"/>
      <c r="AS221" s="233" t="n"/>
      <c r="AT221" s="233" t="n"/>
      <c r="AU221" s="233" t="n"/>
      <c r="AV221" s="233" t="n"/>
      <c r="AW221" s="233" t="n"/>
      <c r="AX221" s="233" t="n"/>
      <c r="AY221" s="233" t="n"/>
      <c r="AZ221" s="233" t="n"/>
      <c r="BA221" s="233" t="n"/>
      <c r="BB221" s="233" t="n"/>
      <c r="BC221" s="233" t="n"/>
      <c r="BD221" s="233" t="n"/>
      <c r="BE221" s="233" t="n"/>
      <c r="BF221" s="233" t="n"/>
      <c r="BG221" s="233" t="n"/>
      <c r="BH221" s="233" t="n"/>
      <c r="BI221" s="233" t="n"/>
      <c r="BJ221" s="233" t="n"/>
      <c r="BK221" s="233" t="n"/>
      <c r="BL221" s="233" t="n"/>
      <c r="BM221" s="233" t="n"/>
    </row>
    <row r="222" ht="15.75" customHeight="1" s="349">
      <c r="A222" s="31" t="n"/>
      <c r="B222" s="307" t="n"/>
      <c r="C222" s="307" t="n"/>
      <c r="D222" s="146" t="n"/>
      <c r="E222" s="307" t="n"/>
      <c r="F222" s="307" t="n"/>
      <c r="G222" s="307" t="n"/>
      <c r="H222" s="307" t="n"/>
      <c r="I222" s="307" t="n"/>
      <c r="J222" s="307" t="n"/>
      <c r="K222" s="307" t="n"/>
      <c r="L222" s="307" t="n"/>
      <c r="M222" s="307" t="n"/>
      <c r="N222" s="307" t="n"/>
      <c r="O222" s="233" t="n"/>
      <c r="P222" s="233" t="n"/>
      <c r="Q222" s="233" t="n"/>
      <c r="R222" s="233" t="n"/>
      <c r="S222" s="233" t="n"/>
      <c r="T222" s="233" t="n"/>
      <c r="U222" s="233" t="n"/>
      <c r="V222" s="233" t="n"/>
      <c r="W222" s="233" t="n"/>
      <c r="X222" s="233" t="n"/>
      <c r="Y222" s="233" t="n"/>
      <c r="Z222" s="233" t="n"/>
      <c r="AA222" s="233" t="n"/>
      <c r="AB222" s="233" t="n"/>
      <c r="AC222" s="233" t="n"/>
      <c r="AD222" s="233" t="n"/>
      <c r="AE222" s="233" t="n"/>
      <c r="AF222" s="233" t="n"/>
      <c r="AG222" s="233" t="n"/>
      <c r="AH222" s="233" t="n"/>
      <c r="AI222" s="233" t="n"/>
      <c r="AJ222" s="233" t="n"/>
      <c r="AK222" s="233" t="n"/>
      <c r="AL222" s="233" t="n"/>
      <c r="AM222" s="233" t="n"/>
      <c r="AN222" s="233" t="n"/>
      <c r="AO222" s="233" t="n"/>
      <c r="AP222" s="233" t="n"/>
      <c r="AQ222" s="233" t="n"/>
      <c r="AR222" s="233" t="n"/>
      <c r="AS222" s="233" t="n"/>
      <c r="AT222" s="233" t="n"/>
      <c r="AU222" s="233" t="n"/>
      <c r="AV222" s="233" t="n"/>
      <c r="AW222" s="233" t="n"/>
      <c r="AX222" s="233" t="n"/>
      <c r="AY222" s="233" t="n"/>
      <c r="AZ222" s="233" t="n"/>
      <c r="BA222" s="233" t="n"/>
      <c r="BB222" s="233" t="n"/>
      <c r="BC222" s="233" t="n"/>
      <c r="BD222" s="233" t="n"/>
      <c r="BE222" s="233" t="n"/>
      <c r="BF222" s="233" t="n"/>
      <c r="BG222" s="233" t="n"/>
      <c r="BH222" s="233" t="n"/>
      <c r="BI222" s="233" t="n"/>
      <c r="BJ222" s="233" t="n"/>
      <c r="BK222" s="233" t="n"/>
      <c r="BL222" s="233" t="n"/>
      <c r="BM222" s="233" t="n"/>
    </row>
    <row r="223" ht="15.75" customHeight="1" s="349">
      <c r="A223" s="31" t="n"/>
      <c r="B223" s="307" t="n"/>
      <c r="C223" s="307" t="n"/>
      <c r="D223" s="146" t="n"/>
      <c r="E223" s="307" t="n"/>
      <c r="F223" s="307" t="n"/>
      <c r="G223" s="307" t="n"/>
      <c r="H223" s="307" t="n"/>
      <c r="I223" s="307" t="n"/>
      <c r="J223" s="307" t="n"/>
      <c r="K223" s="307" t="n"/>
      <c r="L223" s="307" t="n"/>
      <c r="M223" s="307" t="n"/>
      <c r="N223" s="307" t="n"/>
      <c r="O223" s="233" t="n"/>
      <c r="P223" s="233" t="n"/>
      <c r="Q223" s="233" t="n"/>
      <c r="R223" s="233" t="n"/>
      <c r="S223" s="233" t="n"/>
      <c r="T223" s="233" t="n"/>
      <c r="U223" s="233" t="n"/>
      <c r="V223" s="233" t="n"/>
      <c r="W223" s="233" t="n"/>
      <c r="X223" s="233" t="n"/>
      <c r="Y223" s="233" t="n"/>
      <c r="Z223" s="233" t="n"/>
      <c r="AA223" s="233" t="n"/>
      <c r="AB223" s="233" t="n"/>
      <c r="AC223" s="233" t="n"/>
      <c r="AD223" s="233" t="n"/>
      <c r="AE223" s="233" t="n"/>
      <c r="AF223" s="233" t="n"/>
      <c r="AG223" s="233" t="n"/>
      <c r="AH223" s="233" t="n"/>
      <c r="AI223" s="233" t="n"/>
      <c r="AJ223" s="233" t="n"/>
      <c r="AK223" s="233" t="n"/>
      <c r="AL223" s="233" t="n"/>
      <c r="AM223" s="233" t="n"/>
      <c r="AN223" s="233" t="n"/>
      <c r="AO223" s="233" t="n"/>
      <c r="AP223" s="233" t="n"/>
      <c r="AQ223" s="233" t="n"/>
      <c r="AR223" s="233" t="n"/>
      <c r="AS223" s="233" t="n"/>
      <c r="AT223" s="233" t="n"/>
      <c r="AU223" s="233" t="n"/>
      <c r="AV223" s="233" t="n"/>
      <c r="AW223" s="233" t="n"/>
      <c r="AX223" s="233" t="n"/>
      <c r="AY223" s="233" t="n"/>
      <c r="AZ223" s="233" t="n"/>
      <c r="BA223" s="233" t="n"/>
      <c r="BB223" s="233" t="n"/>
      <c r="BC223" s="233" t="n"/>
      <c r="BD223" s="233" t="n"/>
      <c r="BE223" s="233" t="n"/>
      <c r="BF223" s="233" t="n"/>
      <c r="BG223" s="233" t="n"/>
      <c r="BH223" s="233" t="n"/>
      <c r="BI223" s="233" t="n"/>
      <c r="BJ223" s="233" t="n"/>
      <c r="BK223" s="233" t="n"/>
      <c r="BL223" s="233" t="n"/>
      <c r="BM223" s="233" t="n"/>
    </row>
    <row r="224" ht="15.75" customHeight="1" s="349">
      <c r="A224" s="31" t="n"/>
      <c r="B224" s="307" t="n"/>
      <c r="C224" s="307" t="n"/>
      <c r="D224" s="146" t="n"/>
      <c r="E224" s="307" t="n"/>
      <c r="F224" s="307" t="n"/>
      <c r="G224" s="307" t="n"/>
      <c r="H224" s="307" t="n"/>
      <c r="I224" s="307" t="n"/>
      <c r="J224" s="307" t="n"/>
      <c r="K224" s="307" t="n"/>
      <c r="L224" s="307" t="n"/>
      <c r="M224" s="307" t="n"/>
      <c r="N224" s="307" t="n"/>
      <c r="O224" s="233" t="n"/>
      <c r="P224" s="233" t="n"/>
      <c r="Q224" s="233" t="n"/>
      <c r="R224" s="233" t="n"/>
      <c r="S224" s="233" t="n"/>
      <c r="T224" s="233" t="n"/>
      <c r="U224" s="233" t="n"/>
      <c r="V224" s="233" t="n"/>
      <c r="W224" s="233" t="n"/>
      <c r="X224" s="233" t="n"/>
      <c r="Y224" s="233" t="n"/>
      <c r="Z224" s="233" t="n"/>
      <c r="AA224" s="233" t="n"/>
      <c r="AB224" s="233" t="n"/>
      <c r="AC224" s="233" t="n"/>
      <c r="AD224" s="233" t="n"/>
      <c r="AE224" s="233" t="n"/>
      <c r="AF224" s="233" t="n"/>
      <c r="AG224" s="233" t="n"/>
      <c r="AH224" s="233" t="n"/>
      <c r="AI224" s="233" t="n"/>
      <c r="AJ224" s="233" t="n"/>
      <c r="AK224" s="233" t="n"/>
      <c r="AL224" s="233" t="n"/>
      <c r="AM224" s="233" t="n"/>
      <c r="AN224" s="233" t="n"/>
      <c r="AO224" s="233" t="n"/>
      <c r="AP224" s="233" t="n"/>
      <c r="AQ224" s="233" t="n"/>
      <c r="AR224" s="233" t="n"/>
      <c r="AS224" s="233" t="n"/>
      <c r="AT224" s="233" t="n"/>
      <c r="AU224" s="233" t="n"/>
      <c r="AV224" s="233" t="n"/>
      <c r="AW224" s="233" t="n"/>
      <c r="AX224" s="233" t="n"/>
      <c r="AY224" s="233" t="n"/>
      <c r="AZ224" s="233" t="n"/>
      <c r="BA224" s="233" t="n"/>
      <c r="BB224" s="233" t="n"/>
      <c r="BC224" s="233" t="n"/>
      <c r="BD224" s="233" t="n"/>
      <c r="BE224" s="233" t="n"/>
      <c r="BF224" s="233" t="n"/>
      <c r="BG224" s="233" t="n"/>
      <c r="BH224" s="233" t="n"/>
      <c r="BI224" s="233" t="n"/>
      <c r="BJ224" s="233" t="n"/>
      <c r="BK224" s="233" t="n"/>
      <c r="BL224" s="233" t="n"/>
      <c r="BM224" s="233" t="n"/>
    </row>
    <row r="225" ht="15.75" customHeight="1" s="349">
      <c r="A225" s="31" t="n"/>
      <c r="B225" s="307" t="n"/>
      <c r="C225" s="307" t="n"/>
      <c r="D225" s="146" t="n"/>
      <c r="E225" s="307" t="n"/>
      <c r="F225" s="307" t="n"/>
      <c r="G225" s="307" t="n"/>
      <c r="H225" s="307" t="n"/>
      <c r="I225" s="307" t="n"/>
      <c r="J225" s="307" t="n"/>
      <c r="K225" s="307" t="n"/>
      <c r="L225" s="307" t="n"/>
      <c r="M225" s="307" t="n"/>
      <c r="N225" s="307" t="n"/>
      <c r="O225" s="233" t="n"/>
      <c r="P225" s="233" t="n"/>
      <c r="Q225" s="233" t="n"/>
      <c r="R225" s="233" t="n"/>
      <c r="S225" s="233" t="n"/>
      <c r="T225" s="233" t="n"/>
      <c r="U225" s="233" t="n"/>
      <c r="V225" s="233" t="n"/>
      <c r="W225" s="233" t="n"/>
      <c r="X225" s="233" t="n"/>
      <c r="Y225" s="233" t="n"/>
      <c r="Z225" s="233" t="n"/>
      <c r="AA225" s="233" t="n"/>
      <c r="AB225" s="233" t="n"/>
      <c r="AC225" s="233" t="n"/>
      <c r="AD225" s="233" t="n"/>
      <c r="AE225" s="233" t="n"/>
      <c r="AF225" s="233" t="n"/>
      <c r="AG225" s="233" t="n"/>
      <c r="AH225" s="233" t="n"/>
      <c r="AI225" s="233" t="n"/>
      <c r="AJ225" s="233" t="n"/>
      <c r="AK225" s="233" t="n"/>
      <c r="AL225" s="233" t="n"/>
      <c r="AM225" s="233" t="n"/>
      <c r="AN225" s="233" t="n"/>
      <c r="AO225" s="233" t="n"/>
      <c r="AP225" s="233" t="n"/>
      <c r="AQ225" s="233" t="n"/>
      <c r="AR225" s="233" t="n"/>
      <c r="AS225" s="233" t="n"/>
      <c r="AT225" s="233" t="n"/>
      <c r="AU225" s="233" t="n"/>
      <c r="AV225" s="233" t="n"/>
      <c r="AW225" s="233" t="n"/>
      <c r="AX225" s="233" t="n"/>
      <c r="AY225" s="233" t="n"/>
      <c r="AZ225" s="233" t="n"/>
      <c r="BA225" s="233" t="n"/>
      <c r="BB225" s="233" t="n"/>
      <c r="BC225" s="233" t="n"/>
      <c r="BD225" s="233" t="n"/>
      <c r="BE225" s="233" t="n"/>
      <c r="BF225" s="233" t="n"/>
      <c r="BG225" s="233" t="n"/>
      <c r="BH225" s="233" t="n"/>
      <c r="BI225" s="233" t="n"/>
      <c r="BJ225" s="233" t="n"/>
      <c r="BK225" s="233" t="n"/>
      <c r="BL225" s="233" t="n"/>
      <c r="BM225" s="233" t="n"/>
    </row>
    <row r="226" ht="15.75" customHeight="1" s="349">
      <c r="A226" s="31" t="n"/>
      <c r="B226" s="307" t="n"/>
      <c r="C226" s="307" t="n"/>
      <c r="D226" s="146" t="n"/>
      <c r="E226" s="307" t="n"/>
      <c r="F226" s="307" t="n"/>
      <c r="G226" s="307" t="n"/>
      <c r="H226" s="307" t="n"/>
      <c r="I226" s="307" t="n"/>
      <c r="J226" s="307" t="n"/>
      <c r="K226" s="307" t="n"/>
      <c r="L226" s="307" t="n"/>
      <c r="M226" s="307" t="n"/>
      <c r="N226" s="307" t="n"/>
      <c r="O226" s="233" t="n"/>
      <c r="P226" s="233" t="n"/>
      <c r="Q226" s="233" t="n"/>
      <c r="R226" s="233" t="n"/>
      <c r="S226" s="233" t="n"/>
      <c r="T226" s="233" t="n"/>
      <c r="U226" s="233" t="n"/>
      <c r="V226" s="233" t="n"/>
      <c r="W226" s="233" t="n"/>
      <c r="X226" s="233" t="n"/>
      <c r="Y226" s="233" t="n"/>
      <c r="Z226" s="233" t="n"/>
      <c r="AA226" s="233" t="n"/>
      <c r="AB226" s="233" t="n"/>
      <c r="AC226" s="233" t="n"/>
      <c r="AD226" s="233" t="n"/>
      <c r="AE226" s="233" t="n"/>
      <c r="AF226" s="233" t="n"/>
      <c r="AG226" s="233" t="n"/>
      <c r="AH226" s="233" t="n"/>
      <c r="AI226" s="233" t="n"/>
      <c r="AJ226" s="233" t="n"/>
      <c r="AK226" s="233" t="n"/>
      <c r="AL226" s="233" t="n"/>
      <c r="AM226" s="233" t="n"/>
      <c r="AN226" s="233" t="n"/>
      <c r="AO226" s="233" t="n"/>
      <c r="AP226" s="233" t="n"/>
      <c r="AQ226" s="233" t="n"/>
      <c r="AR226" s="233" t="n"/>
      <c r="AS226" s="233" t="n"/>
      <c r="AT226" s="233" t="n"/>
      <c r="AU226" s="233" t="n"/>
      <c r="AV226" s="233" t="n"/>
      <c r="AW226" s="233" t="n"/>
      <c r="AX226" s="233" t="n"/>
      <c r="AY226" s="233" t="n"/>
      <c r="AZ226" s="233" t="n"/>
      <c r="BA226" s="233" t="n"/>
      <c r="BB226" s="233" t="n"/>
      <c r="BC226" s="233" t="n"/>
      <c r="BD226" s="233" t="n"/>
      <c r="BE226" s="233" t="n"/>
      <c r="BF226" s="233" t="n"/>
      <c r="BG226" s="233" t="n"/>
      <c r="BH226" s="233" t="n"/>
      <c r="BI226" s="233" t="n"/>
      <c r="BJ226" s="233" t="n"/>
      <c r="BK226" s="233" t="n"/>
      <c r="BL226" s="233" t="n"/>
      <c r="BM226" s="233" t="n"/>
    </row>
    <row r="227" ht="15.75" customHeight="1" s="349">
      <c r="A227" s="31" t="n"/>
      <c r="B227" s="307" t="n"/>
      <c r="C227" s="307" t="n"/>
      <c r="D227" s="146" t="n"/>
      <c r="E227" s="307" t="n"/>
      <c r="F227" s="307" t="n"/>
      <c r="G227" s="307" t="n"/>
      <c r="H227" s="307" t="n"/>
      <c r="I227" s="307" t="n"/>
      <c r="J227" s="307" t="n"/>
      <c r="K227" s="307" t="n"/>
      <c r="L227" s="307" t="n"/>
      <c r="M227" s="307" t="n"/>
      <c r="N227" s="307" t="n"/>
      <c r="O227" s="233" t="n"/>
      <c r="P227" s="233" t="n"/>
      <c r="Q227" s="233" t="n"/>
      <c r="R227" s="233" t="n"/>
      <c r="S227" s="233" t="n"/>
      <c r="T227" s="233" t="n"/>
      <c r="U227" s="233" t="n"/>
      <c r="V227" s="233" t="n"/>
      <c r="W227" s="233" t="n"/>
      <c r="X227" s="233" t="n"/>
      <c r="Y227" s="233" t="n"/>
      <c r="Z227" s="233" t="n"/>
      <c r="AA227" s="233" t="n"/>
      <c r="AB227" s="233" t="n"/>
      <c r="AC227" s="233" t="n"/>
      <c r="AD227" s="233" t="n"/>
      <c r="AE227" s="233" t="n"/>
      <c r="AF227" s="233" t="n"/>
      <c r="AG227" s="233" t="n"/>
      <c r="AH227" s="233" t="n"/>
      <c r="AI227" s="233" t="n"/>
      <c r="AJ227" s="233" t="n"/>
      <c r="AK227" s="233" t="n"/>
      <c r="AL227" s="233" t="n"/>
      <c r="AM227" s="233" t="n"/>
      <c r="AN227" s="233" t="n"/>
      <c r="AO227" s="233" t="n"/>
      <c r="AP227" s="233" t="n"/>
      <c r="AQ227" s="233" t="n"/>
      <c r="AR227" s="233" t="n"/>
      <c r="AS227" s="233" t="n"/>
      <c r="AT227" s="233" t="n"/>
      <c r="AU227" s="233" t="n"/>
      <c r="AV227" s="233" t="n"/>
      <c r="AW227" s="233" t="n"/>
      <c r="AX227" s="233" t="n"/>
      <c r="AY227" s="233" t="n"/>
      <c r="AZ227" s="233" t="n"/>
      <c r="BA227" s="233" t="n"/>
      <c r="BB227" s="233" t="n"/>
      <c r="BC227" s="233" t="n"/>
      <c r="BD227" s="233" t="n"/>
      <c r="BE227" s="233" t="n"/>
      <c r="BF227" s="233" t="n"/>
      <c r="BG227" s="233" t="n"/>
      <c r="BH227" s="233" t="n"/>
      <c r="BI227" s="233" t="n"/>
      <c r="BJ227" s="233" t="n"/>
      <c r="BK227" s="233" t="n"/>
      <c r="BL227" s="233" t="n"/>
      <c r="BM227" s="233" t="n"/>
    </row>
    <row r="228" ht="15.75" customHeight="1" s="349">
      <c r="A228" s="31" t="n"/>
      <c r="B228" s="307" t="n"/>
      <c r="C228" s="307" t="n"/>
      <c r="D228" s="146" t="n"/>
      <c r="E228" s="307" t="n"/>
      <c r="F228" s="307" t="n"/>
      <c r="G228" s="307" t="n"/>
      <c r="H228" s="307" t="n"/>
      <c r="I228" s="307" t="n"/>
      <c r="J228" s="307" t="n"/>
      <c r="K228" s="307" t="n"/>
      <c r="L228" s="307" t="n"/>
      <c r="M228" s="307" t="n"/>
      <c r="N228" s="307" t="n"/>
      <c r="O228" s="233" t="n"/>
      <c r="P228" s="233" t="n"/>
      <c r="Q228" s="233" t="n"/>
      <c r="R228" s="233" t="n"/>
      <c r="S228" s="233" t="n"/>
      <c r="T228" s="233" t="n"/>
      <c r="U228" s="233" t="n"/>
      <c r="V228" s="233" t="n"/>
      <c r="W228" s="233" t="n"/>
      <c r="X228" s="233" t="n"/>
      <c r="Y228" s="233" t="n"/>
      <c r="Z228" s="233" t="n"/>
      <c r="AA228" s="233" t="n"/>
      <c r="AB228" s="233" t="n"/>
      <c r="AC228" s="233" t="n"/>
      <c r="AD228" s="233" t="n"/>
      <c r="AE228" s="233" t="n"/>
      <c r="AF228" s="233" t="n"/>
      <c r="AG228" s="233" t="n"/>
      <c r="AH228" s="233" t="n"/>
      <c r="AI228" s="233" t="n"/>
      <c r="AJ228" s="233" t="n"/>
      <c r="AK228" s="233" t="n"/>
      <c r="AL228" s="233" t="n"/>
      <c r="AM228" s="233" t="n"/>
      <c r="AN228" s="233" t="n"/>
      <c r="AO228" s="233" t="n"/>
      <c r="AP228" s="233" t="n"/>
      <c r="AQ228" s="233" t="n"/>
      <c r="AR228" s="233" t="n"/>
      <c r="AS228" s="233" t="n"/>
      <c r="AT228" s="233" t="n"/>
      <c r="AU228" s="233" t="n"/>
      <c r="AV228" s="233" t="n"/>
      <c r="AW228" s="233" t="n"/>
      <c r="AX228" s="233" t="n"/>
      <c r="AY228" s="233" t="n"/>
      <c r="AZ228" s="233" t="n"/>
      <c r="BA228" s="233" t="n"/>
      <c r="BB228" s="233" t="n"/>
      <c r="BC228" s="233" t="n"/>
      <c r="BD228" s="233" t="n"/>
      <c r="BE228" s="233" t="n"/>
      <c r="BF228" s="233" t="n"/>
      <c r="BG228" s="233" t="n"/>
      <c r="BH228" s="233" t="n"/>
      <c r="BI228" s="233" t="n"/>
      <c r="BJ228" s="233" t="n"/>
      <c r="BK228" s="233" t="n"/>
      <c r="BL228" s="233" t="n"/>
      <c r="BM228" s="233" t="n"/>
    </row>
    <row r="229" ht="15.75" customHeight="1" s="349">
      <c r="A229" s="31" t="n"/>
      <c r="B229" s="307" t="n"/>
      <c r="C229" s="307" t="n"/>
      <c r="D229" s="146" t="n"/>
      <c r="E229" s="307" t="n"/>
      <c r="F229" s="307" t="n"/>
      <c r="G229" s="307" t="n"/>
      <c r="H229" s="307" t="n"/>
      <c r="I229" s="307" t="n"/>
      <c r="J229" s="307" t="n"/>
      <c r="K229" s="307" t="n"/>
      <c r="L229" s="307" t="n"/>
      <c r="M229" s="307" t="n"/>
      <c r="N229" s="307" t="n"/>
      <c r="O229" s="233" t="n"/>
      <c r="P229" s="233" t="n"/>
      <c r="Q229" s="233" t="n"/>
      <c r="R229" s="233" t="n"/>
      <c r="S229" s="233" t="n"/>
      <c r="T229" s="233" t="n"/>
      <c r="U229" s="233" t="n"/>
      <c r="V229" s="233" t="n"/>
      <c r="W229" s="233" t="n"/>
      <c r="X229" s="233" t="n"/>
      <c r="Y229" s="233" t="n"/>
      <c r="Z229" s="233" t="n"/>
      <c r="AA229" s="233" t="n"/>
      <c r="AB229" s="233" t="n"/>
      <c r="AC229" s="233" t="n"/>
      <c r="AD229" s="233" t="n"/>
      <c r="AE229" s="233" t="n"/>
      <c r="AF229" s="233" t="n"/>
      <c r="AG229" s="233" t="n"/>
      <c r="AH229" s="233" t="n"/>
      <c r="AI229" s="233" t="n"/>
      <c r="AJ229" s="233" t="n"/>
      <c r="AK229" s="233" t="n"/>
      <c r="AL229" s="233" t="n"/>
      <c r="AM229" s="233" t="n"/>
      <c r="AN229" s="233" t="n"/>
      <c r="AO229" s="233" t="n"/>
      <c r="AP229" s="233" t="n"/>
      <c r="AQ229" s="233" t="n"/>
      <c r="AR229" s="233" t="n"/>
      <c r="AS229" s="233" t="n"/>
      <c r="AT229" s="233" t="n"/>
      <c r="AU229" s="233" t="n"/>
      <c r="AV229" s="233" t="n"/>
      <c r="AW229" s="233" t="n"/>
      <c r="AX229" s="233" t="n"/>
      <c r="AY229" s="233" t="n"/>
      <c r="AZ229" s="233" t="n"/>
      <c r="BA229" s="233" t="n"/>
      <c r="BB229" s="233" t="n"/>
      <c r="BC229" s="233" t="n"/>
      <c r="BD229" s="233" t="n"/>
      <c r="BE229" s="233" t="n"/>
      <c r="BF229" s="233" t="n"/>
      <c r="BG229" s="233" t="n"/>
      <c r="BH229" s="233" t="n"/>
      <c r="BI229" s="233" t="n"/>
      <c r="BJ229" s="233" t="n"/>
      <c r="BK229" s="233" t="n"/>
      <c r="BL229" s="233" t="n"/>
      <c r="BM229" s="233" t="n"/>
    </row>
    <row r="230" ht="15.75" customHeight="1" s="349">
      <c r="A230" s="31" t="n"/>
      <c r="B230" s="307" t="n"/>
      <c r="C230" s="307" t="n"/>
      <c r="D230" s="146" t="n"/>
      <c r="E230" s="307" t="n"/>
      <c r="F230" s="307" t="n"/>
      <c r="G230" s="307" t="n"/>
      <c r="H230" s="307" t="n"/>
      <c r="I230" s="307" t="n"/>
      <c r="J230" s="307" t="n"/>
      <c r="K230" s="307" t="n"/>
      <c r="L230" s="307" t="n"/>
      <c r="M230" s="307" t="n"/>
      <c r="N230" s="307" t="n"/>
      <c r="O230" s="233" t="n"/>
      <c r="P230" s="233" t="n"/>
      <c r="Q230" s="233" t="n"/>
      <c r="R230" s="233" t="n"/>
      <c r="S230" s="233" t="n"/>
      <c r="T230" s="233" t="n"/>
      <c r="U230" s="233" t="n"/>
      <c r="V230" s="233" t="n"/>
      <c r="W230" s="233" t="n"/>
      <c r="X230" s="233" t="n"/>
      <c r="Y230" s="233" t="n"/>
      <c r="Z230" s="233" t="n"/>
      <c r="AA230" s="233" t="n"/>
      <c r="AB230" s="233" t="n"/>
      <c r="AC230" s="233" t="n"/>
      <c r="AD230" s="233" t="n"/>
      <c r="AE230" s="233" t="n"/>
      <c r="AF230" s="233" t="n"/>
      <c r="AG230" s="233" t="n"/>
      <c r="AH230" s="233" t="n"/>
      <c r="AI230" s="233" t="n"/>
      <c r="AJ230" s="233" t="n"/>
      <c r="AK230" s="233" t="n"/>
      <c r="AL230" s="233" t="n"/>
      <c r="AM230" s="233" t="n"/>
      <c r="AN230" s="233" t="n"/>
      <c r="AO230" s="233" t="n"/>
      <c r="AP230" s="233" t="n"/>
      <c r="AQ230" s="233" t="n"/>
      <c r="AR230" s="233" t="n"/>
      <c r="AS230" s="233" t="n"/>
      <c r="AT230" s="233" t="n"/>
      <c r="AU230" s="233" t="n"/>
      <c r="AV230" s="233" t="n"/>
      <c r="AW230" s="233" t="n"/>
      <c r="AX230" s="233" t="n"/>
      <c r="AY230" s="233" t="n"/>
      <c r="AZ230" s="233" t="n"/>
      <c r="BA230" s="233" t="n"/>
      <c r="BB230" s="233" t="n"/>
      <c r="BC230" s="233" t="n"/>
      <c r="BD230" s="233" t="n"/>
      <c r="BE230" s="233" t="n"/>
      <c r="BF230" s="233" t="n"/>
      <c r="BG230" s="233" t="n"/>
      <c r="BH230" s="233" t="n"/>
      <c r="BI230" s="233" t="n"/>
      <c r="BJ230" s="233" t="n"/>
      <c r="BK230" s="233" t="n"/>
      <c r="BL230" s="233" t="n"/>
      <c r="BM230" s="233" t="n"/>
    </row>
    <row r="231" ht="15.75" customHeight="1" s="349">
      <c r="A231" s="31" t="n"/>
      <c r="B231" s="307" t="n"/>
      <c r="C231" s="307" t="n"/>
      <c r="D231" s="146" t="n"/>
      <c r="E231" s="307" t="n"/>
      <c r="F231" s="307" t="n"/>
      <c r="G231" s="307" t="n"/>
      <c r="H231" s="307" t="n"/>
      <c r="I231" s="307" t="n"/>
      <c r="J231" s="307" t="n"/>
      <c r="K231" s="307" t="n"/>
      <c r="L231" s="307" t="n"/>
      <c r="M231" s="307" t="n"/>
      <c r="N231" s="307" t="n"/>
      <c r="O231" s="233" t="n"/>
      <c r="P231" s="233" t="n"/>
      <c r="Q231" s="233" t="n"/>
      <c r="R231" s="233" t="n"/>
      <c r="S231" s="233" t="n"/>
      <c r="T231" s="233" t="n"/>
      <c r="U231" s="233" t="n"/>
      <c r="V231" s="233" t="n"/>
      <c r="W231" s="233" t="n"/>
      <c r="X231" s="233" t="n"/>
      <c r="Y231" s="233" t="n"/>
      <c r="Z231" s="233" t="n"/>
      <c r="AA231" s="233" t="n"/>
      <c r="AB231" s="233" t="n"/>
      <c r="AC231" s="233" t="n"/>
      <c r="AD231" s="233" t="n"/>
      <c r="AE231" s="233" t="n"/>
      <c r="AF231" s="233" t="n"/>
      <c r="AG231" s="233" t="n"/>
      <c r="AH231" s="233" t="n"/>
      <c r="AI231" s="233" t="n"/>
      <c r="AJ231" s="233" t="n"/>
      <c r="AK231" s="233" t="n"/>
      <c r="AL231" s="233" t="n"/>
      <c r="AM231" s="233" t="n"/>
      <c r="AN231" s="233" t="n"/>
      <c r="AO231" s="233" t="n"/>
      <c r="AP231" s="233" t="n"/>
      <c r="AQ231" s="233" t="n"/>
      <c r="AR231" s="233" t="n"/>
      <c r="AS231" s="233" t="n"/>
      <c r="AT231" s="233" t="n"/>
      <c r="AU231" s="233" t="n"/>
      <c r="AV231" s="233" t="n"/>
      <c r="AW231" s="233" t="n"/>
      <c r="AX231" s="233" t="n"/>
      <c r="AY231" s="233" t="n"/>
      <c r="AZ231" s="233" t="n"/>
      <c r="BA231" s="233" t="n"/>
      <c r="BB231" s="233" t="n"/>
      <c r="BC231" s="233" t="n"/>
      <c r="BD231" s="233" t="n"/>
      <c r="BE231" s="233" t="n"/>
      <c r="BF231" s="233" t="n"/>
      <c r="BG231" s="233" t="n"/>
      <c r="BH231" s="233" t="n"/>
      <c r="BI231" s="233" t="n"/>
      <c r="BJ231" s="233" t="n"/>
      <c r="BK231" s="233" t="n"/>
      <c r="BL231" s="233" t="n"/>
      <c r="BM231" s="233" t="n"/>
    </row>
    <row r="232" ht="15.75" customHeight="1" s="349">
      <c r="A232" s="31" t="n"/>
      <c r="B232" s="307" t="n"/>
      <c r="C232" s="307" t="n"/>
      <c r="D232" s="146" t="n"/>
      <c r="E232" s="307" t="n"/>
      <c r="F232" s="307" t="n"/>
      <c r="G232" s="307" t="n"/>
      <c r="H232" s="307" t="n"/>
      <c r="I232" s="307" t="n"/>
      <c r="J232" s="307" t="n"/>
      <c r="K232" s="307" t="n"/>
      <c r="L232" s="307" t="n"/>
      <c r="M232" s="307" t="n"/>
      <c r="N232" s="307" t="n"/>
      <c r="O232" s="233" t="n"/>
      <c r="P232" s="233" t="n"/>
      <c r="Q232" s="233" t="n"/>
      <c r="R232" s="233" t="n"/>
      <c r="S232" s="233" t="n"/>
      <c r="T232" s="233" t="n"/>
      <c r="U232" s="233" t="n"/>
      <c r="V232" s="233" t="n"/>
      <c r="W232" s="233" t="n"/>
      <c r="X232" s="233" t="n"/>
      <c r="Y232" s="233" t="n"/>
      <c r="Z232" s="233" t="n"/>
      <c r="AA232" s="233" t="n"/>
      <c r="AB232" s="233" t="n"/>
      <c r="AC232" s="233" t="n"/>
      <c r="AD232" s="233" t="n"/>
      <c r="AE232" s="233" t="n"/>
      <c r="AF232" s="233" t="n"/>
      <c r="AG232" s="233" t="n"/>
      <c r="AH232" s="233" t="n"/>
      <c r="AI232" s="233" t="n"/>
      <c r="AJ232" s="233" t="n"/>
      <c r="AK232" s="233" t="n"/>
      <c r="AL232" s="233" t="n"/>
      <c r="AM232" s="233" t="n"/>
      <c r="AN232" s="233" t="n"/>
      <c r="AO232" s="233" t="n"/>
      <c r="AP232" s="233" t="n"/>
      <c r="AQ232" s="233" t="n"/>
      <c r="AR232" s="233" t="n"/>
      <c r="AS232" s="233" t="n"/>
      <c r="AT232" s="233" t="n"/>
      <c r="AU232" s="233" t="n"/>
      <c r="AV232" s="233" t="n"/>
      <c r="AW232" s="233" t="n"/>
      <c r="AX232" s="233" t="n"/>
      <c r="AY232" s="233" t="n"/>
      <c r="AZ232" s="233" t="n"/>
      <c r="BA232" s="233" t="n"/>
      <c r="BB232" s="233" t="n"/>
      <c r="BC232" s="233" t="n"/>
      <c r="BD232" s="233" t="n"/>
      <c r="BE232" s="233" t="n"/>
      <c r="BF232" s="233" t="n"/>
      <c r="BG232" s="233" t="n"/>
      <c r="BH232" s="233" t="n"/>
      <c r="BI232" s="233" t="n"/>
      <c r="BJ232" s="233" t="n"/>
      <c r="BK232" s="233" t="n"/>
      <c r="BL232" s="233" t="n"/>
      <c r="BM232" s="233" t="n"/>
    </row>
    <row r="233" ht="15.75" customHeight="1" s="349">
      <c r="A233" s="31" t="n"/>
      <c r="B233" s="307" t="n"/>
      <c r="C233" s="307" t="n"/>
      <c r="D233" s="146" t="n"/>
      <c r="E233" s="307" t="n"/>
      <c r="F233" s="307" t="n"/>
      <c r="G233" s="307" t="n"/>
      <c r="H233" s="307" t="n"/>
      <c r="I233" s="307" t="n"/>
      <c r="J233" s="307" t="n"/>
      <c r="K233" s="307" t="n"/>
      <c r="L233" s="307" t="n"/>
      <c r="M233" s="307" t="n"/>
      <c r="N233" s="307" t="n"/>
      <c r="O233" s="233" t="n"/>
      <c r="P233" s="233" t="n"/>
      <c r="Q233" s="233" t="n"/>
      <c r="R233" s="233" t="n"/>
      <c r="S233" s="233" t="n"/>
      <c r="T233" s="233" t="n"/>
      <c r="U233" s="233" t="n"/>
      <c r="V233" s="233" t="n"/>
      <c r="W233" s="233" t="n"/>
      <c r="X233" s="233" t="n"/>
      <c r="Y233" s="233" t="n"/>
      <c r="Z233" s="233" t="n"/>
      <c r="AA233" s="233" t="n"/>
      <c r="AB233" s="233" t="n"/>
      <c r="AC233" s="233" t="n"/>
      <c r="AD233" s="233" t="n"/>
      <c r="AE233" s="233" t="n"/>
      <c r="AF233" s="233" t="n"/>
      <c r="AG233" s="233" t="n"/>
      <c r="AH233" s="233" t="n"/>
      <c r="AI233" s="233" t="n"/>
      <c r="AJ233" s="233" t="n"/>
      <c r="AK233" s="233" t="n"/>
      <c r="AL233" s="233" t="n"/>
      <c r="AM233" s="233" t="n"/>
      <c r="AN233" s="233" t="n"/>
      <c r="AO233" s="233" t="n"/>
      <c r="AP233" s="233" t="n"/>
      <c r="AQ233" s="233" t="n"/>
      <c r="AR233" s="233" t="n"/>
      <c r="AS233" s="233" t="n"/>
      <c r="AT233" s="233" t="n"/>
      <c r="AU233" s="233" t="n"/>
      <c r="AV233" s="233" t="n"/>
      <c r="AW233" s="233" t="n"/>
      <c r="AX233" s="233" t="n"/>
      <c r="AY233" s="233" t="n"/>
      <c r="AZ233" s="233" t="n"/>
      <c r="BA233" s="233" t="n"/>
      <c r="BB233" s="233" t="n"/>
      <c r="BC233" s="233" t="n"/>
      <c r="BD233" s="233" t="n"/>
      <c r="BE233" s="233" t="n"/>
      <c r="BF233" s="233" t="n"/>
      <c r="BG233" s="233" t="n"/>
      <c r="BH233" s="233" t="n"/>
      <c r="BI233" s="233" t="n"/>
      <c r="BJ233" s="233" t="n"/>
      <c r="BK233" s="233" t="n"/>
      <c r="BL233" s="233" t="n"/>
      <c r="BM233" s="233" t="n"/>
    </row>
    <row r="234" ht="15.75" customHeight="1" s="349">
      <c r="A234" s="31" t="n"/>
      <c r="B234" s="307" t="n"/>
      <c r="C234" s="307" t="n"/>
      <c r="D234" s="146" t="n"/>
      <c r="E234" s="307" t="n"/>
      <c r="F234" s="307" t="n"/>
      <c r="G234" s="307" t="n"/>
      <c r="H234" s="307" t="n"/>
      <c r="I234" s="307" t="n"/>
      <c r="J234" s="307" t="n"/>
      <c r="K234" s="307" t="n"/>
      <c r="L234" s="307" t="n"/>
      <c r="M234" s="307" t="n"/>
      <c r="N234" s="307" t="n"/>
      <c r="O234" s="233" t="n"/>
      <c r="P234" s="233" t="n"/>
      <c r="Q234" s="233" t="n"/>
      <c r="R234" s="233" t="n"/>
      <c r="S234" s="233" t="n"/>
      <c r="T234" s="233" t="n"/>
      <c r="U234" s="233" t="n"/>
      <c r="V234" s="233" t="n"/>
      <c r="W234" s="233" t="n"/>
      <c r="X234" s="233" t="n"/>
      <c r="Y234" s="233" t="n"/>
      <c r="Z234" s="233" t="n"/>
      <c r="AA234" s="233" t="n"/>
      <c r="AB234" s="233" t="n"/>
      <c r="AC234" s="233" t="n"/>
      <c r="AD234" s="233" t="n"/>
      <c r="AE234" s="233" t="n"/>
      <c r="AF234" s="233" t="n"/>
      <c r="AG234" s="233" t="n"/>
      <c r="AH234" s="233" t="n"/>
      <c r="AI234" s="233" t="n"/>
      <c r="AJ234" s="233" t="n"/>
      <c r="AK234" s="233" t="n"/>
      <c r="AL234" s="233" t="n"/>
      <c r="AM234" s="233" t="n"/>
      <c r="AN234" s="233" t="n"/>
      <c r="AO234" s="233" t="n"/>
      <c r="AP234" s="233" t="n"/>
      <c r="AQ234" s="233" t="n"/>
      <c r="AR234" s="233" t="n"/>
      <c r="AS234" s="233" t="n"/>
      <c r="AT234" s="233" t="n"/>
      <c r="AU234" s="233" t="n"/>
      <c r="AV234" s="233" t="n"/>
      <c r="AW234" s="233" t="n"/>
      <c r="AX234" s="233" t="n"/>
      <c r="AY234" s="233" t="n"/>
      <c r="AZ234" s="233" t="n"/>
      <c r="BA234" s="233" t="n"/>
      <c r="BB234" s="233" t="n"/>
      <c r="BC234" s="233" t="n"/>
      <c r="BD234" s="233" t="n"/>
      <c r="BE234" s="233" t="n"/>
      <c r="BF234" s="233" t="n"/>
      <c r="BG234" s="233" t="n"/>
      <c r="BH234" s="233" t="n"/>
      <c r="BI234" s="233" t="n"/>
      <c r="BJ234" s="233" t="n"/>
      <c r="BK234" s="233" t="n"/>
      <c r="BL234" s="233" t="n"/>
      <c r="BM234" s="233" t="n"/>
    </row>
    <row r="235" ht="15.75" customHeight="1" s="349">
      <c r="A235" s="31" t="n"/>
      <c r="B235" s="307" t="n"/>
      <c r="C235" s="307" t="n"/>
      <c r="D235" s="146" t="n"/>
      <c r="E235" s="307" t="n"/>
      <c r="F235" s="307" t="n"/>
      <c r="G235" s="307" t="n"/>
      <c r="H235" s="307" t="n"/>
      <c r="I235" s="307" t="n"/>
      <c r="J235" s="307" t="n"/>
      <c r="K235" s="307" t="n"/>
      <c r="L235" s="307" t="n"/>
      <c r="M235" s="307" t="n"/>
      <c r="N235" s="307" t="n"/>
      <c r="O235" s="233" t="n"/>
      <c r="P235" s="233" t="n"/>
      <c r="Q235" s="233" t="n"/>
      <c r="R235" s="233" t="n"/>
      <c r="S235" s="233" t="n"/>
      <c r="T235" s="233" t="n"/>
      <c r="U235" s="233" t="n"/>
      <c r="V235" s="233" t="n"/>
      <c r="W235" s="233" t="n"/>
      <c r="X235" s="233" t="n"/>
      <c r="Y235" s="233" t="n"/>
      <c r="Z235" s="233" t="n"/>
      <c r="AA235" s="233" t="n"/>
      <c r="AB235" s="233" t="n"/>
      <c r="AC235" s="233" t="n"/>
      <c r="AD235" s="233" t="n"/>
      <c r="AE235" s="233" t="n"/>
      <c r="AF235" s="233" t="n"/>
      <c r="AG235" s="233" t="n"/>
      <c r="AH235" s="233" t="n"/>
      <c r="AI235" s="233" t="n"/>
      <c r="AJ235" s="233" t="n"/>
      <c r="AK235" s="233" t="n"/>
      <c r="AL235" s="233" t="n"/>
      <c r="AM235" s="233" t="n"/>
      <c r="AN235" s="233" t="n"/>
      <c r="AO235" s="233" t="n"/>
      <c r="AP235" s="233" t="n"/>
      <c r="AQ235" s="233" t="n"/>
      <c r="AR235" s="233" t="n"/>
      <c r="AS235" s="233" t="n"/>
      <c r="AT235" s="233" t="n"/>
      <c r="AU235" s="233" t="n"/>
      <c r="AV235" s="233" t="n"/>
      <c r="AW235" s="233" t="n"/>
      <c r="AX235" s="233" t="n"/>
      <c r="AY235" s="233" t="n"/>
      <c r="AZ235" s="233" t="n"/>
      <c r="BA235" s="233" t="n"/>
      <c r="BB235" s="233" t="n"/>
      <c r="BC235" s="233" t="n"/>
      <c r="BD235" s="233" t="n"/>
      <c r="BE235" s="233" t="n"/>
      <c r="BF235" s="233" t="n"/>
      <c r="BG235" s="233" t="n"/>
      <c r="BH235" s="233" t="n"/>
      <c r="BI235" s="233" t="n"/>
      <c r="BJ235" s="233" t="n"/>
      <c r="BK235" s="233" t="n"/>
      <c r="BL235" s="233" t="n"/>
      <c r="BM235" s="233" t="n"/>
    </row>
    <row r="236" ht="15.75" customHeight="1" s="349">
      <c r="A236" s="31" t="n"/>
      <c r="B236" s="307" t="n"/>
      <c r="C236" s="307" t="n"/>
      <c r="D236" s="146" t="n"/>
      <c r="E236" s="307" t="n"/>
      <c r="F236" s="307" t="n"/>
      <c r="G236" s="307" t="n"/>
      <c r="H236" s="307" t="n"/>
      <c r="I236" s="307" t="n"/>
      <c r="J236" s="307" t="n"/>
      <c r="K236" s="307" t="n"/>
      <c r="L236" s="307" t="n"/>
      <c r="M236" s="307" t="n"/>
      <c r="N236" s="307" t="n"/>
      <c r="O236" s="233" t="n"/>
      <c r="P236" s="233" t="n"/>
      <c r="Q236" s="233" t="n"/>
      <c r="R236" s="233" t="n"/>
      <c r="S236" s="233" t="n"/>
      <c r="T236" s="233" t="n"/>
      <c r="U236" s="233" t="n"/>
      <c r="V236" s="233" t="n"/>
      <c r="W236" s="233" t="n"/>
      <c r="X236" s="233" t="n"/>
      <c r="Y236" s="233" t="n"/>
      <c r="Z236" s="233" t="n"/>
      <c r="AA236" s="233" t="n"/>
      <c r="AB236" s="233" t="n"/>
      <c r="AC236" s="233" t="n"/>
      <c r="AD236" s="233" t="n"/>
      <c r="AE236" s="233" t="n"/>
      <c r="AF236" s="233" t="n"/>
      <c r="AG236" s="233" t="n"/>
      <c r="AH236" s="233" t="n"/>
      <c r="AI236" s="233" t="n"/>
      <c r="AJ236" s="233" t="n"/>
      <c r="AK236" s="233" t="n"/>
      <c r="AL236" s="233" t="n"/>
      <c r="AM236" s="233" t="n"/>
      <c r="AN236" s="233" t="n"/>
      <c r="AO236" s="233" t="n"/>
      <c r="AP236" s="233" t="n"/>
      <c r="AQ236" s="233" t="n"/>
      <c r="AR236" s="233" t="n"/>
      <c r="AS236" s="233" t="n"/>
      <c r="AT236" s="233" t="n"/>
      <c r="AU236" s="233" t="n"/>
      <c r="AV236" s="233" t="n"/>
      <c r="AW236" s="233" t="n"/>
      <c r="AX236" s="233" t="n"/>
      <c r="AY236" s="233" t="n"/>
      <c r="AZ236" s="233" t="n"/>
      <c r="BA236" s="233" t="n"/>
      <c r="BB236" s="233" t="n"/>
      <c r="BC236" s="233" t="n"/>
      <c r="BD236" s="233" t="n"/>
      <c r="BE236" s="233" t="n"/>
      <c r="BF236" s="233" t="n"/>
      <c r="BG236" s="233" t="n"/>
      <c r="BH236" s="233" t="n"/>
      <c r="BI236" s="233" t="n"/>
      <c r="BJ236" s="233" t="n"/>
      <c r="BK236" s="233" t="n"/>
      <c r="BL236" s="233" t="n"/>
      <c r="BM236" s="233" t="n"/>
    </row>
    <row r="237" ht="15.75" customHeight="1" s="349">
      <c r="A237" s="31" t="n"/>
      <c r="B237" s="307" t="n"/>
      <c r="C237" s="307" t="n"/>
      <c r="D237" s="146" t="n"/>
      <c r="E237" s="307" t="n"/>
      <c r="F237" s="307" t="n"/>
      <c r="G237" s="307" t="n"/>
      <c r="H237" s="307" t="n"/>
      <c r="I237" s="307" t="n"/>
      <c r="J237" s="307" t="n"/>
      <c r="K237" s="307" t="n"/>
      <c r="L237" s="307" t="n"/>
      <c r="M237" s="307" t="n"/>
      <c r="N237" s="307" t="n"/>
      <c r="O237" s="233" t="n"/>
      <c r="P237" s="233" t="n"/>
      <c r="Q237" s="233" t="n"/>
      <c r="R237" s="233" t="n"/>
      <c r="S237" s="233" t="n"/>
      <c r="T237" s="233" t="n"/>
      <c r="U237" s="233" t="n"/>
      <c r="V237" s="233" t="n"/>
      <c r="W237" s="233" t="n"/>
      <c r="X237" s="233" t="n"/>
      <c r="Y237" s="233" t="n"/>
      <c r="Z237" s="233" t="n"/>
      <c r="AA237" s="233" t="n"/>
      <c r="AB237" s="233" t="n"/>
      <c r="AC237" s="233" t="n"/>
      <c r="AD237" s="233" t="n"/>
      <c r="AE237" s="233" t="n"/>
      <c r="AF237" s="233" t="n"/>
      <c r="AG237" s="233" t="n"/>
      <c r="AH237" s="233" t="n"/>
      <c r="AI237" s="233" t="n"/>
      <c r="AJ237" s="233" t="n"/>
      <c r="AK237" s="233" t="n"/>
      <c r="AL237" s="233" t="n"/>
      <c r="AM237" s="233" t="n"/>
      <c r="AN237" s="233" t="n"/>
      <c r="AO237" s="233" t="n"/>
      <c r="AP237" s="233" t="n"/>
      <c r="AQ237" s="233" t="n"/>
      <c r="AR237" s="233" t="n"/>
      <c r="AS237" s="233" t="n"/>
      <c r="AT237" s="233" t="n"/>
      <c r="AU237" s="233" t="n"/>
      <c r="AV237" s="233" t="n"/>
      <c r="AW237" s="233" t="n"/>
      <c r="AX237" s="233" t="n"/>
      <c r="AY237" s="233" t="n"/>
      <c r="AZ237" s="233" t="n"/>
      <c r="BA237" s="233" t="n"/>
      <c r="BB237" s="233" t="n"/>
      <c r="BC237" s="233" t="n"/>
      <c r="BD237" s="233" t="n"/>
      <c r="BE237" s="233" t="n"/>
      <c r="BF237" s="233" t="n"/>
      <c r="BG237" s="233" t="n"/>
      <c r="BH237" s="233" t="n"/>
      <c r="BI237" s="233" t="n"/>
      <c r="BJ237" s="233" t="n"/>
      <c r="BK237" s="233" t="n"/>
      <c r="BL237" s="233" t="n"/>
      <c r="BM237" s="233" t="n"/>
    </row>
    <row r="238" ht="15.75" customHeight="1" s="349">
      <c r="A238" s="31" t="n"/>
      <c r="B238" s="307" t="n"/>
      <c r="C238" s="307" t="n"/>
      <c r="D238" s="146" t="n"/>
      <c r="E238" s="307" t="n"/>
      <c r="F238" s="307" t="n"/>
      <c r="G238" s="307" t="n"/>
      <c r="H238" s="307" t="n"/>
      <c r="I238" s="307" t="n"/>
      <c r="J238" s="307" t="n"/>
      <c r="K238" s="307" t="n"/>
      <c r="L238" s="307" t="n"/>
      <c r="M238" s="307" t="n"/>
      <c r="N238" s="307" t="n"/>
      <c r="O238" s="233" t="n"/>
      <c r="P238" s="233" t="n"/>
      <c r="Q238" s="233" t="n"/>
      <c r="R238" s="233" t="n"/>
      <c r="S238" s="233" t="n"/>
      <c r="T238" s="233" t="n"/>
      <c r="U238" s="233" t="n"/>
      <c r="V238" s="233" t="n"/>
      <c r="W238" s="233" t="n"/>
      <c r="X238" s="233" t="n"/>
      <c r="Y238" s="233" t="n"/>
      <c r="Z238" s="233" t="n"/>
      <c r="AA238" s="233" t="n"/>
      <c r="AB238" s="233" t="n"/>
      <c r="AC238" s="233" t="n"/>
      <c r="AD238" s="233" t="n"/>
      <c r="AE238" s="233" t="n"/>
      <c r="AF238" s="233" t="n"/>
      <c r="AG238" s="233" t="n"/>
      <c r="AH238" s="233" t="n"/>
      <c r="AI238" s="233" t="n"/>
      <c r="AJ238" s="233" t="n"/>
      <c r="AK238" s="233" t="n"/>
      <c r="AL238" s="233" t="n"/>
      <c r="AM238" s="233" t="n"/>
      <c r="AN238" s="233" t="n"/>
      <c r="AO238" s="233" t="n"/>
      <c r="AP238" s="233" t="n"/>
      <c r="AQ238" s="233" t="n"/>
      <c r="AR238" s="233" t="n"/>
      <c r="AS238" s="233" t="n"/>
      <c r="AT238" s="233" t="n"/>
      <c r="AU238" s="233" t="n"/>
      <c r="AV238" s="233" t="n"/>
      <c r="AW238" s="233" t="n"/>
      <c r="AX238" s="233" t="n"/>
      <c r="AY238" s="233" t="n"/>
      <c r="AZ238" s="233" t="n"/>
      <c r="BA238" s="233" t="n"/>
      <c r="BB238" s="233" t="n"/>
      <c r="BC238" s="233" t="n"/>
      <c r="BD238" s="233" t="n"/>
      <c r="BE238" s="233" t="n"/>
      <c r="BF238" s="233" t="n"/>
      <c r="BG238" s="233" t="n"/>
      <c r="BH238" s="233" t="n"/>
      <c r="BI238" s="233" t="n"/>
      <c r="BJ238" s="233" t="n"/>
      <c r="BK238" s="233" t="n"/>
      <c r="BL238" s="233" t="n"/>
      <c r="BM238" s="233" t="n"/>
    </row>
    <row r="239" ht="15.75" customHeight="1" s="349">
      <c r="A239" s="31" t="n"/>
      <c r="B239" s="307" t="n"/>
      <c r="C239" s="307" t="n"/>
      <c r="D239" s="146" t="n"/>
      <c r="E239" s="307" t="n"/>
      <c r="F239" s="307" t="n"/>
      <c r="G239" s="307" t="n"/>
      <c r="H239" s="307" t="n"/>
      <c r="I239" s="307" t="n"/>
      <c r="J239" s="307" t="n"/>
      <c r="K239" s="307" t="n"/>
      <c r="L239" s="307" t="n"/>
      <c r="M239" s="307" t="n"/>
      <c r="N239" s="307" t="n"/>
      <c r="O239" s="233" t="n"/>
      <c r="P239" s="233" t="n"/>
      <c r="Q239" s="233" t="n"/>
      <c r="R239" s="233" t="n"/>
      <c r="S239" s="233" t="n"/>
      <c r="T239" s="233" t="n"/>
      <c r="U239" s="233" t="n"/>
      <c r="V239" s="233" t="n"/>
      <c r="W239" s="233" t="n"/>
      <c r="X239" s="233" t="n"/>
      <c r="Y239" s="233" t="n"/>
      <c r="Z239" s="233" t="n"/>
      <c r="AA239" s="233" t="n"/>
      <c r="AB239" s="233" t="n"/>
      <c r="AC239" s="233" t="n"/>
      <c r="AD239" s="233" t="n"/>
      <c r="AE239" s="233" t="n"/>
      <c r="AF239" s="233" t="n"/>
      <c r="AG239" s="233" t="n"/>
      <c r="AH239" s="233" t="n"/>
      <c r="AI239" s="233" t="n"/>
      <c r="AJ239" s="233" t="n"/>
      <c r="AK239" s="233" t="n"/>
      <c r="AL239" s="233" t="n"/>
      <c r="AM239" s="233" t="n"/>
      <c r="AN239" s="233" t="n"/>
      <c r="AO239" s="233" t="n"/>
      <c r="AP239" s="233" t="n"/>
      <c r="AQ239" s="233" t="n"/>
      <c r="AR239" s="233" t="n"/>
      <c r="AS239" s="233" t="n"/>
      <c r="AT239" s="233" t="n"/>
      <c r="AU239" s="233" t="n"/>
      <c r="AV239" s="233" t="n"/>
      <c r="AW239" s="233" t="n"/>
      <c r="AX239" s="233" t="n"/>
      <c r="AY239" s="233" t="n"/>
      <c r="AZ239" s="233" t="n"/>
      <c r="BA239" s="233" t="n"/>
      <c r="BB239" s="233" t="n"/>
      <c r="BC239" s="233" t="n"/>
      <c r="BD239" s="233" t="n"/>
      <c r="BE239" s="233" t="n"/>
      <c r="BF239" s="233" t="n"/>
      <c r="BG239" s="233" t="n"/>
      <c r="BH239" s="233" t="n"/>
      <c r="BI239" s="233" t="n"/>
      <c r="BJ239" s="233" t="n"/>
      <c r="BK239" s="233" t="n"/>
      <c r="BL239" s="233" t="n"/>
      <c r="BM239" s="233" t="n"/>
    </row>
    <row r="240" ht="15.75" customHeight="1" s="349">
      <c r="A240" s="31" t="n"/>
      <c r="B240" s="307" t="n"/>
      <c r="C240" s="307" t="n"/>
      <c r="D240" s="146" t="n"/>
      <c r="E240" s="307" t="n"/>
      <c r="F240" s="307" t="n"/>
      <c r="G240" s="307" t="n"/>
      <c r="H240" s="307" t="n"/>
      <c r="I240" s="307" t="n"/>
      <c r="J240" s="307" t="n"/>
      <c r="K240" s="307" t="n"/>
      <c r="L240" s="307" t="n"/>
      <c r="M240" s="307" t="n"/>
      <c r="N240" s="307" t="n"/>
      <c r="O240" s="233" t="n"/>
      <c r="P240" s="233" t="n"/>
      <c r="Q240" s="233" t="n"/>
      <c r="R240" s="233" t="n"/>
      <c r="S240" s="233" t="n"/>
      <c r="T240" s="233" t="n"/>
      <c r="U240" s="233" t="n"/>
      <c r="V240" s="233" t="n"/>
      <c r="W240" s="233" t="n"/>
      <c r="X240" s="233" t="n"/>
      <c r="Y240" s="233" t="n"/>
      <c r="Z240" s="233" t="n"/>
      <c r="AA240" s="233" t="n"/>
      <c r="AB240" s="233" t="n"/>
      <c r="AC240" s="233" t="n"/>
      <c r="AD240" s="233" t="n"/>
      <c r="AE240" s="233" t="n"/>
      <c r="AF240" s="233" t="n"/>
      <c r="AG240" s="233" t="n"/>
      <c r="AH240" s="233" t="n"/>
      <c r="AI240" s="233" t="n"/>
      <c r="AJ240" s="233" t="n"/>
      <c r="AK240" s="233" t="n"/>
      <c r="AL240" s="233" t="n"/>
      <c r="AM240" s="233" t="n"/>
      <c r="AN240" s="233" t="n"/>
      <c r="AO240" s="233" t="n"/>
      <c r="AP240" s="233" t="n"/>
      <c r="AQ240" s="233" t="n"/>
      <c r="AR240" s="233" t="n"/>
      <c r="AS240" s="233" t="n"/>
      <c r="AT240" s="233" t="n"/>
      <c r="AU240" s="233" t="n"/>
      <c r="AV240" s="233" t="n"/>
      <c r="AW240" s="233" t="n"/>
      <c r="AX240" s="233" t="n"/>
      <c r="AY240" s="233" t="n"/>
      <c r="AZ240" s="233" t="n"/>
      <c r="BA240" s="233" t="n"/>
      <c r="BB240" s="233" t="n"/>
      <c r="BC240" s="233" t="n"/>
      <c r="BD240" s="233" t="n"/>
      <c r="BE240" s="233" t="n"/>
      <c r="BF240" s="233" t="n"/>
      <c r="BG240" s="233" t="n"/>
      <c r="BH240" s="233" t="n"/>
      <c r="BI240" s="233" t="n"/>
      <c r="BJ240" s="233" t="n"/>
      <c r="BK240" s="233" t="n"/>
      <c r="BL240" s="233" t="n"/>
      <c r="BM240" s="233" t="n"/>
    </row>
    <row r="241" ht="15.75" customHeight="1" s="349">
      <c r="A241" s="31" t="n"/>
      <c r="B241" s="307" t="n"/>
      <c r="C241" s="307" t="n"/>
      <c r="D241" s="146" t="n"/>
      <c r="E241" s="307" t="n"/>
      <c r="F241" s="307" t="n"/>
      <c r="G241" s="307" t="n"/>
      <c r="H241" s="307" t="n"/>
      <c r="I241" s="307" t="n"/>
      <c r="J241" s="307" t="n"/>
      <c r="K241" s="307" t="n"/>
      <c r="L241" s="307" t="n"/>
      <c r="M241" s="307" t="n"/>
      <c r="N241" s="307" t="n"/>
      <c r="O241" s="233" t="n"/>
      <c r="P241" s="233" t="n"/>
      <c r="Q241" s="233" t="n"/>
      <c r="R241" s="233" t="n"/>
      <c r="S241" s="233" t="n"/>
      <c r="T241" s="233" t="n"/>
      <c r="U241" s="233" t="n"/>
      <c r="V241" s="233" t="n"/>
      <c r="W241" s="233" t="n"/>
      <c r="X241" s="233" t="n"/>
      <c r="Y241" s="233" t="n"/>
      <c r="Z241" s="233" t="n"/>
      <c r="AA241" s="233" t="n"/>
      <c r="AB241" s="233" t="n"/>
      <c r="AC241" s="233" t="n"/>
      <c r="AD241" s="233" t="n"/>
      <c r="AE241" s="233" t="n"/>
      <c r="AF241" s="233" t="n"/>
      <c r="AG241" s="233" t="n"/>
      <c r="AH241" s="233" t="n"/>
      <c r="AI241" s="233" t="n"/>
      <c r="AJ241" s="233" t="n"/>
      <c r="AK241" s="233" t="n"/>
      <c r="AL241" s="233" t="n"/>
      <c r="AM241" s="233" t="n"/>
      <c r="AN241" s="233" t="n"/>
      <c r="AO241" s="233" t="n"/>
      <c r="AP241" s="233" t="n"/>
      <c r="AQ241" s="233" t="n"/>
      <c r="AR241" s="233" t="n"/>
      <c r="AS241" s="233" t="n"/>
      <c r="AT241" s="233" t="n"/>
      <c r="AU241" s="233" t="n"/>
      <c r="AV241" s="233" t="n"/>
      <c r="AW241" s="233" t="n"/>
      <c r="AX241" s="233" t="n"/>
      <c r="AY241" s="233" t="n"/>
      <c r="AZ241" s="233" t="n"/>
      <c r="BA241" s="233" t="n"/>
      <c r="BB241" s="233" t="n"/>
      <c r="BC241" s="233" t="n"/>
      <c r="BD241" s="233" t="n"/>
      <c r="BE241" s="233" t="n"/>
      <c r="BF241" s="233" t="n"/>
      <c r="BG241" s="233" t="n"/>
      <c r="BH241" s="233" t="n"/>
      <c r="BI241" s="233" t="n"/>
      <c r="BJ241" s="233" t="n"/>
      <c r="BK241" s="233" t="n"/>
      <c r="BL241" s="233" t="n"/>
      <c r="BM241" s="233" t="n"/>
    </row>
    <row r="242" ht="15.75" customHeight="1" s="349">
      <c r="A242" s="31" t="n"/>
      <c r="B242" s="307" t="n"/>
      <c r="C242" s="307" t="n"/>
      <c r="D242" s="146" t="n"/>
      <c r="E242" s="307" t="n"/>
      <c r="F242" s="307" t="n"/>
      <c r="G242" s="307" t="n"/>
      <c r="H242" s="307" t="n"/>
      <c r="I242" s="307" t="n"/>
      <c r="J242" s="307" t="n"/>
      <c r="K242" s="307" t="n"/>
      <c r="L242" s="307" t="n"/>
      <c r="M242" s="307" t="n"/>
      <c r="N242" s="307" t="n"/>
      <c r="O242" s="233" t="n"/>
      <c r="P242" s="233" t="n"/>
      <c r="Q242" s="233" t="n"/>
      <c r="R242" s="233" t="n"/>
      <c r="S242" s="233" t="n"/>
      <c r="T242" s="233" t="n"/>
      <c r="U242" s="233" t="n"/>
      <c r="V242" s="233" t="n"/>
      <c r="W242" s="233" t="n"/>
      <c r="X242" s="233" t="n"/>
      <c r="Y242" s="233" t="n"/>
      <c r="Z242" s="233" t="n"/>
      <c r="AA242" s="233" t="n"/>
      <c r="AB242" s="233" t="n"/>
      <c r="AC242" s="233" t="n"/>
      <c r="AD242" s="233" t="n"/>
      <c r="AE242" s="233" t="n"/>
      <c r="AF242" s="233" t="n"/>
      <c r="AG242" s="233" t="n"/>
      <c r="AH242" s="233" t="n"/>
      <c r="AI242" s="233" t="n"/>
      <c r="AJ242" s="233" t="n"/>
      <c r="AK242" s="233" t="n"/>
      <c r="AL242" s="233" t="n"/>
      <c r="AM242" s="233" t="n"/>
      <c r="AN242" s="233" t="n"/>
      <c r="AO242" s="233" t="n"/>
      <c r="AP242" s="233" t="n"/>
      <c r="AQ242" s="233" t="n"/>
      <c r="AR242" s="233" t="n"/>
      <c r="AS242" s="233" t="n"/>
      <c r="AT242" s="233" t="n"/>
      <c r="AU242" s="233" t="n"/>
      <c r="AV242" s="233" t="n"/>
      <c r="AW242" s="233" t="n"/>
      <c r="AX242" s="233" t="n"/>
      <c r="AY242" s="233" t="n"/>
      <c r="AZ242" s="233" t="n"/>
      <c r="BA242" s="233" t="n"/>
      <c r="BB242" s="233" t="n"/>
      <c r="BC242" s="233" t="n"/>
      <c r="BD242" s="233" t="n"/>
      <c r="BE242" s="233" t="n"/>
      <c r="BF242" s="233" t="n"/>
      <c r="BG242" s="233" t="n"/>
      <c r="BH242" s="233" t="n"/>
      <c r="BI242" s="233" t="n"/>
      <c r="BJ242" s="233" t="n"/>
      <c r="BK242" s="233" t="n"/>
      <c r="BL242" s="233" t="n"/>
      <c r="BM242" s="233" t="n"/>
    </row>
    <row r="243" ht="15.75" customHeight="1" s="349">
      <c r="A243" s="31" t="n"/>
      <c r="B243" s="307" t="n"/>
      <c r="C243" s="307" t="n"/>
      <c r="D243" s="146" t="n"/>
      <c r="E243" s="307" t="n"/>
      <c r="F243" s="307" t="n"/>
      <c r="G243" s="307" t="n"/>
      <c r="H243" s="307" t="n"/>
      <c r="I243" s="307" t="n"/>
      <c r="J243" s="307" t="n"/>
      <c r="K243" s="307" t="n"/>
      <c r="L243" s="307" t="n"/>
      <c r="M243" s="307" t="n"/>
      <c r="N243" s="307" t="n"/>
      <c r="O243" s="233" t="n"/>
      <c r="P243" s="233" t="n"/>
      <c r="Q243" s="233" t="n"/>
      <c r="R243" s="233" t="n"/>
      <c r="S243" s="233" t="n"/>
      <c r="T243" s="233" t="n"/>
      <c r="U243" s="233" t="n"/>
      <c r="V243" s="233" t="n"/>
      <c r="W243" s="233" t="n"/>
      <c r="X243" s="233" t="n"/>
      <c r="Y243" s="233" t="n"/>
      <c r="Z243" s="233" t="n"/>
      <c r="AA243" s="233" t="n"/>
      <c r="AB243" s="233" t="n"/>
      <c r="AC243" s="233" t="n"/>
      <c r="AD243" s="233" t="n"/>
      <c r="AE243" s="233" t="n"/>
      <c r="AF243" s="233" t="n"/>
      <c r="AG243" s="233" t="n"/>
      <c r="AH243" s="233" t="n"/>
      <c r="AI243" s="233" t="n"/>
      <c r="AJ243" s="233" t="n"/>
      <c r="AK243" s="233" t="n"/>
      <c r="AL243" s="233" t="n"/>
      <c r="AM243" s="233" t="n"/>
      <c r="AN243" s="233" t="n"/>
      <c r="AO243" s="233" t="n"/>
      <c r="AP243" s="233" t="n"/>
      <c r="AQ243" s="233" t="n"/>
      <c r="AR243" s="233" t="n"/>
      <c r="AS243" s="233" t="n"/>
      <c r="AT243" s="233" t="n"/>
      <c r="AU243" s="233" t="n"/>
      <c r="AV243" s="233" t="n"/>
      <c r="AW243" s="233" t="n"/>
      <c r="AX243" s="233" t="n"/>
      <c r="AY243" s="233" t="n"/>
      <c r="AZ243" s="233" t="n"/>
      <c r="BA243" s="233" t="n"/>
      <c r="BB243" s="233" t="n"/>
      <c r="BC243" s="233" t="n"/>
      <c r="BD243" s="233" t="n"/>
      <c r="BE243" s="233" t="n"/>
      <c r="BF243" s="233" t="n"/>
      <c r="BG243" s="233" t="n"/>
      <c r="BH243" s="233" t="n"/>
      <c r="BI243" s="233" t="n"/>
      <c r="BJ243" s="233" t="n"/>
      <c r="BK243" s="233" t="n"/>
      <c r="BL243" s="233" t="n"/>
      <c r="BM243" s="233" t="n"/>
    </row>
    <row r="244" ht="15.75" customHeight="1" s="349"/>
    <row r="245" ht="15.75" customHeight="1" s="349"/>
    <row r="246" ht="15.75" customHeight="1" s="349"/>
    <row r="247" ht="15.75" customHeight="1" s="349"/>
    <row r="248" ht="15.75" customHeight="1" s="349"/>
    <row r="249" ht="15.75" customHeight="1" s="349"/>
    <row r="250" ht="15.75" customHeight="1" s="349"/>
    <row r="251" ht="15.75" customHeight="1" s="349"/>
    <row r="252" ht="15.75" customHeight="1" s="349"/>
    <row r="253" ht="15.75" customHeight="1" s="349"/>
    <row r="254" ht="15.75" customHeight="1" s="349"/>
    <row r="255" ht="15.75" customHeight="1" s="349"/>
    <row r="256" ht="15.75" customHeight="1" s="349"/>
    <row r="257" ht="15.75" customHeight="1" s="349"/>
    <row r="258" ht="15.75" customHeight="1" s="349"/>
    <row r="259" ht="15.75" customHeight="1" s="349"/>
    <row r="260" ht="15.75" customHeight="1" s="349"/>
    <row r="261" ht="15.75" customHeight="1" s="349"/>
    <row r="262" ht="15.75" customHeight="1" s="349"/>
    <row r="263" ht="15.75" customHeight="1" s="349"/>
    <row r="264" ht="15.75" customHeight="1" s="349"/>
    <row r="265" ht="15.75" customHeight="1" s="349"/>
    <row r="266" ht="15.75" customHeight="1" s="349"/>
    <row r="267" ht="15.75" customHeight="1" s="349"/>
    <row r="268" ht="15.75" customHeight="1" s="349"/>
    <row r="269" ht="15.75" customHeight="1" s="349"/>
    <row r="270" ht="15.75" customHeight="1" s="349"/>
    <row r="271" ht="15.75" customHeight="1" s="349"/>
    <row r="272" ht="15.75" customHeight="1" s="349"/>
    <row r="273" ht="15.75" customHeight="1" s="349"/>
    <row r="274" ht="15.75" customHeight="1" s="349"/>
    <row r="275" ht="15.75" customHeight="1" s="349"/>
    <row r="276" ht="15.75" customHeight="1" s="349"/>
    <row r="277" ht="15.75" customHeight="1" s="349"/>
    <row r="278" ht="15.75" customHeight="1" s="349"/>
    <row r="279" ht="15.75" customHeight="1" s="349"/>
    <row r="280" ht="15.75" customHeight="1" s="349"/>
    <row r="281" ht="15.75" customHeight="1" s="349"/>
    <row r="282" ht="15.75" customHeight="1" s="349"/>
    <row r="283" ht="15.75" customHeight="1" s="349"/>
    <row r="284" ht="15.75" customHeight="1" s="349"/>
    <row r="285" ht="15.75" customHeight="1" s="349"/>
    <row r="286" ht="15.75" customHeight="1" s="349"/>
    <row r="287" ht="15.75" customHeight="1" s="349"/>
    <row r="288" ht="15.75" customHeight="1" s="349"/>
    <row r="289" ht="15.75" customHeight="1" s="349"/>
    <row r="290" ht="15.75" customHeight="1" s="349"/>
    <row r="291" ht="15.75" customHeight="1" s="349"/>
    <row r="292" ht="15.75" customHeight="1" s="349"/>
    <row r="293" ht="15.75" customHeight="1" s="349"/>
    <row r="294" ht="15.75" customHeight="1" s="349"/>
    <row r="295" ht="15.75" customHeight="1" s="349"/>
    <row r="296" ht="15.75" customHeight="1" s="349"/>
    <row r="297" ht="15.75" customHeight="1" s="349"/>
    <row r="298" ht="15.75" customHeight="1" s="349"/>
    <row r="299" ht="15.75" customHeight="1" s="349"/>
    <row r="300" ht="15.75" customHeight="1" s="349"/>
    <row r="301" ht="15.75" customHeight="1" s="349"/>
    <row r="302" ht="15.75" customHeight="1" s="349"/>
    <row r="303" ht="15.75" customHeight="1" s="349"/>
    <row r="304" ht="15.75" customHeight="1" s="349"/>
    <row r="305" ht="15.75" customHeight="1" s="349"/>
    <row r="306" ht="15.75" customHeight="1" s="349"/>
    <row r="307" ht="15.75" customHeight="1" s="349"/>
    <row r="308" ht="15.75" customHeight="1" s="349"/>
    <row r="309" ht="15.75" customHeight="1" s="349"/>
    <row r="310" ht="15.75" customHeight="1" s="349"/>
    <row r="311" ht="15.75" customHeight="1" s="349"/>
    <row r="312" ht="15.75" customHeight="1" s="349"/>
    <row r="313" ht="15.75" customHeight="1" s="349"/>
    <row r="314" ht="15.75" customHeight="1" s="349"/>
    <row r="315" ht="15.75" customHeight="1" s="349"/>
    <row r="316" ht="15.75" customHeight="1" s="349"/>
    <row r="317" ht="15.75" customHeight="1" s="349"/>
    <row r="318" ht="15.75" customHeight="1" s="349"/>
    <row r="319" ht="15.75" customHeight="1" s="349"/>
    <row r="320" ht="15.75" customHeight="1" s="349"/>
    <row r="321" ht="15.75" customHeight="1" s="349"/>
    <row r="322" ht="15.75" customHeight="1" s="349"/>
    <row r="323" ht="15.75" customHeight="1" s="349"/>
    <row r="324" ht="15.75" customHeight="1" s="349"/>
    <row r="325" ht="15.75" customHeight="1" s="349"/>
    <row r="326" ht="15.75" customHeight="1" s="349"/>
    <row r="327" ht="15.75" customHeight="1" s="349"/>
    <row r="328" ht="15.75" customHeight="1" s="349"/>
    <row r="329" ht="15.75" customHeight="1" s="349"/>
    <row r="330" ht="15.75" customHeight="1" s="349"/>
    <row r="331" ht="15.75" customHeight="1" s="349"/>
    <row r="332" ht="15.75" customHeight="1" s="349"/>
    <row r="333" ht="15.75" customHeight="1" s="349"/>
    <row r="334" ht="15.75" customHeight="1" s="349"/>
    <row r="335" ht="15.75" customHeight="1" s="349"/>
    <row r="336" ht="15.75" customHeight="1" s="349"/>
    <row r="337" ht="15.75" customHeight="1" s="349"/>
    <row r="338" ht="15.75" customHeight="1" s="349"/>
    <row r="339" ht="15.75" customHeight="1" s="349"/>
    <row r="340" ht="15.75" customHeight="1" s="349"/>
    <row r="341" ht="15.75" customHeight="1" s="349"/>
    <row r="342" ht="15.75" customHeight="1" s="349"/>
    <row r="343" ht="15.75" customHeight="1" s="349"/>
    <row r="344" ht="15.75" customHeight="1" s="349"/>
    <row r="345" ht="15.75" customHeight="1" s="349"/>
    <row r="346" ht="15.75" customHeight="1" s="349"/>
    <row r="347" ht="15.75" customHeight="1" s="349"/>
    <row r="348" ht="15.75" customHeight="1" s="349"/>
    <row r="349" ht="15.75" customHeight="1" s="349"/>
    <row r="350" ht="15.75" customHeight="1" s="349"/>
    <row r="351" ht="15.75" customHeight="1" s="349"/>
    <row r="352" ht="15.75" customHeight="1" s="349"/>
    <row r="353" ht="15.75" customHeight="1" s="349"/>
    <row r="354" ht="15.75" customHeight="1" s="349"/>
    <row r="355" ht="15.75" customHeight="1" s="349"/>
    <row r="356" ht="15.75" customHeight="1" s="349"/>
    <row r="357" ht="15.75" customHeight="1" s="349"/>
    <row r="358" ht="15.75" customHeight="1" s="349"/>
    <row r="359" ht="15.75" customHeight="1" s="349"/>
    <row r="360" ht="15.75" customHeight="1" s="349"/>
    <row r="361" ht="15.75" customHeight="1" s="349"/>
    <row r="362" ht="15.75" customHeight="1" s="349"/>
    <row r="363" ht="15.75" customHeight="1" s="349"/>
    <row r="364" ht="15.75" customHeight="1" s="349"/>
    <row r="365" ht="15.75" customHeight="1" s="349"/>
    <row r="366" ht="15.75" customHeight="1" s="349"/>
    <row r="367" ht="15.75" customHeight="1" s="349"/>
    <row r="368" ht="15.75" customHeight="1" s="349"/>
    <row r="369" ht="15.75" customHeight="1" s="349"/>
    <row r="370" ht="15.75" customHeight="1" s="349"/>
    <row r="371" ht="15.75" customHeight="1" s="349"/>
    <row r="372" ht="15.75" customHeight="1" s="349"/>
    <row r="373" ht="15.75" customHeight="1" s="349"/>
    <row r="374" ht="15.75" customHeight="1" s="349"/>
    <row r="375" ht="15.75" customHeight="1" s="349"/>
    <row r="376" ht="15.75" customHeight="1" s="349"/>
    <row r="377" ht="15.75" customHeight="1" s="349"/>
    <row r="378" ht="15.75" customHeight="1" s="349"/>
    <row r="379" ht="15.75" customHeight="1" s="349"/>
    <row r="380" ht="15.75" customHeight="1" s="349"/>
    <row r="381" ht="15.75" customHeight="1" s="349"/>
    <row r="382" ht="15.75" customHeight="1" s="349"/>
    <row r="383" ht="15.75" customHeight="1" s="349"/>
    <row r="384" ht="15.75" customHeight="1" s="349"/>
    <row r="385" ht="15.75" customHeight="1" s="349"/>
    <row r="386" ht="15.75" customHeight="1" s="349"/>
    <row r="387" ht="15.75" customHeight="1" s="349"/>
    <row r="388" ht="15.75" customHeight="1" s="349"/>
    <row r="389" ht="15.75" customHeight="1" s="349"/>
    <row r="390" ht="15.75" customHeight="1" s="349"/>
    <row r="391" ht="15.75" customHeight="1" s="349"/>
    <row r="392" ht="15.75" customHeight="1" s="349"/>
    <row r="393" ht="15.75" customHeight="1" s="349"/>
    <row r="394" ht="15.75" customHeight="1" s="349"/>
    <row r="395" ht="15.75" customHeight="1" s="349"/>
    <row r="396" ht="15.75" customHeight="1" s="349"/>
    <row r="397" ht="15.75" customHeight="1" s="349"/>
    <row r="398" ht="15.75" customHeight="1" s="349"/>
    <row r="399" ht="15.75" customHeight="1" s="349"/>
    <row r="400" ht="15.75" customHeight="1" s="349"/>
    <row r="401" ht="15.75" customHeight="1" s="349"/>
    <row r="402" ht="15.75" customHeight="1" s="349"/>
    <row r="403" ht="15.75" customHeight="1" s="349"/>
    <row r="404" ht="15.75" customHeight="1" s="349"/>
    <row r="405" ht="15.75" customHeight="1" s="349"/>
    <row r="406" ht="15.75" customHeight="1" s="349"/>
    <row r="407" ht="15.75" customHeight="1" s="349"/>
    <row r="408" ht="15.75" customHeight="1" s="349"/>
    <row r="409" ht="15.75" customHeight="1" s="349"/>
    <row r="410" ht="15.75" customHeight="1" s="349"/>
    <row r="411" ht="15.75" customHeight="1" s="349"/>
    <row r="412" ht="15.75" customHeight="1" s="349"/>
    <row r="413" ht="15.75" customHeight="1" s="349"/>
    <row r="414" ht="15.75" customHeight="1" s="349"/>
    <row r="415" ht="15.75" customHeight="1" s="349"/>
    <row r="416" ht="15.75" customHeight="1" s="349"/>
    <row r="417" ht="15.75" customHeight="1" s="349"/>
    <row r="418" ht="15.75" customHeight="1" s="349"/>
    <row r="419" ht="15.75" customHeight="1" s="349"/>
    <row r="420" ht="15.75" customHeight="1" s="349"/>
    <row r="421" ht="15.75" customHeight="1" s="349"/>
    <row r="422" ht="15.75" customHeight="1" s="349"/>
    <row r="423" ht="15.75" customHeight="1" s="349"/>
    <row r="424" ht="15.75" customHeight="1" s="349"/>
    <row r="425" ht="15.75" customHeight="1" s="349"/>
    <row r="426" ht="15.75" customHeight="1" s="349"/>
    <row r="427" ht="15.75" customHeight="1" s="349"/>
    <row r="428" ht="15.75" customHeight="1" s="349"/>
    <row r="429" ht="15.75" customHeight="1" s="349"/>
    <row r="430" ht="15.75" customHeight="1" s="349"/>
    <row r="431" ht="15.75" customHeight="1" s="349"/>
    <row r="432" ht="15.75" customHeight="1" s="349"/>
    <row r="433" ht="15.75" customHeight="1" s="349"/>
    <row r="434" ht="15.75" customHeight="1" s="349"/>
    <row r="435" ht="15.75" customHeight="1" s="349"/>
    <row r="436" ht="15.75" customHeight="1" s="349"/>
    <row r="437" ht="15.75" customHeight="1" s="349"/>
    <row r="438" ht="15.75" customHeight="1" s="349"/>
    <row r="439" ht="15.75" customHeight="1" s="349"/>
    <row r="440" ht="15.75" customHeight="1" s="349"/>
    <row r="441" ht="15.75" customHeight="1" s="349"/>
    <row r="442" ht="15.75" customHeight="1" s="349"/>
    <row r="443" ht="15.75" customHeight="1" s="349"/>
    <row r="444" ht="15.75" customHeight="1" s="349"/>
    <row r="445" ht="15.75" customHeight="1" s="349"/>
    <row r="446" ht="15.75" customHeight="1" s="349"/>
    <row r="447" ht="15.75" customHeight="1" s="349"/>
    <row r="448" ht="15.75" customHeight="1" s="349"/>
    <row r="449" ht="15.75" customHeight="1" s="349"/>
    <row r="450" ht="15.75" customHeight="1" s="349"/>
    <row r="451" ht="15.75" customHeight="1" s="349"/>
    <row r="452" ht="15.75" customHeight="1" s="349"/>
    <row r="453" ht="15.75" customHeight="1" s="349"/>
    <row r="454" ht="15.75" customHeight="1" s="349"/>
    <row r="455" ht="15.75" customHeight="1" s="349"/>
    <row r="456" ht="15.75" customHeight="1" s="349"/>
    <row r="457" ht="15.75" customHeight="1" s="349"/>
    <row r="458" ht="15.75" customHeight="1" s="349"/>
    <row r="459" ht="15.75" customHeight="1" s="349"/>
    <row r="460" ht="15.75" customHeight="1" s="349"/>
    <row r="461" ht="15.75" customHeight="1" s="349"/>
    <row r="462" ht="15.75" customHeight="1" s="349"/>
    <row r="463" ht="15.75" customHeight="1" s="349"/>
    <row r="464" ht="15.75" customHeight="1" s="349"/>
    <row r="465" ht="15.75" customHeight="1" s="349"/>
    <row r="466" ht="15.75" customHeight="1" s="349"/>
    <row r="467" ht="15.75" customHeight="1" s="349"/>
    <row r="468" ht="15.75" customHeight="1" s="349"/>
    <row r="469" ht="15.75" customHeight="1" s="349"/>
    <row r="470" ht="15.75" customHeight="1" s="349"/>
    <row r="471" ht="15.75" customHeight="1" s="349"/>
    <row r="472" ht="15.75" customHeight="1" s="349"/>
    <row r="473" ht="15.75" customHeight="1" s="349"/>
    <row r="474" ht="15.75" customHeight="1" s="349"/>
    <row r="475" ht="15.75" customHeight="1" s="349"/>
    <row r="476" ht="15.75" customHeight="1" s="349"/>
    <row r="477" ht="15.75" customHeight="1" s="349"/>
    <row r="478" ht="15.75" customHeight="1" s="349"/>
    <row r="479" ht="15.75" customHeight="1" s="349"/>
    <row r="480" ht="15.75" customHeight="1" s="349"/>
    <row r="481" ht="15.75" customHeight="1" s="349"/>
    <row r="482" ht="15.75" customHeight="1" s="349"/>
    <row r="483" ht="15.75" customHeight="1" s="349"/>
    <row r="484" ht="15.75" customHeight="1" s="349"/>
    <row r="485" ht="15.75" customHeight="1" s="349"/>
    <row r="486" ht="15.75" customHeight="1" s="349"/>
    <row r="487" ht="15.75" customHeight="1" s="349"/>
    <row r="488" ht="15.75" customHeight="1" s="349"/>
    <row r="489" ht="15.75" customHeight="1" s="349"/>
    <row r="490" ht="15.75" customHeight="1" s="349"/>
    <row r="491" ht="15.75" customHeight="1" s="349"/>
    <row r="492" ht="15.75" customHeight="1" s="349"/>
    <row r="493" ht="15.75" customHeight="1" s="349"/>
    <row r="494" ht="15.75" customHeight="1" s="349"/>
    <row r="495" ht="15.75" customHeight="1" s="349"/>
    <row r="496" ht="15.75" customHeight="1" s="349"/>
    <row r="497" ht="15.75" customHeight="1" s="349"/>
    <row r="498" ht="15.75" customHeight="1" s="349"/>
    <row r="499" ht="15.75" customHeight="1" s="349"/>
    <row r="500" ht="15.75" customHeight="1" s="349"/>
    <row r="501" ht="15.75" customHeight="1" s="349"/>
    <row r="502" ht="15.75" customHeight="1" s="349"/>
    <row r="503" ht="15.75" customHeight="1" s="349"/>
    <row r="504" ht="15.75" customHeight="1" s="349"/>
    <row r="505" ht="15.75" customHeight="1" s="349"/>
    <row r="506" ht="15.75" customHeight="1" s="349"/>
    <row r="507" ht="15.75" customHeight="1" s="349"/>
    <row r="508" ht="15.75" customHeight="1" s="349"/>
    <row r="509" ht="15.75" customHeight="1" s="349"/>
    <row r="510" ht="15.75" customHeight="1" s="349"/>
    <row r="511" ht="15.75" customHeight="1" s="349"/>
    <row r="512" ht="15.75" customHeight="1" s="349"/>
    <row r="513" ht="15.75" customHeight="1" s="349"/>
    <row r="514" ht="15.75" customHeight="1" s="349"/>
    <row r="515" ht="15.75" customHeight="1" s="349"/>
    <row r="516" ht="15.75" customHeight="1" s="349"/>
    <row r="517" ht="15.75" customHeight="1" s="349"/>
    <row r="518" ht="15.75" customHeight="1" s="349"/>
    <row r="519" ht="15.75" customHeight="1" s="349"/>
    <row r="520" ht="15.75" customHeight="1" s="349"/>
    <row r="521" ht="15.75" customHeight="1" s="349"/>
    <row r="522" ht="15.75" customHeight="1" s="349"/>
    <row r="523" ht="15.75" customHeight="1" s="349"/>
    <row r="524" ht="15.75" customHeight="1" s="349"/>
    <row r="525" ht="15.75" customHeight="1" s="349"/>
    <row r="526" ht="15.75" customHeight="1" s="349"/>
    <row r="527" ht="15.75" customHeight="1" s="349"/>
    <row r="528" ht="15.75" customHeight="1" s="349"/>
    <row r="529" ht="15.75" customHeight="1" s="349"/>
    <row r="530" ht="15.75" customHeight="1" s="349"/>
    <row r="531" ht="15.75" customHeight="1" s="349"/>
    <row r="532" ht="15.75" customHeight="1" s="349"/>
    <row r="533" ht="15.75" customHeight="1" s="349"/>
    <row r="534" ht="15.75" customHeight="1" s="349"/>
    <row r="535" ht="15.75" customHeight="1" s="349"/>
    <row r="536" ht="15.75" customHeight="1" s="349"/>
    <row r="537" ht="15.75" customHeight="1" s="349"/>
    <row r="538" ht="15.75" customHeight="1" s="349"/>
    <row r="539" ht="15.75" customHeight="1" s="349"/>
    <row r="540" ht="15.75" customHeight="1" s="349"/>
    <row r="541" ht="15.75" customHeight="1" s="349"/>
    <row r="542" ht="15.75" customHeight="1" s="349"/>
    <row r="543" ht="15.75" customHeight="1" s="349"/>
    <row r="544" ht="15.75" customHeight="1" s="349"/>
    <row r="545" ht="15.75" customHeight="1" s="349"/>
    <row r="546" ht="15.75" customHeight="1" s="349"/>
    <row r="547" ht="15.75" customHeight="1" s="349"/>
    <row r="548" ht="15.75" customHeight="1" s="349"/>
    <row r="549" ht="15.75" customHeight="1" s="349"/>
    <row r="550" ht="15.75" customHeight="1" s="349"/>
    <row r="551" ht="15.75" customHeight="1" s="349"/>
    <row r="552" ht="15.75" customHeight="1" s="349"/>
    <row r="553" ht="15.75" customHeight="1" s="349"/>
    <row r="554" ht="15.75" customHeight="1" s="349"/>
    <row r="555" ht="15.75" customHeight="1" s="349"/>
    <row r="556" ht="15.75" customHeight="1" s="349"/>
    <row r="557" ht="15.75" customHeight="1" s="349"/>
    <row r="558" ht="15.75" customHeight="1" s="349"/>
    <row r="559" ht="15.75" customHeight="1" s="349"/>
    <row r="560" ht="15.75" customHeight="1" s="349"/>
    <row r="561" ht="15.75" customHeight="1" s="349"/>
    <row r="562" ht="15.75" customHeight="1" s="349"/>
    <row r="563" ht="15.75" customHeight="1" s="349"/>
    <row r="564" ht="15.75" customHeight="1" s="349"/>
    <row r="565" ht="15.75" customHeight="1" s="349"/>
    <row r="566" ht="15.75" customHeight="1" s="349"/>
    <row r="567" ht="15.75" customHeight="1" s="349"/>
    <row r="568" ht="15.75" customHeight="1" s="349"/>
    <row r="569" ht="15.75" customHeight="1" s="349"/>
    <row r="570" ht="15.75" customHeight="1" s="349"/>
    <row r="571" ht="15.75" customHeight="1" s="349"/>
    <row r="572" ht="15.75" customHeight="1" s="349"/>
    <row r="573" ht="15.75" customHeight="1" s="349"/>
    <row r="574" ht="15.75" customHeight="1" s="349"/>
    <row r="575" ht="15.75" customHeight="1" s="349"/>
    <row r="576" ht="15.75" customHeight="1" s="349"/>
    <row r="577" ht="15.75" customHeight="1" s="349"/>
    <row r="578" ht="15.75" customHeight="1" s="349"/>
    <row r="579" ht="15.75" customHeight="1" s="349"/>
    <row r="580" ht="15.75" customHeight="1" s="349"/>
    <row r="581" ht="15.75" customHeight="1" s="349"/>
    <row r="582" ht="15.75" customHeight="1" s="349"/>
    <row r="583" ht="15.75" customHeight="1" s="349"/>
    <row r="584" ht="15.75" customHeight="1" s="349"/>
    <row r="585" ht="15.75" customHeight="1" s="349"/>
    <row r="586" ht="15.75" customHeight="1" s="349"/>
    <row r="587" ht="15.75" customHeight="1" s="349"/>
    <row r="588" ht="15.75" customHeight="1" s="349"/>
    <row r="589" ht="15.75" customHeight="1" s="349"/>
    <row r="590" ht="15.75" customHeight="1" s="349"/>
    <row r="591" ht="15.75" customHeight="1" s="349"/>
    <row r="592" ht="15.75" customHeight="1" s="349"/>
    <row r="593" ht="15.75" customHeight="1" s="349"/>
    <row r="594" ht="15.75" customHeight="1" s="349"/>
    <row r="595" ht="15.75" customHeight="1" s="349"/>
    <row r="596" ht="15.75" customHeight="1" s="349"/>
    <row r="597" ht="15.75" customHeight="1" s="349"/>
    <row r="598" ht="15.75" customHeight="1" s="349"/>
    <row r="599" ht="15.75" customHeight="1" s="349"/>
    <row r="600" ht="15.75" customHeight="1" s="349"/>
    <row r="601" ht="15.75" customHeight="1" s="349"/>
    <row r="602" ht="15.75" customHeight="1" s="349"/>
    <row r="603" ht="15.75" customHeight="1" s="349"/>
    <row r="604" ht="15.75" customHeight="1" s="349"/>
    <row r="605" ht="15.75" customHeight="1" s="349"/>
    <row r="606" ht="15.75" customHeight="1" s="349"/>
    <row r="607" ht="15.75" customHeight="1" s="349"/>
    <row r="608" ht="15.75" customHeight="1" s="349"/>
    <row r="609" ht="15.75" customHeight="1" s="349"/>
    <row r="610" ht="15.75" customHeight="1" s="349"/>
    <row r="611" ht="15.75" customHeight="1" s="349"/>
    <row r="612" ht="15.75" customHeight="1" s="349"/>
    <row r="613" ht="15.75" customHeight="1" s="349"/>
    <row r="614" ht="15.75" customHeight="1" s="349"/>
    <row r="615" ht="15.75" customHeight="1" s="349"/>
    <row r="616" ht="15.75" customHeight="1" s="349"/>
    <row r="617" ht="15.75" customHeight="1" s="349"/>
    <row r="618" ht="15.75" customHeight="1" s="349"/>
    <row r="619" ht="15.75" customHeight="1" s="349"/>
    <row r="620" ht="15.75" customHeight="1" s="349"/>
    <row r="621" ht="15.75" customHeight="1" s="349"/>
    <row r="622" ht="15.75" customHeight="1" s="349"/>
    <row r="623" ht="15.75" customHeight="1" s="349"/>
    <row r="624" ht="15.75" customHeight="1" s="349"/>
    <row r="625" ht="15.75" customHeight="1" s="349"/>
    <row r="626" ht="15.75" customHeight="1" s="349"/>
    <row r="627" ht="15.75" customHeight="1" s="349"/>
    <row r="628" ht="15.75" customHeight="1" s="349"/>
    <row r="629" ht="15.75" customHeight="1" s="349"/>
    <row r="630" ht="15.75" customHeight="1" s="349"/>
    <row r="631" ht="15.75" customHeight="1" s="349"/>
    <row r="632" ht="15.75" customHeight="1" s="349"/>
    <row r="633" ht="15.75" customHeight="1" s="349"/>
    <row r="634" ht="15.75" customHeight="1" s="349"/>
    <row r="635" ht="15.75" customHeight="1" s="349"/>
    <row r="636" ht="15.75" customHeight="1" s="349"/>
    <row r="637" ht="15.75" customHeight="1" s="349"/>
    <row r="638" ht="15.75" customHeight="1" s="349"/>
    <row r="639" ht="15.75" customHeight="1" s="349"/>
    <row r="640" ht="15.75" customHeight="1" s="349"/>
    <row r="641" ht="15.75" customHeight="1" s="349"/>
    <row r="642" ht="15.75" customHeight="1" s="349"/>
    <row r="643" ht="15.75" customHeight="1" s="349"/>
    <row r="644" ht="15.75" customHeight="1" s="349"/>
    <row r="645" ht="15.75" customHeight="1" s="349"/>
    <row r="646" ht="15.75" customHeight="1" s="349"/>
    <row r="647" ht="15.75" customHeight="1" s="349"/>
    <row r="648" ht="15.75" customHeight="1" s="349"/>
    <row r="649" ht="15.75" customHeight="1" s="349"/>
    <row r="650" ht="15.75" customHeight="1" s="349"/>
    <row r="651" ht="15.75" customHeight="1" s="349"/>
    <row r="652" ht="15.75" customHeight="1" s="349"/>
    <row r="653" ht="15.75" customHeight="1" s="349"/>
    <row r="654" ht="15.75" customHeight="1" s="349"/>
    <row r="655" ht="15.75" customHeight="1" s="349"/>
    <row r="656" ht="15.75" customHeight="1" s="349"/>
    <row r="657" ht="15.75" customHeight="1" s="349"/>
    <row r="658" ht="15.75" customHeight="1" s="349"/>
    <row r="659" ht="15.75" customHeight="1" s="349"/>
    <row r="660" ht="15.75" customHeight="1" s="349"/>
    <row r="661" ht="15.75" customHeight="1" s="349"/>
    <row r="662" ht="15.75" customHeight="1" s="349"/>
    <row r="663" ht="15.75" customHeight="1" s="349"/>
    <row r="664" ht="15.75" customHeight="1" s="349"/>
    <row r="665" ht="15.75" customHeight="1" s="349"/>
    <row r="666" ht="15.75" customHeight="1" s="349"/>
    <row r="667" ht="15.75" customHeight="1" s="349"/>
    <row r="668" ht="15.75" customHeight="1" s="349"/>
    <row r="669" ht="15.75" customHeight="1" s="349"/>
    <row r="670" ht="15.75" customHeight="1" s="349"/>
    <row r="671" ht="15.75" customHeight="1" s="349"/>
    <row r="672" ht="15.75" customHeight="1" s="349"/>
    <row r="673" ht="15.75" customHeight="1" s="349"/>
    <row r="674" ht="15.75" customHeight="1" s="349"/>
    <row r="675" ht="15.75" customHeight="1" s="349"/>
    <row r="676" ht="15.75" customHeight="1" s="349"/>
    <row r="677" ht="15.75" customHeight="1" s="349"/>
    <row r="678" ht="15.75" customHeight="1" s="349"/>
    <row r="679" ht="15.75" customHeight="1" s="349"/>
    <row r="680" ht="15.75" customHeight="1" s="349"/>
    <row r="681" ht="15.75" customHeight="1" s="349"/>
    <row r="682" ht="15.75" customHeight="1" s="349"/>
    <row r="683" ht="15.75" customHeight="1" s="349"/>
    <row r="684" ht="15.75" customHeight="1" s="349"/>
    <row r="685" ht="15.75" customHeight="1" s="349"/>
    <row r="686" ht="15.75" customHeight="1" s="349"/>
    <row r="687" ht="15.75" customHeight="1" s="349"/>
    <row r="688" ht="15.75" customHeight="1" s="349"/>
    <row r="689" ht="15.75" customHeight="1" s="349"/>
    <row r="690" ht="15.75" customHeight="1" s="349"/>
    <row r="691" ht="15.75" customHeight="1" s="349"/>
    <row r="692" ht="15.75" customHeight="1" s="349"/>
    <row r="693" ht="15.75" customHeight="1" s="349"/>
    <row r="694" ht="15.75" customHeight="1" s="349"/>
    <row r="695" ht="15.75" customHeight="1" s="349"/>
    <row r="696" ht="15.75" customHeight="1" s="349"/>
    <row r="697" ht="15.75" customHeight="1" s="349"/>
    <row r="698" ht="15.75" customHeight="1" s="349"/>
    <row r="699" ht="15.75" customHeight="1" s="349"/>
    <row r="700" ht="15.75" customHeight="1" s="349"/>
    <row r="701" ht="15.75" customHeight="1" s="349"/>
    <row r="702" ht="15.75" customHeight="1" s="349"/>
    <row r="703" ht="15.75" customHeight="1" s="349"/>
    <row r="704" ht="15.75" customHeight="1" s="349"/>
    <row r="705" ht="15.75" customHeight="1" s="349"/>
    <row r="706" ht="15.75" customHeight="1" s="349"/>
    <row r="707" ht="15.75" customHeight="1" s="349"/>
    <row r="708" ht="15.75" customHeight="1" s="349"/>
    <row r="709" ht="15.75" customHeight="1" s="349"/>
    <row r="710" ht="15.75" customHeight="1" s="349"/>
    <row r="711" ht="15.75" customHeight="1" s="349"/>
    <row r="712" ht="15.75" customHeight="1" s="349"/>
    <row r="713" ht="15.75" customHeight="1" s="349"/>
    <row r="714" ht="15.75" customHeight="1" s="349"/>
    <row r="715" ht="15.75" customHeight="1" s="349"/>
    <row r="716" ht="15.75" customHeight="1" s="349"/>
    <row r="717" ht="15.75" customHeight="1" s="349"/>
    <row r="718" ht="15.75" customHeight="1" s="349"/>
    <row r="719" ht="15.75" customHeight="1" s="349"/>
    <row r="720" ht="15.75" customHeight="1" s="349"/>
    <row r="721" ht="15.75" customHeight="1" s="349"/>
    <row r="722" ht="15.75" customHeight="1" s="349"/>
    <row r="723" ht="15.75" customHeight="1" s="349"/>
    <row r="724" ht="15.75" customHeight="1" s="349"/>
    <row r="725" ht="15.75" customHeight="1" s="349"/>
    <row r="726" ht="15.75" customHeight="1" s="349"/>
    <row r="727" ht="15.75" customHeight="1" s="349"/>
    <row r="728" ht="15.75" customHeight="1" s="349"/>
    <row r="729" ht="15.75" customHeight="1" s="349"/>
    <row r="730" ht="15.75" customHeight="1" s="349"/>
    <row r="731" ht="15.75" customHeight="1" s="349"/>
    <row r="732" ht="15.75" customHeight="1" s="349"/>
    <row r="733" ht="15.75" customHeight="1" s="349"/>
    <row r="734" ht="15.75" customHeight="1" s="349"/>
    <row r="735" ht="15.75" customHeight="1" s="349"/>
    <row r="736" ht="15.75" customHeight="1" s="349"/>
    <row r="737" ht="15.75" customHeight="1" s="349"/>
    <row r="738" ht="15.75" customHeight="1" s="349"/>
    <row r="739" ht="15.75" customHeight="1" s="349"/>
    <row r="740" ht="15.75" customHeight="1" s="349"/>
    <row r="741" ht="15.75" customHeight="1" s="349"/>
    <row r="742" ht="15.75" customHeight="1" s="349"/>
    <row r="743" ht="15.75" customHeight="1" s="349"/>
    <row r="744" ht="15.75" customHeight="1" s="349"/>
    <row r="745" ht="15.75" customHeight="1" s="349"/>
    <row r="746" ht="15.75" customHeight="1" s="349"/>
    <row r="747" ht="15.75" customHeight="1" s="349"/>
    <row r="748" ht="15.75" customHeight="1" s="349"/>
    <row r="749" ht="15.75" customHeight="1" s="349"/>
    <row r="750" ht="15.75" customHeight="1" s="349"/>
    <row r="751" ht="15.75" customHeight="1" s="349"/>
    <row r="752" ht="15.75" customHeight="1" s="349"/>
    <row r="753" ht="15.75" customHeight="1" s="349"/>
    <row r="754" ht="15.75" customHeight="1" s="349"/>
    <row r="755" ht="15.75" customHeight="1" s="349"/>
    <row r="756" ht="15.75" customHeight="1" s="349"/>
    <row r="757" ht="15.75" customHeight="1" s="349"/>
    <row r="758" ht="15.75" customHeight="1" s="349"/>
    <row r="759" ht="15.75" customHeight="1" s="349"/>
    <row r="760" ht="15.75" customHeight="1" s="349"/>
    <row r="761" ht="15.75" customHeight="1" s="349"/>
    <row r="762" ht="15.75" customHeight="1" s="349"/>
    <row r="763" ht="15.75" customHeight="1" s="349"/>
    <row r="764" ht="15.75" customHeight="1" s="349"/>
    <row r="765" ht="15.75" customHeight="1" s="349"/>
    <row r="766" ht="15.75" customHeight="1" s="349"/>
    <row r="767" ht="15.75" customHeight="1" s="349"/>
    <row r="768" ht="15.75" customHeight="1" s="349"/>
    <row r="769" ht="15.75" customHeight="1" s="349"/>
    <row r="770" ht="15.75" customHeight="1" s="349"/>
    <row r="771" ht="15.75" customHeight="1" s="349"/>
    <row r="772" ht="15.75" customHeight="1" s="349"/>
    <row r="773" ht="15.75" customHeight="1" s="349"/>
    <row r="774" ht="15.75" customHeight="1" s="349"/>
    <row r="775" ht="15.75" customHeight="1" s="349"/>
    <row r="776" ht="15.75" customHeight="1" s="349"/>
    <row r="777" ht="15.75" customHeight="1" s="349"/>
    <row r="778" ht="15.75" customHeight="1" s="349"/>
    <row r="779" ht="15.75" customHeight="1" s="349"/>
    <row r="780" ht="15.75" customHeight="1" s="349"/>
    <row r="781" ht="15.75" customHeight="1" s="349"/>
    <row r="782" ht="15.75" customHeight="1" s="349"/>
    <row r="783" ht="15.75" customHeight="1" s="349"/>
    <row r="784" ht="15.75" customHeight="1" s="349"/>
    <row r="785" ht="15.75" customHeight="1" s="349"/>
    <row r="786" ht="15.75" customHeight="1" s="349"/>
    <row r="787" ht="15.75" customHeight="1" s="349"/>
    <row r="788" ht="15.75" customHeight="1" s="349"/>
    <row r="789" ht="15.75" customHeight="1" s="349"/>
    <row r="790" ht="15.75" customHeight="1" s="349"/>
    <row r="791" ht="15.75" customHeight="1" s="349"/>
    <row r="792" ht="15.75" customHeight="1" s="349"/>
    <row r="793" ht="15.75" customHeight="1" s="349"/>
    <row r="794" ht="15.75" customHeight="1" s="349"/>
    <row r="795" ht="15.75" customHeight="1" s="349"/>
    <row r="796" ht="15.75" customHeight="1" s="349"/>
    <row r="797" ht="15.75" customHeight="1" s="349"/>
    <row r="798" ht="15.75" customHeight="1" s="349"/>
    <row r="799" ht="15.75" customHeight="1" s="349"/>
    <row r="800" ht="15.75" customHeight="1" s="349"/>
    <row r="801" ht="15.75" customHeight="1" s="349"/>
    <row r="802" ht="15.75" customHeight="1" s="349"/>
    <row r="803" ht="15.75" customHeight="1" s="349"/>
    <row r="804" ht="15.75" customHeight="1" s="349"/>
    <row r="805" ht="15.75" customHeight="1" s="349"/>
    <row r="806" ht="15.75" customHeight="1" s="349"/>
    <row r="807" ht="15.75" customHeight="1" s="349"/>
    <row r="808" ht="15.75" customHeight="1" s="349"/>
    <row r="809" ht="15.75" customHeight="1" s="349"/>
    <row r="810" ht="15.75" customHeight="1" s="349"/>
    <row r="811" ht="15.75" customHeight="1" s="349"/>
    <row r="812" ht="15.75" customHeight="1" s="349"/>
    <row r="813" ht="15.75" customHeight="1" s="349"/>
    <row r="814" ht="15.75" customHeight="1" s="349"/>
    <row r="815" ht="15.75" customHeight="1" s="349"/>
    <row r="816" ht="15.75" customHeight="1" s="349"/>
    <row r="817" ht="15.75" customHeight="1" s="349"/>
    <row r="818" ht="15.75" customHeight="1" s="349"/>
    <row r="819" ht="15.75" customHeight="1" s="349"/>
    <row r="820" ht="15.75" customHeight="1" s="349"/>
    <row r="821" ht="15.75" customHeight="1" s="349"/>
    <row r="822" ht="15.75" customHeight="1" s="349"/>
    <row r="823" ht="15.75" customHeight="1" s="349"/>
    <row r="824" ht="15.75" customHeight="1" s="349"/>
    <row r="825" ht="15.75" customHeight="1" s="349"/>
    <row r="826" ht="15.75" customHeight="1" s="349"/>
    <row r="827" ht="15.75" customHeight="1" s="349"/>
    <row r="828" ht="15.75" customHeight="1" s="349"/>
    <row r="829" ht="15.75" customHeight="1" s="349"/>
    <row r="830" ht="15.75" customHeight="1" s="349"/>
    <row r="831" ht="15.75" customHeight="1" s="349"/>
    <row r="832" ht="15.75" customHeight="1" s="349"/>
    <row r="833" ht="15.75" customHeight="1" s="349"/>
    <row r="834" ht="15.75" customHeight="1" s="349"/>
    <row r="835" ht="15.75" customHeight="1" s="349"/>
    <row r="836" ht="15.75" customHeight="1" s="349"/>
    <row r="837" ht="15.75" customHeight="1" s="349"/>
    <row r="838" ht="15.75" customHeight="1" s="349"/>
    <row r="839" ht="15.75" customHeight="1" s="349"/>
    <row r="840" ht="15.75" customHeight="1" s="349"/>
    <row r="841" ht="15.75" customHeight="1" s="349"/>
    <row r="842" ht="15.75" customHeight="1" s="349"/>
    <row r="843" ht="15.75" customHeight="1" s="349"/>
    <row r="844" ht="15.75" customHeight="1" s="349"/>
    <row r="845" ht="15.75" customHeight="1" s="349"/>
    <row r="846" ht="15.75" customHeight="1" s="349"/>
    <row r="847" ht="15.75" customHeight="1" s="349"/>
    <row r="848" ht="15.75" customHeight="1" s="349"/>
    <row r="849" ht="15.75" customHeight="1" s="349"/>
    <row r="850" ht="15.75" customHeight="1" s="349"/>
    <row r="851" ht="15.75" customHeight="1" s="349"/>
    <row r="852" ht="15.75" customHeight="1" s="349"/>
    <row r="853" ht="15.75" customHeight="1" s="349"/>
    <row r="854" ht="15.75" customHeight="1" s="349"/>
    <row r="855" ht="15.75" customHeight="1" s="349"/>
    <row r="856" ht="15.75" customHeight="1" s="349"/>
    <row r="857" ht="15.75" customHeight="1" s="349"/>
    <row r="858" ht="15.75" customHeight="1" s="349"/>
    <row r="859" ht="15.75" customHeight="1" s="349"/>
    <row r="860" ht="15.75" customHeight="1" s="349"/>
    <row r="861" ht="15.75" customHeight="1" s="349"/>
    <row r="862" ht="15.75" customHeight="1" s="349"/>
    <row r="863" ht="15.75" customHeight="1" s="349"/>
    <row r="864" ht="15.75" customHeight="1" s="349"/>
    <row r="865" ht="15.75" customHeight="1" s="349"/>
    <row r="866" ht="15.75" customHeight="1" s="349"/>
    <row r="867" ht="15.75" customHeight="1" s="349"/>
    <row r="868" ht="15.75" customHeight="1" s="349"/>
    <row r="869" ht="15.75" customHeight="1" s="349"/>
    <row r="870" ht="15.75" customHeight="1" s="349"/>
    <row r="871" ht="15.75" customHeight="1" s="349"/>
    <row r="872" ht="15.75" customHeight="1" s="349"/>
    <row r="873" ht="15.75" customHeight="1" s="349"/>
    <row r="874" ht="15.75" customHeight="1" s="349"/>
    <row r="875" ht="15.75" customHeight="1" s="349"/>
    <row r="876" ht="15.75" customHeight="1" s="349"/>
    <row r="877" ht="15.75" customHeight="1" s="349"/>
    <row r="878" ht="15.75" customHeight="1" s="349"/>
    <row r="879" ht="15.75" customHeight="1" s="349"/>
    <row r="880" ht="15.75" customHeight="1" s="349"/>
    <row r="881" ht="15.75" customHeight="1" s="349"/>
    <row r="882" ht="15.75" customHeight="1" s="349"/>
    <row r="883" ht="15.75" customHeight="1" s="349"/>
    <row r="884" ht="15.75" customHeight="1" s="349"/>
    <row r="885" ht="15.75" customHeight="1" s="349"/>
    <row r="886" ht="15.75" customHeight="1" s="349"/>
    <row r="887" ht="15.75" customHeight="1" s="349"/>
    <row r="888" ht="15.75" customHeight="1" s="349"/>
    <row r="889" ht="15.75" customHeight="1" s="349"/>
    <row r="890" ht="15.75" customHeight="1" s="349"/>
    <row r="891" ht="15.75" customHeight="1" s="349"/>
    <row r="892" ht="15.75" customHeight="1" s="349"/>
    <row r="893" ht="15.75" customHeight="1" s="349"/>
    <row r="894" ht="15.75" customHeight="1" s="349"/>
    <row r="895" ht="15.75" customHeight="1" s="349"/>
    <row r="896" ht="15.75" customHeight="1" s="349"/>
    <row r="897" ht="15.75" customHeight="1" s="349"/>
    <row r="898" ht="15.75" customHeight="1" s="349"/>
    <row r="899" ht="15.75" customHeight="1" s="349"/>
    <row r="900" ht="15.75" customHeight="1" s="349"/>
    <row r="901" ht="15.75" customHeight="1" s="349"/>
    <row r="902" ht="15.75" customHeight="1" s="349"/>
    <row r="903" ht="15.75" customHeight="1" s="349"/>
    <row r="904" ht="15.75" customHeight="1" s="349"/>
    <row r="905" ht="15.75" customHeight="1" s="349"/>
    <row r="906" ht="15.75" customHeight="1" s="349"/>
    <row r="907" ht="15.75" customHeight="1" s="349"/>
    <row r="908" ht="15.75" customHeight="1" s="349"/>
    <row r="909" ht="15.75" customHeight="1" s="349"/>
    <row r="910" ht="15.75" customHeight="1" s="349"/>
    <row r="911" ht="15.75" customHeight="1" s="349"/>
    <row r="912" ht="15.75" customHeight="1" s="349"/>
    <row r="913" ht="15.75" customHeight="1" s="349"/>
    <row r="914" ht="15.75" customHeight="1" s="349"/>
    <row r="915" ht="15.75" customHeight="1" s="349"/>
    <row r="916" ht="15.75" customHeight="1" s="349"/>
    <row r="917" ht="15.75" customHeight="1" s="349"/>
    <row r="918" ht="15.75" customHeight="1" s="349"/>
    <row r="919" ht="15.75" customHeight="1" s="349"/>
    <row r="920" ht="15.75" customHeight="1" s="349"/>
    <row r="921" ht="15.75" customHeight="1" s="349"/>
    <row r="922" ht="15.75" customHeight="1" s="349"/>
    <row r="923" ht="15.75" customHeight="1" s="349"/>
    <row r="924" ht="15.75" customHeight="1" s="349"/>
    <row r="925" ht="15.75" customHeight="1" s="349"/>
    <row r="926" ht="15.75" customHeight="1" s="349"/>
    <row r="927" ht="15.75" customHeight="1" s="349"/>
    <row r="928" ht="15.75" customHeight="1" s="349"/>
    <row r="929" ht="15.75" customHeight="1" s="349"/>
    <row r="930" ht="15.75" customHeight="1" s="349"/>
    <row r="931" ht="15.75" customHeight="1" s="349"/>
    <row r="932" ht="15.75" customHeight="1" s="349"/>
    <row r="933" ht="15.75" customHeight="1" s="349"/>
    <row r="934" ht="15.75" customHeight="1" s="349"/>
    <row r="935" ht="15.75" customHeight="1" s="349"/>
    <row r="936" ht="15.75" customHeight="1" s="349"/>
    <row r="937" ht="15.75" customHeight="1" s="349"/>
    <row r="938" ht="15.75" customHeight="1" s="349"/>
    <row r="939" ht="15.75" customHeight="1" s="349"/>
    <row r="940" ht="15.75" customHeight="1" s="349"/>
    <row r="941" ht="15.75" customHeight="1" s="349"/>
    <row r="942" ht="15.75" customHeight="1" s="349"/>
    <row r="943" ht="15.75" customHeight="1" s="349"/>
    <row r="944" ht="15.75" customHeight="1" s="349"/>
    <row r="945" ht="15.75" customHeight="1" s="349"/>
    <row r="946" ht="15.75" customHeight="1" s="349"/>
    <row r="947" ht="15.75" customHeight="1" s="349"/>
    <row r="948" ht="15.75" customHeight="1" s="349"/>
    <row r="949" ht="15.75" customHeight="1" s="349"/>
    <row r="950" ht="15.75" customHeight="1" s="349"/>
    <row r="951" ht="15.75" customHeight="1" s="349"/>
    <row r="952" ht="15.75" customHeight="1" s="349"/>
    <row r="953" ht="15.75" customHeight="1" s="349"/>
    <row r="954" ht="15.75" customHeight="1" s="349"/>
    <row r="955" ht="15.75" customHeight="1" s="349"/>
    <row r="956" ht="15.75" customHeight="1" s="349"/>
    <row r="957" ht="15.75" customHeight="1" s="349"/>
    <row r="958" ht="15.75" customHeight="1" s="349"/>
    <row r="959" ht="15.75" customHeight="1" s="349"/>
    <row r="960" ht="15.75" customHeight="1" s="349"/>
    <row r="961" ht="15.75" customHeight="1" s="349"/>
    <row r="962" ht="15.75" customHeight="1" s="349"/>
    <row r="963" ht="15.75" customHeight="1" s="349"/>
    <row r="964" ht="15.75" customHeight="1" s="349"/>
    <row r="965" ht="15.75" customHeight="1" s="349"/>
    <row r="966" ht="15.75" customHeight="1" s="349"/>
    <row r="967" ht="15.75" customHeight="1" s="349"/>
    <row r="968" ht="15.75" customHeight="1" s="349"/>
    <row r="969" ht="15.75" customHeight="1" s="349"/>
    <row r="970" ht="15.75" customHeight="1" s="349"/>
    <row r="971" ht="15.75" customHeight="1" s="349"/>
    <row r="972" ht="15.75" customHeight="1" s="349"/>
    <row r="973" ht="15.75" customHeight="1" s="349"/>
    <row r="974" ht="15.75" customHeight="1" s="349"/>
    <row r="975" ht="15.75" customHeight="1" s="349"/>
    <row r="976" ht="15.75" customHeight="1" s="349"/>
    <row r="977" ht="15.75" customHeight="1" s="349"/>
    <row r="978" ht="15.75" customHeight="1" s="349"/>
    <row r="979" ht="15.75" customHeight="1" s="349"/>
    <row r="980" ht="15.75" customHeight="1" s="349"/>
    <row r="981" ht="15.75" customHeight="1" s="349"/>
    <row r="982" ht="15.75" customHeight="1" s="349"/>
    <row r="983" ht="15.75" customHeight="1" s="349"/>
    <row r="984" ht="15.75" customHeight="1" s="349"/>
    <row r="985" ht="15.75" customHeight="1" s="349"/>
    <row r="986" ht="15.75" customHeight="1" s="349"/>
    <row r="987" ht="15.75" customHeight="1" s="349"/>
    <row r="988" ht="15.75" customHeight="1" s="349"/>
    <row r="989" ht="15.75" customHeight="1" s="349"/>
    <row r="990" ht="15.75" customHeight="1" s="349"/>
    <row r="991" ht="15.75" customHeight="1" s="349"/>
    <row r="992" ht="15.75" customHeight="1" s="349"/>
    <row r="993" ht="15.75" customHeight="1" s="349"/>
    <row r="994" ht="15.75" customHeight="1" s="349"/>
    <row r="995" ht="15.75" customHeight="1" s="349"/>
    <row r="996" ht="15.75" customHeight="1" s="349"/>
    <row r="997" ht="15.75" customHeight="1" s="349"/>
    <row r="998" ht="15.75" customHeight="1" s="349"/>
    <row r="999" ht="15.75" customHeight="1" s="349"/>
    <row r="1000" ht="15.75" customHeight="1" s="349"/>
  </sheetData>
  <pageMargins left="0.75" right="0.75" top="1" bottom="1" header="0" footer="0"/>
  <pageSetup orientation="landscape"/>
</worksheet>
</file>

<file path=xl/worksheets/sheet8.xml><?xml version="1.0" encoding="utf-8"?>
<worksheet xmlns="http://schemas.openxmlformats.org/spreadsheetml/2006/main">
  <sheetPr>
    <outlinePr summaryBelow="0" summaryRight="0"/>
    <pageSetUpPr/>
  </sheetPr>
  <dimension ref="A1:BT271"/>
  <sheetViews>
    <sheetView showGridLines="0" workbookViewId="0">
      <selection activeCell="A1" sqref="A1"/>
    </sheetView>
  </sheetViews>
  <sheetFormatPr baseColWidth="8" defaultColWidth="14.43" defaultRowHeight="15" customHeight="1"/>
  <cols>
    <col width="14.43" customWidth="1" style="349" min="1" max="1"/>
    <col width="28.86" customWidth="1" style="349" min="2" max="2"/>
    <col width="14.43" customWidth="1" style="349" min="3" max="3"/>
    <col width="18.29" customWidth="1" style="349" min="4" max="4"/>
    <col width="14.43" customWidth="1" style="349" min="5" max="6"/>
    <col width="16.71" customWidth="1" style="349" min="8" max="8"/>
    <col width="43" customWidth="1" style="349" min="70" max="70"/>
  </cols>
  <sheetData>
    <row r="1">
      <c r="A1" s="281" t="n"/>
      <c r="B1" s="11" t="inlineStr">
        <is>
          <t>PERSONNEL — Monthly Employer Cost (€)</t>
        </is>
      </c>
      <c r="BE1" s="11" t="n"/>
      <c r="BF1" s="11" t="n"/>
      <c r="BG1" s="11" t="n"/>
      <c r="BH1" s="11" t="n"/>
      <c r="BI1" s="11" t="n"/>
      <c r="BJ1" s="11" t="n"/>
      <c r="BK1" s="11" t="n"/>
      <c r="BL1" s="11" t="n"/>
      <c r="BM1" s="11" t="n"/>
      <c r="BN1" s="11" t="n"/>
      <c r="BO1" s="11" t="n"/>
      <c r="BP1" s="11" t="n"/>
      <c r="BQ1" s="18" t="n"/>
      <c r="BR1" s="18" t="n"/>
      <c r="BS1" s="18" t="n"/>
      <c r="BT1" s="18" t="n"/>
    </row>
    <row r="2">
      <c r="A2" s="282" t="inlineStr">
        <is>
          <t>#</t>
        </is>
      </c>
      <c r="B2" s="282" t="inlineStr">
        <is>
          <t>Name</t>
        </is>
      </c>
      <c r="C2" s="282" t="inlineStr">
        <is>
          <t>Dept</t>
        </is>
      </c>
      <c r="D2" s="282" t="inlineStr">
        <is>
          <t>Role</t>
        </is>
      </c>
      <c r="E2" s="282" t="inlineStr">
        <is>
          <t>Type</t>
        </is>
      </c>
      <c r="F2" s="282" t="inlineStr">
        <is>
          <t>Start</t>
        </is>
      </c>
      <c r="G2" s="282" t="inlineStr">
        <is>
          <t>End</t>
        </is>
      </c>
      <c r="H2" s="282" t="inlineStr">
        <is>
          <t>Monthly Cost (€)</t>
        </is>
      </c>
      <c r="I2" s="55" t="n">
        <v>45658</v>
      </c>
      <c r="J2" s="55" t="n">
        <v>45689</v>
      </c>
      <c r="K2" s="55" t="n">
        <v>45717</v>
      </c>
      <c r="L2" s="55" t="n">
        <v>45748</v>
      </c>
      <c r="M2" s="55" t="n">
        <v>45778</v>
      </c>
      <c r="N2" s="55" t="n">
        <v>45809</v>
      </c>
      <c r="O2" s="55" t="n">
        <v>45839</v>
      </c>
      <c r="P2" s="55" t="n">
        <v>45870</v>
      </c>
      <c r="Q2" s="55" t="n">
        <v>45901</v>
      </c>
      <c r="R2" s="55" t="n">
        <v>45931</v>
      </c>
      <c r="S2" s="55" t="n">
        <v>45962</v>
      </c>
      <c r="T2" s="55" t="n">
        <v>45992</v>
      </c>
      <c r="U2" s="55" t="n">
        <v>46023</v>
      </c>
      <c r="V2" s="55" t="n">
        <v>46054</v>
      </c>
      <c r="W2" s="55" t="n">
        <v>46082</v>
      </c>
      <c r="X2" s="55" t="n">
        <v>46113</v>
      </c>
      <c r="Y2" s="55" t="n">
        <v>46143</v>
      </c>
      <c r="Z2" s="55" t="n">
        <v>46174</v>
      </c>
      <c r="AA2" s="55" t="n">
        <v>46204</v>
      </c>
      <c r="AB2" s="55" t="n">
        <v>46235</v>
      </c>
      <c r="AC2" s="55" t="n">
        <v>46266</v>
      </c>
      <c r="AD2" s="55" t="n">
        <v>46296</v>
      </c>
      <c r="AE2" s="55" t="n">
        <v>46327</v>
      </c>
      <c r="AF2" s="55" t="n">
        <v>46357</v>
      </c>
      <c r="AG2" s="55" t="n">
        <v>46388</v>
      </c>
      <c r="AH2" s="55" t="n">
        <v>46419</v>
      </c>
      <c r="AI2" s="55" t="n">
        <v>46447</v>
      </c>
      <c r="AJ2" s="55" t="n">
        <v>46478</v>
      </c>
      <c r="AK2" s="55" t="n">
        <v>46508</v>
      </c>
      <c r="AL2" s="55" t="n">
        <v>46539</v>
      </c>
      <c r="AM2" s="55" t="n">
        <v>46569</v>
      </c>
      <c r="AN2" s="55" t="n">
        <v>46600</v>
      </c>
      <c r="AO2" s="55" t="n">
        <v>46631</v>
      </c>
      <c r="AP2" s="55" t="n">
        <v>46661</v>
      </c>
      <c r="AQ2" s="55" t="n">
        <v>46692</v>
      </c>
      <c r="AR2" s="55" t="n">
        <v>46722</v>
      </c>
      <c r="AS2" s="55" t="n">
        <v>46753</v>
      </c>
      <c r="AT2" s="55" t="n">
        <v>46784</v>
      </c>
      <c r="AU2" s="55" t="n">
        <v>46813</v>
      </c>
      <c r="AV2" s="55" t="n">
        <v>46844</v>
      </c>
      <c r="AW2" s="55" t="n">
        <v>46874</v>
      </c>
      <c r="AX2" s="55" t="n">
        <v>46905</v>
      </c>
      <c r="AY2" s="55" t="n">
        <v>46935</v>
      </c>
      <c r="AZ2" s="55" t="n">
        <v>46966</v>
      </c>
      <c r="BA2" s="55" t="n">
        <v>46997</v>
      </c>
      <c r="BB2" s="55" t="n">
        <v>47027</v>
      </c>
      <c r="BC2" s="55" t="n">
        <v>47058</v>
      </c>
      <c r="BD2" s="55" t="n">
        <v>47088</v>
      </c>
      <c r="BE2" s="55" t="n">
        <v>47119</v>
      </c>
      <c r="BF2" s="55" t="n">
        <v>47150</v>
      </c>
      <c r="BG2" s="55" t="n">
        <v>47178</v>
      </c>
      <c r="BH2" s="55" t="n">
        <v>47209</v>
      </c>
      <c r="BI2" s="55" t="n">
        <v>47239</v>
      </c>
      <c r="BJ2" s="55" t="n">
        <v>47270</v>
      </c>
      <c r="BK2" s="55" t="n">
        <v>47300</v>
      </c>
      <c r="BL2" s="55" t="n">
        <v>47331</v>
      </c>
      <c r="BM2" s="55" t="n">
        <v>47362</v>
      </c>
      <c r="BN2" s="55" t="n">
        <v>47392</v>
      </c>
      <c r="BO2" s="55" t="n">
        <v>47423</v>
      </c>
      <c r="BP2" s="55" t="n">
        <v>47453</v>
      </c>
      <c r="BQ2" s="78" t="n"/>
      <c r="BR2" s="315" t="inlineStr">
        <is>
          <t>what this row does</t>
        </is>
      </c>
      <c r="BS2" s="78" t="n"/>
      <c r="BT2" s="78" t="n"/>
    </row>
    <row r="3">
      <c r="A3" s="283" t="n">
        <v>1</v>
      </c>
      <c r="B3" s="284" t="inlineStr">
        <is>
          <t>R&amp;D Engineer</t>
        </is>
      </c>
      <c r="C3" s="23" t="inlineStr">
        <is>
          <t>R&amp;D</t>
        </is>
      </c>
      <c r="D3" s="285" t="inlineStr">
        <is>
          <t>Field Engineer</t>
        </is>
      </c>
      <c r="E3" s="23" t="inlineStr">
        <is>
          <t>Current</t>
        </is>
      </c>
      <c r="F3" s="318" t="n">
        <v>45901</v>
      </c>
      <c r="G3" s="287" t="n"/>
      <c r="H3" s="288" t="n">
        <v>5500</v>
      </c>
      <c r="I3" s="289">
        <f>IF(AND(F3&lt;=DATE(2025,1,1),OR(G3="",G3&gt;=DATE(2025,1,1))),H3*(1+Assumptions!$C$7)^0,0)</f>
        <v/>
      </c>
      <c r="J3" s="289">
        <f>IF(AND(F3&lt;=DATE(2025,2,1),OR(G3="",G3&gt;=DATE(2025,2,1))),H3*(1+Assumptions!$C$7)^0,0)</f>
        <v/>
      </c>
      <c r="K3" s="289">
        <f>IF(AND(F3&lt;=DATE(2025,3,1),OR(G3="",G3&gt;=DATE(2025,3,1))),H3*(1+Assumptions!$C$7)^0,0)</f>
        <v/>
      </c>
      <c r="L3" s="289">
        <f>IF(AND(F3&lt;=DATE(2025,4,1),OR(G3="",G3&gt;=DATE(2025,4,1))),H3*(1+Assumptions!$C$7)^0,0)</f>
        <v/>
      </c>
      <c r="M3" s="289">
        <f>IF(AND(F3&lt;=DATE(2025,5,1),OR(G3="",G3&gt;=DATE(2025,5,1))),H3*(1+Assumptions!$C$7)^0,0)</f>
        <v/>
      </c>
      <c r="N3" s="289">
        <f>IF(AND(F3&lt;=DATE(2025,6,1),OR(G3="",G3&gt;=DATE(2025,6,1))),H3*(1+Assumptions!$C$7)^0,0)</f>
        <v/>
      </c>
      <c r="O3" s="289">
        <f>IF(AND(F3&lt;=DATE(2025,7,1),OR(G3="",G3&gt;=DATE(2025,7,1))),H3*(1+Assumptions!$C$7)^0,0)</f>
        <v/>
      </c>
      <c r="P3" s="289">
        <f>IF(AND(F3&lt;=DATE(2025,8,1),OR(G3="",G3&gt;=DATE(2025,8,1))),H3*(1+Assumptions!$C$7)^0,0)</f>
        <v/>
      </c>
      <c r="Q3" s="289">
        <f>IF(AND(F3&lt;=DATE(2025,9,1),OR(G3="",G3&gt;=DATE(2025,9,1))),H3*(1+Assumptions!$C$7)^0,0)</f>
        <v/>
      </c>
      <c r="R3" s="289">
        <f>IF(AND(F3&lt;=DATE(2025,10,1),OR(G3="",G3&gt;=DATE(2025,10,1))),H3*(1+Assumptions!$C$7)^0,0)</f>
        <v/>
      </c>
      <c r="S3" s="289">
        <f>IF(AND(F3&lt;=DATE(2025,11,1),OR(G3="",G3&gt;=DATE(2025,11,1))),H3*(1+Assumptions!$C$7)^0,0)</f>
        <v/>
      </c>
      <c r="T3" s="289">
        <f>IF(AND(F3&lt;=DATE(2025,12,1),OR(G3="",G3&gt;=DATE(2025,12,1))),H3*(1+Assumptions!$C$7)^0,0)</f>
        <v/>
      </c>
      <c r="U3" s="289">
        <f>IF(AND(F3&lt;=DATE(2026,1,1),OR(G3="",G3&gt;=DATE(2026,1,1))),H3*(1+Assumptions!$C$7)^1,0)</f>
        <v/>
      </c>
      <c r="V3" s="289">
        <f>IF(AND(F3&lt;=DATE(2026,2,1),OR(G3="",G3&gt;=DATE(2026,2,1))),H3*(1+Assumptions!$C$7)^1,0)</f>
        <v/>
      </c>
      <c r="W3" s="289">
        <f>IF(AND(F3&lt;=DATE(2026,3,1),OR(G3="",G3&gt;=DATE(2026,3,1))),H3*(1+Assumptions!$C$7)^1,0)</f>
        <v/>
      </c>
      <c r="X3" s="289">
        <f>IF(AND(F3&lt;=DATE(2026,4,1),OR(G3="",G3&gt;=DATE(2026,4,1))),H3*(1+Assumptions!$C$7)^1,0)</f>
        <v/>
      </c>
      <c r="Y3" s="289">
        <f>IF(AND(F3&lt;=DATE(2026,5,1),OR(G3="",G3&gt;=DATE(2026,5,1))),H3*(1+Assumptions!$C$7)^1,0)</f>
        <v/>
      </c>
      <c r="Z3" s="289">
        <f>IF(AND(F3&lt;=DATE(2026,6,1),OR(G3="",G3&gt;=DATE(2026,6,1))),H3*(1+Assumptions!$C$7)^1,0)</f>
        <v/>
      </c>
      <c r="AA3" s="289">
        <f>IF(AND(F3&lt;=DATE(2026,7,1),OR(G3="",G3&gt;=DATE(2026,7,1))),H3*(1+Assumptions!$C$7)^1,0)</f>
        <v/>
      </c>
      <c r="AB3" s="289">
        <f>IF(AND(F3&lt;=DATE(2026,8,1),OR(G3="",G3&gt;=DATE(2026,8,1))),H3*(1+Assumptions!$C$7)^1,0)</f>
        <v/>
      </c>
      <c r="AC3" s="289">
        <f>IF(AND(F3&lt;=DATE(2026,9,1),OR(G3="",G3&gt;=DATE(2026,9,1))),H3*(1+Assumptions!$C$7)^1,0)</f>
        <v/>
      </c>
      <c r="AD3" s="289">
        <f>IF(AND(F3&lt;=DATE(2026,10,1),OR(G3="",G3&gt;=DATE(2026,10,1))),H3*(1+Assumptions!$C$7)^1,0)</f>
        <v/>
      </c>
      <c r="AE3" s="289">
        <f>IF(AND(F3&lt;=DATE(2026,11,1),OR(G3="",G3&gt;=DATE(2026,11,1))),H3*(1+Assumptions!$C$7)^1,0)</f>
        <v/>
      </c>
      <c r="AF3" s="289">
        <f>IF(AND(F3&lt;=DATE(2026,12,1),OR(G3="",G3&gt;=DATE(2026,12,1))),H3*(1+Assumptions!$C$7)^1,0)</f>
        <v/>
      </c>
      <c r="AG3" s="289">
        <f>IF(AND(F3&lt;=DATE(2027,1,1),OR(G3="",G3&gt;=DATE(2027,1,1))),H3*(1+Assumptions!$C$7)^2,0)</f>
        <v/>
      </c>
      <c r="AH3" s="289">
        <f>IF(AND(F3&lt;=DATE(2027,2,1),OR(G3="",G3&gt;=DATE(2027,2,1))),H3*(1+Assumptions!$C$7)^2,0)</f>
        <v/>
      </c>
      <c r="AI3" s="289">
        <f>IF(AND(F3&lt;=DATE(2027,3,1),OR(G3="",G3&gt;=DATE(2027,3,1))),H3*(1+Assumptions!$C$7)^2,0)</f>
        <v/>
      </c>
      <c r="AJ3" s="289">
        <f>IF(AND(F3&lt;=DATE(2027,4,1),OR(G3="",G3&gt;=DATE(2027,4,1))),H3*(1+Assumptions!$C$7)^2,0)</f>
        <v/>
      </c>
      <c r="AK3" s="289">
        <f>IF(AND(F3&lt;=DATE(2027,5,1),OR(G3="",G3&gt;=DATE(2027,5,1))),H3*(1+Assumptions!$C$7)^2,0)</f>
        <v/>
      </c>
      <c r="AL3" s="289">
        <f>IF(AND(F3&lt;=DATE(2027,6,1),OR(G3="",G3&gt;=DATE(2027,6,1))),H3*(1+Assumptions!$C$7)^2,0)</f>
        <v/>
      </c>
      <c r="AM3" s="289">
        <f>IF(AND(F3&lt;=DATE(2027,7,1),OR(G3="",G3&gt;=DATE(2027,7,1))),H3*(1+Assumptions!$C$7)^2,0)</f>
        <v/>
      </c>
      <c r="AN3" s="289">
        <f>IF(AND(F3&lt;=DATE(2027,8,1),OR(G3="",G3&gt;=DATE(2027,8,1))),H3*(1+Assumptions!$C$7)^2,0)</f>
        <v/>
      </c>
      <c r="AO3" s="289">
        <f>IF(AND(F3&lt;=DATE(2027,9,1),OR(G3="",G3&gt;=DATE(2027,9,1))),H3*(1+Assumptions!$C$7)^2,0)</f>
        <v/>
      </c>
      <c r="AP3" s="289">
        <f>IF(AND(F3&lt;=DATE(2027,10,1),OR(G3="",G3&gt;=DATE(2027,10,1))),H3*(1+Assumptions!$C$7)^2,0)</f>
        <v/>
      </c>
      <c r="AQ3" s="289">
        <f>IF(AND(F3&lt;=DATE(2027,11,1),OR(G3="",G3&gt;=DATE(2027,11,1))),H3*(1+Assumptions!$C$7)^2,0)</f>
        <v/>
      </c>
      <c r="AR3" s="289">
        <f>IF(AND(F3&lt;=DATE(2027,12,1),OR(G3="",G3&gt;=DATE(2027,12,1))),H3*(1+Assumptions!$C$7)^2,0)</f>
        <v/>
      </c>
      <c r="AS3" s="289">
        <f>IF(AND(F3&lt;=DATE(2028,1,1),OR(G3="",G3&gt;=DATE(2028,1,1))),H3*(1+Assumptions!$C$7)^3,0)</f>
        <v/>
      </c>
      <c r="AT3" s="289">
        <f>IF(AND(F3&lt;=DATE(2028,2,1),OR(G3="",G3&gt;=DATE(2028,2,1))),H3*(1+Assumptions!$C$7)^3,0)</f>
        <v/>
      </c>
      <c r="AU3" s="289">
        <f>IF(AND(F3&lt;=DATE(2028,3,1),OR(G3="",G3&gt;=DATE(2028,3,1))),H3*(1+Assumptions!$C$7)^3,0)</f>
        <v/>
      </c>
      <c r="AV3" s="289">
        <f>IF(AND(F3&lt;=DATE(2028,4,1),OR(G3="",G3&gt;=DATE(2028,4,1))),H3*(1+Assumptions!$C$7)^3,0)</f>
        <v/>
      </c>
      <c r="AW3" s="289">
        <f>IF(AND(F3&lt;=DATE(2028,5,1),OR(G3="",G3&gt;=DATE(2028,5,1))),H3*(1+Assumptions!$C$7)^3,0)</f>
        <v/>
      </c>
      <c r="AX3" s="289">
        <f>IF(AND(F3&lt;=DATE(2028,6,1),OR(G3="",G3&gt;=DATE(2028,6,1))),H3*(1+Assumptions!$C$7)^3,0)</f>
        <v/>
      </c>
      <c r="AY3" s="289">
        <f>IF(AND(F3&lt;=DATE(2028,7,1),OR(G3="",G3&gt;=DATE(2028,7,1))),H3*(1+Assumptions!$C$7)^3,0)</f>
        <v/>
      </c>
      <c r="AZ3" s="289">
        <f>IF(AND(F3&lt;=DATE(2028,8,1),OR(G3="",G3&gt;=DATE(2028,8,1))),H3*(1+Assumptions!$C$7)^3,0)</f>
        <v/>
      </c>
      <c r="BA3" s="289">
        <f>IF(AND(F3&lt;=DATE(2028,9,1),OR(G3="",G3&gt;=DATE(2028,9,1))),H3*(1+Assumptions!$C$7)^3,0)</f>
        <v/>
      </c>
      <c r="BB3" s="289">
        <f>IF(AND(F3&lt;=DATE(2028,10,1),OR(G3="",G3&gt;=DATE(2028,10,1))),H3*(1+Assumptions!$C$7)^3,0)</f>
        <v/>
      </c>
      <c r="BC3" s="289">
        <f>IF(AND(F3&lt;=DATE(2028,11,1),OR(G3="",G3&gt;=DATE(2028,11,1))),H3*(1+Assumptions!$C$7)^3,0)</f>
        <v/>
      </c>
      <c r="BD3" s="289">
        <f>IF(AND(F3&lt;=DATE(2028,12,1),OR(G3="",G3&gt;=DATE(2028,12,1))),H3*(1+Assumptions!$C$7)^3,0)</f>
        <v/>
      </c>
      <c r="BE3" s="289">
        <f>IF(AND(F3&lt;=DATE(2029,1,1),OR(G3="",G3&gt;=DATE(2029,1,1))),H3*(1+Assumptions!$C$7)^4,0)</f>
        <v/>
      </c>
      <c r="BF3" s="289">
        <f>IF(AND(F3&lt;=DATE(2029,2,1),OR(G3="",G3&gt;=DATE(2029,2,1))),H3*(1+Assumptions!$C$7)^4,0)</f>
        <v/>
      </c>
      <c r="BG3" s="289">
        <f>IF(AND(F3&lt;=DATE(2029,3,1),OR(G3="",G3&gt;=DATE(2029,3,1))),H3*(1+Assumptions!$C$7)^4,0)</f>
        <v/>
      </c>
      <c r="BH3" s="289">
        <f>IF(AND(F3&lt;=DATE(2029,4,1),OR(G3="",G3&gt;=DATE(2029,4,1))),H3*(1+Assumptions!$C$7)^4,0)</f>
        <v/>
      </c>
      <c r="BI3" s="289">
        <f>IF(AND(F3&lt;=DATE(2029,5,1),OR(G3="",G3&gt;=DATE(2029,5,1))),H3*(1+Assumptions!$C$7)^4,0)</f>
        <v/>
      </c>
      <c r="BJ3" s="289">
        <f>IF(AND(F3&lt;=DATE(2029,6,1),OR(G3="",G3&gt;=DATE(2029,6,1))),H3*(1+Assumptions!$C$7)^4,0)</f>
        <v/>
      </c>
      <c r="BK3" s="289">
        <f>IF(AND(F3&lt;=DATE(2029,7,1),OR(G3="",G3&gt;=DATE(2029,7,1))),H3*(1+Assumptions!$C$7)^4,0)</f>
        <v/>
      </c>
      <c r="BL3" s="289">
        <f>IF(AND(F3&lt;=DATE(2029,8,1),OR(G3="",G3&gt;=DATE(2029,8,1))),H3*(1+Assumptions!$C$7)^4,0)</f>
        <v/>
      </c>
      <c r="BM3" s="289">
        <f>IF(AND(F3&lt;=DATE(2029,9,1),OR(G3="",G3&gt;=DATE(2029,9,1))),H3*(1+Assumptions!$C$7)^4,0)</f>
        <v/>
      </c>
      <c r="BN3" s="289">
        <f>IF(AND(F3&lt;=DATE(2029,10,1),OR(G3="",G3&gt;=DATE(2029,10,1))),H3*(1+Assumptions!$C$7)^4,0)</f>
        <v/>
      </c>
      <c r="BO3" s="289">
        <f>IF(AND(F3&lt;=DATE(2029,11,1),OR(G3="",G3&gt;=DATE(2029,11,1))),H3*(1+Assumptions!$C$7)^4,0)</f>
        <v/>
      </c>
      <c r="BP3" s="289">
        <f>IF(AND(F3&lt;=DATE(2029,12,1),OR(G3="",G3&gt;=DATE(2029,12,1))),H3*(1+Assumptions!$C$7)^4,0)</f>
        <v/>
      </c>
      <c r="BQ3" s="295" t="n"/>
      <c r="BR3" s="40" t="inlineStr">
        <is>
          <t>paid this month if started and not yet left; +8% each calendar year</t>
        </is>
      </c>
      <c r="BS3" s="295" t="n"/>
      <c r="BT3" s="295" t="n"/>
    </row>
    <row r="4">
      <c r="A4" s="296" t="n">
        <v>2</v>
      </c>
      <c r="B4" s="284" t="inlineStr">
        <is>
          <t>Project manager</t>
        </is>
      </c>
      <c r="C4" s="285" t="inlineStr">
        <is>
          <t>R&amp;D</t>
        </is>
      </c>
      <c r="D4" s="285" t="inlineStr">
        <is>
          <t>R&amp;D Engineer</t>
        </is>
      </c>
      <c r="E4" s="297" t="inlineStr">
        <is>
          <t>Current</t>
        </is>
      </c>
      <c r="F4" s="318" t="n">
        <v>45901</v>
      </c>
      <c r="G4" s="298" t="n"/>
      <c r="H4" s="288" t="n">
        <v>7500</v>
      </c>
      <c r="I4" s="299">
        <f>IF(AND(F4&lt;=DATE(2025,1,1),OR(G4="",G4&gt;=DATE(2025,1,1))),H4*(1+Assumptions!$C$7)^0,0)</f>
        <v/>
      </c>
      <c r="J4" s="299">
        <f>IF(AND(F4&lt;=DATE(2025,2,1),OR(G4="",G4&gt;=DATE(2025,2,1))),H4*(1+Assumptions!$C$7)^0,0)</f>
        <v/>
      </c>
      <c r="K4" s="299">
        <f>IF(AND(F4&lt;=DATE(2025,3,1),OR(G4="",G4&gt;=DATE(2025,3,1))),H4*(1+Assumptions!$C$7)^0,0)</f>
        <v/>
      </c>
      <c r="L4" s="299">
        <f>IF(AND(F4&lt;=DATE(2025,4,1),OR(G4="",G4&gt;=DATE(2025,4,1))),H4*(1+Assumptions!$C$7)^0,0)</f>
        <v/>
      </c>
      <c r="M4" s="299">
        <f>IF(AND(F4&lt;=DATE(2025,5,1),OR(G4="",G4&gt;=DATE(2025,5,1))),H4*(1+Assumptions!$C$7)^0,0)</f>
        <v/>
      </c>
      <c r="N4" s="299">
        <f>IF(AND(F4&lt;=DATE(2025,6,1),OR(G4="",G4&gt;=DATE(2025,6,1))),H4*(1+Assumptions!$C$7)^0,0)</f>
        <v/>
      </c>
      <c r="O4" s="299">
        <f>IF(AND(F4&lt;=DATE(2025,7,1),OR(G4="",G4&gt;=DATE(2025,7,1))),H4*(1+Assumptions!$C$7)^0,0)</f>
        <v/>
      </c>
      <c r="P4" s="299">
        <f>IF(AND(F4&lt;=DATE(2025,8,1),OR(G4="",G4&gt;=DATE(2025,8,1))),H4*(1+Assumptions!$C$7)^0,0)</f>
        <v/>
      </c>
      <c r="Q4" s="299">
        <f>IF(AND(F4&lt;=DATE(2025,9,1),OR(G4="",G4&gt;=DATE(2025,9,1))),H4*(1+Assumptions!$C$7)^0,0)</f>
        <v/>
      </c>
      <c r="R4" s="299">
        <f>IF(AND(F4&lt;=DATE(2025,10,1),OR(G4="",G4&gt;=DATE(2025,10,1))),H4*(1+Assumptions!$C$7)^0,0)</f>
        <v/>
      </c>
      <c r="S4" s="299">
        <f>IF(AND(F4&lt;=DATE(2025,11,1),OR(G4="",G4&gt;=DATE(2025,11,1))),H4*(1+Assumptions!$C$7)^0,0)</f>
        <v/>
      </c>
      <c r="T4" s="299">
        <f>IF(AND(F4&lt;=DATE(2025,12,1),OR(G4="",G4&gt;=DATE(2025,12,1))),H4*(1+Assumptions!$C$7)^0,0)</f>
        <v/>
      </c>
      <c r="U4" s="299">
        <f>IF(AND(F4&lt;=DATE(2026,1,1),OR(G4="",G4&gt;=DATE(2026,1,1))),H4*(1+Assumptions!$C$7)^1,0)</f>
        <v/>
      </c>
      <c r="V4" s="299">
        <f>IF(AND(F4&lt;=DATE(2026,2,1),OR(G4="",G4&gt;=DATE(2026,2,1))),H4*(1+Assumptions!$C$7)^1,0)</f>
        <v/>
      </c>
      <c r="W4" s="299">
        <f>IF(AND(F4&lt;=DATE(2026,3,1),OR(G4="",G4&gt;=DATE(2026,3,1))),H4*(1+Assumptions!$C$7)^1,0)</f>
        <v/>
      </c>
      <c r="X4" s="299">
        <f>IF(AND(F4&lt;=DATE(2026,4,1),OR(G4="",G4&gt;=DATE(2026,4,1))),H4*(1+Assumptions!$C$7)^1,0)</f>
        <v/>
      </c>
      <c r="Y4" s="299">
        <f>IF(AND(F4&lt;=DATE(2026,5,1),OR(G4="",G4&gt;=DATE(2026,5,1))),H4*(1+Assumptions!$C$7)^1,0)</f>
        <v/>
      </c>
      <c r="Z4" s="299">
        <f>IF(AND(F4&lt;=DATE(2026,6,1),OR(G4="",G4&gt;=DATE(2026,6,1))),H4*(1+Assumptions!$C$7)^1,0)</f>
        <v/>
      </c>
      <c r="AA4" s="299">
        <f>IF(AND(F4&lt;=DATE(2026,7,1),OR(G4="",G4&gt;=DATE(2026,7,1))),H4*(1+Assumptions!$C$7)^1,0)</f>
        <v/>
      </c>
      <c r="AB4" s="299">
        <f>IF(AND(F4&lt;=DATE(2026,8,1),OR(G4="",G4&gt;=DATE(2026,8,1))),H4*(1+Assumptions!$C$7)^1,0)</f>
        <v/>
      </c>
      <c r="AC4" s="299">
        <f>IF(AND(F4&lt;=DATE(2026,9,1),OR(G4="",G4&gt;=DATE(2026,9,1))),H4*(1+Assumptions!$C$7)^1,0)</f>
        <v/>
      </c>
      <c r="AD4" s="299">
        <f>IF(AND(F4&lt;=DATE(2026,10,1),OR(G4="",G4&gt;=DATE(2026,10,1))),H4*(1+Assumptions!$C$7)^1,0)</f>
        <v/>
      </c>
      <c r="AE4" s="299">
        <f>IF(AND(F4&lt;=DATE(2026,11,1),OR(G4="",G4&gt;=DATE(2026,11,1))),H4*(1+Assumptions!$C$7)^1,0)</f>
        <v/>
      </c>
      <c r="AF4" s="299">
        <f>IF(AND(F4&lt;=DATE(2026,12,1),OR(G4="",G4&gt;=DATE(2026,12,1))),H4*(1+Assumptions!$C$7)^1,0)</f>
        <v/>
      </c>
      <c r="AG4" s="299">
        <f>IF(AND(F4&lt;=DATE(2027,1,1),OR(G4="",G4&gt;=DATE(2027,1,1))),H4*(1+Assumptions!$C$7)^2,0)</f>
        <v/>
      </c>
      <c r="AH4" s="299">
        <f>IF(AND(F4&lt;=DATE(2027,2,1),OR(G4="",G4&gt;=DATE(2027,2,1))),H4*(1+Assumptions!$C$7)^2,0)</f>
        <v/>
      </c>
      <c r="AI4" s="299">
        <f>IF(AND(F4&lt;=DATE(2027,3,1),OR(G4="",G4&gt;=DATE(2027,3,1))),H4*(1+Assumptions!$C$7)^2,0)</f>
        <v/>
      </c>
      <c r="AJ4" s="299">
        <f>IF(AND(F4&lt;=DATE(2027,4,1),OR(G4="",G4&gt;=DATE(2027,4,1))),H4*(1+Assumptions!$C$7)^2,0)</f>
        <v/>
      </c>
      <c r="AK4" s="299">
        <f>IF(AND(F4&lt;=DATE(2027,5,1),OR(G4="",G4&gt;=DATE(2027,5,1))),H4*(1+Assumptions!$C$7)^2,0)</f>
        <v/>
      </c>
      <c r="AL4" s="299">
        <f>IF(AND(F4&lt;=DATE(2027,6,1),OR(G4="",G4&gt;=DATE(2027,6,1))),H4*(1+Assumptions!$C$7)^2,0)</f>
        <v/>
      </c>
      <c r="AM4" s="299">
        <f>IF(AND(F4&lt;=DATE(2027,7,1),OR(G4="",G4&gt;=DATE(2027,7,1))),H4*(1+Assumptions!$C$7)^2,0)</f>
        <v/>
      </c>
      <c r="AN4" s="299">
        <f>IF(AND(F4&lt;=DATE(2027,8,1),OR(G4="",G4&gt;=DATE(2027,8,1))),H4*(1+Assumptions!$C$7)^2,0)</f>
        <v/>
      </c>
      <c r="AO4" s="299">
        <f>IF(AND(F4&lt;=DATE(2027,9,1),OR(G4="",G4&gt;=DATE(2027,9,1))),H4*(1+Assumptions!$C$7)^2,0)</f>
        <v/>
      </c>
      <c r="AP4" s="299">
        <f>IF(AND(F4&lt;=DATE(2027,10,1),OR(G4="",G4&gt;=DATE(2027,10,1))),H4*(1+Assumptions!$C$7)^2,0)</f>
        <v/>
      </c>
      <c r="AQ4" s="299">
        <f>IF(AND(F4&lt;=DATE(2027,11,1),OR(G4="",G4&gt;=DATE(2027,11,1))),H4*(1+Assumptions!$C$7)^2,0)</f>
        <v/>
      </c>
      <c r="AR4" s="299">
        <f>IF(AND(F4&lt;=DATE(2027,12,1),OR(G4="",G4&gt;=DATE(2027,12,1))),H4*(1+Assumptions!$C$7)^2,0)</f>
        <v/>
      </c>
      <c r="AS4" s="299">
        <f>IF(AND(F4&lt;=DATE(2028,1,1),OR(G4="",G4&gt;=DATE(2028,1,1))),H4*(1+Assumptions!$C$7)^3,0)</f>
        <v/>
      </c>
      <c r="AT4" s="299">
        <f>IF(AND(F4&lt;=DATE(2028,2,1),OR(G4="",G4&gt;=DATE(2028,2,1))),H4*(1+Assumptions!$C$7)^3,0)</f>
        <v/>
      </c>
      <c r="AU4" s="299">
        <f>IF(AND(F4&lt;=DATE(2028,3,1),OR(G4="",G4&gt;=DATE(2028,3,1))),H4*(1+Assumptions!$C$7)^3,0)</f>
        <v/>
      </c>
      <c r="AV4" s="299">
        <f>IF(AND(F4&lt;=DATE(2028,4,1),OR(G4="",G4&gt;=DATE(2028,4,1))),H4*(1+Assumptions!$C$7)^3,0)</f>
        <v/>
      </c>
      <c r="AW4" s="299">
        <f>IF(AND(F4&lt;=DATE(2028,5,1),OR(G4="",G4&gt;=DATE(2028,5,1))),H4*(1+Assumptions!$C$7)^3,0)</f>
        <v/>
      </c>
      <c r="AX4" s="299">
        <f>IF(AND(F4&lt;=DATE(2028,6,1),OR(G4="",G4&gt;=DATE(2028,6,1))),H4*(1+Assumptions!$C$7)^3,0)</f>
        <v/>
      </c>
      <c r="AY4" s="299">
        <f>IF(AND(F4&lt;=DATE(2028,7,1),OR(G4="",G4&gt;=DATE(2028,7,1))),H4*(1+Assumptions!$C$7)^3,0)</f>
        <v/>
      </c>
      <c r="AZ4" s="299">
        <f>IF(AND(F4&lt;=DATE(2028,8,1),OR(G4="",G4&gt;=DATE(2028,8,1))),H4*(1+Assumptions!$C$7)^3,0)</f>
        <v/>
      </c>
      <c r="BA4" s="299">
        <f>IF(AND(F4&lt;=DATE(2028,9,1),OR(G4="",G4&gt;=DATE(2028,9,1))),H4*(1+Assumptions!$C$7)^3,0)</f>
        <v/>
      </c>
      <c r="BB4" s="299">
        <f>IF(AND(F4&lt;=DATE(2028,10,1),OR(G4="",G4&gt;=DATE(2028,10,1))),H4*(1+Assumptions!$C$7)^3,0)</f>
        <v/>
      </c>
      <c r="BC4" s="299">
        <f>IF(AND(F4&lt;=DATE(2028,11,1),OR(G4="",G4&gt;=DATE(2028,11,1))),H4*(1+Assumptions!$C$7)^3,0)</f>
        <v/>
      </c>
      <c r="BD4" s="299">
        <f>IF(AND(F4&lt;=DATE(2028,12,1),OR(G4="",G4&gt;=DATE(2028,12,1))),H4*(1+Assumptions!$C$7)^3,0)</f>
        <v/>
      </c>
      <c r="BE4" s="299">
        <f>IF(AND(F4&lt;=DATE(2029,1,1),OR(G4="",G4&gt;=DATE(2029,1,1))),H4*(1+Assumptions!$C$7)^4,0)</f>
        <v/>
      </c>
      <c r="BF4" s="299">
        <f>IF(AND(F4&lt;=DATE(2029,2,1),OR(G4="",G4&gt;=DATE(2029,2,1))),H4*(1+Assumptions!$C$7)^4,0)</f>
        <v/>
      </c>
      <c r="BG4" s="299">
        <f>IF(AND(F4&lt;=DATE(2029,3,1),OR(G4="",G4&gt;=DATE(2029,3,1))),H4*(1+Assumptions!$C$7)^4,0)</f>
        <v/>
      </c>
      <c r="BH4" s="299">
        <f>IF(AND(F4&lt;=DATE(2029,4,1),OR(G4="",G4&gt;=DATE(2029,4,1))),H4*(1+Assumptions!$C$7)^4,0)</f>
        <v/>
      </c>
      <c r="BI4" s="299">
        <f>IF(AND(F4&lt;=DATE(2029,5,1),OR(G4="",G4&gt;=DATE(2029,5,1))),H4*(1+Assumptions!$C$7)^4,0)</f>
        <v/>
      </c>
      <c r="BJ4" s="299">
        <f>IF(AND(F4&lt;=DATE(2029,6,1),OR(G4="",G4&gt;=DATE(2029,6,1))),H4*(1+Assumptions!$C$7)^4,0)</f>
        <v/>
      </c>
      <c r="BK4" s="299">
        <f>IF(AND(F4&lt;=DATE(2029,7,1),OR(G4="",G4&gt;=DATE(2029,7,1))),H4*(1+Assumptions!$C$7)^4,0)</f>
        <v/>
      </c>
      <c r="BL4" s="299">
        <f>IF(AND(F4&lt;=DATE(2029,8,1),OR(G4="",G4&gt;=DATE(2029,8,1))),H4*(1+Assumptions!$C$7)^4,0)</f>
        <v/>
      </c>
      <c r="BM4" s="299">
        <f>IF(AND(F4&lt;=DATE(2029,9,1),OR(G4="",G4&gt;=DATE(2029,9,1))),H4*(1+Assumptions!$C$7)^4,0)</f>
        <v/>
      </c>
      <c r="BN4" s="299">
        <f>IF(AND(F4&lt;=DATE(2029,10,1),OR(G4="",G4&gt;=DATE(2029,10,1))),H4*(1+Assumptions!$C$7)^4,0)</f>
        <v/>
      </c>
      <c r="BO4" s="299">
        <f>IF(AND(F4&lt;=DATE(2029,11,1),OR(G4="",G4&gt;=DATE(2029,11,1))),H4*(1+Assumptions!$C$7)^4,0)</f>
        <v/>
      </c>
      <c r="BP4" s="299">
        <f>IF(AND(F4&lt;=DATE(2029,12,1),OR(G4="",G4&gt;=DATE(2029,12,1))),H4*(1+Assumptions!$C$7)^4,0)</f>
        <v/>
      </c>
      <c r="BQ4" s="226" t="n"/>
      <c r="BR4" s="40" t="inlineStr">
        <is>
          <t>paid this month if started and not yet left; +8% each calendar year</t>
        </is>
      </c>
      <c r="BS4" s="226" t="n"/>
      <c r="BT4" s="226" t="n"/>
    </row>
    <row r="5">
      <c r="A5" s="309" t="n">
        <v>3</v>
      </c>
      <c r="B5" s="284" t="inlineStr">
        <is>
          <t>R&amp;D Engineer</t>
        </is>
      </c>
      <c r="C5" s="23" t="inlineStr">
        <is>
          <t>R&amp;D</t>
        </is>
      </c>
      <c r="D5" s="23" t="inlineStr">
        <is>
          <t>R&amp;D Engineer</t>
        </is>
      </c>
      <c r="E5" s="310" t="inlineStr">
        <is>
          <t>Current</t>
        </is>
      </c>
      <c r="F5" s="318" t="n">
        <v>45901</v>
      </c>
      <c r="G5" s="311" t="n"/>
      <c r="H5" s="288" t="n">
        <v>3000</v>
      </c>
      <c r="I5" s="289">
        <f>IF(AND(F5&lt;=DATE(2025,1,1),OR(G5="",G5&gt;=DATE(2025,1,1))),H5*(1+Assumptions!$C$7)^0,0)</f>
        <v/>
      </c>
      <c r="J5" s="289">
        <f>IF(AND(F5&lt;=DATE(2025,2,1),OR(G5="",G5&gt;=DATE(2025,2,1))),H5*(1+Assumptions!$C$7)^0,0)</f>
        <v/>
      </c>
      <c r="K5" s="289">
        <f>IF(AND(F5&lt;=DATE(2025,3,1),OR(G5="",G5&gt;=DATE(2025,3,1))),H5*(1+Assumptions!$C$7)^0,0)</f>
        <v/>
      </c>
      <c r="L5" s="289">
        <f>IF(AND(F5&lt;=DATE(2025,4,1),OR(G5="",G5&gt;=DATE(2025,4,1))),H5*(1+Assumptions!$C$7)^0,0)</f>
        <v/>
      </c>
      <c r="M5" s="289">
        <f>IF(AND(F5&lt;=DATE(2025,5,1),OR(G5="",G5&gt;=DATE(2025,5,1))),H5*(1+Assumptions!$C$7)^0,0)</f>
        <v/>
      </c>
      <c r="N5" s="289">
        <f>IF(AND(F5&lt;=DATE(2025,6,1),OR(G5="",G5&gt;=DATE(2025,6,1))),H5*(1+Assumptions!$C$7)^0,0)</f>
        <v/>
      </c>
      <c r="O5" s="289">
        <f>IF(AND(F5&lt;=DATE(2025,7,1),OR(G5="",G5&gt;=DATE(2025,7,1))),H5*(1+Assumptions!$C$7)^0,0)</f>
        <v/>
      </c>
      <c r="P5" s="289">
        <f>IF(AND(F5&lt;=DATE(2025,8,1),OR(G5="",G5&gt;=DATE(2025,8,1))),H5*(1+Assumptions!$C$7)^0,0)</f>
        <v/>
      </c>
      <c r="Q5" s="289">
        <f>IF(AND(F5&lt;=DATE(2025,9,1),OR(G5="",G5&gt;=DATE(2025,9,1))),H5*(1+Assumptions!$C$7)^0,0)</f>
        <v/>
      </c>
      <c r="R5" s="289">
        <f>IF(AND(F5&lt;=DATE(2025,10,1),OR(G5="",G5&gt;=DATE(2025,10,1))),H5*(1+Assumptions!$C$7)^0,0)</f>
        <v/>
      </c>
      <c r="S5" s="289">
        <f>IF(AND(F5&lt;=DATE(2025,11,1),OR(G5="",G5&gt;=DATE(2025,11,1))),H5*(1+Assumptions!$C$7)^0,0)</f>
        <v/>
      </c>
      <c r="T5" s="289">
        <f>IF(AND(F5&lt;=DATE(2025,12,1),OR(G5="",G5&gt;=DATE(2025,12,1))),H5*(1+Assumptions!$C$7)^0,0)</f>
        <v/>
      </c>
      <c r="U5" s="289">
        <f>IF(AND(F5&lt;=DATE(2026,1,1),OR(G5="",G5&gt;=DATE(2026,1,1))),H5*(1+Assumptions!$C$7)^1,0)</f>
        <v/>
      </c>
      <c r="V5" s="289">
        <f>IF(AND(F5&lt;=DATE(2026,2,1),OR(G5="",G5&gt;=DATE(2026,2,1))),H5*(1+Assumptions!$C$7)^1,0)</f>
        <v/>
      </c>
      <c r="W5" s="289">
        <f>IF(AND(F5&lt;=DATE(2026,3,1),OR(G5="",G5&gt;=DATE(2026,3,1))),H5*(1+Assumptions!$C$7)^1,0)</f>
        <v/>
      </c>
      <c r="X5" s="289">
        <f>IF(AND(F5&lt;=DATE(2026,4,1),OR(G5="",G5&gt;=DATE(2026,4,1))),H5*(1+Assumptions!$C$7)^1,0)</f>
        <v/>
      </c>
      <c r="Y5" s="289">
        <f>IF(AND(F5&lt;=DATE(2026,5,1),OR(G5="",G5&gt;=DATE(2026,5,1))),H5*(1+Assumptions!$C$7)^1,0)</f>
        <v/>
      </c>
      <c r="Z5" s="289">
        <f>IF(AND(F5&lt;=DATE(2026,6,1),OR(G5="",G5&gt;=DATE(2026,6,1))),H5*(1+Assumptions!$C$7)^1,0)</f>
        <v/>
      </c>
      <c r="AA5" s="289">
        <f>IF(AND(F5&lt;=DATE(2026,7,1),OR(G5="",G5&gt;=DATE(2026,7,1))),H5*(1+Assumptions!$C$7)^1,0)</f>
        <v/>
      </c>
      <c r="AB5" s="289">
        <f>IF(AND(F5&lt;=DATE(2026,8,1),OR(G5="",G5&gt;=DATE(2026,8,1))),H5*(1+Assumptions!$C$7)^1,0)</f>
        <v/>
      </c>
      <c r="AC5" s="289">
        <f>IF(AND(F5&lt;=DATE(2026,9,1),OR(G5="",G5&gt;=DATE(2026,9,1))),H5*(1+Assumptions!$C$7)^1,0)</f>
        <v/>
      </c>
      <c r="AD5" s="289">
        <f>IF(AND(F5&lt;=DATE(2026,10,1),OR(G5="",G5&gt;=DATE(2026,10,1))),H5*(1+Assumptions!$C$7)^1,0)</f>
        <v/>
      </c>
      <c r="AE5" s="289">
        <f>IF(AND(F5&lt;=DATE(2026,11,1),OR(G5="",G5&gt;=DATE(2026,11,1))),H5*(1+Assumptions!$C$7)^1,0)</f>
        <v/>
      </c>
      <c r="AF5" s="289">
        <f>IF(AND(F5&lt;=DATE(2026,12,1),OR(G5="",G5&gt;=DATE(2026,12,1))),H5*(1+Assumptions!$C$7)^1,0)</f>
        <v/>
      </c>
      <c r="AG5" s="289">
        <f>IF(AND(F5&lt;=DATE(2027,1,1),OR(G5="",G5&gt;=DATE(2027,1,1))),H5*(1+Assumptions!$C$7)^2,0)</f>
        <v/>
      </c>
      <c r="AH5" s="289">
        <f>IF(AND(F5&lt;=DATE(2027,2,1),OR(G5="",G5&gt;=DATE(2027,2,1))),H5*(1+Assumptions!$C$7)^2,0)</f>
        <v/>
      </c>
      <c r="AI5" s="289">
        <f>IF(AND(F5&lt;=DATE(2027,3,1),OR(G5="",G5&gt;=DATE(2027,3,1))),H5*(1+Assumptions!$C$7)^2,0)</f>
        <v/>
      </c>
      <c r="AJ5" s="289">
        <f>IF(AND(F5&lt;=DATE(2027,4,1),OR(G5="",G5&gt;=DATE(2027,4,1))),H5*(1+Assumptions!$C$7)^2,0)</f>
        <v/>
      </c>
      <c r="AK5" s="289">
        <f>IF(AND(F5&lt;=DATE(2027,5,1),OR(G5="",G5&gt;=DATE(2027,5,1))),H5*(1+Assumptions!$C$7)^2,0)</f>
        <v/>
      </c>
      <c r="AL5" s="289">
        <f>IF(AND(F5&lt;=DATE(2027,6,1),OR(G5="",G5&gt;=DATE(2027,6,1))),H5*(1+Assumptions!$C$7)^2,0)</f>
        <v/>
      </c>
      <c r="AM5" s="289">
        <f>IF(AND(F5&lt;=DATE(2027,7,1),OR(G5="",G5&gt;=DATE(2027,7,1))),H5*(1+Assumptions!$C$7)^2,0)</f>
        <v/>
      </c>
      <c r="AN5" s="289">
        <f>IF(AND(F5&lt;=DATE(2027,8,1),OR(G5="",G5&gt;=DATE(2027,8,1))),H5*(1+Assumptions!$C$7)^2,0)</f>
        <v/>
      </c>
      <c r="AO5" s="289">
        <f>IF(AND(F5&lt;=DATE(2027,9,1),OR(G5="",G5&gt;=DATE(2027,9,1))),H5*(1+Assumptions!$C$7)^2,0)</f>
        <v/>
      </c>
      <c r="AP5" s="289">
        <f>IF(AND(F5&lt;=DATE(2027,10,1),OR(G5="",G5&gt;=DATE(2027,10,1))),H5*(1+Assumptions!$C$7)^2,0)</f>
        <v/>
      </c>
      <c r="AQ5" s="289">
        <f>IF(AND(F5&lt;=DATE(2027,11,1),OR(G5="",G5&gt;=DATE(2027,11,1))),H5*(1+Assumptions!$C$7)^2,0)</f>
        <v/>
      </c>
      <c r="AR5" s="289">
        <f>IF(AND(F5&lt;=DATE(2027,12,1),OR(G5="",G5&gt;=DATE(2027,12,1))),H5*(1+Assumptions!$C$7)^2,0)</f>
        <v/>
      </c>
      <c r="AS5" s="289">
        <f>IF(AND(F5&lt;=DATE(2028,1,1),OR(G5="",G5&gt;=DATE(2028,1,1))),H5*(1+Assumptions!$C$7)^3,0)</f>
        <v/>
      </c>
      <c r="AT5" s="289">
        <f>IF(AND(F5&lt;=DATE(2028,2,1),OR(G5="",G5&gt;=DATE(2028,2,1))),H5*(1+Assumptions!$C$7)^3,0)</f>
        <v/>
      </c>
      <c r="AU5" s="289">
        <f>IF(AND(F5&lt;=DATE(2028,3,1),OR(G5="",G5&gt;=DATE(2028,3,1))),H5*(1+Assumptions!$C$7)^3,0)</f>
        <v/>
      </c>
      <c r="AV5" s="289">
        <f>IF(AND(F5&lt;=DATE(2028,4,1),OR(G5="",G5&gt;=DATE(2028,4,1))),H5*(1+Assumptions!$C$7)^3,0)</f>
        <v/>
      </c>
      <c r="AW5" s="289">
        <f>IF(AND(F5&lt;=DATE(2028,5,1),OR(G5="",G5&gt;=DATE(2028,5,1))),H5*(1+Assumptions!$C$7)^3,0)</f>
        <v/>
      </c>
      <c r="AX5" s="289">
        <f>IF(AND(F5&lt;=DATE(2028,6,1),OR(G5="",G5&gt;=DATE(2028,6,1))),H5*(1+Assumptions!$C$7)^3,0)</f>
        <v/>
      </c>
      <c r="AY5" s="289">
        <f>IF(AND(F5&lt;=DATE(2028,7,1),OR(G5="",G5&gt;=DATE(2028,7,1))),H5*(1+Assumptions!$C$7)^3,0)</f>
        <v/>
      </c>
      <c r="AZ5" s="289">
        <f>IF(AND(F5&lt;=DATE(2028,8,1),OR(G5="",G5&gt;=DATE(2028,8,1))),H5*(1+Assumptions!$C$7)^3,0)</f>
        <v/>
      </c>
      <c r="BA5" s="289">
        <f>IF(AND(F5&lt;=DATE(2028,9,1),OR(G5="",G5&gt;=DATE(2028,9,1))),H5*(1+Assumptions!$C$7)^3,0)</f>
        <v/>
      </c>
      <c r="BB5" s="289">
        <f>IF(AND(F5&lt;=DATE(2028,10,1),OR(G5="",G5&gt;=DATE(2028,10,1))),H5*(1+Assumptions!$C$7)^3,0)</f>
        <v/>
      </c>
      <c r="BC5" s="289">
        <f>IF(AND(F5&lt;=DATE(2028,11,1),OR(G5="",G5&gt;=DATE(2028,11,1))),H5*(1+Assumptions!$C$7)^3,0)</f>
        <v/>
      </c>
      <c r="BD5" s="289">
        <f>IF(AND(F5&lt;=DATE(2028,12,1),OR(G5="",G5&gt;=DATE(2028,12,1))),H5*(1+Assumptions!$C$7)^3,0)</f>
        <v/>
      </c>
      <c r="BE5" s="289">
        <f>IF(AND(F5&lt;=DATE(2029,1,1),OR(G5="",G5&gt;=DATE(2029,1,1))),H5*(1+Assumptions!$C$7)^4,0)</f>
        <v/>
      </c>
      <c r="BF5" s="289">
        <f>IF(AND(F5&lt;=DATE(2029,2,1),OR(G5="",G5&gt;=DATE(2029,2,1))),H5*(1+Assumptions!$C$7)^4,0)</f>
        <v/>
      </c>
      <c r="BG5" s="289">
        <f>IF(AND(F5&lt;=DATE(2029,3,1),OR(G5="",G5&gt;=DATE(2029,3,1))),H5*(1+Assumptions!$C$7)^4,0)</f>
        <v/>
      </c>
      <c r="BH5" s="289">
        <f>IF(AND(F5&lt;=DATE(2029,4,1),OR(G5="",G5&gt;=DATE(2029,4,1))),H5*(1+Assumptions!$C$7)^4,0)</f>
        <v/>
      </c>
      <c r="BI5" s="289">
        <f>IF(AND(F5&lt;=DATE(2029,5,1),OR(G5="",G5&gt;=DATE(2029,5,1))),H5*(1+Assumptions!$C$7)^4,0)</f>
        <v/>
      </c>
      <c r="BJ5" s="289">
        <f>IF(AND(F5&lt;=DATE(2029,6,1),OR(G5="",G5&gt;=DATE(2029,6,1))),H5*(1+Assumptions!$C$7)^4,0)</f>
        <v/>
      </c>
      <c r="BK5" s="289">
        <f>IF(AND(F5&lt;=DATE(2029,7,1),OR(G5="",G5&gt;=DATE(2029,7,1))),H5*(1+Assumptions!$C$7)^4,0)</f>
        <v/>
      </c>
      <c r="BL5" s="289">
        <f>IF(AND(F5&lt;=DATE(2029,8,1),OR(G5="",G5&gt;=DATE(2029,8,1))),H5*(1+Assumptions!$C$7)^4,0)</f>
        <v/>
      </c>
      <c r="BM5" s="289">
        <f>IF(AND(F5&lt;=DATE(2029,9,1),OR(G5="",G5&gt;=DATE(2029,9,1))),H5*(1+Assumptions!$C$7)^4,0)</f>
        <v/>
      </c>
      <c r="BN5" s="289">
        <f>IF(AND(F5&lt;=DATE(2029,10,1),OR(G5="",G5&gt;=DATE(2029,10,1))),H5*(1+Assumptions!$C$7)^4,0)</f>
        <v/>
      </c>
      <c r="BO5" s="289">
        <f>IF(AND(F5&lt;=DATE(2029,11,1),OR(G5="",G5&gt;=DATE(2029,11,1))),H5*(1+Assumptions!$C$7)^4,0)</f>
        <v/>
      </c>
      <c r="BP5" s="289">
        <f>IF(AND(F5&lt;=DATE(2029,12,1),OR(G5="",G5&gt;=DATE(2029,12,1))),H5*(1+Assumptions!$C$7)^4,0)</f>
        <v/>
      </c>
      <c r="BQ5" s="226" t="n"/>
      <c r="BR5" s="40" t="inlineStr">
        <is>
          <t>paid this month if started and not yet left; +8% each calendar year</t>
        </is>
      </c>
      <c r="BS5" s="226" t="n"/>
      <c r="BT5" s="226" t="n"/>
    </row>
    <row r="6">
      <c r="A6" s="296" t="n">
        <v>4</v>
      </c>
      <c r="B6" s="284" t="inlineStr">
        <is>
          <t>R&amp;D Engineer</t>
        </is>
      </c>
      <c r="C6" s="285" t="inlineStr">
        <is>
          <t>R&amp;D</t>
        </is>
      </c>
      <c r="D6" s="285" t="inlineStr">
        <is>
          <t>R&amp;D Engineer</t>
        </is>
      </c>
      <c r="E6" s="297" t="inlineStr">
        <is>
          <t>Current</t>
        </is>
      </c>
      <c r="F6" s="318" t="n">
        <v>45901</v>
      </c>
      <c r="G6" s="298" t="n"/>
      <c r="H6" s="288" t="n">
        <v>6000</v>
      </c>
      <c r="I6" s="299">
        <f>IF(AND(F6&lt;=DATE(2025,1,1),OR(G6="",G6&gt;=DATE(2025,1,1))),H6*(1+Assumptions!$C$7)^0,0)</f>
        <v/>
      </c>
      <c r="J6" s="299">
        <f>IF(AND(F6&lt;=DATE(2025,2,1),OR(G6="",G6&gt;=DATE(2025,2,1))),H6*(1+Assumptions!$C$7)^0,0)</f>
        <v/>
      </c>
      <c r="K6" s="299">
        <f>IF(AND(F6&lt;=DATE(2025,3,1),OR(G6="",G6&gt;=DATE(2025,3,1))),H6*(1+Assumptions!$C$7)^0,0)</f>
        <v/>
      </c>
      <c r="L6" s="299">
        <f>IF(AND(F6&lt;=DATE(2025,4,1),OR(G6="",G6&gt;=DATE(2025,4,1))),H6*(1+Assumptions!$C$7)^0,0)</f>
        <v/>
      </c>
      <c r="M6" s="299">
        <f>IF(AND(F6&lt;=DATE(2025,5,1),OR(G6="",G6&gt;=DATE(2025,5,1))),H6*(1+Assumptions!$C$7)^0,0)</f>
        <v/>
      </c>
      <c r="N6" s="299">
        <f>IF(AND(F6&lt;=DATE(2025,6,1),OR(G6="",G6&gt;=DATE(2025,6,1))),H6*(1+Assumptions!$C$7)^0,0)</f>
        <v/>
      </c>
      <c r="O6" s="299">
        <f>IF(AND(F6&lt;=DATE(2025,7,1),OR(G6="",G6&gt;=DATE(2025,7,1))),H6*(1+Assumptions!$C$7)^0,0)</f>
        <v/>
      </c>
      <c r="P6" s="299">
        <f>IF(AND(F6&lt;=DATE(2025,8,1),OR(G6="",G6&gt;=DATE(2025,8,1))),H6*(1+Assumptions!$C$7)^0,0)</f>
        <v/>
      </c>
      <c r="Q6" s="299">
        <f>IF(AND(F6&lt;=DATE(2025,9,1),OR(G6="",G6&gt;=DATE(2025,9,1))),H6*(1+Assumptions!$C$7)^0,0)</f>
        <v/>
      </c>
      <c r="R6" s="299">
        <f>IF(AND(F6&lt;=DATE(2025,10,1),OR(G6="",G6&gt;=DATE(2025,10,1))),H6*(1+Assumptions!$C$7)^0,0)</f>
        <v/>
      </c>
      <c r="S6" s="299">
        <f>IF(AND(F6&lt;=DATE(2025,11,1),OR(G6="",G6&gt;=DATE(2025,11,1))),H6*(1+Assumptions!$C$7)^0,0)</f>
        <v/>
      </c>
      <c r="T6" s="299">
        <f>IF(AND(F6&lt;=DATE(2025,12,1),OR(G6="",G6&gt;=DATE(2025,12,1))),H6*(1+Assumptions!$C$7)^0,0)</f>
        <v/>
      </c>
      <c r="U6" s="299">
        <f>IF(AND(F6&lt;=DATE(2026,1,1),OR(G6="",G6&gt;=DATE(2026,1,1))),H6*(1+Assumptions!$C$7)^1,0)</f>
        <v/>
      </c>
      <c r="V6" s="299">
        <f>IF(AND(F6&lt;=DATE(2026,2,1),OR(G6="",G6&gt;=DATE(2026,2,1))),H6*(1+Assumptions!$C$7)^1,0)</f>
        <v/>
      </c>
      <c r="W6" s="299">
        <f>IF(AND(F6&lt;=DATE(2026,3,1),OR(G6="",G6&gt;=DATE(2026,3,1))),H6*(1+Assumptions!$C$7)^1,0)</f>
        <v/>
      </c>
      <c r="X6" s="299">
        <f>IF(AND(F6&lt;=DATE(2026,4,1),OR(G6="",G6&gt;=DATE(2026,4,1))),H6*(1+Assumptions!$C$7)^1,0)</f>
        <v/>
      </c>
      <c r="Y6" s="299">
        <f>IF(AND(F6&lt;=DATE(2026,5,1),OR(G6="",G6&gt;=DATE(2026,5,1))),H6*(1+Assumptions!$C$7)^1,0)</f>
        <v/>
      </c>
      <c r="Z6" s="299">
        <f>IF(AND(F6&lt;=DATE(2026,6,1),OR(G6="",G6&gt;=DATE(2026,6,1))),H6*(1+Assumptions!$C$7)^1,0)</f>
        <v/>
      </c>
      <c r="AA6" s="299">
        <f>IF(AND(F6&lt;=DATE(2026,7,1),OR(G6="",G6&gt;=DATE(2026,7,1))),H6*(1+Assumptions!$C$7)^1,0)</f>
        <v/>
      </c>
      <c r="AB6" s="299">
        <f>IF(AND(F6&lt;=DATE(2026,8,1),OR(G6="",G6&gt;=DATE(2026,8,1))),H6*(1+Assumptions!$C$7)^1,0)</f>
        <v/>
      </c>
      <c r="AC6" s="299">
        <f>IF(AND(F6&lt;=DATE(2026,9,1),OR(G6="",G6&gt;=DATE(2026,9,1))),H6*(1+Assumptions!$C$7)^1,0)</f>
        <v/>
      </c>
      <c r="AD6" s="299">
        <f>IF(AND(F6&lt;=DATE(2026,10,1),OR(G6="",G6&gt;=DATE(2026,10,1))),H6*(1+Assumptions!$C$7)^1,0)</f>
        <v/>
      </c>
      <c r="AE6" s="299">
        <f>IF(AND(F6&lt;=DATE(2026,11,1),OR(G6="",G6&gt;=DATE(2026,11,1))),H6*(1+Assumptions!$C$7)^1,0)</f>
        <v/>
      </c>
      <c r="AF6" s="299">
        <f>IF(AND(F6&lt;=DATE(2026,12,1),OR(G6="",G6&gt;=DATE(2026,12,1))),H6*(1+Assumptions!$C$7)^1,0)</f>
        <v/>
      </c>
      <c r="AG6" s="299">
        <f>IF(AND(F6&lt;=DATE(2027,1,1),OR(G6="",G6&gt;=DATE(2027,1,1))),H6*(1+Assumptions!$C$7)^2,0)</f>
        <v/>
      </c>
      <c r="AH6" s="299">
        <f>IF(AND(F6&lt;=DATE(2027,2,1),OR(G6="",G6&gt;=DATE(2027,2,1))),H6*(1+Assumptions!$C$7)^2,0)</f>
        <v/>
      </c>
      <c r="AI6" s="299">
        <f>IF(AND(F6&lt;=DATE(2027,3,1),OR(G6="",G6&gt;=DATE(2027,3,1))),H6*(1+Assumptions!$C$7)^2,0)</f>
        <v/>
      </c>
      <c r="AJ6" s="299">
        <f>IF(AND(F6&lt;=DATE(2027,4,1),OR(G6="",G6&gt;=DATE(2027,4,1))),H6*(1+Assumptions!$C$7)^2,0)</f>
        <v/>
      </c>
      <c r="AK6" s="299">
        <f>IF(AND(F6&lt;=DATE(2027,5,1),OR(G6="",G6&gt;=DATE(2027,5,1))),H6*(1+Assumptions!$C$7)^2,0)</f>
        <v/>
      </c>
      <c r="AL6" s="299">
        <f>IF(AND(F6&lt;=DATE(2027,6,1),OR(G6="",G6&gt;=DATE(2027,6,1))),H6*(1+Assumptions!$C$7)^2,0)</f>
        <v/>
      </c>
      <c r="AM6" s="299">
        <f>IF(AND(F6&lt;=DATE(2027,7,1),OR(G6="",G6&gt;=DATE(2027,7,1))),H6*(1+Assumptions!$C$7)^2,0)</f>
        <v/>
      </c>
      <c r="AN6" s="299">
        <f>IF(AND(F6&lt;=DATE(2027,8,1),OR(G6="",G6&gt;=DATE(2027,8,1))),H6*(1+Assumptions!$C$7)^2,0)</f>
        <v/>
      </c>
      <c r="AO6" s="299">
        <f>IF(AND(F6&lt;=DATE(2027,9,1),OR(G6="",G6&gt;=DATE(2027,9,1))),H6*(1+Assumptions!$C$7)^2,0)</f>
        <v/>
      </c>
      <c r="AP6" s="299">
        <f>IF(AND(F6&lt;=DATE(2027,10,1),OR(G6="",G6&gt;=DATE(2027,10,1))),H6*(1+Assumptions!$C$7)^2,0)</f>
        <v/>
      </c>
      <c r="AQ6" s="299">
        <f>IF(AND(F6&lt;=DATE(2027,11,1),OR(G6="",G6&gt;=DATE(2027,11,1))),H6*(1+Assumptions!$C$7)^2,0)</f>
        <v/>
      </c>
      <c r="AR6" s="299">
        <f>IF(AND(F6&lt;=DATE(2027,12,1),OR(G6="",G6&gt;=DATE(2027,12,1))),H6*(1+Assumptions!$C$7)^2,0)</f>
        <v/>
      </c>
      <c r="AS6" s="299">
        <f>IF(AND(F6&lt;=DATE(2028,1,1),OR(G6="",G6&gt;=DATE(2028,1,1))),H6*(1+Assumptions!$C$7)^3,0)</f>
        <v/>
      </c>
      <c r="AT6" s="299">
        <f>IF(AND(F6&lt;=DATE(2028,2,1),OR(G6="",G6&gt;=DATE(2028,2,1))),H6*(1+Assumptions!$C$7)^3,0)</f>
        <v/>
      </c>
      <c r="AU6" s="299">
        <f>IF(AND(F6&lt;=DATE(2028,3,1),OR(G6="",G6&gt;=DATE(2028,3,1))),H6*(1+Assumptions!$C$7)^3,0)</f>
        <v/>
      </c>
      <c r="AV6" s="299">
        <f>IF(AND(F6&lt;=DATE(2028,4,1),OR(G6="",G6&gt;=DATE(2028,4,1))),H6*(1+Assumptions!$C$7)^3,0)</f>
        <v/>
      </c>
      <c r="AW6" s="299">
        <f>IF(AND(F6&lt;=DATE(2028,5,1),OR(G6="",G6&gt;=DATE(2028,5,1))),H6*(1+Assumptions!$C$7)^3,0)</f>
        <v/>
      </c>
      <c r="AX6" s="299">
        <f>IF(AND(F6&lt;=DATE(2028,6,1),OR(G6="",G6&gt;=DATE(2028,6,1))),H6*(1+Assumptions!$C$7)^3,0)</f>
        <v/>
      </c>
      <c r="AY6" s="299">
        <f>IF(AND(F6&lt;=DATE(2028,7,1),OR(G6="",G6&gt;=DATE(2028,7,1))),H6*(1+Assumptions!$C$7)^3,0)</f>
        <v/>
      </c>
      <c r="AZ6" s="299">
        <f>IF(AND(F6&lt;=DATE(2028,8,1),OR(G6="",G6&gt;=DATE(2028,8,1))),H6*(1+Assumptions!$C$7)^3,0)</f>
        <v/>
      </c>
      <c r="BA6" s="299">
        <f>IF(AND(F6&lt;=DATE(2028,9,1),OR(G6="",G6&gt;=DATE(2028,9,1))),H6*(1+Assumptions!$C$7)^3,0)</f>
        <v/>
      </c>
      <c r="BB6" s="299">
        <f>IF(AND(F6&lt;=DATE(2028,10,1),OR(G6="",G6&gt;=DATE(2028,10,1))),H6*(1+Assumptions!$C$7)^3,0)</f>
        <v/>
      </c>
      <c r="BC6" s="299">
        <f>IF(AND(F6&lt;=DATE(2028,11,1),OR(G6="",G6&gt;=DATE(2028,11,1))),H6*(1+Assumptions!$C$7)^3,0)</f>
        <v/>
      </c>
      <c r="BD6" s="299">
        <f>IF(AND(F6&lt;=DATE(2028,12,1),OR(G6="",G6&gt;=DATE(2028,12,1))),H6*(1+Assumptions!$C$7)^3,0)</f>
        <v/>
      </c>
      <c r="BE6" s="299">
        <f>IF(AND(F6&lt;=DATE(2029,1,1),OR(G6="",G6&gt;=DATE(2029,1,1))),H6*(1+Assumptions!$C$7)^4,0)</f>
        <v/>
      </c>
      <c r="BF6" s="299">
        <f>IF(AND(F6&lt;=DATE(2029,2,1),OR(G6="",G6&gt;=DATE(2029,2,1))),H6*(1+Assumptions!$C$7)^4,0)</f>
        <v/>
      </c>
      <c r="BG6" s="299">
        <f>IF(AND(F6&lt;=DATE(2029,3,1),OR(G6="",G6&gt;=DATE(2029,3,1))),H6*(1+Assumptions!$C$7)^4,0)</f>
        <v/>
      </c>
      <c r="BH6" s="299">
        <f>IF(AND(F6&lt;=DATE(2029,4,1),OR(G6="",G6&gt;=DATE(2029,4,1))),H6*(1+Assumptions!$C$7)^4,0)</f>
        <v/>
      </c>
      <c r="BI6" s="299">
        <f>IF(AND(F6&lt;=DATE(2029,5,1),OR(G6="",G6&gt;=DATE(2029,5,1))),H6*(1+Assumptions!$C$7)^4,0)</f>
        <v/>
      </c>
      <c r="BJ6" s="299">
        <f>IF(AND(F6&lt;=DATE(2029,6,1),OR(G6="",G6&gt;=DATE(2029,6,1))),H6*(1+Assumptions!$C$7)^4,0)</f>
        <v/>
      </c>
      <c r="BK6" s="299">
        <f>IF(AND(F6&lt;=DATE(2029,7,1),OR(G6="",G6&gt;=DATE(2029,7,1))),H6*(1+Assumptions!$C$7)^4,0)</f>
        <v/>
      </c>
      <c r="BL6" s="299">
        <f>IF(AND(F6&lt;=DATE(2029,8,1),OR(G6="",G6&gt;=DATE(2029,8,1))),H6*(1+Assumptions!$C$7)^4,0)</f>
        <v/>
      </c>
      <c r="BM6" s="299">
        <f>IF(AND(F6&lt;=DATE(2029,9,1),OR(G6="",G6&gt;=DATE(2029,9,1))),H6*(1+Assumptions!$C$7)^4,0)</f>
        <v/>
      </c>
      <c r="BN6" s="299">
        <f>IF(AND(F6&lt;=DATE(2029,10,1),OR(G6="",G6&gt;=DATE(2029,10,1))),H6*(1+Assumptions!$C$7)^4,0)</f>
        <v/>
      </c>
      <c r="BO6" s="299">
        <f>IF(AND(F6&lt;=DATE(2029,11,1),OR(G6="",G6&gt;=DATE(2029,11,1))),H6*(1+Assumptions!$C$7)^4,0)</f>
        <v/>
      </c>
      <c r="BP6" s="299">
        <f>IF(AND(F6&lt;=DATE(2029,12,1),OR(G6="",G6&gt;=DATE(2029,12,1))),H6*(1+Assumptions!$C$7)^4,0)</f>
        <v/>
      </c>
      <c r="BQ6" s="226" t="n"/>
      <c r="BR6" s="40" t="inlineStr">
        <is>
          <t>paid this month if started and not yet left; +8% each calendar year</t>
        </is>
      </c>
      <c r="BS6" s="226" t="n"/>
      <c r="BT6" s="226" t="n"/>
    </row>
    <row r="7">
      <c r="A7" s="309" t="n">
        <v>5</v>
      </c>
      <c r="B7" s="312" t="inlineStr">
        <is>
          <t>Firmware Engineer</t>
        </is>
      </c>
      <c r="C7" s="23" t="inlineStr">
        <is>
          <t>R&amp;D</t>
        </is>
      </c>
      <c r="D7" s="23" t="inlineStr">
        <is>
          <t>R&amp;D Engineer</t>
        </is>
      </c>
      <c r="E7" s="310" t="inlineStr">
        <is>
          <t>Current</t>
        </is>
      </c>
      <c r="F7" s="318" t="n">
        <v>45901</v>
      </c>
      <c r="G7" s="311" t="n"/>
      <c r="H7" s="288" t="n">
        <v>7000</v>
      </c>
      <c r="I7" s="289">
        <f>IF(AND(F7&lt;=DATE(2025,1,1),OR(G7="",G7&gt;=DATE(2025,1,1))),H7*(1+Assumptions!$C$7)^0,0)</f>
        <v/>
      </c>
      <c r="J7" s="289">
        <f>IF(AND(F7&lt;=DATE(2025,2,1),OR(G7="",G7&gt;=DATE(2025,2,1))),H7*(1+Assumptions!$C$7)^0,0)</f>
        <v/>
      </c>
      <c r="K7" s="289">
        <f>IF(AND(F7&lt;=DATE(2025,3,1),OR(G7="",G7&gt;=DATE(2025,3,1))),H7*(1+Assumptions!$C$7)^0,0)</f>
        <v/>
      </c>
      <c r="L7" s="289">
        <f>IF(AND(F7&lt;=DATE(2025,4,1),OR(G7="",G7&gt;=DATE(2025,4,1))),H7*(1+Assumptions!$C$7)^0,0)</f>
        <v/>
      </c>
      <c r="M7" s="289">
        <f>IF(AND(F7&lt;=DATE(2025,5,1),OR(G7="",G7&gt;=DATE(2025,5,1))),H7*(1+Assumptions!$C$7)^0,0)</f>
        <v/>
      </c>
      <c r="N7" s="289">
        <f>IF(AND(F7&lt;=DATE(2025,6,1),OR(G7="",G7&gt;=DATE(2025,6,1))),H7*(1+Assumptions!$C$7)^0,0)</f>
        <v/>
      </c>
      <c r="O7" s="289">
        <f>IF(AND(F7&lt;=DATE(2025,7,1),OR(G7="",G7&gt;=DATE(2025,7,1))),H7*(1+Assumptions!$C$7)^0,0)</f>
        <v/>
      </c>
      <c r="P7" s="289">
        <f>IF(AND(F7&lt;=DATE(2025,8,1),OR(G7="",G7&gt;=DATE(2025,8,1))),H7*(1+Assumptions!$C$7)^0,0)</f>
        <v/>
      </c>
      <c r="Q7" s="289">
        <f>IF(AND(F7&lt;=DATE(2025,9,1),OR(G7="",G7&gt;=DATE(2025,9,1))),H7*(1+Assumptions!$C$7)^0,0)</f>
        <v/>
      </c>
      <c r="R7" s="289">
        <f>IF(AND(F7&lt;=DATE(2025,10,1),OR(G7="",G7&gt;=DATE(2025,10,1))),H7*(1+Assumptions!$C$7)^0,0)</f>
        <v/>
      </c>
      <c r="S7" s="289">
        <f>IF(AND(F7&lt;=DATE(2025,11,1),OR(G7="",G7&gt;=DATE(2025,11,1))),H7*(1+Assumptions!$C$7)^0,0)</f>
        <v/>
      </c>
      <c r="T7" s="289">
        <f>IF(AND(F7&lt;=DATE(2025,12,1),OR(G7="",G7&gt;=DATE(2025,12,1))),H7*(1+Assumptions!$C$7)^0,0)</f>
        <v/>
      </c>
      <c r="U7" s="289">
        <f>IF(AND(F7&lt;=DATE(2026,1,1),OR(G7="",G7&gt;=DATE(2026,1,1))),H7*(1+Assumptions!$C$7)^1,0)</f>
        <v/>
      </c>
      <c r="V7" s="289">
        <f>IF(AND(F7&lt;=DATE(2026,2,1),OR(G7="",G7&gt;=DATE(2026,2,1))),H7*(1+Assumptions!$C$7)^1,0)</f>
        <v/>
      </c>
      <c r="W7" s="289">
        <f>IF(AND(F7&lt;=DATE(2026,3,1),OR(G7="",G7&gt;=DATE(2026,3,1))),H7*(1+Assumptions!$C$7)^1,0)</f>
        <v/>
      </c>
      <c r="X7" s="289">
        <f>IF(AND(F7&lt;=DATE(2026,4,1),OR(G7="",G7&gt;=DATE(2026,4,1))),H7*(1+Assumptions!$C$7)^1,0)</f>
        <v/>
      </c>
      <c r="Y7" s="289">
        <f>IF(AND(F7&lt;=DATE(2026,5,1),OR(G7="",G7&gt;=DATE(2026,5,1))),H7*(1+Assumptions!$C$7)^1,0)</f>
        <v/>
      </c>
      <c r="Z7" s="289">
        <f>IF(AND(F7&lt;=DATE(2026,6,1),OR(G7="",G7&gt;=DATE(2026,6,1))),H7*(1+Assumptions!$C$7)^1,0)</f>
        <v/>
      </c>
      <c r="AA7" s="289">
        <f>IF(AND(F7&lt;=DATE(2026,7,1),OR(G7="",G7&gt;=DATE(2026,7,1))),H7*(1+Assumptions!$C$7)^1,0)</f>
        <v/>
      </c>
      <c r="AB7" s="289">
        <f>IF(AND(F7&lt;=DATE(2026,8,1),OR(G7="",G7&gt;=DATE(2026,8,1))),H7*(1+Assumptions!$C$7)^1,0)</f>
        <v/>
      </c>
      <c r="AC7" s="289">
        <f>IF(AND(F7&lt;=DATE(2026,9,1),OR(G7="",G7&gt;=DATE(2026,9,1))),H7*(1+Assumptions!$C$7)^1,0)</f>
        <v/>
      </c>
      <c r="AD7" s="289">
        <f>IF(AND(F7&lt;=DATE(2026,10,1),OR(G7="",G7&gt;=DATE(2026,10,1))),H7*(1+Assumptions!$C$7)^1,0)</f>
        <v/>
      </c>
      <c r="AE7" s="289">
        <f>IF(AND(F7&lt;=DATE(2026,11,1),OR(G7="",G7&gt;=DATE(2026,11,1))),H7*(1+Assumptions!$C$7)^1,0)</f>
        <v/>
      </c>
      <c r="AF7" s="289">
        <f>IF(AND(F7&lt;=DATE(2026,12,1),OR(G7="",G7&gt;=DATE(2026,12,1))),H7*(1+Assumptions!$C$7)^1,0)</f>
        <v/>
      </c>
      <c r="AG7" s="289">
        <f>IF(AND(F7&lt;=DATE(2027,1,1),OR(G7="",G7&gt;=DATE(2027,1,1))),H7*(1+Assumptions!$C$7)^2,0)</f>
        <v/>
      </c>
      <c r="AH7" s="289">
        <f>IF(AND(F7&lt;=DATE(2027,2,1),OR(G7="",G7&gt;=DATE(2027,2,1))),H7*(1+Assumptions!$C$7)^2,0)</f>
        <v/>
      </c>
      <c r="AI7" s="289">
        <f>IF(AND(F7&lt;=DATE(2027,3,1),OR(G7="",G7&gt;=DATE(2027,3,1))),H7*(1+Assumptions!$C$7)^2,0)</f>
        <v/>
      </c>
      <c r="AJ7" s="289">
        <f>IF(AND(F7&lt;=DATE(2027,4,1),OR(G7="",G7&gt;=DATE(2027,4,1))),H7*(1+Assumptions!$C$7)^2,0)</f>
        <v/>
      </c>
      <c r="AK7" s="289">
        <f>IF(AND(F7&lt;=DATE(2027,5,1),OR(G7="",G7&gt;=DATE(2027,5,1))),H7*(1+Assumptions!$C$7)^2,0)</f>
        <v/>
      </c>
      <c r="AL7" s="289">
        <f>IF(AND(F7&lt;=DATE(2027,6,1),OR(G7="",G7&gt;=DATE(2027,6,1))),H7*(1+Assumptions!$C$7)^2,0)</f>
        <v/>
      </c>
      <c r="AM7" s="289">
        <f>IF(AND(F7&lt;=DATE(2027,7,1),OR(G7="",G7&gt;=DATE(2027,7,1))),H7*(1+Assumptions!$C$7)^2,0)</f>
        <v/>
      </c>
      <c r="AN7" s="289">
        <f>IF(AND(F7&lt;=DATE(2027,8,1),OR(G7="",G7&gt;=DATE(2027,8,1))),H7*(1+Assumptions!$C$7)^2,0)</f>
        <v/>
      </c>
      <c r="AO7" s="289">
        <f>IF(AND(F7&lt;=DATE(2027,9,1),OR(G7="",G7&gt;=DATE(2027,9,1))),H7*(1+Assumptions!$C$7)^2,0)</f>
        <v/>
      </c>
      <c r="AP7" s="289">
        <f>IF(AND(F7&lt;=DATE(2027,10,1),OR(G7="",G7&gt;=DATE(2027,10,1))),H7*(1+Assumptions!$C$7)^2,0)</f>
        <v/>
      </c>
      <c r="AQ7" s="289">
        <f>IF(AND(F7&lt;=DATE(2027,11,1),OR(G7="",G7&gt;=DATE(2027,11,1))),H7*(1+Assumptions!$C$7)^2,0)</f>
        <v/>
      </c>
      <c r="AR7" s="289">
        <f>IF(AND(F7&lt;=DATE(2027,12,1),OR(G7="",G7&gt;=DATE(2027,12,1))),H7*(1+Assumptions!$C$7)^2,0)</f>
        <v/>
      </c>
      <c r="AS7" s="289">
        <f>IF(AND(F7&lt;=DATE(2028,1,1),OR(G7="",G7&gt;=DATE(2028,1,1))),H7*(1+Assumptions!$C$7)^3,0)</f>
        <v/>
      </c>
      <c r="AT7" s="289">
        <f>IF(AND(F7&lt;=DATE(2028,2,1),OR(G7="",G7&gt;=DATE(2028,2,1))),H7*(1+Assumptions!$C$7)^3,0)</f>
        <v/>
      </c>
      <c r="AU7" s="289">
        <f>IF(AND(F7&lt;=DATE(2028,3,1),OR(G7="",G7&gt;=DATE(2028,3,1))),H7*(1+Assumptions!$C$7)^3,0)</f>
        <v/>
      </c>
      <c r="AV7" s="289">
        <f>IF(AND(F7&lt;=DATE(2028,4,1),OR(G7="",G7&gt;=DATE(2028,4,1))),H7*(1+Assumptions!$C$7)^3,0)</f>
        <v/>
      </c>
      <c r="AW7" s="289">
        <f>IF(AND(F7&lt;=DATE(2028,5,1),OR(G7="",G7&gt;=DATE(2028,5,1))),H7*(1+Assumptions!$C$7)^3,0)</f>
        <v/>
      </c>
      <c r="AX7" s="289">
        <f>IF(AND(F7&lt;=DATE(2028,6,1),OR(G7="",G7&gt;=DATE(2028,6,1))),H7*(1+Assumptions!$C$7)^3,0)</f>
        <v/>
      </c>
      <c r="AY7" s="289">
        <f>IF(AND(F7&lt;=DATE(2028,7,1),OR(G7="",G7&gt;=DATE(2028,7,1))),H7*(1+Assumptions!$C$7)^3,0)</f>
        <v/>
      </c>
      <c r="AZ7" s="289">
        <f>IF(AND(F7&lt;=DATE(2028,8,1),OR(G7="",G7&gt;=DATE(2028,8,1))),H7*(1+Assumptions!$C$7)^3,0)</f>
        <v/>
      </c>
      <c r="BA7" s="289">
        <f>IF(AND(F7&lt;=DATE(2028,9,1),OR(G7="",G7&gt;=DATE(2028,9,1))),H7*(1+Assumptions!$C$7)^3,0)</f>
        <v/>
      </c>
      <c r="BB7" s="289">
        <f>IF(AND(F7&lt;=DATE(2028,10,1),OR(G7="",G7&gt;=DATE(2028,10,1))),H7*(1+Assumptions!$C$7)^3,0)</f>
        <v/>
      </c>
      <c r="BC7" s="289">
        <f>IF(AND(F7&lt;=DATE(2028,11,1),OR(G7="",G7&gt;=DATE(2028,11,1))),H7*(1+Assumptions!$C$7)^3,0)</f>
        <v/>
      </c>
      <c r="BD7" s="289">
        <f>IF(AND(F7&lt;=DATE(2028,12,1),OR(G7="",G7&gt;=DATE(2028,12,1))),H7*(1+Assumptions!$C$7)^3,0)</f>
        <v/>
      </c>
      <c r="BE7" s="289">
        <f>IF(AND(F7&lt;=DATE(2029,1,1),OR(G7="",G7&gt;=DATE(2029,1,1))),H7*(1+Assumptions!$C$7)^4,0)</f>
        <v/>
      </c>
      <c r="BF7" s="289">
        <f>IF(AND(F7&lt;=DATE(2029,2,1),OR(G7="",G7&gt;=DATE(2029,2,1))),H7*(1+Assumptions!$C$7)^4,0)</f>
        <v/>
      </c>
      <c r="BG7" s="289">
        <f>IF(AND(F7&lt;=DATE(2029,3,1),OR(G7="",G7&gt;=DATE(2029,3,1))),H7*(1+Assumptions!$C$7)^4,0)</f>
        <v/>
      </c>
      <c r="BH7" s="289">
        <f>IF(AND(F7&lt;=DATE(2029,4,1),OR(G7="",G7&gt;=DATE(2029,4,1))),H7*(1+Assumptions!$C$7)^4,0)</f>
        <v/>
      </c>
      <c r="BI7" s="289">
        <f>IF(AND(F7&lt;=DATE(2029,5,1),OR(G7="",G7&gt;=DATE(2029,5,1))),H7*(1+Assumptions!$C$7)^4,0)</f>
        <v/>
      </c>
      <c r="BJ7" s="289">
        <f>IF(AND(F7&lt;=DATE(2029,6,1),OR(G7="",G7&gt;=DATE(2029,6,1))),H7*(1+Assumptions!$C$7)^4,0)</f>
        <v/>
      </c>
      <c r="BK7" s="289">
        <f>IF(AND(F7&lt;=DATE(2029,7,1),OR(G7="",G7&gt;=DATE(2029,7,1))),H7*(1+Assumptions!$C$7)^4,0)</f>
        <v/>
      </c>
      <c r="BL7" s="289">
        <f>IF(AND(F7&lt;=DATE(2029,8,1),OR(G7="",G7&gt;=DATE(2029,8,1))),H7*(1+Assumptions!$C$7)^4,0)</f>
        <v/>
      </c>
      <c r="BM7" s="289">
        <f>IF(AND(F7&lt;=DATE(2029,9,1),OR(G7="",G7&gt;=DATE(2029,9,1))),H7*(1+Assumptions!$C$7)^4,0)</f>
        <v/>
      </c>
      <c r="BN7" s="289">
        <f>IF(AND(F7&lt;=DATE(2029,10,1),OR(G7="",G7&gt;=DATE(2029,10,1))),H7*(1+Assumptions!$C$7)^4,0)</f>
        <v/>
      </c>
      <c r="BO7" s="289">
        <f>IF(AND(F7&lt;=DATE(2029,11,1),OR(G7="",G7&gt;=DATE(2029,11,1))),H7*(1+Assumptions!$C$7)^4,0)</f>
        <v/>
      </c>
      <c r="BP7" s="289">
        <f>IF(AND(F7&lt;=DATE(2029,12,1),OR(G7="",G7&gt;=DATE(2029,12,1))),H7*(1+Assumptions!$C$7)^4,0)</f>
        <v/>
      </c>
      <c r="BQ7" s="226" t="n"/>
      <c r="BR7" s="40" t="inlineStr">
        <is>
          <t>paid this month if started and not yet left; +8% each calendar year</t>
        </is>
      </c>
      <c r="BS7" s="226" t="n"/>
      <c r="BT7" s="226" t="n"/>
    </row>
    <row r="8">
      <c r="A8" s="296" t="n">
        <v>6</v>
      </c>
      <c r="B8" s="284" t="inlineStr">
        <is>
          <t>Mechanical Engineer</t>
        </is>
      </c>
      <c r="C8" s="285" t="inlineStr">
        <is>
          <t>R&amp;D</t>
        </is>
      </c>
      <c r="D8" s="285" t="inlineStr">
        <is>
          <t>R&amp;D Engineer</t>
        </is>
      </c>
      <c r="E8" s="297" t="inlineStr">
        <is>
          <t>Current</t>
        </is>
      </c>
      <c r="F8" s="318" t="n">
        <v>45901</v>
      </c>
      <c r="G8" s="298" t="n"/>
      <c r="H8" s="288" t="n">
        <v>5500</v>
      </c>
      <c r="I8" s="299">
        <f>IF(AND(F8&lt;=DATE(2025,1,1),OR(G8="",G8&gt;=DATE(2025,1,1))),H8*(1+Assumptions!$C$7)^0,0)</f>
        <v/>
      </c>
      <c r="J8" s="299">
        <f>IF(AND(F8&lt;=DATE(2025,2,1),OR(G8="",G8&gt;=DATE(2025,2,1))),H8*(1+Assumptions!$C$7)^0,0)</f>
        <v/>
      </c>
      <c r="K8" s="299">
        <f>IF(AND(F8&lt;=DATE(2025,3,1),OR(G8="",G8&gt;=DATE(2025,3,1))),H8*(1+Assumptions!$C$7)^0,0)</f>
        <v/>
      </c>
      <c r="L8" s="299">
        <f>IF(AND(F8&lt;=DATE(2025,4,1),OR(G8="",G8&gt;=DATE(2025,4,1))),H8*(1+Assumptions!$C$7)^0,0)</f>
        <v/>
      </c>
      <c r="M8" s="299">
        <f>IF(AND(F8&lt;=DATE(2025,5,1),OR(G8="",G8&gt;=DATE(2025,5,1))),H8*(1+Assumptions!$C$7)^0,0)</f>
        <v/>
      </c>
      <c r="N8" s="299">
        <f>IF(AND(F8&lt;=DATE(2025,6,1),OR(G8="",G8&gt;=DATE(2025,6,1))),H8*(1+Assumptions!$C$7)^0,0)</f>
        <v/>
      </c>
      <c r="O8" s="299">
        <f>IF(AND(F8&lt;=DATE(2025,7,1),OR(G8="",G8&gt;=DATE(2025,7,1))),H8*(1+Assumptions!$C$7)^0,0)</f>
        <v/>
      </c>
      <c r="P8" s="299">
        <f>IF(AND(F8&lt;=DATE(2025,8,1),OR(G8="",G8&gt;=DATE(2025,8,1))),H8*(1+Assumptions!$C$7)^0,0)</f>
        <v/>
      </c>
      <c r="Q8" s="299">
        <f>IF(AND(F8&lt;=DATE(2025,9,1),OR(G8="",G8&gt;=DATE(2025,9,1))),H8*(1+Assumptions!$C$7)^0,0)</f>
        <v/>
      </c>
      <c r="R8" s="299">
        <f>IF(AND(F8&lt;=DATE(2025,10,1),OR(G8="",G8&gt;=DATE(2025,10,1))),H8*(1+Assumptions!$C$7)^0,0)</f>
        <v/>
      </c>
      <c r="S8" s="299">
        <f>IF(AND(F8&lt;=DATE(2025,11,1),OR(G8="",G8&gt;=DATE(2025,11,1))),H8*(1+Assumptions!$C$7)^0,0)</f>
        <v/>
      </c>
      <c r="T8" s="299">
        <f>IF(AND(F8&lt;=DATE(2025,12,1),OR(G8="",G8&gt;=DATE(2025,12,1))),H8*(1+Assumptions!$C$7)^0,0)</f>
        <v/>
      </c>
      <c r="U8" s="299">
        <f>IF(AND(F8&lt;=DATE(2026,1,1),OR(G8="",G8&gt;=DATE(2026,1,1))),H8*(1+Assumptions!$C$7)^1,0)</f>
        <v/>
      </c>
      <c r="V8" s="299">
        <f>IF(AND(F8&lt;=DATE(2026,2,1),OR(G8="",G8&gt;=DATE(2026,2,1))),H8*(1+Assumptions!$C$7)^1,0)</f>
        <v/>
      </c>
      <c r="W8" s="299">
        <f>IF(AND(F8&lt;=DATE(2026,3,1),OR(G8="",G8&gt;=DATE(2026,3,1))),H8*(1+Assumptions!$C$7)^1,0)</f>
        <v/>
      </c>
      <c r="X8" s="299">
        <f>IF(AND(F8&lt;=DATE(2026,4,1),OR(G8="",G8&gt;=DATE(2026,4,1))),H8*(1+Assumptions!$C$7)^1,0)</f>
        <v/>
      </c>
      <c r="Y8" s="299">
        <f>IF(AND(F8&lt;=DATE(2026,5,1),OR(G8="",G8&gt;=DATE(2026,5,1))),H8*(1+Assumptions!$C$7)^1,0)</f>
        <v/>
      </c>
      <c r="Z8" s="299">
        <f>IF(AND(F8&lt;=DATE(2026,6,1),OR(G8="",G8&gt;=DATE(2026,6,1))),H8*(1+Assumptions!$C$7)^1,0)</f>
        <v/>
      </c>
      <c r="AA8" s="299">
        <f>IF(AND(F8&lt;=DATE(2026,7,1),OR(G8="",G8&gt;=DATE(2026,7,1))),H8*(1+Assumptions!$C$7)^1,0)</f>
        <v/>
      </c>
      <c r="AB8" s="299">
        <f>IF(AND(F8&lt;=DATE(2026,8,1),OR(G8="",G8&gt;=DATE(2026,8,1))),H8*(1+Assumptions!$C$7)^1,0)</f>
        <v/>
      </c>
      <c r="AC8" s="299">
        <f>IF(AND(F8&lt;=DATE(2026,9,1),OR(G8="",G8&gt;=DATE(2026,9,1))),H8*(1+Assumptions!$C$7)^1,0)</f>
        <v/>
      </c>
      <c r="AD8" s="299">
        <f>IF(AND(F8&lt;=DATE(2026,10,1),OR(G8="",G8&gt;=DATE(2026,10,1))),H8*(1+Assumptions!$C$7)^1,0)</f>
        <v/>
      </c>
      <c r="AE8" s="299">
        <f>IF(AND(F8&lt;=DATE(2026,11,1),OR(G8="",G8&gt;=DATE(2026,11,1))),H8*(1+Assumptions!$C$7)^1,0)</f>
        <v/>
      </c>
      <c r="AF8" s="299">
        <f>IF(AND(F8&lt;=DATE(2026,12,1),OR(G8="",G8&gt;=DATE(2026,12,1))),H8*(1+Assumptions!$C$7)^1,0)</f>
        <v/>
      </c>
      <c r="AG8" s="299">
        <f>IF(AND(F8&lt;=DATE(2027,1,1),OR(G8="",G8&gt;=DATE(2027,1,1))),H8*(1+Assumptions!$C$7)^2,0)</f>
        <v/>
      </c>
      <c r="AH8" s="299">
        <f>IF(AND(F8&lt;=DATE(2027,2,1),OR(G8="",G8&gt;=DATE(2027,2,1))),H8*(1+Assumptions!$C$7)^2,0)</f>
        <v/>
      </c>
      <c r="AI8" s="299">
        <f>IF(AND(F8&lt;=DATE(2027,3,1),OR(G8="",G8&gt;=DATE(2027,3,1))),H8*(1+Assumptions!$C$7)^2,0)</f>
        <v/>
      </c>
      <c r="AJ8" s="299">
        <f>IF(AND(F8&lt;=DATE(2027,4,1),OR(G8="",G8&gt;=DATE(2027,4,1))),H8*(1+Assumptions!$C$7)^2,0)</f>
        <v/>
      </c>
      <c r="AK8" s="299">
        <f>IF(AND(F8&lt;=DATE(2027,5,1),OR(G8="",G8&gt;=DATE(2027,5,1))),H8*(1+Assumptions!$C$7)^2,0)</f>
        <v/>
      </c>
      <c r="AL8" s="299">
        <f>IF(AND(F8&lt;=DATE(2027,6,1),OR(G8="",G8&gt;=DATE(2027,6,1))),H8*(1+Assumptions!$C$7)^2,0)</f>
        <v/>
      </c>
      <c r="AM8" s="299">
        <f>IF(AND(F8&lt;=DATE(2027,7,1),OR(G8="",G8&gt;=DATE(2027,7,1))),H8*(1+Assumptions!$C$7)^2,0)</f>
        <v/>
      </c>
      <c r="AN8" s="299">
        <f>IF(AND(F8&lt;=DATE(2027,8,1),OR(G8="",G8&gt;=DATE(2027,8,1))),H8*(1+Assumptions!$C$7)^2,0)</f>
        <v/>
      </c>
      <c r="AO8" s="299">
        <f>IF(AND(F8&lt;=DATE(2027,9,1),OR(G8="",G8&gt;=DATE(2027,9,1))),H8*(1+Assumptions!$C$7)^2,0)</f>
        <v/>
      </c>
      <c r="AP8" s="299">
        <f>IF(AND(F8&lt;=DATE(2027,10,1),OR(G8="",G8&gt;=DATE(2027,10,1))),H8*(1+Assumptions!$C$7)^2,0)</f>
        <v/>
      </c>
      <c r="AQ8" s="299">
        <f>IF(AND(F8&lt;=DATE(2027,11,1),OR(G8="",G8&gt;=DATE(2027,11,1))),H8*(1+Assumptions!$C$7)^2,0)</f>
        <v/>
      </c>
      <c r="AR8" s="299">
        <f>IF(AND(F8&lt;=DATE(2027,12,1),OR(G8="",G8&gt;=DATE(2027,12,1))),H8*(1+Assumptions!$C$7)^2,0)</f>
        <v/>
      </c>
      <c r="AS8" s="299">
        <f>IF(AND(F8&lt;=DATE(2028,1,1),OR(G8="",G8&gt;=DATE(2028,1,1))),H8*(1+Assumptions!$C$7)^3,0)</f>
        <v/>
      </c>
      <c r="AT8" s="299">
        <f>IF(AND(F8&lt;=DATE(2028,2,1),OR(G8="",G8&gt;=DATE(2028,2,1))),H8*(1+Assumptions!$C$7)^3,0)</f>
        <v/>
      </c>
      <c r="AU8" s="299">
        <f>IF(AND(F8&lt;=DATE(2028,3,1),OR(G8="",G8&gt;=DATE(2028,3,1))),H8*(1+Assumptions!$C$7)^3,0)</f>
        <v/>
      </c>
      <c r="AV8" s="299">
        <f>IF(AND(F8&lt;=DATE(2028,4,1),OR(G8="",G8&gt;=DATE(2028,4,1))),H8*(1+Assumptions!$C$7)^3,0)</f>
        <v/>
      </c>
      <c r="AW8" s="299">
        <f>IF(AND(F8&lt;=DATE(2028,5,1),OR(G8="",G8&gt;=DATE(2028,5,1))),H8*(1+Assumptions!$C$7)^3,0)</f>
        <v/>
      </c>
      <c r="AX8" s="299">
        <f>IF(AND(F8&lt;=DATE(2028,6,1),OR(G8="",G8&gt;=DATE(2028,6,1))),H8*(1+Assumptions!$C$7)^3,0)</f>
        <v/>
      </c>
      <c r="AY8" s="299">
        <f>IF(AND(F8&lt;=DATE(2028,7,1),OR(G8="",G8&gt;=DATE(2028,7,1))),H8*(1+Assumptions!$C$7)^3,0)</f>
        <v/>
      </c>
      <c r="AZ8" s="299">
        <f>IF(AND(F8&lt;=DATE(2028,8,1),OR(G8="",G8&gt;=DATE(2028,8,1))),H8*(1+Assumptions!$C$7)^3,0)</f>
        <v/>
      </c>
      <c r="BA8" s="299">
        <f>IF(AND(F8&lt;=DATE(2028,9,1),OR(G8="",G8&gt;=DATE(2028,9,1))),H8*(1+Assumptions!$C$7)^3,0)</f>
        <v/>
      </c>
      <c r="BB8" s="299">
        <f>IF(AND(F8&lt;=DATE(2028,10,1),OR(G8="",G8&gt;=DATE(2028,10,1))),H8*(1+Assumptions!$C$7)^3,0)</f>
        <v/>
      </c>
      <c r="BC8" s="299">
        <f>IF(AND(F8&lt;=DATE(2028,11,1),OR(G8="",G8&gt;=DATE(2028,11,1))),H8*(1+Assumptions!$C$7)^3,0)</f>
        <v/>
      </c>
      <c r="BD8" s="299">
        <f>IF(AND(F8&lt;=DATE(2028,12,1),OR(G8="",G8&gt;=DATE(2028,12,1))),H8*(1+Assumptions!$C$7)^3,0)</f>
        <v/>
      </c>
      <c r="BE8" s="299">
        <f>IF(AND(F8&lt;=DATE(2029,1,1),OR(G8="",G8&gt;=DATE(2029,1,1))),H8*(1+Assumptions!$C$7)^4,0)</f>
        <v/>
      </c>
      <c r="BF8" s="299">
        <f>IF(AND(F8&lt;=DATE(2029,2,1),OR(G8="",G8&gt;=DATE(2029,2,1))),H8*(1+Assumptions!$C$7)^4,0)</f>
        <v/>
      </c>
      <c r="BG8" s="299">
        <f>IF(AND(F8&lt;=DATE(2029,3,1),OR(G8="",G8&gt;=DATE(2029,3,1))),H8*(1+Assumptions!$C$7)^4,0)</f>
        <v/>
      </c>
      <c r="BH8" s="299">
        <f>IF(AND(F8&lt;=DATE(2029,4,1),OR(G8="",G8&gt;=DATE(2029,4,1))),H8*(1+Assumptions!$C$7)^4,0)</f>
        <v/>
      </c>
      <c r="BI8" s="299">
        <f>IF(AND(F8&lt;=DATE(2029,5,1),OR(G8="",G8&gt;=DATE(2029,5,1))),H8*(1+Assumptions!$C$7)^4,0)</f>
        <v/>
      </c>
      <c r="BJ8" s="299">
        <f>IF(AND(F8&lt;=DATE(2029,6,1),OR(G8="",G8&gt;=DATE(2029,6,1))),H8*(1+Assumptions!$C$7)^4,0)</f>
        <v/>
      </c>
      <c r="BK8" s="299">
        <f>IF(AND(F8&lt;=DATE(2029,7,1),OR(G8="",G8&gt;=DATE(2029,7,1))),H8*(1+Assumptions!$C$7)^4,0)</f>
        <v/>
      </c>
      <c r="BL8" s="299">
        <f>IF(AND(F8&lt;=DATE(2029,8,1),OR(G8="",G8&gt;=DATE(2029,8,1))),H8*(1+Assumptions!$C$7)^4,0)</f>
        <v/>
      </c>
      <c r="BM8" s="299">
        <f>IF(AND(F8&lt;=DATE(2029,9,1),OR(G8="",G8&gt;=DATE(2029,9,1))),H8*(1+Assumptions!$C$7)^4,0)</f>
        <v/>
      </c>
      <c r="BN8" s="299">
        <f>IF(AND(F8&lt;=DATE(2029,10,1),OR(G8="",G8&gt;=DATE(2029,10,1))),H8*(1+Assumptions!$C$7)^4,0)</f>
        <v/>
      </c>
      <c r="BO8" s="299">
        <f>IF(AND(F8&lt;=DATE(2029,11,1),OR(G8="",G8&gt;=DATE(2029,11,1))),H8*(1+Assumptions!$C$7)^4,0)</f>
        <v/>
      </c>
      <c r="BP8" s="299">
        <f>IF(AND(F8&lt;=DATE(2029,12,1),OR(G8="",G8&gt;=DATE(2029,12,1))),H8*(1+Assumptions!$C$7)^4,0)</f>
        <v/>
      </c>
      <c r="BQ8" s="226" t="n"/>
      <c r="BR8" s="40" t="inlineStr">
        <is>
          <t>paid this month if started and not yet left; +8% each calendar year</t>
        </is>
      </c>
      <c r="BS8" s="226" t="n"/>
      <c r="BT8" s="226" t="n"/>
    </row>
    <row r="9">
      <c r="A9" s="309" t="n">
        <v>7</v>
      </c>
      <c r="B9" s="312" t="inlineStr">
        <is>
          <t>Electrical Engineer</t>
        </is>
      </c>
      <c r="C9" s="23" t="inlineStr">
        <is>
          <t>R&amp;D</t>
        </is>
      </c>
      <c r="D9" s="23" t="inlineStr">
        <is>
          <t>R&amp;D Engineer</t>
        </is>
      </c>
      <c r="E9" s="310" t="inlineStr">
        <is>
          <t>Current</t>
        </is>
      </c>
      <c r="F9" s="318" t="n">
        <v>45901</v>
      </c>
      <c r="G9" s="311" t="n"/>
      <c r="H9" s="288" t="n">
        <v>5500</v>
      </c>
      <c r="I9" s="289">
        <f>IF(AND(F9&lt;=DATE(2025,1,1),OR(G9="",G9&gt;=DATE(2025,1,1))),H9*(1+Assumptions!$C$7)^0,0)</f>
        <v/>
      </c>
      <c r="J9" s="289">
        <f>IF(AND(F9&lt;=DATE(2025,2,1),OR(G9="",G9&gt;=DATE(2025,2,1))),H9*(1+Assumptions!$C$7)^0,0)</f>
        <v/>
      </c>
      <c r="K9" s="289">
        <f>IF(AND(F9&lt;=DATE(2025,3,1),OR(G9="",G9&gt;=DATE(2025,3,1))),H9*(1+Assumptions!$C$7)^0,0)</f>
        <v/>
      </c>
      <c r="L9" s="289">
        <f>IF(AND(F9&lt;=DATE(2025,4,1),OR(G9="",G9&gt;=DATE(2025,4,1))),H9*(1+Assumptions!$C$7)^0,0)</f>
        <v/>
      </c>
      <c r="M9" s="289">
        <f>IF(AND(F9&lt;=DATE(2025,5,1),OR(G9="",G9&gt;=DATE(2025,5,1))),H9*(1+Assumptions!$C$7)^0,0)</f>
        <v/>
      </c>
      <c r="N9" s="289">
        <f>IF(AND(F9&lt;=DATE(2025,6,1),OR(G9="",G9&gt;=DATE(2025,6,1))),H9*(1+Assumptions!$C$7)^0,0)</f>
        <v/>
      </c>
      <c r="O9" s="289">
        <f>IF(AND(F9&lt;=DATE(2025,7,1),OR(G9="",G9&gt;=DATE(2025,7,1))),H9*(1+Assumptions!$C$7)^0,0)</f>
        <v/>
      </c>
      <c r="P9" s="289">
        <f>IF(AND(F9&lt;=DATE(2025,8,1),OR(G9="",G9&gt;=DATE(2025,8,1))),H9*(1+Assumptions!$C$7)^0,0)</f>
        <v/>
      </c>
      <c r="Q9" s="289">
        <f>IF(AND(F9&lt;=DATE(2025,9,1),OR(G9="",G9&gt;=DATE(2025,9,1))),H9*(1+Assumptions!$C$7)^0,0)</f>
        <v/>
      </c>
      <c r="R9" s="289">
        <f>IF(AND(F9&lt;=DATE(2025,10,1),OR(G9="",G9&gt;=DATE(2025,10,1))),H9*(1+Assumptions!$C$7)^0,0)</f>
        <v/>
      </c>
      <c r="S9" s="289">
        <f>IF(AND(F9&lt;=DATE(2025,11,1),OR(G9="",G9&gt;=DATE(2025,11,1))),H9*(1+Assumptions!$C$7)^0,0)</f>
        <v/>
      </c>
      <c r="T9" s="289">
        <f>IF(AND(F9&lt;=DATE(2025,12,1),OR(G9="",G9&gt;=DATE(2025,12,1))),H9*(1+Assumptions!$C$7)^0,0)</f>
        <v/>
      </c>
      <c r="U9" s="289">
        <f>IF(AND(F9&lt;=DATE(2026,1,1),OR(G9="",G9&gt;=DATE(2026,1,1))),H9*(1+Assumptions!$C$7)^1,0)</f>
        <v/>
      </c>
      <c r="V9" s="289">
        <f>IF(AND(F9&lt;=DATE(2026,2,1),OR(G9="",G9&gt;=DATE(2026,2,1))),H9*(1+Assumptions!$C$7)^1,0)</f>
        <v/>
      </c>
      <c r="W9" s="289">
        <f>IF(AND(F9&lt;=DATE(2026,3,1),OR(G9="",G9&gt;=DATE(2026,3,1))),H9*(1+Assumptions!$C$7)^1,0)</f>
        <v/>
      </c>
      <c r="X9" s="289">
        <f>IF(AND(F9&lt;=DATE(2026,4,1),OR(G9="",G9&gt;=DATE(2026,4,1))),H9*(1+Assumptions!$C$7)^1,0)</f>
        <v/>
      </c>
      <c r="Y9" s="289">
        <f>IF(AND(F9&lt;=DATE(2026,5,1),OR(G9="",G9&gt;=DATE(2026,5,1))),H9*(1+Assumptions!$C$7)^1,0)</f>
        <v/>
      </c>
      <c r="Z9" s="289">
        <f>IF(AND(F9&lt;=DATE(2026,6,1),OR(G9="",G9&gt;=DATE(2026,6,1))),H9*(1+Assumptions!$C$7)^1,0)</f>
        <v/>
      </c>
      <c r="AA9" s="289">
        <f>IF(AND(F9&lt;=DATE(2026,7,1),OR(G9="",G9&gt;=DATE(2026,7,1))),H9*(1+Assumptions!$C$7)^1,0)</f>
        <v/>
      </c>
      <c r="AB9" s="289">
        <f>IF(AND(F9&lt;=DATE(2026,8,1),OR(G9="",G9&gt;=DATE(2026,8,1))),H9*(1+Assumptions!$C$7)^1,0)</f>
        <v/>
      </c>
      <c r="AC9" s="289">
        <f>IF(AND(F9&lt;=DATE(2026,9,1),OR(G9="",G9&gt;=DATE(2026,9,1))),H9*(1+Assumptions!$C$7)^1,0)</f>
        <v/>
      </c>
      <c r="AD9" s="289">
        <f>IF(AND(F9&lt;=DATE(2026,10,1),OR(G9="",G9&gt;=DATE(2026,10,1))),H9*(1+Assumptions!$C$7)^1,0)</f>
        <v/>
      </c>
      <c r="AE9" s="289">
        <f>IF(AND(F9&lt;=DATE(2026,11,1),OR(G9="",G9&gt;=DATE(2026,11,1))),H9*(1+Assumptions!$C$7)^1,0)</f>
        <v/>
      </c>
      <c r="AF9" s="289">
        <f>IF(AND(F9&lt;=DATE(2026,12,1),OR(G9="",G9&gt;=DATE(2026,12,1))),H9*(1+Assumptions!$C$7)^1,0)</f>
        <v/>
      </c>
      <c r="AG9" s="289">
        <f>IF(AND(F9&lt;=DATE(2027,1,1),OR(G9="",G9&gt;=DATE(2027,1,1))),H9*(1+Assumptions!$C$7)^2,0)</f>
        <v/>
      </c>
      <c r="AH9" s="289">
        <f>IF(AND(F9&lt;=DATE(2027,2,1),OR(G9="",G9&gt;=DATE(2027,2,1))),H9*(1+Assumptions!$C$7)^2,0)</f>
        <v/>
      </c>
      <c r="AI9" s="289">
        <f>IF(AND(F9&lt;=DATE(2027,3,1),OR(G9="",G9&gt;=DATE(2027,3,1))),H9*(1+Assumptions!$C$7)^2,0)</f>
        <v/>
      </c>
      <c r="AJ9" s="289">
        <f>IF(AND(F9&lt;=DATE(2027,4,1),OR(G9="",G9&gt;=DATE(2027,4,1))),H9*(1+Assumptions!$C$7)^2,0)</f>
        <v/>
      </c>
      <c r="AK9" s="289">
        <f>IF(AND(F9&lt;=DATE(2027,5,1),OR(G9="",G9&gt;=DATE(2027,5,1))),H9*(1+Assumptions!$C$7)^2,0)</f>
        <v/>
      </c>
      <c r="AL9" s="289">
        <f>IF(AND(F9&lt;=DATE(2027,6,1),OR(G9="",G9&gt;=DATE(2027,6,1))),H9*(1+Assumptions!$C$7)^2,0)</f>
        <v/>
      </c>
      <c r="AM9" s="289">
        <f>IF(AND(F9&lt;=DATE(2027,7,1),OR(G9="",G9&gt;=DATE(2027,7,1))),H9*(1+Assumptions!$C$7)^2,0)</f>
        <v/>
      </c>
      <c r="AN9" s="289">
        <f>IF(AND(F9&lt;=DATE(2027,8,1),OR(G9="",G9&gt;=DATE(2027,8,1))),H9*(1+Assumptions!$C$7)^2,0)</f>
        <v/>
      </c>
      <c r="AO9" s="289">
        <f>IF(AND(F9&lt;=DATE(2027,9,1),OR(G9="",G9&gt;=DATE(2027,9,1))),H9*(1+Assumptions!$C$7)^2,0)</f>
        <v/>
      </c>
      <c r="AP9" s="289">
        <f>IF(AND(F9&lt;=DATE(2027,10,1),OR(G9="",G9&gt;=DATE(2027,10,1))),H9*(1+Assumptions!$C$7)^2,0)</f>
        <v/>
      </c>
      <c r="AQ9" s="289">
        <f>IF(AND(F9&lt;=DATE(2027,11,1),OR(G9="",G9&gt;=DATE(2027,11,1))),H9*(1+Assumptions!$C$7)^2,0)</f>
        <v/>
      </c>
      <c r="AR9" s="289">
        <f>IF(AND(F9&lt;=DATE(2027,12,1),OR(G9="",G9&gt;=DATE(2027,12,1))),H9*(1+Assumptions!$C$7)^2,0)</f>
        <v/>
      </c>
      <c r="AS9" s="289">
        <f>IF(AND(F9&lt;=DATE(2028,1,1),OR(G9="",G9&gt;=DATE(2028,1,1))),H9*(1+Assumptions!$C$7)^3,0)</f>
        <v/>
      </c>
      <c r="AT9" s="289">
        <f>IF(AND(F9&lt;=DATE(2028,2,1),OR(G9="",G9&gt;=DATE(2028,2,1))),H9*(1+Assumptions!$C$7)^3,0)</f>
        <v/>
      </c>
      <c r="AU9" s="289">
        <f>IF(AND(F9&lt;=DATE(2028,3,1),OR(G9="",G9&gt;=DATE(2028,3,1))),H9*(1+Assumptions!$C$7)^3,0)</f>
        <v/>
      </c>
      <c r="AV9" s="289">
        <f>IF(AND(F9&lt;=DATE(2028,4,1),OR(G9="",G9&gt;=DATE(2028,4,1))),H9*(1+Assumptions!$C$7)^3,0)</f>
        <v/>
      </c>
      <c r="AW9" s="289">
        <f>IF(AND(F9&lt;=DATE(2028,5,1),OR(G9="",G9&gt;=DATE(2028,5,1))),H9*(1+Assumptions!$C$7)^3,0)</f>
        <v/>
      </c>
      <c r="AX9" s="289">
        <f>IF(AND(F9&lt;=DATE(2028,6,1),OR(G9="",G9&gt;=DATE(2028,6,1))),H9*(1+Assumptions!$C$7)^3,0)</f>
        <v/>
      </c>
      <c r="AY9" s="289">
        <f>IF(AND(F9&lt;=DATE(2028,7,1),OR(G9="",G9&gt;=DATE(2028,7,1))),H9*(1+Assumptions!$C$7)^3,0)</f>
        <v/>
      </c>
      <c r="AZ9" s="289">
        <f>IF(AND(F9&lt;=DATE(2028,8,1),OR(G9="",G9&gt;=DATE(2028,8,1))),H9*(1+Assumptions!$C$7)^3,0)</f>
        <v/>
      </c>
      <c r="BA9" s="289">
        <f>IF(AND(F9&lt;=DATE(2028,9,1),OR(G9="",G9&gt;=DATE(2028,9,1))),H9*(1+Assumptions!$C$7)^3,0)</f>
        <v/>
      </c>
      <c r="BB9" s="289">
        <f>IF(AND(F9&lt;=DATE(2028,10,1),OR(G9="",G9&gt;=DATE(2028,10,1))),H9*(1+Assumptions!$C$7)^3,0)</f>
        <v/>
      </c>
      <c r="BC9" s="289">
        <f>IF(AND(F9&lt;=DATE(2028,11,1),OR(G9="",G9&gt;=DATE(2028,11,1))),H9*(1+Assumptions!$C$7)^3,0)</f>
        <v/>
      </c>
      <c r="BD9" s="289">
        <f>IF(AND(F9&lt;=DATE(2028,12,1),OR(G9="",G9&gt;=DATE(2028,12,1))),H9*(1+Assumptions!$C$7)^3,0)</f>
        <v/>
      </c>
      <c r="BE9" s="289">
        <f>IF(AND(F9&lt;=DATE(2029,1,1),OR(G9="",G9&gt;=DATE(2029,1,1))),H9*(1+Assumptions!$C$7)^4,0)</f>
        <v/>
      </c>
      <c r="BF9" s="289">
        <f>IF(AND(F9&lt;=DATE(2029,2,1),OR(G9="",G9&gt;=DATE(2029,2,1))),H9*(1+Assumptions!$C$7)^4,0)</f>
        <v/>
      </c>
      <c r="BG9" s="289">
        <f>IF(AND(F9&lt;=DATE(2029,3,1),OR(G9="",G9&gt;=DATE(2029,3,1))),H9*(1+Assumptions!$C$7)^4,0)</f>
        <v/>
      </c>
      <c r="BH9" s="289">
        <f>IF(AND(F9&lt;=DATE(2029,4,1),OR(G9="",G9&gt;=DATE(2029,4,1))),H9*(1+Assumptions!$C$7)^4,0)</f>
        <v/>
      </c>
      <c r="BI9" s="289">
        <f>IF(AND(F9&lt;=DATE(2029,5,1),OR(G9="",G9&gt;=DATE(2029,5,1))),H9*(1+Assumptions!$C$7)^4,0)</f>
        <v/>
      </c>
      <c r="BJ9" s="289">
        <f>IF(AND(F9&lt;=DATE(2029,6,1),OR(G9="",G9&gt;=DATE(2029,6,1))),H9*(1+Assumptions!$C$7)^4,0)</f>
        <v/>
      </c>
      <c r="BK9" s="289">
        <f>IF(AND(F9&lt;=DATE(2029,7,1),OR(G9="",G9&gt;=DATE(2029,7,1))),H9*(1+Assumptions!$C$7)^4,0)</f>
        <v/>
      </c>
      <c r="BL9" s="289">
        <f>IF(AND(F9&lt;=DATE(2029,8,1),OR(G9="",G9&gt;=DATE(2029,8,1))),H9*(1+Assumptions!$C$7)^4,0)</f>
        <v/>
      </c>
      <c r="BM9" s="289">
        <f>IF(AND(F9&lt;=DATE(2029,9,1),OR(G9="",G9&gt;=DATE(2029,9,1))),H9*(1+Assumptions!$C$7)^4,0)</f>
        <v/>
      </c>
      <c r="BN9" s="289">
        <f>IF(AND(F9&lt;=DATE(2029,10,1),OR(G9="",G9&gt;=DATE(2029,10,1))),H9*(1+Assumptions!$C$7)^4,0)</f>
        <v/>
      </c>
      <c r="BO9" s="289">
        <f>IF(AND(F9&lt;=DATE(2029,11,1),OR(G9="",G9&gt;=DATE(2029,11,1))),H9*(1+Assumptions!$C$7)^4,0)</f>
        <v/>
      </c>
      <c r="BP9" s="289">
        <f>IF(AND(F9&lt;=DATE(2029,12,1),OR(G9="",G9&gt;=DATE(2029,12,1))),H9*(1+Assumptions!$C$7)^4,0)</f>
        <v/>
      </c>
      <c r="BQ9" s="226" t="n"/>
      <c r="BR9" s="40" t="inlineStr">
        <is>
          <t>paid this month if started and not yet left; +8% each calendar year</t>
        </is>
      </c>
      <c r="BS9" s="226" t="n"/>
      <c r="BT9" s="226" t="n"/>
    </row>
    <row r="10">
      <c r="A10" s="309" t="n">
        <v>11</v>
      </c>
      <c r="B10" s="312" t="inlineStr">
        <is>
          <t>CFO (part time)</t>
        </is>
      </c>
      <c r="C10" s="23" t="inlineStr">
        <is>
          <t>G&amp;A</t>
        </is>
      </c>
      <c r="D10" s="23" t="inlineStr">
        <is>
          <t>CFO</t>
        </is>
      </c>
      <c r="E10" s="310" t="inlineStr">
        <is>
          <t>Current</t>
        </is>
      </c>
      <c r="F10" s="318" t="n">
        <v>45901</v>
      </c>
      <c r="G10" s="318" t="n">
        <v>46266</v>
      </c>
      <c r="H10" s="288" t="n">
        <v>4000</v>
      </c>
      <c r="I10" s="289">
        <f>IF(AND(F10&lt;=DATE(2025,1,1),OR(G10="",G10&gt;=DATE(2025,1,1))),H10*(1+Assumptions!$C$7)^0,0)</f>
        <v/>
      </c>
      <c r="J10" s="289">
        <f>IF(AND(F10&lt;=DATE(2025,2,1),OR(G10="",G10&gt;=DATE(2025,2,1))),H10*(1+Assumptions!$C$7)^0,0)</f>
        <v/>
      </c>
      <c r="K10" s="289">
        <f>IF(AND(F10&lt;=DATE(2025,3,1),OR(G10="",G10&gt;=DATE(2025,3,1))),H10*(1+Assumptions!$C$7)^0,0)</f>
        <v/>
      </c>
      <c r="L10" s="289">
        <f>IF(AND(F10&lt;=DATE(2025,4,1),OR(G10="",G10&gt;=DATE(2025,4,1))),H10*(1+Assumptions!$C$7)^0,0)</f>
        <v/>
      </c>
      <c r="M10" s="289">
        <f>IF(AND(F10&lt;=DATE(2025,5,1),OR(G10="",G10&gt;=DATE(2025,5,1))),H10*(1+Assumptions!$C$7)^0,0)</f>
        <v/>
      </c>
      <c r="N10" s="289">
        <f>IF(AND(F10&lt;=DATE(2025,6,1),OR(G10="",G10&gt;=DATE(2025,6,1))),H10*(1+Assumptions!$C$7)^0,0)</f>
        <v/>
      </c>
      <c r="O10" s="289">
        <f>IF(AND(F10&lt;=DATE(2025,7,1),OR(G10="",G10&gt;=DATE(2025,7,1))),H10*(1+Assumptions!$C$7)^0,0)</f>
        <v/>
      </c>
      <c r="P10" s="289">
        <f>IF(AND(F10&lt;=DATE(2025,8,1),OR(G10="",G10&gt;=DATE(2025,8,1))),H10*(1+Assumptions!$C$7)^0,0)</f>
        <v/>
      </c>
      <c r="Q10" s="289">
        <f>IF(AND(F10&lt;=DATE(2025,9,1),OR(G10="",G10&gt;=DATE(2025,9,1))),H10*(1+Assumptions!$C$7)^0,0)</f>
        <v/>
      </c>
      <c r="R10" s="289">
        <f>IF(AND(F10&lt;=DATE(2025,10,1),OR(G10="",G10&gt;=DATE(2025,10,1))),H10*(1+Assumptions!$C$7)^0,0)</f>
        <v/>
      </c>
      <c r="S10" s="289">
        <f>IF(AND(F10&lt;=DATE(2025,11,1),OR(G10="",G10&gt;=DATE(2025,11,1))),H10*(1+Assumptions!$C$7)^0,0)</f>
        <v/>
      </c>
      <c r="T10" s="289">
        <f>IF(AND(F10&lt;=DATE(2025,12,1),OR(G10="",G10&gt;=DATE(2025,12,1))),H10*(1+Assumptions!$C$7)^0,0)</f>
        <v/>
      </c>
      <c r="U10" s="289">
        <f>IF(AND(F10&lt;=DATE(2026,1,1),OR(G10="",G10&gt;=DATE(2026,1,1))),H10*(1+Assumptions!$C$7)^1,0)</f>
        <v/>
      </c>
      <c r="V10" s="289">
        <f>IF(AND(F10&lt;=DATE(2026,2,1),OR(G10="",G10&gt;=DATE(2026,2,1))),H10*(1+Assumptions!$C$7)^1,0)</f>
        <v/>
      </c>
      <c r="W10" s="289">
        <f>IF(AND(F10&lt;=DATE(2026,3,1),OR(G10="",G10&gt;=DATE(2026,3,1))),H10*(1+Assumptions!$C$7)^1,0)</f>
        <v/>
      </c>
      <c r="X10" s="289">
        <f>IF(AND(F10&lt;=DATE(2026,4,1),OR(G10="",G10&gt;=DATE(2026,4,1))),H10*(1+Assumptions!$C$7)^1,0)</f>
        <v/>
      </c>
      <c r="Y10" s="289">
        <f>IF(AND(F10&lt;=DATE(2026,5,1),OR(G10="",G10&gt;=DATE(2026,5,1))),H10*(1+Assumptions!$C$7)^1,0)</f>
        <v/>
      </c>
      <c r="Z10" s="289">
        <f>IF(AND(F10&lt;=DATE(2026,6,1),OR(G10="",G10&gt;=DATE(2026,6,1))),H10*(1+Assumptions!$C$7)^1,0)</f>
        <v/>
      </c>
      <c r="AA10" s="289">
        <f>IF(AND(F10&lt;=DATE(2026,7,1),OR(G10="",G10&gt;=DATE(2026,7,1))),H10*(1+Assumptions!$C$7)^1,0)</f>
        <v/>
      </c>
      <c r="AB10" s="289">
        <f>IF(AND(F10&lt;=DATE(2026,8,1),OR(G10="",G10&gt;=DATE(2026,8,1))),H10*(1+Assumptions!$C$7)^1,0)</f>
        <v/>
      </c>
      <c r="AC10" s="289">
        <f>IF(AND(F10&lt;=DATE(2026,9,1),OR(G10="",G10&gt;=DATE(2026,9,1))),H10*(1+Assumptions!$C$7)^1,0)</f>
        <v/>
      </c>
      <c r="AD10" s="289">
        <f>IF(AND(F10&lt;=DATE(2026,10,1),OR(G10="",G10&gt;=DATE(2026,10,1))),H10*(1+Assumptions!$C$7)^1,0)</f>
        <v/>
      </c>
      <c r="AE10" s="289">
        <f>IF(AND(F10&lt;=DATE(2026,11,1),OR(G10="",G10&gt;=DATE(2026,11,1))),H10*(1+Assumptions!$C$7)^1,0)</f>
        <v/>
      </c>
      <c r="AF10" s="289">
        <f>IF(AND(F10&lt;=DATE(2026,12,1),OR(G10="",G10&gt;=DATE(2026,12,1))),H10*(1+Assumptions!$C$7)^1,0)</f>
        <v/>
      </c>
      <c r="AG10" s="289">
        <f>IF(AND(F10&lt;=DATE(2027,1,1),OR(G10="",G10&gt;=DATE(2027,1,1))),H10*(1+Assumptions!$C$7)^2,0)</f>
        <v/>
      </c>
      <c r="AH10" s="289">
        <f>IF(AND(F10&lt;=DATE(2027,2,1),OR(G10="",G10&gt;=DATE(2027,2,1))),H10*(1+Assumptions!$C$7)^2,0)</f>
        <v/>
      </c>
      <c r="AI10" s="289">
        <f>IF(AND(F10&lt;=DATE(2027,3,1),OR(G10="",G10&gt;=DATE(2027,3,1))),H10*(1+Assumptions!$C$7)^2,0)</f>
        <v/>
      </c>
      <c r="AJ10" s="289">
        <f>IF(AND(F10&lt;=DATE(2027,4,1),OR(G10="",G10&gt;=DATE(2027,4,1))),H10*(1+Assumptions!$C$7)^2,0)</f>
        <v/>
      </c>
      <c r="AK10" s="289">
        <f>IF(AND(F10&lt;=DATE(2027,5,1),OR(G10="",G10&gt;=DATE(2027,5,1))),H10*(1+Assumptions!$C$7)^2,0)</f>
        <v/>
      </c>
      <c r="AL10" s="289">
        <f>IF(AND(F10&lt;=DATE(2027,6,1),OR(G10="",G10&gt;=DATE(2027,6,1))),H10*(1+Assumptions!$C$7)^2,0)</f>
        <v/>
      </c>
      <c r="AM10" s="289">
        <f>IF(AND(F10&lt;=DATE(2027,7,1),OR(G10="",G10&gt;=DATE(2027,7,1))),H10*(1+Assumptions!$C$7)^2,0)</f>
        <v/>
      </c>
      <c r="AN10" s="289">
        <f>IF(AND(F10&lt;=DATE(2027,8,1),OR(G10="",G10&gt;=DATE(2027,8,1))),H10*(1+Assumptions!$C$7)^2,0)</f>
        <v/>
      </c>
      <c r="AO10" s="289">
        <f>IF(AND(F10&lt;=DATE(2027,9,1),OR(G10="",G10&gt;=DATE(2027,9,1))),H10*(1+Assumptions!$C$7)^2,0)</f>
        <v/>
      </c>
      <c r="AP10" s="289">
        <f>IF(AND(F10&lt;=DATE(2027,10,1),OR(G10="",G10&gt;=DATE(2027,10,1))),H10*(1+Assumptions!$C$7)^2,0)</f>
        <v/>
      </c>
      <c r="AQ10" s="289">
        <f>IF(AND(F10&lt;=DATE(2027,11,1),OR(G10="",G10&gt;=DATE(2027,11,1))),H10*(1+Assumptions!$C$7)^2,0)</f>
        <v/>
      </c>
      <c r="AR10" s="289">
        <f>IF(AND(F10&lt;=DATE(2027,12,1),OR(G10="",G10&gt;=DATE(2027,12,1))),H10*(1+Assumptions!$C$7)^2,0)</f>
        <v/>
      </c>
      <c r="AS10" s="289">
        <f>IF(AND(F10&lt;=DATE(2028,1,1),OR(G10="",G10&gt;=DATE(2028,1,1))),H10*(1+Assumptions!$C$7)^3,0)</f>
        <v/>
      </c>
      <c r="AT10" s="289">
        <f>IF(AND(F10&lt;=DATE(2028,2,1),OR(G10="",G10&gt;=DATE(2028,2,1))),H10*(1+Assumptions!$C$7)^3,0)</f>
        <v/>
      </c>
      <c r="AU10" s="289">
        <f>IF(AND(F10&lt;=DATE(2028,3,1),OR(G10="",G10&gt;=DATE(2028,3,1))),H10*(1+Assumptions!$C$7)^3,0)</f>
        <v/>
      </c>
      <c r="AV10" s="289">
        <f>IF(AND(F10&lt;=DATE(2028,4,1),OR(G10="",G10&gt;=DATE(2028,4,1))),H10*(1+Assumptions!$C$7)^3,0)</f>
        <v/>
      </c>
      <c r="AW10" s="289">
        <f>IF(AND(F10&lt;=DATE(2028,5,1),OR(G10="",G10&gt;=DATE(2028,5,1))),H10*(1+Assumptions!$C$7)^3,0)</f>
        <v/>
      </c>
      <c r="AX10" s="289">
        <f>IF(AND(F10&lt;=DATE(2028,6,1),OR(G10="",G10&gt;=DATE(2028,6,1))),H10*(1+Assumptions!$C$7)^3,0)</f>
        <v/>
      </c>
      <c r="AY10" s="289">
        <f>IF(AND(F10&lt;=DATE(2028,7,1),OR(G10="",G10&gt;=DATE(2028,7,1))),H10*(1+Assumptions!$C$7)^3,0)</f>
        <v/>
      </c>
      <c r="AZ10" s="289">
        <f>IF(AND(F10&lt;=DATE(2028,8,1),OR(G10="",G10&gt;=DATE(2028,8,1))),H10*(1+Assumptions!$C$7)^3,0)</f>
        <v/>
      </c>
      <c r="BA10" s="289">
        <f>IF(AND(F10&lt;=DATE(2028,9,1),OR(G10="",G10&gt;=DATE(2028,9,1))),H10*(1+Assumptions!$C$7)^3,0)</f>
        <v/>
      </c>
      <c r="BB10" s="289">
        <f>IF(AND(F10&lt;=DATE(2028,10,1),OR(G10="",G10&gt;=DATE(2028,10,1))),H10*(1+Assumptions!$C$7)^3,0)</f>
        <v/>
      </c>
      <c r="BC10" s="289">
        <f>IF(AND(F10&lt;=DATE(2028,11,1),OR(G10="",G10&gt;=DATE(2028,11,1))),H10*(1+Assumptions!$C$7)^3,0)</f>
        <v/>
      </c>
      <c r="BD10" s="289">
        <f>IF(AND(F10&lt;=DATE(2028,12,1),OR(G10="",G10&gt;=DATE(2028,12,1))),H10*(1+Assumptions!$C$7)^3,0)</f>
        <v/>
      </c>
      <c r="BE10" s="289">
        <f>IF(AND(F10&lt;=DATE(2029,1,1),OR(G10="",G10&gt;=DATE(2029,1,1))),H10*(1+Assumptions!$C$7)^4,0)</f>
        <v/>
      </c>
      <c r="BF10" s="289">
        <f>IF(AND(F10&lt;=DATE(2029,2,1),OR(G10="",G10&gt;=DATE(2029,2,1))),H10*(1+Assumptions!$C$7)^4,0)</f>
        <v/>
      </c>
      <c r="BG10" s="289">
        <f>IF(AND(F10&lt;=DATE(2029,3,1),OR(G10="",G10&gt;=DATE(2029,3,1))),H10*(1+Assumptions!$C$7)^4,0)</f>
        <v/>
      </c>
      <c r="BH10" s="289">
        <f>IF(AND(F10&lt;=DATE(2029,4,1),OR(G10="",G10&gt;=DATE(2029,4,1))),H10*(1+Assumptions!$C$7)^4,0)</f>
        <v/>
      </c>
      <c r="BI10" s="289">
        <f>IF(AND(F10&lt;=DATE(2029,5,1),OR(G10="",G10&gt;=DATE(2029,5,1))),H10*(1+Assumptions!$C$7)^4,0)</f>
        <v/>
      </c>
      <c r="BJ10" s="289">
        <f>IF(AND(F10&lt;=DATE(2029,6,1),OR(G10="",G10&gt;=DATE(2029,6,1))),H10*(1+Assumptions!$C$7)^4,0)</f>
        <v/>
      </c>
      <c r="BK10" s="289">
        <f>IF(AND(F10&lt;=DATE(2029,7,1),OR(G10="",G10&gt;=DATE(2029,7,1))),H10*(1+Assumptions!$C$7)^4,0)</f>
        <v/>
      </c>
      <c r="BL10" s="289">
        <f>IF(AND(F10&lt;=DATE(2029,8,1),OR(G10="",G10&gt;=DATE(2029,8,1))),H10*(1+Assumptions!$C$7)^4,0)</f>
        <v/>
      </c>
      <c r="BM10" s="289">
        <f>IF(AND(F10&lt;=DATE(2029,9,1),OR(G10="",G10&gt;=DATE(2029,9,1))),H10*(1+Assumptions!$C$7)^4,0)</f>
        <v/>
      </c>
      <c r="BN10" s="289">
        <f>IF(AND(F10&lt;=DATE(2029,10,1),OR(G10="",G10&gt;=DATE(2029,10,1))),H10*(1+Assumptions!$C$7)^4,0)</f>
        <v/>
      </c>
      <c r="BO10" s="289">
        <f>IF(AND(F10&lt;=DATE(2029,11,1),OR(G10="",G10&gt;=DATE(2029,11,1))),H10*(1+Assumptions!$C$7)^4,0)</f>
        <v/>
      </c>
      <c r="BP10" s="289">
        <f>IF(AND(F10&lt;=DATE(2029,12,1),OR(G10="",G10&gt;=DATE(2029,12,1))),H10*(1+Assumptions!$C$7)^4,0)</f>
        <v/>
      </c>
      <c r="BQ10" s="226" t="n"/>
      <c r="BR10" s="40" t="inlineStr">
        <is>
          <t>paid this month if started and not yet left; +8% each calendar year</t>
        </is>
      </c>
      <c r="BS10" s="226" t="n"/>
      <c r="BT10" s="226" t="n"/>
    </row>
    <row r="11">
      <c r="A11" s="296" t="n">
        <v>8</v>
      </c>
      <c r="B11" s="284" t="inlineStr">
        <is>
          <t>CTO</t>
        </is>
      </c>
      <c r="C11" s="285" t="inlineStr">
        <is>
          <t>R&amp;D</t>
        </is>
      </c>
      <c r="D11" s="285" t="inlineStr">
        <is>
          <t>CTO</t>
        </is>
      </c>
      <c r="E11" s="297" t="inlineStr">
        <is>
          <t>Current</t>
        </is>
      </c>
      <c r="F11" s="318" t="n">
        <v>46266</v>
      </c>
      <c r="G11" s="298" t="n"/>
      <c r="H11" s="288" t="n">
        <v>11500</v>
      </c>
      <c r="I11" s="299">
        <f>IF(AND(F11&lt;=DATE(2025,1,1),OR(G11="",G11&gt;=DATE(2025,1,1))),H11*(1+Assumptions!$C$7)^0,0)</f>
        <v/>
      </c>
      <c r="J11" s="299">
        <f>IF(AND(F11&lt;=DATE(2025,2,1),OR(G11="",G11&gt;=DATE(2025,2,1))),H11*(1+Assumptions!$C$7)^0,0)</f>
        <v/>
      </c>
      <c r="K11" s="299">
        <f>IF(AND(F11&lt;=DATE(2025,3,1),OR(G11="",G11&gt;=DATE(2025,3,1))),H11*(1+Assumptions!$C$7)^0,0)</f>
        <v/>
      </c>
      <c r="L11" s="299">
        <f>IF(AND(F11&lt;=DATE(2025,4,1),OR(G11="",G11&gt;=DATE(2025,4,1))),H11*(1+Assumptions!$C$7)^0,0)</f>
        <v/>
      </c>
      <c r="M11" s="299">
        <f>IF(AND(F11&lt;=DATE(2025,5,1),OR(G11="",G11&gt;=DATE(2025,5,1))),H11*(1+Assumptions!$C$7)^0,0)</f>
        <v/>
      </c>
      <c r="N11" s="299">
        <f>IF(AND(F11&lt;=DATE(2025,6,1),OR(G11="",G11&gt;=DATE(2025,6,1))),H11*(1+Assumptions!$C$7)^0,0)</f>
        <v/>
      </c>
      <c r="O11" s="299">
        <f>IF(AND(F11&lt;=DATE(2025,7,1),OR(G11="",G11&gt;=DATE(2025,7,1))),H11*(1+Assumptions!$C$7)^0,0)</f>
        <v/>
      </c>
      <c r="P11" s="299">
        <f>IF(AND(F11&lt;=DATE(2025,8,1),OR(G11="",G11&gt;=DATE(2025,8,1))),H11*(1+Assumptions!$C$7)^0,0)</f>
        <v/>
      </c>
      <c r="Q11" s="299" t="n">
        <v>7500</v>
      </c>
      <c r="R11" s="299" t="n">
        <v>7500</v>
      </c>
      <c r="S11" s="299" t="n">
        <v>7500</v>
      </c>
      <c r="T11" s="299" t="n">
        <v>7500</v>
      </c>
      <c r="U11" s="299" t="n">
        <v>7500</v>
      </c>
      <c r="V11" s="299" t="n">
        <v>7500</v>
      </c>
      <c r="W11" s="299" t="n">
        <v>7500</v>
      </c>
      <c r="X11" s="299" t="n">
        <v>7500</v>
      </c>
      <c r="Y11" s="299" t="n">
        <v>7500</v>
      </c>
      <c r="Z11" s="299" t="n">
        <v>7500</v>
      </c>
      <c r="AA11" s="299" t="n">
        <v>7500</v>
      </c>
      <c r="AB11" s="299" t="n">
        <v>7500</v>
      </c>
      <c r="AC11" s="299">
        <f>IF(AND(F11&lt;=DATE(2026,9,1),OR(G11="",G11&gt;=DATE(2026,9,1))),H11)</f>
        <v/>
      </c>
      <c r="AD11" s="299">
        <f>IF(AND(F11&lt;=DATE(2026,10,1),OR(G11="",G11&gt;=DATE(2026,10,1))),H11*(1+Assumptions!$C$7)^1,0)</f>
        <v/>
      </c>
      <c r="AE11" s="299">
        <f>IF(AND(F11&lt;=DATE(2026,11,1),OR(G11="",G11&gt;=DATE(2026,11,1))),H11*(1+Assumptions!$C$7)^1,0)</f>
        <v/>
      </c>
      <c r="AF11" s="299">
        <f>IF(AND(F11&lt;=DATE(2026,12,1),OR(G11="",G11&gt;=DATE(2026,12,1))),H11*(1+Assumptions!$C$7)^1,0)</f>
        <v/>
      </c>
      <c r="AG11" s="299">
        <f>IF(AND(F11&lt;=DATE(2027,1,1),OR(G11="",G11&gt;=DATE(2027,1,1))),H11*(1+Assumptions!$C$7)^2,0)</f>
        <v/>
      </c>
      <c r="AH11" s="299">
        <f>IF(AND(F11&lt;=DATE(2027,2,1),OR(G11="",G11&gt;=DATE(2027,2,1))),H11*(1+Assumptions!$C$7)^2,0)</f>
        <v/>
      </c>
      <c r="AI11" s="299">
        <f>IF(AND(F11&lt;=DATE(2027,3,1),OR(G11="",G11&gt;=DATE(2027,3,1))),H11*(1+Assumptions!$C$7)^2,0)</f>
        <v/>
      </c>
      <c r="AJ11" s="299">
        <f>IF(AND(F11&lt;=DATE(2027,4,1),OR(G11="",G11&gt;=DATE(2027,4,1))),H11*(1+Assumptions!$C$7)^2,0)</f>
        <v/>
      </c>
      <c r="AK11" s="299">
        <f>IF(AND(F11&lt;=DATE(2027,5,1),OR(G11="",G11&gt;=DATE(2027,5,1))),H11*(1+Assumptions!$C$7)^2,0)</f>
        <v/>
      </c>
      <c r="AL11" s="299">
        <f>IF(AND(F11&lt;=DATE(2027,6,1),OR(G11="",G11&gt;=DATE(2027,6,1))),H11*(1+Assumptions!$C$7)^2,0)</f>
        <v/>
      </c>
      <c r="AM11" s="299">
        <f>IF(AND(F11&lt;=DATE(2027,7,1),OR(G11="",G11&gt;=DATE(2027,7,1))),H11*(1+Assumptions!$C$7)^2,0)</f>
        <v/>
      </c>
      <c r="AN11" s="299">
        <f>IF(AND(F11&lt;=DATE(2027,8,1),OR(G11="",G11&gt;=DATE(2027,8,1))),H11*(1+Assumptions!$C$7)^2,0)</f>
        <v/>
      </c>
      <c r="AO11" s="299">
        <f>IF(AND(F11&lt;=DATE(2027,9,1),OR(G11="",G11&gt;=DATE(2027,9,1))),H11*(1+Assumptions!$C$7)^2,0)</f>
        <v/>
      </c>
      <c r="AP11" s="299">
        <f>IF(AND(F11&lt;=DATE(2027,10,1),OR(G11="",G11&gt;=DATE(2027,10,1))),H11*(1+Assumptions!$C$7)^2,0)</f>
        <v/>
      </c>
      <c r="AQ11" s="299">
        <f>IF(AND(F11&lt;=DATE(2027,11,1),OR(G11="",G11&gt;=DATE(2027,11,1))),H11*(1+Assumptions!$C$7)^2,0)</f>
        <v/>
      </c>
      <c r="AR11" s="299">
        <f>IF(AND(F11&lt;=DATE(2027,12,1),OR(G11="",G11&gt;=DATE(2027,12,1))),H11*(1+Assumptions!$C$7)^2,0)</f>
        <v/>
      </c>
      <c r="AS11" s="299">
        <f>IF(AND(F11&lt;=DATE(2028,1,1),OR(G11="",G11&gt;=DATE(2028,1,1))),H11*(1+Assumptions!$C$7)^3,0)</f>
        <v/>
      </c>
      <c r="AT11" s="299">
        <f>IF(AND(F11&lt;=DATE(2028,2,1),OR(G11="",G11&gt;=DATE(2028,2,1))),H11*(1+Assumptions!$C$7)^3,0)</f>
        <v/>
      </c>
      <c r="AU11" s="299">
        <f>IF(AND(F11&lt;=DATE(2028,3,1),OR(G11="",G11&gt;=DATE(2028,3,1))),H11*(1+Assumptions!$C$7)^3,0)</f>
        <v/>
      </c>
      <c r="AV11" s="299">
        <f>IF(AND(F11&lt;=DATE(2028,4,1),OR(G11="",G11&gt;=DATE(2028,4,1))),H11*(1+Assumptions!$C$7)^3,0)</f>
        <v/>
      </c>
      <c r="AW11" s="299">
        <f>IF(AND(F11&lt;=DATE(2028,5,1),OR(G11="",G11&gt;=DATE(2028,5,1))),H11*(1+Assumptions!$C$7)^3,0)</f>
        <v/>
      </c>
      <c r="AX11" s="299">
        <f>IF(AND(F11&lt;=DATE(2028,6,1),OR(G11="",G11&gt;=DATE(2028,6,1))),H11*(1+Assumptions!$C$7)^3,0)</f>
        <v/>
      </c>
      <c r="AY11" s="299">
        <f>IF(AND(F11&lt;=DATE(2028,7,1),OR(G11="",G11&gt;=DATE(2028,7,1))),H11*(1+Assumptions!$C$7)^3,0)</f>
        <v/>
      </c>
      <c r="AZ11" s="299">
        <f>IF(AND(F11&lt;=DATE(2028,8,1),OR(G11="",G11&gt;=DATE(2028,8,1))),H11*(1+Assumptions!$C$7)^3,0)</f>
        <v/>
      </c>
      <c r="BA11" s="299">
        <f>IF(AND(F11&lt;=DATE(2028,9,1),OR(G11="",G11&gt;=DATE(2028,9,1))),H11*(1+Assumptions!$C$7)^3,0)</f>
        <v/>
      </c>
      <c r="BB11" s="299">
        <f>IF(AND(F11&lt;=DATE(2028,10,1),OR(G11="",G11&gt;=DATE(2028,10,1))),H11*(1+Assumptions!$C$7)^3,0)</f>
        <v/>
      </c>
      <c r="BC11" s="299">
        <f>IF(AND(F11&lt;=DATE(2028,11,1),OR(G11="",G11&gt;=DATE(2028,11,1))),H11*(1+Assumptions!$C$7)^3,0)</f>
        <v/>
      </c>
      <c r="BD11" s="299">
        <f>IF(AND(F11&lt;=DATE(2028,12,1),OR(G11="",G11&gt;=DATE(2028,12,1))),H11*(1+Assumptions!$C$7)^3,0)</f>
        <v/>
      </c>
      <c r="BE11" s="299">
        <f>IF(AND(F11&lt;=DATE(2029,1,1),OR(G11="",G11&gt;=DATE(2029,1,1))),H11*(1+Assumptions!$C$7)^4,0)</f>
        <v/>
      </c>
      <c r="BF11" s="299">
        <f>IF(AND(F11&lt;=DATE(2029,2,1),OR(G11="",G11&gt;=DATE(2029,2,1))),H11*(1+Assumptions!$C$7)^4,0)</f>
        <v/>
      </c>
      <c r="BG11" s="299">
        <f>IF(AND(F11&lt;=DATE(2029,3,1),OR(G11="",G11&gt;=DATE(2029,3,1))),H11*(1+Assumptions!$C$7)^4,0)</f>
        <v/>
      </c>
      <c r="BH11" s="299">
        <f>IF(AND(F11&lt;=DATE(2029,4,1),OR(G11="",G11&gt;=DATE(2029,4,1))),H11*(1+Assumptions!$C$7)^4,0)</f>
        <v/>
      </c>
      <c r="BI11" s="299">
        <f>IF(AND(F11&lt;=DATE(2029,5,1),OR(G11="",G11&gt;=DATE(2029,5,1))),H11*(1+Assumptions!$C$7)^4,0)</f>
        <v/>
      </c>
      <c r="BJ11" s="299">
        <f>IF(AND(F11&lt;=DATE(2029,6,1),OR(G11="",G11&gt;=DATE(2029,6,1))),H11*(1+Assumptions!$C$7)^4,0)</f>
        <v/>
      </c>
      <c r="BK11" s="299">
        <f>IF(AND(F11&lt;=DATE(2029,7,1),OR(G11="",G11&gt;=DATE(2029,7,1))),H11*(1+Assumptions!$C$7)^4,0)</f>
        <v/>
      </c>
      <c r="BL11" s="299">
        <f>IF(AND(F11&lt;=DATE(2029,8,1),OR(G11="",G11&gt;=DATE(2029,8,1))),H11*(1+Assumptions!$C$7)^4,0)</f>
        <v/>
      </c>
      <c r="BM11" s="299">
        <f>IF(AND(F11&lt;=DATE(2029,9,1),OR(G11="",G11&gt;=DATE(2029,9,1))),H11*(1+Assumptions!$C$7)^4,0)</f>
        <v/>
      </c>
      <c r="BN11" s="299">
        <f>IF(AND(F11&lt;=DATE(2029,10,1),OR(G11="",G11&gt;=DATE(2029,10,1))),H11*(1+Assumptions!$C$7)^4,0)</f>
        <v/>
      </c>
      <c r="BO11" s="299">
        <f>IF(AND(F11&lt;=DATE(2029,11,1),OR(G11="",G11&gt;=DATE(2029,11,1))),H11*(1+Assumptions!$C$7)^4,0)</f>
        <v/>
      </c>
      <c r="BP11" s="299">
        <f>IF(AND(F11&lt;=DATE(2029,12,1),OR(G11="",G11&gt;=DATE(2029,12,1))),H11*(1+Assumptions!$C$7)^4,0)</f>
        <v/>
      </c>
      <c r="BQ11" s="226" t="n"/>
      <c r="BR11" s="40" t="inlineStr">
        <is>
          <t>paid this month if started and not yet left; +8% each calendar year</t>
        </is>
      </c>
      <c r="BS11" s="226" t="n"/>
      <c r="BT11" s="226" t="n"/>
    </row>
    <row r="12">
      <c r="A12" s="309" t="n">
        <v>9</v>
      </c>
      <c r="B12" s="312" t="inlineStr">
        <is>
          <t>Head of Growth</t>
        </is>
      </c>
      <c r="C12" s="23" t="inlineStr">
        <is>
          <t>S&amp;M</t>
        </is>
      </c>
      <c r="D12" s="23" t="inlineStr">
        <is>
          <t>Growth</t>
        </is>
      </c>
      <c r="E12" s="310" t="inlineStr">
        <is>
          <t>Current</t>
        </is>
      </c>
      <c r="F12" s="318" t="n">
        <v>46054</v>
      </c>
      <c r="G12" s="313" t="n"/>
      <c r="H12" s="288" t="n">
        <v>10000</v>
      </c>
      <c r="I12" s="289">
        <f>IF(AND(F12&lt;=DATE(2025,1,1),OR(G12="",G12&gt;=DATE(2025,1,1))),H12*(1+Assumptions!$C$7)^0,0)</f>
        <v/>
      </c>
      <c r="J12" s="289">
        <f>IF(AND(F12&lt;=DATE(2025,2,1),OR(G12="",G12&gt;=DATE(2025,2,1))),H12*(1+Assumptions!$C$7)^0,0)</f>
        <v/>
      </c>
      <c r="K12" s="289">
        <f>IF(AND(F12&lt;=DATE(2025,3,1),OR(G12="",G12&gt;=DATE(2025,3,1))),H12*(1+Assumptions!$C$7)^0,0)</f>
        <v/>
      </c>
      <c r="L12" s="289">
        <f>IF(AND(F12&lt;=DATE(2025,4,1),OR(G12="",G12&gt;=DATE(2025,4,1))),H12*(1+Assumptions!$C$7)^0,0)</f>
        <v/>
      </c>
      <c r="M12" s="289">
        <f>IF(AND(F12&lt;=DATE(2025,5,1),OR(G12="",G12&gt;=DATE(2025,5,1))),H12*(1+Assumptions!$C$7)^0,0)</f>
        <v/>
      </c>
      <c r="N12" s="289">
        <f>IF(AND(F12&lt;=DATE(2025,6,1),OR(G12="",G12&gt;=DATE(2025,6,1))),H12*(1+Assumptions!$C$7)^0,0)</f>
        <v/>
      </c>
      <c r="O12" s="289">
        <f>IF(AND(F12&lt;=DATE(2025,7,1),OR(G12="",G12&gt;=DATE(2025,7,1))),H12*(1+Assumptions!$C$7)^0,0)</f>
        <v/>
      </c>
      <c r="P12" s="289">
        <f>IF(AND(F12&lt;=DATE(2025,8,1),OR(G12="",G12&gt;=DATE(2025,8,1))),H12*(1+Assumptions!$C$7)^0,0)</f>
        <v/>
      </c>
      <c r="Q12" s="289">
        <f>IF(AND(F12&lt;=DATE(2025,9,1),OR(G12="",G12&gt;=DATE(2025,9,1))),H12*(1+Assumptions!$C$7)^0,0)</f>
        <v/>
      </c>
      <c r="R12" s="289">
        <f>IF(AND(F12&lt;=DATE(2025,10,1),OR(G12="",G12&gt;=DATE(2025,10,1))),H12*(1+Assumptions!$C$7)^0,0)</f>
        <v/>
      </c>
      <c r="S12" s="289">
        <f>IF(AND(F12&lt;=DATE(2025,11,1),OR(G12="",G12&gt;=DATE(2025,11,1))),H12*(1+Assumptions!$C$7)^0,0)</f>
        <v/>
      </c>
      <c r="T12" s="289">
        <f>IF(AND(F12&lt;=DATE(2025,12,1),OR(G12="",G12&gt;=DATE(2025,12,1))),H12*(1+Assumptions!$C$7)^0,0)</f>
        <v/>
      </c>
      <c r="U12" s="289">
        <f>IF(AND(F12&lt;=DATE(2026,1,1),OR(G12="",G12&gt;=DATE(2026,1,1))),H12*(1+Assumptions!$C$7)^1,0)</f>
        <v/>
      </c>
      <c r="V12" s="289">
        <f>IF(AND(F12&lt;=DATE(2026,2,1),OR(G12="",G12&gt;=DATE(2026,2,1))),H12*(1+Assumptions!$C$7)^1,0)</f>
        <v/>
      </c>
      <c r="W12" s="289">
        <f>IF(AND(F12&lt;=DATE(2026,3,1),OR(G12="",G12&gt;=DATE(2026,3,1))),H12*(1+Assumptions!$C$7)^1,0)</f>
        <v/>
      </c>
      <c r="X12" s="289">
        <f>IF(AND(F12&lt;=DATE(2026,4,1),OR(G12="",G12&gt;=DATE(2026,4,1))),H12*(1+Assumptions!$C$7)^1,0)</f>
        <v/>
      </c>
      <c r="Y12" s="289">
        <f>IF(AND(F12&lt;=DATE(2026,5,1),OR(G12="",G12&gt;=DATE(2026,5,1))),H12*(1+Assumptions!$C$7)^1,0)</f>
        <v/>
      </c>
      <c r="Z12" s="289">
        <f>IF(AND(F12&lt;=DATE(2026,6,1),OR(G12="",G12&gt;=DATE(2026,6,1))),H12*(1+Assumptions!$C$7)^1,0)</f>
        <v/>
      </c>
      <c r="AA12" s="289">
        <f>IF(AND(F12&lt;=DATE(2026,7,1),OR(G12="",G12&gt;=DATE(2026,7,1))),H12*(1+Assumptions!$C$7)^1,0)</f>
        <v/>
      </c>
      <c r="AB12" s="289">
        <f>IF(AND(F12&lt;=DATE(2026,8,1),OR(G12="",G12&gt;=DATE(2026,8,1))),H12*(1+Assumptions!$C$7)^1,0)</f>
        <v/>
      </c>
      <c r="AC12" s="289">
        <f>IF(AND(F12&lt;=DATE(2026,9,1),OR(G12="",G12&gt;=DATE(2026,9,1))),H12*(1+Assumptions!$C$7)^1,0)</f>
        <v/>
      </c>
      <c r="AD12" s="289">
        <f>IF(AND(F12&lt;=DATE(2026,10,1),OR(G12="",G12&gt;=DATE(2026,10,1))),H12*(1+Assumptions!$C$7)^1,0)</f>
        <v/>
      </c>
      <c r="AE12" s="289">
        <f>IF(AND(F12&lt;=DATE(2026,11,1),OR(G12="",G12&gt;=DATE(2026,11,1))),H12*(1+Assumptions!$C$7)^1,0)</f>
        <v/>
      </c>
      <c r="AF12" s="289">
        <f>IF(AND(F12&lt;=DATE(2026,12,1),OR(G12="",G12&gt;=DATE(2026,12,1))),H12*(1+Assumptions!$C$7)^1,0)</f>
        <v/>
      </c>
      <c r="AG12" s="289">
        <f>IF(AND(F12&lt;=DATE(2027,1,1),OR(G12="",G12&gt;=DATE(2027,1,1))),H12*(1+Assumptions!$C$7)^2,0)</f>
        <v/>
      </c>
      <c r="AH12" s="289">
        <f>IF(AND(F12&lt;=DATE(2027,2,1),OR(G12="",G12&gt;=DATE(2027,2,1))),H12*(1+Assumptions!$C$7)^2,0)</f>
        <v/>
      </c>
      <c r="AI12" s="289">
        <f>IF(AND(F12&lt;=DATE(2027,3,1),OR(G12="",G12&gt;=DATE(2027,3,1))),H12*(1+Assumptions!$C$7)^2,0)</f>
        <v/>
      </c>
      <c r="AJ12" s="289">
        <f>IF(AND(F12&lt;=DATE(2027,4,1),OR(G12="",G12&gt;=DATE(2027,4,1))),H12*(1+Assumptions!$C$7)^2,0)</f>
        <v/>
      </c>
      <c r="AK12" s="289">
        <f>IF(AND(F12&lt;=DATE(2027,5,1),OR(G12="",G12&gt;=DATE(2027,5,1))),H12*(1+Assumptions!$C$7)^2,0)</f>
        <v/>
      </c>
      <c r="AL12" s="289">
        <f>IF(AND(F12&lt;=DATE(2027,6,1),OR(G12="",G12&gt;=DATE(2027,6,1))),H12*(1+Assumptions!$C$7)^2,0)</f>
        <v/>
      </c>
      <c r="AM12" s="289">
        <f>IF(AND(F12&lt;=DATE(2027,7,1),OR(G12="",G12&gt;=DATE(2027,7,1))),H12*(1+Assumptions!$C$7)^2,0)</f>
        <v/>
      </c>
      <c r="AN12" s="289">
        <f>IF(AND(F12&lt;=DATE(2027,8,1),OR(G12="",G12&gt;=DATE(2027,8,1))),H12*(1+Assumptions!$C$7)^2,0)</f>
        <v/>
      </c>
      <c r="AO12" s="289">
        <f>IF(AND(F12&lt;=DATE(2027,9,1),OR(G12="",G12&gt;=DATE(2027,9,1))),H12*(1+Assumptions!$C$7)^2,0)</f>
        <v/>
      </c>
      <c r="AP12" s="289">
        <f>IF(AND(F12&lt;=DATE(2027,10,1),OR(G12="",G12&gt;=DATE(2027,10,1))),H12*(1+Assumptions!$C$7)^2,0)</f>
        <v/>
      </c>
      <c r="AQ12" s="289">
        <f>IF(AND(F12&lt;=DATE(2027,11,1),OR(G12="",G12&gt;=DATE(2027,11,1))),H12*(1+Assumptions!$C$7)^2,0)</f>
        <v/>
      </c>
      <c r="AR12" s="289">
        <f>IF(AND(F12&lt;=DATE(2027,12,1),OR(G12="",G12&gt;=DATE(2027,12,1))),H12*(1+Assumptions!$C$7)^2,0)</f>
        <v/>
      </c>
      <c r="AS12" s="289">
        <f>IF(AND(F12&lt;=DATE(2028,1,1),OR(G12="",G12&gt;=DATE(2028,1,1))),H12*(1+Assumptions!$C$7)^3,0)</f>
        <v/>
      </c>
      <c r="AT12" s="289">
        <f>IF(AND(F12&lt;=DATE(2028,2,1),OR(G12="",G12&gt;=DATE(2028,2,1))),H12*(1+Assumptions!$C$7)^3,0)</f>
        <v/>
      </c>
      <c r="AU12" s="289">
        <f>IF(AND(F12&lt;=DATE(2028,3,1),OR(G12="",G12&gt;=DATE(2028,3,1))),H12*(1+Assumptions!$C$7)^3,0)</f>
        <v/>
      </c>
      <c r="AV12" s="289">
        <f>IF(AND(F12&lt;=DATE(2028,4,1),OR(G12="",G12&gt;=DATE(2028,4,1))),H12*(1+Assumptions!$C$7)^3,0)</f>
        <v/>
      </c>
      <c r="AW12" s="289">
        <f>IF(AND(F12&lt;=DATE(2028,5,1),OR(G12="",G12&gt;=DATE(2028,5,1))),H12*(1+Assumptions!$C$7)^3,0)</f>
        <v/>
      </c>
      <c r="AX12" s="289">
        <f>IF(AND(F12&lt;=DATE(2028,6,1),OR(G12="",G12&gt;=DATE(2028,6,1))),H12*(1+Assumptions!$C$7)^3,0)</f>
        <v/>
      </c>
      <c r="AY12" s="289">
        <f>IF(AND(F12&lt;=DATE(2028,7,1),OR(G12="",G12&gt;=DATE(2028,7,1))),H12*(1+Assumptions!$C$7)^3,0)</f>
        <v/>
      </c>
      <c r="AZ12" s="289">
        <f>IF(AND(F12&lt;=DATE(2028,8,1),OR(G12="",G12&gt;=DATE(2028,8,1))),H12*(1+Assumptions!$C$7)^3,0)</f>
        <v/>
      </c>
      <c r="BA12" s="289">
        <f>IF(AND(F12&lt;=DATE(2028,9,1),OR(G12="",G12&gt;=DATE(2028,9,1))),H12*(1+Assumptions!$C$7)^3,0)</f>
        <v/>
      </c>
      <c r="BB12" s="289">
        <f>IF(AND(F12&lt;=DATE(2028,10,1),OR(G12="",G12&gt;=DATE(2028,10,1))),H12*(1+Assumptions!$C$7)^3,0)</f>
        <v/>
      </c>
      <c r="BC12" s="289">
        <f>IF(AND(F12&lt;=DATE(2028,11,1),OR(G12="",G12&gt;=DATE(2028,11,1))),H12*(1+Assumptions!$C$7)^3,0)</f>
        <v/>
      </c>
      <c r="BD12" s="289">
        <f>IF(AND(F12&lt;=DATE(2028,12,1),OR(G12="",G12&gt;=DATE(2028,12,1))),H12*(1+Assumptions!$C$7)^3,0)</f>
        <v/>
      </c>
      <c r="BE12" s="289">
        <f>IF(AND(F12&lt;=DATE(2029,1,1),OR(G12="",G12&gt;=DATE(2029,1,1))),H12*(1+Assumptions!$C$7)^4,0)</f>
        <v/>
      </c>
      <c r="BF12" s="289">
        <f>IF(AND(F12&lt;=DATE(2029,2,1),OR(G12="",G12&gt;=DATE(2029,2,1))),H12*(1+Assumptions!$C$7)^4,0)</f>
        <v/>
      </c>
      <c r="BG12" s="289">
        <f>IF(AND(F12&lt;=DATE(2029,3,1),OR(G12="",G12&gt;=DATE(2029,3,1))),H12*(1+Assumptions!$C$7)^4,0)</f>
        <v/>
      </c>
      <c r="BH12" s="289">
        <f>IF(AND(F12&lt;=DATE(2029,4,1),OR(G12="",G12&gt;=DATE(2029,4,1))),H12*(1+Assumptions!$C$7)^4,0)</f>
        <v/>
      </c>
      <c r="BI12" s="289">
        <f>IF(AND(F12&lt;=DATE(2029,5,1),OR(G12="",G12&gt;=DATE(2029,5,1))),H12*(1+Assumptions!$C$7)^4,0)</f>
        <v/>
      </c>
      <c r="BJ12" s="289">
        <f>IF(AND(F12&lt;=DATE(2029,6,1),OR(G12="",G12&gt;=DATE(2029,6,1))),H12*(1+Assumptions!$C$7)^4,0)</f>
        <v/>
      </c>
      <c r="BK12" s="289">
        <f>IF(AND(F12&lt;=DATE(2029,7,1),OR(G12="",G12&gt;=DATE(2029,7,1))),H12*(1+Assumptions!$C$7)^4,0)</f>
        <v/>
      </c>
      <c r="BL12" s="289">
        <f>IF(AND(F12&lt;=DATE(2029,8,1),OR(G12="",G12&gt;=DATE(2029,8,1))),H12*(1+Assumptions!$C$7)^4,0)</f>
        <v/>
      </c>
      <c r="BM12" s="289">
        <f>IF(AND(F12&lt;=DATE(2029,9,1),OR(G12="",G12&gt;=DATE(2029,9,1))),H12*(1+Assumptions!$C$7)^4,0)</f>
        <v/>
      </c>
      <c r="BN12" s="289">
        <f>IF(AND(F12&lt;=DATE(2029,10,1),OR(G12="",G12&gt;=DATE(2029,10,1))),H12*(1+Assumptions!$C$7)^4,0)</f>
        <v/>
      </c>
      <c r="BO12" s="289">
        <f>IF(AND(F12&lt;=DATE(2029,11,1),OR(G12="",G12&gt;=DATE(2029,11,1))),H12*(1+Assumptions!$C$7)^4,0)</f>
        <v/>
      </c>
      <c r="BP12" s="289">
        <f>IF(AND(F12&lt;=DATE(2029,12,1),OR(G12="",G12&gt;=DATE(2029,12,1))),H12*(1+Assumptions!$C$7)^4,0)</f>
        <v/>
      </c>
      <c r="BQ12" s="226" t="n"/>
      <c r="BR12" s="40" t="inlineStr">
        <is>
          <t>paid this month if started and not yet left; +8% each calendar year</t>
        </is>
      </c>
      <c r="BS12" s="226" t="n"/>
      <c r="BT12" s="226" t="n"/>
    </row>
    <row r="13">
      <c r="A13" s="296" t="n">
        <v>10</v>
      </c>
      <c r="B13" s="284" t="inlineStr">
        <is>
          <t>CEO</t>
        </is>
      </c>
      <c r="C13" s="285" t="inlineStr">
        <is>
          <t>G&amp;A</t>
        </is>
      </c>
      <c r="D13" s="285" t="inlineStr">
        <is>
          <t>CEO</t>
        </is>
      </c>
      <c r="E13" s="297" t="inlineStr">
        <is>
          <t>Current</t>
        </is>
      </c>
      <c r="F13" s="318" t="n">
        <v>46266</v>
      </c>
      <c r="G13" s="298" t="n"/>
      <c r="H13" s="288" t="n">
        <v>11500</v>
      </c>
      <c r="I13" s="299">
        <f>IF(AND(F13&lt;=DATE(2025,1,1),OR(G13="",G13&gt;=DATE(2025,1,1))),H13*(1+Assumptions!$C$7)^0,0)</f>
        <v/>
      </c>
      <c r="J13" s="299">
        <f>IF(AND(F13&lt;=DATE(2025,2,1),OR(G13="",G13&gt;=DATE(2025,2,1))),H13*(1+Assumptions!$C$7)^0,0)</f>
        <v/>
      </c>
      <c r="K13" s="299">
        <f>IF(AND(F13&lt;=DATE(2025,3,1),OR(G13="",G13&gt;=DATE(2025,3,1))),H13*(1+Assumptions!$C$7)^0,0)</f>
        <v/>
      </c>
      <c r="L13" s="299">
        <f>IF(AND(F13&lt;=DATE(2025,4,1),OR(G13="",G13&gt;=DATE(2025,4,1))),H13*(1+Assumptions!$C$7)^0,0)</f>
        <v/>
      </c>
      <c r="M13" s="299">
        <f>IF(AND(F13&lt;=DATE(2025,5,1),OR(G13="",G13&gt;=DATE(2025,5,1))),H13*(1+Assumptions!$C$7)^0,0)</f>
        <v/>
      </c>
      <c r="N13" s="299">
        <f>IF(AND(F13&lt;=DATE(2025,6,1),OR(G13="",G13&gt;=DATE(2025,6,1))),H13*(1+Assumptions!$C$7)^0,0)</f>
        <v/>
      </c>
      <c r="O13" s="299">
        <f>IF(AND(F13&lt;=DATE(2025,7,1),OR(G13="",G13&gt;=DATE(2025,7,1))),H13*(1+Assumptions!$C$7)^0,0)</f>
        <v/>
      </c>
      <c r="P13" s="299">
        <f>IF(AND(F13&lt;=DATE(2025,8,1),OR(G13="",G13&gt;=DATE(2025,8,1))),H13*(1+Assumptions!$C$7)^0,0)</f>
        <v/>
      </c>
      <c r="Q13" s="299" t="n">
        <v>7500</v>
      </c>
      <c r="R13" s="299" t="n">
        <v>7500</v>
      </c>
      <c r="S13" s="299" t="n">
        <v>7500</v>
      </c>
      <c r="T13" s="299" t="n">
        <v>7500</v>
      </c>
      <c r="U13" s="299" t="n">
        <v>7500</v>
      </c>
      <c r="V13" s="299" t="n">
        <v>7500</v>
      </c>
      <c r="W13" s="299" t="n">
        <v>7500</v>
      </c>
      <c r="X13" s="299" t="n">
        <v>7500</v>
      </c>
      <c r="Y13" s="299" t="n">
        <v>7500</v>
      </c>
      <c r="Z13" s="299" t="n">
        <v>7500</v>
      </c>
      <c r="AA13" s="299" t="n">
        <v>7500</v>
      </c>
      <c r="AB13" s="299" t="n">
        <v>7500</v>
      </c>
      <c r="AC13" s="299">
        <f>IF(AND(F13&lt;=DATE(2026,9,1),OR(G13="",G13&gt;=DATE(2026,9,1))),H13*(1+Assumptions!$C$7)^1,0)</f>
        <v/>
      </c>
      <c r="AD13" s="299">
        <f>IF(AND(F13&lt;=DATE(2026,10,1),OR(G13="",G13&gt;=DATE(2026,10,1))),H13*(1+Assumptions!$C$7)^1,0)</f>
        <v/>
      </c>
      <c r="AE13" s="299">
        <f>IF(AND(F13&lt;=DATE(2026,11,1),OR(G13="",G13&gt;=DATE(2026,11,1))),H13*(1+Assumptions!$C$7)^1,0)</f>
        <v/>
      </c>
      <c r="AF13" s="299">
        <f>IF(AND(F13&lt;=DATE(2026,12,1),OR(G13="",G13&gt;=DATE(2026,12,1))),H13*(1+Assumptions!$C$7)^1,0)</f>
        <v/>
      </c>
      <c r="AG13" s="299">
        <f>IF(AND(F13&lt;=DATE(2027,1,1),OR(G13="",G13&gt;=DATE(2027,1,1))),H13*(1+Assumptions!$C$7)^2,0)</f>
        <v/>
      </c>
      <c r="AH13" s="299">
        <f>IF(AND(F13&lt;=DATE(2027,2,1),OR(G13="",G13&gt;=DATE(2027,2,1))),H13*(1+Assumptions!$C$7)^2,0)</f>
        <v/>
      </c>
      <c r="AI13" s="299">
        <f>IF(AND(F13&lt;=DATE(2027,3,1),OR(G13="",G13&gt;=DATE(2027,3,1))),H13*(1+Assumptions!$C$7)^2,0)</f>
        <v/>
      </c>
      <c r="AJ13" s="299">
        <f>IF(AND(F13&lt;=DATE(2027,4,1),OR(G13="",G13&gt;=DATE(2027,4,1))),H13*(1+Assumptions!$C$7)^2,0)</f>
        <v/>
      </c>
      <c r="AK13" s="299">
        <f>IF(AND(F13&lt;=DATE(2027,5,1),OR(G13="",G13&gt;=DATE(2027,5,1))),H13*(1+Assumptions!$C$7)^2,0)</f>
        <v/>
      </c>
      <c r="AL13" s="299">
        <f>IF(AND(F13&lt;=DATE(2027,6,1),OR(G13="",G13&gt;=DATE(2027,6,1))),H13*(1+Assumptions!$C$7)^2,0)</f>
        <v/>
      </c>
      <c r="AM13" s="299">
        <f>IF(AND(F13&lt;=DATE(2027,7,1),OR(G13="",G13&gt;=DATE(2027,7,1))),H13*(1+Assumptions!$C$7)^2,0)</f>
        <v/>
      </c>
      <c r="AN13" s="299">
        <f>IF(AND(F13&lt;=DATE(2027,8,1),OR(G13="",G13&gt;=DATE(2027,8,1))),H13*(1+Assumptions!$C$7)^2,0)</f>
        <v/>
      </c>
      <c r="AO13" s="299">
        <f>IF(AND(F13&lt;=DATE(2027,9,1),OR(G13="",G13&gt;=DATE(2027,9,1))),H13*(1+Assumptions!$C$7)^2,0)</f>
        <v/>
      </c>
      <c r="AP13" s="299">
        <f>IF(AND(F13&lt;=DATE(2027,10,1),OR(G13="",G13&gt;=DATE(2027,10,1))),H13*(1+Assumptions!$C$7)^2,0)</f>
        <v/>
      </c>
      <c r="AQ13" s="299">
        <f>IF(AND(F13&lt;=DATE(2027,11,1),OR(G13="",G13&gt;=DATE(2027,11,1))),H13*(1+Assumptions!$C$7)^2,0)</f>
        <v/>
      </c>
      <c r="AR13" s="299">
        <f>IF(AND(F13&lt;=DATE(2027,12,1),OR(G13="",G13&gt;=DATE(2027,12,1))),H13*(1+Assumptions!$C$7)^2,0)</f>
        <v/>
      </c>
      <c r="AS13" s="299">
        <f>IF(AND(F13&lt;=DATE(2028,1,1),OR(G13="",G13&gt;=DATE(2028,1,1))),H13*(1+Assumptions!$C$7)^3,0)</f>
        <v/>
      </c>
      <c r="AT13" s="299">
        <f>IF(AND(F13&lt;=DATE(2028,2,1),OR(G13="",G13&gt;=DATE(2028,2,1))),H13*(1+Assumptions!$C$7)^3,0)</f>
        <v/>
      </c>
      <c r="AU13" s="299">
        <f>IF(AND(F13&lt;=DATE(2028,3,1),OR(G13="",G13&gt;=DATE(2028,3,1))),H13*(1+Assumptions!$C$7)^3,0)</f>
        <v/>
      </c>
      <c r="AV13" s="299">
        <f>IF(AND(F13&lt;=DATE(2028,4,1),OR(G13="",G13&gt;=DATE(2028,4,1))),H13*(1+Assumptions!$C$7)^3,0)</f>
        <v/>
      </c>
      <c r="AW13" s="299">
        <f>IF(AND(F13&lt;=DATE(2028,5,1),OR(G13="",G13&gt;=DATE(2028,5,1))),H13*(1+Assumptions!$C$7)^3,0)</f>
        <v/>
      </c>
      <c r="AX13" s="299">
        <f>IF(AND(F13&lt;=DATE(2028,6,1),OR(G13="",G13&gt;=DATE(2028,6,1))),H13*(1+Assumptions!$C$7)^3,0)</f>
        <v/>
      </c>
      <c r="AY13" s="299">
        <f>IF(AND(F13&lt;=DATE(2028,7,1),OR(G13="",G13&gt;=DATE(2028,7,1))),H13*(1+Assumptions!$C$7)^3,0)</f>
        <v/>
      </c>
      <c r="AZ13" s="299">
        <f>IF(AND(F13&lt;=DATE(2028,8,1),OR(G13="",G13&gt;=DATE(2028,8,1))),H13*(1+Assumptions!$C$7)^3,0)</f>
        <v/>
      </c>
      <c r="BA13" s="299">
        <f>IF(AND(F13&lt;=DATE(2028,9,1),OR(G13="",G13&gt;=DATE(2028,9,1))),H13*(1+Assumptions!$C$7)^3,0)</f>
        <v/>
      </c>
      <c r="BB13" s="299">
        <f>IF(AND(F13&lt;=DATE(2028,10,1),OR(G13="",G13&gt;=DATE(2028,10,1))),H13*(1+Assumptions!$C$7)^3,0)</f>
        <v/>
      </c>
      <c r="BC13" s="299">
        <f>IF(AND(F13&lt;=DATE(2028,11,1),OR(G13="",G13&gt;=DATE(2028,11,1))),H13*(1+Assumptions!$C$7)^3,0)</f>
        <v/>
      </c>
      <c r="BD13" s="299">
        <f>IF(AND(F13&lt;=DATE(2028,12,1),OR(G13="",G13&gt;=DATE(2028,12,1))),H13*(1+Assumptions!$C$7)^3,0)</f>
        <v/>
      </c>
      <c r="BE13" s="299">
        <f>IF(AND(F13&lt;=DATE(2029,1,1),OR(G13="",G13&gt;=DATE(2029,1,1))),H13*(1+Assumptions!$C$7)^4,0)</f>
        <v/>
      </c>
      <c r="BF13" s="299">
        <f>IF(AND(F13&lt;=DATE(2029,2,1),OR(G13="",G13&gt;=DATE(2029,2,1))),H13*(1+Assumptions!$C$7)^4,0)</f>
        <v/>
      </c>
      <c r="BG13" s="299">
        <f>IF(AND(F13&lt;=DATE(2029,3,1),OR(G13="",G13&gt;=DATE(2029,3,1))),H13*(1+Assumptions!$C$7)^4,0)</f>
        <v/>
      </c>
      <c r="BH13" s="299">
        <f>IF(AND(F13&lt;=DATE(2029,4,1),OR(G13="",G13&gt;=DATE(2029,4,1))),H13*(1+Assumptions!$C$7)^4,0)</f>
        <v/>
      </c>
      <c r="BI13" s="299">
        <f>IF(AND(F13&lt;=DATE(2029,5,1),OR(G13="",G13&gt;=DATE(2029,5,1))),H13*(1+Assumptions!$C$7)^4,0)</f>
        <v/>
      </c>
      <c r="BJ13" s="299">
        <f>IF(AND(F13&lt;=DATE(2029,6,1),OR(G13="",G13&gt;=DATE(2029,6,1))),H13*(1+Assumptions!$C$7)^4,0)</f>
        <v/>
      </c>
      <c r="BK13" s="299">
        <f>IF(AND(F13&lt;=DATE(2029,7,1),OR(G13="",G13&gt;=DATE(2029,7,1))),H13*(1+Assumptions!$C$7)^4,0)</f>
        <v/>
      </c>
      <c r="BL13" s="299">
        <f>IF(AND(F13&lt;=DATE(2029,8,1),OR(G13="",G13&gt;=DATE(2029,8,1))),H13*(1+Assumptions!$C$7)^4,0)</f>
        <v/>
      </c>
      <c r="BM13" s="299">
        <f>IF(AND(F13&lt;=DATE(2029,9,1),OR(G13="",G13&gt;=DATE(2029,9,1))),H13*(1+Assumptions!$C$7)^4,0)</f>
        <v/>
      </c>
      <c r="BN13" s="299">
        <f>IF(AND(F13&lt;=DATE(2029,10,1),OR(G13="",G13&gt;=DATE(2029,10,1))),H13*(1+Assumptions!$C$7)^4,0)</f>
        <v/>
      </c>
      <c r="BO13" s="299">
        <f>IF(AND(F13&lt;=DATE(2029,11,1),OR(G13="",G13&gt;=DATE(2029,11,1))),H13*(1+Assumptions!$C$7)^4,0)</f>
        <v/>
      </c>
      <c r="BP13" s="299">
        <f>IF(AND(F13&lt;=DATE(2029,12,1),OR(G13="",G13&gt;=DATE(2029,12,1))),H13*(1+Assumptions!$C$7)^4,0)</f>
        <v/>
      </c>
      <c r="BQ13" s="226" t="n"/>
      <c r="BR13" s="40" t="inlineStr">
        <is>
          <t>paid this month if started and not yet left; +8% each calendar year</t>
        </is>
      </c>
      <c r="BS13" s="226" t="n"/>
      <c r="BT13" s="226" t="n"/>
    </row>
    <row r="14">
      <c r="A14" s="23" t="n"/>
      <c r="B14" s="23" t="n"/>
      <c r="C14" s="23" t="n"/>
      <c r="D14" s="23" t="n"/>
      <c r="E14" s="310" t="n"/>
      <c r="F14" s="310" t="n"/>
      <c r="G14" s="23" t="n"/>
      <c r="H14" s="23" t="n"/>
      <c r="I14" s="295" t="n"/>
      <c r="J14" s="295" t="n"/>
      <c r="K14" s="295" t="n"/>
      <c r="L14" s="295" t="n"/>
      <c r="M14" s="295" t="n"/>
      <c r="N14" s="295" t="n"/>
      <c r="O14" s="295" t="n"/>
      <c r="P14" s="295" t="n"/>
      <c r="Q14" s="295" t="n"/>
      <c r="R14" s="295" t="n"/>
      <c r="S14" s="295" t="n"/>
      <c r="T14" s="295" t="n"/>
      <c r="U14" s="295" t="n"/>
      <c r="V14" s="295" t="n"/>
      <c r="W14" s="295" t="n"/>
      <c r="X14" s="295" t="n"/>
      <c r="Y14" s="295" t="n"/>
      <c r="Z14" s="295" t="n"/>
      <c r="AA14" s="295" t="n"/>
      <c r="AB14" s="295" t="n"/>
      <c r="AC14" s="295" t="n"/>
      <c r="AD14" s="295" t="n"/>
      <c r="AE14" s="295" t="n"/>
      <c r="AF14" s="295" t="n"/>
      <c r="AG14" s="295" t="n"/>
      <c r="AH14" s="295" t="n"/>
      <c r="AI14" s="295" t="n"/>
      <c r="AJ14" s="295" t="n"/>
      <c r="AK14" s="295" t="n"/>
      <c r="AL14" s="295" t="n"/>
      <c r="AM14" s="295" t="n"/>
      <c r="AN14" s="295" t="n"/>
      <c r="AO14" s="295" t="n"/>
      <c r="AP14" s="295" t="n"/>
      <c r="AQ14" s="295" t="n"/>
      <c r="AR14" s="295" t="n"/>
      <c r="AS14" s="295" t="n"/>
      <c r="AT14" s="295" t="n"/>
      <c r="AU14" s="295" t="n"/>
      <c r="AV14" s="295" t="n"/>
      <c r="AW14" s="295" t="n"/>
      <c r="AX14" s="295" t="n"/>
      <c r="AY14" s="295" t="n"/>
      <c r="AZ14" s="295" t="n"/>
      <c r="BA14" s="295" t="n"/>
      <c r="BB14" s="295" t="n"/>
      <c r="BC14" s="295" t="n"/>
      <c r="BD14" s="295" t="n"/>
      <c r="BE14" s="295" t="n"/>
      <c r="BF14" s="295" t="n"/>
      <c r="BG14" s="295" t="n"/>
      <c r="BH14" s="295" t="n"/>
      <c r="BI14" s="295" t="n"/>
      <c r="BJ14" s="295" t="n"/>
      <c r="BK14" s="295" t="n"/>
      <c r="BL14" s="295" t="n"/>
      <c r="BM14" s="295" t="n"/>
      <c r="BN14" s="295" t="n"/>
      <c r="BO14" s="295" t="n"/>
      <c r="BP14" s="295" t="n"/>
      <c r="BQ14" s="226" t="n"/>
      <c r="BR14" s="40" t="n"/>
      <c r="BS14" s="226" t="n"/>
      <c r="BT14" s="226" t="n"/>
    </row>
    <row r="15">
      <c r="A15" s="282" t="inlineStr">
        <is>
          <t>#</t>
        </is>
      </c>
      <c r="B15" s="26" t="inlineStr">
        <is>
          <t>PLANNED HIRES</t>
        </is>
      </c>
      <c r="C15" s="314" t="n"/>
      <c r="D15" s="314" t="n"/>
      <c r="E15" s="314" t="n"/>
      <c r="F15" s="314" t="n"/>
      <c r="G15" s="314" t="n"/>
      <c r="H15" s="314" t="n"/>
      <c r="I15" s="314" t="n"/>
      <c r="J15" s="314" t="n"/>
      <c r="K15" s="314" t="n"/>
      <c r="L15" s="314" t="n"/>
      <c r="M15" s="314" t="n"/>
      <c r="N15" s="314" t="n"/>
      <c r="O15" s="314" t="n"/>
      <c r="P15" s="314" t="n"/>
      <c r="Q15" s="314" t="n"/>
      <c r="R15" s="314" t="n"/>
      <c r="S15" s="314" t="n"/>
      <c r="T15" s="314" t="n"/>
      <c r="U15" s="314" t="n"/>
      <c r="V15" s="314" t="n"/>
      <c r="W15" s="314" t="n"/>
      <c r="X15" s="314" t="n"/>
      <c r="Y15" s="314" t="n"/>
      <c r="Z15" s="314" t="n"/>
      <c r="AA15" s="314" t="n"/>
      <c r="AB15" s="314" t="n"/>
      <c r="AC15" s="314" t="n"/>
      <c r="AD15" s="314" t="n"/>
      <c r="AE15" s="314" t="n"/>
      <c r="AF15" s="314" t="n"/>
      <c r="AG15" s="314" t="n"/>
      <c r="AH15" s="314" t="n"/>
      <c r="AI15" s="314" t="n"/>
      <c r="AJ15" s="314" t="n"/>
      <c r="AK15" s="314" t="n"/>
      <c r="AL15" s="314" t="n"/>
      <c r="AM15" s="314" t="n"/>
      <c r="AN15" s="314" t="n"/>
      <c r="AO15" s="314" t="n"/>
      <c r="AP15" s="314" t="n"/>
      <c r="AQ15" s="314" t="n"/>
      <c r="AR15" s="314" t="n"/>
      <c r="AS15" s="314" t="n"/>
      <c r="AT15" s="314" t="n"/>
      <c r="AU15" s="314" t="n"/>
      <c r="AV15" s="314" t="n"/>
      <c r="AW15" s="314" t="n"/>
      <c r="AX15" s="314" t="n"/>
      <c r="AY15" s="314" t="n"/>
      <c r="AZ15" s="314" t="n"/>
      <c r="BA15" s="314" t="n"/>
      <c r="BB15" s="314" t="n"/>
      <c r="BC15" s="314" t="n"/>
      <c r="BD15" s="314" t="n"/>
      <c r="BE15" s="314" t="n"/>
      <c r="BF15" s="314" t="n"/>
      <c r="BG15" s="314" t="n"/>
      <c r="BH15" s="314" t="n"/>
      <c r="BI15" s="314" t="n"/>
      <c r="BJ15" s="314" t="n"/>
      <c r="BK15" s="314" t="n"/>
      <c r="BL15" s="314" t="n"/>
      <c r="BM15" s="314" t="n"/>
      <c r="BN15" s="314" t="n"/>
      <c r="BO15" s="314" t="n"/>
      <c r="BP15" s="314" t="n"/>
      <c r="BQ15" s="78" t="n"/>
      <c r="BR15" s="315" t="n"/>
      <c r="BS15" s="78" t="n"/>
      <c r="BT15" s="78" t="n"/>
    </row>
    <row r="16">
      <c r="A16" s="321" t="n">
        <v>11</v>
      </c>
      <c r="B16" s="285" t="inlineStr">
        <is>
          <t>New hire</t>
        </is>
      </c>
      <c r="C16" s="285" t="inlineStr">
        <is>
          <t>R&amp;D</t>
        </is>
      </c>
      <c r="D16" s="317" t="inlineStr">
        <is>
          <t>Software Engineer</t>
        </is>
      </c>
      <c r="E16" s="297" t="inlineStr">
        <is>
          <t>Planned</t>
        </is>
      </c>
      <c r="F16" s="318" t="n">
        <v>46327</v>
      </c>
      <c r="G16" s="319" t="n"/>
      <c r="H16" s="288" t="n">
        <v>8000</v>
      </c>
      <c r="I16" s="299">
        <f>IF(AND($F16&lt;=I$2, OR($G16="",$G16&gt;=I$2)),
  $H16 * (1 + Assumptions!$C$7) ^ INT(((YEAR(I$2)-YEAR($F16))*12 + MONTH(I$2)-MONTH($F16)) / 12),
  0)</f>
        <v/>
      </c>
      <c r="J16" s="299">
        <f>IF(AND($F16&lt;=J$2, OR($G16="",$G16&gt;=J$2)),
  $H16 * (1 + Assumptions!$C$7) ^ INT(((YEAR(J$2)-YEAR($F16))*12 + MONTH(J$2)-MONTH($F16)) / 12),
  0)</f>
        <v/>
      </c>
      <c r="K16" s="299">
        <f>IF(AND($F16&lt;=K$2, OR($G16="",$G16&gt;=K$2)),
  $H16 * (1 + Assumptions!$C$7) ^ INT(((YEAR(K$2)-YEAR($F16))*12 + MONTH(K$2)-MONTH($F16)) / 12),
  0)</f>
        <v/>
      </c>
      <c r="L16" s="299">
        <f>IF(AND($F16&lt;=L$2, OR($G16="",$G16&gt;=L$2)),
  $H16 * (1 + Assumptions!$C$7) ^ INT(((YEAR(L$2)-YEAR($F16))*12 + MONTH(L$2)-MONTH($F16)) / 12),
  0)</f>
        <v/>
      </c>
      <c r="M16" s="299">
        <f>IF(AND($F16&lt;=M$2, OR($G16="",$G16&gt;=M$2)),
  $H16 * (1 + Assumptions!$C$7) ^ INT(((YEAR(M$2)-YEAR($F16))*12 + MONTH(M$2)-MONTH($F16)) / 12),
  0)</f>
        <v/>
      </c>
      <c r="N16" s="299">
        <f>IF(AND($F16&lt;=N$2, OR($G16="",$G16&gt;=N$2)),
  $H16 * (1 + Assumptions!$C$7) ^ INT(((YEAR(N$2)-YEAR($F16))*12 + MONTH(N$2)-MONTH($F16)) / 12),
  0)</f>
        <v/>
      </c>
      <c r="O16" s="299">
        <f>IF(AND($F16&lt;=O$2, OR($G16="",$G16&gt;=O$2)),
  $H16 * (1 + Assumptions!$C$7) ^ INT(((YEAR(O$2)-YEAR($F16))*12 + MONTH(O$2)-MONTH($F16)) / 12),
  0)</f>
        <v/>
      </c>
      <c r="P16" s="299">
        <f>IF(AND($F16&lt;=P$2, OR($G16="",$G16&gt;=P$2)),
  $H16 * (1 + Assumptions!$C$7) ^ INT(((YEAR(P$2)-YEAR($F16))*12 + MONTH(P$2)-MONTH($F16)) / 12),
  0)</f>
        <v/>
      </c>
      <c r="Q16" s="299">
        <f>IF(AND($F16&lt;=Q$2, OR($G16="",$G16&gt;=Q$2)),
  $H16 * (1 + Assumptions!$C$7) ^ INT(((YEAR(Q$2)-YEAR($F16))*12 + MONTH(Q$2)-MONTH($F16)) / 12),
  0)</f>
        <v/>
      </c>
      <c r="R16" s="299">
        <f>IF(AND($F16&lt;=R$2, OR($G16="",$G16&gt;=R$2)),
  $H16 * (1 + Assumptions!$C$7) ^ INT(((YEAR(R$2)-YEAR($F16))*12 + MONTH(R$2)-MONTH($F16)) / 12),
  0)</f>
        <v/>
      </c>
      <c r="S16" s="299">
        <f>IF(AND($F16&lt;=S$2, OR($G16="",$G16&gt;=S$2)),
  $H16 * (1 + Assumptions!$C$7) ^ INT(((YEAR(S$2)-YEAR($F16))*12 + MONTH(S$2)-MONTH($F16)) / 12),
  0)</f>
        <v/>
      </c>
      <c r="T16" s="299">
        <f>IF(AND($F16&lt;=T$2, OR($G16="",$G16&gt;=T$2)),
  $H16 * (1 + Assumptions!$C$7) ^ INT(((YEAR(T$2)-YEAR($F16))*12 + MONTH(T$2)-MONTH($F16)) / 12),
  0)</f>
        <v/>
      </c>
      <c r="U16" s="299">
        <f>IF(AND($F16&lt;=U$2, OR($G16="",$G16&gt;=U$2)),
  $H16 * (1 + Assumptions!$C$7) ^ INT(((YEAR(U$2)-YEAR($F16))*12 + MONTH(U$2)-MONTH($F16)) / 12),
  0)</f>
        <v/>
      </c>
      <c r="V16" s="299">
        <f>IF(AND($F16&lt;=V$2, OR($G16="",$G16&gt;=V$2)),
  $H16 * (1 + Assumptions!$C$7) ^ INT(((YEAR(V$2)-YEAR($F16))*12 + MONTH(V$2)-MONTH($F16)) / 12),
  0)</f>
        <v/>
      </c>
      <c r="W16" s="299">
        <f>IF(AND($F16&lt;=W$2, OR($G16="",$G16&gt;=W$2)),
  $H16 * (1 + Assumptions!$C$7) ^ INT(((YEAR(W$2)-YEAR($F16))*12 + MONTH(W$2)-MONTH($F16)) / 12),
  0)</f>
        <v/>
      </c>
      <c r="X16" s="299">
        <f>IF(AND($F16&lt;=X$2, OR($G16="",$G16&gt;=X$2)),
  $H16 * (1 + Assumptions!$C$7) ^ INT(((YEAR(X$2)-YEAR($F16))*12 + MONTH(X$2)-MONTH($F16)) / 12),
  0)</f>
        <v/>
      </c>
      <c r="Y16" s="299">
        <f>IF(AND($F16&lt;=Y$2, OR($G16="",$G16&gt;=Y$2)),
  $H16 * (1 + Assumptions!$C$7) ^ INT(((YEAR(Y$2)-YEAR($F16))*12 + MONTH(Y$2)-MONTH($F16)) / 12),
  0)</f>
        <v/>
      </c>
      <c r="Z16" s="299">
        <f>IF(AND($F16&lt;=Z$2, OR($G16="",$G16&gt;=Z$2)),
  $H16 * (1 + Assumptions!$C$7) ^ INT(((YEAR(Z$2)-YEAR($F16))*12 + MONTH(Z$2)-MONTH($F16)) / 12),
  0)</f>
        <v/>
      </c>
      <c r="AA16" s="299">
        <f>IF(AND($F16&lt;=AA$2, OR($G16="",$G16&gt;=AA$2)),
  $H16 * (1 + Assumptions!$C$7) ^ INT(((YEAR(AA$2)-YEAR($F16))*12 + MONTH(AA$2)-MONTH($F16)) / 12),
  0)</f>
        <v/>
      </c>
      <c r="AB16" s="299">
        <f>IF(AND($F16&lt;=AB$2, OR($G16="",$G16&gt;=AB$2)),
  $H16 * (1 + Assumptions!$C$7) ^ INT(((YEAR(AB$2)-YEAR($F16))*12 + MONTH(AB$2)-MONTH($F16)) / 12),
  0)</f>
        <v/>
      </c>
      <c r="AC16" s="299">
        <f>IF(AND($F16&lt;=AC$2, OR($G16="",$G16&gt;=AC$2)),
  $H16 * (1 + Assumptions!$C$7) ^ INT(((YEAR(AC$2)-YEAR($F16))*12 + MONTH(AC$2)-MONTH($F16)) / 12),
  0)</f>
        <v/>
      </c>
      <c r="AD16" s="299">
        <f>IF(AND($F16&lt;=AD$2, OR($G16="",$G16&gt;=AD$2)),
  $H16 * (1 + Assumptions!$C$7) ^ INT(((YEAR(AD$2)-YEAR($F16))*12 + MONTH(AD$2)-MONTH($F16)) / 12),
  0)</f>
        <v/>
      </c>
      <c r="AE16" s="299">
        <f>IF(AND($F16&lt;=AE$2, OR($G16="",$G16&gt;=AE$2)),
  $H16 * (1 + Assumptions!$C$7) ^ INT(((YEAR(AE$2)-YEAR($F16))*12 + MONTH(AE$2)-MONTH($F16)) / 12),
  0)</f>
        <v/>
      </c>
      <c r="AF16" s="299">
        <f>IF(AND($F16&lt;=AF$2, OR($G16="",$G16&gt;=AF$2)),
  $H16 * (1 + Assumptions!$C$7) ^ INT(((YEAR(AF$2)-YEAR($F16))*12 + MONTH(AF$2)-MONTH($F16)) / 12),
  0)</f>
        <v/>
      </c>
      <c r="AG16" s="299">
        <f>IF(AND($F16&lt;=AG$2, OR($G16="",$G16&gt;=AG$2)),
  $H16 * (1 + Assumptions!$C$7) ^ INT(((YEAR(AG$2)-YEAR($F16))*12 + MONTH(AG$2)-MONTH($F16)) / 12),
  0)</f>
        <v/>
      </c>
      <c r="AH16" s="299">
        <f>IF(AND($F16&lt;=AH$2, OR($G16="",$G16&gt;=AH$2)),
  $H16 * (1 + Assumptions!$C$7) ^ INT(((YEAR(AH$2)-YEAR($F16))*12 + MONTH(AH$2)-MONTH($F16)) / 12),
  0)</f>
        <v/>
      </c>
      <c r="AI16" s="299">
        <f>IF(AND($F16&lt;=AI$2, OR($G16="",$G16&gt;=AI$2)),
  $H16 * (1 + Assumptions!$C$7) ^ INT(((YEAR(AI$2)-YEAR($F16))*12 + MONTH(AI$2)-MONTH($F16)) / 12),
  0)</f>
        <v/>
      </c>
      <c r="AJ16" s="299">
        <f>IF(AND($F16&lt;=AJ$2, OR($G16="",$G16&gt;=AJ$2)),
  $H16 * (1 + Assumptions!$C$7) ^ INT(((YEAR(AJ$2)-YEAR($F16))*12 + MONTH(AJ$2)-MONTH($F16)) / 12),
  0)</f>
        <v/>
      </c>
      <c r="AK16" s="299">
        <f>IF(AND($F16&lt;=AK$2, OR($G16="",$G16&gt;=AK$2)),
  $H16 * (1 + Assumptions!$C$7) ^ INT(((YEAR(AK$2)-YEAR($F16))*12 + MONTH(AK$2)-MONTH($F16)) / 12),
  0)</f>
        <v/>
      </c>
      <c r="AL16" s="299">
        <f>IF(AND($F16&lt;=AL$2, OR($G16="",$G16&gt;=AL$2)),
  $H16 * (1 + Assumptions!$C$7) ^ INT(((YEAR(AL$2)-YEAR($F16))*12 + MONTH(AL$2)-MONTH($F16)) / 12),
  0)</f>
        <v/>
      </c>
      <c r="AM16" s="299">
        <f>IF(AND($F16&lt;=AM$2, OR($G16="",$G16&gt;=AM$2)),
  $H16 * (1 + Assumptions!$C$7) ^ INT(((YEAR(AM$2)-YEAR($F16))*12 + MONTH(AM$2)-MONTH($F16)) / 12),
  0)</f>
        <v/>
      </c>
      <c r="AN16" s="299">
        <f>IF(AND($F16&lt;=AN$2, OR($G16="",$G16&gt;=AN$2)),
  $H16 * (1 + Assumptions!$C$7) ^ INT(((YEAR(AN$2)-YEAR($F16))*12 + MONTH(AN$2)-MONTH($F16)) / 12),
  0)</f>
        <v/>
      </c>
      <c r="AO16" s="299">
        <f>IF(AND($F16&lt;=AO$2, OR($G16="",$G16&gt;=AO$2)),
  $H16 * (1 + Assumptions!$C$7) ^ INT(((YEAR(AO$2)-YEAR($F16))*12 + MONTH(AO$2)-MONTH($F16)) / 12),
  0)</f>
        <v/>
      </c>
      <c r="AP16" s="299">
        <f>IF(AND($F16&lt;=AP$2, OR($G16="",$G16&gt;=AP$2)),
  $H16 * (1 + Assumptions!$C$7) ^ INT(((YEAR(AP$2)-YEAR($F16))*12 + MONTH(AP$2)-MONTH($F16)) / 12),
  0)</f>
        <v/>
      </c>
      <c r="AQ16" s="299">
        <f>IF(AND($F16&lt;=AQ$2, OR($G16="",$G16&gt;=AQ$2)),
  $H16 * (1 + Assumptions!$C$7) ^ INT(((YEAR(AQ$2)-YEAR($F16))*12 + MONTH(AQ$2)-MONTH($F16)) / 12),
  0)</f>
        <v/>
      </c>
      <c r="AR16" s="299">
        <f>IF(AND($F16&lt;=AR$2, OR($G16="",$G16&gt;=AR$2)),
  $H16 * (1 + Assumptions!$C$7) ^ INT(((YEAR(AR$2)-YEAR($F16))*12 + MONTH(AR$2)-MONTH($F16)) / 12),
  0)</f>
        <v/>
      </c>
      <c r="AS16" s="299">
        <f>IF(AND($F16&lt;=AS$2, OR($G16="",$G16&gt;=AS$2)),
  $H16 * (1 + Assumptions!$C$7) ^ INT(((YEAR(AS$2)-YEAR($F16))*12 + MONTH(AS$2)-MONTH($F16)) / 12),
  0)</f>
        <v/>
      </c>
      <c r="AT16" s="299">
        <f>IF(AND($F16&lt;=AT$2, OR($G16="",$G16&gt;=AT$2)),
  $H16 * (1 + Assumptions!$C$7) ^ INT(((YEAR(AT$2)-YEAR($F16))*12 + MONTH(AT$2)-MONTH($F16)) / 12),
  0)</f>
        <v/>
      </c>
      <c r="AU16" s="299">
        <f>IF(AND($F16&lt;=AU$2, OR($G16="",$G16&gt;=AU$2)),
  $H16 * (1 + Assumptions!$C$7) ^ INT(((YEAR(AU$2)-YEAR($F16))*12 + MONTH(AU$2)-MONTH($F16)) / 12),
  0)</f>
        <v/>
      </c>
      <c r="AV16" s="299">
        <f>IF(AND($F16&lt;=AV$2, OR($G16="",$G16&gt;=AV$2)),
  $H16 * (1 + Assumptions!$C$7) ^ INT(((YEAR(AV$2)-YEAR($F16))*12 + MONTH(AV$2)-MONTH($F16)) / 12),
  0)</f>
        <v/>
      </c>
      <c r="AW16" s="299">
        <f>IF(AND($F16&lt;=AW$2, OR($G16="",$G16&gt;=AW$2)),
  $H16 * (1 + Assumptions!$C$7) ^ INT(((YEAR(AW$2)-YEAR($F16))*12 + MONTH(AW$2)-MONTH($F16)) / 12),
  0)</f>
        <v/>
      </c>
      <c r="AX16" s="299">
        <f>IF(AND($F16&lt;=AX$2, OR($G16="",$G16&gt;=AX$2)),
  $H16 * (1 + Assumptions!$C$7) ^ INT(((YEAR(AX$2)-YEAR($F16))*12 + MONTH(AX$2)-MONTH($F16)) / 12),
  0)</f>
        <v/>
      </c>
      <c r="AY16" s="299">
        <f>IF(AND($F16&lt;=AY$2, OR($G16="",$G16&gt;=AY$2)),
  $H16 * (1 + Assumptions!$C$7) ^ INT(((YEAR(AY$2)-YEAR($F16))*12 + MONTH(AY$2)-MONTH($F16)) / 12),
  0)</f>
        <v/>
      </c>
      <c r="AZ16" s="299">
        <f>IF(AND($F16&lt;=AZ$2, OR($G16="",$G16&gt;=AZ$2)),
  $H16 * (1 + Assumptions!$C$7) ^ INT(((YEAR(AZ$2)-YEAR($F16))*12 + MONTH(AZ$2)-MONTH($F16)) / 12),
  0)</f>
        <v/>
      </c>
      <c r="BA16" s="299">
        <f>IF(AND($F16&lt;=BA$2, OR($G16="",$G16&gt;=BA$2)),
  $H16 * (1 + Assumptions!$C$7) ^ INT(((YEAR(BA$2)-YEAR($F16))*12 + MONTH(BA$2)-MONTH($F16)) / 12),
  0)</f>
        <v/>
      </c>
      <c r="BB16" s="299">
        <f>IF(AND($F16&lt;=BB$2, OR($G16="",$G16&gt;=BB$2)),
  $H16 * (1 + Assumptions!$C$7) ^ INT(((YEAR(BB$2)-YEAR($F16))*12 + MONTH(BB$2)-MONTH($F16)) / 12),
  0)</f>
        <v/>
      </c>
      <c r="BC16" s="299">
        <f>IF(AND($F16&lt;=BC$2, OR($G16="",$G16&gt;=BC$2)),
  $H16 * (1 + Assumptions!$C$7) ^ INT(((YEAR(BC$2)-YEAR($F16))*12 + MONTH(BC$2)-MONTH($F16)) / 12),
  0)</f>
        <v/>
      </c>
      <c r="BD16" s="299">
        <f>IF(AND($F16&lt;=BD$2, OR($G16="",$G16&gt;=BD$2)),
  $H16 * (1 + Assumptions!$C$7) ^ INT(((YEAR(BD$2)-YEAR($F16))*12 + MONTH(BD$2)-MONTH($F16)) / 12),
  0)</f>
        <v/>
      </c>
      <c r="BE16" s="299">
        <f>IF(AND($F16&lt;=BE$2, OR($G16="",$G16&gt;=BE$2)),
  $H16 * (1 + Assumptions!$C$7) ^ INT(((YEAR(BE$2)-YEAR($F16))*12 + MONTH(BE$2)-MONTH($F16)) / 12),
  0)</f>
        <v/>
      </c>
      <c r="BF16" s="299">
        <f>IF(AND($F16&lt;=BF$2, OR($G16="",$G16&gt;=BF$2)),
  $H16 * (1 + Assumptions!$C$7) ^ INT(((YEAR(BF$2)-YEAR($F16))*12 + MONTH(BF$2)-MONTH($F16)) / 12),
  0)</f>
        <v/>
      </c>
      <c r="BG16" s="299">
        <f>IF(AND($F16&lt;=BG$2, OR($G16="",$G16&gt;=BG$2)),
  $H16 * (1 + Assumptions!$C$7) ^ INT(((YEAR(BG$2)-YEAR($F16))*12 + MONTH(BG$2)-MONTH($F16)) / 12),
  0)</f>
        <v/>
      </c>
      <c r="BH16" s="299">
        <f>IF(AND($F16&lt;=BH$2, OR($G16="",$G16&gt;=BH$2)),
  $H16 * (1 + Assumptions!$C$7) ^ INT(((YEAR(BH$2)-YEAR($F16))*12 + MONTH(BH$2)-MONTH($F16)) / 12),
  0)</f>
        <v/>
      </c>
      <c r="BI16" s="299">
        <f>IF(AND($F16&lt;=BI$2, OR($G16="",$G16&gt;=BI$2)),
  $H16 * (1 + Assumptions!$C$7) ^ INT(((YEAR(BI$2)-YEAR($F16))*12 + MONTH(BI$2)-MONTH($F16)) / 12),
  0)</f>
        <v/>
      </c>
      <c r="BJ16" s="299">
        <f>IF(AND($F16&lt;=BJ$2, OR($G16="",$G16&gt;=BJ$2)),
  $H16 * (1 + Assumptions!$C$7) ^ INT(((YEAR(BJ$2)-YEAR($F16))*12 + MONTH(BJ$2)-MONTH($F16)) / 12),
  0)</f>
        <v/>
      </c>
      <c r="BK16" s="299">
        <f>IF(AND($F16&lt;=BK$2, OR($G16="",$G16&gt;=BK$2)),
  $H16 * (1 + Assumptions!$C$7) ^ INT(((YEAR(BK$2)-YEAR($F16))*12 + MONTH(BK$2)-MONTH($F16)) / 12),
  0)</f>
        <v/>
      </c>
      <c r="BL16" s="299">
        <f>IF(AND($F16&lt;=BL$2, OR($G16="",$G16&gt;=BL$2)),
  $H16 * (1 + Assumptions!$C$7) ^ INT(((YEAR(BL$2)-YEAR($F16))*12 + MONTH(BL$2)-MONTH($F16)) / 12),
  0)</f>
        <v/>
      </c>
      <c r="BM16" s="299">
        <f>IF(AND($F16&lt;=BM$2, OR($G16="",$G16&gt;=BM$2)),
  $H16 * (1 + Assumptions!$C$7) ^ INT(((YEAR(BM$2)-YEAR($F16))*12 + MONTH(BM$2)-MONTH($F16)) / 12),
  0)</f>
        <v/>
      </c>
      <c r="BN16" s="299">
        <f>IF(AND($F16&lt;=BN$2, OR($G16="",$G16&gt;=BN$2)),
  $H16 * (1 + Assumptions!$C$7) ^ INT(((YEAR(BN$2)-YEAR($F16))*12 + MONTH(BN$2)-MONTH($F16)) / 12),
  0)</f>
        <v/>
      </c>
      <c r="BO16" s="299">
        <f>IF(AND($F16&lt;=BO$2, OR($G16="",$G16&gt;=BO$2)),
  $H16 * (1 + Assumptions!$C$7) ^ INT(((YEAR(BO$2)-YEAR($F16))*12 + MONTH(BO$2)-MONTH($F16)) / 12),
  0)</f>
        <v/>
      </c>
      <c r="BP16" s="299">
        <f>IF(AND($F16&lt;=BP$2, OR($G16="",$G16&gt;=BP$2)),
  $H16 * (1 + Assumptions!$C$7) ^ INT(((YEAR(BP$2)-YEAR($F16))*12 + MONTH(BP$2)-MONTH($F16)) / 12),
  0)</f>
        <v/>
      </c>
      <c r="BQ16" s="31" t="n"/>
      <c r="BR16" s="40" t="inlineStr">
        <is>
          <t>paid this month if started and not yet left; +8% on each work anniversary</t>
        </is>
      </c>
      <c r="BS16" s="31" t="n"/>
      <c r="BT16" s="31" t="n"/>
    </row>
    <row r="17">
      <c r="A17" s="321" t="n">
        <v>12</v>
      </c>
      <c r="B17" s="285" t="inlineStr">
        <is>
          <t>New hire</t>
        </is>
      </c>
      <c r="C17" s="317" t="inlineStr">
        <is>
          <t>G&amp;A</t>
        </is>
      </c>
      <c r="D17" s="317" t="inlineStr">
        <is>
          <t>COO</t>
        </is>
      </c>
      <c r="E17" s="297" t="inlineStr">
        <is>
          <t>Planned</t>
        </is>
      </c>
      <c r="F17" s="318" t="n">
        <v>46266</v>
      </c>
      <c r="G17" s="319" t="n"/>
      <c r="H17" s="288" t="n">
        <v>9000</v>
      </c>
      <c r="I17" s="299">
        <f>IF(AND($F17&lt;=I$2, OR($G17="",$G17&gt;=I$2)),
  $H17 * (1 + Assumptions!$C$7) ^ INT(((YEAR(I$2)-YEAR($F17))*12 + MONTH(I$2)-MONTH($F17)) / 12),
  0)</f>
        <v/>
      </c>
      <c r="J17" s="299">
        <f>IF(AND($F17&lt;=J$2, OR($G17="",$G17&gt;=J$2)),
  $H17 * (1 + Assumptions!$C$7) ^ INT(((YEAR(J$2)-YEAR($F17))*12 + MONTH(J$2)-MONTH($F17)) / 12),
  0)</f>
        <v/>
      </c>
      <c r="K17" s="299">
        <f>IF(AND($F17&lt;=K$2, OR($G17="",$G17&gt;=K$2)),
  $H17 * (1 + Assumptions!$C$7) ^ INT(((YEAR(K$2)-YEAR($F17))*12 + MONTH(K$2)-MONTH($F17)) / 12),
  0)</f>
        <v/>
      </c>
      <c r="L17" s="299">
        <f>IF(AND($F17&lt;=L$2, OR($G17="",$G17&gt;=L$2)),
  $H17 * (1 + Assumptions!$C$7) ^ INT(((YEAR(L$2)-YEAR($F17))*12 + MONTH(L$2)-MONTH($F17)) / 12),
  0)</f>
        <v/>
      </c>
      <c r="M17" s="299">
        <f>IF(AND($F17&lt;=M$2, OR($G17="",$G17&gt;=M$2)),
  $H17 * (1 + Assumptions!$C$7) ^ INT(((YEAR(M$2)-YEAR($F17))*12 + MONTH(M$2)-MONTH($F17)) / 12),
  0)</f>
        <v/>
      </c>
      <c r="N17" s="299">
        <f>IF(AND($F17&lt;=N$2, OR($G17="",$G17&gt;=N$2)),
  $H17 * (1 + Assumptions!$C$7) ^ INT(((YEAR(N$2)-YEAR($F17))*12 + MONTH(N$2)-MONTH($F17)) / 12),
  0)</f>
        <v/>
      </c>
      <c r="O17" s="299">
        <f>IF(AND($F17&lt;=O$2, OR($G17="",$G17&gt;=O$2)),
  $H17 * (1 + Assumptions!$C$7) ^ INT(((YEAR(O$2)-YEAR($F17))*12 + MONTH(O$2)-MONTH($F17)) / 12),
  0)</f>
        <v/>
      </c>
      <c r="P17" s="299">
        <f>IF(AND($F17&lt;=P$2, OR($G17="",$G17&gt;=P$2)),
  $H17 * (1 + Assumptions!$C$7) ^ INT(((YEAR(P$2)-YEAR($F17))*12 + MONTH(P$2)-MONTH($F17)) / 12),
  0)</f>
        <v/>
      </c>
      <c r="Q17" s="299">
        <f>IF(AND($F17&lt;=Q$2, OR($G17="",$G17&gt;=Q$2)),
  $H17 * (1 + Assumptions!$C$7) ^ INT(((YEAR(Q$2)-YEAR($F17))*12 + MONTH(Q$2)-MONTH($F17)) / 12),
  0)</f>
        <v/>
      </c>
      <c r="R17" s="299">
        <f>IF(AND($F17&lt;=R$2, OR($G17="",$G17&gt;=R$2)),
  $H17 * (1 + Assumptions!$C$7) ^ INT(((YEAR(R$2)-YEAR($F17))*12 + MONTH(R$2)-MONTH($F17)) / 12),
  0)</f>
        <v/>
      </c>
      <c r="S17" s="299">
        <f>IF(AND($F17&lt;=S$2, OR($G17="",$G17&gt;=S$2)),
  $H17 * (1 + Assumptions!$C$7) ^ INT(((YEAR(S$2)-YEAR($F17))*12 + MONTH(S$2)-MONTH($F17)) / 12),
  0)</f>
        <v/>
      </c>
      <c r="T17" s="299">
        <f>IF(AND($F17&lt;=T$2, OR($G17="",$G17&gt;=T$2)),
  $H17 * (1 + Assumptions!$C$7) ^ INT(((YEAR(T$2)-YEAR($F17))*12 + MONTH(T$2)-MONTH($F17)) / 12),
  0)</f>
        <v/>
      </c>
      <c r="U17" s="299">
        <f>IF(AND($F17&lt;=U$2, OR($G17="",$G17&gt;=U$2)),
  $H17 * (1 + Assumptions!$C$7) ^ INT(((YEAR(U$2)-YEAR($F17))*12 + MONTH(U$2)-MONTH($F17)) / 12),
  0)</f>
        <v/>
      </c>
      <c r="V17" s="299">
        <f>IF(AND($F17&lt;=V$2, OR($G17="",$G17&gt;=V$2)),
  $H17 * (1 + Assumptions!$C$7) ^ INT(((YEAR(V$2)-YEAR($F17))*12 + MONTH(V$2)-MONTH($F17)) / 12),
  0)</f>
        <v/>
      </c>
      <c r="W17" s="299">
        <f>IF(AND($F17&lt;=W$2, OR($G17="",$G17&gt;=W$2)),
  $H17 * (1 + Assumptions!$C$7) ^ INT(((YEAR(W$2)-YEAR($F17))*12 + MONTH(W$2)-MONTH($F17)) / 12),
  0)</f>
        <v/>
      </c>
      <c r="X17" s="299">
        <f>IF(AND($F17&lt;=X$2, OR($G17="",$G17&gt;=X$2)),
  $H17 * (1 + Assumptions!$C$7) ^ INT(((YEAR(X$2)-YEAR($F17))*12 + MONTH(X$2)-MONTH($F17)) / 12),
  0)</f>
        <v/>
      </c>
      <c r="Y17" s="299">
        <f>IF(AND($F17&lt;=Y$2, OR($G17="",$G17&gt;=Y$2)),
  $H17 * (1 + Assumptions!$C$7) ^ INT(((YEAR(Y$2)-YEAR($F17))*12 + MONTH(Y$2)-MONTH($F17)) / 12),
  0)</f>
        <v/>
      </c>
      <c r="Z17" s="299">
        <f>IF(AND($F17&lt;=Z$2, OR($G17="",$G17&gt;=Z$2)),
  $H17 * (1 + Assumptions!$C$7) ^ INT(((YEAR(Z$2)-YEAR($F17))*12 + MONTH(Z$2)-MONTH($F17)) / 12),
  0)</f>
        <v/>
      </c>
      <c r="AA17" s="299">
        <f>IF(AND($F17&lt;=AA$2, OR($G17="",$G17&gt;=AA$2)),
  $H17 * (1 + Assumptions!$C$7) ^ INT(((YEAR(AA$2)-YEAR($F17))*12 + MONTH(AA$2)-MONTH($F17)) / 12),
  0)</f>
        <v/>
      </c>
      <c r="AB17" s="299">
        <f>IF(AND($F17&lt;=AB$2, OR($G17="",$G17&gt;=AB$2)),
  $H17 * (1 + Assumptions!$C$7) ^ INT(((YEAR(AB$2)-YEAR($F17))*12 + MONTH(AB$2)-MONTH($F17)) / 12),
  0)</f>
        <v/>
      </c>
      <c r="AC17" s="299">
        <f>IF(AND($F17&lt;=AC$2, OR($G17="",$G17&gt;=AC$2)),
  $H17 * (1 + Assumptions!$C$7) ^ INT(((YEAR(AC$2)-YEAR($F17))*12 + MONTH(AC$2)-MONTH($F17)) / 12),
  0)</f>
        <v/>
      </c>
      <c r="AD17" s="299">
        <f>IF(AND($F17&lt;=AD$2, OR($G17="",$G17&gt;=AD$2)),
  $H17 * (1 + Assumptions!$C$7) ^ INT(((YEAR(AD$2)-YEAR($F17))*12 + MONTH(AD$2)-MONTH($F17)) / 12),
  0)</f>
        <v/>
      </c>
      <c r="AE17" s="299">
        <f>IF(AND($F17&lt;=AE$2, OR($G17="",$G17&gt;=AE$2)),
  $H17 * (1 + Assumptions!$C$7) ^ INT(((YEAR(AE$2)-YEAR($F17))*12 + MONTH(AE$2)-MONTH($F17)) / 12),
  0)</f>
        <v/>
      </c>
      <c r="AF17" s="299">
        <f>IF(AND($F17&lt;=AF$2, OR($G17="",$G17&gt;=AF$2)),
  $H17 * (1 + Assumptions!$C$7) ^ INT(((YEAR(AF$2)-YEAR($F17))*12 + MONTH(AF$2)-MONTH($F17)) / 12),
  0)</f>
        <v/>
      </c>
      <c r="AG17" s="299">
        <f>IF(AND($F17&lt;=AG$2, OR($G17="",$G17&gt;=AG$2)),
  $H17 * (1 + Assumptions!$C$7) ^ INT(((YEAR(AG$2)-YEAR($F17))*12 + MONTH(AG$2)-MONTH($F17)) / 12),
  0)</f>
        <v/>
      </c>
      <c r="AH17" s="299">
        <f>IF(AND($F17&lt;=AH$2, OR($G17="",$G17&gt;=AH$2)),
  $H17 * (1 + Assumptions!$C$7) ^ INT(((YEAR(AH$2)-YEAR($F17))*12 + MONTH(AH$2)-MONTH($F17)) / 12),
  0)</f>
        <v/>
      </c>
      <c r="AI17" s="299">
        <f>IF(AND($F17&lt;=AI$2, OR($G17="",$G17&gt;=AI$2)),
  $H17 * (1 + Assumptions!$C$7) ^ INT(((YEAR(AI$2)-YEAR($F17))*12 + MONTH(AI$2)-MONTH($F17)) / 12),
  0)</f>
        <v/>
      </c>
      <c r="AJ17" s="299">
        <f>IF(AND($F17&lt;=AJ$2, OR($G17="",$G17&gt;=AJ$2)),
  $H17 * (1 + Assumptions!$C$7) ^ INT(((YEAR(AJ$2)-YEAR($F17))*12 + MONTH(AJ$2)-MONTH($F17)) / 12),
  0)</f>
        <v/>
      </c>
      <c r="AK17" s="299">
        <f>IF(AND($F17&lt;=AK$2, OR($G17="",$G17&gt;=AK$2)),
  $H17 * (1 + Assumptions!$C$7) ^ INT(((YEAR(AK$2)-YEAR($F17))*12 + MONTH(AK$2)-MONTH($F17)) / 12),
  0)</f>
        <v/>
      </c>
      <c r="AL17" s="299">
        <f>IF(AND($F17&lt;=AL$2, OR($G17="",$G17&gt;=AL$2)),
  $H17 * (1 + Assumptions!$C$7) ^ INT(((YEAR(AL$2)-YEAR($F17))*12 + MONTH(AL$2)-MONTH($F17)) / 12),
  0)</f>
        <v/>
      </c>
      <c r="AM17" s="299">
        <f>IF(AND($F17&lt;=AM$2, OR($G17="",$G17&gt;=AM$2)),
  $H17 * (1 + Assumptions!$C$7) ^ INT(((YEAR(AM$2)-YEAR($F17))*12 + MONTH(AM$2)-MONTH($F17)) / 12),
  0)</f>
        <v/>
      </c>
      <c r="AN17" s="299">
        <f>IF(AND($F17&lt;=AN$2, OR($G17="",$G17&gt;=AN$2)),
  $H17 * (1 + Assumptions!$C$7) ^ INT(((YEAR(AN$2)-YEAR($F17))*12 + MONTH(AN$2)-MONTH($F17)) / 12),
  0)</f>
        <v/>
      </c>
      <c r="AO17" s="299">
        <f>IF(AND($F17&lt;=AO$2, OR($G17="",$G17&gt;=AO$2)),
  $H17 * (1 + Assumptions!$C$7) ^ INT(((YEAR(AO$2)-YEAR($F17))*12 + MONTH(AO$2)-MONTH($F17)) / 12),
  0)</f>
        <v/>
      </c>
      <c r="AP17" s="299">
        <f>IF(AND($F17&lt;=AP$2, OR($G17="",$G17&gt;=AP$2)),
  $H17 * (1 + Assumptions!$C$7) ^ INT(((YEAR(AP$2)-YEAR($F17))*12 + MONTH(AP$2)-MONTH($F17)) / 12),
  0)</f>
        <v/>
      </c>
      <c r="AQ17" s="299">
        <f>IF(AND($F17&lt;=AQ$2, OR($G17="",$G17&gt;=AQ$2)),
  $H17 * (1 + Assumptions!$C$7) ^ INT(((YEAR(AQ$2)-YEAR($F17))*12 + MONTH(AQ$2)-MONTH($F17)) / 12),
  0)</f>
        <v/>
      </c>
      <c r="AR17" s="299">
        <f>IF(AND($F17&lt;=AR$2, OR($G17="",$G17&gt;=AR$2)),
  $H17 * (1 + Assumptions!$C$7) ^ INT(((YEAR(AR$2)-YEAR($F17))*12 + MONTH(AR$2)-MONTH($F17)) / 12),
  0)</f>
        <v/>
      </c>
      <c r="AS17" s="299">
        <f>IF(AND($F17&lt;=AS$2, OR($G17="",$G17&gt;=AS$2)),
  $H17 * (1 + Assumptions!$C$7) ^ INT(((YEAR(AS$2)-YEAR($F17))*12 + MONTH(AS$2)-MONTH($F17)) / 12),
  0)</f>
        <v/>
      </c>
      <c r="AT17" s="299">
        <f>IF(AND($F17&lt;=AT$2, OR($G17="",$G17&gt;=AT$2)),
  $H17 * (1 + Assumptions!$C$7) ^ INT(((YEAR(AT$2)-YEAR($F17))*12 + MONTH(AT$2)-MONTH($F17)) / 12),
  0)</f>
        <v/>
      </c>
      <c r="AU17" s="299">
        <f>IF(AND($F17&lt;=AU$2, OR($G17="",$G17&gt;=AU$2)),
  $H17 * (1 + Assumptions!$C$7) ^ INT(((YEAR(AU$2)-YEAR($F17))*12 + MONTH(AU$2)-MONTH($F17)) / 12),
  0)</f>
        <v/>
      </c>
      <c r="AV17" s="299">
        <f>IF(AND($F17&lt;=AV$2, OR($G17="",$G17&gt;=AV$2)),
  $H17 * (1 + Assumptions!$C$7) ^ INT(((YEAR(AV$2)-YEAR($F17))*12 + MONTH(AV$2)-MONTH($F17)) / 12),
  0)</f>
        <v/>
      </c>
      <c r="AW17" s="299">
        <f>IF(AND($F17&lt;=AW$2, OR($G17="",$G17&gt;=AW$2)),
  $H17 * (1 + Assumptions!$C$7) ^ INT(((YEAR(AW$2)-YEAR($F17))*12 + MONTH(AW$2)-MONTH($F17)) / 12),
  0)</f>
        <v/>
      </c>
      <c r="AX17" s="299">
        <f>IF(AND($F17&lt;=AX$2, OR($G17="",$G17&gt;=AX$2)),
  $H17 * (1 + Assumptions!$C$7) ^ INT(((YEAR(AX$2)-YEAR($F17))*12 + MONTH(AX$2)-MONTH($F17)) / 12),
  0)</f>
        <v/>
      </c>
      <c r="AY17" s="299">
        <f>IF(AND($F17&lt;=AY$2, OR($G17="",$G17&gt;=AY$2)),
  $H17 * (1 + Assumptions!$C$7) ^ INT(((YEAR(AY$2)-YEAR($F17))*12 + MONTH(AY$2)-MONTH($F17)) / 12),
  0)</f>
        <v/>
      </c>
      <c r="AZ17" s="299">
        <f>IF(AND($F17&lt;=AZ$2, OR($G17="",$G17&gt;=AZ$2)),
  $H17 * (1 + Assumptions!$C$7) ^ INT(((YEAR(AZ$2)-YEAR($F17))*12 + MONTH(AZ$2)-MONTH($F17)) / 12),
  0)</f>
        <v/>
      </c>
      <c r="BA17" s="299">
        <f>IF(AND($F17&lt;=BA$2, OR($G17="",$G17&gt;=BA$2)),
  $H17 * (1 + Assumptions!$C$7) ^ INT(((YEAR(BA$2)-YEAR($F17))*12 + MONTH(BA$2)-MONTH($F17)) / 12),
  0)</f>
        <v/>
      </c>
      <c r="BB17" s="299">
        <f>IF(AND($F17&lt;=BB$2, OR($G17="",$G17&gt;=BB$2)),
  $H17 * (1 + Assumptions!$C$7) ^ INT(((YEAR(BB$2)-YEAR($F17))*12 + MONTH(BB$2)-MONTH($F17)) / 12),
  0)</f>
        <v/>
      </c>
      <c r="BC17" s="299">
        <f>IF(AND($F17&lt;=BC$2, OR($G17="",$G17&gt;=BC$2)),
  $H17 * (1 + Assumptions!$C$7) ^ INT(((YEAR(BC$2)-YEAR($F17))*12 + MONTH(BC$2)-MONTH($F17)) / 12),
  0)</f>
        <v/>
      </c>
      <c r="BD17" s="299">
        <f>IF(AND($F17&lt;=BD$2, OR($G17="",$G17&gt;=BD$2)),
  $H17 * (1 + Assumptions!$C$7) ^ INT(((YEAR(BD$2)-YEAR($F17))*12 + MONTH(BD$2)-MONTH($F17)) / 12),
  0)</f>
        <v/>
      </c>
      <c r="BE17" s="299">
        <f>IF(AND($F17&lt;=BE$2, OR($G17="",$G17&gt;=BE$2)),
  $H17 * (1 + Assumptions!$C$7) ^ INT(((YEAR(BE$2)-YEAR($F17))*12 + MONTH(BE$2)-MONTH($F17)) / 12),
  0)</f>
        <v/>
      </c>
      <c r="BF17" s="299">
        <f>IF(AND($F17&lt;=BF$2, OR($G17="",$G17&gt;=BF$2)),
  $H17 * (1 + Assumptions!$C$7) ^ INT(((YEAR(BF$2)-YEAR($F17))*12 + MONTH(BF$2)-MONTH($F17)) / 12),
  0)</f>
        <v/>
      </c>
      <c r="BG17" s="299">
        <f>IF(AND($F17&lt;=BG$2, OR($G17="",$G17&gt;=BG$2)),
  $H17 * (1 + Assumptions!$C$7) ^ INT(((YEAR(BG$2)-YEAR($F17))*12 + MONTH(BG$2)-MONTH($F17)) / 12),
  0)</f>
        <v/>
      </c>
      <c r="BH17" s="299">
        <f>IF(AND($F17&lt;=BH$2, OR($G17="",$G17&gt;=BH$2)),
  $H17 * (1 + Assumptions!$C$7) ^ INT(((YEAR(BH$2)-YEAR($F17))*12 + MONTH(BH$2)-MONTH($F17)) / 12),
  0)</f>
        <v/>
      </c>
      <c r="BI17" s="299">
        <f>IF(AND($F17&lt;=BI$2, OR($G17="",$G17&gt;=BI$2)),
  $H17 * (1 + Assumptions!$C$7) ^ INT(((YEAR(BI$2)-YEAR($F17))*12 + MONTH(BI$2)-MONTH($F17)) / 12),
  0)</f>
        <v/>
      </c>
      <c r="BJ17" s="299">
        <f>IF(AND($F17&lt;=BJ$2, OR($G17="",$G17&gt;=BJ$2)),
  $H17 * (1 + Assumptions!$C$7) ^ INT(((YEAR(BJ$2)-YEAR($F17))*12 + MONTH(BJ$2)-MONTH($F17)) / 12),
  0)</f>
        <v/>
      </c>
      <c r="BK17" s="299">
        <f>IF(AND($F17&lt;=BK$2, OR($G17="",$G17&gt;=BK$2)),
  $H17 * (1 + Assumptions!$C$7) ^ INT(((YEAR(BK$2)-YEAR($F17))*12 + MONTH(BK$2)-MONTH($F17)) / 12),
  0)</f>
        <v/>
      </c>
      <c r="BL17" s="299">
        <f>IF(AND($F17&lt;=BL$2, OR($G17="",$G17&gt;=BL$2)),
  $H17 * (1 + Assumptions!$C$7) ^ INT(((YEAR(BL$2)-YEAR($F17))*12 + MONTH(BL$2)-MONTH($F17)) / 12),
  0)</f>
        <v/>
      </c>
      <c r="BM17" s="299">
        <f>IF(AND($F17&lt;=BM$2, OR($G17="",$G17&gt;=BM$2)),
  $H17 * (1 + Assumptions!$C$7) ^ INT(((YEAR(BM$2)-YEAR($F17))*12 + MONTH(BM$2)-MONTH($F17)) / 12),
  0)</f>
        <v/>
      </c>
      <c r="BN17" s="299">
        <f>IF(AND($F17&lt;=BN$2, OR($G17="",$G17&gt;=BN$2)),
  $H17 * (1 + Assumptions!$C$7) ^ INT(((YEAR(BN$2)-YEAR($F17))*12 + MONTH(BN$2)-MONTH($F17)) / 12),
  0)</f>
        <v/>
      </c>
      <c r="BO17" s="299">
        <f>IF(AND($F17&lt;=BO$2, OR($G17="",$G17&gt;=BO$2)),
  $H17 * (1 + Assumptions!$C$7) ^ INT(((YEAR(BO$2)-YEAR($F17))*12 + MONTH(BO$2)-MONTH($F17)) / 12),
  0)</f>
        <v/>
      </c>
      <c r="BP17" s="299">
        <f>IF(AND($F17&lt;=BP$2, OR($G17="",$G17&gt;=BP$2)),
  $H17 * (1 + Assumptions!$C$7) ^ INT(((YEAR(BP$2)-YEAR($F17))*12 + MONTH(BP$2)-MONTH($F17)) / 12),
  0)</f>
        <v/>
      </c>
      <c r="BQ17" s="31" t="n"/>
      <c r="BR17" s="40" t="inlineStr">
        <is>
          <t>paid this month if started and not yet left; +8% on each work anniversary</t>
        </is>
      </c>
      <c r="BS17" s="31" t="n"/>
      <c r="BT17" s="31" t="n"/>
    </row>
    <row r="18">
      <c r="A18" s="321" t="n">
        <v>13</v>
      </c>
      <c r="B18" s="285" t="inlineStr">
        <is>
          <t>New hire</t>
        </is>
      </c>
      <c r="C18" s="317" t="inlineStr">
        <is>
          <t>R&amp;D</t>
        </is>
      </c>
      <c r="D18" s="317" t="inlineStr">
        <is>
          <t>Maintenance Engineer</t>
        </is>
      </c>
      <c r="E18" s="297" t="inlineStr">
        <is>
          <t>Planned</t>
        </is>
      </c>
      <c r="F18" s="318" t="n">
        <v>46267</v>
      </c>
      <c r="G18" s="320" t="n"/>
      <c r="H18" s="288" t="n">
        <v>6000</v>
      </c>
      <c r="I18" s="299">
        <f>IF(AND($F18&lt;=I$2, OR($G18="",$G18&gt;=I$2)),
  $H18 * (1 + Assumptions!$C$7) ^ INT(((YEAR(I$2)-YEAR($F18))*12 + MONTH(I$2)-MONTH($F18)) / 12),
  0)</f>
        <v/>
      </c>
      <c r="J18" s="299">
        <f>IF(AND($F18&lt;=J$2, OR($G18="",$G18&gt;=J$2)),
  $H18 * (1 + Assumptions!$C$7) ^ INT(((YEAR(J$2)-YEAR($F18))*12 + MONTH(J$2)-MONTH($F18)) / 12),
  0)</f>
        <v/>
      </c>
      <c r="K18" s="299">
        <f>IF(AND($F18&lt;=K$2, OR($G18="",$G18&gt;=K$2)),
  $H18 * (1 + Assumptions!$C$7) ^ INT(((YEAR(K$2)-YEAR($F18))*12 + MONTH(K$2)-MONTH($F18)) / 12),
  0)</f>
        <v/>
      </c>
      <c r="L18" s="299">
        <f>IF(AND($F18&lt;=L$2, OR($G18="",$G18&gt;=L$2)),
  $H18 * (1 + Assumptions!$C$7) ^ INT(((YEAR(L$2)-YEAR($F18))*12 + MONTH(L$2)-MONTH($F18)) / 12),
  0)</f>
        <v/>
      </c>
      <c r="M18" s="299">
        <f>IF(AND($F18&lt;=M$2, OR($G18="",$G18&gt;=M$2)),
  $H18 * (1 + Assumptions!$C$7) ^ INT(((YEAR(M$2)-YEAR($F18))*12 + MONTH(M$2)-MONTH($F18)) / 12),
  0)</f>
        <v/>
      </c>
      <c r="N18" s="299">
        <f>IF(AND($F18&lt;=N$2, OR($G18="",$G18&gt;=N$2)),
  $H18 * (1 + Assumptions!$C$7) ^ INT(((YEAR(N$2)-YEAR($F18))*12 + MONTH(N$2)-MONTH($F18)) / 12),
  0)</f>
        <v/>
      </c>
      <c r="O18" s="299">
        <f>IF(AND($F18&lt;=O$2, OR($G18="",$G18&gt;=O$2)),
  $H18 * (1 + Assumptions!$C$7) ^ INT(((YEAR(O$2)-YEAR($F18))*12 + MONTH(O$2)-MONTH($F18)) / 12),
  0)</f>
        <v/>
      </c>
      <c r="P18" s="299">
        <f>IF(AND($F18&lt;=P$2, OR($G18="",$G18&gt;=P$2)),
  $H18 * (1 + Assumptions!$C$7) ^ INT(((YEAR(P$2)-YEAR($F18))*12 + MONTH(P$2)-MONTH($F18)) / 12),
  0)</f>
        <v/>
      </c>
      <c r="Q18" s="299">
        <f>IF(AND($F18&lt;=Q$2, OR($G18="",$G18&gt;=Q$2)),
  $H18 * (1 + Assumptions!$C$7) ^ INT(((YEAR(Q$2)-YEAR($F18))*12 + MONTH(Q$2)-MONTH($F18)) / 12),
  0)</f>
        <v/>
      </c>
      <c r="R18" s="299">
        <f>IF(AND($F18&lt;=R$2, OR($G18="",$G18&gt;=R$2)),
  $H18 * (1 + Assumptions!$C$7) ^ INT(((YEAR(R$2)-YEAR($F18))*12 + MONTH(R$2)-MONTH($F18)) / 12),
  0)</f>
        <v/>
      </c>
      <c r="S18" s="299">
        <f>IF(AND($F18&lt;=S$2, OR($G18="",$G18&gt;=S$2)),
  $H18 * (1 + Assumptions!$C$7) ^ INT(((YEAR(S$2)-YEAR($F18))*12 + MONTH(S$2)-MONTH($F18)) / 12),
  0)</f>
        <v/>
      </c>
      <c r="T18" s="299">
        <f>IF(AND($F18&lt;=T$2, OR($G18="",$G18&gt;=T$2)),
  $H18 * (1 + Assumptions!$C$7) ^ INT(((YEAR(T$2)-YEAR($F18))*12 + MONTH(T$2)-MONTH($F18)) / 12),
  0)</f>
        <v/>
      </c>
      <c r="U18" s="299">
        <f>IF(AND($F18&lt;=U$2, OR($G18="",$G18&gt;=U$2)),
  $H18 * (1 + Assumptions!$C$7) ^ INT(((YEAR(U$2)-YEAR($F18))*12 + MONTH(U$2)-MONTH($F18)) / 12),
  0)</f>
        <v/>
      </c>
      <c r="V18" s="299">
        <f>IF(AND($F18&lt;=V$2, OR($G18="",$G18&gt;=V$2)),
  $H18 * (1 + Assumptions!$C$7) ^ INT(((YEAR(V$2)-YEAR($F18))*12 + MONTH(V$2)-MONTH($F18)) / 12),
  0)</f>
        <v/>
      </c>
      <c r="W18" s="299">
        <f>IF(AND($F18&lt;=W$2, OR($G18="",$G18&gt;=W$2)),
  $H18 * (1 + Assumptions!$C$7) ^ INT(((YEAR(W$2)-YEAR($F18))*12 + MONTH(W$2)-MONTH($F18)) / 12),
  0)</f>
        <v/>
      </c>
      <c r="X18" s="299">
        <f>IF(AND($F18&lt;=X$2, OR($G18="",$G18&gt;=X$2)),
  $H18 * (1 + Assumptions!$C$7) ^ INT(((YEAR(X$2)-YEAR($F18))*12 + MONTH(X$2)-MONTH($F18)) / 12),
  0)</f>
        <v/>
      </c>
      <c r="Y18" s="299">
        <f>IF(AND($F18&lt;=Y$2, OR($G18="",$G18&gt;=Y$2)),
  $H18 * (1 + Assumptions!$C$7) ^ INT(((YEAR(Y$2)-YEAR($F18))*12 + MONTH(Y$2)-MONTH($F18)) / 12),
  0)</f>
        <v/>
      </c>
      <c r="Z18" s="299">
        <f>IF(AND($F18&lt;=Z$2, OR($G18="",$G18&gt;=Z$2)),
  $H18 * (1 + Assumptions!$C$7) ^ INT(((YEAR(Z$2)-YEAR($F18))*12 + MONTH(Z$2)-MONTH($F18)) / 12),
  0)</f>
        <v/>
      </c>
      <c r="AA18" s="299">
        <f>IF(AND($F18&lt;=AA$2, OR($G18="",$G18&gt;=AA$2)),
  $H18 * (1 + Assumptions!$C$7) ^ INT(((YEAR(AA$2)-YEAR($F18))*12 + MONTH(AA$2)-MONTH($F18)) / 12),
  0)</f>
        <v/>
      </c>
      <c r="AB18" s="299">
        <f>IF(AND($F18&lt;=AB$2, OR($G18="",$G18&gt;=AB$2)),
  $H18 * (1 + Assumptions!$C$7) ^ INT(((YEAR(AB$2)-YEAR($F18))*12 + MONTH(AB$2)-MONTH($F18)) / 12),
  0)</f>
        <v/>
      </c>
      <c r="AC18" s="299">
        <f>IF(AND($F18&lt;=AC$2, OR($G18="",$G18&gt;=AC$2)),
  $H18 * (1 + Assumptions!$C$7) ^ INT(((YEAR(AC$2)-YEAR($F18))*12 + MONTH(AC$2)-MONTH($F18)) / 12),
  0)</f>
        <v/>
      </c>
      <c r="AD18" s="299">
        <f>IF(AND($F18&lt;=AD$2, OR($G18="",$G18&gt;=AD$2)),
  $H18 * (1 + Assumptions!$C$7) ^ INT(((YEAR(AD$2)-YEAR($F18))*12 + MONTH(AD$2)-MONTH($F18)) / 12),
  0)</f>
        <v/>
      </c>
      <c r="AE18" s="299">
        <f>IF(AND($F18&lt;=AE$2, OR($G18="",$G18&gt;=AE$2)),
  $H18 * (1 + Assumptions!$C$7) ^ INT(((YEAR(AE$2)-YEAR($F18))*12 + MONTH(AE$2)-MONTH($F18)) / 12),
  0)</f>
        <v/>
      </c>
      <c r="AF18" s="299">
        <f>IF(AND($F18&lt;=AF$2, OR($G18="",$G18&gt;=AF$2)),
  $H18 * (1 + Assumptions!$C$7) ^ INT(((YEAR(AF$2)-YEAR($F18))*12 + MONTH(AF$2)-MONTH($F18)) / 12),
  0)</f>
        <v/>
      </c>
      <c r="AG18" s="299">
        <f>IF(AND($F18&lt;=AG$2, OR($G18="",$G18&gt;=AG$2)),
  $H18 * (1 + Assumptions!$C$7) ^ INT(((YEAR(AG$2)-YEAR($F18))*12 + MONTH(AG$2)-MONTH($F18)) / 12),
  0)</f>
        <v/>
      </c>
      <c r="AH18" s="299">
        <f>IF(AND($F18&lt;=AH$2, OR($G18="",$G18&gt;=AH$2)),
  $H18 * (1 + Assumptions!$C$7) ^ INT(((YEAR(AH$2)-YEAR($F18))*12 + MONTH(AH$2)-MONTH($F18)) / 12),
  0)</f>
        <v/>
      </c>
      <c r="AI18" s="299">
        <f>IF(AND($F18&lt;=AI$2, OR($G18="",$G18&gt;=AI$2)),
  $H18 * (1 + Assumptions!$C$7) ^ INT(((YEAR(AI$2)-YEAR($F18))*12 + MONTH(AI$2)-MONTH($F18)) / 12),
  0)</f>
        <v/>
      </c>
      <c r="AJ18" s="299">
        <f>IF(AND($F18&lt;=AJ$2, OR($G18="",$G18&gt;=AJ$2)),
  $H18 * (1 + Assumptions!$C$7) ^ INT(((YEAR(AJ$2)-YEAR($F18))*12 + MONTH(AJ$2)-MONTH($F18)) / 12),
  0)</f>
        <v/>
      </c>
      <c r="AK18" s="299">
        <f>IF(AND($F18&lt;=AK$2, OR($G18="",$G18&gt;=AK$2)),
  $H18 * (1 + Assumptions!$C$7) ^ INT(((YEAR(AK$2)-YEAR($F18))*12 + MONTH(AK$2)-MONTH($F18)) / 12),
  0)</f>
        <v/>
      </c>
      <c r="AL18" s="299">
        <f>IF(AND($F18&lt;=AL$2, OR($G18="",$G18&gt;=AL$2)),
  $H18 * (1 + Assumptions!$C$7) ^ INT(((YEAR(AL$2)-YEAR($F18))*12 + MONTH(AL$2)-MONTH($F18)) / 12),
  0)</f>
        <v/>
      </c>
      <c r="AM18" s="299">
        <f>IF(AND($F18&lt;=AM$2, OR($G18="",$G18&gt;=AM$2)),
  $H18 * (1 + Assumptions!$C$7) ^ INT(((YEAR(AM$2)-YEAR($F18))*12 + MONTH(AM$2)-MONTH($F18)) / 12),
  0)</f>
        <v/>
      </c>
      <c r="AN18" s="299">
        <f>IF(AND($F18&lt;=AN$2, OR($G18="",$G18&gt;=AN$2)),
  $H18 * (1 + Assumptions!$C$7) ^ INT(((YEAR(AN$2)-YEAR($F18))*12 + MONTH(AN$2)-MONTH($F18)) / 12),
  0)</f>
        <v/>
      </c>
      <c r="AO18" s="299">
        <f>IF(AND($F18&lt;=AO$2, OR($G18="",$G18&gt;=AO$2)),
  $H18 * (1 + Assumptions!$C$7) ^ INT(((YEAR(AO$2)-YEAR($F18))*12 + MONTH(AO$2)-MONTH($F18)) / 12),
  0)</f>
        <v/>
      </c>
      <c r="AP18" s="299">
        <f>IF(AND($F18&lt;=AP$2, OR($G18="",$G18&gt;=AP$2)),
  $H18 * (1 + Assumptions!$C$7) ^ INT(((YEAR(AP$2)-YEAR($F18))*12 + MONTH(AP$2)-MONTH($F18)) / 12),
  0)</f>
        <v/>
      </c>
      <c r="AQ18" s="299">
        <f>IF(AND($F18&lt;=AQ$2, OR($G18="",$G18&gt;=AQ$2)),
  $H18 * (1 + Assumptions!$C$7) ^ INT(((YEAR(AQ$2)-YEAR($F18))*12 + MONTH(AQ$2)-MONTH($F18)) / 12),
  0)</f>
        <v/>
      </c>
      <c r="AR18" s="299">
        <f>IF(AND($F18&lt;=AR$2, OR($G18="",$G18&gt;=AR$2)),
  $H18 * (1 + Assumptions!$C$7) ^ INT(((YEAR(AR$2)-YEAR($F18))*12 + MONTH(AR$2)-MONTH($F18)) / 12),
  0)</f>
        <v/>
      </c>
      <c r="AS18" s="299">
        <f>IF(AND($F18&lt;=AS$2, OR($G18="",$G18&gt;=AS$2)),
  $H18 * (1 + Assumptions!$C$7) ^ INT(((YEAR(AS$2)-YEAR($F18))*12 + MONTH(AS$2)-MONTH($F18)) / 12),
  0)</f>
        <v/>
      </c>
      <c r="AT18" s="299">
        <f>IF(AND($F18&lt;=AT$2, OR($G18="",$G18&gt;=AT$2)),
  $H18 * (1 + Assumptions!$C$7) ^ INT(((YEAR(AT$2)-YEAR($F18))*12 + MONTH(AT$2)-MONTH($F18)) / 12),
  0)</f>
        <v/>
      </c>
      <c r="AU18" s="299">
        <f>IF(AND($F18&lt;=AU$2, OR($G18="",$G18&gt;=AU$2)),
  $H18 * (1 + Assumptions!$C$7) ^ INT(((YEAR(AU$2)-YEAR($F18))*12 + MONTH(AU$2)-MONTH($F18)) / 12),
  0)</f>
        <v/>
      </c>
      <c r="AV18" s="299">
        <f>IF(AND($F18&lt;=AV$2, OR($G18="",$G18&gt;=AV$2)),
  $H18 * (1 + Assumptions!$C$7) ^ INT(((YEAR(AV$2)-YEAR($F18))*12 + MONTH(AV$2)-MONTH($F18)) / 12),
  0)</f>
        <v/>
      </c>
      <c r="AW18" s="299">
        <f>IF(AND($F18&lt;=AW$2, OR($G18="",$G18&gt;=AW$2)),
  $H18 * (1 + Assumptions!$C$7) ^ INT(((YEAR(AW$2)-YEAR($F18))*12 + MONTH(AW$2)-MONTH($F18)) / 12),
  0)</f>
        <v/>
      </c>
      <c r="AX18" s="299">
        <f>IF(AND($F18&lt;=AX$2, OR($G18="",$G18&gt;=AX$2)),
  $H18 * (1 + Assumptions!$C$7) ^ INT(((YEAR(AX$2)-YEAR($F18))*12 + MONTH(AX$2)-MONTH($F18)) / 12),
  0)</f>
        <v/>
      </c>
      <c r="AY18" s="299">
        <f>IF(AND($F18&lt;=AY$2, OR($G18="",$G18&gt;=AY$2)),
  $H18 * (1 + Assumptions!$C$7) ^ INT(((YEAR(AY$2)-YEAR($F18))*12 + MONTH(AY$2)-MONTH($F18)) / 12),
  0)</f>
        <v/>
      </c>
      <c r="AZ18" s="299">
        <f>IF(AND($F18&lt;=AZ$2, OR($G18="",$G18&gt;=AZ$2)),
  $H18 * (1 + Assumptions!$C$7) ^ INT(((YEAR(AZ$2)-YEAR($F18))*12 + MONTH(AZ$2)-MONTH($F18)) / 12),
  0)</f>
        <v/>
      </c>
      <c r="BA18" s="299">
        <f>IF(AND($F18&lt;=BA$2, OR($G18="",$G18&gt;=BA$2)),
  $H18 * (1 + Assumptions!$C$7) ^ INT(((YEAR(BA$2)-YEAR($F18))*12 + MONTH(BA$2)-MONTH($F18)) / 12),
  0)</f>
        <v/>
      </c>
      <c r="BB18" s="299">
        <f>IF(AND($F18&lt;=BB$2, OR($G18="",$G18&gt;=BB$2)),
  $H18 * (1 + Assumptions!$C$7) ^ INT(((YEAR(BB$2)-YEAR($F18))*12 + MONTH(BB$2)-MONTH($F18)) / 12),
  0)</f>
        <v/>
      </c>
      <c r="BC18" s="299">
        <f>IF(AND($F18&lt;=BC$2, OR($G18="",$G18&gt;=BC$2)),
  $H18 * (1 + Assumptions!$C$7) ^ INT(((YEAR(BC$2)-YEAR($F18))*12 + MONTH(BC$2)-MONTH($F18)) / 12),
  0)</f>
        <v/>
      </c>
      <c r="BD18" s="299">
        <f>IF(AND($F18&lt;=BD$2, OR($G18="",$G18&gt;=BD$2)),
  $H18 * (1 + Assumptions!$C$7) ^ INT(((YEAR(BD$2)-YEAR($F18))*12 + MONTH(BD$2)-MONTH($F18)) / 12),
  0)</f>
        <v/>
      </c>
      <c r="BE18" s="299">
        <f>IF(AND($F18&lt;=BE$2, OR($G18="",$G18&gt;=BE$2)),
  $H18 * (1 + Assumptions!$C$7) ^ INT(((YEAR(BE$2)-YEAR($F18))*12 + MONTH(BE$2)-MONTH($F18)) / 12),
  0)</f>
        <v/>
      </c>
      <c r="BF18" s="299">
        <f>IF(AND($F18&lt;=BF$2, OR($G18="",$G18&gt;=BF$2)),
  $H18 * (1 + Assumptions!$C$7) ^ INT(((YEAR(BF$2)-YEAR($F18))*12 + MONTH(BF$2)-MONTH($F18)) / 12),
  0)</f>
        <v/>
      </c>
      <c r="BG18" s="299">
        <f>IF(AND($F18&lt;=BG$2, OR($G18="",$G18&gt;=BG$2)),
  $H18 * (1 + Assumptions!$C$7) ^ INT(((YEAR(BG$2)-YEAR($F18))*12 + MONTH(BG$2)-MONTH($F18)) / 12),
  0)</f>
        <v/>
      </c>
      <c r="BH18" s="299">
        <f>IF(AND($F18&lt;=BH$2, OR($G18="",$G18&gt;=BH$2)),
  $H18 * (1 + Assumptions!$C$7) ^ INT(((YEAR(BH$2)-YEAR($F18))*12 + MONTH(BH$2)-MONTH($F18)) / 12),
  0)</f>
        <v/>
      </c>
      <c r="BI18" s="299">
        <f>IF(AND($F18&lt;=BI$2, OR($G18="",$G18&gt;=BI$2)),
  $H18 * (1 + Assumptions!$C$7) ^ INT(((YEAR(BI$2)-YEAR($F18))*12 + MONTH(BI$2)-MONTH($F18)) / 12),
  0)</f>
        <v/>
      </c>
      <c r="BJ18" s="299">
        <f>IF(AND($F18&lt;=BJ$2, OR($G18="",$G18&gt;=BJ$2)),
  $H18 * (1 + Assumptions!$C$7) ^ INT(((YEAR(BJ$2)-YEAR($F18))*12 + MONTH(BJ$2)-MONTH($F18)) / 12),
  0)</f>
        <v/>
      </c>
      <c r="BK18" s="299">
        <f>IF(AND($F18&lt;=BK$2, OR($G18="",$G18&gt;=BK$2)),
  $H18 * (1 + Assumptions!$C$7) ^ INT(((YEAR(BK$2)-YEAR($F18))*12 + MONTH(BK$2)-MONTH($F18)) / 12),
  0)</f>
        <v/>
      </c>
      <c r="BL18" s="299">
        <f>IF(AND($F18&lt;=BL$2, OR($G18="",$G18&gt;=BL$2)),
  $H18 * (1 + Assumptions!$C$7) ^ INT(((YEAR(BL$2)-YEAR($F18))*12 + MONTH(BL$2)-MONTH($F18)) / 12),
  0)</f>
        <v/>
      </c>
      <c r="BM18" s="299">
        <f>IF(AND($F18&lt;=BM$2, OR($G18="",$G18&gt;=BM$2)),
  $H18 * (1 + Assumptions!$C$7) ^ INT(((YEAR(BM$2)-YEAR($F18))*12 + MONTH(BM$2)-MONTH($F18)) / 12),
  0)</f>
        <v/>
      </c>
      <c r="BN18" s="299">
        <f>IF(AND($F18&lt;=BN$2, OR($G18="",$G18&gt;=BN$2)),
  $H18 * (1 + Assumptions!$C$7) ^ INT(((YEAR(BN$2)-YEAR($F18))*12 + MONTH(BN$2)-MONTH($F18)) / 12),
  0)</f>
        <v/>
      </c>
      <c r="BO18" s="299">
        <f>IF(AND($F18&lt;=BO$2, OR($G18="",$G18&gt;=BO$2)),
  $H18 * (1 + Assumptions!$C$7) ^ INT(((YEAR(BO$2)-YEAR($F18))*12 + MONTH(BO$2)-MONTH($F18)) / 12),
  0)</f>
        <v/>
      </c>
      <c r="BP18" s="299">
        <f>IF(AND($F18&lt;=BP$2, OR($G18="",$G18&gt;=BP$2)),
  $H18 * (1 + Assumptions!$C$7) ^ INT(((YEAR(BP$2)-YEAR($F18))*12 + MONTH(BP$2)-MONTH($F18)) / 12),
  0)</f>
        <v/>
      </c>
      <c r="BQ18" s="31" t="n"/>
      <c r="BR18" s="40" t="inlineStr">
        <is>
          <t>paid this month if started and not yet left; +8% on each work anniversary</t>
        </is>
      </c>
      <c r="BS18" s="31" t="n"/>
      <c r="BT18" s="31" t="n"/>
    </row>
    <row r="19">
      <c r="A19" s="321" t="n">
        <v>14</v>
      </c>
      <c r="B19" s="285" t="inlineStr">
        <is>
          <t>New hire</t>
        </is>
      </c>
      <c r="C19" s="317" t="inlineStr">
        <is>
          <t>S&amp;M</t>
        </is>
      </c>
      <c r="D19" s="23" t="inlineStr">
        <is>
          <t>Marketing</t>
        </is>
      </c>
      <c r="E19" s="297" t="inlineStr">
        <is>
          <t>Planned</t>
        </is>
      </c>
      <c r="F19" s="318" t="n">
        <v>46268</v>
      </c>
      <c r="G19" s="311" t="n"/>
      <c r="H19" s="288" t="n">
        <v>9000</v>
      </c>
      <c r="I19" s="299">
        <f>IF(AND($F19&lt;=I$2, OR($G19="",$G19&gt;=I$2)),
  $H19 * (1 + Assumptions!$C$7) ^ INT(((YEAR(I$2)-YEAR($F19))*12 + MONTH(I$2)-MONTH($F19)) / 12),
  0)</f>
        <v/>
      </c>
      <c r="J19" s="299">
        <f>IF(AND($F19&lt;=J$2, OR($G19="",$G19&gt;=J$2)),
  $H19 * (1 + Assumptions!$C$7) ^ INT(((YEAR(J$2)-YEAR($F19))*12 + MONTH(J$2)-MONTH($F19)) / 12),
  0)</f>
        <v/>
      </c>
      <c r="K19" s="299">
        <f>IF(AND($F19&lt;=K$2, OR($G19="",$G19&gt;=K$2)),
  $H19 * (1 + Assumptions!$C$7) ^ INT(((YEAR(K$2)-YEAR($F19))*12 + MONTH(K$2)-MONTH($F19)) / 12),
  0)</f>
        <v/>
      </c>
      <c r="L19" s="299">
        <f>IF(AND($F19&lt;=L$2, OR($G19="",$G19&gt;=L$2)),
  $H19 * (1 + Assumptions!$C$7) ^ INT(((YEAR(L$2)-YEAR($F19))*12 + MONTH(L$2)-MONTH($F19)) / 12),
  0)</f>
        <v/>
      </c>
      <c r="M19" s="299">
        <f>IF(AND($F19&lt;=M$2, OR($G19="",$G19&gt;=M$2)),
  $H19 * (1 + Assumptions!$C$7) ^ INT(((YEAR(M$2)-YEAR($F19))*12 + MONTH(M$2)-MONTH($F19)) / 12),
  0)</f>
        <v/>
      </c>
      <c r="N19" s="299">
        <f>IF(AND($F19&lt;=N$2, OR($G19="",$G19&gt;=N$2)),
  $H19 * (1 + Assumptions!$C$7) ^ INT(((YEAR(N$2)-YEAR($F19))*12 + MONTH(N$2)-MONTH($F19)) / 12),
  0)</f>
        <v/>
      </c>
      <c r="O19" s="299">
        <f>IF(AND($F19&lt;=O$2, OR($G19="",$G19&gt;=O$2)),
  $H19 * (1 + Assumptions!$C$7) ^ INT(((YEAR(O$2)-YEAR($F19))*12 + MONTH(O$2)-MONTH($F19)) / 12),
  0)</f>
        <v/>
      </c>
      <c r="P19" s="299">
        <f>IF(AND($F19&lt;=P$2, OR($G19="",$G19&gt;=P$2)),
  $H19 * (1 + Assumptions!$C$7) ^ INT(((YEAR(P$2)-YEAR($F19))*12 + MONTH(P$2)-MONTH($F19)) / 12),
  0)</f>
        <v/>
      </c>
      <c r="Q19" s="299">
        <f>IF(AND($F19&lt;=Q$2, OR($G19="",$G19&gt;=Q$2)),
  $H19 * (1 + Assumptions!$C$7) ^ INT(((YEAR(Q$2)-YEAR($F19))*12 + MONTH(Q$2)-MONTH($F19)) / 12),
  0)</f>
        <v/>
      </c>
      <c r="R19" s="299">
        <f>IF(AND($F19&lt;=R$2, OR($G19="",$G19&gt;=R$2)),
  $H19 * (1 + Assumptions!$C$7) ^ INT(((YEAR(R$2)-YEAR($F19))*12 + MONTH(R$2)-MONTH($F19)) / 12),
  0)</f>
        <v/>
      </c>
      <c r="S19" s="299">
        <f>IF(AND($F19&lt;=S$2, OR($G19="",$G19&gt;=S$2)),
  $H19 * (1 + Assumptions!$C$7) ^ INT(((YEAR(S$2)-YEAR($F19))*12 + MONTH(S$2)-MONTH($F19)) / 12),
  0)</f>
        <v/>
      </c>
      <c r="T19" s="299">
        <f>IF(AND($F19&lt;=T$2, OR($G19="",$G19&gt;=T$2)),
  $H19 * (1 + Assumptions!$C$7) ^ INT(((YEAR(T$2)-YEAR($F19))*12 + MONTH(T$2)-MONTH($F19)) / 12),
  0)</f>
        <v/>
      </c>
      <c r="U19" s="299">
        <f>IF(AND($F19&lt;=U$2, OR($G19="",$G19&gt;=U$2)),
  $H19 * (1 + Assumptions!$C$7) ^ INT(((YEAR(U$2)-YEAR($F19))*12 + MONTH(U$2)-MONTH($F19)) / 12),
  0)</f>
        <v/>
      </c>
      <c r="V19" s="299">
        <f>IF(AND($F19&lt;=V$2, OR($G19="",$G19&gt;=V$2)),
  $H19 * (1 + Assumptions!$C$7) ^ INT(((YEAR(V$2)-YEAR($F19))*12 + MONTH(V$2)-MONTH($F19)) / 12),
  0)</f>
        <v/>
      </c>
      <c r="W19" s="299">
        <f>IF(AND($F19&lt;=W$2, OR($G19="",$G19&gt;=W$2)),
  $H19 * (1 + Assumptions!$C$7) ^ INT(((YEAR(W$2)-YEAR($F19))*12 + MONTH(W$2)-MONTH($F19)) / 12),
  0)</f>
        <v/>
      </c>
      <c r="X19" s="299">
        <f>IF(AND($F19&lt;=X$2, OR($G19="",$G19&gt;=X$2)),
  $H19 * (1 + Assumptions!$C$7) ^ INT(((YEAR(X$2)-YEAR($F19))*12 + MONTH(X$2)-MONTH($F19)) / 12),
  0)</f>
        <v/>
      </c>
      <c r="Y19" s="299">
        <f>IF(AND($F19&lt;=Y$2, OR($G19="",$G19&gt;=Y$2)),
  $H19 * (1 + Assumptions!$C$7) ^ INT(((YEAR(Y$2)-YEAR($F19))*12 + MONTH(Y$2)-MONTH($F19)) / 12),
  0)</f>
        <v/>
      </c>
      <c r="Z19" s="299">
        <f>IF(AND($F19&lt;=Z$2, OR($G19="",$G19&gt;=Z$2)),
  $H19 * (1 + Assumptions!$C$7) ^ INT(((YEAR(Z$2)-YEAR($F19))*12 + MONTH(Z$2)-MONTH($F19)) / 12),
  0)</f>
        <v/>
      </c>
      <c r="AA19" s="299">
        <f>IF(AND($F19&lt;=AA$2, OR($G19="",$G19&gt;=AA$2)),
  $H19 * (1 + Assumptions!$C$7) ^ INT(((YEAR(AA$2)-YEAR($F19))*12 + MONTH(AA$2)-MONTH($F19)) / 12),
  0)</f>
        <v/>
      </c>
      <c r="AB19" s="299">
        <f>IF(AND($F19&lt;=AB$2, OR($G19="",$G19&gt;=AB$2)),
  $H19 * (1 + Assumptions!$C$7) ^ INT(((YEAR(AB$2)-YEAR($F19))*12 + MONTH(AB$2)-MONTH($F19)) / 12),
  0)</f>
        <v/>
      </c>
      <c r="AC19" s="299">
        <f>IF(AND($F19&lt;=AC$2, OR($G19="",$G19&gt;=AC$2)),
  $H19 * (1 + Assumptions!$C$7) ^ INT(((YEAR(AC$2)-YEAR($F19))*12 + MONTH(AC$2)-MONTH($F19)) / 12),
  0)</f>
        <v/>
      </c>
      <c r="AD19" s="299">
        <f>IF(AND($F19&lt;=AD$2, OR($G19="",$G19&gt;=AD$2)),
  $H19 * (1 + Assumptions!$C$7) ^ INT(((YEAR(AD$2)-YEAR($F19))*12 + MONTH(AD$2)-MONTH($F19)) / 12),
  0)</f>
        <v/>
      </c>
      <c r="AE19" s="299">
        <f>IF(AND($F19&lt;=AE$2, OR($G19="",$G19&gt;=AE$2)),
  $H19 * (1 + Assumptions!$C$7) ^ INT(((YEAR(AE$2)-YEAR($F19))*12 + MONTH(AE$2)-MONTH($F19)) / 12),
  0)</f>
        <v/>
      </c>
      <c r="AF19" s="299">
        <f>IF(AND($F19&lt;=AF$2, OR($G19="",$G19&gt;=AF$2)),
  $H19 * (1 + Assumptions!$C$7) ^ INT(((YEAR(AF$2)-YEAR($F19))*12 + MONTH(AF$2)-MONTH($F19)) / 12),
  0)</f>
        <v/>
      </c>
      <c r="AG19" s="299">
        <f>IF(AND($F19&lt;=AG$2, OR($G19="",$G19&gt;=AG$2)),
  $H19 * (1 + Assumptions!$C$7) ^ INT(((YEAR(AG$2)-YEAR($F19))*12 + MONTH(AG$2)-MONTH($F19)) / 12),
  0)</f>
        <v/>
      </c>
      <c r="AH19" s="299">
        <f>IF(AND($F19&lt;=AH$2, OR($G19="",$G19&gt;=AH$2)),
  $H19 * (1 + Assumptions!$C$7) ^ INT(((YEAR(AH$2)-YEAR($F19))*12 + MONTH(AH$2)-MONTH($F19)) / 12),
  0)</f>
        <v/>
      </c>
      <c r="AI19" s="299">
        <f>IF(AND($F19&lt;=AI$2, OR($G19="",$G19&gt;=AI$2)),
  $H19 * (1 + Assumptions!$C$7) ^ INT(((YEAR(AI$2)-YEAR($F19))*12 + MONTH(AI$2)-MONTH($F19)) / 12),
  0)</f>
        <v/>
      </c>
      <c r="AJ19" s="299">
        <f>IF(AND($F19&lt;=AJ$2, OR($G19="",$G19&gt;=AJ$2)),
  $H19 * (1 + Assumptions!$C$7) ^ INT(((YEAR(AJ$2)-YEAR($F19))*12 + MONTH(AJ$2)-MONTH($F19)) / 12),
  0)</f>
        <v/>
      </c>
      <c r="AK19" s="299">
        <f>IF(AND($F19&lt;=AK$2, OR($G19="",$G19&gt;=AK$2)),
  $H19 * (1 + Assumptions!$C$7) ^ INT(((YEAR(AK$2)-YEAR($F19))*12 + MONTH(AK$2)-MONTH($F19)) / 12),
  0)</f>
        <v/>
      </c>
      <c r="AL19" s="299">
        <f>IF(AND($F19&lt;=AL$2, OR($G19="",$G19&gt;=AL$2)),
  $H19 * (1 + Assumptions!$C$7) ^ INT(((YEAR(AL$2)-YEAR($F19))*12 + MONTH(AL$2)-MONTH($F19)) / 12),
  0)</f>
        <v/>
      </c>
      <c r="AM19" s="299">
        <f>IF(AND($F19&lt;=AM$2, OR($G19="",$G19&gt;=AM$2)),
  $H19 * (1 + Assumptions!$C$7) ^ INT(((YEAR(AM$2)-YEAR($F19))*12 + MONTH(AM$2)-MONTH($F19)) / 12),
  0)</f>
        <v/>
      </c>
      <c r="AN19" s="299">
        <f>IF(AND($F19&lt;=AN$2, OR($G19="",$G19&gt;=AN$2)),
  $H19 * (1 + Assumptions!$C$7) ^ INT(((YEAR(AN$2)-YEAR($F19))*12 + MONTH(AN$2)-MONTH($F19)) / 12),
  0)</f>
        <v/>
      </c>
      <c r="AO19" s="299">
        <f>IF(AND($F19&lt;=AO$2, OR($G19="",$G19&gt;=AO$2)),
  $H19 * (1 + Assumptions!$C$7) ^ INT(((YEAR(AO$2)-YEAR($F19))*12 + MONTH(AO$2)-MONTH($F19)) / 12),
  0)</f>
        <v/>
      </c>
      <c r="AP19" s="299">
        <f>IF(AND($F19&lt;=AP$2, OR($G19="",$G19&gt;=AP$2)),
  $H19 * (1 + Assumptions!$C$7) ^ INT(((YEAR(AP$2)-YEAR($F19))*12 + MONTH(AP$2)-MONTH($F19)) / 12),
  0)</f>
        <v/>
      </c>
      <c r="AQ19" s="299">
        <f>IF(AND($F19&lt;=AQ$2, OR($G19="",$G19&gt;=AQ$2)),
  $H19 * (1 + Assumptions!$C$7) ^ INT(((YEAR(AQ$2)-YEAR($F19))*12 + MONTH(AQ$2)-MONTH($F19)) / 12),
  0)</f>
        <v/>
      </c>
      <c r="AR19" s="299">
        <f>IF(AND($F19&lt;=AR$2, OR($G19="",$G19&gt;=AR$2)),
  $H19 * (1 + Assumptions!$C$7) ^ INT(((YEAR(AR$2)-YEAR($F19))*12 + MONTH(AR$2)-MONTH($F19)) / 12),
  0)</f>
        <v/>
      </c>
      <c r="AS19" s="299">
        <f>IF(AND($F19&lt;=AS$2, OR($G19="",$G19&gt;=AS$2)),
  $H19 * (1 + Assumptions!$C$7) ^ INT(((YEAR(AS$2)-YEAR($F19))*12 + MONTH(AS$2)-MONTH($F19)) / 12),
  0)</f>
        <v/>
      </c>
      <c r="AT19" s="299">
        <f>IF(AND($F19&lt;=AT$2, OR($G19="",$G19&gt;=AT$2)),
  $H19 * (1 + Assumptions!$C$7) ^ INT(((YEAR(AT$2)-YEAR($F19))*12 + MONTH(AT$2)-MONTH($F19)) / 12),
  0)</f>
        <v/>
      </c>
      <c r="AU19" s="299">
        <f>IF(AND($F19&lt;=AU$2, OR($G19="",$G19&gt;=AU$2)),
  $H19 * (1 + Assumptions!$C$7) ^ INT(((YEAR(AU$2)-YEAR($F19))*12 + MONTH(AU$2)-MONTH($F19)) / 12),
  0)</f>
        <v/>
      </c>
      <c r="AV19" s="299">
        <f>IF(AND($F19&lt;=AV$2, OR($G19="",$G19&gt;=AV$2)),
  $H19 * (1 + Assumptions!$C$7) ^ INT(((YEAR(AV$2)-YEAR($F19))*12 + MONTH(AV$2)-MONTH($F19)) / 12),
  0)</f>
        <v/>
      </c>
      <c r="AW19" s="299">
        <f>IF(AND($F19&lt;=AW$2, OR($G19="",$G19&gt;=AW$2)),
  $H19 * (1 + Assumptions!$C$7) ^ INT(((YEAR(AW$2)-YEAR($F19))*12 + MONTH(AW$2)-MONTH($F19)) / 12),
  0)</f>
        <v/>
      </c>
      <c r="AX19" s="299">
        <f>IF(AND($F19&lt;=AX$2, OR($G19="",$G19&gt;=AX$2)),
  $H19 * (1 + Assumptions!$C$7) ^ INT(((YEAR(AX$2)-YEAR($F19))*12 + MONTH(AX$2)-MONTH($F19)) / 12),
  0)</f>
        <v/>
      </c>
      <c r="AY19" s="299">
        <f>IF(AND($F19&lt;=AY$2, OR($G19="",$G19&gt;=AY$2)),
  $H19 * (1 + Assumptions!$C$7) ^ INT(((YEAR(AY$2)-YEAR($F19))*12 + MONTH(AY$2)-MONTH($F19)) / 12),
  0)</f>
        <v/>
      </c>
      <c r="AZ19" s="299">
        <f>IF(AND($F19&lt;=AZ$2, OR($G19="",$G19&gt;=AZ$2)),
  $H19 * (1 + Assumptions!$C$7) ^ INT(((YEAR(AZ$2)-YEAR($F19))*12 + MONTH(AZ$2)-MONTH($F19)) / 12),
  0)</f>
        <v/>
      </c>
      <c r="BA19" s="299">
        <f>IF(AND($F19&lt;=BA$2, OR($G19="",$G19&gt;=BA$2)),
  $H19 * (1 + Assumptions!$C$7) ^ INT(((YEAR(BA$2)-YEAR($F19))*12 + MONTH(BA$2)-MONTH($F19)) / 12),
  0)</f>
        <v/>
      </c>
      <c r="BB19" s="299">
        <f>IF(AND($F19&lt;=BB$2, OR($G19="",$G19&gt;=BB$2)),
  $H19 * (1 + Assumptions!$C$7) ^ INT(((YEAR(BB$2)-YEAR($F19))*12 + MONTH(BB$2)-MONTH($F19)) / 12),
  0)</f>
        <v/>
      </c>
      <c r="BC19" s="299">
        <f>IF(AND($F19&lt;=BC$2, OR($G19="",$G19&gt;=BC$2)),
  $H19 * (1 + Assumptions!$C$7) ^ INT(((YEAR(BC$2)-YEAR($F19))*12 + MONTH(BC$2)-MONTH($F19)) / 12),
  0)</f>
        <v/>
      </c>
      <c r="BD19" s="299">
        <f>IF(AND($F19&lt;=BD$2, OR($G19="",$G19&gt;=BD$2)),
  $H19 * (1 + Assumptions!$C$7) ^ INT(((YEAR(BD$2)-YEAR($F19))*12 + MONTH(BD$2)-MONTH($F19)) / 12),
  0)</f>
        <v/>
      </c>
      <c r="BE19" s="299">
        <f>IF(AND($F19&lt;=BE$2, OR($G19="",$G19&gt;=BE$2)),
  $H19 * (1 + Assumptions!$C$7) ^ INT(((YEAR(BE$2)-YEAR($F19))*12 + MONTH(BE$2)-MONTH($F19)) / 12),
  0)</f>
        <v/>
      </c>
      <c r="BF19" s="299">
        <f>IF(AND($F19&lt;=BF$2, OR($G19="",$G19&gt;=BF$2)),
  $H19 * (1 + Assumptions!$C$7) ^ INT(((YEAR(BF$2)-YEAR($F19))*12 + MONTH(BF$2)-MONTH($F19)) / 12),
  0)</f>
        <v/>
      </c>
      <c r="BG19" s="299">
        <f>IF(AND($F19&lt;=BG$2, OR($G19="",$G19&gt;=BG$2)),
  $H19 * (1 + Assumptions!$C$7) ^ INT(((YEAR(BG$2)-YEAR($F19))*12 + MONTH(BG$2)-MONTH($F19)) / 12),
  0)</f>
        <v/>
      </c>
      <c r="BH19" s="299">
        <f>IF(AND($F19&lt;=BH$2, OR($G19="",$G19&gt;=BH$2)),
  $H19 * (1 + Assumptions!$C$7) ^ INT(((YEAR(BH$2)-YEAR($F19))*12 + MONTH(BH$2)-MONTH($F19)) / 12),
  0)</f>
        <v/>
      </c>
      <c r="BI19" s="299">
        <f>IF(AND($F19&lt;=BI$2, OR($G19="",$G19&gt;=BI$2)),
  $H19 * (1 + Assumptions!$C$7) ^ INT(((YEAR(BI$2)-YEAR($F19))*12 + MONTH(BI$2)-MONTH($F19)) / 12),
  0)</f>
        <v/>
      </c>
      <c r="BJ19" s="299">
        <f>IF(AND($F19&lt;=BJ$2, OR($G19="",$G19&gt;=BJ$2)),
  $H19 * (1 + Assumptions!$C$7) ^ INT(((YEAR(BJ$2)-YEAR($F19))*12 + MONTH(BJ$2)-MONTH($F19)) / 12),
  0)</f>
        <v/>
      </c>
      <c r="BK19" s="299">
        <f>IF(AND($F19&lt;=BK$2, OR($G19="",$G19&gt;=BK$2)),
  $H19 * (1 + Assumptions!$C$7) ^ INT(((YEAR(BK$2)-YEAR($F19))*12 + MONTH(BK$2)-MONTH($F19)) / 12),
  0)</f>
        <v/>
      </c>
      <c r="BL19" s="299">
        <f>IF(AND($F19&lt;=BL$2, OR($G19="",$G19&gt;=BL$2)),
  $H19 * (1 + Assumptions!$C$7) ^ INT(((YEAR(BL$2)-YEAR($F19))*12 + MONTH(BL$2)-MONTH($F19)) / 12),
  0)</f>
        <v/>
      </c>
      <c r="BM19" s="299">
        <f>IF(AND($F19&lt;=BM$2, OR($G19="",$G19&gt;=BM$2)),
  $H19 * (1 + Assumptions!$C$7) ^ INT(((YEAR(BM$2)-YEAR($F19))*12 + MONTH(BM$2)-MONTH($F19)) / 12),
  0)</f>
        <v/>
      </c>
      <c r="BN19" s="299">
        <f>IF(AND($F19&lt;=BN$2, OR($G19="",$G19&gt;=BN$2)),
  $H19 * (1 + Assumptions!$C$7) ^ INT(((YEAR(BN$2)-YEAR($F19))*12 + MONTH(BN$2)-MONTH($F19)) / 12),
  0)</f>
        <v/>
      </c>
      <c r="BO19" s="299">
        <f>IF(AND($F19&lt;=BO$2, OR($G19="",$G19&gt;=BO$2)),
  $H19 * (1 + Assumptions!$C$7) ^ INT(((YEAR(BO$2)-YEAR($F19))*12 + MONTH(BO$2)-MONTH($F19)) / 12),
  0)</f>
        <v/>
      </c>
      <c r="BP19" s="299">
        <f>IF(AND($F19&lt;=BP$2, OR($G19="",$G19&gt;=BP$2)),
  $H19 * (1 + Assumptions!$C$7) ^ INT(((YEAR(BP$2)-YEAR($F19))*12 + MONTH(BP$2)-MONTH($F19)) / 12),
  0)</f>
        <v/>
      </c>
      <c r="BQ19" s="31" t="n"/>
      <c r="BR19" s="40" t="inlineStr">
        <is>
          <t>paid this month if started and not yet left; +8% on each work anniversary</t>
        </is>
      </c>
      <c r="BS19" s="31" t="n"/>
      <c r="BT19" s="31" t="n"/>
    </row>
    <row r="20">
      <c r="A20" s="321" t="n">
        <v>15</v>
      </c>
      <c r="B20" s="285" t="inlineStr">
        <is>
          <t>New hire</t>
        </is>
      </c>
      <c r="C20" s="317" t="inlineStr">
        <is>
          <t>G&amp;A</t>
        </is>
      </c>
      <c r="D20" s="317" t="inlineStr">
        <is>
          <t>CFO</t>
        </is>
      </c>
      <c r="E20" s="297" t="inlineStr">
        <is>
          <t>Planned</t>
        </is>
      </c>
      <c r="F20" s="318" t="n">
        <v>46327</v>
      </c>
      <c r="G20" s="318" t="n"/>
      <c r="H20" s="288" t="n">
        <v>9500</v>
      </c>
      <c r="I20" s="299">
        <f>IF(AND($F20&lt;=I$2, OR($G20="",$G20&gt;=I$2)),
  $H20 * (1 + Assumptions!$C$7) ^ INT(((YEAR(I$2)-YEAR($F20))*12 + MONTH(I$2)-MONTH($F20)) / 12),
  0)</f>
        <v/>
      </c>
      <c r="J20" s="299">
        <f>IF(AND($F20&lt;=J$2, OR($G20="",$G20&gt;=J$2)),
  $H20 * (1 + Assumptions!$C$7) ^ INT(((YEAR(J$2)-YEAR($F20))*12 + MONTH(J$2)-MONTH($F20)) / 12),
  0)</f>
        <v/>
      </c>
      <c r="K20" s="299">
        <f>IF(AND($F20&lt;=K$2, OR($G20="",$G20&gt;=K$2)),
  $H20 * (1 + Assumptions!$C$7) ^ INT(((YEAR(K$2)-YEAR($F20))*12 + MONTH(K$2)-MONTH($F20)) / 12),
  0)</f>
        <v/>
      </c>
      <c r="L20" s="299">
        <f>IF(AND($F20&lt;=L$2, OR($G20="",$G20&gt;=L$2)),
  $H20 * (1 + Assumptions!$C$7) ^ INT(((YEAR(L$2)-YEAR($F20))*12 + MONTH(L$2)-MONTH($F20)) / 12),
  0)</f>
        <v/>
      </c>
      <c r="M20" s="299">
        <f>IF(AND($F20&lt;=M$2, OR($G20="",$G20&gt;=M$2)),
  $H20 * (1 + Assumptions!$C$7) ^ INT(((YEAR(M$2)-YEAR($F20))*12 + MONTH(M$2)-MONTH($F20)) / 12),
  0)</f>
        <v/>
      </c>
      <c r="N20" s="299">
        <f>IF(AND($F20&lt;=N$2, OR($G20="",$G20&gt;=N$2)),
  $H20 * (1 + Assumptions!$C$7) ^ INT(((YEAR(N$2)-YEAR($F20))*12 + MONTH(N$2)-MONTH($F20)) / 12),
  0)</f>
        <v/>
      </c>
      <c r="O20" s="299">
        <f>IF(AND($F20&lt;=O$2, OR($G20="",$G20&gt;=O$2)),
  $H20 * (1 + Assumptions!$C$7) ^ INT(((YEAR(O$2)-YEAR($F20))*12 + MONTH(O$2)-MONTH($F20)) / 12),
  0)</f>
        <v/>
      </c>
      <c r="P20" s="299">
        <f>IF(AND($F20&lt;=P$2, OR($G20="",$G20&gt;=P$2)),
  $H20 * (1 + Assumptions!$C$7) ^ INT(((YEAR(P$2)-YEAR($F20))*12 + MONTH(P$2)-MONTH($F20)) / 12),
  0)</f>
        <v/>
      </c>
      <c r="Q20" s="299">
        <f>IF(AND($F20&lt;=Q$2, OR($G20="",$G20&gt;=Q$2)),
  $H20 * (1 + Assumptions!$C$7) ^ INT(((YEAR(Q$2)-YEAR($F20))*12 + MONTH(Q$2)-MONTH($F20)) / 12),
  0)</f>
        <v/>
      </c>
      <c r="R20" s="299">
        <f>IF(AND($F20&lt;=R$2, OR($G20="",$G20&gt;=R$2)),
  $H20 * (1 + Assumptions!$C$7) ^ INT(((YEAR(R$2)-YEAR($F20))*12 + MONTH(R$2)-MONTH($F20)) / 12),
  0)</f>
        <v/>
      </c>
      <c r="S20" s="299">
        <f>IF(AND($F20&lt;=S$2, OR($G20="",$G20&gt;=S$2)),
  $H20 * (1 + Assumptions!$C$7) ^ INT(((YEAR(S$2)-YEAR($F20))*12 + MONTH(S$2)-MONTH($F20)) / 12),
  0)</f>
        <v/>
      </c>
      <c r="T20" s="299">
        <f>IF(AND($F20&lt;=T$2, OR($G20="",$G20&gt;=T$2)),
  $H20 * (1 + Assumptions!$C$7) ^ INT(((YEAR(T$2)-YEAR($F20))*12 + MONTH(T$2)-MONTH($F20)) / 12),
  0)</f>
        <v/>
      </c>
      <c r="U20" s="299">
        <f>IF(AND($F20&lt;=U$2, OR($G20="",$G20&gt;=U$2)),
  $H20 * (1 + Assumptions!$C$7) ^ INT(((YEAR(U$2)-YEAR($F20))*12 + MONTH(U$2)-MONTH($F20)) / 12),
  0)</f>
        <v/>
      </c>
      <c r="V20" s="299">
        <f>IF(AND($F20&lt;=V$2, OR($G20="",$G20&gt;=V$2)),
  $H20 * (1 + Assumptions!$C$7) ^ INT(((YEAR(V$2)-YEAR($F20))*12 + MONTH(V$2)-MONTH($F20)) / 12),
  0)</f>
        <v/>
      </c>
      <c r="W20" s="299">
        <f>IF(AND($F20&lt;=W$2, OR($G20="",$G20&gt;=W$2)),
  $H20 * (1 + Assumptions!$C$7) ^ INT(((YEAR(W$2)-YEAR($F20))*12 + MONTH(W$2)-MONTH($F20)) / 12),
  0)</f>
        <v/>
      </c>
      <c r="X20" s="299">
        <f>IF(AND($F20&lt;=X$2, OR($G20="",$G20&gt;=X$2)),
  $H20 * (1 + Assumptions!$C$7) ^ INT(((YEAR(X$2)-YEAR($F20))*12 + MONTH(X$2)-MONTH($F20)) / 12),
  0)</f>
        <v/>
      </c>
      <c r="Y20" s="299">
        <f>IF(AND($F20&lt;=Y$2, OR($G20="",$G20&gt;=Y$2)),
  $H20 * (1 + Assumptions!$C$7) ^ INT(((YEAR(Y$2)-YEAR($F20))*12 + MONTH(Y$2)-MONTH($F20)) / 12),
  0)</f>
        <v/>
      </c>
      <c r="Z20" s="299">
        <f>IF(AND($F20&lt;=Z$2, OR($G20="",$G20&gt;=Z$2)),
  $H20 * (1 + Assumptions!$C$7) ^ INT(((YEAR(Z$2)-YEAR($F20))*12 + MONTH(Z$2)-MONTH($F20)) / 12),
  0)</f>
        <v/>
      </c>
      <c r="AA20" s="299">
        <f>IF(AND($F20&lt;=AA$2, OR($G20="",$G20&gt;=AA$2)),
  $H20 * (1 + Assumptions!$C$7) ^ INT(((YEAR(AA$2)-YEAR($F20))*12 + MONTH(AA$2)-MONTH($F20)) / 12),
  0)</f>
        <v/>
      </c>
      <c r="AB20" s="299">
        <f>IF(AND($F20&lt;=AB$2, OR($G20="",$G20&gt;=AB$2)),
  $H20 * (1 + Assumptions!$C$7) ^ INT(((YEAR(AB$2)-YEAR($F20))*12 + MONTH(AB$2)-MONTH($F20)) / 12),
  0)</f>
        <v/>
      </c>
      <c r="AC20" s="299">
        <f>IF(AND($F20&lt;=AC$2, OR($G20="",$G20&gt;=AC$2)),
  $H20 * (1 + Assumptions!$C$7) ^ INT(((YEAR(AC$2)-YEAR($F20))*12 + MONTH(AC$2)-MONTH($F20)) / 12),
  0)</f>
        <v/>
      </c>
      <c r="AD20" s="299">
        <f>IF(AND($F20&lt;=AD$2, OR($G20="",$G20&gt;=AD$2)),
  $H20 * (1 + Assumptions!$C$7) ^ INT(((YEAR(AD$2)-YEAR($F20))*12 + MONTH(AD$2)-MONTH($F20)) / 12),
  0)</f>
        <v/>
      </c>
      <c r="AE20" s="299">
        <f>IF(AND($F20&lt;=AE$2, OR($G20="",$G20&gt;=AE$2)),
  $H20 * (1 + Assumptions!$C$7) ^ INT(((YEAR(AE$2)-YEAR($F20))*12 + MONTH(AE$2)-MONTH($F20)) / 12),
  0)</f>
        <v/>
      </c>
      <c r="AF20" s="299">
        <f>IF(AND($F20&lt;=AF$2, OR($G20="",$G20&gt;=AF$2)),
  $H20 * (1 + Assumptions!$C$7) ^ INT(((YEAR(AF$2)-YEAR($F20))*12 + MONTH(AF$2)-MONTH($F20)) / 12),
  0)</f>
        <v/>
      </c>
      <c r="AG20" s="299">
        <f>IF(AND($F20&lt;=AG$2, OR($G20="",$G20&gt;=AG$2)),
  $H20 * (1 + Assumptions!$C$7) ^ INT(((YEAR(AG$2)-YEAR($F20))*12 + MONTH(AG$2)-MONTH($F20)) / 12),
  0)</f>
        <v/>
      </c>
      <c r="AH20" s="299">
        <f>IF(AND($F20&lt;=AH$2, OR($G20="",$G20&gt;=AH$2)),
  $H20 * (1 + Assumptions!$C$7) ^ INT(((YEAR(AH$2)-YEAR($F20))*12 + MONTH(AH$2)-MONTH($F20)) / 12),
  0)</f>
        <v/>
      </c>
      <c r="AI20" s="299">
        <f>IF(AND($F20&lt;=AI$2, OR($G20="",$G20&gt;=AI$2)),
  $H20 * (1 + Assumptions!$C$7) ^ INT(((YEAR(AI$2)-YEAR($F20))*12 + MONTH(AI$2)-MONTH($F20)) / 12),
  0)</f>
        <v/>
      </c>
      <c r="AJ20" s="299">
        <f>IF(AND($F20&lt;=AJ$2, OR($G20="",$G20&gt;=AJ$2)),
  $H20 * (1 + Assumptions!$C$7) ^ INT(((YEAR(AJ$2)-YEAR($F20))*12 + MONTH(AJ$2)-MONTH($F20)) / 12),
  0)</f>
        <v/>
      </c>
      <c r="AK20" s="299">
        <f>IF(AND($F20&lt;=AK$2, OR($G20="",$G20&gt;=AK$2)),
  $H20 * (1 + Assumptions!$C$7) ^ INT(((YEAR(AK$2)-YEAR($F20))*12 + MONTH(AK$2)-MONTH($F20)) / 12),
  0)</f>
        <v/>
      </c>
      <c r="AL20" s="299">
        <f>IF(AND($F20&lt;=AL$2, OR($G20="",$G20&gt;=AL$2)),
  $H20 * (1 + Assumptions!$C$7) ^ INT(((YEAR(AL$2)-YEAR($F20))*12 + MONTH(AL$2)-MONTH($F20)) / 12),
  0)</f>
        <v/>
      </c>
      <c r="AM20" s="299">
        <f>IF(AND($F20&lt;=AM$2, OR($G20="",$G20&gt;=AM$2)),
  $H20 * (1 + Assumptions!$C$7) ^ INT(((YEAR(AM$2)-YEAR($F20))*12 + MONTH(AM$2)-MONTH($F20)) / 12),
  0)</f>
        <v/>
      </c>
      <c r="AN20" s="299">
        <f>IF(AND($F20&lt;=AN$2, OR($G20="",$G20&gt;=AN$2)),
  $H20 * (1 + Assumptions!$C$7) ^ INT(((YEAR(AN$2)-YEAR($F20))*12 + MONTH(AN$2)-MONTH($F20)) / 12),
  0)</f>
        <v/>
      </c>
      <c r="AO20" s="299">
        <f>IF(AND($F20&lt;=AO$2, OR($G20="",$G20&gt;=AO$2)),
  $H20 * (1 + Assumptions!$C$7) ^ INT(((YEAR(AO$2)-YEAR($F20))*12 + MONTH(AO$2)-MONTH($F20)) / 12),
  0)</f>
        <v/>
      </c>
      <c r="AP20" s="299">
        <f>IF(AND($F20&lt;=AP$2, OR($G20="",$G20&gt;=AP$2)),
  $H20 * (1 + Assumptions!$C$7) ^ INT(((YEAR(AP$2)-YEAR($F20))*12 + MONTH(AP$2)-MONTH($F20)) / 12),
  0)</f>
        <v/>
      </c>
      <c r="AQ20" s="299">
        <f>IF(AND($F20&lt;=AQ$2, OR($G20="",$G20&gt;=AQ$2)),
  $H20 * (1 + Assumptions!$C$7) ^ INT(((YEAR(AQ$2)-YEAR($F20))*12 + MONTH(AQ$2)-MONTH($F20)) / 12),
  0)</f>
        <v/>
      </c>
      <c r="AR20" s="299">
        <f>IF(AND($F20&lt;=AR$2, OR($G20="",$G20&gt;=AR$2)),
  $H20 * (1 + Assumptions!$C$7) ^ INT(((YEAR(AR$2)-YEAR($F20))*12 + MONTH(AR$2)-MONTH($F20)) / 12),
  0)</f>
        <v/>
      </c>
      <c r="AS20" s="299">
        <f>IF(AND($F20&lt;=AS$2, OR($G20="",$G20&gt;=AS$2)),
  $H20 * (1 + Assumptions!$C$7) ^ INT(((YEAR(AS$2)-YEAR($F20))*12 + MONTH(AS$2)-MONTH($F20)) / 12),
  0)</f>
        <v/>
      </c>
      <c r="AT20" s="299">
        <f>IF(AND($F20&lt;=AT$2, OR($G20="",$G20&gt;=AT$2)),
  $H20 * (1 + Assumptions!$C$7) ^ INT(((YEAR(AT$2)-YEAR($F20))*12 + MONTH(AT$2)-MONTH($F20)) / 12),
  0)</f>
        <v/>
      </c>
      <c r="AU20" s="299">
        <f>IF(AND($F20&lt;=AU$2, OR($G20="",$G20&gt;=AU$2)),
  $H20 * (1 + Assumptions!$C$7) ^ INT(((YEAR(AU$2)-YEAR($F20))*12 + MONTH(AU$2)-MONTH($F20)) / 12),
  0)</f>
        <v/>
      </c>
      <c r="AV20" s="299">
        <f>IF(AND($F20&lt;=AV$2, OR($G20="",$G20&gt;=AV$2)),
  $H20 * (1 + Assumptions!$C$7) ^ INT(((YEAR(AV$2)-YEAR($F20))*12 + MONTH(AV$2)-MONTH($F20)) / 12),
  0)</f>
        <v/>
      </c>
      <c r="AW20" s="299">
        <f>IF(AND($F20&lt;=AW$2, OR($G20="",$G20&gt;=AW$2)),
  $H20 * (1 + Assumptions!$C$7) ^ INT(((YEAR(AW$2)-YEAR($F20))*12 + MONTH(AW$2)-MONTH($F20)) / 12),
  0)</f>
        <v/>
      </c>
      <c r="AX20" s="299">
        <f>IF(AND($F20&lt;=AX$2, OR($G20="",$G20&gt;=AX$2)),
  $H20 * (1 + Assumptions!$C$7) ^ INT(((YEAR(AX$2)-YEAR($F20))*12 + MONTH(AX$2)-MONTH($F20)) / 12),
  0)</f>
        <v/>
      </c>
      <c r="AY20" s="299">
        <f>IF(AND($F20&lt;=AY$2, OR($G20="",$G20&gt;=AY$2)),
  $H20 * (1 + Assumptions!$C$7) ^ INT(((YEAR(AY$2)-YEAR($F20))*12 + MONTH(AY$2)-MONTH($F20)) / 12),
  0)</f>
        <v/>
      </c>
      <c r="AZ20" s="299">
        <f>IF(AND($F20&lt;=AZ$2, OR($G20="",$G20&gt;=AZ$2)),
  $H20 * (1 + Assumptions!$C$7) ^ INT(((YEAR(AZ$2)-YEAR($F20))*12 + MONTH(AZ$2)-MONTH($F20)) / 12),
  0)</f>
        <v/>
      </c>
      <c r="BA20" s="299">
        <f>IF(AND($F20&lt;=BA$2, OR($G20="",$G20&gt;=BA$2)),
  $H20 * (1 + Assumptions!$C$7) ^ INT(((YEAR(BA$2)-YEAR($F20))*12 + MONTH(BA$2)-MONTH($F20)) / 12),
  0)</f>
        <v/>
      </c>
      <c r="BB20" s="299">
        <f>IF(AND($F20&lt;=BB$2, OR($G20="",$G20&gt;=BB$2)),
  $H20 * (1 + Assumptions!$C$7) ^ INT(((YEAR(BB$2)-YEAR($F20))*12 + MONTH(BB$2)-MONTH($F20)) / 12),
  0)</f>
        <v/>
      </c>
      <c r="BC20" s="299">
        <f>IF(AND($F20&lt;=BC$2, OR($G20="",$G20&gt;=BC$2)),
  $H20 * (1 + Assumptions!$C$7) ^ INT(((YEAR(BC$2)-YEAR($F20))*12 + MONTH(BC$2)-MONTH($F20)) / 12),
  0)</f>
        <v/>
      </c>
      <c r="BD20" s="299">
        <f>IF(AND($F20&lt;=BD$2, OR($G20="",$G20&gt;=BD$2)),
  $H20 * (1 + Assumptions!$C$7) ^ INT(((YEAR(BD$2)-YEAR($F20))*12 + MONTH(BD$2)-MONTH($F20)) / 12),
  0)</f>
        <v/>
      </c>
      <c r="BE20" s="299">
        <f>IF(AND($F20&lt;=BE$2, OR($G20="",$G20&gt;=BE$2)),
  $H20 * (1 + Assumptions!$C$7) ^ INT(((YEAR(BE$2)-YEAR($F20))*12 + MONTH(BE$2)-MONTH($F20)) / 12),
  0)</f>
        <v/>
      </c>
      <c r="BF20" s="299">
        <f>IF(AND($F20&lt;=BF$2, OR($G20="",$G20&gt;=BF$2)),
  $H20 * (1 + Assumptions!$C$7) ^ INT(((YEAR(BF$2)-YEAR($F20))*12 + MONTH(BF$2)-MONTH($F20)) / 12),
  0)</f>
        <v/>
      </c>
      <c r="BG20" s="299">
        <f>IF(AND($F20&lt;=BG$2, OR($G20="",$G20&gt;=BG$2)),
  $H20 * (1 + Assumptions!$C$7) ^ INT(((YEAR(BG$2)-YEAR($F20))*12 + MONTH(BG$2)-MONTH($F20)) / 12),
  0)</f>
        <v/>
      </c>
      <c r="BH20" s="299">
        <f>IF(AND($F20&lt;=BH$2, OR($G20="",$G20&gt;=BH$2)),
  $H20 * (1 + Assumptions!$C$7) ^ INT(((YEAR(BH$2)-YEAR($F20))*12 + MONTH(BH$2)-MONTH($F20)) / 12),
  0)</f>
        <v/>
      </c>
      <c r="BI20" s="299">
        <f>IF(AND($F20&lt;=BI$2, OR($G20="",$G20&gt;=BI$2)),
  $H20 * (1 + Assumptions!$C$7) ^ INT(((YEAR(BI$2)-YEAR($F20))*12 + MONTH(BI$2)-MONTH($F20)) / 12),
  0)</f>
        <v/>
      </c>
      <c r="BJ20" s="299">
        <f>IF(AND($F20&lt;=BJ$2, OR($G20="",$G20&gt;=BJ$2)),
  $H20 * (1 + Assumptions!$C$7) ^ INT(((YEAR(BJ$2)-YEAR($F20))*12 + MONTH(BJ$2)-MONTH($F20)) / 12),
  0)</f>
        <v/>
      </c>
      <c r="BK20" s="299">
        <f>IF(AND($F20&lt;=BK$2, OR($G20="",$G20&gt;=BK$2)),
  $H20 * (1 + Assumptions!$C$7) ^ INT(((YEAR(BK$2)-YEAR($F20))*12 + MONTH(BK$2)-MONTH($F20)) / 12),
  0)</f>
        <v/>
      </c>
      <c r="BL20" s="299">
        <f>IF(AND($F20&lt;=BL$2, OR($G20="",$G20&gt;=BL$2)),
  $H20 * (1 + Assumptions!$C$7) ^ INT(((YEAR(BL$2)-YEAR($F20))*12 + MONTH(BL$2)-MONTH($F20)) / 12),
  0)</f>
        <v/>
      </c>
      <c r="BM20" s="299">
        <f>IF(AND($F20&lt;=BM$2, OR($G20="",$G20&gt;=BM$2)),
  $H20 * (1 + Assumptions!$C$7) ^ INT(((YEAR(BM$2)-YEAR($F20))*12 + MONTH(BM$2)-MONTH($F20)) / 12),
  0)</f>
        <v/>
      </c>
      <c r="BN20" s="299">
        <f>IF(AND($F20&lt;=BN$2, OR($G20="",$G20&gt;=BN$2)),
  $H20 * (1 + Assumptions!$C$7) ^ INT(((YEAR(BN$2)-YEAR($F20))*12 + MONTH(BN$2)-MONTH($F20)) / 12),
  0)</f>
        <v/>
      </c>
      <c r="BO20" s="299">
        <f>IF(AND($F20&lt;=BO$2, OR($G20="",$G20&gt;=BO$2)),
  $H20 * (1 + Assumptions!$C$7) ^ INT(((YEAR(BO$2)-YEAR($F20))*12 + MONTH(BO$2)-MONTH($F20)) / 12),
  0)</f>
        <v/>
      </c>
      <c r="BP20" s="299">
        <f>IF(AND($F20&lt;=BP$2, OR($G20="",$G20&gt;=BP$2)),
  $H20 * (1 + Assumptions!$C$7) ^ INT(((YEAR(BP$2)-YEAR($F20))*12 + MONTH(BP$2)-MONTH($F20)) / 12),
  0)</f>
        <v/>
      </c>
      <c r="BQ20" s="31" t="n"/>
      <c r="BR20" s="40" t="inlineStr">
        <is>
          <t>paid this month if started and not yet left; +8% on each work anniversary</t>
        </is>
      </c>
      <c r="BS20" s="31" t="n"/>
      <c r="BT20" s="31" t="n"/>
    </row>
    <row r="21" ht="15.75" customHeight="1" s="349">
      <c r="A21" s="321" t="n">
        <v>16</v>
      </c>
      <c r="B21" s="285" t="inlineStr">
        <is>
          <t>New hire</t>
        </is>
      </c>
      <c r="C21" s="317" t="inlineStr">
        <is>
          <t>S&amp;M</t>
        </is>
      </c>
      <c r="D21" s="317" t="inlineStr">
        <is>
          <t>Sales</t>
        </is>
      </c>
      <c r="E21" s="297" t="inlineStr">
        <is>
          <t>Planned</t>
        </is>
      </c>
      <c r="F21" s="318" t="n">
        <v>46327</v>
      </c>
      <c r="G21" s="318" t="n"/>
      <c r="H21" s="288" t="n">
        <v>6500</v>
      </c>
      <c r="I21" s="299">
        <f>IF(AND($F21&lt;=I$2, OR($G21="",$G21&gt;=I$2)),
  $H21 * (1 + Assumptions!$C$7) ^ INT(((YEAR(I$2)-YEAR($F21))*12 + MONTH(I$2)-MONTH($F21)) / 12),
  0)</f>
        <v/>
      </c>
      <c r="J21" s="299">
        <f>IF(AND($F21&lt;=J$2, OR($G21="",$G21&gt;=J$2)),
  $H21 * (1 + Assumptions!$C$7) ^ INT(((YEAR(J$2)-YEAR($F21))*12 + MONTH(J$2)-MONTH($F21)) / 12),
  0)</f>
        <v/>
      </c>
      <c r="K21" s="299">
        <f>IF(AND($F21&lt;=K$2, OR($G21="",$G21&gt;=K$2)),
  $H21 * (1 + Assumptions!$C$7) ^ INT(((YEAR(K$2)-YEAR($F21))*12 + MONTH(K$2)-MONTH($F21)) / 12),
  0)</f>
        <v/>
      </c>
      <c r="L21" s="299">
        <f>IF(AND($F21&lt;=L$2, OR($G21="",$G21&gt;=L$2)),
  $H21 * (1 + Assumptions!$C$7) ^ INT(((YEAR(L$2)-YEAR($F21))*12 + MONTH(L$2)-MONTH($F21)) / 12),
  0)</f>
        <v/>
      </c>
      <c r="M21" s="299">
        <f>IF(AND($F21&lt;=M$2, OR($G21="",$G21&gt;=M$2)),
  $H21 * (1 + Assumptions!$C$7) ^ INT(((YEAR(M$2)-YEAR($F21))*12 + MONTH(M$2)-MONTH($F21)) / 12),
  0)</f>
        <v/>
      </c>
      <c r="N21" s="299">
        <f>IF(AND($F21&lt;=N$2, OR($G21="",$G21&gt;=N$2)),
  $H21 * (1 + Assumptions!$C$7) ^ INT(((YEAR(N$2)-YEAR($F21))*12 + MONTH(N$2)-MONTH($F21)) / 12),
  0)</f>
        <v/>
      </c>
      <c r="O21" s="299">
        <f>IF(AND($F21&lt;=O$2, OR($G21="",$G21&gt;=O$2)),
  $H21 * (1 + Assumptions!$C$7) ^ INT(((YEAR(O$2)-YEAR($F21))*12 + MONTH(O$2)-MONTH($F21)) / 12),
  0)</f>
        <v/>
      </c>
      <c r="P21" s="299">
        <f>IF(AND($F21&lt;=P$2, OR($G21="",$G21&gt;=P$2)),
  $H21 * (1 + Assumptions!$C$7) ^ INT(((YEAR(P$2)-YEAR($F21))*12 + MONTH(P$2)-MONTH($F21)) / 12),
  0)</f>
        <v/>
      </c>
      <c r="Q21" s="299">
        <f>IF(AND($F21&lt;=Q$2, OR($G21="",$G21&gt;=Q$2)),
  $H21 * (1 + Assumptions!$C$7) ^ INT(((YEAR(Q$2)-YEAR($F21))*12 + MONTH(Q$2)-MONTH($F21)) / 12),
  0)</f>
        <v/>
      </c>
      <c r="R21" s="299">
        <f>IF(AND($F21&lt;=R$2, OR($G21="",$G21&gt;=R$2)),
  $H21 * (1 + Assumptions!$C$7) ^ INT(((YEAR(R$2)-YEAR($F21))*12 + MONTH(R$2)-MONTH($F21)) / 12),
  0)</f>
        <v/>
      </c>
      <c r="S21" s="299">
        <f>IF(AND($F21&lt;=S$2, OR($G21="",$G21&gt;=S$2)),
  $H21 * (1 + Assumptions!$C$7) ^ INT(((YEAR(S$2)-YEAR($F21))*12 + MONTH(S$2)-MONTH($F21)) / 12),
  0)</f>
        <v/>
      </c>
      <c r="T21" s="299">
        <f>IF(AND($F21&lt;=T$2, OR($G21="",$G21&gt;=T$2)),
  $H21 * (1 + Assumptions!$C$7) ^ INT(((YEAR(T$2)-YEAR($F21))*12 + MONTH(T$2)-MONTH($F21)) / 12),
  0)</f>
        <v/>
      </c>
      <c r="U21" s="299">
        <f>IF(AND($F21&lt;=U$2, OR($G21="",$G21&gt;=U$2)),
  $H21 * (1 + Assumptions!$C$7) ^ INT(((YEAR(U$2)-YEAR($F21))*12 + MONTH(U$2)-MONTH($F21)) / 12),
  0)</f>
        <v/>
      </c>
      <c r="V21" s="299">
        <f>IF(AND($F21&lt;=V$2, OR($G21="",$G21&gt;=V$2)),
  $H21 * (1 + Assumptions!$C$7) ^ INT(((YEAR(V$2)-YEAR($F21))*12 + MONTH(V$2)-MONTH($F21)) / 12),
  0)</f>
        <v/>
      </c>
      <c r="W21" s="299">
        <f>IF(AND($F21&lt;=W$2, OR($G21="",$G21&gt;=W$2)),
  $H21 * (1 + Assumptions!$C$7) ^ INT(((YEAR(W$2)-YEAR($F21))*12 + MONTH(W$2)-MONTH($F21)) / 12),
  0)</f>
        <v/>
      </c>
      <c r="X21" s="299">
        <f>IF(AND($F21&lt;=X$2, OR($G21="",$G21&gt;=X$2)),
  $H21 * (1 + Assumptions!$C$7) ^ INT(((YEAR(X$2)-YEAR($F21))*12 + MONTH(X$2)-MONTH($F21)) / 12),
  0)</f>
        <v/>
      </c>
      <c r="Y21" s="299">
        <f>IF(AND($F21&lt;=Y$2, OR($G21="",$G21&gt;=Y$2)),
  $H21 * (1 + Assumptions!$C$7) ^ INT(((YEAR(Y$2)-YEAR($F21))*12 + MONTH(Y$2)-MONTH($F21)) / 12),
  0)</f>
        <v/>
      </c>
      <c r="Z21" s="299">
        <f>IF(AND($F21&lt;=Z$2, OR($G21="",$G21&gt;=Z$2)),
  $H21 * (1 + Assumptions!$C$7) ^ INT(((YEAR(Z$2)-YEAR($F21))*12 + MONTH(Z$2)-MONTH($F21)) / 12),
  0)</f>
        <v/>
      </c>
      <c r="AA21" s="299">
        <f>IF(AND($F21&lt;=AA$2, OR($G21="",$G21&gt;=AA$2)),
  $H21 * (1 + Assumptions!$C$7) ^ INT(((YEAR(AA$2)-YEAR($F21))*12 + MONTH(AA$2)-MONTH($F21)) / 12),
  0)</f>
        <v/>
      </c>
      <c r="AB21" s="299">
        <f>IF(AND($F21&lt;=AB$2, OR($G21="",$G21&gt;=AB$2)),
  $H21 * (1 + Assumptions!$C$7) ^ INT(((YEAR(AB$2)-YEAR($F21))*12 + MONTH(AB$2)-MONTH($F21)) / 12),
  0)</f>
        <v/>
      </c>
      <c r="AC21" s="299">
        <f>IF(AND($F21&lt;=AC$2, OR($G21="",$G21&gt;=AC$2)),
  $H21 * (1 + Assumptions!$C$7) ^ INT(((YEAR(AC$2)-YEAR($F21))*12 + MONTH(AC$2)-MONTH($F21)) / 12),
  0)</f>
        <v/>
      </c>
      <c r="AD21" s="299">
        <f>IF(AND($F21&lt;=AD$2, OR($G21="",$G21&gt;=AD$2)),
  $H21 * (1 + Assumptions!$C$7) ^ INT(((YEAR(AD$2)-YEAR($F21))*12 + MONTH(AD$2)-MONTH($F21)) / 12),
  0)</f>
        <v/>
      </c>
      <c r="AE21" s="299">
        <f>IF(AND($F21&lt;=AE$2, OR($G21="",$G21&gt;=AE$2)),
  $H21 * (1 + Assumptions!$C$7) ^ INT(((YEAR(AE$2)-YEAR($F21))*12 + MONTH(AE$2)-MONTH($F21)) / 12),
  0)</f>
        <v/>
      </c>
      <c r="AF21" s="299">
        <f>IF(AND($F21&lt;=AF$2, OR($G21="",$G21&gt;=AF$2)),
  $H21 * (1 + Assumptions!$C$7) ^ INT(((YEAR(AF$2)-YEAR($F21))*12 + MONTH(AF$2)-MONTH($F21)) / 12),
  0)</f>
        <v/>
      </c>
      <c r="AG21" s="299">
        <f>IF(AND($F21&lt;=AG$2, OR($G21="",$G21&gt;=AG$2)),
  $H21 * (1 + Assumptions!$C$7) ^ INT(((YEAR(AG$2)-YEAR($F21))*12 + MONTH(AG$2)-MONTH($F21)) / 12),
  0)</f>
        <v/>
      </c>
      <c r="AH21" s="299">
        <f>IF(AND($F21&lt;=AH$2, OR($G21="",$G21&gt;=AH$2)),
  $H21 * (1 + Assumptions!$C$7) ^ INT(((YEAR(AH$2)-YEAR($F21))*12 + MONTH(AH$2)-MONTH($F21)) / 12),
  0)</f>
        <v/>
      </c>
      <c r="AI21" s="299">
        <f>IF(AND($F21&lt;=AI$2, OR($G21="",$G21&gt;=AI$2)),
  $H21 * (1 + Assumptions!$C$7) ^ INT(((YEAR(AI$2)-YEAR($F21))*12 + MONTH(AI$2)-MONTH($F21)) / 12),
  0)</f>
        <v/>
      </c>
      <c r="AJ21" s="299">
        <f>IF(AND($F21&lt;=AJ$2, OR($G21="",$G21&gt;=AJ$2)),
  $H21 * (1 + Assumptions!$C$7) ^ INT(((YEAR(AJ$2)-YEAR($F21))*12 + MONTH(AJ$2)-MONTH($F21)) / 12),
  0)</f>
        <v/>
      </c>
      <c r="AK21" s="299">
        <f>IF(AND($F21&lt;=AK$2, OR($G21="",$G21&gt;=AK$2)),
  $H21 * (1 + Assumptions!$C$7) ^ INT(((YEAR(AK$2)-YEAR($F21))*12 + MONTH(AK$2)-MONTH($F21)) / 12),
  0)</f>
        <v/>
      </c>
      <c r="AL21" s="299">
        <f>IF(AND($F21&lt;=AL$2, OR($G21="",$G21&gt;=AL$2)),
  $H21 * (1 + Assumptions!$C$7) ^ INT(((YEAR(AL$2)-YEAR($F21))*12 + MONTH(AL$2)-MONTH($F21)) / 12),
  0)</f>
        <v/>
      </c>
      <c r="AM21" s="299">
        <f>IF(AND($F21&lt;=AM$2, OR($G21="",$G21&gt;=AM$2)),
  $H21 * (1 + Assumptions!$C$7) ^ INT(((YEAR(AM$2)-YEAR($F21))*12 + MONTH(AM$2)-MONTH($F21)) / 12),
  0)</f>
        <v/>
      </c>
      <c r="AN21" s="299">
        <f>IF(AND($F21&lt;=AN$2, OR($G21="",$G21&gt;=AN$2)),
  $H21 * (1 + Assumptions!$C$7) ^ INT(((YEAR(AN$2)-YEAR($F21))*12 + MONTH(AN$2)-MONTH($F21)) / 12),
  0)</f>
        <v/>
      </c>
      <c r="AO21" s="299">
        <f>IF(AND($F21&lt;=AO$2, OR($G21="",$G21&gt;=AO$2)),
  $H21 * (1 + Assumptions!$C$7) ^ INT(((YEAR(AO$2)-YEAR($F21))*12 + MONTH(AO$2)-MONTH($F21)) / 12),
  0)</f>
        <v/>
      </c>
      <c r="AP21" s="299">
        <f>IF(AND($F21&lt;=AP$2, OR($G21="",$G21&gt;=AP$2)),
  $H21 * (1 + Assumptions!$C$7) ^ INT(((YEAR(AP$2)-YEAR($F21))*12 + MONTH(AP$2)-MONTH($F21)) / 12),
  0)</f>
        <v/>
      </c>
      <c r="AQ21" s="299">
        <f>IF(AND($F21&lt;=AQ$2, OR($G21="",$G21&gt;=AQ$2)),
  $H21 * (1 + Assumptions!$C$7) ^ INT(((YEAR(AQ$2)-YEAR($F21))*12 + MONTH(AQ$2)-MONTH($F21)) / 12),
  0)</f>
        <v/>
      </c>
      <c r="AR21" s="299">
        <f>IF(AND($F21&lt;=AR$2, OR($G21="",$G21&gt;=AR$2)),
  $H21 * (1 + Assumptions!$C$7) ^ INT(((YEAR(AR$2)-YEAR($F21))*12 + MONTH(AR$2)-MONTH($F21)) / 12),
  0)</f>
        <v/>
      </c>
      <c r="AS21" s="299">
        <f>IF(AND($F21&lt;=AS$2, OR($G21="",$G21&gt;=AS$2)),
  $H21 * (1 + Assumptions!$C$7) ^ INT(((YEAR(AS$2)-YEAR($F21))*12 + MONTH(AS$2)-MONTH($F21)) / 12),
  0)</f>
        <v/>
      </c>
      <c r="AT21" s="299">
        <f>IF(AND($F21&lt;=AT$2, OR($G21="",$G21&gt;=AT$2)),
  $H21 * (1 + Assumptions!$C$7) ^ INT(((YEAR(AT$2)-YEAR($F21))*12 + MONTH(AT$2)-MONTH($F21)) / 12),
  0)</f>
        <v/>
      </c>
      <c r="AU21" s="299">
        <f>IF(AND($F21&lt;=AU$2, OR($G21="",$G21&gt;=AU$2)),
  $H21 * (1 + Assumptions!$C$7) ^ INT(((YEAR(AU$2)-YEAR($F21))*12 + MONTH(AU$2)-MONTH($F21)) / 12),
  0)</f>
        <v/>
      </c>
      <c r="AV21" s="299">
        <f>IF(AND($F21&lt;=AV$2, OR($G21="",$G21&gt;=AV$2)),
  $H21 * (1 + Assumptions!$C$7) ^ INT(((YEAR(AV$2)-YEAR($F21))*12 + MONTH(AV$2)-MONTH($F21)) / 12),
  0)</f>
        <v/>
      </c>
      <c r="AW21" s="299">
        <f>IF(AND($F21&lt;=AW$2, OR($G21="",$G21&gt;=AW$2)),
  $H21 * (1 + Assumptions!$C$7) ^ INT(((YEAR(AW$2)-YEAR($F21))*12 + MONTH(AW$2)-MONTH($F21)) / 12),
  0)</f>
        <v/>
      </c>
      <c r="AX21" s="299">
        <f>IF(AND($F21&lt;=AX$2, OR($G21="",$G21&gt;=AX$2)),
  $H21 * (1 + Assumptions!$C$7) ^ INT(((YEAR(AX$2)-YEAR($F21))*12 + MONTH(AX$2)-MONTH($F21)) / 12),
  0)</f>
        <v/>
      </c>
      <c r="AY21" s="299">
        <f>IF(AND($F21&lt;=AY$2, OR($G21="",$G21&gt;=AY$2)),
  $H21 * (1 + Assumptions!$C$7) ^ INT(((YEAR(AY$2)-YEAR($F21))*12 + MONTH(AY$2)-MONTH($F21)) / 12),
  0)</f>
        <v/>
      </c>
      <c r="AZ21" s="299">
        <f>IF(AND($F21&lt;=AZ$2, OR($G21="",$G21&gt;=AZ$2)),
  $H21 * (1 + Assumptions!$C$7) ^ INT(((YEAR(AZ$2)-YEAR($F21))*12 + MONTH(AZ$2)-MONTH($F21)) / 12),
  0)</f>
        <v/>
      </c>
      <c r="BA21" s="299">
        <f>IF(AND($F21&lt;=BA$2, OR($G21="",$G21&gt;=BA$2)),
  $H21 * (1 + Assumptions!$C$7) ^ INT(((YEAR(BA$2)-YEAR($F21))*12 + MONTH(BA$2)-MONTH($F21)) / 12),
  0)</f>
        <v/>
      </c>
      <c r="BB21" s="299">
        <f>IF(AND($F21&lt;=BB$2, OR($G21="",$G21&gt;=BB$2)),
  $H21 * (1 + Assumptions!$C$7) ^ INT(((YEAR(BB$2)-YEAR($F21))*12 + MONTH(BB$2)-MONTH($F21)) / 12),
  0)</f>
        <v/>
      </c>
      <c r="BC21" s="299">
        <f>IF(AND($F21&lt;=BC$2, OR($G21="",$G21&gt;=BC$2)),
  $H21 * (1 + Assumptions!$C$7) ^ INT(((YEAR(BC$2)-YEAR($F21))*12 + MONTH(BC$2)-MONTH($F21)) / 12),
  0)</f>
        <v/>
      </c>
      <c r="BD21" s="299">
        <f>IF(AND($F21&lt;=BD$2, OR($G21="",$G21&gt;=BD$2)),
  $H21 * (1 + Assumptions!$C$7) ^ INT(((YEAR(BD$2)-YEAR($F21))*12 + MONTH(BD$2)-MONTH($F21)) / 12),
  0)</f>
        <v/>
      </c>
      <c r="BE21" s="299">
        <f>IF(AND($F21&lt;=BE$2, OR($G21="",$G21&gt;=BE$2)),
  $H21 * (1 + Assumptions!$C$7) ^ INT(((YEAR(BE$2)-YEAR($F21))*12 + MONTH(BE$2)-MONTH($F21)) / 12),
  0)</f>
        <v/>
      </c>
      <c r="BF21" s="299">
        <f>IF(AND($F21&lt;=BF$2, OR($G21="",$G21&gt;=BF$2)),
  $H21 * (1 + Assumptions!$C$7) ^ INT(((YEAR(BF$2)-YEAR($F21))*12 + MONTH(BF$2)-MONTH($F21)) / 12),
  0)</f>
        <v/>
      </c>
      <c r="BG21" s="299">
        <f>IF(AND($F21&lt;=BG$2, OR($G21="",$G21&gt;=BG$2)),
  $H21 * (1 + Assumptions!$C$7) ^ INT(((YEAR(BG$2)-YEAR($F21))*12 + MONTH(BG$2)-MONTH($F21)) / 12),
  0)</f>
        <v/>
      </c>
      <c r="BH21" s="299">
        <f>IF(AND($F21&lt;=BH$2, OR($G21="",$G21&gt;=BH$2)),
  $H21 * (1 + Assumptions!$C$7) ^ INT(((YEAR(BH$2)-YEAR($F21))*12 + MONTH(BH$2)-MONTH($F21)) / 12),
  0)</f>
        <v/>
      </c>
      <c r="BI21" s="299">
        <f>IF(AND($F21&lt;=BI$2, OR($G21="",$G21&gt;=BI$2)),
  $H21 * (1 + Assumptions!$C$7) ^ INT(((YEAR(BI$2)-YEAR($F21))*12 + MONTH(BI$2)-MONTH($F21)) / 12),
  0)</f>
        <v/>
      </c>
      <c r="BJ21" s="299">
        <f>IF(AND($F21&lt;=BJ$2, OR($G21="",$G21&gt;=BJ$2)),
  $H21 * (1 + Assumptions!$C$7) ^ INT(((YEAR(BJ$2)-YEAR($F21))*12 + MONTH(BJ$2)-MONTH($F21)) / 12),
  0)</f>
        <v/>
      </c>
      <c r="BK21" s="299">
        <f>IF(AND($F21&lt;=BK$2, OR($G21="",$G21&gt;=BK$2)),
  $H21 * (1 + Assumptions!$C$7) ^ INT(((YEAR(BK$2)-YEAR($F21))*12 + MONTH(BK$2)-MONTH($F21)) / 12),
  0)</f>
        <v/>
      </c>
      <c r="BL21" s="299">
        <f>IF(AND($F21&lt;=BL$2, OR($G21="",$G21&gt;=BL$2)),
  $H21 * (1 + Assumptions!$C$7) ^ INT(((YEAR(BL$2)-YEAR($F21))*12 + MONTH(BL$2)-MONTH($F21)) / 12),
  0)</f>
        <v/>
      </c>
      <c r="BM21" s="299">
        <f>IF(AND($F21&lt;=BM$2, OR($G21="",$G21&gt;=BM$2)),
  $H21 * (1 + Assumptions!$C$7) ^ INT(((YEAR(BM$2)-YEAR($F21))*12 + MONTH(BM$2)-MONTH($F21)) / 12),
  0)</f>
        <v/>
      </c>
      <c r="BN21" s="299">
        <f>IF(AND($F21&lt;=BN$2, OR($G21="",$G21&gt;=BN$2)),
  $H21 * (1 + Assumptions!$C$7) ^ INT(((YEAR(BN$2)-YEAR($F21))*12 + MONTH(BN$2)-MONTH($F21)) / 12),
  0)</f>
        <v/>
      </c>
      <c r="BO21" s="299">
        <f>IF(AND($F21&lt;=BO$2, OR($G21="",$G21&gt;=BO$2)),
  $H21 * (1 + Assumptions!$C$7) ^ INT(((YEAR(BO$2)-YEAR($F21))*12 + MONTH(BO$2)-MONTH($F21)) / 12),
  0)</f>
        <v/>
      </c>
      <c r="BP21" s="299">
        <f>IF(AND($F21&lt;=BP$2, OR($G21="",$G21&gt;=BP$2)),
  $H21 * (1 + Assumptions!$C$7) ^ INT(((YEAR(BP$2)-YEAR($F21))*12 + MONTH(BP$2)-MONTH($F21)) / 12),
  0)</f>
        <v/>
      </c>
      <c r="BQ21" s="31" t="n"/>
      <c r="BR21" s="40" t="inlineStr">
        <is>
          <t>paid this month if started and not yet left; +8% on each work anniversary</t>
        </is>
      </c>
      <c r="BS21" s="31" t="n"/>
      <c r="BT21" s="31" t="n"/>
    </row>
    <row r="22" ht="15.75" customHeight="1" s="349">
      <c r="A22" s="321" t="n">
        <v>17</v>
      </c>
      <c r="B22" s="285" t="inlineStr">
        <is>
          <t>New hire</t>
        </is>
      </c>
      <c r="C22" s="285" t="inlineStr">
        <is>
          <t>R&amp;D</t>
        </is>
      </c>
      <c r="D22" s="122" t="inlineStr">
        <is>
          <t>R&amp;D Engineer</t>
        </is>
      </c>
      <c r="E22" s="297" t="inlineStr">
        <is>
          <t>Planned</t>
        </is>
      </c>
      <c r="F22" s="318" t="n">
        <v>46388</v>
      </c>
      <c r="G22" s="320" t="n"/>
      <c r="H22" s="288" t="n">
        <v>7500</v>
      </c>
      <c r="I22" s="299">
        <f>IF(AND($F22&lt;=I$2, OR($G22="",$G22&gt;=I$2)),
  $H22 * (1 + Assumptions!$C$7) ^ INT(((YEAR(I$2)-YEAR($F22))*12 + MONTH(I$2)-MONTH($F22)) / 12),
  0)</f>
        <v/>
      </c>
      <c r="J22" s="299">
        <f>IF(AND($F22&lt;=J$2, OR($G22="",$G22&gt;=J$2)),
  $H22 * (1 + Assumptions!$C$7) ^ INT(((YEAR(J$2)-YEAR($F22))*12 + MONTH(J$2)-MONTH($F22)) / 12),
  0)</f>
        <v/>
      </c>
      <c r="K22" s="299">
        <f>IF(AND($F22&lt;=K$2, OR($G22="",$G22&gt;=K$2)),
  $H22 * (1 + Assumptions!$C$7) ^ INT(((YEAR(K$2)-YEAR($F22))*12 + MONTH(K$2)-MONTH($F22)) / 12),
  0)</f>
        <v/>
      </c>
      <c r="L22" s="299">
        <f>IF(AND($F22&lt;=L$2, OR($G22="",$G22&gt;=L$2)),
  $H22 * (1 + Assumptions!$C$7) ^ INT(((YEAR(L$2)-YEAR($F22))*12 + MONTH(L$2)-MONTH($F22)) / 12),
  0)</f>
        <v/>
      </c>
      <c r="M22" s="299">
        <f>IF(AND($F22&lt;=M$2, OR($G22="",$G22&gt;=M$2)),
  $H22 * (1 + Assumptions!$C$7) ^ INT(((YEAR(M$2)-YEAR($F22))*12 + MONTH(M$2)-MONTH($F22)) / 12),
  0)</f>
        <v/>
      </c>
      <c r="N22" s="299">
        <f>IF(AND($F22&lt;=N$2, OR($G22="",$G22&gt;=N$2)),
  $H22 * (1 + Assumptions!$C$7) ^ INT(((YEAR(N$2)-YEAR($F22))*12 + MONTH(N$2)-MONTH($F22)) / 12),
  0)</f>
        <v/>
      </c>
      <c r="O22" s="299">
        <f>IF(AND($F22&lt;=O$2, OR($G22="",$G22&gt;=O$2)),
  $H22 * (1 + Assumptions!$C$7) ^ INT(((YEAR(O$2)-YEAR($F22))*12 + MONTH(O$2)-MONTH($F22)) / 12),
  0)</f>
        <v/>
      </c>
      <c r="P22" s="299">
        <f>IF(AND($F22&lt;=P$2, OR($G22="",$G22&gt;=P$2)),
  $H22 * (1 + Assumptions!$C$7) ^ INT(((YEAR(P$2)-YEAR($F22))*12 + MONTH(P$2)-MONTH($F22)) / 12),
  0)</f>
        <v/>
      </c>
      <c r="Q22" s="299">
        <f>IF(AND($F22&lt;=Q$2, OR($G22="",$G22&gt;=Q$2)),
  $H22 * (1 + Assumptions!$C$7) ^ INT(((YEAR(Q$2)-YEAR($F22))*12 + MONTH(Q$2)-MONTH($F22)) / 12),
  0)</f>
        <v/>
      </c>
      <c r="R22" s="299">
        <f>IF(AND($F22&lt;=R$2, OR($G22="",$G22&gt;=R$2)),
  $H22 * (1 + Assumptions!$C$7) ^ INT(((YEAR(R$2)-YEAR($F22))*12 + MONTH(R$2)-MONTH($F22)) / 12),
  0)</f>
        <v/>
      </c>
      <c r="S22" s="299">
        <f>IF(AND($F22&lt;=S$2, OR($G22="",$G22&gt;=S$2)),
  $H22 * (1 + Assumptions!$C$7) ^ INT(((YEAR(S$2)-YEAR($F22))*12 + MONTH(S$2)-MONTH($F22)) / 12),
  0)</f>
        <v/>
      </c>
      <c r="T22" s="299">
        <f>IF(AND($F22&lt;=T$2, OR($G22="",$G22&gt;=T$2)),
  $H22 * (1 + Assumptions!$C$7) ^ INT(((YEAR(T$2)-YEAR($F22))*12 + MONTH(T$2)-MONTH($F22)) / 12),
  0)</f>
        <v/>
      </c>
      <c r="U22" s="299">
        <f>IF(AND($F22&lt;=U$2, OR($G22="",$G22&gt;=U$2)),
  $H22 * (1 + Assumptions!$C$7) ^ INT(((YEAR(U$2)-YEAR($F22))*12 + MONTH(U$2)-MONTH($F22)) / 12),
  0)</f>
        <v/>
      </c>
      <c r="V22" s="299">
        <f>IF(AND($F22&lt;=V$2, OR($G22="",$G22&gt;=V$2)),
  $H22 * (1 + Assumptions!$C$7) ^ INT(((YEAR(V$2)-YEAR($F22))*12 + MONTH(V$2)-MONTH($F22)) / 12),
  0)</f>
        <v/>
      </c>
      <c r="W22" s="299">
        <f>IF(AND($F22&lt;=W$2, OR($G22="",$G22&gt;=W$2)),
  $H22 * (1 + Assumptions!$C$7) ^ INT(((YEAR(W$2)-YEAR($F22))*12 + MONTH(W$2)-MONTH($F22)) / 12),
  0)</f>
        <v/>
      </c>
      <c r="X22" s="299">
        <f>IF(AND($F22&lt;=X$2, OR($G22="",$G22&gt;=X$2)),
  $H22 * (1 + Assumptions!$C$7) ^ INT(((YEAR(X$2)-YEAR($F22))*12 + MONTH(X$2)-MONTH($F22)) / 12),
  0)</f>
        <v/>
      </c>
      <c r="Y22" s="299">
        <f>IF(AND($F22&lt;=Y$2, OR($G22="",$G22&gt;=Y$2)),
  $H22 * (1 + Assumptions!$C$7) ^ INT(((YEAR(Y$2)-YEAR($F22))*12 + MONTH(Y$2)-MONTH($F22)) / 12),
  0)</f>
        <v/>
      </c>
      <c r="Z22" s="299">
        <f>IF(AND($F22&lt;=Z$2, OR($G22="",$G22&gt;=Z$2)),
  $H22 * (1 + Assumptions!$C$7) ^ INT(((YEAR(Z$2)-YEAR($F22))*12 + MONTH(Z$2)-MONTH($F22)) / 12),
  0)</f>
        <v/>
      </c>
      <c r="AA22" s="299">
        <f>IF(AND($F22&lt;=AA$2, OR($G22="",$G22&gt;=AA$2)),
  $H22 * (1 + Assumptions!$C$7) ^ INT(((YEAR(AA$2)-YEAR($F22))*12 + MONTH(AA$2)-MONTH($F22)) / 12),
  0)</f>
        <v/>
      </c>
      <c r="AB22" s="299">
        <f>IF(AND($F22&lt;=AB$2, OR($G22="",$G22&gt;=AB$2)),
  $H22 * (1 + Assumptions!$C$7) ^ INT(((YEAR(AB$2)-YEAR($F22))*12 + MONTH(AB$2)-MONTH($F22)) / 12),
  0)</f>
        <v/>
      </c>
      <c r="AC22" s="299">
        <f>IF(AND($F22&lt;=AC$2, OR($G22="",$G22&gt;=AC$2)),
  $H22 * (1 + Assumptions!$C$7) ^ INT(((YEAR(AC$2)-YEAR($F22))*12 + MONTH(AC$2)-MONTH($F22)) / 12),
  0)</f>
        <v/>
      </c>
      <c r="AD22" s="299">
        <f>IF(AND($F22&lt;=AD$2, OR($G22="",$G22&gt;=AD$2)),
  $H22 * (1 + Assumptions!$C$7) ^ INT(((YEAR(AD$2)-YEAR($F22))*12 + MONTH(AD$2)-MONTH($F22)) / 12),
  0)</f>
        <v/>
      </c>
      <c r="AE22" s="299">
        <f>IF(AND($F22&lt;=AE$2, OR($G22="",$G22&gt;=AE$2)),
  $H22 * (1 + Assumptions!$C$7) ^ INT(((YEAR(AE$2)-YEAR($F22))*12 + MONTH(AE$2)-MONTH($F22)) / 12),
  0)</f>
        <v/>
      </c>
      <c r="AF22" s="299">
        <f>IF(AND($F22&lt;=AF$2, OR($G22="",$G22&gt;=AF$2)),
  $H22 * (1 + Assumptions!$C$7) ^ INT(((YEAR(AF$2)-YEAR($F22))*12 + MONTH(AF$2)-MONTH($F22)) / 12),
  0)</f>
        <v/>
      </c>
      <c r="AG22" s="299">
        <f>IF(AND($F22&lt;=AG$2, OR($G22="",$G22&gt;=AG$2)),
  $H22 * (1 + Assumptions!$C$7) ^ INT(((YEAR(AG$2)-YEAR($F22))*12 + MONTH(AG$2)-MONTH($F22)) / 12),
  0)</f>
        <v/>
      </c>
      <c r="AH22" s="299">
        <f>IF(AND($F22&lt;=AH$2, OR($G22="",$G22&gt;=AH$2)),
  $H22 * (1 + Assumptions!$C$7) ^ INT(((YEAR(AH$2)-YEAR($F22))*12 + MONTH(AH$2)-MONTH($F22)) / 12),
  0)</f>
        <v/>
      </c>
      <c r="AI22" s="299">
        <f>IF(AND($F22&lt;=AI$2, OR($G22="",$G22&gt;=AI$2)),
  $H22 * (1 + Assumptions!$C$7) ^ INT(((YEAR(AI$2)-YEAR($F22))*12 + MONTH(AI$2)-MONTH($F22)) / 12),
  0)</f>
        <v/>
      </c>
      <c r="AJ22" s="299">
        <f>IF(AND($F22&lt;=AJ$2, OR($G22="",$G22&gt;=AJ$2)),
  $H22 * (1 + Assumptions!$C$7) ^ INT(((YEAR(AJ$2)-YEAR($F22))*12 + MONTH(AJ$2)-MONTH($F22)) / 12),
  0)</f>
        <v/>
      </c>
      <c r="AK22" s="299">
        <f>IF(AND($F22&lt;=AK$2, OR($G22="",$G22&gt;=AK$2)),
  $H22 * (1 + Assumptions!$C$7) ^ INT(((YEAR(AK$2)-YEAR($F22))*12 + MONTH(AK$2)-MONTH($F22)) / 12),
  0)</f>
        <v/>
      </c>
      <c r="AL22" s="299">
        <f>IF(AND($F22&lt;=AL$2, OR($G22="",$G22&gt;=AL$2)),
  $H22 * (1 + Assumptions!$C$7) ^ INT(((YEAR(AL$2)-YEAR($F22))*12 + MONTH(AL$2)-MONTH($F22)) / 12),
  0)</f>
        <v/>
      </c>
      <c r="AM22" s="299">
        <f>IF(AND($F22&lt;=AM$2, OR($G22="",$G22&gt;=AM$2)),
  $H22 * (1 + Assumptions!$C$7) ^ INT(((YEAR(AM$2)-YEAR($F22))*12 + MONTH(AM$2)-MONTH($F22)) / 12),
  0)</f>
        <v/>
      </c>
      <c r="AN22" s="299">
        <f>IF(AND($F22&lt;=AN$2, OR($G22="",$G22&gt;=AN$2)),
  $H22 * (1 + Assumptions!$C$7) ^ INT(((YEAR(AN$2)-YEAR($F22))*12 + MONTH(AN$2)-MONTH($F22)) / 12),
  0)</f>
        <v/>
      </c>
      <c r="AO22" s="299">
        <f>IF(AND($F22&lt;=AO$2, OR($G22="",$G22&gt;=AO$2)),
  $H22 * (1 + Assumptions!$C$7) ^ INT(((YEAR(AO$2)-YEAR($F22))*12 + MONTH(AO$2)-MONTH($F22)) / 12),
  0)</f>
        <v/>
      </c>
      <c r="AP22" s="299">
        <f>IF(AND($F22&lt;=AP$2, OR($G22="",$G22&gt;=AP$2)),
  $H22 * (1 + Assumptions!$C$7) ^ INT(((YEAR(AP$2)-YEAR($F22))*12 + MONTH(AP$2)-MONTH($F22)) / 12),
  0)</f>
        <v/>
      </c>
      <c r="AQ22" s="299">
        <f>IF(AND($F22&lt;=AQ$2, OR($G22="",$G22&gt;=AQ$2)),
  $H22 * (1 + Assumptions!$C$7) ^ INT(((YEAR(AQ$2)-YEAR($F22))*12 + MONTH(AQ$2)-MONTH($F22)) / 12),
  0)</f>
        <v/>
      </c>
      <c r="AR22" s="299">
        <f>IF(AND($F22&lt;=AR$2, OR($G22="",$G22&gt;=AR$2)),
  $H22 * (1 + Assumptions!$C$7) ^ INT(((YEAR(AR$2)-YEAR($F22))*12 + MONTH(AR$2)-MONTH($F22)) / 12),
  0)</f>
        <v/>
      </c>
      <c r="AS22" s="299">
        <f>IF(AND($F22&lt;=AS$2, OR($G22="",$G22&gt;=AS$2)),
  $H22 * (1 + Assumptions!$C$7) ^ INT(((YEAR(AS$2)-YEAR($F22))*12 + MONTH(AS$2)-MONTH($F22)) / 12),
  0)</f>
        <v/>
      </c>
      <c r="AT22" s="299">
        <f>IF(AND($F22&lt;=AT$2, OR($G22="",$G22&gt;=AT$2)),
  $H22 * (1 + Assumptions!$C$7) ^ INT(((YEAR(AT$2)-YEAR($F22))*12 + MONTH(AT$2)-MONTH($F22)) / 12),
  0)</f>
        <v/>
      </c>
      <c r="AU22" s="299">
        <f>IF(AND($F22&lt;=AU$2, OR($G22="",$G22&gt;=AU$2)),
  $H22 * (1 + Assumptions!$C$7) ^ INT(((YEAR(AU$2)-YEAR($F22))*12 + MONTH(AU$2)-MONTH($F22)) / 12),
  0)</f>
        <v/>
      </c>
      <c r="AV22" s="299">
        <f>IF(AND($F22&lt;=AV$2, OR($G22="",$G22&gt;=AV$2)),
  $H22 * (1 + Assumptions!$C$7) ^ INT(((YEAR(AV$2)-YEAR($F22))*12 + MONTH(AV$2)-MONTH($F22)) / 12),
  0)</f>
        <v/>
      </c>
      <c r="AW22" s="299">
        <f>IF(AND($F22&lt;=AW$2, OR($G22="",$G22&gt;=AW$2)),
  $H22 * (1 + Assumptions!$C$7) ^ INT(((YEAR(AW$2)-YEAR($F22))*12 + MONTH(AW$2)-MONTH($F22)) / 12),
  0)</f>
        <v/>
      </c>
      <c r="AX22" s="299">
        <f>IF(AND($F22&lt;=AX$2, OR($G22="",$G22&gt;=AX$2)),
  $H22 * (1 + Assumptions!$C$7) ^ INT(((YEAR(AX$2)-YEAR($F22))*12 + MONTH(AX$2)-MONTH($F22)) / 12),
  0)</f>
        <v/>
      </c>
      <c r="AY22" s="299">
        <f>IF(AND($F22&lt;=AY$2, OR($G22="",$G22&gt;=AY$2)),
  $H22 * (1 + Assumptions!$C$7) ^ INT(((YEAR(AY$2)-YEAR($F22))*12 + MONTH(AY$2)-MONTH($F22)) / 12),
  0)</f>
        <v/>
      </c>
      <c r="AZ22" s="299">
        <f>IF(AND($F22&lt;=AZ$2, OR($G22="",$G22&gt;=AZ$2)),
  $H22 * (1 + Assumptions!$C$7) ^ INT(((YEAR(AZ$2)-YEAR($F22))*12 + MONTH(AZ$2)-MONTH($F22)) / 12),
  0)</f>
        <v/>
      </c>
      <c r="BA22" s="299">
        <f>IF(AND($F22&lt;=BA$2, OR($G22="",$G22&gt;=BA$2)),
  $H22 * (1 + Assumptions!$C$7) ^ INT(((YEAR(BA$2)-YEAR($F22))*12 + MONTH(BA$2)-MONTH($F22)) / 12),
  0)</f>
        <v/>
      </c>
      <c r="BB22" s="299">
        <f>IF(AND($F22&lt;=BB$2, OR($G22="",$G22&gt;=BB$2)),
  $H22 * (1 + Assumptions!$C$7) ^ INT(((YEAR(BB$2)-YEAR($F22))*12 + MONTH(BB$2)-MONTH($F22)) / 12),
  0)</f>
        <v/>
      </c>
      <c r="BC22" s="299">
        <f>IF(AND($F22&lt;=BC$2, OR($G22="",$G22&gt;=BC$2)),
  $H22 * (1 + Assumptions!$C$7) ^ INT(((YEAR(BC$2)-YEAR($F22))*12 + MONTH(BC$2)-MONTH($F22)) / 12),
  0)</f>
        <v/>
      </c>
      <c r="BD22" s="299">
        <f>IF(AND($F22&lt;=BD$2, OR($G22="",$G22&gt;=BD$2)),
  $H22 * (1 + Assumptions!$C$7) ^ INT(((YEAR(BD$2)-YEAR($F22))*12 + MONTH(BD$2)-MONTH($F22)) / 12),
  0)</f>
        <v/>
      </c>
      <c r="BE22" s="299">
        <f>IF(AND($F22&lt;=BE$2, OR($G22="",$G22&gt;=BE$2)),
  $H22 * (1 + Assumptions!$C$7) ^ INT(((YEAR(BE$2)-YEAR($F22))*12 + MONTH(BE$2)-MONTH($F22)) / 12),
  0)</f>
        <v/>
      </c>
      <c r="BF22" s="299">
        <f>IF(AND($F22&lt;=BF$2, OR($G22="",$G22&gt;=BF$2)),
  $H22 * (1 + Assumptions!$C$7) ^ INT(((YEAR(BF$2)-YEAR($F22))*12 + MONTH(BF$2)-MONTH($F22)) / 12),
  0)</f>
        <v/>
      </c>
      <c r="BG22" s="299">
        <f>IF(AND($F22&lt;=BG$2, OR($G22="",$G22&gt;=BG$2)),
  $H22 * (1 + Assumptions!$C$7) ^ INT(((YEAR(BG$2)-YEAR($F22))*12 + MONTH(BG$2)-MONTH($F22)) / 12),
  0)</f>
        <v/>
      </c>
      <c r="BH22" s="299">
        <f>IF(AND($F22&lt;=BH$2, OR($G22="",$G22&gt;=BH$2)),
  $H22 * (1 + Assumptions!$C$7) ^ INT(((YEAR(BH$2)-YEAR($F22))*12 + MONTH(BH$2)-MONTH($F22)) / 12),
  0)</f>
        <v/>
      </c>
      <c r="BI22" s="299">
        <f>IF(AND($F22&lt;=BI$2, OR($G22="",$G22&gt;=BI$2)),
  $H22 * (1 + Assumptions!$C$7) ^ INT(((YEAR(BI$2)-YEAR($F22))*12 + MONTH(BI$2)-MONTH($F22)) / 12),
  0)</f>
        <v/>
      </c>
      <c r="BJ22" s="299">
        <f>IF(AND($F22&lt;=BJ$2, OR($G22="",$G22&gt;=BJ$2)),
  $H22 * (1 + Assumptions!$C$7) ^ INT(((YEAR(BJ$2)-YEAR($F22))*12 + MONTH(BJ$2)-MONTH($F22)) / 12),
  0)</f>
        <v/>
      </c>
      <c r="BK22" s="299">
        <f>IF(AND($F22&lt;=BK$2, OR($G22="",$G22&gt;=BK$2)),
  $H22 * (1 + Assumptions!$C$7) ^ INT(((YEAR(BK$2)-YEAR($F22))*12 + MONTH(BK$2)-MONTH($F22)) / 12),
  0)</f>
        <v/>
      </c>
      <c r="BL22" s="299">
        <f>IF(AND($F22&lt;=BL$2, OR($G22="",$G22&gt;=BL$2)),
  $H22 * (1 + Assumptions!$C$7) ^ INT(((YEAR(BL$2)-YEAR($F22))*12 + MONTH(BL$2)-MONTH($F22)) / 12),
  0)</f>
        <v/>
      </c>
      <c r="BM22" s="299">
        <f>IF(AND($F22&lt;=BM$2, OR($G22="",$G22&gt;=BM$2)),
  $H22 * (1 + Assumptions!$C$7) ^ INT(((YEAR(BM$2)-YEAR($F22))*12 + MONTH(BM$2)-MONTH($F22)) / 12),
  0)</f>
        <v/>
      </c>
      <c r="BN22" s="299">
        <f>IF(AND($F22&lt;=BN$2, OR($G22="",$G22&gt;=BN$2)),
  $H22 * (1 + Assumptions!$C$7) ^ INT(((YEAR(BN$2)-YEAR($F22))*12 + MONTH(BN$2)-MONTH($F22)) / 12),
  0)</f>
        <v/>
      </c>
      <c r="BO22" s="299">
        <f>IF(AND($F22&lt;=BO$2, OR($G22="",$G22&gt;=BO$2)),
  $H22 * (1 + Assumptions!$C$7) ^ INT(((YEAR(BO$2)-YEAR($F22))*12 + MONTH(BO$2)-MONTH($F22)) / 12),
  0)</f>
        <v/>
      </c>
      <c r="BP22" s="299">
        <f>IF(AND($F22&lt;=BP$2, OR($G22="",$G22&gt;=BP$2)),
  $H22 * (1 + Assumptions!$C$7) ^ INT(((YEAR(BP$2)-YEAR($F22))*12 + MONTH(BP$2)-MONTH($F22)) / 12),
  0)</f>
        <v/>
      </c>
      <c r="BQ22" s="31" t="n"/>
      <c r="BR22" s="40" t="inlineStr">
        <is>
          <t>paid this month if started and not yet left; +8% on each work anniversary</t>
        </is>
      </c>
      <c r="BS22" s="31" t="n"/>
      <c r="BT22" s="31" t="n"/>
    </row>
    <row r="23" ht="15.75" customHeight="1" s="349">
      <c r="A23" s="321" t="n">
        <v>18</v>
      </c>
      <c r="B23" s="285" t="inlineStr">
        <is>
          <t>New hire</t>
        </is>
      </c>
      <c r="C23" s="23" t="inlineStr">
        <is>
          <t>G&amp;A</t>
        </is>
      </c>
      <c r="D23" s="23" t="inlineStr">
        <is>
          <t>Office Support</t>
        </is>
      </c>
      <c r="E23" s="297" t="inlineStr">
        <is>
          <t>Planned</t>
        </is>
      </c>
      <c r="F23" s="318" t="n">
        <v>46388</v>
      </c>
      <c r="G23" s="311" t="n"/>
      <c r="H23" s="288" t="n">
        <v>4500</v>
      </c>
      <c r="I23" s="299">
        <f>IF(AND($F23&lt;=I$2, OR($G23="",$G23&gt;=I$2)),
  $H23 * (1 + Assumptions!$C$7) ^ INT(((YEAR(I$2)-YEAR($F23))*12 + MONTH(I$2)-MONTH($F23)) / 12),
  0)</f>
        <v/>
      </c>
      <c r="J23" s="299">
        <f>IF(AND($F23&lt;=J$2, OR($G23="",$G23&gt;=J$2)),
  $H23 * (1 + Assumptions!$C$7) ^ INT(((YEAR(J$2)-YEAR($F23))*12 + MONTH(J$2)-MONTH($F23)) / 12),
  0)</f>
        <v/>
      </c>
      <c r="K23" s="299">
        <f>IF(AND($F23&lt;=K$2, OR($G23="",$G23&gt;=K$2)),
  $H23 * (1 + Assumptions!$C$7) ^ INT(((YEAR(K$2)-YEAR($F23))*12 + MONTH(K$2)-MONTH($F23)) / 12),
  0)</f>
        <v/>
      </c>
      <c r="L23" s="299">
        <f>IF(AND($F23&lt;=L$2, OR($G23="",$G23&gt;=L$2)),
  $H23 * (1 + Assumptions!$C$7) ^ INT(((YEAR(L$2)-YEAR($F23))*12 + MONTH(L$2)-MONTH($F23)) / 12),
  0)</f>
        <v/>
      </c>
      <c r="M23" s="299">
        <f>IF(AND($F23&lt;=M$2, OR($G23="",$G23&gt;=M$2)),
  $H23 * (1 + Assumptions!$C$7) ^ INT(((YEAR(M$2)-YEAR($F23))*12 + MONTH(M$2)-MONTH($F23)) / 12),
  0)</f>
        <v/>
      </c>
      <c r="N23" s="299">
        <f>IF(AND($F23&lt;=N$2, OR($G23="",$G23&gt;=N$2)),
  $H23 * (1 + Assumptions!$C$7) ^ INT(((YEAR(N$2)-YEAR($F23))*12 + MONTH(N$2)-MONTH($F23)) / 12),
  0)</f>
        <v/>
      </c>
      <c r="O23" s="299">
        <f>IF(AND($F23&lt;=O$2, OR($G23="",$G23&gt;=O$2)),
  $H23 * (1 + Assumptions!$C$7) ^ INT(((YEAR(O$2)-YEAR($F23))*12 + MONTH(O$2)-MONTH($F23)) / 12),
  0)</f>
        <v/>
      </c>
      <c r="P23" s="299">
        <f>IF(AND($F23&lt;=P$2, OR($G23="",$G23&gt;=P$2)),
  $H23 * (1 + Assumptions!$C$7) ^ INT(((YEAR(P$2)-YEAR($F23))*12 + MONTH(P$2)-MONTH($F23)) / 12),
  0)</f>
        <v/>
      </c>
      <c r="Q23" s="299">
        <f>IF(AND($F23&lt;=Q$2, OR($G23="",$G23&gt;=Q$2)),
  $H23 * (1 + Assumptions!$C$7) ^ INT(((YEAR(Q$2)-YEAR($F23))*12 + MONTH(Q$2)-MONTH($F23)) / 12),
  0)</f>
        <v/>
      </c>
      <c r="R23" s="299">
        <f>IF(AND($F23&lt;=R$2, OR($G23="",$G23&gt;=R$2)),
  $H23 * (1 + Assumptions!$C$7) ^ INT(((YEAR(R$2)-YEAR($F23))*12 + MONTH(R$2)-MONTH($F23)) / 12),
  0)</f>
        <v/>
      </c>
      <c r="S23" s="299">
        <f>IF(AND($F23&lt;=S$2, OR($G23="",$G23&gt;=S$2)),
  $H23 * (1 + Assumptions!$C$7) ^ INT(((YEAR(S$2)-YEAR($F23))*12 + MONTH(S$2)-MONTH($F23)) / 12),
  0)</f>
        <v/>
      </c>
      <c r="T23" s="299">
        <f>IF(AND($F23&lt;=T$2, OR($G23="",$G23&gt;=T$2)),
  $H23 * (1 + Assumptions!$C$7) ^ INT(((YEAR(T$2)-YEAR($F23))*12 + MONTH(T$2)-MONTH($F23)) / 12),
  0)</f>
        <v/>
      </c>
      <c r="U23" s="299">
        <f>IF(AND($F23&lt;=U$2, OR($G23="",$G23&gt;=U$2)),
  $H23 * (1 + Assumptions!$C$7) ^ INT(((YEAR(U$2)-YEAR($F23))*12 + MONTH(U$2)-MONTH($F23)) / 12),
  0)</f>
        <v/>
      </c>
      <c r="V23" s="299">
        <f>IF(AND($F23&lt;=V$2, OR($G23="",$G23&gt;=V$2)),
  $H23 * (1 + Assumptions!$C$7) ^ INT(((YEAR(V$2)-YEAR($F23))*12 + MONTH(V$2)-MONTH($F23)) / 12),
  0)</f>
        <v/>
      </c>
      <c r="W23" s="299">
        <f>IF(AND($F23&lt;=W$2, OR($G23="",$G23&gt;=W$2)),
  $H23 * (1 + Assumptions!$C$7) ^ INT(((YEAR(W$2)-YEAR($F23))*12 + MONTH(W$2)-MONTH($F23)) / 12),
  0)</f>
        <v/>
      </c>
      <c r="X23" s="299">
        <f>IF(AND($F23&lt;=X$2, OR($G23="",$G23&gt;=X$2)),
  $H23 * (1 + Assumptions!$C$7) ^ INT(((YEAR(X$2)-YEAR($F23))*12 + MONTH(X$2)-MONTH($F23)) / 12),
  0)</f>
        <v/>
      </c>
      <c r="Y23" s="299">
        <f>IF(AND($F23&lt;=Y$2, OR($G23="",$G23&gt;=Y$2)),
  $H23 * (1 + Assumptions!$C$7) ^ INT(((YEAR(Y$2)-YEAR($F23))*12 + MONTH(Y$2)-MONTH($F23)) / 12),
  0)</f>
        <v/>
      </c>
      <c r="Z23" s="299">
        <f>IF(AND($F23&lt;=Z$2, OR($G23="",$G23&gt;=Z$2)),
  $H23 * (1 + Assumptions!$C$7) ^ INT(((YEAR(Z$2)-YEAR($F23))*12 + MONTH(Z$2)-MONTH($F23)) / 12),
  0)</f>
        <v/>
      </c>
      <c r="AA23" s="299">
        <f>IF(AND($F23&lt;=AA$2, OR($G23="",$G23&gt;=AA$2)),
  $H23 * (1 + Assumptions!$C$7) ^ INT(((YEAR(AA$2)-YEAR($F23))*12 + MONTH(AA$2)-MONTH($F23)) / 12),
  0)</f>
        <v/>
      </c>
      <c r="AB23" s="299">
        <f>IF(AND($F23&lt;=AB$2, OR($G23="",$G23&gt;=AB$2)),
  $H23 * (1 + Assumptions!$C$7) ^ INT(((YEAR(AB$2)-YEAR($F23))*12 + MONTH(AB$2)-MONTH($F23)) / 12),
  0)</f>
        <v/>
      </c>
      <c r="AC23" s="299">
        <f>IF(AND($F23&lt;=AC$2, OR($G23="",$G23&gt;=AC$2)),
  $H23 * (1 + Assumptions!$C$7) ^ INT(((YEAR(AC$2)-YEAR($F23))*12 + MONTH(AC$2)-MONTH($F23)) / 12),
  0)</f>
        <v/>
      </c>
      <c r="AD23" s="299">
        <f>IF(AND($F23&lt;=AD$2, OR($G23="",$G23&gt;=AD$2)),
  $H23 * (1 + Assumptions!$C$7) ^ INT(((YEAR(AD$2)-YEAR($F23))*12 + MONTH(AD$2)-MONTH($F23)) / 12),
  0)</f>
        <v/>
      </c>
      <c r="AE23" s="299">
        <f>IF(AND($F23&lt;=AE$2, OR($G23="",$G23&gt;=AE$2)),
  $H23 * (1 + Assumptions!$C$7) ^ INT(((YEAR(AE$2)-YEAR($F23))*12 + MONTH(AE$2)-MONTH($F23)) / 12),
  0)</f>
        <v/>
      </c>
      <c r="AF23" s="299">
        <f>IF(AND($F23&lt;=AF$2, OR($G23="",$G23&gt;=AF$2)),
  $H23 * (1 + Assumptions!$C$7) ^ INT(((YEAR(AF$2)-YEAR($F23))*12 + MONTH(AF$2)-MONTH($F23)) / 12),
  0)</f>
        <v/>
      </c>
      <c r="AG23" s="299">
        <f>IF(AND($F23&lt;=AG$2, OR($G23="",$G23&gt;=AG$2)),
  $H23 * (1 + Assumptions!$C$7) ^ INT(((YEAR(AG$2)-YEAR($F23))*12 + MONTH(AG$2)-MONTH($F23)) / 12),
  0)</f>
        <v/>
      </c>
      <c r="AH23" s="299">
        <f>IF(AND($F23&lt;=AH$2, OR($G23="",$G23&gt;=AH$2)),
  $H23 * (1 + Assumptions!$C$7) ^ INT(((YEAR(AH$2)-YEAR($F23))*12 + MONTH(AH$2)-MONTH($F23)) / 12),
  0)</f>
        <v/>
      </c>
      <c r="AI23" s="299">
        <f>IF(AND($F23&lt;=AI$2, OR($G23="",$G23&gt;=AI$2)),
  $H23 * (1 + Assumptions!$C$7) ^ INT(((YEAR(AI$2)-YEAR($F23))*12 + MONTH(AI$2)-MONTH($F23)) / 12),
  0)</f>
        <v/>
      </c>
      <c r="AJ23" s="299">
        <f>IF(AND($F23&lt;=AJ$2, OR($G23="",$G23&gt;=AJ$2)),
  $H23 * (1 + Assumptions!$C$7) ^ INT(((YEAR(AJ$2)-YEAR($F23))*12 + MONTH(AJ$2)-MONTH($F23)) / 12),
  0)</f>
        <v/>
      </c>
      <c r="AK23" s="299">
        <f>IF(AND($F23&lt;=AK$2, OR($G23="",$G23&gt;=AK$2)),
  $H23 * (1 + Assumptions!$C$7) ^ INT(((YEAR(AK$2)-YEAR($F23))*12 + MONTH(AK$2)-MONTH($F23)) / 12),
  0)</f>
        <v/>
      </c>
      <c r="AL23" s="299">
        <f>IF(AND($F23&lt;=AL$2, OR($G23="",$G23&gt;=AL$2)),
  $H23 * (1 + Assumptions!$C$7) ^ INT(((YEAR(AL$2)-YEAR($F23))*12 + MONTH(AL$2)-MONTH($F23)) / 12),
  0)</f>
        <v/>
      </c>
      <c r="AM23" s="299">
        <f>IF(AND($F23&lt;=AM$2, OR($G23="",$G23&gt;=AM$2)),
  $H23 * (1 + Assumptions!$C$7) ^ INT(((YEAR(AM$2)-YEAR($F23))*12 + MONTH(AM$2)-MONTH($F23)) / 12),
  0)</f>
        <v/>
      </c>
      <c r="AN23" s="299">
        <f>IF(AND($F23&lt;=AN$2, OR($G23="",$G23&gt;=AN$2)),
  $H23 * (1 + Assumptions!$C$7) ^ INT(((YEAR(AN$2)-YEAR($F23))*12 + MONTH(AN$2)-MONTH($F23)) / 12),
  0)</f>
        <v/>
      </c>
      <c r="AO23" s="299">
        <f>IF(AND($F23&lt;=AO$2, OR($G23="",$G23&gt;=AO$2)),
  $H23 * (1 + Assumptions!$C$7) ^ INT(((YEAR(AO$2)-YEAR($F23))*12 + MONTH(AO$2)-MONTH($F23)) / 12),
  0)</f>
        <v/>
      </c>
      <c r="AP23" s="299">
        <f>IF(AND($F23&lt;=AP$2, OR($G23="",$G23&gt;=AP$2)),
  $H23 * (1 + Assumptions!$C$7) ^ INT(((YEAR(AP$2)-YEAR($F23))*12 + MONTH(AP$2)-MONTH($F23)) / 12),
  0)</f>
        <v/>
      </c>
      <c r="AQ23" s="299">
        <f>IF(AND($F23&lt;=AQ$2, OR($G23="",$G23&gt;=AQ$2)),
  $H23 * (1 + Assumptions!$C$7) ^ INT(((YEAR(AQ$2)-YEAR($F23))*12 + MONTH(AQ$2)-MONTH($F23)) / 12),
  0)</f>
        <v/>
      </c>
      <c r="AR23" s="299">
        <f>IF(AND($F23&lt;=AR$2, OR($G23="",$G23&gt;=AR$2)),
  $H23 * (1 + Assumptions!$C$7) ^ INT(((YEAR(AR$2)-YEAR($F23))*12 + MONTH(AR$2)-MONTH($F23)) / 12),
  0)</f>
        <v/>
      </c>
      <c r="AS23" s="299">
        <f>IF(AND($F23&lt;=AS$2, OR($G23="",$G23&gt;=AS$2)),
  $H23 * (1 + Assumptions!$C$7) ^ INT(((YEAR(AS$2)-YEAR($F23))*12 + MONTH(AS$2)-MONTH($F23)) / 12),
  0)</f>
        <v/>
      </c>
      <c r="AT23" s="299">
        <f>IF(AND($F23&lt;=AT$2, OR($G23="",$G23&gt;=AT$2)),
  $H23 * (1 + Assumptions!$C$7) ^ INT(((YEAR(AT$2)-YEAR($F23))*12 + MONTH(AT$2)-MONTH($F23)) / 12),
  0)</f>
        <v/>
      </c>
      <c r="AU23" s="299">
        <f>IF(AND($F23&lt;=AU$2, OR($G23="",$G23&gt;=AU$2)),
  $H23 * (1 + Assumptions!$C$7) ^ INT(((YEAR(AU$2)-YEAR($F23))*12 + MONTH(AU$2)-MONTH($F23)) / 12),
  0)</f>
        <v/>
      </c>
      <c r="AV23" s="299">
        <f>IF(AND($F23&lt;=AV$2, OR($G23="",$G23&gt;=AV$2)),
  $H23 * (1 + Assumptions!$C$7) ^ INT(((YEAR(AV$2)-YEAR($F23))*12 + MONTH(AV$2)-MONTH($F23)) / 12),
  0)</f>
        <v/>
      </c>
      <c r="AW23" s="299">
        <f>IF(AND($F23&lt;=AW$2, OR($G23="",$G23&gt;=AW$2)),
  $H23 * (1 + Assumptions!$C$7) ^ INT(((YEAR(AW$2)-YEAR($F23))*12 + MONTH(AW$2)-MONTH($F23)) / 12),
  0)</f>
        <v/>
      </c>
      <c r="AX23" s="299">
        <f>IF(AND($F23&lt;=AX$2, OR($G23="",$G23&gt;=AX$2)),
  $H23 * (1 + Assumptions!$C$7) ^ INT(((YEAR(AX$2)-YEAR($F23))*12 + MONTH(AX$2)-MONTH($F23)) / 12),
  0)</f>
        <v/>
      </c>
      <c r="AY23" s="299">
        <f>IF(AND($F23&lt;=AY$2, OR($G23="",$G23&gt;=AY$2)),
  $H23 * (1 + Assumptions!$C$7) ^ INT(((YEAR(AY$2)-YEAR($F23))*12 + MONTH(AY$2)-MONTH($F23)) / 12),
  0)</f>
        <v/>
      </c>
      <c r="AZ23" s="299">
        <f>IF(AND($F23&lt;=AZ$2, OR($G23="",$G23&gt;=AZ$2)),
  $H23 * (1 + Assumptions!$C$7) ^ INT(((YEAR(AZ$2)-YEAR($F23))*12 + MONTH(AZ$2)-MONTH($F23)) / 12),
  0)</f>
        <v/>
      </c>
      <c r="BA23" s="299">
        <f>IF(AND($F23&lt;=BA$2, OR($G23="",$G23&gt;=BA$2)),
  $H23 * (1 + Assumptions!$C$7) ^ INT(((YEAR(BA$2)-YEAR($F23))*12 + MONTH(BA$2)-MONTH($F23)) / 12),
  0)</f>
        <v/>
      </c>
      <c r="BB23" s="299">
        <f>IF(AND($F23&lt;=BB$2, OR($G23="",$G23&gt;=BB$2)),
  $H23 * (1 + Assumptions!$C$7) ^ INT(((YEAR(BB$2)-YEAR($F23))*12 + MONTH(BB$2)-MONTH($F23)) / 12),
  0)</f>
        <v/>
      </c>
      <c r="BC23" s="299">
        <f>IF(AND($F23&lt;=BC$2, OR($G23="",$G23&gt;=BC$2)),
  $H23 * (1 + Assumptions!$C$7) ^ INT(((YEAR(BC$2)-YEAR($F23))*12 + MONTH(BC$2)-MONTH($F23)) / 12),
  0)</f>
        <v/>
      </c>
      <c r="BD23" s="299">
        <f>IF(AND($F23&lt;=BD$2, OR($G23="",$G23&gt;=BD$2)),
  $H23 * (1 + Assumptions!$C$7) ^ INT(((YEAR(BD$2)-YEAR($F23))*12 + MONTH(BD$2)-MONTH($F23)) / 12),
  0)</f>
        <v/>
      </c>
      <c r="BE23" s="299">
        <f>IF(AND($F23&lt;=BE$2, OR($G23="",$G23&gt;=BE$2)),
  $H23 * (1 + Assumptions!$C$7) ^ INT(((YEAR(BE$2)-YEAR($F23))*12 + MONTH(BE$2)-MONTH($F23)) / 12),
  0)</f>
        <v/>
      </c>
      <c r="BF23" s="299">
        <f>IF(AND($F23&lt;=BF$2, OR($G23="",$G23&gt;=BF$2)),
  $H23 * (1 + Assumptions!$C$7) ^ INT(((YEAR(BF$2)-YEAR($F23))*12 + MONTH(BF$2)-MONTH($F23)) / 12),
  0)</f>
        <v/>
      </c>
      <c r="BG23" s="299">
        <f>IF(AND($F23&lt;=BG$2, OR($G23="",$G23&gt;=BG$2)),
  $H23 * (1 + Assumptions!$C$7) ^ INT(((YEAR(BG$2)-YEAR($F23))*12 + MONTH(BG$2)-MONTH($F23)) / 12),
  0)</f>
        <v/>
      </c>
      <c r="BH23" s="299">
        <f>IF(AND($F23&lt;=BH$2, OR($G23="",$G23&gt;=BH$2)),
  $H23 * (1 + Assumptions!$C$7) ^ INT(((YEAR(BH$2)-YEAR($F23))*12 + MONTH(BH$2)-MONTH($F23)) / 12),
  0)</f>
        <v/>
      </c>
      <c r="BI23" s="299">
        <f>IF(AND($F23&lt;=BI$2, OR($G23="",$G23&gt;=BI$2)),
  $H23 * (1 + Assumptions!$C$7) ^ INT(((YEAR(BI$2)-YEAR($F23))*12 + MONTH(BI$2)-MONTH($F23)) / 12),
  0)</f>
        <v/>
      </c>
      <c r="BJ23" s="299">
        <f>IF(AND($F23&lt;=BJ$2, OR($G23="",$G23&gt;=BJ$2)),
  $H23 * (1 + Assumptions!$C$7) ^ INT(((YEAR(BJ$2)-YEAR($F23))*12 + MONTH(BJ$2)-MONTH($F23)) / 12),
  0)</f>
        <v/>
      </c>
      <c r="BK23" s="299">
        <f>IF(AND($F23&lt;=BK$2, OR($G23="",$G23&gt;=BK$2)),
  $H23 * (1 + Assumptions!$C$7) ^ INT(((YEAR(BK$2)-YEAR($F23))*12 + MONTH(BK$2)-MONTH($F23)) / 12),
  0)</f>
        <v/>
      </c>
      <c r="BL23" s="299">
        <f>IF(AND($F23&lt;=BL$2, OR($G23="",$G23&gt;=BL$2)),
  $H23 * (1 + Assumptions!$C$7) ^ INT(((YEAR(BL$2)-YEAR($F23))*12 + MONTH(BL$2)-MONTH($F23)) / 12),
  0)</f>
        <v/>
      </c>
      <c r="BM23" s="299">
        <f>IF(AND($F23&lt;=BM$2, OR($G23="",$G23&gt;=BM$2)),
  $H23 * (1 + Assumptions!$C$7) ^ INT(((YEAR(BM$2)-YEAR($F23))*12 + MONTH(BM$2)-MONTH($F23)) / 12),
  0)</f>
        <v/>
      </c>
      <c r="BN23" s="299">
        <f>IF(AND($F23&lt;=BN$2, OR($G23="",$G23&gt;=BN$2)),
  $H23 * (1 + Assumptions!$C$7) ^ INT(((YEAR(BN$2)-YEAR($F23))*12 + MONTH(BN$2)-MONTH($F23)) / 12),
  0)</f>
        <v/>
      </c>
      <c r="BO23" s="299">
        <f>IF(AND($F23&lt;=BO$2, OR($G23="",$G23&gt;=BO$2)),
  $H23 * (1 + Assumptions!$C$7) ^ INT(((YEAR(BO$2)-YEAR($F23))*12 + MONTH(BO$2)-MONTH($F23)) / 12),
  0)</f>
        <v/>
      </c>
      <c r="BP23" s="299">
        <f>IF(AND($F23&lt;=BP$2, OR($G23="",$G23&gt;=BP$2)),
  $H23 * (1 + Assumptions!$C$7) ^ INT(((YEAR(BP$2)-YEAR($F23))*12 + MONTH(BP$2)-MONTH($F23)) / 12),
  0)</f>
        <v/>
      </c>
      <c r="BQ23" s="31" t="n"/>
      <c r="BR23" s="40" t="inlineStr">
        <is>
          <t>paid this month if started and not yet left; +8% on each work anniversary</t>
        </is>
      </c>
      <c r="BS23" s="31" t="n"/>
      <c r="BT23" s="31" t="n"/>
    </row>
    <row r="24" ht="15.75" customHeight="1" s="349">
      <c r="A24" s="321" t="n">
        <v>19</v>
      </c>
      <c r="B24" s="285" t="inlineStr">
        <is>
          <t>New hire</t>
        </is>
      </c>
      <c r="C24" s="285" t="inlineStr">
        <is>
          <t>R&amp;D</t>
        </is>
      </c>
      <c r="D24" s="317" t="inlineStr">
        <is>
          <t>Product</t>
        </is>
      </c>
      <c r="E24" s="297" t="inlineStr">
        <is>
          <t>Planned</t>
        </is>
      </c>
      <c r="F24" s="318" t="n">
        <v>46388</v>
      </c>
      <c r="G24" s="319" t="n"/>
      <c r="H24" s="288" t="n">
        <v>6500</v>
      </c>
      <c r="I24" s="299">
        <f>IF(AND($F24&lt;=I$2, OR($G24="",$G24&gt;=I$2)),
  $H24 * (1 + Assumptions!$C$7) ^ INT(((YEAR(I$2)-YEAR($F24))*12 + MONTH(I$2)-MONTH($F24)) / 12),
  0)</f>
        <v/>
      </c>
      <c r="J24" s="299">
        <f>IF(AND($F24&lt;=J$2, OR($G24="",$G24&gt;=J$2)),
  $H24 * (1 + Assumptions!$C$7) ^ INT(((YEAR(J$2)-YEAR($F24))*12 + MONTH(J$2)-MONTH($F24)) / 12),
  0)</f>
        <v/>
      </c>
      <c r="K24" s="299">
        <f>IF(AND($F24&lt;=K$2, OR($G24="",$G24&gt;=K$2)),
  $H24 * (1 + Assumptions!$C$7) ^ INT(((YEAR(K$2)-YEAR($F24))*12 + MONTH(K$2)-MONTH($F24)) / 12),
  0)</f>
        <v/>
      </c>
      <c r="L24" s="299">
        <f>IF(AND($F24&lt;=L$2, OR($G24="",$G24&gt;=L$2)),
  $H24 * (1 + Assumptions!$C$7) ^ INT(((YEAR(L$2)-YEAR($F24))*12 + MONTH(L$2)-MONTH($F24)) / 12),
  0)</f>
        <v/>
      </c>
      <c r="M24" s="299">
        <f>IF(AND($F24&lt;=M$2, OR($G24="",$G24&gt;=M$2)),
  $H24 * (1 + Assumptions!$C$7) ^ INT(((YEAR(M$2)-YEAR($F24))*12 + MONTH(M$2)-MONTH($F24)) / 12),
  0)</f>
        <v/>
      </c>
      <c r="N24" s="299">
        <f>IF(AND($F24&lt;=N$2, OR($G24="",$G24&gt;=N$2)),
  $H24 * (1 + Assumptions!$C$7) ^ INT(((YEAR(N$2)-YEAR($F24))*12 + MONTH(N$2)-MONTH($F24)) / 12),
  0)</f>
        <v/>
      </c>
      <c r="O24" s="299">
        <f>IF(AND($F24&lt;=O$2, OR($G24="",$G24&gt;=O$2)),
  $H24 * (1 + Assumptions!$C$7) ^ INT(((YEAR(O$2)-YEAR($F24))*12 + MONTH(O$2)-MONTH($F24)) / 12),
  0)</f>
        <v/>
      </c>
      <c r="P24" s="299">
        <f>IF(AND($F24&lt;=P$2, OR($G24="",$G24&gt;=P$2)),
  $H24 * (1 + Assumptions!$C$7) ^ INT(((YEAR(P$2)-YEAR($F24))*12 + MONTH(P$2)-MONTH($F24)) / 12),
  0)</f>
        <v/>
      </c>
      <c r="Q24" s="299">
        <f>IF(AND($F24&lt;=Q$2, OR($G24="",$G24&gt;=Q$2)),
  $H24 * (1 + Assumptions!$C$7) ^ INT(((YEAR(Q$2)-YEAR($F24))*12 + MONTH(Q$2)-MONTH($F24)) / 12),
  0)</f>
        <v/>
      </c>
      <c r="R24" s="299">
        <f>IF(AND($F24&lt;=R$2, OR($G24="",$G24&gt;=R$2)),
  $H24 * (1 + Assumptions!$C$7) ^ INT(((YEAR(R$2)-YEAR($F24))*12 + MONTH(R$2)-MONTH($F24)) / 12),
  0)</f>
        <v/>
      </c>
      <c r="S24" s="299">
        <f>IF(AND($F24&lt;=S$2, OR($G24="",$G24&gt;=S$2)),
  $H24 * (1 + Assumptions!$C$7) ^ INT(((YEAR(S$2)-YEAR($F24))*12 + MONTH(S$2)-MONTH($F24)) / 12),
  0)</f>
        <v/>
      </c>
      <c r="T24" s="299">
        <f>IF(AND($F24&lt;=T$2, OR($G24="",$G24&gt;=T$2)),
  $H24 * (1 + Assumptions!$C$7) ^ INT(((YEAR(T$2)-YEAR($F24))*12 + MONTH(T$2)-MONTH($F24)) / 12),
  0)</f>
        <v/>
      </c>
      <c r="U24" s="299">
        <f>IF(AND($F24&lt;=U$2, OR($G24="",$G24&gt;=U$2)),
  $H24 * (1 + Assumptions!$C$7) ^ INT(((YEAR(U$2)-YEAR($F24))*12 + MONTH(U$2)-MONTH($F24)) / 12),
  0)</f>
        <v/>
      </c>
      <c r="V24" s="299">
        <f>IF(AND($F24&lt;=V$2, OR($G24="",$G24&gt;=V$2)),
  $H24 * (1 + Assumptions!$C$7) ^ INT(((YEAR(V$2)-YEAR($F24))*12 + MONTH(V$2)-MONTH($F24)) / 12),
  0)</f>
        <v/>
      </c>
      <c r="W24" s="299">
        <f>IF(AND($F24&lt;=W$2, OR($G24="",$G24&gt;=W$2)),
  $H24 * (1 + Assumptions!$C$7) ^ INT(((YEAR(W$2)-YEAR($F24))*12 + MONTH(W$2)-MONTH($F24)) / 12),
  0)</f>
        <v/>
      </c>
      <c r="X24" s="299">
        <f>IF(AND($F24&lt;=X$2, OR($G24="",$G24&gt;=X$2)),
  $H24 * (1 + Assumptions!$C$7) ^ INT(((YEAR(X$2)-YEAR($F24))*12 + MONTH(X$2)-MONTH($F24)) / 12),
  0)</f>
        <v/>
      </c>
      <c r="Y24" s="299">
        <f>IF(AND($F24&lt;=Y$2, OR($G24="",$G24&gt;=Y$2)),
  $H24 * (1 + Assumptions!$C$7) ^ INT(((YEAR(Y$2)-YEAR($F24))*12 + MONTH(Y$2)-MONTH($F24)) / 12),
  0)</f>
        <v/>
      </c>
      <c r="Z24" s="299">
        <f>IF(AND($F24&lt;=Z$2, OR($G24="",$G24&gt;=Z$2)),
  $H24 * (1 + Assumptions!$C$7) ^ INT(((YEAR(Z$2)-YEAR($F24))*12 + MONTH(Z$2)-MONTH($F24)) / 12),
  0)</f>
        <v/>
      </c>
      <c r="AA24" s="299">
        <f>IF(AND($F24&lt;=AA$2, OR($G24="",$G24&gt;=AA$2)),
  $H24 * (1 + Assumptions!$C$7) ^ INT(((YEAR(AA$2)-YEAR($F24))*12 + MONTH(AA$2)-MONTH($F24)) / 12),
  0)</f>
        <v/>
      </c>
      <c r="AB24" s="299">
        <f>IF(AND($F24&lt;=AB$2, OR($G24="",$G24&gt;=AB$2)),
  $H24 * (1 + Assumptions!$C$7) ^ INT(((YEAR(AB$2)-YEAR($F24))*12 + MONTH(AB$2)-MONTH($F24)) / 12),
  0)</f>
        <v/>
      </c>
      <c r="AC24" s="299">
        <f>IF(AND($F24&lt;=AC$2, OR($G24="",$G24&gt;=AC$2)),
  $H24 * (1 + Assumptions!$C$7) ^ INT(((YEAR(AC$2)-YEAR($F24))*12 + MONTH(AC$2)-MONTH($F24)) / 12),
  0)</f>
        <v/>
      </c>
      <c r="AD24" s="299">
        <f>IF(AND($F24&lt;=AD$2, OR($G24="",$G24&gt;=AD$2)),
  $H24 * (1 + Assumptions!$C$7) ^ INT(((YEAR(AD$2)-YEAR($F24))*12 + MONTH(AD$2)-MONTH($F24)) / 12),
  0)</f>
        <v/>
      </c>
      <c r="AE24" s="299">
        <f>IF(AND($F24&lt;=AE$2, OR($G24="",$G24&gt;=AE$2)),
  $H24 * (1 + Assumptions!$C$7) ^ INT(((YEAR(AE$2)-YEAR($F24))*12 + MONTH(AE$2)-MONTH($F24)) / 12),
  0)</f>
        <v/>
      </c>
      <c r="AF24" s="299">
        <f>IF(AND($F24&lt;=AF$2, OR($G24="",$G24&gt;=AF$2)),
  $H24 * (1 + Assumptions!$C$7) ^ INT(((YEAR(AF$2)-YEAR($F24))*12 + MONTH(AF$2)-MONTH($F24)) / 12),
  0)</f>
        <v/>
      </c>
      <c r="AG24" s="299">
        <f>IF(AND($F24&lt;=AG$2, OR($G24="",$G24&gt;=AG$2)),
  $H24 * (1 + Assumptions!$C$7) ^ INT(((YEAR(AG$2)-YEAR($F24))*12 + MONTH(AG$2)-MONTH($F24)) / 12),
  0)</f>
        <v/>
      </c>
      <c r="AH24" s="299">
        <f>IF(AND($F24&lt;=AH$2, OR($G24="",$G24&gt;=AH$2)),
  $H24 * (1 + Assumptions!$C$7) ^ INT(((YEAR(AH$2)-YEAR($F24))*12 + MONTH(AH$2)-MONTH($F24)) / 12),
  0)</f>
        <v/>
      </c>
      <c r="AI24" s="299">
        <f>IF(AND($F24&lt;=AI$2, OR($G24="",$G24&gt;=AI$2)),
  $H24 * (1 + Assumptions!$C$7) ^ INT(((YEAR(AI$2)-YEAR($F24))*12 + MONTH(AI$2)-MONTH($F24)) / 12),
  0)</f>
        <v/>
      </c>
      <c r="AJ24" s="299">
        <f>IF(AND($F24&lt;=AJ$2, OR($G24="",$G24&gt;=AJ$2)),
  $H24 * (1 + Assumptions!$C$7) ^ INT(((YEAR(AJ$2)-YEAR($F24))*12 + MONTH(AJ$2)-MONTH($F24)) / 12),
  0)</f>
        <v/>
      </c>
      <c r="AK24" s="299">
        <f>IF(AND($F24&lt;=AK$2, OR($G24="",$G24&gt;=AK$2)),
  $H24 * (1 + Assumptions!$C$7) ^ INT(((YEAR(AK$2)-YEAR($F24))*12 + MONTH(AK$2)-MONTH($F24)) / 12),
  0)</f>
        <v/>
      </c>
      <c r="AL24" s="299">
        <f>IF(AND($F24&lt;=AL$2, OR($G24="",$G24&gt;=AL$2)),
  $H24 * (1 + Assumptions!$C$7) ^ INT(((YEAR(AL$2)-YEAR($F24))*12 + MONTH(AL$2)-MONTH($F24)) / 12),
  0)</f>
        <v/>
      </c>
      <c r="AM24" s="299">
        <f>IF(AND($F24&lt;=AM$2, OR($G24="",$G24&gt;=AM$2)),
  $H24 * (1 + Assumptions!$C$7) ^ INT(((YEAR(AM$2)-YEAR($F24))*12 + MONTH(AM$2)-MONTH($F24)) / 12),
  0)</f>
        <v/>
      </c>
      <c r="AN24" s="299">
        <f>IF(AND($F24&lt;=AN$2, OR($G24="",$G24&gt;=AN$2)),
  $H24 * (1 + Assumptions!$C$7) ^ INT(((YEAR(AN$2)-YEAR($F24))*12 + MONTH(AN$2)-MONTH($F24)) / 12),
  0)</f>
        <v/>
      </c>
      <c r="AO24" s="299">
        <f>IF(AND($F24&lt;=AO$2, OR($G24="",$G24&gt;=AO$2)),
  $H24 * (1 + Assumptions!$C$7) ^ INT(((YEAR(AO$2)-YEAR($F24))*12 + MONTH(AO$2)-MONTH($F24)) / 12),
  0)</f>
        <v/>
      </c>
      <c r="AP24" s="299">
        <f>IF(AND($F24&lt;=AP$2, OR($G24="",$G24&gt;=AP$2)),
  $H24 * (1 + Assumptions!$C$7) ^ INT(((YEAR(AP$2)-YEAR($F24))*12 + MONTH(AP$2)-MONTH($F24)) / 12),
  0)</f>
        <v/>
      </c>
      <c r="AQ24" s="299">
        <f>IF(AND($F24&lt;=AQ$2, OR($G24="",$G24&gt;=AQ$2)),
  $H24 * (1 + Assumptions!$C$7) ^ INT(((YEAR(AQ$2)-YEAR($F24))*12 + MONTH(AQ$2)-MONTH($F24)) / 12),
  0)</f>
        <v/>
      </c>
      <c r="AR24" s="299">
        <f>IF(AND($F24&lt;=AR$2, OR($G24="",$G24&gt;=AR$2)),
  $H24 * (1 + Assumptions!$C$7) ^ INT(((YEAR(AR$2)-YEAR($F24))*12 + MONTH(AR$2)-MONTH($F24)) / 12),
  0)</f>
        <v/>
      </c>
      <c r="AS24" s="299">
        <f>IF(AND($F24&lt;=AS$2, OR($G24="",$G24&gt;=AS$2)),
  $H24 * (1 + Assumptions!$C$7) ^ INT(((YEAR(AS$2)-YEAR($F24))*12 + MONTH(AS$2)-MONTH($F24)) / 12),
  0)</f>
        <v/>
      </c>
      <c r="AT24" s="299">
        <f>IF(AND($F24&lt;=AT$2, OR($G24="",$G24&gt;=AT$2)),
  $H24 * (1 + Assumptions!$C$7) ^ INT(((YEAR(AT$2)-YEAR($F24))*12 + MONTH(AT$2)-MONTH($F24)) / 12),
  0)</f>
        <v/>
      </c>
      <c r="AU24" s="299">
        <f>IF(AND($F24&lt;=AU$2, OR($G24="",$G24&gt;=AU$2)),
  $H24 * (1 + Assumptions!$C$7) ^ INT(((YEAR(AU$2)-YEAR($F24))*12 + MONTH(AU$2)-MONTH($F24)) / 12),
  0)</f>
        <v/>
      </c>
      <c r="AV24" s="299">
        <f>IF(AND($F24&lt;=AV$2, OR($G24="",$G24&gt;=AV$2)),
  $H24 * (1 + Assumptions!$C$7) ^ INT(((YEAR(AV$2)-YEAR($F24))*12 + MONTH(AV$2)-MONTH($F24)) / 12),
  0)</f>
        <v/>
      </c>
      <c r="AW24" s="299">
        <f>IF(AND($F24&lt;=AW$2, OR($G24="",$G24&gt;=AW$2)),
  $H24 * (1 + Assumptions!$C$7) ^ INT(((YEAR(AW$2)-YEAR($F24))*12 + MONTH(AW$2)-MONTH($F24)) / 12),
  0)</f>
        <v/>
      </c>
      <c r="AX24" s="299">
        <f>IF(AND($F24&lt;=AX$2, OR($G24="",$G24&gt;=AX$2)),
  $H24 * (1 + Assumptions!$C$7) ^ INT(((YEAR(AX$2)-YEAR($F24))*12 + MONTH(AX$2)-MONTH($F24)) / 12),
  0)</f>
        <v/>
      </c>
      <c r="AY24" s="299">
        <f>IF(AND($F24&lt;=AY$2, OR($G24="",$G24&gt;=AY$2)),
  $H24 * (1 + Assumptions!$C$7) ^ INT(((YEAR(AY$2)-YEAR($F24))*12 + MONTH(AY$2)-MONTH($F24)) / 12),
  0)</f>
        <v/>
      </c>
      <c r="AZ24" s="299">
        <f>IF(AND($F24&lt;=AZ$2, OR($G24="",$G24&gt;=AZ$2)),
  $H24 * (1 + Assumptions!$C$7) ^ INT(((YEAR(AZ$2)-YEAR($F24))*12 + MONTH(AZ$2)-MONTH($F24)) / 12),
  0)</f>
        <v/>
      </c>
      <c r="BA24" s="299">
        <f>IF(AND($F24&lt;=BA$2, OR($G24="",$G24&gt;=BA$2)),
  $H24 * (1 + Assumptions!$C$7) ^ INT(((YEAR(BA$2)-YEAR($F24))*12 + MONTH(BA$2)-MONTH($F24)) / 12),
  0)</f>
        <v/>
      </c>
      <c r="BB24" s="299">
        <f>IF(AND($F24&lt;=BB$2, OR($G24="",$G24&gt;=BB$2)),
  $H24 * (1 + Assumptions!$C$7) ^ INT(((YEAR(BB$2)-YEAR($F24))*12 + MONTH(BB$2)-MONTH($F24)) / 12),
  0)</f>
        <v/>
      </c>
      <c r="BC24" s="299">
        <f>IF(AND($F24&lt;=BC$2, OR($G24="",$G24&gt;=BC$2)),
  $H24 * (1 + Assumptions!$C$7) ^ INT(((YEAR(BC$2)-YEAR($F24))*12 + MONTH(BC$2)-MONTH($F24)) / 12),
  0)</f>
        <v/>
      </c>
      <c r="BD24" s="299">
        <f>IF(AND($F24&lt;=BD$2, OR($G24="",$G24&gt;=BD$2)),
  $H24 * (1 + Assumptions!$C$7) ^ INT(((YEAR(BD$2)-YEAR($F24))*12 + MONTH(BD$2)-MONTH($F24)) / 12),
  0)</f>
        <v/>
      </c>
      <c r="BE24" s="299">
        <f>IF(AND($F24&lt;=BE$2, OR($G24="",$G24&gt;=BE$2)),
  $H24 * (1 + Assumptions!$C$7) ^ INT(((YEAR(BE$2)-YEAR($F24))*12 + MONTH(BE$2)-MONTH($F24)) / 12),
  0)</f>
        <v/>
      </c>
      <c r="BF24" s="299">
        <f>IF(AND($F24&lt;=BF$2, OR($G24="",$G24&gt;=BF$2)),
  $H24 * (1 + Assumptions!$C$7) ^ INT(((YEAR(BF$2)-YEAR($F24))*12 + MONTH(BF$2)-MONTH($F24)) / 12),
  0)</f>
        <v/>
      </c>
      <c r="BG24" s="299">
        <f>IF(AND($F24&lt;=BG$2, OR($G24="",$G24&gt;=BG$2)),
  $H24 * (1 + Assumptions!$C$7) ^ INT(((YEAR(BG$2)-YEAR($F24))*12 + MONTH(BG$2)-MONTH($F24)) / 12),
  0)</f>
        <v/>
      </c>
      <c r="BH24" s="299">
        <f>IF(AND($F24&lt;=BH$2, OR($G24="",$G24&gt;=BH$2)),
  $H24 * (1 + Assumptions!$C$7) ^ INT(((YEAR(BH$2)-YEAR($F24))*12 + MONTH(BH$2)-MONTH($F24)) / 12),
  0)</f>
        <v/>
      </c>
      <c r="BI24" s="299">
        <f>IF(AND($F24&lt;=BI$2, OR($G24="",$G24&gt;=BI$2)),
  $H24 * (1 + Assumptions!$C$7) ^ INT(((YEAR(BI$2)-YEAR($F24))*12 + MONTH(BI$2)-MONTH($F24)) / 12),
  0)</f>
        <v/>
      </c>
      <c r="BJ24" s="299">
        <f>IF(AND($F24&lt;=BJ$2, OR($G24="",$G24&gt;=BJ$2)),
  $H24 * (1 + Assumptions!$C$7) ^ INT(((YEAR(BJ$2)-YEAR($F24))*12 + MONTH(BJ$2)-MONTH($F24)) / 12),
  0)</f>
        <v/>
      </c>
      <c r="BK24" s="299">
        <f>IF(AND($F24&lt;=BK$2, OR($G24="",$G24&gt;=BK$2)),
  $H24 * (1 + Assumptions!$C$7) ^ INT(((YEAR(BK$2)-YEAR($F24))*12 + MONTH(BK$2)-MONTH($F24)) / 12),
  0)</f>
        <v/>
      </c>
      <c r="BL24" s="299">
        <f>IF(AND($F24&lt;=BL$2, OR($G24="",$G24&gt;=BL$2)),
  $H24 * (1 + Assumptions!$C$7) ^ INT(((YEAR(BL$2)-YEAR($F24))*12 + MONTH(BL$2)-MONTH($F24)) / 12),
  0)</f>
        <v/>
      </c>
      <c r="BM24" s="299">
        <f>IF(AND($F24&lt;=BM$2, OR($G24="",$G24&gt;=BM$2)),
  $H24 * (1 + Assumptions!$C$7) ^ INT(((YEAR(BM$2)-YEAR($F24))*12 + MONTH(BM$2)-MONTH($F24)) / 12),
  0)</f>
        <v/>
      </c>
      <c r="BN24" s="299">
        <f>IF(AND($F24&lt;=BN$2, OR($G24="",$G24&gt;=BN$2)),
  $H24 * (1 + Assumptions!$C$7) ^ INT(((YEAR(BN$2)-YEAR($F24))*12 + MONTH(BN$2)-MONTH($F24)) / 12),
  0)</f>
        <v/>
      </c>
      <c r="BO24" s="299">
        <f>IF(AND($F24&lt;=BO$2, OR($G24="",$G24&gt;=BO$2)),
  $H24 * (1 + Assumptions!$C$7) ^ INT(((YEAR(BO$2)-YEAR($F24))*12 + MONTH(BO$2)-MONTH($F24)) / 12),
  0)</f>
        <v/>
      </c>
      <c r="BP24" s="299">
        <f>IF(AND($F24&lt;=BP$2, OR($G24="",$G24&gt;=BP$2)),
  $H24 * (1 + Assumptions!$C$7) ^ INT(((YEAR(BP$2)-YEAR($F24))*12 + MONTH(BP$2)-MONTH($F24)) / 12),
  0)</f>
        <v/>
      </c>
      <c r="BQ24" s="31" t="n"/>
      <c r="BR24" s="40" t="inlineStr">
        <is>
          <t>paid this month if started and not yet left; +8% on each work anniversary</t>
        </is>
      </c>
      <c r="BS24" s="31" t="n"/>
      <c r="BT24" s="31" t="n"/>
    </row>
    <row r="25" ht="15.75" customHeight="1" s="349">
      <c r="A25" s="321" t="n">
        <v>20</v>
      </c>
      <c r="B25" s="285" t="inlineStr">
        <is>
          <t>New hire</t>
        </is>
      </c>
      <c r="C25" s="317" t="inlineStr">
        <is>
          <t>G&amp;A</t>
        </is>
      </c>
      <c r="D25" s="321" t="inlineStr">
        <is>
          <t>Logistics</t>
        </is>
      </c>
      <c r="E25" s="297" t="inlineStr">
        <is>
          <t>Planned</t>
        </is>
      </c>
      <c r="F25" s="318" t="n">
        <v>46388</v>
      </c>
      <c r="G25" s="319" t="n"/>
      <c r="H25" s="288" t="n">
        <v>6500</v>
      </c>
      <c r="I25" s="299">
        <f>IF(AND($F25&lt;=I$2, OR($G25="",$G25&gt;=I$2)),
  $H25 * (1 + Assumptions!$C$7) ^ INT(((YEAR(I$2)-YEAR($F25))*12 + MONTH(I$2)-MONTH($F25)) / 12),
  0)</f>
        <v/>
      </c>
      <c r="J25" s="299">
        <f>IF(AND($F25&lt;=J$2, OR($G25="",$G25&gt;=J$2)),
  $H25 * (1 + Assumptions!$C$7) ^ INT(((YEAR(J$2)-YEAR($F25))*12 + MONTH(J$2)-MONTH($F25)) / 12),
  0)</f>
        <v/>
      </c>
      <c r="K25" s="299">
        <f>IF(AND($F25&lt;=K$2, OR($G25="",$G25&gt;=K$2)),
  $H25 * (1 + Assumptions!$C$7) ^ INT(((YEAR(K$2)-YEAR($F25))*12 + MONTH(K$2)-MONTH($F25)) / 12),
  0)</f>
        <v/>
      </c>
      <c r="L25" s="299">
        <f>IF(AND($F25&lt;=L$2, OR($G25="",$G25&gt;=L$2)),
  $H25 * (1 + Assumptions!$C$7) ^ INT(((YEAR(L$2)-YEAR($F25))*12 + MONTH(L$2)-MONTH($F25)) / 12),
  0)</f>
        <v/>
      </c>
      <c r="M25" s="299">
        <f>IF(AND($F25&lt;=M$2, OR($G25="",$G25&gt;=M$2)),
  $H25 * (1 + Assumptions!$C$7) ^ INT(((YEAR(M$2)-YEAR($F25))*12 + MONTH(M$2)-MONTH($F25)) / 12),
  0)</f>
        <v/>
      </c>
      <c r="N25" s="299">
        <f>IF(AND($F25&lt;=N$2, OR($G25="",$G25&gt;=N$2)),
  $H25 * (1 + Assumptions!$C$7) ^ INT(((YEAR(N$2)-YEAR($F25))*12 + MONTH(N$2)-MONTH($F25)) / 12),
  0)</f>
        <v/>
      </c>
      <c r="O25" s="299">
        <f>IF(AND($F25&lt;=O$2, OR($G25="",$G25&gt;=O$2)),
  $H25 * (1 + Assumptions!$C$7) ^ INT(((YEAR(O$2)-YEAR($F25))*12 + MONTH(O$2)-MONTH($F25)) / 12),
  0)</f>
        <v/>
      </c>
      <c r="P25" s="299">
        <f>IF(AND($F25&lt;=P$2, OR($G25="",$G25&gt;=P$2)),
  $H25 * (1 + Assumptions!$C$7) ^ INT(((YEAR(P$2)-YEAR($F25))*12 + MONTH(P$2)-MONTH($F25)) / 12),
  0)</f>
        <v/>
      </c>
      <c r="Q25" s="299">
        <f>IF(AND($F25&lt;=Q$2, OR($G25="",$G25&gt;=Q$2)),
  $H25 * (1 + Assumptions!$C$7) ^ INT(((YEAR(Q$2)-YEAR($F25))*12 + MONTH(Q$2)-MONTH($F25)) / 12),
  0)</f>
        <v/>
      </c>
      <c r="R25" s="299">
        <f>IF(AND($F25&lt;=R$2, OR($G25="",$G25&gt;=R$2)),
  $H25 * (1 + Assumptions!$C$7) ^ INT(((YEAR(R$2)-YEAR($F25))*12 + MONTH(R$2)-MONTH($F25)) / 12),
  0)</f>
        <v/>
      </c>
      <c r="S25" s="299">
        <f>IF(AND($F25&lt;=S$2, OR($G25="",$G25&gt;=S$2)),
  $H25 * (1 + Assumptions!$C$7) ^ INT(((YEAR(S$2)-YEAR($F25))*12 + MONTH(S$2)-MONTH($F25)) / 12),
  0)</f>
        <v/>
      </c>
      <c r="T25" s="299">
        <f>IF(AND($F25&lt;=T$2, OR($G25="",$G25&gt;=T$2)),
  $H25 * (1 + Assumptions!$C$7) ^ INT(((YEAR(T$2)-YEAR($F25))*12 + MONTH(T$2)-MONTH($F25)) / 12),
  0)</f>
        <v/>
      </c>
      <c r="U25" s="299">
        <f>IF(AND($F25&lt;=U$2, OR($G25="",$G25&gt;=U$2)),
  $H25 * (1 + Assumptions!$C$7) ^ INT(((YEAR(U$2)-YEAR($F25))*12 + MONTH(U$2)-MONTH($F25)) / 12),
  0)</f>
        <v/>
      </c>
      <c r="V25" s="299">
        <f>IF(AND($F25&lt;=V$2, OR($G25="",$G25&gt;=V$2)),
  $H25 * (1 + Assumptions!$C$7) ^ INT(((YEAR(V$2)-YEAR($F25))*12 + MONTH(V$2)-MONTH($F25)) / 12),
  0)</f>
        <v/>
      </c>
      <c r="W25" s="299">
        <f>IF(AND($F25&lt;=W$2, OR($G25="",$G25&gt;=W$2)),
  $H25 * (1 + Assumptions!$C$7) ^ INT(((YEAR(W$2)-YEAR($F25))*12 + MONTH(W$2)-MONTH($F25)) / 12),
  0)</f>
        <v/>
      </c>
      <c r="X25" s="299">
        <f>IF(AND($F25&lt;=X$2, OR($G25="",$G25&gt;=X$2)),
  $H25 * (1 + Assumptions!$C$7) ^ INT(((YEAR(X$2)-YEAR($F25))*12 + MONTH(X$2)-MONTH($F25)) / 12),
  0)</f>
        <v/>
      </c>
      <c r="Y25" s="299">
        <f>IF(AND($F25&lt;=Y$2, OR($G25="",$G25&gt;=Y$2)),
  $H25 * (1 + Assumptions!$C$7) ^ INT(((YEAR(Y$2)-YEAR($F25))*12 + MONTH(Y$2)-MONTH($F25)) / 12),
  0)</f>
        <v/>
      </c>
      <c r="Z25" s="299">
        <f>IF(AND($F25&lt;=Z$2, OR($G25="",$G25&gt;=Z$2)),
  $H25 * (1 + Assumptions!$C$7) ^ INT(((YEAR(Z$2)-YEAR($F25))*12 + MONTH(Z$2)-MONTH($F25)) / 12),
  0)</f>
        <v/>
      </c>
      <c r="AA25" s="299">
        <f>IF(AND($F25&lt;=AA$2, OR($G25="",$G25&gt;=AA$2)),
  $H25 * (1 + Assumptions!$C$7) ^ INT(((YEAR(AA$2)-YEAR($F25))*12 + MONTH(AA$2)-MONTH($F25)) / 12),
  0)</f>
        <v/>
      </c>
      <c r="AB25" s="299">
        <f>IF(AND($F25&lt;=AB$2, OR($G25="",$G25&gt;=AB$2)),
  $H25 * (1 + Assumptions!$C$7) ^ INT(((YEAR(AB$2)-YEAR($F25))*12 + MONTH(AB$2)-MONTH($F25)) / 12),
  0)</f>
        <v/>
      </c>
      <c r="AC25" s="299">
        <f>IF(AND($F25&lt;=AC$2, OR($G25="",$G25&gt;=AC$2)),
  $H25 * (1 + Assumptions!$C$7) ^ INT(((YEAR(AC$2)-YEAR($F25))*12 + MONTH(AC$2)-MONTH($F25)) / 12),
  0)</f>
        <v/>
      </c>
      <c r="AD25" s="299">
        <f>IF(AND($F25&lt;=AD$2, OR($G25="",$G25&gt;=AD$2)),
  $H25 * (1 + Assumptions!$C$7) ^ INT(((YEAR(AD$2)-YEAR($F25))*12 + MONTH(AD$2)-MONTH($F25)) / 12),
  0)</f>
        <v/>
      </c>
      <c r="AE25" s="299">
        <f>IF(AND($F25&lt;=AE$2, OR($G25="",$G25&gt;=AE$2)),
  $H25 * (1 + Assumptions!$C$7) ^ INT(((YEAR(AE$2)-YEAR($F25))*12 + MONTH(AE$2)-MONTH($F25)) / 12),
  0)</f>
        <v/>
      </c>
      <c r="AF25" s="299">
        <f>IF(AND($F25&lt;=AF$2, OR($G25="",$G25&gt;=AF$2)),
  $H25 * (1 + Assumptions!$C$7) ^ INT(((YEAR(AF$2)-YEAR($F25))*12 + MONTH(AF$2)-MONTH($F25)) / 12),
  0)</f>
        <v/>
      </c>
      <c r="AG25" s="299">
        <f>IF(AND($F25&lt;=AG$2, OR($G25="",$G25&gt;=AG$2)),
  $H25 * (1 + Assumptions!$C$7) ^ INT(((YEAR(AG$2)-YEAR($F25))*12 + MONTH(AG$2)-MONTH($F25)) / 12),
  0)</f>
        <v/>
      </c>
      <c r="AH25" s="299">
        <f>IF(AND($F25&lt;=AH$2, OR($G25="",$G25&gt;=AH$2)),
  $H25 * (1 + Assumptions!$C$7) ^ INT(((YEAR(AH$2)-YEAR($F25))*12 + MONTH(AH$2)-MONTH($F25)) / 12),
  0)</f>
        <v/>
      </c>
      <c r="AI25" s="299">
        <f>IF(AND($F25&lt;=AI$2, OR($G25="",$G25&gt;=AI$2)),
  $H25 * (1 + Assumptions!$C$7) ^ INT(((YEAR(AI$2)-YEAR($F25))*12 + MONTH(AI$2)-MONTH($F25)) / 12),
  0)</f>
        <v/>
      </c>
      <c r="AJ25" s="299">
        <f>IF(AND($F25&lt;=AJ$2, OR($G25="",$G25&gt;=AJ$2)),
  $H25 * (1 + Assumptions!$C$7) ^ INT(((YEAR(AJ$2)-YEAR($F25))*12 + MONTH(AJ$2)-MONTH($F25)) / 12),
  0)</f>
        <v/>
      </c>
      <c r="AK25" s="299">
        <f>IF(AND($F25&lt;=AK$2, OR($G25="",$G25&gt;=AK$2)),
  $H25 * (1 + Assumptions!$C$7) ^ INT(((YEAR(AK$2)-YEAR($F25))*12 + MONTH(AK$2)-MONTH($F25)) / 12),
  0)</f>
        <v/>
      </c>
      <c r="AL25" s="299">
        <f>IF(AND($F25&lt;=AL$2, OR($G25="",$G25&gt;=AL$2)),
  $H25 * (1 + Assumptions!$C$7) ^ INT(((YEAR(AL$2)-YEAR($F25))*12 + MONTH(AL$2)-MONTH($F25)) / 12),
  0)</f>
        <v/>
      </c>
      <c r="AM25" s="299">
        <f>IF(AND($F25&lt;=AM$2, OR($G25="",$G25&gt;=AM$2)),
  $H25 * (1 + Assumptions!$C$7) ^ INT(((YEAR(AM$2)-YEAR($F25))*12 + MONTH(AM$2)-MONTH($F25)) / 12),
  0)</f>
        <v/>
      </c>
      <c r="AN25" s="299">
        <f>IF(AND($F25&lt;=AN$2, OR($G25="",$G25&gt;=AN$2)),
  $H25 * (1 + Assumptions!$C$7) ^ INT(((YEAR(AN$2)-YEAR($F25))*12 + MONTH(AN$2)-MONTH($F25)) / 12),
  0)</f>
        <v/>
      </c>
      <c r="AO25" s="299">
        <f>IF(AND($F25&lt;=AO$2, OR($G25="",$G25&gt;=AO$2)),
  $H25 * (1 + Assumptions!$C$7) ^ INT(((YEAR(AO$2)-YEAR($F25))*12 + MONTH(AO$2)-MONTH($F25)) / 12),
  0)</f>
        <v/>
      </c>
      <c r="AP25" s="299">
        <f>IF(AND($F25&lt;=AP$2, OR($G25="",$G25&gt;=AP$2)),
  $H25 * (1 + Assumptions!$C$7) ^ INT(((YEAR(AP$2)-YEAR($F25))*12 + MONTH(AP$2)-MONTH($F25)) / 12),
  0)</f>
        <v/>
      </c>
      <c r="AQ25" s="299">
        <f>IF(AND($F25&lt;=AQ$2, OR($G25="",$G25&gt;=AQ$2)),
  $H25 * (1 + Assumptions!$C$7) ^ INT(((YEAR(AQ$2)-YEAR($F25))*12 + MONTH(AQ$2)-MONTH($F25)) / 12),
  0)</f>
        <v/>
      </c>
      <c r="AR25" s="299">
        <f>IF(AND($F25&lt;=AR$2, OR($G25="",$G25&gt;=AR$2)),
  $H25 * (1 + Assumptions!$C$7) ^ INT(((YEAR(AR$2)-YEAR($F25))*12 + MONTH(AR$2)-MONTH($F25)) / 12),
  0)</f>
        <v/>
      </c>
      <c r="AS25" s="299">
        <f>IF(AND($F25&lt;=AS$2, OR($G25="",$G25&gt;=AS$2)),
  $H25 * (1 + Assumptions!$C$7) ^ INT(((YEAR(AS$2)-YEAR($F25))*12 + MONTH(AS$2)-MONTH($F25)) / 12),
  0)</f>
        <v/>
      </c>
      <c r="AT25" s="299">
        <f>IF(AND($F25&lt;=AT$2, OR($G25="",$G25&gt;=AT$2)),
  $H25 * (1 + Assumptions!$C$7) ^ INT(((YEAR(AT$2)-YEAR($F25))*12 + MONTH(AT$2)-MONTH($F25)) / 12),
  0)</f>
        <v/>
      </c>
      <c r="AU25" s="299">
        <f>IF(AND($F25&lt;=AU$2, OR($G25="",$G25&gt;=AU$2)),
  $H25 * (1 + Assumptions!$C$7) ^ INT(((YEAR(AU$2)-YEAR($F25))*12 + MONTH(AU$2)-MONTH($F25)) / 12),
  0)</f>
        <v/>
      </c>
      <c r="AV25" s="299">
        <f>IF(AND($F25&lt;=AV$2, OR($G25="",$G25&gt;=AV$2)),
  $H25 * (1 + Assumptions!$C$7) ^ INT(((YEAR(AV$2)-YEAR($F25))*12 + MONTH(AV$2)-MONTH($F25)) / 12),
  0)</f>
        <v/>
      </c>
      <c r="AW25" s="299">
        <f>IF(AND($F25&lt;=AW$2, OR($G25="",$G25&gt;=AW$2)),
  $H25 * (1 + Assumptions!$C$7) ^ INT(((YEAR(AW$2)-YEAR($F25))*12 + MONTH(AW$2)-MONTH($F25)) / 12),
  0)</f>
        <v/>
      </c>
      <c r="AX25" s="299">
        <f>IF(AND($F25&lt;=AX$2, OR($G25="",$G25&gt;=AX$2)),
  $H25 * (1 + Assumptions!$C$7) ^ INT(((YEAR(AX$2)-YEAR($F25))*12 + MONTH(AX$2)-MONTH($F25)) / 12),
  0)</f>
        <v/>
      </c>
      <c r="AY25" s="299">
        <f>IF(AND($F25&lt;=AY$2, OR($G25="",$G25&gt;=AY$2)),
  $H25 * (1 + Assumptions!$C$7) ^ INT(((YEAR(AY$2)-YEAR($F25))*12 + MONTH(AY$2)-MONTH($F25)) / 12),
  0)</f>
        <v/>
      </c>
      <c r="AZ25" s="299">
        <f>IF(AND($F25&lt;=AZ$2, OR($G25="",$G25&gt;=AZ$2)),
  $H25 * (1 + Assumptions!$C$7) ^ INT(((YEAR(AZ$2)-YEAR($F25))*12 + MONTH(AZ$2)-MONTH($F25)) / 12),
  0)</f>
        <v/>
      </c>
      <c r="BA25" s="299">
        <f>IF(AND($F25&lt;=BA$2, OR($G25="",$G25&gt;=BA$2)),
  $H25 * (1 + Assumptions!$C$7) ^ INT(((YEAR(BA$2)-YEAR($F25))*12 + MONTH(BA$2)-MONTH($F25)) / 12),
  0)</f>
        <v/>
      </c>
      <c r="BB25" s="299">
        <f>IF(AND($F25&lt;=BB$2, OR($G25="",$G25&gt;=BB$2)),
  $H25 * (1 + Assumptions!$C$7) ^ INT(((YEAR(BB$2)-YEAR($F25))*12 + MONTH(BB$2)-MONTH($F25)) / 12),
  0)</f>
        <v/>
      </c>
      <c r="BC25" s="299">
        <f>IF(AND($F25&lt;=BC$2, OR($G25="",$G25&gt;=BC$2)),
  $H25 * (1 + Assumptions!$C$7) ^ INT(((YEAR(BC$2)-YEAR($F25))*12 + MONTH(BC$2)-MONTH($F25)) / 12),
  0)</f>
        <v/>
      </c>
      <c r="BD25" s="299">
        <f>IF(AND($F25&lt;=BD$2, OR($G25="",$G25&gt;=BD$2)),
  $H25 * (1 + Assumptions!$C$7) ^ INT(((YEAR(BD$2)-YEAR($F25))*12 + MONTH(BD$2)-MONTH($F25)) / 12),
  0)</f>
        <v/>
      </c>
      <c r="BE25" s="299">
        <f>IF(AND($F25&lt;=BE$2, OR($G25="",$G25&gt;=BE$2)),
  $H25 * (1 + Assumptions!$C$7) ^ INT(((YEAR(BE$2)-YEAR($F25))*12 + MONTH(BE$2)-MONTH($F25)) / 12),
  0)</f>
        <v/>
      </c>
      <c r="BF25" s="299">
        <f>IF(AND($F25&lt;=BF$2, OR($G25="",$G25&gt;=BF$2)),
  $H25 * (1 + Assumptions!$C$7) ^ INT(((YEAR(BF$2)-YEAR($F25))*12 + MONTH(BF$2)-MONTH($F25)) / 12),
  0)</f>
        <v/>
      </c>
      <c r="BG25" s="299">
        <f>IF(AND($F25&lt;=BG$2, OR($G25="",$G25&gt;=BG$2)),
  $H25 * (1 + Assumptions!$C$7) ^ INT(((YEAR(BG$2)-YEAR($F25))*12 + MONTH(BG$2)-MONTH($F25)) / 12),
  0)</f>
        <v/>
      </c>
      <c r="BH25" s="299">
        <f>IF(AND($F25&lt;=BH$2, OR($G25="",$G25&gt;=BH$2)),
  $H25 * (1 + Assumptions!$C$7) ^ INT(((YEAR(BH$2)-YEAR($F25))*12 + MONTH(BH$2)-MONTH($F25)) / 12),
  0)</f>
        <v/>
      </c>
      <c r="BI25" s="299">
        <f>IF(AND($F25&lt;=BI$2, OR($G25="",$G25&gt;=BI$2)),
  $H25 * (1 + Assumptions!$C$7) ^ INT(((YEAR(BI$2)-YEAR($F25))*12 + MONTH(BI$2)-MONTH($F25)) / 12),
  0)</f>
        <v/>
      </c>
      <c r="BJ25" s="299">
        <f>IF(AND($F25&lt;=BJ$2, OR($G25="",$G25&gt;=BJ$2)),
  $H25 * (1 + Assumptions!$C$7) ^ INT(((YEAR(BJ$2)-YEAR($F25))*12 + MONTH(BJ$2)-MONTH($F25)) / 12),
  0)</f>
        <v/>
      </c>
      <c r="BK25" s="299">
        <f>IF(AND($F25&lt;=BK$2, OR($G25="",$G25&gt;=BK$2)),
  $H25 * (1 + Assumptions!$C$7) ^ INT(((YEAR(BK$2)-YEAR($F25))*12 + MONTH(BK$2)-MONTH($F25)) / 12),
  0)</f>
        <v/>
      </c>
      <c r="BL25" s="299">
        <f>IF(AND($F25&lt;=BL$2, OR($G25="",$G25&gt;=BL$2)),
  $H25 * (1 + Assumptions!$C$7) ^ INT(((YEAR(BL$2)-YEAR($F25))*12 + MONTH(BL$2)-MONTH($F25)) / 12),
  0)</f>
        <v/>
      </c>
      <c r="BM25" s="299">
        <f>IF(AND($F25&lt;=BM$2, OR($G25="",$G25&gt;=BM$2)),
  $H25 * (1 + Assumptions!$C$7) ^ INT(((YEAR(BM$2)-YEAR($F25))*12 + MONTH(BM$2)-MONTH($F25)) / 12),
  0)</f>
        <v/>
      </c>
      <c r="BN25" s="299">
        <f>IF(AND($F25&lt;=BN$2, OR($G25="",$G25&gt;=BN$2)),
  $H25 * (1 + Assumptions!$C$7) ^ INT(((YEAR(BN$2)-YEAR($F25))*12 + MONTH(BN$2)-MONTH($F25)) / 12),
  0)</f>
        <v/>
      </c>
      <c r="BO25" s="299">
        <f>IF(AND($F25&lt;=BO$2, OR($G25="",$G25&gt;=BO$2)),
  $H25 * (1 + Assumptions!$C$7) ^ INT(((YEAR(BO$2)-YEAR($F25))*12 + MONTH(BO$2)-MONTH($F25)) / 12),
  0)</f>
        <v/>
      </c>
      <c r="BP25" s="299">
        <f>IF(AND($F25&lt;=BP$2, OR($G25="",$G25&gt;=BP$2)),
  $H25 * (1 + Assumptions!$C$7) ^ INT(((YEAR(BP$2)-YEAR($F25))*12 + MONTH(BP$2)-MONTH($F25)) / 12),
  0)</f>
        <v/>
      </c>
      <c r="BQ25" s="31" t="n"/>
      <c r="BR25" s="40" t="inlineStr">
        <is>
          <t>paid this month if started and not yet left; +8% on each work anniversary</t>
        </is>
      </c>
      <c r="BS25" s="31" t="n"/>
      <c r="BT25" s="31" t="n"/>
    </row>
    <row r="26" ht="15.75" customHeight="1" s="349">
      <c r="A26" s="321" t="n">
        <v>21</v>
      </c>
      <c r="B26" s="285" t="inlineStr">
        <is>
          <t>New hire</t>
        </is>
      </c>
      <c r="C26" s="285" t="inlineStr">
        <is>
          <t>R&amp;D</t>
        </is>
      </c>
      <c r="D26" s="285" t="inlineStr">
        <is>
          <t>Field Engineer</t>
        </is>
      </c>
      <c r="E26" s="297" t="inlineStr">
        <is>
          <t>Planned</t>
        </is>
      </c>
      <c r="F26" s="318" t="n">
        <v>46388</v>
      </c>
      <c r="G26" s="298" t="n"/>
      <c r="H26" s="288" t="n">
        <v>6500</v>
      </c>
      <c r="I26" s="299">
        <f>IF(AND($F26&lt;=I$2, OR($G26="",$G26&gt;=I$2)),
  $H26 * (1 + Assumptions!$C$7) ^ INT(((YEAR(I$2)-YEAR($F26))*12 + MONTH(I$2)-MONTH($F26)) / 12),
  0)</f>
        <v/>
      </c>
      <c r="J26" s="299">
        <f>IF(AND($F26&lt;=J$2, OR($G26="",$G26&gt;=J$2)),
  $H26 * (1 + Assumptions!$C$7) ^ INT(((YEAR(J$2)-YEAR($F26))*12 + MONTH(J$2)-MONTH($F26)) / 12),
  0)</f>
        <v/>
      </c>
      <c r="K26" s="299">
        <f>IF(AND($F26&lt;=K$2, OR($G26="",$G26&gt;=K$2)),
  $H26 * (1 + Assumptions!$C$7) ^ INT(((YEAR(K$2)-YEAR($F26))*12 + MONTH(K$2)-MONTH($F26)) / 12),
  0)</f>
        <v/>
      </c>
      <c r="L26" s="299">
        <f>IF(AND($F26&lt;=L$2, OR($G26="",$G26&gt;=L$2)),
  $H26 * (1 + Assumptions!$C$7) ^ INT(((YEAR(L$2)-YEAR($F26))*12 + MONTH(L$2)-MONTH($F26)) / 12),
  0)</f>
        <v/>
      </c>
      <c r="M26" s="299">
        <f>IF(AND($F26&lt;=M$2, OR($G26="",$G26&gt;=M$2)),
  $H26 * (1 + Assumptions!$C$7) ^ INT(((YEAR(M$2)-YEAR($F26))*12 + MONTH(M$2)-MONTH($F26)) / 12),
  0)</f>
        <v/>
      </c>
      <c r="N26" s="299">
        <f>IF(AND($F26&lt;=N$2, OR($G26="",$G26&gt;=N$2)),
  $H26 * (1 + Assumptions!$C$7) ^ INT(((YEAR(N$2)-YEAR($F26))*12 + MONTH(N$2)-MONTH($F26)) / 12),
  0)</f>
        <v/>
      </c>
      <c r="O26" s="299">
        <f>IF(AND($F26&lt;=O$2, OR($G26="",$G26&gt;=O$2)),
  $H26 * (1 + Assumptions!$C$7) ^ INT(((YEAR(O$2)-YEAR($F26))*12 + MONTH(O$2)-MONTH($F26)) / 12),
  0)</f>
        <v/>
      </c>
      <c r="P26" s="299">
        <f>IF(AND($F26&lt;=P$2, OR($G26="",$G26&gt;=P$2)),
  $H26 * (1 + Assumptions!$C$7) ^ INT(((YEAR(P$2)-YEAR($F26))*12 + MONTH(P$2)-MONTH($F26)) / 12),
  0)</f>
        <v/>
      </c>
      <c r="Q26" s="299">
        <f>IF(AND($F26&lt;=Q$2, OR($G26="",$G26&gt;=Q$2)),
  $H26 * (1 + Assumptions!$C$7) ^ INT(((YEAR(Q$2)-YEAR($F26))*12 + MONTH(Q$2)-MONTH($F26)) / 12),
  0)</f>
        <v/>
      </c>
      <c r="R26" s="299">
        <f>IF(AND($F26&lt;=R$2, OR($G26="",$G26&gt;=R$2)),
  $H26 * (1 + Assumptions!$C$7) ^ INT(((YEAR(R$2)-YEAR($F26))*12 + MONTH(R$2)-MONTH($F26)) / 12),
  0)</f>
        <v/>
      </c>
      <c r="S26" s="299">
        <f>IF(AND($F26&lt;=S$2, OR($G26="",$G26&gt;=S$2)),
  $H26 * (1 + Assumptions!$C$7) ^ INT(((YEAR(S$2)-YEAR($F26))*12 + MONTH(S$2)-MONTH($F26)) / 12),
  0)</f>
        <v/>
      </c>
      <c r="T26" s="299">
        <f>IF(AND($F26&lt;=T$2, OR($G26="",$G26&gt;=T$2)),
  $H26 * (1 + Assumptions!$C$7) ^ INT(((YEAR(T$2)-YEAR($F26))*12 + MONTH(T$2)-MONTH($F26)) / 12),
  0)</f>
        <v/>
      </c>
      <c r="U26" s="299">
        <f>IF(AND($F26&lt;=U$2, OR($G26="",$G26&gt;=U$2)),
  $H26 * (1 + Assumptions!$C$7) ^ INT(((YEAR(U$2)-YEAR($F26))*12 + MONTH(U$2)-MONTH($F26)) / 12),
  0)</f>
        <v/>
      </c>
      <c r="V26" s="299">
        <f>IF(AND($F26&lt;=V$2, OR($G26="",$G26&gt;=V$2)),
  $H26 * (1 + Assumptions!$C$7) ^ INT(((YEAR(V$2)-YEAR($F26))*12 + MONTH(V$2)-MONTH($F26)) / 12),
  0)</f>
        <v/>
      </c>
      <c r="W26" s="299">
        <f>IF(AND($F26&lt;=W$2, OR($G26="",$G26&gt;=W$2)),
  $H26 * (1 + Assumptions!$C$7) ^ INT(((YEAR(W$2)-YEAR($F26))*12 + MONTH(W$2)-MONTH($F26)) / 12),
  0)</f>
        <v/>
      </c>
      <c r="X26" s="299">
        <f>IF(AND($F26&lt;=X$2, OR($G26="",$G26&gt;=X$2)),
  $H26 * (1 + Assumptions!$C$7) ^ INT(((YEAR(X$2)-YEAR($F26))*12 + MONTH(X$2)-MONTH($F26)) / 12),
  0)</f>
        <v/>
      </c>
      <c r="Y26" s="299">
        <f>IF(AND($F26&lt;=Y$2, OR($G26="",$G26&gt;=Y$2)),
  $H26 * (1 + Assumptions!$C$7) ^ INT(((YEAR(Y$2)-YEAR($F26))*12 + MONTH(Y$2)-MONTH($F26)) / 12),
  0)</f>
        <v/>
      </c>
      <c r="Z26" s="299">
        <f>IF(AND($F26&lt;=Z$2, OR($G26="",$G26&gt;=Z$2)),
  $H26 * (1 + Assumptions!$C$7) ^ INT(((YEAR(Z$2)-YEAR($F26))*12 + MONTH(Z$2)-MONTH($F26)) / 12),
  0)</f>
        <v/>
      </c>
      <c r="AA26" s="299">
        <f>IF(AND($F26&lt;=AA$2, OR($G26="",$G26&gt;=AA$2)),
  $H26 * (1 + Assumptions!$C$7) ^ INT(((YEAR(AA$2)-YEAR($F26))*12 + MONTH(AA$2)-MONTH($F26)) / 12),
  0)</f>
        <v/>
      </c>
      <c r="AB26" s="299">
        <f>IF(AND($F26&lt;=AB$2, OR($G26="",$G26&gt;=AB$2)),
  $H26 * (1 + Assumptions!$C$7) ^ INT(((YEAR(AB$2)-YEAR($F26))*12 + MONTH(AB$2)-MONTH($F26)) / 12),
  0)</f>
        <v/>
      </c>
      <c r="AC26" s="299">
        <f>IF(AND($F26&lt;=AC$2, OR($G26="",$G26&gt;=AC$2)),
  $H26 * (1 + Assumptions!$C$7) ^ INT(((YEAR(AC$2)-YEAR($F26))*12 + MONTH(AC$2)-MONTH($F26)) / 12),
  0)</f>
        <v/>
      </c>
      <c r="AD26" s="299">
        <f>IF(AND($F26&lt;=AD$2, OR($G26="",$G26&gt;=AD$2)),
  $H26 * (1 + Assumptions!$C$7) ^ INT(((YEAR(AD$2)-YEAR($F26))*12 + MONTH(AD$2)-MONTH($F26)) / 12),
  0)</f>
        <v/>
      </c>
      <c r="AE26" s="299">
        <f>IF(AND($F26&lt;=AE$2, OR($G26="",$G26&gt;=AE$2)),
  $H26 * (1 + Assumptions!$C$7) ^ INT(((YEAR(AE$2)-YEAR($F26))*12 + MONTH(AE$2)-MONTH($F26)) / 12),
  0)</f>
        <v/>
      </c>
      <c r="AF26" s="299">
        <f>IF(AND($F26&lt;=AF$2, OR($G26="",$G26&gt;=AF$2)),
  $H26 * (1 + Assumptions!$C$7) ^ INT(((YEAR(AF$2)-YEAR($F26))*12 + MONTH(AF$2)-MONTH($F26)) / 12),
  0)</f>
        <v/>
      </c>
      <c r="AG26" s="299">
        <f>IF(AND($F26&lt;=AG$2, OR($G26="",$G26&gt;=AG$2)),
  $H26 * (1 + Assumptions!$C$7) ^ INT(((YEAR(AG$2)-YEAR($F26))*12 + MONTH(AG$2)-MONTH($F26)) / 12),
  0)</f>
        <v/>
      </c>
      <c r="AH26" s="299">
        <f>IF(AND($F26&lt;=AH$2, OR($G26="",$G26&gt;=AH$2)),
  $H26 * (1 + Assumptions!$C$7) ^ INT(((YEAR(AH$2)-YEAR($F26))*12 + MONTH(AH$2)-MONTH($F26)) / 12),
  0)</f>
        <v/>
      </c>
      <c r="AI26" s="299">
        <f>IF(AND($F26&lt;=AI$2, OR($G26="",$G26&gt;=AI$2)),
  $H26 * (1 + Assumptions!$C$7) ^ INT(((YEAR(AI$2)-YEAR($F26))*12 + MONTH(AI$2)-MONTH($F26)) / 12),
  0)</f>
        <v/>
      </c>
      <c r="AJ26" s="299">
        <f>IF(AND($F26&lt;=AJ$2, OR($G26="",$G26&gt;=AJ$2)),
  $H26 * (1 + Assumptions!$C$7) ^ INT(((YEAR(AJ$2)-YEAR($F26))*12 + MONTH(AJ$2)-MONTH($F26)) / 12),
  0)</f>
        <v/>
      </c>
      <c r="AK26" s="299">
        <f>IF(AND($F26&lt;=AK$2, OR($G26="",$G26&gt;=AK$2)),
  $H26 * (1 + Assumptions!$C$7) ^ INT(((YEAR(AK$2)-YEAR($F26))*12 + MONTH(AK$2)-MONTH($F26)) / 12),
  0)</f>
        <v/>
      </c>
      <c r="AL26" s="299">
        <f>IF(AND($F26&lt;=AL$2, OR($G26="",$G26&gt;=AL$2)),
  $H26 * (1 + Assumptions!$C$7) ^ INT(((YEAR(AL$2)-YEAR($F26))*12 + MONTH(AL$2)-MONTH($F26)) / 12),
  0)</f>
        <v/>
      </c>
      <c r="AM26" s="299">
        <f>IF(AND($F26&lt;=AM$2, OR($G26="",$G26&gt;=AM$2)),
  $H26 * (1 + Assumptions!$C$7) ^ INT(((YEAR(AM$2)-YEAR($F26))*12 + MONTH(AM$2)-MONTH($F26)) / 12),
  0)</f>
        <v/>
      </c>
      <c r="AN26" s="299">
        <f>IF(AND($F26&lt;=AN$2, OR($G26="",$G26&gt;=AN$2)),
  $H26 * (1 + Assumptions!$C$7) ^ INT(((YEAR(AN$2)-YEAR($F26))*12 + MONTH(AN$2)-MONTH($F26)) / 12),
  0)</f>
        <v/>
      </c>
      <c r="AO26" s="299">
        <f>IF(AND($F26&lt;=AO$2, OR($G26="",$G26&gt;=AO$2)),
  $H26 * (1 + Assumptions!$C$7) ^ INT(((YEAR(AO$2)-YEAR($F26))*12 + MONTH(AO$2)-MONTH($F26)) / 12),
  0)</f>
        <v/>
      </c>
      <c r="AP26" s="299">
        <f>IF(AND($F26&lt;=AP$2, OR($G26="",$G26&gt;=AP$2)),
  $H26 * (1 + Assumptions!$C$7) ^ INT(((YEAR(AP$2)-YEAR($F26))*12 + MONTH(AP$2)-MONTH($F26)) / 12),
  0)</f>
        <v/>
      </c>
      <c r="AQ26" s="299">
        <f>IF(AND($F26&lt;=AQ$2, OR($G26="",$G26&gt;=AQ$2)),
  $H26 * (1 + Assumptions!$C$7) ^ INT(((YEAR(AQ$2)-YEAR($F26))*12 + MONTH(AQ$2)-MONTH($F26)) / 12),
  0)</f>
        <v/>
      </c>
      <c r="AR26" s="299">
        <f>IF(AND($F26&lt;=AR$2, OR($G26="",$G26&gt;=AR$2)),
  $H26 * (1 + Assumptions!$C$7) ^ INT(((YEAR(AR$2)-YEAR($F26))*12 + MONTH(AR$2)-MONTH($F26)) / 12),
  0)</f>
        <v/>
      </c>
      <c r="AS26" s="299">
        <f>IF(AND($F26&lt;=AS$2, OR($G26="",$G26&gt;=AS$2)),
  $H26 * (1 + Assumptions!$C$7) ^ INT(((YEAR(AS$2)-YEAR($F26))*12 + MONTH(AS$2)-MONTH($F26)) / 12),
  0)</f>
        <v/>
      </c>
      <c r="AT26" s="299">
        <f>IF(AND($F26&lt;=AT$2, OR($G26="",$G26&gt;=AT$2)),
  $H26 * (1 + Assumptions!$C$7) ^ INT(((YEAR(AT$2)-YEAR($F26))*12 + MONTH(AT$2)-MONTH($F26)) / 12),
  0)</f>
        <v/>
      </c>
      <c r="AU26" s="299">
        <f>IF(AND($F26&lt;=AU$2, OR($G26="",$G26&gt;=AU$2)),
  $H26 * (1 + Assumptions!$C$7) ^ INT(((YEAR(AU$2)-YEAR($F26))*12 + MONTH(AU$2)-MONTH($F26)) / 12),
  0)</f>
        <v/>
      </c>
      <c r="AV26" s="299">
        <f>IF(AND($F26&lt;=AV$2, OR($G26="",$G26&gt;=AV$2)),
  $H26 * (1 + Assumptions!$C$7) ^ INT(((YEAR(AV$2)-YEAR($F26))*12 + MONTH(AV$2)-MONTH($F26)) / 12),
  0)</f>
        <v/>
      </c>
      <c r="AW26" s="299">
        <f>IF(AND($F26&lt;=AW$2, OR($G26="",$G26&gt;=AW$2)),
  $H26 * (1 + Assumptions!$C$7) ^ INT(((YEAR(AW$2)-YEAR($F26))*12 + MONTH(AW$2)-MONTH($F26)) / 12),
  0)</f>
        <v/>
      </c>
      <c r="AX26" s="299">
        <f>IF(AND($F26&lt;=AX$2, OR($G26="",$G26&gt;=AX$2)),
  $H26 * (1 + Assumptions!$C$7) ^ INT(((YEAR(AX$2)-YEAR($F26))*12 + MONTH(AX$2)-MONTH($F26)) / 12),
  0)</f>
        <v/>
      </c>
      <c r="AY26" s="299">
        <f>IF(AND($F26&lt;=AY$2, OR($G26="",$G26&gt;=AY$2)),
  $H26 * (1 + Assumptions!$C$7) ^ INT(((YEAR(AY$2)-YEAR($F26))*12 + MONTH(AY$2)-MONTH($F26)) / 12),
  0)</f>
        <v/>
      </c>
      <c r="AZ26" s="299">
        <f>IF(AND($F26&lt;=AZ$2, OR($G26="",$G26&gt;=AZ$2)),
  $H26 * (1 + Assumptions!$C$7) ^ INT(((YEAR(AZ$2)-YEAR($F26))*12 + MONTH(AZ$2)-MONTH($F26)) / 12),
  0)</f>
        <v/>
      </c>
      <c r="BA26" s="299">
        <f>IF(AND($F26&lt;=BA$2, OR($G26="",$G26&gt;=BA$2)),
  $H26 * (1 + Assumptions!$C$7) ^ INT(((YEAR(BA$2)-YEAR($F26))*12 + MONTH(BA$2)-MONTH($F26)) / 12),
  0)</f>
        <v/>
      </c>
      <c r="BB26" s="299">
        <f>IF(AND($F26&lt;=BB$2, OR($G26="",$G26&gt;=BB$2)),
  $H26 * (1 + Assumptions!$C$7) ^ INT(((YEAR(BB$2)-YEAR($F26))*12 + MONTH(BB$2)-MONTH($F26)) / 12),
  0)</f>
        <v/>
      </c>
      <c r="BC26" s="299">
        <f>IF(AND($F26&lt;=BC$2, OR($G26="",$G26&gt;=BC$2)),
  $H26 * (1 + Assumptions!$C$7) ^ INT(((YEAR(BC$2)-YEAR($F26))*12 + MONTH(BC$2)-MONTH($F26)) / 12),
  0)</f>
        <v/>
      </c>
      <c r="BD26" s="299">
        <f>IF(AND($F26&lt;=BD$2, OR($G26="",$G26&gt;=BD$2)),
  $H26 * (1 + Assumptions!$C$7) ^ INT(((YEAR(BD$2)-YEAR($F26))*12 + MONTH(BD$2)-MONTH($F26)) / 12),
  0)</f>
        <v/>
      </c>
      <c r="BE26" s="299">
        <f>IF(AND($F26&lt;=BE$2, OR($G26="",$G26&gt;=BE$2)),
  $H26 * (1 + Assumptions!$C$7) ^ INT(((YEAR(BE$2)-YEAR($F26))*12 + MONTH(BE$2)-MONTH($F26)) / 12),
  0)</f>
        <v/>
      </c>
      <c r="BF26" s="299">
        <f>IF(AND($F26&lt;=BF$2, OR($G26="",$G26&gt;=BF$2)),
  $H26 * (1 + Assumptions!$C$7) ^ INT(((YEAR(BF$2)-YEAR($F26))*12 + MONTH(BF$2)-MONTH($F26)) / 12),
  0)</f>
        <v/>
      </c>
      <c r="BG26" s="299">
        <f>IF(AND($F26&lt;=BG$2, OR($G26="",$G26&gt;=BG$2)),
  $H26 * (1 + Assumptions!$C$7) ^ INT(((YEAR(BG$2)-YEAR($F26))*12 + MONTH(BG$2)-MONTH($F26)) / 12),
  0)</f>
        <v/>
      </c>
      <c r="BH26" s="299">
        <f>IF(AND($F26&lt;=BH$2, OR($G26="",$G26&gt;=BH$2)),
  $H26 * (1 + Assumptions!$C$7) ^ INT(((YEAR(BH$2)-YEAR($F26))*12 + MONTH(BH$2)-MONTH($F26)) / 12),
  0)</f>
        <v/>
      </c>
      <c r="BI26" s="299">
        <f>IF(AND($F26&lt;=BI$2, OR($G26="",$G26&gt;=BI$2)),
  $H26 * (1 + Assumptions!$C$7) ^ INT(((YEAR(BI$2)-YEAR($F26))*12 + MONTH(BI$2)-MONTH($F26)) / 12),
  0)</f>
        <v/>
      </c>
      <c r="BJ26" s="299">
        <f>IF(AND($F26&lt;=BJ$2, OR($G26="",$G26&gt;=BJ$2)),
  $H26 * (1 + Assumptions!$C$7) ^ INT(((YEAR(BJ$2)-YEAR($F26))*12 + MONTH(BJ$2)-MONTH($F26)) / 12),
  0)</f>
        <v/>
      </c>
      <c r="BK26" s="299">
        <f>IF(AND($F26&lt;=BK$2, OR($G26="",$G26&gt;=BK$2)),
  $H26 * (1 + Assumptions!$C$7) ^ INT(((YEAR(BK$2)-YEAR($F26))*12 + MONTH(BK$2)-MONTH($F26)) / 12),
  0)</f>
        <v/>
      </c>
      <c r="BL26" s="299">
        <f>IF(AND($F26&lt;=BL$2, OR($G26="",$G26&gt;=BL$2)),
  $H26 * (1 + Assumptions!$C$7) ^ INT(((YEAR(BL$2)-YEAR($F26))*12 + MONTH(BL$2)-MONTH($F26)) / 12),
  0)</f>
        <v/>
      </c>
      <c r="BM26" s="299">
        <f>IF(AND($F26&lt;=BM$2, OR($G26="",$G26&gt;=BM$2)),
  $H26 * (1 + Assumptions!$C$7) ^ INT(((YEAR(BM$2)-YEAR($F26))*12 + MONTH(BM$2)-MONTH($F26)) / 12),
  0)</f>
        <v/>
      </c>
      <c r="BN26" s="299">
        <f>IF(AND($F26&lt;=BN$2, OR($G26="",$G26&gt;=BN$2)),
  $H26 * (1 + Assumptions!$C$7) ^ INT(((YEAR(BN$2)-YEAR($F26))*12 + MONTH(BN$2)-MONTH($F26)) / 12),
  0)</f>
        <v/>
      </c>
      <c r="BO26" s="299">
        <f>IF(AND($F26&lt;=BO$2, OR($G26="",$G26&gt;=BO$2)),
  $H26 * (1 + Assumptions!$C$7) ^ INT(((YEAR(BO$2)-YEAR($F26))*12 + MONTH(BO$2)-MONTH($F26)) / 12),
  0)</f>
        <v/>
      </c>
      <c r="BP26" s="299">
        <f>IF(AND($F26&lt;=BP$2, OR($G26="",$G26&gt;=BP$2)),
  $H26 * (1 + Assumptions!$C$7) ^ INT(((YEAR(BP$2)-YEAR($F26))*12 + MONTH(BP$2)-MONTH($F26)) / 12),
  0)</f>
        <v/>
      </c>
      <c r="BQ26" s="31" t="n"/>
      <c r="BR26" s="40" t="inlineStr">
        <is>
          <t>paid this month if started and not yet left; +8% on each work anniversary</t>
        </is>
      </c>
      <c r="BS26" s="31" t="n"/>
      <c r="BT26" s="31" t="n"/>
    </row>
    <row r="27" ht="15.75" customHeight="1" s="349">
      <c r="A27" s="321" t="n">
        <v>22</v>
      </c>
      <c r="B27" s="285" t="inlineStr">
        <is>
          <t>New hire</t>
        </is>
      </c>
      <c r="C27" s="285" t="inlineStr">
        <is>
          <t>R&amp;D</t>
        </is>
      </c>
      <c r="D27" s="321" t="inlineStr">
        <is>
          <t>Field Engineer</t>
        </is>
      </c>
      <c r="E27" s="297" t="inlineStr">
        <is>
          <t>Planned</t>
        </is>
      </c>
      <c r="F27" s="318" t="n">
        <v>46539</v>
      </c>
      <c r="G27" s="311" t="n"/>
      <c r="H27" s="288" t="n">
        <v>6500</v>
      </c>
      <c r="I27" s="299">
        <f>IF(AND($F27&lt;=I$2, OR($G27="",$G27&gt;=I$2)),
  $H27 * (1 + Assumptions!$C$7) ^ INT(((YEAR(I$2)-YEAR($F27))*12 + MONTH(I$2)-MONTH($F27)) / 12),
  0)</f>
        <v/>
      </c>
      <c r="J27" s="299">
        <f>IF(AND($F27&lt;=J$2, OR($G27="",$G27&gt;=J$2)),
  $H27 * (1 + Assumptions!$C$7) ^ INT(((YEAR(J$2)-YEAR($F27))*12 + MONTH(J$2)-MONTH($F27)) / 12),
  0)</f>
        <v/>
      </c>
      <c r="K27" s="299">
        <f>IF(AND($F27&lt;=K$2, OR($G27="",$G27&gt;=K$2)),
  $H27 * (1 + Assumptions!$C$7) ^ INT(((YEAR(K$2)-YEAR($F27))*12 + MONTH(K$2)-MONTH($F27)) / 12),
  0)</f>
        <v/>
      </c>
      <c r="L27" s="299">
        <f>IF(AND($F27&lt;=L$2, OR($G27="",$G27&gt;=L$2)),
  $H27 * (1 + Assumptions!$C$7) ^ INT(((YEAR(L$2)-YEAR($F27))*12 + MONTH(L$2)-MONTH($F27)) / 12),
  0)</f>
        <v/>
      </c>
      <c r="M27" s="299">
        <f>IF(AND($F27&lt;=M$2, OR($G27="",$G27&gt;=M$2)),
  $H27 * (1 + Assumptions!$C$7) ^ INT(((YEAR(M$2)-YEAR($F27))*12 + MONTH(M$2)-MONTH($F27)) / 12),
  0)</f>
        <v/>
      </c>
      <c r="N27" s="299">
        <f>IF(AND($F27&lt;=N$2, OR($G27="",$G27&gt;=N$2)),
  $H27 * (1 + Assumptions!$C$7) ^ INT(((YEAR(N$2)-YEAR($F27))*12 + MONTH(N$2)-MONTH($F27)) / 12),
  0)</f>
        <v/>
      </c>
      <c r="O27" s="299">
        <f>IF(AND($F27&lt;=O$2, OR($G27="",$G27&gt;=O$2)),
  $H27 * (1 + Assumptions!$C$7) ^ INT(((YEAR(O$2)-YEAR($F27))*12 + MONTH(O$2)-MONTH($F27)) / 12),
  0)</f>
        <v/>
      </c>
      <c r="P27" s="299">
        <f>IF(AND($F27&lt;=P$2, OR($G27="",$G27&gt;=P$2)),
  $H27 * (1 + Assumptions!$C$7) ^ INT(((YEAR(P$2)-YEAR($F27))*12 + MONTH(P$2)-MONTH($F27)) / 12),
  0)</f>
        <v/>
      </c>
      <c r="Q27" s="299">
        <f>IF(AND($F27&lt;=Q$2, OR($G27="",$G27&gt;=Q$2)),
  $H27 * (1 + Assumptions!$C$7) ^ INT(((YEAR(Q$2)-YEAR($F27))*12 + MONTH(Q$2)-MONTH($F27)) / 12),
  0)</f>
        <v/>
      </c>
      <c r="R27" s="299">
        <f>IF(AND($F27&lt;=R$2, OR($G27="",$G27&gt;=R$2)),
  $H27 * (1 + Assumptions!$C$7) ^ INT(((YEAR(R$2)-YEAR($F27))*12 + MONTH(R$2)-MONTH($F27)) / 12),
  0)</f>
        <v/>
      </c>
      <c r="S27" s="299">
        <f>IF(AND($F27&lt;=S$2, OR($G27="",$G27&gt;=S$2)),
  $H27 * (1 + Assumptions!$C$7) ^ INT(((YEAR(S$2)-YEAR($F27))*12 + MONTH(S$2)-MONTH($F27)) / 12),
  0)</f>
        <v/>
      </c>
      <c r="T27" s="299">
        <f>IF(AND($F27&lt;=T$2, OR($G27="",$G27&gt;=T$2)),
  $H27 * (1 + Assumptions!$C$7) ^ INT(((YEAR(T$2)-YEAR($F27))*12 + MONTH(T$2)-MONTH($F27)) / 12),
  0)</f>
        <v/>
      </c>
      <c r="U27" s="299">
        <f>IF(AND($F27&lt;=U$2, OR($G27="",$G27&gt;=U$2)),
  $H27 * (1 + Assumptions!$C$7) ^ INT(((YEAR(U$2)-YEAR($F27))*12 + MONTH(U$2)-MONTH($F27)) / 12),
  0)</f>
        <v/>
      </c>
      <c r="V27" s="299">
        <f>IF(AND($F27&lt;=V$2, OR($G27="",$G27&gt;=V$2)),
  $H27 * (1 + Assumptions!$C$7) ^ INT(((YEAR(V$2)-YEAR($F27))*12 + MONTH(V$2)-MONTH($F27)) / 12),
  0)</f>
        <v/>
      </c>
      <c r="W27" s="299">
        <f>IF(AND($F27&lt;=W$2, OR($G27="",$G27&gt;=W$2)),
  $H27 * (1 + Assumptions!$C$7) ^ INT(((YEAR(W$2)-YEAR($F27))*12 + MONTH(W$2)-MONTH($F27)) / 12),
  0)</f>
        <v/>
      </c>
      <c r="X27" s="299">
        <f>IF(AND($F27&lt;=X$2, OR($G27="",$G27&gt;=X$2)),
  $H27 * (1 + Assumptions!$C$7) ^ INT(((YEAR(X$2)-YEAR($F27))*12 + MONTH(X$2)-MONTH($F27)) / 12),
  0)</f>
        <v/>
      </c>
      <c r="Y27" s="299">
        <f>IF(AND($F27&lt;=Y$2, OR($G27="",$G27&gt;=Y$2)),
  $H27 * (1 + Assumptions!$C$7) ^ INT(((YEAR(Y$2)-YEAR($F27))*12 + MONTH(Y$2)-MONTH($F27)) / 12),
  0)</f>
        <v/>
      </c>
      <c r="Z27" s="299">
        <f>IF(AND($F27&lt;=Z$2, OR($G27="",$G27&gt;=Z$2)),
  $H27 * (1 + Assumptions!$C$7) ^ INT(((YEAR(Z$2)-YEAR($F27))*12 + MONTH(Z$2)-MONTH($F27)) / 12),
  0)</f>
        <v/>
      </c>
      <c r="AA27" s="299">
        <f>IF(AND($F27&lt;=AA$2, OR($G27="",$G27&gt;=AA$2)),
  $H27 * (1 + Assumptions!$C$7) ^ INT(((YEAR(AA$2)-YEAR($F27))*12 + MONTH(AA$2)-MONTH($F27)) / 12),
  0)</f>
        <v/>
      </c>
      <c r="AB27" s="299">
        <f>IF(AND($F27&lt;=AB$2, OR($G27="",$G27&gt;=AB$2)),
  $H27 * (1 + Assumptions!$C$7) ^ INT(((YEAR(AB$2)-YEAR($F27))*12 + MONTH(AB$2)-MONTH($F27)) / 12),
  0)</f>
        <v/>
      </c>
      <c r="AC27" s="299">
        <f>IF(AND($F27&lt;=AC$2, OR($G27="",$G27&gt;=AC$2)),
  $H27 * (1 + Assumptions!$C$7) ^ INT(((YEAR(AC$2)-YEAR($F27))*12 + MONTH(AC$2)-MONTH($F27)) / 12),
  0)</f>
        <v/>
      </c>
      <c r="AD27" s="299">
        <f>IF(AND($F27&lt;=AD$2, OR($G27="",$G27&gt;=AD$2)),
  $H27 * (1 + Assumptions!$C$7) ^ INT(((YEAR(AD$2)-YEAR($F27))*12 + MONTH(AD$2)-MONTH($F27)) / 12),
  0)</f>
        <v/>
      </c>
      <c r="AE27" s="299">
        <f>IF(AND($F27&lt;=AE$2, OR($G27="",$G27&gt;=AE$2)),
  $H27 * (1 + Assumptions!$C$7) ^ INT(((YEAR(AE$2)-YEAR($F27))*12 + MONTH(AE$2)-MONTH($F27)) / 12),
  0)</f>
        <v/>
      </c>
      <c r="AF27" s="299">
        <f>IF(AND($F27&lt;=AF$2, OR($G27="",$G27&gt;=AF$2)),
  $H27 * (1 + Assumptions!$C$7) ^ INT(((YEAR(AF$2)-YEAR($F27))*12 + MONTH(AF$2)-MONTH($F27)) / 12),
  0)</f>
        <v/>
      </c>
      <c r="AG27" s="299">
        <f>IF(AND($F27&lt;=AG$2, OR($G27="",$G27&gt;=AG$2)),
  $H27 * (1 + Assumptions!$C$7) ^ INT(((YEAR(AG$2)-YEAR($F27))*12 + MONTH(AG$2)-MONTH($F27)) / 12),
  0)</f>
        <v/>
      </c>
      <c r="AH27" s="299">
        <f>IF(AND($F27&lt;=AH$2, OR($G27="",$G27&gt;=AH$2)),
  $H27 * (1 + Assumptions!$C$7) ^ INT(((YEAR(AH$2)-YEAR($F27))*12 + MONTH(AH$2)-MONTH($F27)) / 12),
  0)</f>
        <v/>
      </c>
      <c r="AI27" s="299">
        <f>IF(AND($F27&lt;=AI$2, OR($G27="",$G27&gt;=AI$2)),
  $H27 * (1 + Assumptions!$C$7) ^ INT(((YEAR(AI$2)-YEAR($F27))*12 + MONTH(AI$2)-MONTH($F27)) / 12),
  0)</f>
        <v/>
      </c>
      <c r="AJ27" s="299">
        <f>IF(AND($F27&lt;=AJ$2, OR($G27="",$G27&gt;=AJ$2)),
  $H27 * (1 + Assumptions!$C$7) ^ INT(((YEAR(AJ$2)-YEAR($F27))*12 + MONTH(AJ$2)-MONTH($F27)) / 12),
  0)</f>
        <v/>
      </c>
      <c r="AK27" s="299">
        <f>IF(AND($F27&lt;=AK$2, OR($G27="",$G27&gt;=AK$2)),
  $H27 * (1 + Assumptions!$C$7) ^ INT(((YEAR(AK$2)-YEAR($F27))*12 + MONTH(AK$2)-MONTH($F27)) / 12),
  0)</f>
        <v/>
      </c>
      <c r="AL27" s="299">
        <f>IF(AND($F27&lt;=AL$2, OR($G27="",$G27&gt;=AL$2)),
  $H27 * (1 + Assumptions!$C$7) ^ INT(((YEAR(AL$2)-YEAR($F27))*12 + MONTH(AL$2)-MONTH($F27)) / 12),
  0)</f>
        <v/>
      </c>
      <c r="AM27" s="299">
        <f>IF(AND($F27&lt;=AM$2, OR($G27="",$G27&gt;=AM$2)),
  $H27 * (1 + Assumptions!$C$7) ^ INT(((YEAR(AM$2)-YEAR($F27))*12 + MONTH(AM$2)-MONTH($F27)) / 12),
  0)</f>
        <v/>
      </c>
      <c r="AN27" s="299">
        <f>IF(AND($F27&lt;=AN$2, OR($G27="",$G27&gt;=AN$2)),
  $H27 * (1 + Assumptions!$C$7) ^ INT(((YEAR(AN$2)-YEAR($F27))*12 + MONTH(AN$2)-MONTH($F27)) / 12),
  0)</f>
        <v/>
      </c>
      <c r="AO27" s="299">
        <f>IF(AND($F27&lt;=AO$2, OR($G27="",$G27&gt;=AO$2)),
  $H27 * (1 + Assumptions!$C$7) ^ INT(((YEAR(AO$2)-YEAR($F27))*12 + MONTH(AO$2)-MONTH($F27)) / 12),
  0)</f>
        <v/>
      </c>
      <c r="AP27" s="299">
        <f>IF(AND($F27&lt;=AP$2, OR($G27="",$G27&gt;=AP$2)),
  $H27 * (1 + Assumptions!$C$7) ^ INT(((YEAR(AP$2)-YEAR($F27))*12 + MONTH(AP$2)-MONTH($F27)) / 12),
  0)</f>
        <v/>
      </c>
      <c r="AQ27" s="299">
        <f>IF(AND($F27&lt;=AQ$2, OR($G27="",$G27&gt;=AQ$2)),
  $H27 * (1 + Assumptions!$C$7) ^ INT(((YEAR(AQ$2)-YEAR($F27))*12 + MONTH(AQ$2)-MONTH($F27)) / 12),
  0)</f>
        <v/>
      </c>
      <c r="AR27" s="299">
        <f>IF(AND($F27&lt;=AR$2, OR($G27="",$G27&gt;=AR$2)),
  $H27 * (1 + Assumptions!$C$7) ^ INT(((YEAR(AR$2)-YEAR($F27))*12 + MONTH(AR$2)-MONTH($F27)) / 12),
  0)</f>
        <v/>
      </c>
      <c r="AS27" s="299">
        <f>IF(AND($F27&lt;=AS$2, OR($G27="",$G27&gt;=AS$2)),
  $H27 * (1 + Assumptions!$C$7) ^ INT(((YEAR(AS$2)-YEAR($F27))*12 + MONTH(AS$2)-MONTH($F27)) / 12),
  0)</f>
        <v/>
      </c>
      <c r="AT27" s="299">
        <f>IF(AND($F27&lt;=AT$2, OR($G27="",$G27&gt;=AT$2)),
  $H27 * (1 + Assumptions!$C$7) ^ INT(((YEAR(AT$2)-YEAR($F27))*12 + MONTH(AT$2)-MONTH($F27)) / 12),
  0)</f>
        <v/>
      </c>
      <c r="AU27" s="299">
        <f>IF(AND($F27&lt;=AU$2, OR($G27="",$G27&gt;=AU$2)),
  $H27 * (1 + Assumptions!$C$7) ^ INT(((YEAR(AU$2)-YEAR($F27))*12 + MONTH(AU$2)-MONTH($F27)) / 12),
  0)</f>
        <v/>
      </c>
      <c r="AV27" s="299">
        <f>IF(AND($F27&lt;=AV$2, OR($G27="",$G27&gt;=AV$2)),
  $H27 * (1 + Assumptions!$C$7) ^ INT(((YEAR(AV$2)-YEAR($F27))*12 + MONTH(AV$2)-MONTH($F27)) / 12),
  0)</f>
        <v/>
      </c>
      <c r="AW27" s="299">
        <f>IF(AND($F27&lt;=AW$2, OR($G27="",$G27&gt;=AW$2)),
  $H27 * (1 + Assumptions!$C$7) ^ INT(((YEAR(AW$2)-YEAR($F27))*12 + MONTH(AW$2)-MONTH($F27)) / 12),
  0)</f>
        <v/>
      </c>
      <c r="AX27" s="299">
        <f>IF(AND($F27&lt;=AX$2, OR($G27="",$G27&gt;=AX$2)),
  $H27 * (1 + Assumptions!$C$7) ^ INT(((YEAR(AX$2)-YEAR($F27))*12 + MONTH(AX$2)-MONTH($F27)) / 12),
  0)</f>
        <v/>
      </c>
      <c r="AY27" s="299">
        <f>IF(AND($F27&lt;=AY$2, OR($G27="",$G27&gt;=AY$2)),
  $H27 * (1 + Assumptions!$C$7) ^ INT(((YEAR(AY$2)-YEAR($F27))*12 + MONTH(AY$2)-MONTH($F27)) / 12),
  0)</f>
        <v/>
      </c>
      <c r="AZ27" s="299">
        <f>IF(AND($F27&lt;=AZ$2, OR($G27="",$G27&gt;=AZ$2)),
  $H27 * (1 + Assumptions!$C$7) ^ INT(((YEAR(AZ$2)-YEAR($F27))*12 + MONTH(AZ$2)-MONTH($F27)) / 12),
  0)</f>
        <v/>
      </c>
      <c r="BA27" s="299">
        <f>IF(AND($F27&lt;=BA$2, OR($G27="",$G27&gt;=BA$2)),
  $H27 * (1 + Assumptions!$C$7) ^ INT(((YEAR(BA$2)-YEAR($F27))*12 + MONTH(BA$2)-MONTH($F27)) / 12),
  0)</f>
        <v/>
      </c>
      <c r="BB27" s="299">
        <f>IF(AND($F27&lt;=BB$2, OR($G27="",$G27&gt;=BB$2)),
  $H27 * (1 + Assumptions!$C$7) ^ INT(((YEAR(BB$2)-YEAR($F27))*12 + MONTH(BB$2)-MONTH($F27)) / 12),
  0)</f>
        <v/>
      </c>
      <c r="BC27" s="299">
        <f>IF(AND($F27&lt;=BC$2, OR($G27="",$G27&gt;=BC$2)),
  $H27 * (1 + Assumptions!$C$7) ^ INT(((YEAR(BC$2)-YEAR($F27))*12 + MONTH(BC$2)-MONTH($F27)) / 12),
  0)</f>
        <v/>
      </c>
      <c r="BD27" s="299">
        <f>IF(AND($F27&lt;=BD$2, OR($G27="",$G27&gt;=BD$2)),
  $H27 * (1 + Assumptions!$C$7) ^ INT(((YEAR(BD$2)-YEAR($F27))*12 + MONTH(BD$2)-MONTH($F27)) / 12),
  0)</f>
        <v/>
      </c>
      <c r="BE27" s="299">
        <f>IF(AND($F27&lt;=BE$2, OR($G27="",$G27&gt;=BE$2)),
  $H27 * (1 + Assumptions!$C$7) ^ INT(((YEAR(BE$2)-YEAR($F27))*12 + MONTH(BE$2)-MONTH($F27)) / 12),
  0)</f>
        <v/>
      </c>
      <c r="BF27" s="299">
        <f>IF(AND($F27&lt;=BF$2, OR($G27="",$G27&gt;=BF$2)),
  $H27 * (1 + Assumptions!$C$7) ^ INT(((YEAR(BF$2)-YEAR($F27))*12 + MONTH(BF$2)-MONTH($F27)) / 12),
  0)</f>
        <v/>
      </c>
      <c r="BG27" s="299">
        <f>IF(AND($F27&lt;=BG$2, OR($G27="",$G27&gt;=BG$2)),
  $H27 * (1 + Assumptions!$C$7) ^ INT(((YEAR(BG$2)-YEAR($F27))*12 + MONTH(BG$2)-MONTH($F27)) / 12),
  0)</f>
        <v/>
      </c>
      <c r="BH27" s="299">
        <f>IF(AND($F27&lt;=BH$2, OR($G27="",$G27&gt;=BH$2)),
  $H27 * (1 + Assumptions!$C$7) ^ INT(((YEAR(BH$2)-YEAR($F27))*12 + MONTH(BH$2)-MONTH($F27)) / 12),
  0)</f>
        <v/>
      </c>
      <c r="BI27" s="299">
        <f>IF(AND($F27&lt;=BI$2, OR($G27="",$G27&gt;=BI$2)),
  $H27 * (1 + Assumptions!$C$7) ^ INT(((YEAR(BI$2)-YEAR($F27))*12 + MONTH(BI$2)-MONTH($F27)) / 12),
  0)</f>
        <v/>
      </c>
      <c r="BJ27" s="299">
        <f>IF(AND($F27&lt;=BJ$2, OR($G27="",$G27&gt;=BJ$2)),
  $H27 * (1 + Assumptions!$C$7) ^ INT(((YEAR(BJ$2)-YEAR($F27))*12 + MONTH(BJ$2)-MONTH($F27)) / 12),
  0)</f>
        <v/>
      </c>
      <c r="BK27" s="299">
        <f>IF(AND($F27&lt;=BK$2, OR($G27="",$G27&gt;=BK$2)),
  $H27 * (1 + Assumptions!$C$7) ^ INT(((YEAR(BK$2)-YEAR($F27))*12 + MONTH(BK$2)-MONTH($F27)) / 12),
  0)</f>
        <v/>
      </c>
      <c r="BL27" s="299">
        <f>IF(AND($F27&lt;=BL$2, OR($G27="",$G27&gt;=BL$2)),
  $H27 * (1 + Assumptions!$C$7) ^ INT(((YEAR(BL$2)-YEAR($F27))*12 + MONTH(BL$2)-MONTH($F27)) / 12),
  0)</f>
        <v/>
      </c>
      <c r="BM27" s="299">
        <f>IF(AND($F27&lt;=BM$2, OR($G27="",$G27&gt;=BM$2)),
  $H27 * (1 + Assumptions!$C$7) ^ INT(((YEAR(BM$2)-YEAR($F27))*12 + MONTH(BM$2)-MONTH($F27)) / 12),
  0)</f>
        <v/>
      </c>
      <c r="BN27" s="299">
        <f>IF(AND($F27&lt;=BN$2, OR($G27="",$G27&gt;=BN$2)),
  $H27 * (1 + Assumptions!$C$7) ^ INT(((YEAR(BN$2)-YEAR($F27))*12 + MONTH(BN$2)-MONTH($F27)) / 12),
  0)</f>
        <v/>
      </c>
      <c r="BO27" s="299">
        <f>IF(AND($F27&lt;=BO$2, OR($G27="",$G27&gt;=BO$2)),
  $H27 * (1 + Assumptions!$C$7) ^ INT(((YEAR(BO$2)-YEAR($F27))*12 + MONTH(BO$2)-MONTH($F27)) / 12),
  0)</f>
        <v/>
      </c>
      <c r="BP27" s="299">
        <f>IF(AND($F27&lt;=BP$2, OR($G27="",$G27&gt;=BP$2)),
  $H27 * (1 + Assumptions!$C$7) ^ INT(((YEAR(BP$2)-YEAR($F27))*12 + MONTH(BP$2)-MONTH($F27)) / 12),
  0)</f>
        <v/>
      </c>
      <c r="BQ27" s="31" t="n"/>
      <c r="BR27" s="40" t="inlineStr">
        <is>
          <t>paid this month if started and not yet left; +8% on each work anniversary</t>
        </is>
      </c>
      <c r="BS27" s="31" t="n"/>
      <c r="BT27" s="31" t="n"/>
    </row>
    <row r="28" ht="15.75" customHeight="1" s="349">
      <c r="A28" s="321" t="n">
        <v>23</v>
      </c>
      <c r="B28" s="285" t="inlineStr">
        <is>
          <t>New hire</t>
        </is>
      </c>
      <c r="C28" s="285" t="inlineStr">
        <is>
          <t>S&amp;M</t>
        </is>
      </c>
      <c r="D28" s="317" t="inlineStr">
        <is>
          <t>Partner Manager</t>
        </is>
      </c>
      <c r="E28" s="297" t="inlineStr">
        <is>
          <t>Planned</t>
        </is>
      </c>
      <c r="F28" s="318">
        <f>IF(Assumptions!$D$82=2,DATE(2027,2,1),DATE(2027,6,1))</f>
        <v/>
      </c>
      <c r="G28" s="319" t="n"/>
      <c r="H28" s="288" t="n">
        <v>7500</v>
      </c>
      <c r="I28" s="299">
        <f>IF(AND($F28&lt;=I$2, OR($G28="",$G28&gt;=I$2)),
  $H28 * (1 + Assumptions!$C$7) ^ INT(((YEAR(I$2)-YEAR($F28))*12 + MONTH(I$2)-MONTH($F28)) / 12),
  0)</f>
        <v/>
      </c>
      <c r="J28" s="299">
        <f>IF(AND($F28&lt;=J$2, OR($G28="",$G28&gt;=J$2)),
  $H28 * (1 + Assumptions!$C$7) ^ INT(((YEAR(J$2)-YEAR($F28))*12 + MONTH(J$2)-MONTH($F28)) / 12),
  0)</f>
        <v/>
      </c>
      <c r="K28" s="299">
        <f>IF(AND($F28&lt;=K$2, OR($G28="",$G28&gt;=K$2)),
  $H28 * (1 + Assumptions!$C$7) ^ INT(((YEAR(K$2)-YEAR($F28))*12 + MONTH(K$2)-MONTH($F28)) / 12),
  0)</f>
        <v/>
      </c>
      <c r="L28" s="299">
        <f>IF(AND($F28&lt;=L$2, OR($G28="",$G28&gt;=L$2)),
  $H28 * (1 + Assumptions!$C$7) ^ INT(((YEAR(L$2)-YEAR($F28))*12 + MONTH(L$2)-MONTH($F28)) / 12),
  0)</f>
        <v/>
      </c>
      <c r="M28" s="299">
        <f>IF(AND($F28&lt;=M$2, OR($G28="",$G28&gt;=M$2)),
  $H28 * (1 + Assumptions!$C$7) ^ INT(((YEAR(M$2)-YEAR($F28))*12 + MONTH(M$2)-MONTH($F28)) / 12),
  0)</f>
        <v/>
      </c>
      <c r="N28" s="299">
        <f>IF(AND($F28&lt;=N$2, OR($G28="",$G28&gt;=N$2)),
  $H28 * (1 + Assumptions!$C$7) ^ INT(((YEAR(N$2)-YEAR($F28))*12 + MONTH(N$2)-MONTH($F28)) / 12),
  0)</f>
        <v/>
      </c>
      <c r="O28" s="299">
        <f>IF(AND($F28&lt;=O$2, OR($G28="",$G28&gt;=O$2)),
  $H28 * (1 + Assumptions!$C$7) ^ INT(((YEAR(O$2)-YEAR($F28))*12 + MONTH(O$2)-MONTH($F28)) / 12),
  0)</f>
        <v/>
      </c>
      <c r="P28" s="299">
        <f>IF(AND($F28&lt;=P$2, OR($G28="",$G28&gt;=P$2)),
  $H28 * (1 + Assumptions!$C$7) ^ INT(((YEAR(P$2)-YEAR($F28))*12 + MONTH(P$2)-MONTH($F28)) / 12),
  0)</f>
        <v/>
      </c>
      <c r="Q28" s="299">
        <f>IF(AND($F28&lt;=Q$2, OR($G28="",$G28&gt;=Q$2)),
  $H28 * (1 + Assumptions!$C$7) ^ INT(((YEAR(Q$2)-YEAR($F28))*12 + MONTH(Q$2)-MONTH($F28)) / 12),
  0)</f>
        <v/>
      </c>
      <c r="R28" s="299">
        <f>IF(AND($F28&lt;=R$2, OR($G28="",$G28&gt;=R$2)),
  $H28 * (1 + Assumptions!$C$7) ^ INT(((YEAR(R$2)-YEAR($F28))*12 + MONTH(R$2)-MONTH($F28)) / 12),
  0)</f>
        <v/>
      </c>
      <c r="S28" s="299">
        <f>IF(AND($F28&lt;=S$2, OR($G28="",$G28&gt;=S$2)),
  $H28 * (1 + Assumptions!$C$7) ^ INT(((YEAR(S$2)-YEAR($F28))*12 + MONTH(S$2)-MONTH($F28)) / 12),
  0)</f>
        <v/>
      </c>
      <c r="T28" s="299">
        <f>IF(AND($F28&lt;=T$2, OR($G28="",$G28&gt;=T$2)),
  $H28 * (1 + Assumptions!$C$7) ^ INT(((YEAR(T$2)-YEAR($F28))*12 + MONTH(T$2)-MONTH($F28)) / 12),
  0)</f>
        <v/>
      </c>
      <c r="U28" s="299">
        <f>IF(AND($F28&lt;=U$2, OR($G28="",$G28&gt;=U$2)),
  $H28 * (1 + Assumptions!$C$7) ^ INT(((YEAR(U$2)-YEAR($F28))*12 + MONTH(U$2)-MONTH($F28)) / 12),
  0)</f>
        <v/>
      </c>
      <c r="V28" s="299">
        <f>IF(AND($F28&lt;=V$2, OR($G28="",$G28&gt;=V$2)),
  $H28 * (1 + Assumptions!$C$7) ^ INT(((YEAR(V$2)-YEAR($F28))*12 + MONTH(V$2)-MONTH($F28)) / 12),
  0)</f>
        <v/>
      </c>
      <c r="W28" s="299">
        <f>IF(AND($F28&lt;=W$2, OR($G28="",$G28&gt;=W$2)),
  $H28 * (1 + Assumptions!$C$7) ^ INT(((YEAR(W$2)-YEAR($F28))*12 + MONTH(W$2)-MONTH($F28)) / 12),
  0)</f>
        <v/>
      </c>
      <c r="X28" s="299">
        <f>IF(AND($F28&lt;=X$2, OR($G28="",$G28&gt;=X$2)),
  $H28 * (1 + Assumptions!$C$7) ^ INT(((YEAR(X$2)-YEAR($F28))*12 + MONTH(X$2)-MONTH($F28)) / 12),
  0)</f>
        <v/>
      </c>
      <c r="Y28" s="299">
        <f>IF(AND($F28&lt;=Y$2, OR($G28="",$G28&gt;=Y$2)),
  $H28 * (1 + Assumptions!$C$7) ^ INT(((YEAR(Y$2)-YEAR($F28))*12 + MONTH(Y$2)-MONTH($F28)) / 12),
  0)</f>
        <v/>
      </c>
      <c r="Z28" s="299">
        <f>IF(AND($F28&lt;=Z$2, OR($G28="",$G28&gt;=Z$2)),
  $H28 * (1 + Assumptions!$C$7) ^ INT(((YEAR(Z$2)-YEAR($F28))*12 + MONTH(Z$2)-MONTH($F28)) / 12),
  0)</f>
        <v/>
      </c>
      <c r="AA28" s="299">
        <f>IF(AND($F28&lt;=AA$2, OR($G28="",$G28&gt;=AA$2)),
  $H28 * (1 + Assumptions!$C$7) ^ INT(((YEAR(AA$2)-YEAR($F28))*12 + MONTH(AA$2)-MONTH($F28)) / 12),
  0)</f>
        <v/>
      </c>
      <c r="AB28" s="299">
        <f>IF(AND($F28&lt;=AB$2, OR($G28="",$G28&gt;=AB$2)),
  $H28 * (1 + Assumptions!$C$7) ^ INT(((YEAR(AB$2)-YEAR($F28))*12 + MONTH(AB$2)-MONTH($F28)) / 12),
  0)</f>
        <v/>
      </c>
      <c r="AC28" s="299">
        <f>IF(AND($F28&lt;=AC$2, OR($G28="",$G28&gt;=AC$2)),
  $H28 * (1 + Assumptions!$C$7) ^ INT(((YEAR(AC$2)-YEAR($F28))*12 + MONTH(AC$2)-MONTH($F28)) / 12),
  0)</f>
        <v/>
      </c>
      <c r="AD28" s="299">
        <f>IF(AND($F28&lt;=AD$2, OR($G28="",$G28&gt;=AD$2)),
  $H28 * (1 + Assumptions!$C$7) ^ INT(((YEAR(AD$2)-YEAR($F28))*12 + MONTH(AD$2)-MONTH($F28)) / 12),
  0)</f>
        <v/>
      </c>
      <c r="AE28" s="299">
        <f>IF(AND($F28&lt;=AE$2, OR($G28="",$G28&gt;=AE$2)),
  $H28 * (1 + Assumptions!$C$7) ^ INT(((YEAR(AE$2)-YEAR($F28))*12 + MONTH(AE$2)-MONTH($F28)) / 12),
  0)</f>
        <v/>
      </c>
      <c r="AF28" s="299">
        <f>IF(AND($F28&lt;=AF$2, OR($G28="",$G28&gt;=AF$2)),
  $H28 * (1 + Assumptions!$C$7) ^ INT(((YEAR(AF$2)-YEAR($F28))*12 + MONTH(AF$2)-MONTH($F28)) / 12),
  0)</f>
        <v/>
      </c>
      <c r="AG28" s="299">
        <f>IF(AND($F28&lt;=AG$2, OR($G28="",$G28&gt;=AG$2)),
  $H28 * (1 + Assumptions!$C$7) ^ INT(((YEAR(AG$2)-YEAR($F28))*12 + MONTH(AG$2)-MONTH($F28)) / 12),
  0)</f>
        <v/>
      </c>
      <c r="AH28" s="299">
        <f>IF(AND($F28&lt;=AH$2, OR($G28="",$G28&gt;=AH$2)),
  $H28 * (1 + Assumptions!$C$7) ^ INT(((YEAR(AH$2)-YEAR($F28))*12 + MONTH(AH$2)-MONTH($F28)) / 12),
  0)</f>
        <v/>
      </c>
      <c r="AI28" s="299">
        <f>IF(AND($F28&lt;=AI$2, OR($G28="",$G28&gt;=AI$2)),
  $H28 * (1 + Assumptions!$C$7) ^ INT(((YEAR(AI$2)-YEAR($F28))*12 + MONTH(AI$2)-MONTH($F28)) / 12),
  0)</f>
        <v/>
      </c>
      <c r="AJ28" s="299">
        <f>IF(AND($F28&lt;=AJ$2, OR($G28="",$G28&gt;=AJ$2)),
  $H28 * (1 + Assumptions!$C$7) ^ INT(((YEAR(AJ$2)-YEAR($F28))*12 + MONTH(AJ$2)-MONTH($F28)) / 12),
  0)</f>
        <v/>
      </c>
      <c r="AK28" s="299">
        <f>IF(AND($F28&lt;=AK$2, OR($G28="",$G28&gt;=AK$2)),
  $H28 * (1 + Assumptions!$C$7) ^ INT(((YEAR(AK$2)-YEAR($F28))*12 + MONTH(AK$2)-MONTH($F28)) / 12),
  0)</f>
        <v/>
      </c>
      <c r="AL28" s="299">
        <f>IF(AND($F28&lt;=AL$2, OR($G28="",$G28&gt;=AL$2)),
  $H28 * (1 + Assumptions!$C$7) ^ INT(((YEAR(AL$2)-YEAR($F28))*12 + MONTH(AL$2)-MONTH($F28)) / 12),
  0)</f>
        <v/>
      </c>
      <c r="AM28" s="299">
        <f>IF(AND($F28&lt;=AM$2, OR($G28="",$G28&gt;=AM$2)),
  $H28 * (1 + Assumptions!$C$7) ^ INT(((YEAR(AM$2)-YEAR($F28))*12 + MONTH(AM$2)-MONTH($F28)) / 12),
  0)</f>
        <v/>
      </c>
      <c r="AN28" s="299">
        <f>IF(AND($F28&lt;=AN$2, OR($G28="",$G28&gt;=AN$2)),
  $H28 * (1 + Assumptions!$C$7) ^ INT(((YEAR(AN$2)-YEAR($F28))*12 + MONTH(AN$2)-MONTH($F28)) / 12),
  0)</f>
        <v/>
      </c>
      <c r="AO28" s="299">
        <f>IF(AND($F28&lt;=AO$2, OR($G28="",$G28&gt;=AO$2)),
  $H28 * (1 + Assumptions!$C$7) ^ INT(((YEAR(AO$2)-YEAR($F28))*12 + MONTH(AO$2)-MONTH($F28)) / 12),
  0)</f>
        <v/>
      </c>
      <c r="AP28" s="299">
        <f>IF(AND($F28&lt;=AP$2, OR($G28="",$G28&gt;=AP$2)),
  $H28 * (1 + Assumptions!$C$7) ^ INT(((YEAR(AP$2)-YEAR($F28))*12 + MONTH(AP$2)-MONTH($F28)) / 12),
  0)</f>
        <v/>
      </c>
      <c r="AQ28" s="299">
        <f>IF(AND($F28&lt;=AQ$2, OR($G28="",$G28&gt;=AQ$2)),
  $H28 * (1 + Assumptions!$C$7) ^ INT(((YEAR(AQ$2)-YEAR($F28))*12 + MONTH(AQ$2)-MONTH($F28)) / 12),
  0)</f>
        <v/>
      </c>
      <c r="AR28" s="299">
        <f>IF(AND($F28&lt;=AR$2, OR($G28="",$G28&gt;=AR$2)),
  $H28 * (1 + Assumptions!$C$7) ^ INT(((YEAR(AR$2)-YEAR($F28))*12 + MONTH(AR$2)-MONTH($F28)) / 12),
  0)</f>
        <v/>
      </c>
      <c r="AS28" s="299">
        <f>IF(AND($F28&lt;=AS$2, OR($G28="",$G28&gt;=AS$2)),
  $H28 * (1 + Assumptions!$C$7) ^ INT(((YEAR(AS$2)-YEAR($F28))*12 + MONTH(AS$2)-MONTH($F28)) / 12),
  0)</f>
        <v/>
      </c>
      <c r="AT28" s="299">
        <f>IF(AND($F28&lt;=AT$2, OR($G28="",$G28&gt;=AT$2)),
  $H28 * (1 + Assumptions!$C$7) ^ INT(((YEAR(AT$2)-YEAR($F28))*12 + MONTH(AT$2)-MONTH($F28)) / 12),
  0)</f>
        <v/>
      </c>
      <c r="AU28" s="299">
        <f>IF(AND($F28&lt;=AU$2, OR($G28="",$G28&gt;=AU$2)),
  $H28 * (1 + Assumptions!$C$7) ^ INT(((YEAR(AU$2)-YEAR($F28))*12 + MONTH(AU$2)-MONTH($F28)) / 12),
  0)</f>
        <v/>
      </c>
      <c r="AV28" s="299">
        <f>IF(AND($F28&lt;=AV$2, OR($G28="",$G28&gt;=AV$2)),
  $H28 * (1 + Assumptions!$C$7) ^ INT(((YEAR(AV$2)-YEAR($F28))*12 + MONTH(AV$2)-MONTH($F28)) / 12),
  0)</f>
        <v/>
      </c>
      <c r="AW28" s="299">
        <f>IF(AND($F28&lt;=AW$2, OR($G28="",$G28&gt;=AW$2)),
  $H28 * (1 + Assumptions!$C$7) ^ INT(((YEAR(AW$2)-YEAR($F28))*12 + MONTH(AW$2)-MONTH($F28)) / 12),
  0)</f>
        <v/>
      </c>
      <c r="AX28" s="299">
        <f>IF(AND($F28&lt;=AX$2, OR($G28="",$G28&gt;=AX$2)),
  $H28 * (1 + Assumptions!$C$7) ^ INT(((YEAR(AX$2)-YEAR($F28))*12 + MONTH(AX$2)-MONTH($F28)) / 12),
  0)</f>
        <v/>
      </c>
      <c r="AY28" s="299">
        <f>IF(AND($F28&lt;=AY$2, OR($G28="",$G28&gt;=AY$2)),
  $H28 * (1 + Assumptions!$C$7) ^ INT(((YEAR(AY$2)-YEAR($F28))*12 + MONTH(AY$2)-MONTH($F28)) / 12),
  0)</f>
        <v/>
      </c>
      <c r="AZ28" s="299">
        <f>IF(AND($F28&lt;=AZ$2, OR($G28="",$G28&gt;=AZ$2)),
  $H28 * (1 + Assumptions!$C$7) ^ INT(((YEAR(AZ$2)-YEAR($F28))*12 + MONTH(AZ$2)-MONTH($F28)) / 12),
  0)</f>
        <v/>
      </c>
      <c r="BA28" s="299">
        <f>IF(AND($F28&lt;=BA$2, OR($G28="",$G28&gt;=BA$2)),
  $H28 * (1 + Assumptions!$C$7) ^ INT(((YEAR(BA$2)-YEAR($F28))*12 + MONTH(BA$2)-MONTH($F28)) / 12),
  0)</f>
        <v/>
      </c>
      <c r="BB28" s="299">
        <f>IF(AND($F28&lt;=BB$2, OR($G28="",$G28&gt;=BB$2)),
  $H28 * (1 + Assumptions!$C$7) ^ INT(((YEAR(BB$2)-YEAR($F28))*12 + MONTH(BB$2)-MONTH($F28)) / 12),
  0)</f>
        <v/>
      </c>
      <c r="BC28" s="299">
        <f>IF(AND($F28&lt;=BC$2, OR($G28="",$G28&gt;=BC$2)),
  $H28 * (1 + Assumptions!$C$7) ^ INT(((YEAR(BC$2)-YEAR($F28))*12 + MONTH(BC$2)-MONTH($F28)) / 12),
  0)</f>
        <v/>
      </c>
      <c r="BD28" s="299">
        <f>IF(AND($F28&lt;=BD$2, OR($G28="",$G28&gt;=BD$2)),
  $H28 * (1 + Assumptions!$C$7) ^ INT(((YEAR(BD$2)-YEAR($F28))*12 + MONTH(BD$2)-MONTH($F28)) / 12),
  0)</f>
        <v/>
      </c>
      <c r="BE28" s="299">
        <f>IF(AND($F28&lt;=BE$2, OR($G28="",$G28&gt;=BE$2)),
  $H28 * (1 + Assumptions!$C$7) ^ INT(((YEAR(BE$2)-YEAR($F28))*12 + MONTH(BE$2)-MONTH($F28)) / 12),
  0)</f>
        <v/>
      </c>
      <c r="BF28" s="299">
        <f>IF(AND($F28&lt;=BF$2, OR($G28="",$G28&gt;=BF$2)),
  $H28 * (1 + Assumptions!$C$7) ^ INT(((YEAR(BF$2)-YEAR($F28))*12 + MONTH(BF$2)-MONTH($F28)) / 12),
  0)</f>
        <v/>
      </c>
      <c r="BG28" s="299">
        <f>IF(AND($F28&lt;=BG$2, OR($G28="",$G28&gt;=BG$2)),
  $H28 * (1 + Assumptions!$C$7) ^ INT(((YEAR(BG$2)-YEAR($F28))*12 + MONTH(BG$2)-MONTH($F28)) / 12),
  0)</f>
        <v/>
      </c>
      <c r="BH28" s="299">
        <f>IF(AND($F28&lt;=BH$2, OR($G28="",$G28&gt;=BH$2)),
  $H28 * (1 + Assumptions!$C$7) ^ INT(((YEAR(BH$2)-YEAR($F28))*12 + MONTH(BH$2)-MONTH($F28)) / 12),
  0)</f>
        <v/>
      </c>
      <c r="BI28" s="299">
        <f>IF(AND($F28&lt;=BI$2, OR($G28="",$G28&gt;=BI$2)),
  $H28 * (1 + Assumptions!$C$7) ^ INT(((YEAR(BI$2)-YEAR($F28))*12 + MONTH(BI$2)-MONTH($F28)) / 12),
  0)</f>
        <v/>
      </c>
      <c r="BJ28" s="299">
        <f>IF(AND($F28&lt;=BJ$2, OR($G28="",$G28&gt;=BJ$2)),
  $H28 * (1 + Assumptions!$C$7) ^ INT(((YEAR(BJ$2)-YEAR($F28))*12 + MONTH(BJ$2)-MONTH($F28)) / 12),
  0)</f>
        <v/>
      </c>
      <c r="BK28" s="299">
        <f>IF(AND($F28&lt;=BK$2, OR($G28="",$G28&gt;=BK$2)),
  $H28 * (1 + Assumptions!$C$7) ^ INT(((YEAR(BK$2)-YEAR($F28))*12 + MONTH(BK$2)-MONTH($F28)) / 12),
  0)</f>
        <v/>
      </c>
      <c r="BL28" s="299">
        <f>IF(AND($F28&lt;=BL$2, OR($G28="",$G28&gt;=BL$2)),
  $H28 * (1 + Assumptions!$C$7) ^ INT(((YEAR(BL$2)-YEAR($F28))*12 + MONTH(BL$2)-MONTH($F28)) / 12),
  0)</f>
        <v/>
      </c>
      <c r="BM28" s="299">
        <f>IF(AND($F28&lt;=BM$2, OR($G28="",$G28&gt;=BM$2)),
  $H28 * (1 + Assumptions!$C$7) ^ INT(((YEAR(BM$2)-YEAR($F28))*12 + MONTH(BM$2)-MONTH($F28)) / 12),
  0)</f>
        <v/>
      </c>
      <c r="BN28" s="299">
        <f>IF(AND($F28&lt;=BN$2, OR($G28="",$G28&gt;=BN$2)),
  $H28 * (1 + Assumptions!$C$7) ^ INT(((YEAR(BN$2)-YEAR($F28))*12 + MONTH(BN$2)-MONTH($F28)) / 12),
  0)</f>
        <v/>
      </c>
      <c r="BO28" s="299">
        <f>IF(AND($F28&lt;=BO$2, OR($G28="",$G28&gt;=BO$2)),
  $H28 * (1 + Assumptions!$C$7) ^ INT(((YEAR(BO$2)-YEAR($F28))*12 + MONTH(BO$2)-MONTH($F28)) / 12),
  0)</f>
        <v/>
      </c>
      <c r="BP28" s="299">
        <f>IF(AND($F28&lt;=BP$2, OR($G28="",$G28&gt;=BP$2)),
  $H28 * (1 + Assumptions!$C$7) ^ INT(((YEAR(BP$2)-YEAR($F28))*12 + MONTH(BP$2)-MONTH($F28)) / 12),
  0)</f>
        <v/>
      </c>
      <c r="BQ28" s="307" t="n"/>
      <c r="BR28" s="83" t="inlineStr">
        <is>
          <t>paid this month if started and not yet left; +8% on each work anniversary</t>
        </is>
      </c>
      <c r="BS28" s="307" t="n"/>
      <c r="BT28" s="307" t="n"/>
    </row>
    <row r="29" ht="15.75" customHeight="1" s="349">
      <c r="A29" s="321" t="n">
        <v>24</v>
      </c>
      <c r="B29" s="285" t="inlineStr">
        <is>
          <t>New hire</t>
        </is>
      </c>
      <c r="C29" s="285" t="inlineStr">
        <is>
          <t>S&amp;M</t>
        </is>
      </c>
      <c r="D29" s="122" t="inlineStr">
        <is>
          <t>Marketing</t>
        </is>
      </c>
      <c r="E29" s="297" t="inlineStr">
        <is>
          <t>Planned</t>
        </is>
      </c>
      <c r="F29" s="318" t="n">
        <v>46539</v>
      </c>
      <c r="G29" s="319" t="n"/>
      <c r="H29" s="288" t="n">
        <v>7500</v>
      </c>
      <c r="I29" s="299">
        <f>IF(AND($F29&lt;=I$2, OR($G29="",$G29&gt;=I$2)),
  $H29 * (1 + Assumptions!$C$7) ^ INT(((YEAR(I$2)-YEAR($F29))*12 + MONTH(I$2)-MONTH($F29)) / 12),
  0)</f>
        <v/>
      </c>
      <c r="J29" s="299">
        <f>IF(AND($F29&lt;=J$2, OR($G29="",$G29&gt;=J$2)),
  $H29 * (1 + Assumptions!$C$7) ^ INT(((YEAR(J$2)-YEAR($F29))*12 + MONTH(J$2)-MONTH($F29)) / 12),
  0)</f>
        <v/>
      </c>
      <c r="K29" s="299">
        <f>IF(AND($F29&lt;=K$2, OR($G29="",$G29&gt;=K$2)),
  $H29 * (1 + Assumptions!$C$7) ^ INT(((YEAR(K$2)-YEAR($F29))*12 + MONTH(K$2)-MONTH($F29)) / 12),
  0)</f>
        <v/>
      </c>
      <c r="L29" s="299">
        <f>IF(AND($F29&lt;=L$2, OR($G29="",$G29&gt;=L$2)),
  $H29 * (1 + Assumptions!$C$7) ^ INT(((YEAR(L$2)-YEAR($F29))*12 + MONTH(L$2)-MONTH($F29)) / 12),
  0)</f>
        <v/>
      </c>
      <c r="M29" s="299">
        <f>IF(AND($F29&lt;=M$2, OR($G29="",$G29&gt;=M$2)),
  $H29 * (1 + Assumptions!$C$7) ^ INT(((YEAR(M$2)-YEAR($F29))*12 + MONTH(M$2)-MONTH($F29)) / 12),
  0)</f>
        <v/>
      </c>
      <c r="N29" s="299">
        <f>IF(AND($F29&lt;=N$2, OR($G29="",$G29&gt;=N$2)),
  $H29 * (1 + Assumptions!$C$7) ^ INT(((YEAR(N$2)-YEAR($F29))*12 + MONTH(N$2)-MONTH($F29)) / 12),
  0)</f>
        <v/>
      </c>
      <c r="O29" s="299">
        <f>IF(AND($F29&lt;=O$2, OR($G29="",$G29&gt;=O$2)),
  $H29 * (1 + Assumptions!$C$7) ^ INT(((YEAR(O$2)-YEAR($F29))*12 + MONTH(O$2)-MONTH($F29)) / 12),
  0)</f>
        <v/>
      </c>
      <c r="P29" s="299">
        <f>IF(AND($F29&lt;=P$2, OR($G29="",$G29&gt;=P$2)),
  $H29 * (1 + Assumptions!$C$7) ^ INT(((YEAR(P$2)-YEAR($F29))*12 + MONTH(P$2)-MONTH($F29)) / 12),
  0)</f>
        <v/>
      </c>
      <c r="Q29" s="299">
        <f>IF(AND($F29&lt;=Q$2, OR($G29="",$G29&gt;=Q$2)),
  $H29 * (1 + Assumptions!$C$7) ^ INT(((YEAR(Q$2)-YEAR($F29))*12 + MONTH(Q$2)-MONTH($F29)) / 12),
  0)</f>
        <v/>
      </c>
      <c r="R29" s="299">
        <f>IF(AND($F29&lt;=R$2, OR($G29="",$G29&gt;=R$2)),
  $H29 * (1 + Assumptions!$C$7) ^ INT(((YEAR(R$2)-YEAR($F29))*12 + MONTH(R$2)-MONTH($F29)) / 12),
  0)</f>
        <v/>
      </c>
      <c r="S29" s="299">
        <f>IF(AND($F29&lt;=S$2, OR($G29="",$G29&gt;=S$2)),
  $H29 * (1 + Assumptions!$C$7) ^ INT(((YEAR(S$2)-YEAR($F29))*12 + MONTH(S$2)-MONTH($F29)) / 12),
  0)</f>
        <v/>
      </c>
      <c r="T29" s="299">
        <f>IF(AND($F29&lt;=T$2, OR($G29="",$G29&gt;=T$2)),
  $H29 * (1 + Assumptions!$C$7) ^ INT(((YEAR(T$2)-YEAR($F29))*12 + MONTH(T$2)-MONTH($F29)) / 12),
  0)</f>
        <v/>
      </c>
      <c r="U29" s="299">
        <f>IF(AND($F29&lt;=U$2, OR($G29="",$G29&gt;=U$2)),
  $H29 * (1 + Assumptions!$C$7) ^ INT(((YEAR(U$2)-YEAR($F29))*12 + MONTH(U$2)-MONTH($F29)) / 12),
  0)</f>
        <v/>
      </c>
      <c r="V29" s="299">
        <f>IF(AND($F29&lt;=V$2, OR($G29="",$G29&gt;=V$2)),
  $H29 * (1 + Assumptions!$C$7) ^ INT(((YEAR(V$2)-YEAR($F29))*12 + MONTH(V$2)-MONTH($F29)) / 12),
  0)</f>
        <v/>
      </c>
      <c r="W29" s="299">
        <f>IF(AND($F29&lt;=W$2, OR($G29="",$G29&gt;=W$2)),
  $H29 * (1 + Assumptions!$C$7) ^ INT(((YEAR(W$2)-YEAR($F29))*12 + MONTH(W$2)-MONTH($F29)) / 12),
  0)</f>
        <v/>
      </c>
      <c r="X29" s="299">
        <f>IF(AND($F29&lt;=X$2, OR($G29="",$G29&gt;=X$2)),
  $H29 * (1 + Assumptions!$C$7) ^ INT(((YEAR(X$2)-YEAR($F29))*12 + MONTH(X$2)-MONTH($F29)) / 12),
  0)</f>
        <v/>
      </c>
      <c r="Y29" s="299">
        <f>IF(AND($F29&lt;=Y$2, OR($G29="",$G29&gt;=Y$2)),
  $H29 * (1 + Assumptions!$C$7) ^ INT(((YEAR(Y$2)-YEAR($F29))*12 + MONTH(Y$2)-MONTH($F29)) / 12),
  0)</f>
        <v/>
      </c>
      <c r="Z29" s="299">
        <f>IF(AND($F29&lt;=Z$2, OR($G29="",$G29&gt;=Z$2)),
  $H29 * (1 + Assumptions!$C$7) ^ INT(((YEAR(Z$2)-YEAR($F29))*12 + MONTH(Z$2)-MONTH($F29)) / 12),
  0)</f>
        <v/>
      </c>
      <c r="AA29" s="299">
        <f>IF(AND($F29&lt;=AA$2, OR($G29="",$G29&gt;=AA$2)),
  $H29 * (1 + Assumptions!$C$7) ^ INT(((YEAR(AA$2)-YEAR($F29))*12 + MONTH(AA$2)-MONTH($F29)) / 12),
  0)</f>
        <v/>
      </c>
      <c r="AB29" s="299">
        <f>IF(AND($F29&lt;=AB$2, OR($G29="",$G29&gt;=AB$2)),
  $H29 * (1 + Assumptions!$C$7) ^ INT(((YEAR(AB$2)-YEAR($F29))*12 + MONTH(AB$2)-MONTH($F29)) / 12),
  0)</f>
        <v/>
      </c>
      <c r="AC29" s="299">
        <f>IF(AND($F29&lt;=AC$2, OR($G29="",$G29&gt;=AC$2)),
  $H29 * (1 + Assumptions!$C$7) ^ INT(((YEAR(AC$2)-YEAR($F29))*12 + MONTH(AC$2)-MONTH($F29)) / 12),
  0)</f>
        <v/>
      </c>
      <c r="AD29" s="299">
        <f>IF(AND($F29&lt;=AD$2, OR($G29="",$G29&gt;=AD$2)),
  $H29 * (1 + Assumptions!$C$7) ^ INT(((YEAR(AD$2)-YEAR($F29))*12 + MONTH(AD$2)-MONTH($F29)) / 12),
  0)</f>
        <v/>
      </c>
      <c r="AE29" s="299">
        <f>IF(AND($F29&lt;=AE$2, OR($G29="",$G29&gt;=AE$2)),
  $H29 * (1 + Assumptions!$C$7) ^ INT(((YEAR(AE$2)-YEAR($F29))*12 + MONTH(AE$2)-MONTH($F29)) / 12),
  0)</f>
        <v/>
      </c>
      <c r="AF29" s="299">
        <f>IF(AND($F29&lt;=AF$2, OR($G29="",$G29&gt;=AF$2)),
  $H29 * (1 + Assumptions!$C$7) ^ INT(((YEAR(AF$2)-YEAR($F29))*12 + MONTH(AF$2)-MONTH($F29)) / 12),
  0)</f>
        <v/>
      </c>
      <c r="AG29" s="299">
        <f>IF(AND($F29&lt;=AG$2, OR($G29="",$G29&gt;=AG$2)),
  $H29 * (1 + Assumptions!$C$7) ^ INT(((YEAR(AG$2)-YEAR($F29))*12 + MONTH(AG$2)-MONTH($F29)) / 12),
  0)</f>
        <v/>
      </c>
      <c r="AH29" s="299">
        <f>IF(AND($F29&lt;=AH$2, OR($G29="",$G29&gt;=AH$2)),
  $H29 * (1 + Assumptions!$C$7) ^ INT(((YEAR(AH$2)-YEAR($F29))*12 + MONTH(AH$2)-MONTH($F29)) / 12),
  0)</f>
        <v/>
      </c>
      <c r="AI29" s="299">
        <f>IF(AND($F29&lt;=AI$2, OR($G29="",$G29&gt;=AI$2)),
  $H29 * (1 + Assumptions!$C$7) ^ INT(((YEAR(AI$2)-YEAR($F29))*12 + MONTH(AI$2)-MONTH($F29)) / 12),
  0)</f>
        <v/>
      </c>
      <c r="AJ29" s="299">
        <f>IF(AND($F29&lt;=AJ$2, OR($G29="",$G29&gt;=AJ$2)),
  $H29 * (1 + Assumptions!$C$7) ^ INT(((YEAR(AJ$2)-YEAR($F29))*12 + MONTH(AJ$2)-MONTH($F29)) / 12),
  0)</f>
        <v/>
      </c>
      <c r="AK29" s="299">
        <f>IF(AND($F29&lt;=AK$2, OR($G29="",$G29&gt;=AK$2)),
  $H29 * (1 + Assumptions!$C$7) ^ INT(((YEAR(AK$2)-YEAR($F29))*12 + MONTH(AK$2)-MONTH($F29)) / 12),
  0)</f>
        <v/>
      </c>
      <c r="AL29" s="299">
        <f>IF(AND($F29&lt;=AL$2, OR($G29="",$G29&gt;=AL$2)),
  $H29 * (1 + Assumptions!$C$7) ^ INT(((YEAR(AL$2)-YEAR($F29))*12 + MONTH(AL$2)-MONTH($F29)) / 12),
  0)</f>
        <v/>
      </c>
      <c r="AM29" s="299">
        <f>IF(AND($F29&lt;=AM$2, OR($G29="",$G29&gt;=AM$2)),
  $H29 * (1 + Assumptions!$C$7) ^ INT(((YEAR(AM$2)-YEAR($F29))*12 + MONTH(AM$2)-MONTH($F29)) / 12),
  0)</f>
        <v/>
      </c>
      <c r="AN29" s="299">
        <f>IF(AND($F29&lt;=AN$2, OR($G29="",$G29&gt;=AN$2)),
  $H29 * (1 + Assumptions!$C$7) ^ INT(((YEAR(AN$2)-YEAR($F29))*12 + MONTH(AN$2)-MONTH($F29)) / 12),
  0)</f>
        <v/>
      </c>
      <c r="AO29" s="299">
        <f>IF(AND($F29&lt;=AO$2, OR($G29="",$G29&gt;=AO$2)),
  $H29 * (1 + Assumptions!$C$7) ^ INT(((YEAR(AO$2)-YEAR($F29))*12 + MONTH(AO$2)-MONTH($F29)) / 12),
  0)</f>
        <v/>
      </c>
      <c r="AP29" s="299">
        <f>IF(AND($F29&lt;=AP$2, OR($G29="",$G29&gt;=AP$2)),
  $H29 * (1 + Assumptions!$C$7) ^ INT(((YEAR(AP$2)-YEAR($F29))*12 + MONTH(AP$2)-MONTH($F29)) / 12),
  0)</f>
        <v/>
      </c>
      <c r="AQ29" s="299">
        <f>IF(AND($F29&lt;=AQ$2, OR($G29="",$G29&gt;=AQ$2)),
  $H29 * (1 + Assumptions!$C$7) ^ INT(((YEAR(AQ$2)-YEAR($F29))*12 + MONTH(AQ$2)-MONTH($F29)) / 12),
  0)</f>
        <v/>
      </c>
      <c r="AR29" s="299">
        <f>IF(AND($F29&lt;=AR$2, OR($G29="",$G29&gt;=AR$2)),
  $H29 * (1 + Assumptions!$C$7) ^ INT(((YEAR(AR$2)-YEAR($F29))*12 + MONTH(AR$2)-MONTH($F29)) / 12),
  0)</f>
        <v/>
      </c>
      <c r="AS29" s="299">
        <f>IF(AND($F29&lt;=AS$2, OR($G29="",$G29&gt;=AS$2)),
  $H29 * (1 + Assumptions!$C$7) ^ INT(((YEAR(AS$2)-YEAR($F29))*12 + MONTH(AS$2)-MONTH($F29)) / 12),
  0)</f>
        <v/>
      </c>
      <c r="AT29" s="299">
        <f>IF(AND($F29&lt;=AT$2, OR($G29="",$G29&gt;=AT$2)),
  $H29 * (1 + Assumptions!$C$7) ^ INT(((YEAR(AT$2)-YEAR($F29))*12 + MONTH(AT$2)-MONTH($F29)) / 12),
  0)</f>
        <v/>
      </c>
      <c r="AU29" s="299">
        <f>IF(AND($F29&lt;=AU$2, OR($G29="",$G29&gt;=AU$2)),
  $H29 * (1 + Assumptions!$C$7) ^ INT(((YEAR(AU$2)-YEAR($F29))*12 + MONTH(AU$2)-MONTH($F29)) / 12),
  0)</f>
        <v/>
      </c>
      <c r="AV29" s="299">
        <f>IF(AND($F29&lt;=AV$2, OR($G29="",$G29&gt;=AV$2)),
  $H29 * (1 + Assumptions!$C$7) ^ INT(((YEAR(AV$2)-YEAR($F29))*12 + MONTH(AV$2)-MONTH($F29)) / 12),
  0)</f>
        <v/>
      </c>
      <c r="AW29" s="299">
        <f>IF(AND($F29&lt;=AW$2, OR($G29="",$G29&gt;=AW$2)),
  $H29 * (1 + Assumptions!$C$7) ^ INT(((YEAR(AW$2)-YEAR($F29))*12 + MONTH(AW$2)-MONTH($F29)) / 12),
  0)</f>
        <v/>
      </c>
      <c r="AX29" s="299">
        <f>IF(AND($F29&lt;=AX$2, OR($G29="",$G29&gt;=AX$2)),
  $H29 * (1 + Assumptions!$C$7) ^ INT(((YEAR(AX$2)-YEAR($F29))*12 + MONTH(AX$2)-MONTH($F29)) / 12),
  0)</f>
        <v/>
      </c>
      <c r="AY29" s="299">
        <f>IF(AND($F29&lt;=AY$2, OR($G29="",$G29&gt;=AY$2)),
  $H29 * (1 + Assumptions!$C$7) ^ INT(((YEAR(AY$2)-YEAR($F29))*12 + MONTH(AY$2)-MONTH($F29)) / 12),
  0)</f>
        <v/>
      </c>
      <c r="AZ29" s="299">
        <f>IF(AND($F29&lt;=AZ$2, OR($G29="",$G29&gt;=AZ$2)),
  $H29 * (1 + Assumptions!$C$7) ^ INT(((YEAR(AZ$2)-YEAR($F29))*12 + MONTH(AZ$2)-MONTH($F29)) / 12),
  0)</f>
        <v/>
      </c>
      <c r="BA29" s="299">
        <f>IF(AND($F29&lt;=BA$2, OR($G29="",$G29&gt;=BA$2)),
  $H29 * (1 + Assumptions!$C$7) ^ INT(((YEAR(BA$2)-YEAR($F29))*12 + MONTH(BA$2)-MONTH($F29)) / 12),
  0)</f>
        <v/>
      </c>
      <c r="BB29" s="299">
        <f>IF(AND($F29&lt;=BB$2, OR($G29="",$G29&gt;=BB$2)),
  $H29 * (1 + Assumptions!$C$7) ^ INT(((YEAR(BB$2)-YEAR($F29))*12 + MONTH(BB$2)-MONTH($F29)) / 12),
  0)</f>
        <v/>
      </c>
      <c r="BC29" s="299">
        <f>IF(AND($F29&lt;=BC$2, OR($G29="",$G29&gt;=BC$2)),
  $H29 * (1 + Assumptions!$C$7) ^ INT(((YEAR(BC$2)-YEAR($F29))*12 + MONTH(BC$2)-MONTH($F29)) / 12),
  0)</f>
        <v/>
      </c>
      <c r="BD29" s="299">
        <f>IF(AND($F29&lt;=BD$2, OR($G29="",$G29&gt;=BD$2)),
  $H29 * (1 + Assumptions!$C$7) ^ INT(((YEAR(BD$2)-YEAR($F29))*12 + MONTH(BD$2)-MONTH($F29)) / 12),
  0)</f>
        <v/>
      </c>
      <c r="BE29" s="299">
        <f>IF(AND($F29&lt;=BE$2, OR($G29="",$G29&gt;=BE$2)),
  $H29 * (1 + Assumptions!$C$7) ^ INT(((YEAR(BE$2)-YEAR($F29))*12 + MONTH(BE$2)-MONTH($F29)) / 12),
  0)</f>
        <v/>
      </c>
      <c r="BF29" s="299">
        <f>IF(AND($F29&lt;=BF$2, OR($G29="",$G29&gt;=BF$2)),
  $H29 * (1 + Assumptions!$C$7) ^ INT(((YEAR(BF$2)-YEAR($F29))*12 + MONTH(BF$2)-MONTH($F29)) / 12),
  0)</f>
        <v/>
      </c>
      <c r="BG29" s="299">
        <f>IF(AND($F29&lt;=BG$2, OR($G29="",$G29&gt;=BG$2)),
  $H29 * (1 + Assumptions!$C$7) ^ INT(((YEAR(BG$2)-YEAR($F29))*12 + MONTH(BG$2)-MONTH($F29)) / 12),
  0)</f>
        <v/>
      </c>
      <c r="BH29" s="299">
        <f>IF(AND($F29&lt;=BH$2, OR($G29="",$G29&gt;=BH$2)),
  $H29 * (1 + Assumptions!$C$7) ^ INT(((YEAR(BH$2)-YEAR($F29))*12 + MONTH(BH$2)-MONTH($F29)) / 12),
  0)</f>
        <v/>
      </c>
      <c r="BI29" s="299">
        <f>IF(AND($F29&lt;=BI$2, OR($G29="",$G29&gt;=BI$2)),
  $H29 * (1 + Assumptions!$C$7) ^ INT(((YEAR(BI$2)-YEAR($F29))*12 + MONTH(BI$2)-MONTH($F29)) / 12),
  0)</f>
        <v/>
      </c>
      <c r="BJ29" s="299">
        <f>IF(AND($F29&lt;=BJ$2, OR($G29="",$G29&gt;=BJ$2)),
  $H29 * (1 + Assumptions!$C$7) ^ INT(((YEAR(BJ$2)-YEAR($F29))*12 + MONTH(BJ$2)-MONTH($F29)) / 12),
  0)</f>
        <v/>
      </c>
      <c r="BK29" s="299">
        <f>IF(AND($F29&lt;=BK$2, OR($G29="",$G29&gt;=BK$2)),
  $H29 * (1 + Assumptions!$C$7) ^ INT(((YEAR(BK$2)-YEAR($F29))*12 + MONTH(BK$2)-MONTH($F29)) / 12),
  0)</f>
        <v/>
      </c>
      <c r="BL29" s="299">
        <f>IF(AND($F29&lt;=BL$2, OR($G29="",$G29&gt;=BL$2)),
  $H29 * (1 + Assumptions!$C$7) ^ INT(((YEAR(BL$2)-YEAR($F29))*12 + MONTH(BL$2)-MONTH($F29)) / 12),
  0)</f>
        <v/>
      </c>
      <c r="BM29" s="299">
        <f>IF(AND($F29&lt;=BM$2, OR($G29="",$G29&gt;=BM$2)),
  $H29 * (1 + Assumptions!$C$7) ^ INT(((YEAR(BM$2)-YEAR($F29))*12 + MONTH(BM$2)-MONTH($F29)) / 12),
  0)</f>
        <v/>
      </c>
      <c r="BN29" s="299">
        <f>IF(AND($F29&lt;=BN$2, OR($G29="",$G29&gt;=BN$2)),
  $H29 * (1 + Assumptions!$C$7) ^ INT(((YEAR(BN$2)-YEAR($F29))*12 + MONTH(BN$2)-MONTH($F29)) / 12),
  0)</f>
        <v/>
      </c>
      <c r="BO29" s="299">
        <f>IF(AND($F29&lt;=BO$2, OR($G29="",$G29&gt;=BO$2)),
  $H29 * (1 + Assumptions!$C$7) ^ INT(((YEAR(BO$2)-YEAR($F29))*12 + MONTH(BO$2)-MONTH($F29)) / 12),
  0)</f>
        <v/>
      </c>
      <c r="BP29" s="299">
        <f>IF(AND($F29&lt;=BP$2, OR($G29="",$G29&gt;=BP$2)),
  $H29 * (1 + Assumptions!$C$7) ^ INT(((YEAR(BP$2)-YEAR($F29))*12 + MONTH(BP$2)-MONTH($F29)) / 12),
  0)</f>
        <v/>
      </c>
      <c r="BQ29" s="307" t="n"/>
      <c r="BR29" s="83" t="inlineStr">
        <is>
          <t>paid this month if started and not yet left; +8% on each work anniversary</t>
        </is>
      </c>
      <c r="BS29" s="307" t="n"/>
      <c r="BT29" s="307" t="n"/>
    </row>
    <row r="30" ht="15.75" customHeight="1" s="349">
      <c r="A30" s="321" t="n">
        <v>25</v>
      </c>
      <c r="B30" s="285" t="inlineStr">
        <is>
          <t>New hire</t>
        </is>
      </c>
      <c r="C30" s="285" t="inlineStr">
        <is>
          <t>S&amp;M</t>
        </is>
      </c>
      <c r="D30" s="321" t="inlineStr">
        <is>
          <t>Sales</t>
        </is>
      </c>
      <c r="E30" s="297" t="inlineStr">
        <is>
          <t>Planned</t>
        </is>
      </c>
      <c r="F30" s="318">
        <f>IF(Assumptions!$D$82=2,DATE(2027,1,1),DATE(2027,6,1))</f>
        <v/>
      </c>
      <c r="G30" s="319" t="n"/>
      <c r="H30" s="288" t="n">
        <v>7500</v>
      </c>
      <c r="I30" s="299">
        <f>IF(AND($F30&lt;=I$2, OR($G30="",$G30&gt;=I$2)),
  $H30 * (1 + Assumptions!$C$7) ^ INT(((YEAR(I$2)-YEAR($F30))*12 + MONTH(I$2)-MONTH($F30)) / 12),
  0)</f>
        <v/>
      </c>
      <c r="J30" s="299">
        <f>IF(AND($F30&lt;=J$2, OR($G30="",$G30&gt;=J$2)),
  $H30 * (1 + Assumptions!$C$7) ^ INT(((YEAR(J$2)-YEAR($F30))*12 + MONTH(J$2)-MONTH($F30)) / 12),
  0)</f>
        <v/>
      </c>
      <c r="K30" s="299">
        <f>IF(AND($F30&lt;=K$2, OR($G30="",$G30&gt;=K$2)),
  $H30 * (1 + Assumptions!$C$7) ^ INT(((YEAR(K$2)-YEAR($F30))*12 + MONTH(K$2)-MONTH($F30)) / 12),
  0)</f>
        <v/>
      </c>
      <c r="L30" s="299">
        <f>IF(AND($F30&lt;=L$2, OR($G30="",$G30&gt;=L$2)),
  $H30 * (1 + Assumptions!$C$7) ^ INT(((YEAR(L$2)-YEAR($F30))*12 + MONTH(L$2)-MONTH($F30)) / 12),
  0)</f>
        <v/>
      </c>
      <c r="M30" s="299">
        <f>IF(AND($F30&lt;=M$2, OR($G30="",$G30&gt;=M$2)),
  $H30 * (1 + Assumptions!$C$7) ^ INT(((YEAR(M$2)-YEAR($F30))*12 + MONTH(M$2)-MONTH($F30)) / 12),
  0)</f>
        <v/>
      </c>
      <c r="N30" s="299">
        <f>IF(AND($F30&lt;=N$2, OR($G30="",$G30&gt;=N$2)),
  $H30 * (1 + Assumptions!$C$7) ^ INT(((YEAR(N$2)-YEAR($F30))*12 + MONTH(N$2)-MONTH($F30)) / 12),
  0)</f>
        <v/>
      </c>
      <c r="O30" s="299">
        <f>IF(AND($F30&lt;=O$2, OR($G30="",$G30&gt;=O$2)),
  $H30 * (1 + Assumptions!$C$7) ^ INT(((YEAR(O$2)-YEAR($F30))*12 + MONTH(O$2)-MONTH($F30)) / 12),
  0)</f>
        <v/>
      </c>
      <c r="P30" s="299">
        <f>IF(AND($F30&lt;=P$2, OR($G30="",$G30&gt;=P$2)),
  $H30 * (1 + Assumptions!$C$7) ^ INT(((YEAR(P$2)-YEAR($F30))*12 + MONTH(P$2)-MONTH($F30)) / 12),
  0)</f>
        <v/>
      </c>
      <c r="Q30" s="299">
        <f>IF(AND($F30&lt;=Q$2, OR($G30="",$G30&gt;=Q$2)),
  $H30 * (1 + Assumptions!$C$7) ^ INT(((YEAR(Q$2)-YEAR($F30))*12 + MONTH(Q$2)-MONTH($F30)) / 12),
  0)</f>
        <v/>
      </c>
      <c r="R30" s="299">
        <f>IF(AND($F30&lt;=R$2, OR($G30="",$G30&gt;=R$2)),
  $H30 * (1 + Assumptions!$C$7) ^ INT(((YEAR(R$2)-YEAR($F30))*12 + MONTH(R$2)-MONTH($F30)) / 12),
  0)</f>
        <v/>
      </c>
      <c r="S30" s="299">
        <f>IF(AND($F30&lt;=S$2, OR($G30="",$G30&gt;=S$2)),
  $H30 * (1 + Assumptions!$C$7) ^ INT(((YEAR(S$2)-YEAR($F30))*12 + MONTH(S$2)-MONTH($F30)) / 12),
  0)</f>
        <v/>
      </c>
      <c r="T30" s="299">
        <f>IF(AND($F30&lt;=T$2, OR($G30="",$G30&gt;=T$2)),
  $H30 * (1 + Assumptions!$C$7) ^ INT(((YEAR(T$2)-YEAR($F30))*12 + MONTH(T$2)-MONTH($F30)) / 12),
  0)</f>
        <v/>
      </c>
      <c r="U30" s="299">
        <f>IF(AND($F30&lt;=U$2, OR($G30="",$G30&gt;=U$2)),
  $H30 * (1 + Assumptions!$C$7) ^ INT(((YEAR(U$2)-YEAR($F30))*12 + MONTH(U$2)-MONTH($F30)) / 12),
  0)</f>
        <v/>
      </c>
      <c r="V30" s="299">
        <f>IF(AND($F30&lt;=V$2, OR($G30="",$G30&gt;=V$2)),
  $H30 * (1 + Assumptions!$C$7) ^ INT(((YEAR(V$2)-YEAR($F30))*12 + MONTH(V$2)-MONTH($F30)) / 12),
  0)</f>
        <v/>
      </c>
      <c r="W30" s="299">
        <f>IF(AND($F30&lt;=W$2, OR($G30="",$G30&gt;=W$2)),
  $H30 * (1 + Assumptions!$C$7) ^ INT(((YEAR(W$2)-YEAR($F30))*12 + MONTH(W$2)-MONTH($F30)) / 12),
  0)</f>
        <v/>
      </c>
      <c r="X30" s="299">
        <f>IF(AND($F30&lt;=X$2, OR($G30="",$G30&gt;=X$2)),
  $H30 * (1 + Assumptions!$C$7) ^ INT(((YEAR(X$2)-YEAR($F30))*12 + MONTH(X$2)-MONTH($F30)) / 12),
  0)</f>
        <v/>
      </c>
      <c r="Y30" s="299">
        <f>IF(AND($F30&lt;=Y$2, OR($G30="",$G30&gt;=Y$2)),
  $H30 * (1 + Assumptions!$C$7) ^ INT(((YEAR(Y$2)-YEAR($F30))*12 + MONTH(Y$2)-MONTH($F30)) / 12),
  0)</f>
        <v/>
      </c>
      <c r="Z30" s="299">
        <f>IF(AND($F30&lt;=Z$2, OR($G30="",$G30&gt;=Z$2)),
  $H30 * (1 + Assumptions!$C$7) ^ INT(((YEAR(Z$2)-YEAR($F30))*12 + MONTH(Z$2)-MONTH($F30)) / 12),
  0)</f>
        <v/>
      </c>
      <c r="AA30" s="299">
        <f>IF(AND($F30&lt;=AA$2, OR($G30="",$G30&gt;=AA$2)),
  $H30 * (1 + Assumptions!$C$7) ^ INT(((YEAR(AA$2)-YEAR($F30))*12 + MONTH(AA$2)-MONTH($F30)) / 12),
  0)</f>
        <v/>
      </c>
      <c r="AB30" s="299">
        <f>IF(AND($F30&lt;=AB$2, OR($G30="",$G30&gt;=AB$2)),
  $H30 * (1 + Assumptions!$C$7) ^ INT(((YEAR(AB$2)-YEAR($F30))*12 + MONTH(AB$2)-MONTH($F30)) / 12),
  0)</f>
        <v/>
      </c>
      <c r="AC30" s="299">
        <f>IF(AND($F30&lt;=AC$2, OR($G30="",$G30&gt;=AC$2)),
  $H30 * (1 + Assumptions!$C$7) ^ INT(((YEAR(AC$2)-YEAR($F30))*12 + MONTH(AC$2)-MONTH($F30)) / 12),
  0)</f>
        <v/>
      </c>
      <c r="AD30" s="299">
        <f>IF(AND($F30&lt;=AD$2, OR($G30="",$G30&gt;=AD$2)),
  $H30 * (1 + Assumptions!$C$7) ^ INT(((YEAR(AD$2)-YEAR($F30))*12 + MONTH(AD$2)-MONTH($F30)) / 12),
  0)</f>
        <v/>
      </c>
      <c r="AE30" s="299">
        <f>IF(AND($F30&lt;=AE$2, OR($G30="",$G30&gt;=AE$2)),
  $H30 * (1 + Assumptions!$C$7) ^ INT(((YEAR(AE$2)-YEAR($F30))*12 + MONTH(AE$2)-MONTH($F30)) / 12),
  0)</f>
        <v/>
      </c>
      <c r="AF30" s="299">
        <f>IF(AND($F30&lt;=AF$2, OR($G30="",$G30&gt;=AF$2)),
  $H30 * (1 + Assumptions!$C$7) ^ INT(((YEAR(AF$2)-YEAR($F30))*12 + MONTH(AF$2)-MONTH($F30)) / 12),
  0)</f>
        <v/>
      </c>
      <c r="AG30" s="299">
        <f>IF(AND($F30&lt;=AG$2, OR($G30="",$G30&gt;=AG$2)),
  $H30 * (1 + Assumptions!$C$7) ^ INT(((YEAR(AG$2)-YEAR($F30))*12 + MONTH(AG$2)-MONTH($F30)) / 12),
  0)</f>
        <v/>
      </c>
      <c r="AH30" s="299">
        <f>IF(AND($F30&lt;=AH$2, OR($G30="",$G30&gt;=AH$2)),
  $H30 * (1 + Assumptions!$C$7) ^ INT(((YEAR(AH$2)-YEAR($F30))*12 + MONTH(AH$2)-MONTH($F30)) / 12),
  0)</f>
        <v/>
      </c>
      <c r="AI30" s="299">
        <f>IF(AND($F30&lt;=AI$2, OR($G30="",$G30&gt;=AI$2)),
  $H30 * (1 + Assumptions!$C$7) ^ INT(((YEAR(AI$2)-YEAR($F30))*12 + MONTH(AI$2)-MONTH($F30)) / 12),
  0)</f>
        <v/>
      </c>
      <c r="AJ30" s="299">
        <f>IF(AND($F30&lt;=AJ$2, OR($G30="",$G30&gt;=AJ$2)),
  $H30 * (1 + Assumptions!$C$7) ^ INT(((YEAR(AJ$2)-YEAR($F30))*12 + MONTH(AJ$2)-MONTH($F30)) / 12),
  0)</f>
        <v/>
      </c>
      <c r="AK30" s="299">
        <f>IF(AND($F30&lt;=AK$2, OR($G30="",$G30&gt;=AK$2)),
  $H30 * (1 + Assumptions!$C$7) ^ INT(((YEAR(AK$2)-YEAR($F30))*12 + MONTH(AK$2)-MONTH($F30)) / 12),
  0)</f>
        <v/>
      </c>
      <c r="AL30" s="299">
        <f>IF(AND($F30&lt;=AL$2, OR($G30="",$G30&gt;=AL$2)),
  $H30 * (1 + Assumptions!$C$7) ^ INT(((YEAR(AL$2)-YEAR($F30))*12 + MONTH(AL$2)-MONTH($F30)) / 12),
  0)</f>
        <v/>
      </c>
      <c r="AM30" s="299">
        <f>IF(AND($F30&lt;=AM$2, OR($G30="",$G30&gt;=AM$2)),
  $H30 * (1 + Assumptions!$C$7) ^ INT(((YEAR(AM$2)-YEAR($F30))*12 + MONTH(AM$2)-MONTH($F30)) / 12),
  0)</f>
        <v/>
      </c>
      <c r="AN30" s="299">
        <f>IF(AND($F30&lt;=AN$2, OR($G30="",$G30&gt;=AN$2)),
  $H30 * (1 + Assumptions!$C$7) ^ INT(((YEAR(AN$2)-YEAR($F30))*12 + MONTH(AN$2)-MONTH($F30)) / 12),
  0)</f>
        <v/>
      </c>
      <c r="AO30" s="299">
        <f>IF(AND($F30&lt;=AO$2, OR($G30="",$G30&gt;=AO$2)),
  $H30 * (1 + Assumptions!$C$7) ^ INT(((YEAR(AO$2)-YEAR($F30))*12 + MONTH(AO$2)-MONTH($F30)) / 12),
  0)</f>
        <v/>
      </c>
      <c r="AP30" s="299">
        <f>IF(AND($F30&lt;=AP$2, OR($G30="",$G30&gt;=AP$2)),
  $H30 * (1 + Assumptions!$C$7) ^ INT(((YEAR(AP$2)-YEAR($F30))*12 + MONTH(AP$2)-MONTH($F30)) / 12),
  0)</f>
        <v/>
      </c>
      <c r="AQ30" s="299">
        <f>IF(AND($F30&lt;=AQ$2, OR($G30="",$G30&gt;=AQ$2)),
  $H30 * (1 + Assumptions!$C$7) ^ INT(((YEAR(AQ$2)-YEAR($F30))*12 + MONTH(AQ$2)-MONTH($F30)) / 12),
  0)</f>
        <v/>
      </c>
      <c r="AR30" s="299">
        <f>IF(AND($F30&lt;=AR$2, OR($G30="",$G30&gt;=AR$2)),
  $H30 * (1 + Assumptions!$C$7) ^ INT(((YEAR(AR$2)-YEAR($F30))*12 + MONTH(AR$2)-MONTH($F30)) / 12),
  0)</f>
        <v/>
      </c>
      <c r="AS30" s="299">
        <f>IF(AND($F30&lt;=AS$2, OR($G30="",$G30&gt;=AS$2)),
  $H30 * (1 + Assumptions!$C$7) ^ INT(((YEAR(AS$2)-YEAR($F30))*12 + MONTH(AS$2)-MONTH($F30)) / 12),
  0)</f>
        <v/>
      </c>
      <c r="AT30" s="299">
        <f>IF(AND($F30&lt;=AT$2, OR($G30="",$G30&gt;=AT$2)),
  $H30 * (1 + Assumptions!$C$7) ^ INT(((YEAR(AT$2)-YEAR($F30))*12 + MONTH(AT$2)-MONTH($F30)) / 12),
  0)</f>
        <v/>
      </c>
      <c r="AU30" s="299">
        <f>IF(AND($F30&lt;=AU$2, OR($G30="",$G30&gt;=AU$2)),
  $H30 * (1 + Assumptions!$C$7) ^ INT(((YEAR(AU$2)-YEAR($F30))*12 + MONTH(AU$2)-MONTH($F30)) / 12),
  0)</f>
        <v/>
      </c>
      <c r="AV30" s="299">
        <f>IF(AND($F30&lt;=AV$2, OR($G30="",$G30&gt;=AV$2)),
  $H30 * (1 + Assumptions!$C$7) ^ INT(((YEAR(AV$2)-YEAR($F30))*12 + MONTH(AV$2)-MONTH($F30)) / 12),
  0)</f>
        <v/>
      </c>
      <c r="AW30" s="299">
        <f>IF(AND($F30&lt;=AW$2, OR($G30="",$G30&gt;=AW$2)),
  $H30 * (1 + Assumptions!$C$7) ^ INT(((YEAR(AW$2)-YEAR($F30))*12 + MONTH(AW$2)-MONTH($F30)) / 12),
  0)</f>
        <v/>
      </c>
      <c r="AX30" s="299">
        <f>IF(AND($F30&lt;=AX$2, OR($G30="",$G30&gt;=AX$2)),
  $H30 * (1 + Assumptions!$C$7) ^ INT(((YEAR(AX$2)-YEAR($F30))*12 + MONTH(AX$2)-MONTH($F30)) / 12),
  0)</f>
        <v/>
      </c>
      <c r="AY30" s="299">
        <f>IF(AND($F30&lt;=AY$2, OR($G30="",$G30&gt;=AY$2)),
  $H30 * (1 + Assumptions!$C$7) ^ INT(((YEAR(AY$2)-YEAR($F30))*12 + MONTH(AY$2)-MONTH($F30)) / 12),
  0)</f>
        <v/>
      </c>
      <c r="AZ30" s="299">
        <f>IF(AND($F30&lt;=AZ$2, OR($G30="",$G30&gt;=AZ$2)),
  $H30 * (1 + Assumptions!$C$7) ^ INT(((YEAR(AZ$2)-YEAR($F30))*12 + MONTH(AZ$2)-MONTH($F30)) / 12),
  0)</f>
        <v/>
      </c>
      <c r="BA30" s="299">
        <f>IF(AND($F30&lt;=BA$2, OR($G30="",$G30&gt;=BA$2)),
  $H30 * (1 + Assumptions!$C$7) ^ INT(((YEAR(BA$2)-YEAR($F30))*12 + MONTH(BA$2)-MONTH($F30)) / 12),
  0)</f>
        <v/>
      </c>
      <c r="BB30" s="299">
        <f>IF(AND($F30&lt;=BB$2, OR($G30="",$G30&gt;=BB$2)),
  $H30 * (1 + Assumptions!$C$7) ^ INT(((YEAR(BB$2)-YEAR($F30))*12 + MONTH(BB$2)-MONTH($F30)) / 12),
  0)</f>
        <v/>
      </c>
      <c r="BC30" s="299">
        <f>IF(AND($F30&lt;=BC$2, OR($G30="",$G30&gt;=BC$2)),
  $H30 * (1 + Assumptions!$C$7) ^ INT(((YEAR(BC$2)-YEAR($F30))*12 + MONTH(BC$2)-MONTH($F30)) / 12),
  0)</f>
        <v/>
      </c>
      <c r="BD30" s="299">
        <f>IF(AND($F30&lt;=BD$2, OR($G30="",$G30&gt;=BD$2)),
  $H30 * (1 + Assumptions!$C$7) ^ INT(((YEAR(BD$2)-YEAR($F30))*12 + MONTH(BD$2)-MONTH($F30)) / 12),
  0)</f>
        <v/>
      </c>
      <c r="BE30" s="299">
        <f>IF(AND($F30&lt;=BE$2, OR($G30="",$G30&gt;=BE$2)),
  $H30 * (1 + Assumptions!$C$7) ^ INT(((YEAR(BE$2)-YEAR($F30))*12 + MONTH(BE$2)-MONTH($F30)) / 12),
  0)</f>
        <v/>
      </c>
      <c r="BF30" s="299">
        <f>IF(AND($F30&lt;=BF$2, OR($G30="",$G30&gt;=BF$2)),
  $H30 * (1 + Assumptions!$C$7) ^ INT(((YEAR(BF$2)-YEAR($F30))*12 + MONTH(BF$2)-MONTH($F30)) / 12),
  0)</f>
        <v/>
      </c>
      <c r="BG30" s="299">
        <f>IF(AND($F30&lt;=BG$2, OR($G30="",$G30&gt;=BG$2)),
  $H30 * (1 + Assumptions!$C$7) ^ INT(((YEAR(BG$2)-YEAR($F30))*12 + MONTH(BG$2)-MONTH($F30)) / 12),
  0)</f>
        <v/>
      </c>
      <c r="BH30" s="299">
        <f>IF(AND($F30&lt;=BH$2, OR($G30="",$G30&gt;=BH$2)),
  $H30 * (1 + Assumptions!$C$7) ^ INT(((YEAR(BH$2)-YEAR($F30))*12 + MONTH(BH$2)-MONTH($F30)) / 12),
  0)</f>
        <v/>
      </c>
      <c r="BI30" s="299">
        <f>IF(AND($F30&lt;=BI$2, OR($G30="",$G30&gt;=BI$2)),
  $H30 * (1 + Assumptions!$C$7) ^ INT(((YEAR(BI$2)-YEAR($F30))*12 + MONTH(BI$2)-MONTH($F30)) / 12),
  0)</f>
        <v/>
      </c>
      <c r="BJ30" s="299">
        <f>IF(AND($F30&lt;=BJ$2, OR($G30="",$G30&gt;=BJ$2)),
  $H30 * (1 + Assumptions!$C$7) ^ INT(((YEAR(BJ$2)-YEAR($F30))*12 + MONTH(BJ$2)-MONTH($F30)) / 12),
  0)</f>
        <v/>
      </c>
      <c r="BK30" s="299">
        <f>IF(AND($F30&lt;=BK$2, OR($G30="",$G30&gt;=BK$2)),
  $H30 * (1 + Assumptions!$C$7) ^ INT(((YEAR(BK$2)-YEAR($F30))*12 + MONTH(BK$2)-MONTH($F30)) / 12),
  0)</f>
        <v/>
      </c>
      <c r="BL30" s="299">
        <f>IF(AND($F30&lt;=BL$2, OR($G30="",$G30&gt;=BL$2)),
  $H30 * (1 + Assumptions!$C$7) ^ INT(((YEAR(BL$2)-YEAR($F30))*12 + MONTH(BL$2)-MONTH($F30)) / 12),
  0)</f>
        <v/>
      </c>
      <c r="BM30" s="299">
        <f>IF(AND($F30&lt;=BM$2, OR($G30="",$G30&gt;=BM$2)),
  $H30 * (1 + Assumptions!$C$7) ^ INT(((YEAR(BM$2)-YEAR($F30))*12 + MONTH(BM$2)-MONTH($F30)) / 12),
  0)</f>
        <v/>
      </c>
      <c r="BN30" s="299">
        <f>IF(AND($F30&lt;=BN$2, OR($G30="",$G30&gt;=BN$2)),
  $H30 * (1 + Assumptions!$C$7) ^ INT(((YEAR(BN$2)-YEAR($F30))*12 + MONTH(BN$2)-MONTH($F30)) / 12),
  0)</f>
        <v/>
      </c>
      <c r="BO30" s="299">
        <f>IF(AND($F30&lt;=BO$2, OR($G30="",$G30&gt;=BO$2)),
  $H30 * (1 + Assumptions!$C$7) ^ INT(((YEAR(BO$2)-YEAR($F30))*12 + MONTH(BO$2)-MONTH($F30)) / 12),
  0)</f>
        <v/>
      </c>
      <c r="BP30" s="299">
        <f>IF(AND($F30&lt;=BP$2, OR($G30="",$G30&gt;=BP$2)),
  $H30 * (1 + Assumptions!$C$7) ^ INT(((YEAR(BP$2)-YEAR($F30))*12 + MONTH(BP$2)-MONTH($F30)) / 12),
  0)</f>
        <v/>
      </c>
      <c r="BQ30" s="307" t="n"/>
      <c r="BR30" s="83" t="inlineStr">
        <is>
          <t>paid this month if started and not yet left; +8% on each work anniversary</t>
        </is>
      </c>
      <c r="BS30" s="307" t="n"/>
      <c r="BT30" s="307" t="n"/>
    </row>
    <row r="31" ht="15.75" customHeight="1" s="349">
      <c r="A31" s="321" t="n">
        <v>26</v>
      </c>
      <c r="B31" s="285" t="inlineStr">
        <is>
          <t>New hire</t>
        </is>
      </c>
      <c r="C31" s="23" t="inlineStr">
        <is>
          <t>G&amp;A</t>
        </is>
      </c>
      <c r="D31" s="321" t="inlineStr">
        <is>
          <t>Finance</t>
        </is>
      </c>
      <c r="E31" s="297" t="inlineStr">
        <is>
          <t>Planned</t>
        </is>
      </c>
      <c r="F31" s="318" t="n">
        <v>46753</v>
      </c>
      <c r="G31" s="319" t="n"/>
      <c r="H31" s="288" t="n">
        <v>7500</v>
      </c>
      <c r="I31" s="299">
        <f>IF(AND($F31&lt;=I$2, OR($G31="",$G31&gt;=I$2)),
  $H31 * (1 + Assumptions!$C$7) ^ INT(((YEAR(I$2)-YEAR($F31))*12 + MONTH(I$2)-MONTH($F31)) / 12),
  0)</f>
        <v/>
      </c>
      <c r="J31" s="299">
        <f>IF(AND($F31&lt;=J$2, OR($G31="",$G31&gt;=J$2)),
  $H31 * (1 + Assumptions!$C$7) ^ INT(((YEAR(J$2)-YEAR($F31))*12 + MONTH(J$2)-MONTH($F31)) / 12),
  0)</f>
        <v/>
      </c>
      <c r="K31" s="299">
        <f>IF(AND($F31&lt;=K$2, OR($G31="",$G31&gt;=K$2)),
  $H31 * (1 + Assumptions!$C$7) ^ INT(((YEAR(K$2)-YEAR($F31))*12 + MONTH(K$2)-MONTH($F31)) / 12),
  0)</f>
        <v/>
      </c>
      <c r="L31" s="299">
        <f>IF(AND($F31&lt;=L$2, OR($G31="",$G31&gt;=L$2)),
  $H31 * (1 + Assumptions!$C$7) ^ INT(((YEAR(L$2)-YEAR($F31))*12 + MONTH(L$2)-MONTH($F31)) / 12),
  0)</f>
        <v/>
      </c>
      <c r="M31" s="299">
        <f>IF(AND($F31&lt;=M$2, OR($G31="",$G31&gt;=M$2)),
  $H31 * (1 + Assumptions!$C$7) ^ INT(((YEAR(M$2)-YEAR($F31))*12 + MONTH(M$2)-MONTH($F31)) / 12),
  0)</f>
        <v/>
      </c>
      <c r="N31" s="299">
        <f>IF(AND($F31&lt;=N$2, OR($G31="",$G31&gt;=N$2)),
  $H31 * (1 + Assumptions!$C$7) ^ INT(((YEAR(N$2)-YEAR($F31))*12 + MONTH(N$2)-MONTH($F31)) / 12),
  0)</f>
        <v/>
      </c>
      <c r="O31" s="299">
        <f>IF(AND($F31&lt;=O$2, OR($G31="",$G31&gt;=O$2)),
  $H31 * (1 + Assumptions!$C$7) ^ INT(((YEAR(O$2)-YEAR($F31))*12 + MONTH(O$2)-MONTH($F31)) / 12),
  0)</f>
        <v/>
      </c>
      <c r="P31" s="299">
        <f>IF(AND($F31&lt;=P$2, OR($G31="",$G31&gt;=P$2)),
  $H31 * (1 + Assumptions!$C$7) ^ INT(((YEAR(P$2)-YEAR($F31))*12 + MONTH(P$2)-MONTH($F31)) / 12),
  0)</f>
        <v/>
      </c>
      <c r="Q31" s="299">
        <f>IF(AND($F31&lt;=Q$2, OR($G31="",$G31&gt;=Q$2)),
  $H31 * (1 + Assumptions!$C$7) ^ INT(((YEAR(Q$2)-YEAR($F31))*12 + MONTH(Q$2)-MONTH($F31)) / 12),
  0)</f>
        <v/>
      </c>
      <c r="R31" s="299">
        <f>IF(AND($F31&lt;=R$2, OR($G31="",$G31&gt;=R$2)),
  $H31 * (1 + Assumptions!$C$7) ^ INT(((YEAR(R$2)-YEAR($F31))*12 + MONTH(R$2)-MONTH($F31)) / 12),
  0)</f>
        <v/>
      </c>
      <c r="S31" s="299">
        <f>IF(AND($F31&lt;=S$2, OR($G31="",$G31&gt;=S$2)),
  $H31 * (1 + Assumptions!$C$7) ^ INT(((YEAR(S$2)-YEAR($F31))*12 + MONTH(S$2)-MONTH($F31)) / 12),
  0)</f>
        <v/>
      </c>
      <c r="T31" s="299">
        <f>IF(AND($F31&lt;=T$2, OR($G31="",$G31&gt;=T$2)),
  $H31 * (1 + Assumptions!$C$7) ^ INT(((YEAR(T$2)-YEAR($F31))*12 + MONTH(T$2)-MONTH($F31)) / 12),
  0)</f>
        <v/>
      </c>
      <c r="U31" s="299">
        <f>IF(AND($F31&lt;=U$2, OR($G31="",$G31&gt;=U$2)),
  $H31 * (1 + Assumptions!$C$7) ^ INT(((YEAR(U$2)-YEAR($F31))*12 + MONTH(U$2)-MONTH($F31)) / 12),
  0)</f>
        <v/>
      </c>
      <c r="V31" s="299">
        <f>IF(AND($F31&lt;=V$2, OR($G31="",$G31&gt;=V$2)),
  $H31 * (1 + Assumptions!$C$7) ^ INT(((YEAR(V$2)-YEAR($F31))*12 + MONTH(V$2)-MONTH($F31)) / 12),
  0)</f>
        <v/>
      </c>
      <c r="W31" s="299">
        <f>IF(AND($F31&lt;=W$2, OR($G31="",$G31&gt;=W$2)),
  $H31 * (1 + Assumptions!$C$7) ^ INT(((YEAR(W$2)-YEAR($F31))*12 + MONTH(W$2)-MONTH($F31)) / 12),
  0)</f>
        <v/>
      </c>
      <c r="X31" s="299">
        <f>IF(AND($F31&lt;=X$2, OR($G31="",$G31&gt;=X$2)),
  $H31 * (1 + Assumptions!$C$7) ^ INT(((YEAR(X$2)-YEAR($F31))*12 + MONTH(X$2)-MONTH($F31)) / 12),
  0)</f>
        <v/>
      </c>
      <c r="Y31" s="299">
        <f>IF(AND($F31&lt;=Y$2, OR($G31="",$G31&gt;=Y$2)),
  $H31 * (1 + Assumptions!$C$7) ^ INT(((YEAR(Y$2)-YEAR($F31))*12 + MONTH(Y$2)-MONTH($F31)) / 12),
  0)</f>
        <v/>
      </c>
      <c r="Z31" s="299">
        <f>IF(AND($F31&lt;=Z$2, OR($G31="",$G31&gt;=Z$2)),
  $H31 * (1 + Assumptions!$C$7) ^ INT(((YEAR(Z$2)-YEAR($F31))*12 + MONTH(Z$2)-MONTH($F31)) / 12),
  0)</f>
        <v/>
      </c>
      <c r="AA31" s="299">
        <f>IF(AND($F31&lt;=AA$2, OR($G31="",$G31&gt;=AA$2)),
  $H31 * (1 + Assumptions!$C$7) ^ INT(((YEAR(AA$2)-YEAR($F31))*12 + MONTH(AA$2)-MONTH($F31)) / 12),
  0)</f>
        <v/>
      </c>
      <c r="AB31" s="299">
        <f>IF(AND($F31&lt;=AB$2, OR($G31="",$G31&gt;=AB$2)),
  $H31 * (1 + Assumptions!$C$7) ^ INT(((YEAR(AB$2)-YEAR($F31))*12 + MONTH(AB$2)-MONTH($F31)) / 12),
  0)</f>
        <v/>
      </c>
      <c r="AC31" s="299">
        <f>IF(AND($F31&lt;=AC$2, OR($G31="",$G31&gt;=AC$2)),
  $H31 * (1 + Assumptions!$C$7) ^ INT(((YEAR(AC$2)-YEAR($F31))*12 + MONTH(AC$2)-MONTH($F31)) / 12),
  0)</f>
        <v/>
      </c>
      <c r="AD31" s="299">
        <f>IF(AND($F31&lt;=AD$2, OR($G31="",$G31&gt;=AD$2)),
  $H31 * (1 + Assumptions!$C$7) ^ INT(((YEAR(AD$2)-YEAR($F31))*12 + MONTH(AD$2)-MONTH($F31)) / 12),
  0)</f>
        <v/>
      </c>
      <c r="AE31" s="299">
        <f>IF(AND($F31&lt;=AE$2, OR($G31="",$G31&gt;=AE$2)),
  $H31 * (1 + Assumptions!$C$7) ^ INT(((YEAR(AE$2)-YEAR($F31))*12 + MONTH(AE$2)-MONTH($F31)) / 12),
  0)</f>
        <v/>
      </c>
      <c r="AF31" s="299">
        <f>IF(AND($F31&lt;=AF$2, OR($G31="",$G31&gt;=AF$2)),
  $H31 * (1 + Assumptions!$C$7) ^ INT(((YEAR(AF$2)-YEAR($F31))*12 + MONTH(AF$2)-MONTH($F31)) / 12),
  0)</f>
        <v/>
      </c>
      <c r="AG31" s="299">
        <f>IF(AND($F31&lt;=AG$2, OR($G31="",$G31&gt;=AG$2)),
  $H31 * (1 + Assumptions!$C$7) ^ INT(((YEAR(AG$2)-YEAR($F31))*12 + MONTH(AG$2)-MONTH($F31)) / 12),
  0)</f>
        <v/>
      </c>
      <c r="AH31" s="299">
        <f>IF(AND($F31&lt;=AH$2, OR($G31="",$G31&gt;=AH$2)),
  $H31 * (1 + Assumptions!$C$7) ^ INT(((YEAR(AH$2)-YEAR($F31))*12 + MONTH(AH$2)-MONTH($F31)) / 12),
  0)</f>
        <v/>
      </c>
      <c r="AI31" s="299">
        <f>IF(AND($F31&lt;=AI$2, OR($G31="",$G31&gt;=AI$2)),
  $H31 * (1 + Assumptions!$C$7) ^ INT(((YEAR(AI$2)-YEAR($F31))*12 + MONTH(AI$2)-MONTH($F31)) / 12),
  0)</f>
        <v/>
      </c>
      <c r="AJ31" s="299">
        <f>IF(AND($F31&lt;=AJ$2, OR($G31="",$G31&gt;=AJ$2)),
  $H31 * (1 + Assumptions!$C$7) ^ INT(((YEAR(AJ$2)-YEAR($F31))*12 + MONTH(AJ$2)-MONTH($F31)) / 12),
  0)</f>
        <v/>
      </c>
      <c r="AK31" s="299">
        <f>IF(AND($F31&lt;=AK$2, OR($G31="",$G31&gt;=AK$2)),
  $H31 * (1 + Assumptions!$C$7) ^ INT(((YEAR(AK$2)-YEAR($F31))*12 + MONTH(AK$2)-MONTH($F31)) / 12),
  0)</f>
        <v/>
      </c>
      <c r="AL31" s="299">
        <f>IF(AND($F31&lt;=AL$2, OR($G31="",$G31&gt;=AL$2)),
  $H31 * (1 + Assumptions!$C$7) ^ INT(((YEAR(AL$2)-YEAR($F31))*12 + MONTH(AL$2)-MONTH($F31)) / 12),
  0)</f>
        <v/>
      </c>
      <c r="AM31" s="299">
        <f>IF(AND($F31&lt;=AM$2, OR($G31="",$G31&gt;=AM$2)),
  $H31 * (1 + Assumptions!$C$7) ^ INT(((YEAR(AM$2)-YEAR($F31))*12 + MONTH(AM$2)-MONTH($F31)) / 12),
  0)</f>
        <v/>
      </c>
      <c r="AN31" s="299">
        <f>IF(AND($F31&lt;=AN$2, OR($G31="",$G31&gt;=AN$2)),
  $H31 * (1 + Assumptions!$C$7) ^ INT(((YEAR(AN$2)-YEAR($F31))*12 + MONTH(AN$2)-MONTH($F31)) / 12),
  0)</f>
        <v/>
      </c>
      <c r="AO31" s="299">
        <f>IF(AND($F31&lt;=AO$2, OR($G31="",$G31&gt;=AO$2)),
  $H31 * (1 + Assumptions!$C$7) ^ INT(((YEAR(AO$2)-YEAR($F31))*12 + MONTH(AO$2)-MONTH($F31)) / 12),
  0)</f>
        <v/>
      </c>
      <c r="AP31" s="299">
        <f>IF(AND($F31&lt;=AP$2, OR($G31="",$G31&gt;=AP$2)),
  $H31 * (1 + Assumptions!$C$7) ^ INT(((YEAR(AP$2)-YEAR($F31))*12 + MONTH(AP$2)-MONTH($F31)) / 12),
  0)</f>
        <v/>
      </c>
      <c r="AQ31" s="299">
        <f>IF(AND($F31&lt;=AQ$2, OR($G31="",$G31&gt;=AQ$2)),
  $H31 * (1 + Assumptions!$C$7) ^ INT(((YEAR(AQ$2)-YEAR($F31))*12 + MONTH(AQ$2)-MONTH($F31)) / 12),
  0)</f>
        <v/>
      </c>
      <c r="AR31" s="299">
        <f>IF(AND($F31&lt;=AR$2, OR($G31="",$G31&gt;=AR$2)),
  $H31 * (1 + Assumptions!$C$7) ^ INT(((YEAR(AR$2)-YEAR($F31))*12 + MONTH(AR$2)-MONTH($F31)) / 12),
  0)</f>
        <v/>
      </c>
      <c r="AS31" s="299">
        <f>IF(AND($F31&lt;=AS$2, OR($G31="",$G31&gt;=AS$2)),
  $H31 * (1 + Assumptions!$C$7) ^ INT(((YEAR(AS$2)-YEAR($F31))*12 + MONTH(AS$2)-MONTH($F31)) / 12),
  0)</f>
        <v/>
      </c>
      <c r="AT31" s="299">
        <f>IF(AND($F31&lt;=AT$2, OR($G31="",$G31&gt;=AT$2)),
  $H31 * (1 + Assumptions!$C$7) ^ INT(((YEAR(AT$2)-YEAR($F31))*12 + MONTH(AT$2)-MONTH($F31)) / 12),
  0)</f>
        <v/>
      </c>
      <c r="AU31" s="299">
        <f>IF(AND($F31&lt;=AU$2, OR($G31="",$G31&gt;=AU$2)),
  $H31 * (1 + Assumptions!$C$7) ^ INT(((YEAR(AU$2)-YEAR($F31))*12 + MONTH(AU$2)-MONTH($F31)) / 12),
  0)</f>
        <v/>
      </c>
      <c r="AV31" s="299">
        <f>IF(AND($F31&lt;=AV$2, OR($G31="",$G31&gt;=AV$2)),
  $H31 * (1 + Assumptions!$C$7) ^ INT(((YEAR(AV$2)-YEAR($F31))*12 + MONTH(AV$2)-MONTH($F31)) / 12),
  0)</f>
        <v/>
      </c>
      <c r="AW31" s="299">
        <f>IF(AND($F31&lt;=AW$2, OR($G31="",$G31&gt;=AW$2)),
  $H31 * (1 + Assumptions!$C$7) ^ INT(((YEAR(AW$2)-YEAR($F31))*12 + MONTH(AW$2)-MONTH($F31)) / 12),
  0)</f>
        <v/>
      </c>
      <c r="AX31" s="299">
        <f>IF(AND($F31&lt;=AX$2, OR($G31="",$G31&gt;=AX$2)),
  $H31 * (1 + Assumptions!$C$7) ^ INT(((YEAR(AX$2)-YEAR($F31))*12 + MONTH(AX$2)-MONTH($F31)) / 12),
  0)</f>
        <v/>
      </c>
      <c r="AY31" s="299">
        <f>IF(AND($F31&lt;=AY$2, OR($G31="",$G31&gt;=AY$2)),
  $H31 * (1 + Assumptions!$C$7) ^ INT(((YEAR(AY$2)-YEAR($F31))*12 + MONTH(AY$2)-MONTH($F31)) / 12),
  0)</f>
        <v/>
      </c>
      <c r="AZ31" s="299">
        <f>IF(AND($F31&lt;=AZ$2, OR($G31="",$G31&gt;=AZ$2)),
  $H31 * (1 + Assumptions!$C$7) ^ INT(((YEAR(AZ$2)-YEAR($F31))*12 + MONTH(AZ$2)-MONTH($F31)) / 12),
  0)</f>
        <v/>
      </c>
      <c r="BA31" s="299">
        <f>IF(AND($F31&lt;=BA$2, OR($G31="",$G31&gt;=BA$2)),
  $H31 * (1 + Assumptions!$C$7) ^ INT(((YEAR(BA$2)-YEAR($F31))*12 + MONTH(BA$2)-MONTH($F31)) / 12),
  0)</f>
        <v/>
      </c>
      <c r="BB31" s="299">
        <f>IF(AND($F31&lt;=BB$2, OR($G31="",$G31&gt;=BB$2)),
  $H31 * (1 + Assumptions!$C$7) ^ INT(((YEAR(BB$2)-YEAR($F31))*12 + MONTH(BB$2)-MONTH($F31)) / 12),
  0)</f>
        <v/>
      </c>
      <c r="BC31" s="299">
        <f>IF(AND($F31&lt;=BC$2, OR($G31="",$G31&gt;=BC$2)),
  $H31 * (1 + Assumptions!$C$7) ^ INT(((YEAR(BC$2)-YEAR($F31))*12 + MONTH(BC$2)-MONTH($F31)) / 12),
  0)</f>
        <v/>
      </c>
      <c r="BD31" s="299">
        <f>IF(AND($F31&lt;=BD$2, OR($G31="",$G31&gt;=BD$2)),
  $H31 * (1 + Assumptions!$C$7) ^ INT(((YEAR(BD$2)-YEAR($F31))*12 + MONTH(BD$2)-MONTH($F31)) / 12),
  0)</f>
        <v/>
      </c>
      <c r="BE31" s="299">
        <f>IF(AND($F31&lt;=BE$2, OR($G31="",$G31&gt;=BE$2)),
  $H31 * (1 + Assumptions!$C$7) ^ INT(((YEAR(BE$2)-YEAR($F31))*12 + MONTH(BE$2)-MONTH($F31)) / 12),
  0)</f>
        <v/>
      </c>
      <c r="BF31" s="299">
        <f>IF(AND($F31&lt;=BF$2, OR($G31="",$G31&gt;=BF$2)),
  $H31 * (1 + Assumptions!$C$7) ^ INT(((YEAR(BF$2)-YEAR($F31))*12 + MONTH(BF$2)-MONTH($F31)) / 12),
  0)</f>
        <v/>
      </c>
      <c r="BG31" s="299">
        <f>IF(AND($F31&lt;=BG$2, OR($G31="",$G31&gt;=BG$2)),
  $H31 * (1 + Assumptions!$C$7) ^ INT(((YEAR(BG$2)-YEAR($F31))*12 + MONTH(BG$2)-MONTH($F31)) / 12),
  0)</f>
        <v/>
      </c>
      <c r="BH31" s="299">
        <f>IF(AND($F31&lt;=BH$2, OR($G31="",$G31&gt;=BH$2)),
  $H31 * (1 + Assumptions!$C$7) ^ INT(((YEAR(BH$2)-YEAR($F31))*12 + MONTH(BH$2)-MONTH($F31)) / 12),
  0)</f>
        <v/>
      </c>
      <c r="BI31" s="299">
        <f>IF(AND($F31&lt;=BI$2, OR($G31="",$G31&gt;=BI$2)),
  $H31 * (1 + Assumptions!$C$7) ^ INT(((YEAR(BI$2)-YEAR($F31))*12 + MONTH(BI$2)-MONTH($F31)) / 12),
  0)</f>
        <v/>
      </c>
      <c r="BJ31" s="299">
        <f>IF(AND($F31&lt;=BJ$2, OR($G31="",$G31&gt;=BJ$2)),
  $H31 * (1 + Assumptions!$C$7) ^ INT(((YEAR(BJ$2)-YEAR($F31))*12 + MONTH(BJ$2)-MONTH($F31)) / 12),
  0)</f>
        <v/>
      </c>
      <c r="BK31" s="299">
        <f>IF(AND($F31&lt;=BK$2, OR($G31="",$G31&gt;=BK$2)),
  $H31 * (1 + Assumptions!$C$7) ^ INT(((YEAR(BK$2)-YEAR($F31))*12 + MONTH(BK$2)-MONTH($F31)) / 12),
  0)</f>
        <v/>
      </c>
      <c r="BL31" s="299">
        <f>IF(AND($F31&lt;=BL$2, OR($G31="",$G31&gt;=BL$2)),
  $H31 * (1 + Assumptions!$C$7) ^ INT(((YEAR(BL$2)-YEAR($F31))*12 + MONTH(BL$2)-MONTH($F31)) / 12),
  0)</f>
        <v/>
      </c>
      <c r="BM31" s="299">
        <f>IF(AND($F31&lt;=BM$2, OR($G31="",$G31&gt;=BM$2)),
  $H31 * (1 + Assumptions!$C$7) ^ INT(((YEAR(BM$2)-YEAR($F31))*12 + MONTH(BM$2)-MONTH($F31)) / 12),
  0)</f>
        <v/>
      </c>
      <c r="BN31" s="299">
        <f>IF(AND($F31&lt;=BN$2, OR($G31="",$G31&gt;=BN$2)),
  $H31 * (1 + Assumptions!$C$7) ^ INT(((YEAR(BN$2)-YEAR($F31))*12 + MONTH(BN$2)-MONTH($F31)) / 12),
  0)</f>
        <v/>
      </c>
      <c r="BO31" s="299">
        <f>IF(AND($F31&lt;=BO$2, OR($G31="",$G31&gt;=BO$2)),
  $H31 * (1 + Assumptions!$C$7) ^ INT(((YEAR(BO$2)-YEAR($F31))*12 + MONTH(BO$2)-MONTH($F31)) / 12),
  0)</f>
        <v/>
      </c>
      <c r="BP31" s="299">
        <f>IF(AND($F31&lt;=BP$2, OR($G31="",$G31&gt;=BP$2)),
  $H31 * (1 + Assumptions!$C$7) ^ INT(((YEAR(BP$2)-YEAR($F31))*12 + MONTH(BP$2)-MONTH($F31)) / 12),
  0)</f>
        <v/>
      </c>
      <c r="BQ31" s="307" t="n"/>
      <c r="BR31" s="83" t="inlineStr">
        <is>
          <t>paid this month if started and not yet left; +8% on each work anniversary</t>
        </is>
      </c>
      <c r="BS31" s="307" t="n"/>
      <c r="BT31" s="307" t="n"/>
    </row>
    <row r="32" ht="15.75" customHeight="1" s="349">
      <c r="A32" s="321" t="n">
        <v>27</v>
      </c>
      <c r="B32" s="285" t="inlineStr">
        <is>
          <t>New hire</t>
        </is>
      </c>
      <c r="C32" s="285" t="inlineStr">
        <is>
          <t>S&amp;M</t>
        </is>
      </c>
      <c r="D32" s="122" t="inlineStr">
        <is>
          <t>R&amp;D Engineer</t>
        </is>
      </c>
      <c r="E32" s="297" t="inlineStr">
        <is>
          <t>Planned</t>
        </is>
      </c>
      <c r="F32" s="318" t="n">
        <v>46753</v>
      </c>
      <c r="G32" s="319" t="n"/>
      <c r="H32" s="288" t="n">
        <v>7500</v>
      </c>
      <c r="I32" s="299">
        <f>IF(AND($F32&lt;=I$2, OR($G32="",$G32&gt;=I$2)),
  $H32 * (1 + Assumptions!$C$7) ^ INT(((YEAR(I$2)-YEAR($F32))*12 + MONTH(I$2)-MONTH($F32)) / 12),
  0)</f>
        <v/>
      </c>
      <c r="J32" s="299">
        <f>IF(AND($F32&lt;=J$2, OR($G32="",$G32&gt;=J$2)),
  $H32 * (1 + Assumptions!$C$7) ^ INT(((YEAR(J$2)-YEAR($F32))*12 + MONTH(J$2)-MONTH($F32)) / 12),
  0)</f>
        <v/>
      </c>
      <c r="K32" s="299">
        <f>IF(AND($F32&lt;=K$2, OR($G32="",$G32&gt;=K$2)),
  $H32 * (1 + Assumptions!$C$7) ^ INT(((YEAR(K$2)-YEAR($F32))*12 + MONTH(K$2)-MONTH($F32)) / 12),
  0)</f>
        <v/>
      </c>
      <c r="L32" s="299">
        <f>IF(AND($F32&lt;=L$2, OR($G32="",$G32&gt;=L$2)),
  $H32 * (1 + Assumptions!$C$7) ^ INT(((YEAR(L$2)-YEAR($F32))*12 + MONTH(L$2)-MONTH($F32)) / 12),
  0)</f>
        <v/>
      </c>
      <c r="M32" s="299">
        <f>IF(AND($F32&lt;=M$2, OR($G32="",$G32&gt;=M$2)),
  $H32 * (1 + Assumptions!$C$7) ^ INT(((YEAR(M$2)-YEAR($F32))*12 + MONTH(M$2)-MONTH($F32)) / 12),
  0)</f>
        <v/>
      </c>
      <c r="N32" s="299">
        <f>IF(AND($F32&lt;=N$2, OR($G32="",$G32&gt;=N$2)),
  $H32 * (1 + Assumptions!$C$7) ^ INT(((YEAR(N$2)-YEAR($F32))*12 + MONTH(N$2)-MONTH($F32)) / 12),
  0)</f>
        <v/>
      </c>
      <c r="O32" s="299">
        <f>IF(AND($F32&lt;=O$2, OR($G32="",$G32&gt;=O$2)),
  $H32 * (1 + Assumptions!$C$7) ^ INT(((YEAR(O$2)-YEAR($F32))*12 + MONTH(O$2)-MONTH($F32)) / 12),
  0)</f>
        <v/>
      </c>
      <c r="P32" s="299">
        <f>IF(AND($F32&lt;=P$2, OR($G32="",$G32&gt;=P$2)),
  $H32 * (1 + Assumptions!$C$7) ^ INT(((YEAR(P$2)-YEAR($F32))*12 + MONTH(P$2)-MONTH($F32)) / 12),
  0)</f>
        <v/>
      </c>
      <c r="Q32" s="299">
        <f>IF(AND($F32&lt;=Q$2, OR($G32="",$G32&gt;=Q$2)),
  $H32 * (1 + Assumptions!$C$7) ^ INT(((YEAR(Q$2)-YEAR($F32))*12 + MONTH(Q$2)-MONTH($F32)) / 12),
  0)</f>
        <v/>
      </c>
      <c r="R32" s="299">
        <f>IF(AND($F32&lt;=R$2, OR($G32="",$G32&gt;=R$2)),
  $H32 * (1 + Assumptions!$C$7) ^ INT(((YEAR(R$2)-YEAR($F32))*12 + MONTH(R$2)-MONTH($F32)) / 12),
  0)</f>
        <v/>
      </c>
      <c r="S32" s="299">
        <f>IF(AND($F32&lt;=S$2, OR($G32="",$G32&gt;=S$2)),
  $H32 * (1 + Assumptions!$C$7) ^ INT(((YEAR(S$2)-YEAR($F32))*12 + MONTH(S$2)-MONTH($F32)) / 12),
  0)</f>
        <v/>
      </c>
      <c r="T32" s="299">
        <f>IF(AND($F32&lt;=T$2, OR($G32="",$G32&gt;=T$2)),
  $H32 * (1 + Assumptions!$C$7) ^ INT(((YEAR(T$2)-YEAR($F32))*12 + MONTH(T$2)-MONTH($F32)) / 12),
  0)</f>
        <v/>
      </c>
      <c r="U32" s="299">
        <f>IF(AND($F32&lt;=U$2, OR($G32="",$G32&gt;=U$2)),
  $H32 * (1 + Assumptions!$C$7) ^ INT(((YEAR(U$2)-YEAR($F32))*12 + MONTH(U$2)-MONTH($F32)) / 12),
  0)</f>
        <v/>
      </c>
      <c r="V32" s="299">
        <f>IF(AND($F32&lt;=V$2, OR($G32="",$G32&gt;=V$2)),
  $H32 * (1 + Assumptions!$C$7) ^ INT(((YEAR(V$2)-YEAR($F32))*12 + MONTH(V$2)-MONTH($F32)) / 12),
  0)</f>
        <v/>
      </c>
      <c r="W32" s="299">
        <f>IF(AND($F32&lt;=W$2, OR($G32="",$G32&gt;=W$2)),
  $H32 * (1 + Assumptions!$C$7) ^ INT(((YEAR(W$2)-YEAR($F32))*12 + MONTH(W$2)-MONTH($F32)) / 12),
  0)</f>
        <v/>
      </c>
      <c r="X32" s="299">
        <f>IF(AND($F32&lt;=X$2, OR($G32="",$G32&gt;=X$2)),
  $H32 * (1 + Assumptions!$C$7) ^ INT(((YEAR(X$2)-YEAR($F32))*12 + MONTH(X$2)-MONTH($F32)) / 12),
  0)</f>
        <v/>
      </c>
      <c r="Y32" s="299">
        <f>IF(AND($F32&lt;=Y$2, OR($G32="",$G32&gt;=Y$2)),
  $H32 * (1 + Assumptions!$C$7) ^ INT(((YEAR(Y$2)-YEAR($F32))*12 + MONTH(Y$2)-MONTH($F32)) / 12),
  0)</f>
        <v/>
      </c>
      <c r="Z32" s="299">
        <f>IF(AND($F32&lt;=Z$2, OR($G32="",$G32&gt;=Z$2)),
  $H32 * (1 + Assumptions!$C$7) ^ INT(((YEAR(Z$2)-YEAR($F32))*12 + MONTH(Z$2)-MONTH($F32)) / 12),
  0)</f>
        <v/>
      </c>
      <c r="AA32" s="299">
        <f>IF(AND($F32&lt;=AA$2, OR($G32="",$G32&gt;=AA$2)),
  $H32 * (1 + Assumptions!$C$7) ^ INT(((YEAR(AA$2)-YEAR($F32))*12 + MONTH(AA$2)-MONTH($F32)) / 12),
  0)</f>
        <v/>
      </c>
      <c r="AB32" s="299">
        <f>IF(AND($F32&lt;=AB$2, OR($G32="",$G32&gt;=AB$2)),
  $H32 * (1 + Assumptions!$C$7) ^ INT(((YEAR(AB$2)-YEAR($F32))*12 + MONTH(AB$2)-MONTH($F32)) / 12),
  0)</f>
        <v/>
      </c>
      <c r="AC32" s="299">
        <f>IF(AND($F32&lt;=AC$2, OR($G32="",$G32&gt;=AC$2)),
  $H32 * (1 + Assumptions!$C$7) ^ INT(((YEAR(AC$2)-YEAR($F32))*12 + MONTH(AC$2)-MONTH($F32)) / 12),
  0)</f>
        <v/>
      </c>
      <c r="AD32" s="299">
        <f>IF(AND($F32&lt;=AD$2, OR($G32="",$G32&gt;=AD$2)),
  $H32 * (1 + Assumptions!$C$7) ^ INT(((YEAR(AD$2)-YEAR($F32))*12 + MONTH(AD$2)-MONTH($F32)) / 12),
  0)</f>
        <v/>
      </c>
      <c r="AE32" s="299">
        <f>IF(AND($F32&lt;=AE$2, OR($G32="",$G32&gt;=AE$2)),
  $H32 * (1 + Assumptions!$C$7) ^ INT(((YEAR(AE$2)-YEAR($F32))*12 + MONTH(AE$2)-MONTH($F32)) / 12),
  0)</f>
        <v/>
      </c>
      <c r="AF32" s="299">
        <f>IF(AND($F32&lt;=AF$2, OR($G32="",$G32&gt;=AF$2)),
  $H32 * (1 + Assumptions!$C$7) ^ INT(((YEAR(AF$2)-YEAR($F32))*12 + MONTH(AF$2)-MONTH($F32)) / 12),
  0)</f>
        <v/>
      </c>
      <c r="AG32" s="299">
        <f>IF(AND($F32&lt;=AG$2, OR($G32="",$G32&gt;=AG$2)),
  $H32 * (1 + Assumptions!$C$7) ^ INT(((YEAR(AG$2)-YEAR($F32))*12 + MONTH(AG$2)-MONTH($F32)) / 12),
  0)</f>
        <v/>
      </c>
      <c r="AH32" s="299">
        <f>IF(AND($F32&lt;=AH$2, OR($G32="",$G32&gt;=AH$2)),
  $H32 * (1 + Assumptions!$C$7) ^ INT(((YEAR(AH$2)-YEAR($F32))*12 + MONTH(AH$2)-MONTH($F32)) / 12),
  0)</f>
        <v/>
      </c>
      <c r="AI32" s="299">
        <f>IF(AND($F32&lt;=AI$2, OR($G32="",$G32&gt;=AI$2)),
  $H32 * (1 + Assumptions!$C$7) ^ INT(((YEAR(AI$2)-YEAR($F32))*12 + MONTH(AI$2)-MONTH($F32)) / 12),
  0)</f>
        <v/>
      </c>
      <c r="AJ32" s="299">
        <f>IF(AND($F32&lt;=AJ$2, OR($G32="",$G32&gt;=AJ$2)),
  $H32 * (1 + Assumptions!$C$7) ^ INT(((YEAR(AJ$2)-YEAR($F32))*12 + MONTH(AJ$2)-MONTH($F32)) / 12),
  0)</f>
        <v/>
      </c>
      <c r="AK32" s="299">
        <f>IF(AND($F32&lt;=AK$2, OR($G32="",$G32&gt;=AK$2)),
  $H32 * (1 + Assumptions!$C$7) ^ INT(((YEAR(AK$2)-YEAR($F32))*12 + MONTH(AK$2)-MONTH($F32)) / 12),
  0)</f>
        <v/>
      </c>
      <c r="AL32" s="299">
        <f>IF(AND($F32&lt;=AL$2, OR($G32="",$G32&gt;=AL$2)),
  $H32 * (1 + Assumptions!$C$7) ^ INT(((YEAR(AL$2)-YEAR($F32))*12 + MONTH(AL$2)-MONTH($F32)) / 12),
  0)</f>
        <v/>
      </c>
      <c r="AM32" s="299">
        <f>IF(AND($F32&lt;=AM$2, OR($G32="",$G32&gt;=AM$2)),
  $H32 * (1 + Assumptions!$C$7) ^ INT(((YEAR(AM$2)-YEAR($F32))*12 + MONTH(AM$2)-MONTH($F32)) / 12),
  0)</f>
        <v/>
      </c>
      <c r="AN32" s="299">
        <f>IF(AND($F32&lt;=AN$2, OR($G32="",$G32&gt;=AN$2)),
  $H32 * (1 + Assumptions!$C$7) ^ INT(((YEAR(AN$2)-YEAR($F32))*12 + MONTH(AN$2)-MONTH($F32)) / 12),
  0)</f>
        <v/>
      </c>
      <c r="AO32" s="299">
        <f>IF(AND($F32&lt;=AO$2, OR($G32="",$G32&gt;=AO$2)),
  $H32 * (1 + Assumptions!$C$7) ^ INT(((YEAR(AO$2)-YEAR($F32))*12 + MONTH(AO$2)-MONTH($F32)) / 12),
  0)</f>
        <v/>
      </c>
      <c r="AP32" s="299">
        <f>IF(AND($F32&lt;=AP$2, OR($G32="",$G32&gt;=AP$2)),
  $H32 * (1 + Assumptions!$C$7) ^ INT(((YEAR(AP$2)-YEAR($F32))*12 + MONTH(AP$2)-MONTH($F32)) / 12),
  0)</f>
        <v/>
      </c>
      <c r="AQ32" s="299">
        <f>IF(AND($F32&lt;=AQ$2, OR($G32="",$G32&gt;=AQ$2)),
  $H32 * (1 + Assumptions!$C$7) ^ INT(((YEAR(AQ$2)-YEAR($F32))*12 + MONTH(AQ$2)-MONTH($F32)) / 12),
  0)</f>
        <v/>
      </c>
      <c r="AR32" s="299">
        <f>IF(AND($F32&lt;=AR$2, OR($G32="",$G32&gt;=AR$2)),
  $H32 * (1 + Assumptions!$C$7) ^ INT(((YEAR(AR$2)-YEAR($F32))*12 + MONTH(AR$2)-MONTH($F32)) / 12),
  0)</f>
        <v/>
      </c>
      <c r="AS32" s="299">
        <f>IF(AND($F32&lt;=AS$2, OR($G32="",$G32&gt;=AS$2)),
  $H32 * (1 + Assumptions!$C$7) ^ INT(((YEAR(AS$2)-YEAR($F32))*12 + MONTH(AS$2)-MONTH($F32)) / 12),
  0)</f>
        <v/>
      </c>
      <c r="AT32" s="299">
        <f>IF(AND($F32&lt;=AT$2, OR($G32="",$G32&gt;=AT$2)),
  $H32 * (1 + Assumptions!$C$7) ^ INT(((YEAR(AT$2)-YEAR($F32))*12 + MONTH(AT$2)-MONTH($F32)) / 12),
  0)</f>
        <v/>
      </c>
      <c r="AU32" s="299">
        <f>IF(AND($F32&lt;=AU$2, OR($G32="",$G32&gt;=AU$2)),
  $H32 * (1 + Assumptions!$C$7) ^ INT(((YEAR(AU$2)-YEAR($F32))*12 + MONTH(AU$2)-MONTH($F32)) / 12),
  0)</f>
        <v/>
      </c>
      <c r="AV32" s="299">
        <f>IF(AND($F32&lt;=AV$2, OR($G32="",$G32&gt;=AV$2)),
  $H32 * (1 + Assumptions!$C$7) ^ INT(((YEAR(AV$2)-YEAR($F32))*12 + MONTH(AV$2)-MONTH($F32)) / 12),
  0)</f>
        <v/>
      </c>
      <c r="AW32" s="299">
        <f>IF(AND($F32&lt;=AW$2, OR($G32="",$G32&gt;=AW$2)),
  $H32 * (1 + Assumptions!$C$7) ^ INT(((YEAR(AW$2)-YEAR($F32))*12 + MONTH(AW$2)-MONTH($F32)) / 12),
  0)</f>
        <v/>
      </c>
      <c r="AX32" s="299">
        <f>IF(AND($F32&lt;=AX$2, OR($G32="",$G32&gt;=AX$2)),
  $H32 * (1 + Assumptions!$C$7) ^ INT(((YEAR(AX$2)-YEAR($F32))*12 + MONTH(AX$2)-MONTH($F32)) / 12),
  0)</f>
        <v/>
      </c>
      <c r="AY32" s="299">
        <f>IF(AND($F32&lt;=AY$2, OR($G32="",$G32&gt;=AY$2)),
  $H32 * (1 + Assumptions!$C$7) ^ INT(((YEAR(AY$2)-YEAR($F32))*12 + MONTH(AY$2)-MONTH($F32)) / 12),
  0)</f>
        <v/>
      </c>
      <c r="AZ32" s="299">
        <f>IF(AND($F32&lt;=AZ$2, OR($G32="",$G32&gt;=AZ$2)),
  $H32 * (1 + Assumptions!$C$7) ^ INT(((YEAR(AZ$2)-YEAR($F32))*12 + MONTH(AZ$2)-MONTH($F32)) / 12),
  0)</f>
        <v/>
      </c>
      <c r="BA32" s="299">
        <f>IF(AND($F32&lt;=BA$2, OR($G32="",$G32&gt;=BA$2)),
  $H32 * (1 + Assumptions!$C$7) ^ INT(((YEAR(BA$2)-YEAR($F32))*12 + MONTH(BA$2)-MONTH($F32)) / 12),
  0)</f>
        <v/>
      </c>
      <c r="BB32" s="299">
        <f>IF(AND($F32&lt;=BB$2, OR($G32="",$G32&gt;=BB$2)),
  $H32 * (1 + Assumptions!$C$7) ^ INT(((YEAR(BB$2)-YEAR($F32))*12 + MONTH(BB$2)-MONTH($F32)) / 12),
  0)</f>
        <v/>
      </c>
      <c r="BC32" s="299">
        <f>IF(AND($F32&lt;=BC$2, OR($G32="",$G32&gt;=BC$2)),
  $H32 * (1 + Assumptions!$C$7) ^ INT(((YEAR(BC$2)-YEAR($F32))*12 + MONTH(BC$2)-MONTH($F32)) / 12),
  0)</f>
        <v/>
      </c>
      <c r="BD32" s="299">
        <f>IF(AND($F32&lt;=BD$2, OR($G32="",$G32&gt;=BD$2)),
  $H32 * (1 + Assumptions!$C$7) ^ INT(((YEAR(BD$2)-YEAR($F32))*12 + MONTH(BD$2)-MONTH($F32)) / 12),
  0)</f>
        <v/>
      </c>
      <c r="BE32" s="299">
        <f>IF(AND($F32&lt;=BE$2, OR($G32="",$G32&gt;=BE$2)),
  $H32 * (1 + Assumptions!$C$7) ^ INT(((YEAR(BE$2)-YEAR($F32))*12 + MONTH(BE$2)-MONTH($F32)) / 12),
  0)</f>
        <v/>
      </c>
      <c r="BF32" s="299">
        <f>IF(AND($F32&lt;=BF$2, OR($G32="",$G32&gt;=BF$2)),
  $H32 * (1 + Assumptions!$C$7) ^ INT(((YEAR(BF$2)-YEAR($F32))*12 + MONTH(BF$2)-MONTH($F32)) / 12),
  0)</f>
        <v/>
      </c>
      <c r="BG32" s="299">
        <f>IF(AND($F32&lt;=BG$2, OR($G32="",$G32&gt;=BG$2)),
  $H32 * (1 + Assumptions!$C$7) ^ INT(((YEAR(BG$2)-YEAR($F32))*12 + MONTH(BG$2)-MONTH($F32)) / 12),
  0)</f>
        <v/>
      </c>
      <c r="BH32" s="299">
        <f>IF(AND($F32&lt;=BH$2, OR($G32="",$G32&gt;=BH$2)),
  $H32 * (1 + Assumptions!$C$7) ^ INT(((YEAR(BH$2)-YEAR($F32))*12 + MONTH(BH$2)-MONTH($F32)) / 12),
  0)</f>
        <v/>
      </c>
      <c r="BI32" s="299">
        <f>IF(AND($F32&lt;=BI$2, OR($G32="",$G32&gt;=BI$2)),
  $H32 * (1 + Assumptions!$C$7) ^ INT(((YEAR(BI$2)-YEAR($F32))*12 + MONTH(BI$2)-MONTH($F32)) / 12),
  0)</f>
        <v/>
      </c>
      <c r="BJ32" s="299">
        <f>IF(AND($F32&lt;=BJ$2, OR($G32="",$G32&gt;=BJ$2)),
  $H32 * (1 + Assumptions!$C$7) ^ INT(((YEAR(BJ$2)-YEAR($F32))*12 + MONTH(BJ$2)-MONTH($F32)) / 12),
  0)</f>
        <v/>
      </c>
      <c r="BK32" s="299">
        <f>IF(AND($F32&lt;=BK$2, OR($G32="",$G32&gt;=BK$2)),
  $H32 * (1 + Assumptions!$C$7) ^ INT(((YEAR(BK$2)-YEAR($F32))*12 + MONTH(BK$2)-MONTH($F32)) / 12),
  0)</f>
        <v/>
      </c>
      <c r="BL32" s="299">
        <f>IF(AND($F32&lt;=BL$2, OR($G32="",$G32&gt;=BL$2)),
  $H32 * (1 + Assumptions!$C$7) ^ INT(((YEAR(BL$2)-YEAR($F32))*12 + MONTH(BL$2)-MONTH($F32)) / 12),
  0)</f>
        <v/>
      </c>
      <c r="BM32" s="299">
        <f>IF(AND($F32&lt;=BM$2, OR($G32="",$G32&gt;=BM$2)),
  $H32 * (1 + Assumptions!$C$7) ^ INT(((YEAR(BM$2)-YEAR($F32))*12 + MONTH(BM$2)-MONTH($F32)) / 12),
  0)</f>
        <v/>
      </c>
      <c r="BN32" s="299">
        <f>IF(AND($F32&lt;=BN$2, OR($G32="",$G32&gt;=BN$2)),
  $H32 * (1 + Assumptions!$C$7) ^ INT(((YEAR(BN$2)-YEAR($F32))*12 + MONTH(BN$2)-MONTH($F32)) / 12),
  0)</f>
        <v/>
      </c>
      <c r="BO32" s="299">
        <f>IF(AND($F32&lt;=BO$2, OR($G32="",$G32&gt;=BO$2)),
  $H32 * (1 + Assumptions!$C$7) ^ INT(((YEAR(BO$2)-YEAR($F32))*12 + MONTH(BO$2)-MONTH($F32)) / 12),
  0)</f>
        <v/>
      </c>
      <c r="BP32" s="299">
        <f>IF(AND($F32&lt;=BP$2, OR($G32="",$G32&gt;=BP$2)),
  $H32 * (1 + Assumptions!$C$7) ^ INT(((YEAR(BP$2)-YEAR($F32))*12 + MONTH(BP$2)-MONTH($F32)) / 12),
  0)</f>
        <v/>
      </c>
      <c r="BQ32" s="307" t="n"/>
      <c r="BR32" s="83" t="inlineStr">
        <is>
          <t>paid this month if started and not yet left; +8% on each work anniversary</t>
        </is>
      </c>
      <c r="BS32" s="307" t="n"/>
      <c r="BT32" s="307" t="n"/>
    </row>
    <row r="33" ht="15.75" customHeight="1" s="349">
      <c r="A33" s="321" t="n">
        <v>28</v>
      </c>
      <c r="B33" s="285" t="inlineStr">
        <is>
          <t>New hire</t>
        </is>
      </c>
      <c r="C33" s="285" t="inlineStr">
        <is>
          <t>S&amp;M</t>
        </is>
      </c>
      <c r="D33" s="317" t="inlineStr">
        <is>
          <t>Partner Manager</t>
        </is>
      </c>
      <c r="E33" s="297" t="inlineStr">
        <is>
          <t>Planned</t>
        </is>
      </c>
      <c r="F33" s="318" t="n">
        <v>46753</v>
      </c>
      <c r="G33" s="319" t="n"/>
      <c r="H33" s="288" t="n">
        <v>7500</v>
      </c>
      <c r="I33" s="299">
        <f>IF(AND($F33&lt;=I$2, OR($G33="",$G33&gt;=I$2)),
  $H33 * (1 + Assumptions!$C$7) ^ INT(((YEAR(I$2)-YEAR($F33))*12 + MONTH(I$2)-MONTH($F33)) / 12),
  0)</f>
        <v/>
      </c>
      <c r="J33" s="299">
        <f>IF(AND($F33&lt;=J$2, OR($G33="",$G33&gt;=J$2)),
  $H33 * (1 + Assumptions!$C$7) ^ INT(((YEAR(J$2)-YEAR($F33))*12 + MONTH(J$2)-MONTH($F33)) / 12),
  0)</f>
        <v/>
      </c>
      <c r="K33" s="299">
        <f>IF(AND($F33&lt;=K$2, OR($G33="",$G33&gt;=K$2)),
  $H33 * (1 + Assumptions!$C$7) ^ INT(((YEAR(K$2)-YEAR($F33))*12 + MONTH(K$2)-MONTH($F33)) / 12),
  0)</f>
        <v/>
      </c>
      <c r="L33" s="299">
        <f>IF(AND($F33&lt;=L$2, OR($G33="",$G33&gt;=L$2)),
  $H33 * (1 + Assumptions!$C$7) ^ INT(((YEAR(L$2)-YEAR($F33))*12 + MONTH(L$2)-MONTH($F33)) / 12),
  0)</f>
        <v/>
      </c>
      <c r="M33" s="299">
        <f>IF(AND($F33&lt;=M$2, OR($G33="",$G33&gt;=M$2)),
  $H33 * (1 + Assumptions!$C$7) ^ INT(((YEAR(M$2)-YEAR($F33))*12 + MONTH(M$2)-MONTH($F33)) / 12),
  0)</f>
        <v/>
      </c>
      <c r="N33" s="299">
        <f>IF(AND($F33&lt;=N$2, OR($G33="",$G33&gt;=N$2)),
  $H33 * (1 + Assumptions!$C$7) ^ INT(((YEAR(N$2)-YEAR($F33))*12 + MONTH(N$2)-MONTH($F33)) / 12),
  0)</f>
        <v/>
      </c>
      <c r="O33" s="299">
        <f>IF(AND($F33&lt;=O$2, OR($G33="",$G33&gt;=O$2)),
  $H33 * (1 + Assumptions!$C$7) ^ INT(((YEAR(O$2)-YEAR($F33))*12 + MONTH(O$2)-MONTH($F33)) / 12),
  0)</f>
        <v/>
      </c>
      <c r="P33" s="299">
        <f>IF(AND($F33&lt;=P$2, OR($G33="",$G33&gt;=P$2)),
  $H33 * (1 + Assumptions!$C$7) ^ INT(((YEAR(P$2)-YEAR($F33))*12 + MONTH(P$2)-MONTH($F33)) / 12),
  0)</f>
        <v/>
      </c>
      <c r="Q33" s="299">
        <f>IF(AND($F33&lt;=Q$2, OR($G33="",$G33&gt;=Q$2)),
  $H33 * (1 + Assumptions!$C$7) ^ INT(((YEAR(Q$2)-YEAR($F33))*12 + MONTH(Q$2)-MONTH($F33)) / 12),
  0)</f>
        <v/>
      </c>
      <c r="R33" s="299">
        <f>IF(AND($F33&lt;=R$2, OR($G33="",$G33&gt;=R$2)),
  $H33 * (1 + Assumptions!$C$7) ^ INT(((YEAR(R$2)-YEAR($F33))*12 + MONTH(R$2)-MONTH($F33)) / 12),
  0)</f>
        <v/>
      </c>
      <c r="S33" s="299">
        <f>IF(AND($F33&lt;=S$2, OR($G33="",$G33&gt;=S$2)),
  $H33 * (1 + Assumptions!$C$7) ^ INT(((YEAR(S$2)-YEAR($F33))*12 + MONTH(S$2)-MONTH($F33)) / 12),
  0)</f>
        <v/>
      </c>
      <c r="T33" s="299">
        <f>IF(AND($F33&lt;=T$2, OR($G33="",$G33&gt;=T$2)),
  $H33 * (1 + Assumptions!$C$7) ^ INT(((YEAR(T$2)-YEAR($F33))*12 + MONTH(T$2)-MONTH($F33)) / 12),
  0)</f>
        <v/>
      </c>
      <c r="U33" s="299">
        <f>IF(AND($F33&lt;=U$2, OR($G33="",$G33&gt;=U$2)),
  $H33 * (1 + Assumptions!$C$7) ^ INT(((YEAR(U$2)-YEAR($F33))*12 + MONTH(U$2)-MONTH($F33)) / 12),
  0)</f>
        <v/>
      </c>
      <c r="V33" s="299">
        <f>IF(AND($F33&lt;=V$2, OR($G33="",$G33&gt;=V$2)),
  $H33 * (1 + Assumptions!$C$7) ^ INT(((YEAR(V$2)-YEAR($F33))*12 + MONTH(V$2)-MONTH($F33)) / 12),
  0)</f>
        <v/>
      </c>
      <c r="W33" s="299">
        <f>IF(AND($F33&lt;=W$2, OR($G33="",$G33&gt;=W$2)),
  $H33 * (1 + Assumptions!$C$7) ^ INT(((YEAR(W$2)-YEAR($F33))*12 + MONTH(W$2)-MONTH($F33)) / 12),
  0)</f>
        <v/>
      </c>
      <c r="X33" s="299">
        <f>IF(AND($F33&lt;=X$2, OR($G33="",$G33&gt;=X$2)),
  $H33 * (1 + Assumptions!$C$7) ^ INT(((YEAR(X$2)-YEAR($F33))*12 + MONTH(X$2)-MONTH($F33)) / 12),
  0)</f>
        <v/>
      </c>
      <c r="Y33" s="299">
        <f>IF(AND($F33&lt;=Y$2, OR($G33="",$G33&gt;=Y$2)),
  $H33 * (1 + Assumptions!$C$7) ^ INT(((YEAR(Y$2)-YEAR($F33))*12 + MONTH(Y$2)-MONTH($F33)) / 12),
  0)</f>
        <v/>
      </c>
      <c r="Z33" s="299">
        <f>IF(AND($F33&lt;=Z$2, OR($G33="",$G33&gt;=Z$2)),
  $H33 * (1 + Assumptions!$C$7) ^ INT(((YEAR(Z$2)-YEAR($F33))*12 + MONTH(Z$2)-MONTH($F33)) / 12),
  0)</f>
        <v/>
      </c>
      <c r="AA33" s="299">
        <f>IF(AND($F33&lt;=AA$2, OR($G33="",$G33&gt;=AA$2)),
  $H33 * (1 + Assumptions!$C$7) ^ INT(((YEAR(AA$2)-YEAR($F33))*12 + MONTH(AA$2)-MONTH($F33)) / 12),
  0)</f>
        <v/>
      </c>
      <c r="AB33" s="299">
        <f>IF(AND($F33&lt;=AB$2, OR($G33="",$G33&gt;=AB$2)),
  $H33 * (1 + Assumptions!$C$7) ^ INT(((YEAR(AB$2)-YEAR($F33))*12 + MONTH(AB$2)-MONTH($F33)) / 12),
  0)</f>
        <v/>
      </c>
      <c r="AC33" s="299">
        <f>IF(AND($F33&lt;=AC$2, OR($G33="",$G33&gt;=AC$2)),
  $H33 * (1 + Assumptions!$C$7) ^ INT(((YEAR(AC$2)-YEAR($F33))*12 + MONTH(AC$2)-MONTH($F33)) / 12),
  0)</f>
        <v/>
      </c>
      <c r="AD33" s="299">
        <f>IF(AND($F33&lt;=AD$2, OR($G33="",$G33&gt;=AD$2)),
  $H33 * (1 + Assumptions!$C$7) ^ INT(((YEAR(AD$2)-YEAR($F33))*12 + MONTH(AD$2)-MONTH($F33)) / 12),
  0)</f>
        <v/>
      </c>
      <c r="AE33" s="299">
        <f>IF(AND($F33&lt;=AE$2, OR($G33="",$G33&gt;=AE$2)),
  $H33 * (1 + Assumptions!$C$7) ^ INT(((YEAR(AE$2)-YEAR($F33))*12 + MONTH(AE$2)-MONTH($F33)) / 12),
  0)</f>
        <v/>
      </c>
      <c r="AF33" s="299">
        <f>IF(AND($F33&lt;=AF$2, OR($G33="",$G33&gt;=AF$2)),
  $H33 * (1 + Assumptions!$C$7) ^ INT(((YEAR(AF$2)-YEAR($F33))*12 + MONTH(AF$2)-MONTH($F33)) / 12),
  0)</f>
        <v/>
      </c>
      <c r="AG33" s="299">
        <f>IF(AND($F33&lt;=AG$2, OR($G33="",$G33&gt;=AG$2)),
  $H33 * (1 + Assumptions!$C$7) ^ INT(((YEAR(AG$2)-YEAR($F33))*12 + MONTH(AG$2)-MONTH($F33)) / 12),
  0)</f>
        <v/>
      </c>
      <c r="AH33" s="299">
        <f>IF(AND($F33&lt;=AH$2, OR($G33="",$G33&gt;=AH$2)),
  $H33 * (1 + Assumptions!$C$7) ^ INT(((YEAR(AH$2)-YEAR($F33))*12 + MONTH(AH$2)-MONTH($F33)) / 12),
  0)</f>
        <v/>
      </c>
      <c r="AI33" s="299">
        <f>IF(AND($F33&lt;=AI$2, OR($G33="",$G33&gt;=AI$2)),
  $H33 * (1 + Assumptions!$C$7) ^ INT(((YEAR(AI$2)-YEAR($F33))*12 + MONTH(AI$2)-MONTH($F33)) / 12),
  0)</f>
        <v/>
      </c>
      <c r="AJ33" s="299">
        <f>IF(AND($F33&lt;=AJ$2, OR($G33="",$G33&gt;=AJ$2)),
  $H33 * (1 + Assumptions!$C$7) ^ INT(((YEAR(AJ$2)-YEAR($F33))*12 + MONTH(AJ$2)-MONTH($F33)) / 12),
  0)</f>
        <v/>
      </c>
      <c r="AK33" s="299">
        <f>IF(AND($F33&lt;=AK$2, OR($G33="",$G33&gt;=AK$2)),
  $H33 * (1 + Assumptions!$C$7) ^ INT(((YEAR(AK$2)-YEAR($F33))*12 + MONTH(AK$2)-MONTH($F33)) / 12),
  0)</f>
        <v/>
      </c>
      <c r="AL33" s="299">
        <f>IF(AND($F33&lt;=AL$2, OR($G33="",$G33&gt;=AL$2)),
  $H33 * (1 + Assumptions!$C$7) ^ INT(((YEAR(AL$2)-YEAR($F33))*12 + MONTH(AL$2)-MONTH($F33)) / 12),
  0)</f>
        <v/>
      </c>
      <c r="AM33" s="299">
        <f>IF(AND($F33&lt;=AM$2, OR($G33="",$G33&gt;=AM$2)),
  $H33 * (1 + Assumptions!$C$7) ^ INT(((YEAR(AM$2)-YEAR($F33))*12 + MONTH(AM$2)-MONTH($F33)) / 12),
  0)</f>
        <v/>
      </c>
      <c r="AN33" s="299">
        <f>IF(AND($F33&lt;=AN$2, OR($G33="",$G33&gt;=AN$2)),
  $H33 * (1 + Assumptions!$C$7) ^ INT(((YEAR(AN$2)-YEAR($F33))*12 + MONTH(AN$2)-MONTH($F33)) / 12),
  0)</f>
        <v/>
      </c>
      <c r="AO33" s="299">
        <f>IF(AND($F33&lt;=AO$2, OR($G33="",$G33&gt;=AO$2)),
  $H33 * (1 + Assumptions!$C$7) ^ INT(((YEAR(AO$2)-YEAR($F33))*12 + MONTH(AO$2)-MONTH($F33)) / 12),
  0)</f>
        <v/>
      </c>
      <c r="AP33" s="299">
        <f>IF(AND($F33&lt;=AP$2, OR($G33="",$G33&gt;=AP$2)),
  $H33 * (1 + Assumptions!$C$7) ^ INT(((YEAR(AP$2)-YEAR($F33))*12 + MONTH(AP$2)-MONTH($F33)) / 12),
  0)</f>
        <v/>
      </c>
      <c r="AQ33" s="299">
        <f>IF(AND($F33&lt;=AQ$2, OR($G33="",$G33&gt;=AQ$2)),
  $H33 * (1 + Assumptions!$C$7) ^ INT(((YEAR(AQ$2)-YEAR($F33))*12 + MONTH(AQ$2)-MONTH($F33)) / 12),
  0)</f>
        <v/>
      </c>
      <c r="AR33" s="299">
        <f>IF(AND($F33&lt;=AR$2, OR($G33="",$G33&gt;=AR$2)),
  $H33 * (1 + Assumptions!$C$7) ^ INT(((YEAR(AR$2)-YEAR($F33))*12 + MONTH(AR$2)-MONTH($F33)) / 12),
  0)</f>
        <v/>
      </c>
      <c r="AS33" s="299">
        <f>IF(AND($F33&lt;=AS$2, OR($G33="",$G33&gt;=AS$2)),
  $H33 * (1 + Assumptions!$C$7) ^ INT(((YEAR(AS$2)-YEAR($F33))*12 + MONTH(AS$2)-MONTH($F33)) / 12),
  0)</f>
        <v/>
      </c>
      <c r="AT33" s="299">
        <f>IF(AND($F33&lt;=AT$2, OR($G33="",$G33&gt;=AT$2)),
  $H33 * (1 + Assumptions!$C$7) ^ INT(((YEAR(AT$2)-YEAR($F33))*12 + MONTH(AT$2)-MONTH($F33)) / 12),
  0)</f>
        <v/>
      </c>
      <c r="AU33" s="299">
        <f>IF(AND($F33&lt;=AU$2, OR($G33="",$G33&gt;=AU$2)),
  $H33 * (1 + Assumptions!$C$7) ^ INT(((YEAR(AU$2)-YEAR($F33))*12 + MONTH(AU$2)-MONTH($F33)) / 12),
  0)</f>
        <v/>
      </c>
      <c r="AV33" s="299">
        <f>IF(AND($F33&lt;=AV$2, OR($G33="",$G33&gt;=AV$2)),
  $H33 * (1 + Assumptions!$C$7) ^ INT(((YEAR(AV$2)-YEAR($F33))*12 + MONTH(AV$2)-MONTH($F33)) / 12),
  0)</f>
        <v/>
      </c>
      <c r="AW33" s="299">
        <f>IF(AND($F33&lt;=AW$2, OR($G33="",$G33&gt;=AW$2)),
  $H33 * (1 + Assumptions!$C$7) ^ INT(((YEAR(AW$2)-YEAR($F33))*12 + MONTH(AW$2)-MONTH($F33)) / 12),
  0)</f>
        <v/>
      </c>
      <c r="AX33" s="299">
        <f>IF(AND($F33&lt;=AX$2, OR($G33="",$G33&gt;=AX$2)),
  $H33 * (1 + Assumptions!$C$7) ^ INT(((YEAR(AX$2)-YEAR($F33))*12 + MONTH(AX$2)-MONTH($F33)) / 12),
  0)</f>
        <v/>
      </c>
      <c r="AY33" s="299">
        <f>IF(AND($F33&lt;=AY$2, OR($G33="",$G33&gt;=AY$2)),
  $H33 * (1 + Assumptions!$C$7) ^ INT(((YEAR(AY$2)-YEAR($F33))*12 + MONTH(AY$2)-MONTH($F33)) / 12),
  0)</f>
        <v/>
      </c>
      <c r="AZ33" s="299">
        <f>IF(AND($F33&lt;=AZ$2, OR($G33="",$G33&gt;=AZ$2)),
  $H33 * (1 + Assumptions!$C$7) ^ INT(((YEAR(AZ$2)-YEAR($F33))*12 + MONTH(AZ$2)-MONTH($F33)) / 12),
  0)</f>
        <v/>
      </c>
      <c r="BA33" s="299">
        <f>IF(AND($F33&lt;=BA$2, OR($G33="",$G33&gt;=BA$2)),
  $H33 * (1 + Assumptions!$C$7) ^ INT(((YEAR(BA$2)-YEAR($F33))*12 + MONTH(BA$2)-MONTH($F33)) / 12),
  0)</f>
        <v/>
      </c>
      <c r="BB33" s="299">
        <f>IF(AND($F33&lt;=BB$2, OR($G33="",$G33&gt;=BB$2)),
  $H33 * (1 + Assumptions!$C$7) ^ INT(((YEAR(BB$2)-YEAR($F33))*12 + MONTH(BB$2)-MONTH($F33)) / 12),
  0)</f>
        <v/>
      </c>
      <c r="BC33" s="299">
        <f>IF(AND($F33&lt;=BC$2, OR($G33="",$G33&gt;=BC$2)),
  $H33 * (1 + Assumptions!$C$7) ^ INT(((YEAR(BC$2)-YEAR($F33))*12 + MONTH(BC$2)-MONTH($F33)) / 12),
  0)</f>
        <v/>
      </c>
      <c r="BD33" s="299">
        <f>IF(AND($F33&lt;=BD$2, OR($G33="",$G33&gt;=BD$2)),
  $H33 * (1 + Assumptions!$C$7) ^ INT(((YEAR(BD$2)-YEAR($F33))*12 + MONTH(BD$2)-MONTH($F33)) / 12),
  0)</f>
        <v/>
      </c>
      <c r="BE33" s="299">
        <f>IF(AND($F33&lt;=BE$2, OR($G33="",$G33&gt;=BE$2)),
  $H33 * (1 + Assumptions!$C$7) ^ INT(((YEAR(BE$2)-YEAR($F33))*12 + MONTH(BE$2)-MONTH($F33)) / 12),
  0)</f>
        <v/>
      </c>
      <c r="BF33" s="299">
        <f>IF(AND($F33&lt;=BF$2, OR($G33="",$G33&gt;=BF$2)),
  $H33 * (1 + Assumptions!$C$7) ^ INT(((YEAR(BF$2)-YEAR($F33))*12 + MONTH(BF$2)-MONTH($F33)) / 12),
  0)</f>
        <v/>
      </c>
      <c r="BG33" s="299">
        <f>IF(AND($F33&lt;=BG$2, OR($G33="",$G33&gt;=BG$2)),
  $H33 * (1 + Assumptions!$C$7) ^ INT(((YEAR(BG$2)-YEAR($F33))*12 + MONTH(BG$2)-MONTH($F33)) / 12),
  0)</f>
        <v/>
      </c>
      <c r="BH33" s="299">
        <f>IF(AND($F33&lt;=BH$2, OR($G33="",$G33&gt;=BH$2)),
  $H33 * (1 + Assumptions!$C$7) ^ INT(((YEAR(BH$2)-YEAR($F33))*12 + MONTH(BH$2)-MONTH($F33)) / 12),
  0)</f>
        <v/>
      </c>
      <c r="BI33" s="299">
        <f>IF(AND($F33&lt;=BI$2, OR($G33="",$G33&gt;=BI$2)),
  $H33 * (1 + Assumptions!$C$7) ^ INT(((YEAR(BI$2)-YEAR($F33))*12 + MONTH(BI$2)-MONTH($F33)) / 12),
  0)</f>
        <v/>
      </c>
      <c r="BJ33" s="299">
        <f>IF(AND($F33&lt;=BJ$2, OR($G33="",$G33&gt;=BJ$2)),
  $H33 * (1 + Assumptions!$C$7) ^ INT(((YEAR(BJ$2)-YEAR($F33))*12 + MONTH(BJ$2)-MONTH($F33)) / 12),
  0)</f>
        <v/>
      </c>
      <c r="BK33" s="299">
        <f>IF(AND($F33&lt;=BK$2, OR($G33="",$G33&gt;=BK$2)),
  $H33 * (1 + Assumptions!$C$7) ^ INT(((YEAR(BK$2)-YEAR($F33))*12 + MONTH(BK$2)-MONTH($F33)) / 12),
  0)</f>
        <v/>
      </c>
      <c r="BL33" s="299">
        <f>IF(AND($F33&lt;=BL$2, OR($G33="",$G33&gt;=BL$2)),
  $H33 * (1 + Assumptions!$C$7) ^ INT(((YEAR(BL$2)-YEAR($F33))*12 + MONTH(BL$2)-MONTH($F33)) / 12),
  0)</f>
        <v/>
      </c>
      <c r="BM33" s="299">
        <f>IF(AND($F33&lt;=BM$2, OR($G33="",$G33&gt;=BM$2)),
  $H33 * (1 + Assumptions!$C$7) ^ INT(((YEAR(BM$2)-YEAR($F33))*12 + MONTH(BM$2)-MONTH($F33)) / 12),
  0)</f>
        <v/>
      </c>
      <c r="BN33" s="299">
        <f>IF(AND($F33&lt;=BN$2, OR($G33="",$G33&gt;=BN$2)),
  $H33 * (1 + Assumptions!$C$7) ^ INT(((YEAR(BN$2)-YEAR($F33))*12 + MONTH(BN$2)-MONTH($F33)) / 12),
  0)</f>
        <v/>
      </c>
      <c r="BO33" s="299">
        <f>IF(AND($F33&lt;=BO$2, OR($G33="",$G33&gt;=BO$2)),
  $H33 * (1 + Assumptions!$C$7) ^ INT(((YEAR(BO$2)-YEAR($F33))*12 + MONTH(BO$2)-MONTH($F33)) / 12),
  0)</f>
        <v/>
      </c>
      <c r="BP33" s="299">
        <f>IF(AND($F33&lt;=BP$2, OR($G33="",$G33&gt;=BP$2)),
  $H33 * (1 + Assumptions!$C$7) ^ INT(((YEAR(BP$2)-YEAR($F33))*12 + MONTH(BP$2)-MONTH($F33)) / 12),
  0)</f>
        <v/>
      </c>
      <c r="BQ33" s="307" t="n"/>
      <c r="BR33" s="83" t="inlineStr">
        <is>
          <t>paid this month if started and not yet left; +8% on each work anniversary</t>
        </is>
      </c>
      <c r="BS33" s="307" t="n"/>
      <c r="BT33" s="307" t="n"/>
    </row>
    <row r="34" ht="15.75" customHeight="1" s="349">
      <c r="A34" s="321" t="n">
        <v>29</v>
      </c>
      <c r="B34" s="285" t="inlineStr">
        <is>
          <t>New hire</t>
        </is>
      </c>
      <c r="C34" s="285" t="inlineStr">
        <is>
          <t>S&amp;M</t>
        </is>
      </c>
      <c r="D34" s="317" t="inlineStr">
        <is>
          <t>Partner Manager</t>
        </is>
      </c>
      <c r="E34" s="297" t="inlineStr">
        <is>
          <t>Planned</t>
        </is>
      </c>
      <c r="F34" s="318">
        <f>IF(Assumptions!$D$82=2,DATE(2027,8,1),DATE(2028,6,2))</f>
        <v/>
      </c>
      <c r="G34" s="319" t="n"/>
      <c r="H34" s="288" t="n">
        <v>7500</v>
      </c>
      <c r="I34" s="299">
        <f>IF(AND($F34&lt;=I$2, OR($G34="",$G34&gt;=I$2)),
  $H34 * (1 + Assumptions!$C$7) ^ INT(((YEAR(I$2)-YEAR($F34))*12 + MONTH(I$2)-MONTH($F34)) / 12),
  0)</f>
        <v/>
      </c>
      <c r="J34" s="299">
        <f>IF(AND($F34&lt;=J$2, OR($G34="",$G34&gt;=J$2)),
  $H34 * (1 + Assumptions!$C$7) ^ INT(((YEAR(J$2)-YEAR($F34))*12 + MONTH(J$2)-MONTH($F34)) / 12),
  0)</f>
        <v/>
      </c>
      <c r="K34" s="299">
        <f>IF(AND($F34&lt;=K$2, OR($G34="",$G34&gt;=K$2)),
  $H34 * (1 + Assumptions!$C$7) ^ INT(((YEAR(K$2)-YEAR($F34))*12 + MONTH(K$2)-MONTH($F34)) / 12),
  0)</f>
        <v/>
      </c>
      <c r="L34" s="299">
        <f>IF(AND($F34&lt;=L$2, OR($G34="",$G34&gt;=L$2)),
  $H34 * (1 + Assumptions!$C$7) ^ INT(((YEAR(L$2)-YEAR($F34))*12 + MONTH(L$2)-MONTH($F34)) / 12),
  0)</f>
        <v/>
      </c>
      <c r="M34" s="299">
        <f>IF(AND($F34&lt;=M$2, OR($G34="",$G34&gt;=M$2)),
  $H34 * (1 + Assumptions!$C$7) ^ INT(((YEAR(M$2)-YEAR($F34))*12 + MONTH(M$2)-MONTH($F34)) / 12),
  0)</f>
        <v/>
      </c>
      <c r="N34" s="299">
        <f>IF(AND($F34&lt;=N$2, OR($G34="",$G34&gt;=N$2)),
  $H34 * (1 + Assumptions!$C$7) ^ INT(((YEAR(N$2)-YEAR($F34))*12 + MONTH(N$2)-MONTH($F34)) / 12),
  0)</f>
        <v/>
      </c>
      <c r="O34" s="299">
        <f>IF(AND($F34&lt;=O$2, OR($G34="",$G34&gt;=O$2)),
  $H34 * (1 + Assumptions!$C$7) ^ INT(((YEAR(O$2)-YEAR($F34))*12 + MONTH(O$2)-MONTH($F34)) / 12),
  0)</f>
        <v/>
      </c>
      <c r="P34" s="299">
        <f>IF(AND($F34&lt;=P$2, OR($G34="",$G34&gt;=P$2)),
  $H34 * (1 + Assumptions!$C$7) ^ INT(((YEAR(P$2)-YEAR($F34))*12 + MONTH(P$2)-MONTH($F34)) / 12),
  0)</f>
        <v/>
      </c>
      <c r="Q34" s="299">
        <f>IF(AND($F34&lt;=Q$2, OR($G34="",$G34&gt;=Q$2)),
  $H34 * (1 + Assumptions!$C$7) ^ INT(((YEAR(Q$2)-YEAR($F34))*12 + MONTH(Q$2)-MONTH($F34)) / 12),
  0)</f>
        <v/>
      </c>
      <c r="R34" s="299">
        <f>IF(AND($F34&lt;=R$2, OR($G34="",$G34&gt;=R$2)),
  $H34 * (1 + Assumptions!$C$7) ^ INT(((YEAR(R$2)-YEAR($F34))*12 + MONTH(R$2)-MONTH($F34)) / 12),
  0)</f>
        <v/>
      </c>
      <c r="S34" s="299">
        <f>IF(AND($F34&lt;=S$2, OR($G34="",$G34&gt;=S$2)),
  $H34 * (1 + Assumptions!$C$7) ^ INT(((YEAR(S$2)-YEAR($F34))*12 + MONTH(S$2)-MONTH($F34)) / 12),
  0)</f>
        <v/>
      </c>
      <c r="T34" s="299">
        <f>IF(AND($F34&lt;=T$2, OR($G34="",$G34&gt;=T$2)),
  $H34 * (1 + Assumptions!$C$7) ^ INT(((YEAR(T$2)-YEAR($F34))*12 + MONTH(T$2)-MONTH($F34)) / 12),
  0)</f>
        <v/>
      </c>
      <c r="U34" s="299">
        <f>IF(AND($F34&lt;=U$2, OR($G34="",$G34&gt;=U$2)),
  $H34 * (1 + Assumptions!$C$7) ^ INT(((YEAR(U$2)-YEAR($F34))*12 + MONTH(U$2)-MONTH($F34)) / 12),
  0)</f>
        <v/>
      </c>
      <c r="V34" s="299">
        <f>IF(AND($F34&lt;=V$2, OR($G34="",$G34&gt;=V$2)),
  $H34 * (1 + Assumptions!$C$7) ^ INT(((YEAR(V$2)-YEAR($F34))*12 + MONTH(V$2)-MONTH($F34)) / 12),
  0)</f>
        <v/>
      </c>
      <c r="W34" s="299">
        <f>IF(AND($F34&lt;=W$2, OR($G34="",$G34&gt;=W$2)),
  $H34 * (1 + Assumptions!$C$7) ^ INT(((YEAR(W$2)-YEAR($F34))*12 + MONTH(W$2)-MONTH($F34)) / 12),
  0)</f>
        <v/>
      </c>
      <c r="X34" s="299">
        <f>IF(AND($F34&lt;=X$2, OR($G34="",$G34&gt;=X$2)),
  $H34 * (1 + Assumptions!$C$7) ^ INT(((YEAR(X$2)-YEAR($F34))*12 + MONTH(X$2)-MONTH($F34)) / 12),
  0)</f>
        <v/>
      </c>
      <c r="Y34" s="299">
        <f>IF(AND($F34&lt;=Y$2, OR($G34="",$G34&gt;=Y$2)),
  $H34 * (1 + Assumptions!$C$7) ^ INT(((YEAR(Y$2)-YEAR($F34))*12 + MONTH(Y$2)-MONTH($F34)) / 12),
  0)</f>
        <v/>
      </c>
      <c r="Z34" s="299">
        <f>IF(AND($F34&lt;=Z$2, OR($G34="",$G34&gt;=Z$2)),
  $H34 * (1 + Assumptions!$C$7) ^ INT(((YEAR(Z$2)-YEAR($F34))*12 + MONTH(Z$2)-MONTH($F34)) / 12),
  0)</f>
        <v/>
      </c>
      <c r="AA34" s="299">
        <f>IF(AND($F34&lt;=AA$2, OR($G34="",$G34&gt;=AA$2)),
  $H34 * (1 + Assumptions!$C$7) ^ INT(((YEAR(AA$2)-YEAR($F34))*12 + MONTH(AA$2)-MONTH($F34)) / 12),
  0)</f>
        <v/>
      </c>
      <c r="AB34" s="299">
        <f>IF(AND($F34&lt;=AB$2, OR($G34="",$G34&gt;=AB$2)),
  $H34 * (1 + Assumptions!$C$7) ^ INT(((YEAR(AB$2)-YEAR($F34))*12 + MONTH(AB$2)-MONTH($F34)) / 12),
  0)</f>
        <v/>
      </c>
      <c r="AC34" s="299">
        <f>IF(AND($F34&lt;=AC$2, OR($G34="",$G34&gt;=AC$2)),
  $H34 * (1 + Assumptions!$C$7) ^ INT(((YEAR(AC$2)-YEAR($F34))*12 + MONTH(AC$2)-MONTH($F34)) / 12),
  0)</f>
        <v/>
      </c>
      <c r="AD34" s="299">
        <f>IF(AND($F34&lt;=AD$2, OR($G34="",$G34&gt;=AD$2)),
  $H34 * (1 + Assumptions!$C$7) ^ INT(((YEAR(AD$2)-YEAR($F34))*12 + MONTH(AD$2)-MONTH($F34)) / 12),
  0)</f>
        <v/>
      </c>
      <c r="AE34" s="299">
        <f>IF(AND($F34&lt;=AE$2, OR($G34="",$G34&gt;=AE$2)),
  $H34 * (1 + Assumptions!$C$7) ^ INT(((YEAR(AE$2)-YEAR($F34))*12 + MONTH(AE$2)-MONTH($F34)) / 12),
  0)</f>
        <v/>
      </c>
      <c r="AF34" s="299">
        <f>IF(AND($F34&lt;=AF$2, OR($G34="",$G34&gt;=AF$2)),
  $H34 * (1 + Assumptions!$C$7) ^ INT(((YEAR(AF$2)-YEAR($F34))*12 + MONTH(AF$2)-MONTH($F34)) / 12),
  0)</f>
        <v/>
      </c>
      <c r="AG34" s="299">
        <f>IF(AND($F34&lt;=AG$2, OR($G34="",$G34&gt;=AG$2)),
  $H34 * (1 + Assumptions!$C$7) ^ INT(((YEAR(AG$2)-YEAR($F34))*12 + MONTH(AG$2)-MONTH($F34)) / 12),
  0)</f>
        <v/>
      </c>
      <c r="AH34" s="299">
        <f>IF(AND($F34&lt;=AH$2, OR($G34="",$G34&gt;=AH$2)),
  $H34 * (1 + Assumptions!$C$7) ^ INT(((YEAR(AH$2)-YEAR($F34))*12 + MONTH(AH$2)-MONTH($F34)) / 12),
  0)</f>
        <v/>
      </c>
      <c r="AI34" s="299">
        <f>IF(AND($F34&lt;=AI$2, OR($G34="",$G34&gt;=AI$2)),
  $H34 * (1 + Assumptions!$C$7) ^ INT(((YEAR(AI$2)-YEAR($F34))*12 + MONTH(AI$2)-MONTH($F34)) / 12),
  0)</f>
        <v/>
      </c>
      <c r="AJ34" s="299">
        <f>IF(AND($F34&lt;=AJ$2, OR($G34="",$G34&gt;=AJ$2)),
  $H34 * (1 + Assumptions!$C$7) ^ INT(((YEAR(AJ$2)-YEAR($F34))*12 + MONTH(AJ$2)-MONTH($F34)) / 12),
  0)</f>
        <v/>
      </c>
      <c r="AK34" s="299">
        <f>IF(AND($F34&lt;=AK$2, OR($G34="",$G34&gt;=AK$2)),
  $H34 * (1 + Assumptions!$C$7) ^ INT(((YEAR(AK$2)-YEAR($F34))*12 + MONTH(AK$2)-MONTH($F34)) / 12),
  0)</f>
        <v/>
      </c>
      <c r="AL34" s="299">
        <f>IF(AND($F34&lt;=AL$2, OR($G34="",$G34&gt;=AL$2)),
  $H34 * (1 + Assumptions!$C$7) ^ INT(((YEAR(AL$2)-YEAR($F34))*12 + MONTH(AL$2)-MONTH($F34)) / 12),
  0)</f>
        <v/>
      </c>
      <c r="AM34" s="299">
        <f>IF(AND($F34&lt;=AM$2, OR($G34="",$G34&gt;=AM$2)),
  $H34 * (1 + Assumptions!$C$7) ^ INT(((YEAR(AM$2)-YEAR($F34))*12 + MONTH(AM$2)-MONTH($F34)) / 12),
  0)</f>
        <v/>
      </c>
      <c r="AN34" s="299">
        <f>IF(AND($F34&lt;=AN$2, OR($G34="",$G34&gt;=AN$2)),
  $H34 * (1 + Assumptions!$C$7) ^ INT(((YEAR(AN$2)-YEAR($F34))*12 + MONTH(AN$2)-MONTH($F34)) / 12),
  0)</f>
        <v/>
      </c>
      <c r="AO34" s="299">
        <f>IF(AND($F34&lt;=AO$2, OR($G34="",$G34&gt;=AO$2)),
  $H34 * (1 + Assumptions!$C$7) ^ INT(((YEAR(AO$2)-YEAR($F34))*12 + MONTH(AO$2)-MONTH($F34)) / 12),
  0)</f>
        <v/>
      </c>
      <c r="AP34" s="299">
        <f>IF(AND($F34&lt;=AP$2, OR($G34="",$G34&gt;=AP$2)),
  $H34 * (1 + Assumptions!$C$7) ^ INT(((YEAR(AP$2)-YEAR($F34))*12 + MONTH(AP$2)-MONTH($F34)) / 12),
  0)</f>
        <v/>
      </c>
      <c r="AQ34" s="299">
        <f>IF(AND($F34&lt;=AQ$2, OR($G34="",$G34&gt;=AQ$2)),
  $H34 * (1 + Assumptions!$C$7) ^ INT(((YEAR(AQ$2)-YEAR($F34))*12 + MONTH(AQ$2)-MONTH($F34)) / 12),
  0)</f>
        <v/>
      </c>
      <c r="AR34" s="299">
        <f>IF(AND($F34&lt;=AR$2, OR($G34="",$G34&gt;=AR$2)),
  $H34 * (1 + Assumptions!$C$7) ^ INT(((YEAR(AR$2)-YEAR($F34))*12 + MONTH(AR$2)-MONTH($F34)) / 12),
  0)</f>
        <v/>
      </c>
      <c r="AS34" s="299">
        <f>IF(AND($F34&lt;=AS$2, OR($G34="",$G34&gt;=AS$2)),
  $H34 * (1 + Assumptions!$C$7) ^ INT(((YEAR(AS$2)-YEAR($F34))*12 + MONTH(AS$2)-MONTH($F34)) / 12),
  0)</f>
        <v/>
      </c>
      <c r="AT34" s="299">
        <f>IF(AND($F34&lt;=AT$2, OR($G34="",$G34&gt;=AT$2)),
  $H34 * (1 + Assumptions!$C$7) ^ INT(((YEAR(AT$2)-YEAR($F34))*12 + MONTH(AT$2)-MONTH($F34)) / 12),
  0)</f>
        <v/>
      </c>
      <c r="AU34" s="299">
        <f>IF(AND($F34&lt;=AU$2, OR($G34="",$G34&gt;=AU$2)),
  $H34 * (1 + Assumptions!$C$7) ^ INT(((YEAR(AU$2)-YEAR($F34))*12 + MONTH(AU$2)-MONTH($F34)) / 12),
  0)</f>
        <v/>
      </c>
      <c r="AV34" s="299">
        <f>IF(AND($F34&lt;=AV$2, OR($G34="",$G34&gt;=AV$2)),
  $H34 * (1 + Assumptions!$C$7) ^ INT(((YEAR(AV$2)-YEAR($F34))*12 + MONTH(AV$2)-MONTH($F34)) / 12),
  0)</f>
        <v/>
      </c>
      <c r="AW34" s="299">
        <f>IF(AND($F34&lt;=AW$2, OR($G34="",$G34&gt;=AW$2)),
  $H34 * (1 + Assumptions!$C$7) ^ INT(((YEAR(AW$2)-YEAR($F34))*12 + MONTH(AW$2)-MONTH($F34)) / 12),
  0)</f>
        <v/>
      </c>
      <c r="AX34" s="299">
        <f>IF(AND($F34&lt;=AX$2, OR($G34="",$G34&gt;=AX$2)),
  $H34 * (1 + Assumptions!$C$7) ^ INT(((YEAR(AX$2)-YEAR($F34))*12 + MONTH(AX$2)-MONTH($F34)) / 12),
  0)</f>
        <v/>
      </c>
      <c r="AY34" s="299">
        <f>IF(AND($F34&lt;=AY$2, OR($G34="",$G34&gt;=AY$2)),
  $H34 * (1 + Assumptions!$C$7) ^ INT(((YEAR(AY$2)-YEAR($F34))*12 + MONTH(AY$2)-MONTH($F34)) / 12),
  0)</f>
        <v/>
      </c>
      <c r="AZ34" s="299">
        <f>IF(AND($F34&lt;=AZ$2, OR($G34="",$G34&gt;=AZ$2)),
  $H34 * (1 + Assumptions!$C$7) ^ INT(((YEAR(AZ$2)-YEAR($F34))*12 + MONTH(AZ$2)-MONTH($F34)) / 12),
  0)</f>
        <v/>
      </c>
      <c r="BA34" s="299">
        <f>IF(AND($F34&lt;=BA$2, OR($G34="",$G34&gt;=BA$2)),
  $H34 * (1 + Assumptions!$C$7) ^ INT(((YEAR(BA$2)-YEAR($F34))*12 + MONTH(BA$2)-MONTH($F34)) / 12),
  0)</f>
        <v/>
      </c>
      <c r="BB34" s="299">
        <f>IF(AND($F34&lt;=BB$2, OR($G34="",$G34&gt;=BB$2)),
  $H34 * (1 + Assumptions!$C$7) ^ INT(((YEAR(BB$2)-YEAR($F34))*12 + MONTH(BB$2)-MONTH($F34)) / 12),
  0)</f>
        <v/>
      </c>
      <c r="BC34" s="299">
        <f>IF(AND($F34&lt;=BC$2, OR($G34="",$G34&gt;=BC$2)),
  $H34 * (1 + Assumptions!$C$7) ^ INT(((YEAR(BC$2)-YEAR($F34))*12 + MONTH(BC$2)-MONTH($F34)) / 12),
  0)</f>
        <v/>
      </c>
      <c r="BD34" s="299">
        <f>IF(AND($F34&lt;=BD$2, OR($G34="",$G34&gt;=BD$2)),
  $H34 * (1 + Assumptions!$C$7) ^ INT(((YEAR(BD$2)-YEAR($F34))*12 + MONTH(BD$2)-MONTH($F34)) / 12),
  0)</f>
        <v/>
      </c>
      <c r="BE34" s="299">
        <f>IF(AND($F34&lt;=BE$2, OR($G34="",$G34&gt;=BE$2)),
  $H34 * (1 + Assumptions!$C$7) ^ INT(((YEAR(BE$2)-YEAR($F34))*12 + MONTH(BE$2)-MONTH($F34)) / 12),
  0)</f>
        <v/>
      </c>
      <c r="BF34" s="299">
        <f>IF(AND($F34&lt;=BF$2, OR($G34="",$G34&gt;=BF$2)),
  $H34 * (1 + Assumptions!$C$7) ^ INT(((YEAR(BF$2)-YEAR($F34))*12 + MONTH(BF$2)-MONTH($F34)) / 12),
  0)</f>
        <v/>
      </c>
      <c r="BG34" s="299">
        <f>IF(AND($F34&lt;=BG$2, OR($G34="",$G34&gt;=BG$2)),
  $H34 * (1 + Assumptions!$C$7) ^ INT(((YEAR(BG$2)-YEAR($F34))*12 + MONTH(BG$2)-MONTH($F34)) / 12),
  0)</f>
        <v/>
      </c>
      <c r="BH34" s="299">
        <f>IF(AND($F34&lt;=BH$2, OR($G34="",$G34&gt;=BH$2)),
  $H34 * (1 + Assumptions!$C$7) ^ INT(((YEAR(BH$2)-YEAR($F34))*12 + MONTH(BH$2)-MONTH($F34)) / 12),
  0)</f>
        <v/>
      </c>
      <c r="BI34" s="299">
        <f>IF(AND($F34&lt;=BI$2, OR($G34="",$G34&gt;=BI$2)),
  $H34 * (1 + Assumptions!$C$7) ^ INT(((YEAR(BI$2)-YEAR($F34))*12 + MONTH(BI$2)-MONTH($F34)) / 12),
  0)</f>
        <v/>
      </c>
      <c r="BJ34" s="299">
        <f>IF(AND($F34&lt;=BJ$2, OR($G34="",$G34&gt;=BJ$2)),
  $H34 * (1 + Assumptions!$C$7) ^ INT(((YEAR(BJ$2)-YEAR($F34))*12 + MONTH(BJ$2)-MONTH($F34)) / 12),
  0)</f>
        <v/>
      </c>
      <c r="BK34" s="299">
        <f>IF(AND($F34&lt;=BK$2, OR($G34="",$G34&gt;=BK$2)),
  $H34 * (1 + Assumptions!$C$7) ^ INT(((YEAR(BK$2)-YEAR($F34))*12 + MONTH(BK$2)-MONTH($F34)) / 12),
  0)</f>
        <v/>
      </c>
      <c r="BL34" s="299">
        <f>IF(AND($F34&lt;=BL$2, OR($G34="",$G34&gt;=BL$2)),
  $H34 * (1 + Assumptions!$C$7) ^ INT(((YEAR(BL$2)-YEAR($F34))*12 + MONTH(BL$2)-MONTH($F34)) / 12),
  0)</f>
        <v/>
      </c>
      <c r="BM34" s="299">
        <f>IF(AND($F34&lt;=BM$2, OR($G34="",$G34&gt;=BM$2)),
  $H34 * (1 + Assumptions!$C$7) ^ INT(((YEAR(BM$2)-YEAR($F34))*12 + MONTH(BM$2)-MONTH($F34)) / 12),
  0)</f>
        <v/>
      </c>
      <c r="BN34" s="299">
        <f>IF(AND($F34&lt;=BN$2, OR($G34="",$G34&gt;=BN$2)),
  $H34 * (1 + Assumptions!$C$7) ^ INT(((YEAR(BN$2)-YEAR($F34))*12 + MONTH(BN$2)-MONTH($F34)) / 12),
  0)</f>
        <v/>
      </c>
      <c r="BO34" s="299">
        <f>IF(AND($F34&lt;=BO$2, OR($G34="",$G34&gt;=BO$2)),
  $H34 * (1 + Assumptions!$C$7) ^ INT(((YEAR(BO$2)-YEAR($F34))*12 + MONTH(BO$2)-MONTH($F34)) / 12),
  0)</f>
        <v/>
      </c>
      <c r="BP34" s="299">
        <f>IF(AND($F34&lt;=BP$2, OR($G34="",$G34&gt;=BP$2)),
  $H34 * (1 + Assumptions!$C$7) ^ INT(((YEAR(BP$2)-YEAR($F34))*12 + MONTH(BP$2)-MONTH($F34)) / 12),
  0)</f>
        <v/>
      </c>
      <c r="BQ34" s="307" t="n"/>
      <c r="BR34" s="83" t="inlineStr">
        <is>
          <t>paid this month if started and not yet left; +8% on each work anniversary</t>
        </is>
      </c>
      <c r="BS34" s="307" t="n"/>
      <c r="BT34" s="307" t="n"/>
    </row>
    <row r="35" ht="15.75" customHeight="1" s="349">
      <c r="A35" s="321" t="n">
        <v>30</v>
      </c>
      <c r="B35" s="285" t="inlineStr">
        <is>
          <t>New hire</t>
        </is>
      </c>
      <c r="C35" s="23" t="inlineStr">
        <is>
          <t>S&amp;M</t>
        </is>
      </c>
      <c r="D35" s="321" t="inlineStr">
        <is>
          <t>Account Manager</t>
        </is>
      </c>
      <c r="E35" s="297" t="inlineStr">
        <is>
          <t>Planned</t>
        </is>
      </c>
      <c r="F35" s="318">
        <f>IF(Assumptions!$D$82=2,DATE(2027,10,1),DATE(2028,6,3))</f>
        <v/>
      </c>
      <c r="G35" s="319" t="n"/>
      <c r="H35" s="288" t="n">
        <v>8000</v>
      </c>
      <c r="I35" s="299">
        <f>IF(AND($F35&lt;=I$2, OR($G35="",$G35&gt;=I$2)),
  $H35 * (1 + Assumptions!$C$7) ^ INT(((YEAR(I$2)-YEAR($F35))*12 + MONTH(I$2)-MONTH($F35)) / 12),
  0)</f>
        <v/>
      </c>
      <c r="J35" s="299">
        <f>IF(AND($F35&lt;=J$2, OR($G35="",$G35&gt;=J$2)),
  $H35 * (1 + Assumptions!$C$7) ^ INT(((YEAR(J$2)-YEAR($F35))*12 + MONTH(J$2)-MONTH($F35)) / 12),
  0)</f>
        <v/>
      </c>
      <c r="K35" s="299">
        <f>IF(AND($F35&lt;=K$2, OR($G35="",$G35&gt;=K$2)),
  $H35 * (1 + Assumptions!$C$7) ^ INT(((YEAR(K$2)-YEAR($F35))*12 + MONTH(K$2)-MONTH($F35)) / 12),
  0)</f>
        <v/>
      </c>
      <c r="L35" s="299">
        <f>IF(AND($F35&lt;=L$2, OR($G35="",$G35&gt;=L$2)),
  $H35 * (1 + Assumptions!$C$7) ^ INT(((YEAR(L$2)-YEAR($F35))*12 + MONTH(L$2)-MONTH($F35)) / 12),
  0)</f>
        <v/>
      </c>
      <c r="M35" s="299">
        <f>IF(AND($F35&lt;=M$2, OR($G35="",$G35&gt;=M$2)),
  $H35 * (1 + Assumptions!$C$7) ^ INT(((YEAR(M$2)-YEAR($F35))*12 + MONTH(M$2)-MONTH($F35)) / 12),
  0)</f>
        <v/>
      </c>
      <c r="N35" s="299">
        <f>IF(AND($F35&lt;=N$2, OR($G35="",$G35&gt;=N$2)),
  $H35 * (1 + Assumptions!$C$7) ^ INT(((YEAR(N$2)-YEAR($F35))*12 + MONTH(N$2)-MONTH($F35)) / 12),
  0)</f>
        <v/>
      </c>
      <c r="O35" s="299">
        <f>IF(AND($F35&lt;=O$2, OR($G35="",$G35&gt;=O$2)),
  $H35 * (1 + Assumptions!$C$7) ^ INT(((YEAR(O$2)-YEAR($F35))*12 + MONTH(O$2)-MONTH($F35)) / 12),
  0)</f>
        <v/>
      </c>
      <c r="P35" s="299">
        <f>IF(AND($F35&lt;=P$2, OR($G35="",$G35&gt;=P$2)),
  $H35 * (1 + Assumptions!$C$7) ^ INT(((YEAR(P$2)-YEAR($F35))*12 + MONTH(P$2)-MONTH($F35)) / 12),
  0)</f>
        <v/>
      </c>
      <c r="Q35" s="299">
        <f>IF(AND($F35&lt;=Q$2, OR($G35="",$G35&gt;=Q$2)),
  $H35 * (1 + Assumptions!$C$7) ^ INT(((YEAR(Q$2)-YEAR($F35))*12 + MONTH(Q$2)-MONTH($F35)) / 12),
  0)</f>
        <v/>
      </c>
      <c r="R35" s="299">
        <f>IF(AND($F35&lt;=R$2, OR($G35="",$G35&gt;=R$2)),
  $H35 * (1 + Assumptions!$C$7) ^ INT(((YEAR(R$2)-YEAR($F35))*12 + MONTH(R$2)-MONTH($F35)) / 12),
  0)</f>
        <v/>
      </c>
      <c r="S35" s="299">
        <f>IF(AND($F35&lt;=S$2, OR($G35="",$G35&gt;=S$2)),
  $H35 * (1 + Assumptions!$C$7) ^ INT(((YEAR(S$2)-YEAR($F35))*12 + MONTH(S$2)-MONTH($F35)) / 12),
  0)</f>
        <v/>
      </c>
      <c r="T35" s="299">
        <f>IF(AND($F35&lt;=T$2, OR($G35="",$G35&gt;=T$2)),
  $H35 * (1 + Assumptions!$C$7) ^ INT(((YEAR(T$2)-YEAR($F35))*12 + MONTH(T$2)-MONTH($F35)) / 12),
  0)</f>
        <v/>
      </c>
      <c r="U35" s="299">
        <f>IF(AND($F35&lt;=U$2, OR($G35="",$G35&gt;=U$2)),
  $H35 * (1 + Assumptions!$C$7) ^ INT(((YEAR(U$2)-YEAR($F35))*12 + MONTH(U$2)-MONTH($F35)) / 12),
  0)</f>
        <v/>
      </c>
      <c r="V35" s="299">
        <f>IF(AND($F35&lt;=V$2, OR($G35="",$G35&gt;=V$2)),
  $H35 * (1 + Assumptions!$C$7) ^ INT(((YEAR(V$2)-YEAR($F35))*12 + MONTH(V$2)-MONTH($F35)) / 12),
  0)</f>
        <v/>
      </c>
      <c r="W35" s="299">
        <f>IF(AND($F35&lt;=W$2, OR($G35="",$G35&gt;=W$2)),
  $H35 * (1 + Assumptions!$C$7) ^ INT(((YEAR(W$2)-YEAR($F35))*12 + MONTH(W$2)-MONTH($F35)) / 12),
  0)</f>
        <v/>
      </c>
      <c r="X35" s="299">
        <f>IF(AND($F35&lt;=X$2, OR($G35="",$G35&gt;=X$2)),
  $H35 * (1 + Assumptions!$C$7) ^ INT(((YEAR(X$2)-YEAR($F35))*12 + MONTH(X$2)-MONTH($F35)) / 12),
  0)</f>
        <v/>
      </c>
      <c r="Y35" s="299">
        <f>IF(AND($F35&lt;=Y$2, OR($G35="",$G35&gt;=Y$2)),
  $H35 * (1 + Assumptions!$C$7) ^ INT(((YEAR(Y$2)-YEAR($F35))*12 + MONTH(Y$2)-MONTH($F35)) / 12),
  0)</f>
        <v/>
      </c>
      <c r="Z35" s="299">
        <f>IF(AND($F35&lt;=Z$2, OR($G35="",$G35&gt;=Z$2)),
  $H35 * (1 + Assumptions!$C$7) ^ INT(((YEAR(Z$2)-YEAR($F35))*12 + MONTH(Z$2)-MONTH($F35)) / 12),
  0)</f>
        <v/>
      </c>
      <c r="AA35" s="299">
        <f>IF(AND($F35&lt;=AA$2, OR($G35="",$G35&gt;=AA$2)),
  $H35 * (1 + Assumptions!$C$7) ^ INT(((YEAR(AA$2)-YEAR($F35))*12 + MONTH(AA$2)-MONTH($F35)) / 12),
  0)</f>
        <v/>
      </c>
      <c r="AB35" s="299">
        <f>IF(AND($F35&lt;=AB$2, OR($G35="",$G35&gt;=AB$2)),
  $H35 * (1 + Assumptions!$C$7) ^ INT(((YEAR(AB$2)-YEAR($F35))*12 + MONTH(AB$2)-MONTH($F35)) / 12),
  0)</f>
        <v/>
      </c>
      <c r="AC35" s="299">
        <f>IF(AND($F35&lt;=AC$2, OR($G35="",$G35&gt;=AC$2)),
  $H35 * (1 + Assumptions!$C$7) ^ INT(((YEAR(AC$2)-YEAR($F35))*12 + MONTH(AC$2)-MONTH($F35)) / 12),
  0)</f>
        <v/>
      </c>
      <c r="AD35" s="299">
        <f>IF(AND($F35&lt;=AD$2, OR($G35="",$G35&gt;=AD$2)),
  $H35 * (1 + Assumptions!$C$7) ^ INT(((YEAR(AD$2)-YEAR($F35))*12 + MONTH(AD$2)-MONTH($F35)) / 12),
  0)</f>
        <v/>
      </c>
      <c r="AE35" s="299">
        <f>IF(AND($F35&lt;=AE$2, OR($G35="",$G35&gt;=AE$2)),
  $H35 * (1 + Assumptions!$C$7) ^ INT(((YEAR(AE$2)-YEAR($F35))*12 + MONTH(AE$2)-MONTH($F35)) / 12),
  0)</f>
        <v/>
      </c>
      <c r="AF35" s="299">
        <f>IF(AND($F35&lt;=AF$2, OR($G35="",$G35&gt;=AF$2)),
  $H35 * (1 + Assumptions!$C$7) ^ INT(((YEAR(AF$2)-YEAR($F35))*12 + MONTH(AF$2)-MONTH($F35)) / 12),
  0)</f>
        <v/>
      </c>
      <c r="AG35" s="299">
        <f>IF(AND($F35&lt;=AG$2, OR($G35="",$G35&gt;=AG$2)),
  $H35 * (1 + Assumptions!$C$7) ^ INT(((YEAR(AG$2)-YEAR($F35))*12 + MONTH(AG$2)-MONTH($F35)) / 12),
  0)</f>
        <v/>
      </c>
      <c r="AH35" s="299">
        <f>IF(AND($F35&lt;=AH$2, OR($G35="",$G35&gt;=AH$2)),
  $H35 * (1 + Assumptions!$C$7) ^ INT(((YEAR(AH$2)-YEAR($F35))*12 + MONTH(AH$2)-MONTH($F35)) / 12),
  0)</f>
        <v/>
      </c>
      <c r="AI35" s="299">
        <f>IF(AND($F35&lt;=AI$2, OR($G35="",$G35&gt;=AI$2)),
  $H35 * (1 + Assumptions!$C$7) ^ INT(((YEAR(AI$2)-YEAR($F35))*12 + MONTH(AI$2)-MONTH($F35)) / 12),
  0)</f>
        <v/>
      </c>
      <c r="AJ35" s="299">
        <f>IF(AND($F35&lt;=AJ$2, OR($G35="",$G35&gt;=AJ$2)),
  $H35 * (1 + Assumptions!$C$7) ^ INT(((YEAR(AJ$2)-YEAR($F35))*12 + MONTH(AJ$2)-MONTH($F35)) / 12),
  0)</f>
        <v/>
      </c>
      <c r="AK35" s="299">
        <f>IF(AND($F35&lt;=AK$2, OR($G35="",$G35&gt;=AK$2)),
  $H35 * (1 + Assumptions!$C$7) ^ INT(((YEAR(AK$2)-YEAR($F35))*12 + MONTH(AK$2)-MONTH($F35)) / 12),
  0)</f>
        <v/>
      </c>
      <c r="AL35" s="299">
        <f>IF(AND($F35&lt;=AL$2, OR($G35="",$G35&gt;=AL$2)),
  $H35 * (1 + Assumptions!$C$7) ^ INT(((YEAR(AL$2)-YEAR($F35))*12 + MONTH(AL$2)-MONTH($F35)) / 12),
  0)</f>
        <v/>
      </c>
      <c r="AM35" s="299">
        <f>IF(AND($F35&lt;=AM$2, OR($G35="",$G35&gt;=AM$2)),
  $H35 * (1 + Assumptions!$C$7) ^ INT(((YEAR(AM$2)-YEAR($F35))*12 + MONTH(AM$2)-MONTH($F35)) / 12),
  0)</f>
        <v/>
      </c>
      <c r="AN35" s="299">
        <f>IF(AND($F35&lt;=AN$2, OR($G35="",$G35&gt;=AN$2)),
  $H35 * (1 + Assumptions!$C$7) ^ INT(((YEAR(AN$2)-YEAR($F35))*12 + MONTH(AN$2)-MONTH($F35)) / 12),
  0)</f>
        <v/>
      </c>
      <c r="AO35" s="299">
        <f>IF(AND($F35&lt;=AO$2, OR($G35="",$G35&gt;=AO$2)),
  $H35 * (1 + Assumptions!$C$7) ^ INT(((YEAR(AO$2)-YEAR($F35))*12 + MONTH(AO$2)-MONTH($F35)) / 12),
  0)</f>
        <v/>
      </c>
      <c r="AP35" s="299">
        <f>IF(AND($F35&lt;=AP$2, OR($G35="",$G35&gt;=AP$2)),
  $H35 * (1 + Assumptions!$C$7) ^ INT(((YEAR(AP$2)-YEAR($F35))*12 + MONTH(AP$2)-MONTH($F35)) / 12),
  0)</f>
        <v/>
      </c>
      <c r="AQ35" s="299">
        <f>IF(AND($F35&lt;=AQ$2, OR($G35="",$G35&gt;=AQ$2)),
  $H35 * (1 + Assumptions!$C$7) ^ INT(((YEAR(AQ$2)-YEAR($F35))*12 + MONTH(AQ$2)-MONTH($F35)) / 12),
  0)</f>
        <v/>
      </c>
      <c r="AR35" s="299">
        <f>IF(AND($F35&lt;=AR$2, OR($G35="",$G35&gt;=AR$2)),
  $H35 * (1 + Assumptions!$C$7) ^ INT(((YEAR(AR$2)-YEAR($F35))*12 + MONTH(AR$2)-MONTH($F35)) / 12),
  0)</f>
        <v/>
      </c>
      <c r="AS35" s="299">
        <f>IF(AND($F35&lt;=AS$2, OR($G35="",$G35&gt;=AS$2)),
  $H35 * (1 + Assumptions!$C$7) ^ INT(((YEAR(AS$2)-YEAR($F35))*12 + MONTH(AS$2)-MONTH($F35)) / 12),
  0)</f>
        <v/>
      </c>
      <c r="AT35" s="299">
        <f>IF(AND($F35&lt;=AT$2, OR($G35="",$G35&gt;=AT$2)),
  $H35 * (1 + Assumptions!$C$7) ^ INT(((YEAR(AT$2)-YEAR($F35))*12 + MONTH(AT$2)-MONTH($F35)) / 12),
  0)</f>
        <v/>
      </c>
      <c r="AU35" s="299">
        <f>IF(AND($F35&lt;=AU$2, OR($G35="",$G35&gt;=AU$2)),
  $H35 * (1 + Assumptions!$C$7) ^ INT(((YEAR(AU$2)-YEAR($F35))*12 + MONTH(AU$2)-MONTH($F35)) / 12),
  0)</f>
        <v/>
      </c>
      <c r="AV35" s="299">
        <f>IF(AND($F35&lt;=AV$2, OR($G35="",$G35&gt;=AV$2)),
  $H35 * (1 + Assumptions!$C$7) ^ INT(((YEAR(AV$2)-YEAR($F35))*12 + MONTH(AV$2)-MONTH($F35)) / 12),
  0)</f>
        <v/>
      </c>
      <c r="AW35" s="299">
        <f>IF(AND($F35&lt;=AW$2, OR($G35="",$G35&gt;=AW$2)),
  $H35 * (1 + Assumptions!$C$7) ^ INT(((YEAR(AW$2)-YEAR($F35))*12 + MONTH(AW$2)-MONTH($F35)) / 12),
  0)</f>
        <v/>
      </c>
      <c r="AX35" s="299">
        <f>IF(AND($F35&lt;=AX$2, OR($G35="",$G35&gt;=AX$2)),
  $H35 * (1 + Assumptions!$C$7) ^ INT(((YEAR(AX$2)-YEAR($F35))*12 + MONTH(AX$2)-MONTH($F35)) / 12),
  0)</f>
        <v/>
      </c>
      <c r="AY35" s="299">
        <f>IF(AND($F35&lt;=AY$2, OR($G35="",$G35&gt;=AY$2)),
  $H35 * (1 + Assumptions!$C$7) ^ INT(((YEAR(AY$2)-YEAR($F35))*12 + MONTH(AY$2)-MONTH($F35)) / 12),
  0)</f>
        <v/>
      </c>
      <c r="AZ35" s="299">
        <f>IF(AND($F35&lt;=AZ$2, OR($G35="",$G35&gt;=AZ$2)),
  $H35 * (1 + Assumptions!$C$7) ^ INT(((YEAR(AZ$2)-YEAR($F35))*12 + MONTH(AZ$2)-MONTH($F35)) / 12),
  0)</f>
        <v/>
      </c>
      <c r="BA35" s="299">
        <f>IF(AND($F35&lt;=BA$2, OR($G35="",$G35&gt;=BA$2)),
  $H35 * (1 + Assumptions!$C$7) ^ INT(((YEAR(BA$2)-YEAR($F35))*12 + MONTH(BA$2)-MONTH($F35)) / 12),
  0)</f>
        <v/>
      </c>
      <c r="BB35" s="299">
        <f>IF(AND($F35&lt;=BB$2, OR($G35="",$G35&gt;=BB$2)),
  $H35 * (1 + Assumptions!$C$7) ^ INT(((YEAR(BB$2)-YEAR($F35))*12 + MONTH(BB$2)-MONTH($F35)) / 12),
  0)</f>
        <v/>
      </c>
      <c r="BC35" s="299">
        <f>IF(AND($F35&lt;=BC$2, OR($G35="",$G35&gt;=BC$2)),
  $H35 * (1 + Assumptions!$C$7) ^ INT(((YEAR(BC$2)-YEAR($F35))*12 + MONTH(BC$2)-MONTH($F35)) / 12),
  0)</f>
        <v/>
      </c>
      <c r="BD35" s="299">
        <f>IF(AND($F35&lt;=BD$2, OR($G35="",$G35&gt;=BD$2)),
  $H35 * (1 + Assumptions!$C$7) ^ INT(((YEAR(BD$2)-YEAR($F35))*12 + MONTH(BD$2)-MONTH($F35)) / 12),
  0)</f>
        <v/>
      </c>
      <c r="BE35" s="299">
        <f>IF(AND($F35&lt;=BE$2, OR($G35="",$G35&gt;=BE$2)),
  $H35 * (1 + Assumptions!$C$7) ^ INT(((YEAR(BE$2)-YEAR($F35))*12 + MONTH(BE$2)-MONTH($F35)) / 12),
  0)</f>
        <v/>
      </c>
      <c r="BF35" s="299">
        <f>IF(AND($F35&lt;=BF$2, OR($G35="",$G35&gt;=BF$2)),
  $H35 * (1 + Assumptions!$C$7) ^ INT(((YEAR(BF$2)-YEAR($F35))*12 + MONTH(BF$2)-MONTH($F35)) / 12),
  0)</f>
        <v/>
      </c>
      <c r="BG35" s="299">
        <f>IF(AND($F35&lt;=BG$2, OR($G35="",$G35&gt;=BG$2)),
  $H35 * (1 + Assumptions!$C$7) ^ INT(((YEAR(BG$2)-YEAR($F35))*12 + MONTH(BG$2)-MONTH($F35)) / 12),
  0)</f>
        <v/>
      </c>
      <c r="BH35" s="299">
        <f>IF(AND($F35&lt;=BH$2, OR($G35="",$G35&gt;=BH$2)),
  $H35 * (1 + Assumptions!$C$7) ^ INT(((YEAR(BH$2)-YEAR($F35))*12 + MONTH(BH$2)-MONTH($F35)) / 12),
  0)</f>
        <v/>
      </c>
      <c r="BI35" s="299">
        <f>IF(AND($F35&lt;=BI$2, OR($G35="",$G35&gt;=BI$2)),
  $H35 * (1 + Assumptions!$C$7) ^ INT(((YEAR(BI$2)-YEAR($F35))*12 + MONTH(BI$2)-MONTH($F35)) / 12),
  0)</f>
        <v/>
      </c>
      <c r="BJ35" s="299">
        <f>IF(AND($F35&lt;=BJ$2, OR($G35="",$G35&gt;=BJ$2)),
  $H35 * (1 + Assumptions!$C$7) ^ INT(((YEAR(BJ$2)-YEAR($F35))*12 + MONTH(BJ$2)-MONTH($F35)) / 12),
  0)</f>
        <v/>
      </c>
      <c r="BK35" s="299">
        <f>IF(AND($F35&lt;=BK$2, OR($G35="",$G35&gt;=BK$2)),
  $H35 * (1 + Assumptions!$C$7) ^ INT(((YEAR(BK$2)-YEAR($F35))*12 + MONTH(BK$2)-MONTH($F35)) / 12),
  0)</f>
        <v/>
      </c>
      <c r="BL35" s="299">
        <f>IF(AND($F35&lt;=BL$2, OR($G35="",$G35&gt;=BL$2)),
  $H35 * (1 + Assumptions!$C$7) ^ INT(((YEAR(BL$2)-YEAR($F35))*12 + MONTH(BL$2)-MONTH($F35)) / 12),
  0)</f>
        <v/>
      </c>
      <c r="BM35" s="299">
        <f>IF(AND($F35&lt;=BM$2, OR($G35="",$G35&gt;=BM$2)),
  $H35 * (1 + Assumptions!$C$7) ^ INT(((YEAR(BM$2)-YEAR($F35))*12 + MONTH(BM$2)-MONTH($F35)) / 12),
  0)</f>
        <v/>
      </c>
      <c r="BN35" s="299">
        <f>IF(AND($F35&lt;=BN$2, OR($G35="",$G35&gt;=BN$2)),
  $H35 * (1 + Assumptions!$C$7) ^ INT(((YEAR(BN$2)-YEAR($F35))*12 + MONTH(BN$2)-MONTH($F35)) / 12),
  0)</f>
        <v/>
      </c>
      <c r="BO35" s="299">
        <f>IF(AND($F35&lt;=BO$2, OR($G35="",$G35&gt;=BO$2)),
  $H35 * (1 + Assumptions!$C$7) ^ INT(((YEAR(BO$2)-YEAR($F35))*12 + MONTH(BO$2)-MONTH($F35)) / 12),
  0)</f>
        <v/>
      </c>
      <c r="BP35" s="299">
        <f>IF(AND($F35&lt;=BP$2, OR($G35="",$G35&gt;=BP$2)),
  $H35 * (1 + Assumptions!$C$7) ^ INT(((YEAR(BP$2)-YEAR($F35))*12 + MONTH(BP$2)-MONTH($F35)) / 12),
  0)</f>
        <v/>
      </c>
      <c r="BQ35" s="307" t="n"/>
      <c r="BR35" s="83" t="inlineStr">
        <is>
          <t>paid this month if started and not yet left; +8% on each work anniversary</t>
        </is>
      </c>
      <c r="BS35" s="307" t="n"/>
      <c r="BT35" s="307" t="n"/>
    </row>
    <row r="36" ht="15.75" customHeight="1" s="349">
      <c r="A36" s="321" t="n">
        <v>31</v>
      </c>
      <c r="B36" s="285" t="inlineStr">
        <is>
          <t>New hire</t>
        </is>
      </c>
      <c r="C36" s="23" t="inlineStr">
        <is>
          <t>S&amp;M</t>
        </is>
      </c>
      <c r="D36" s="321" t="inlineStr">
        <is>
          <t>Account Manager</t>
        </is>
      </c>
      <c r="E36" s="297" t="inlineStr">
        <is>
          <t>Planned</t>
        </is>
      </c>
      <c r="F36" s="318">
        <f>IF(Assumptions!$D$82=2,DATE(2028,1,3),DATE(2028,6,4))</f>
        <v/>
      </c>
      <c r="G36" s="319" t="n"/>
      <c r="H36" s="288" t="n">
        <v>8000</v>
      </c>
      <c r="I36" s="299">
        <f>IF(AND($F36&lt;=I$2, OR($G36="",$G36&gt;=I$2)),
  $H36 * (1 + Assumptions!$C$7) ^ INT(((YEAR(I$2)-YEAR($F36))*12 + MONTH(I$2)-MONTH($F36)) / 12),
  0)</f>
        <v/>
      </c>
      <c r="J36" s="299">
        <f>IF(AND($F36&lt;=J$2, OR($G36="",$G36&gt;=J$2)),
  $H36 * (1 + Assumptions!$C$7) ^ INT(((YEAR(J$2)-YEAR($F36))*12 + MONTH(J$2)-MONTH($F36)) / 12),
  0)</f>
        <v/>
      </c>
      <c r="K36" s="299">
        <f>IF(AND($F36&lt;=K$2, OR($G36="",$G36&gt;=K$2)),
  $H36 * (1 + Assumptions!$C$7) ^ INT(((YEAR(K$2)-YEAR($F36))*12 + MONTH(K$2)-MONTH($F36)) / 12),
  0)</f>
        <v/>
      </c>
      <c r="L36" s="299">
        <f>IF(AND($F36&lt;=L$2, OR($G36="",$G36&gt;=L$2)),
  $H36 * (1 + Assumptions!$C$7) ^ INT(((YEAR(L$2)-YEAR($F36))*12 + MONTH(L$2)-MONTH($F36)) / 12),
  0)</f>
        <v/>
      </c>
      <c r="M36" s="299">
        <f>IF(AND($F36&lt;=M$2, OR($G36="",$G36&gt;=M$2)),
  $H36 * (1 + Assumptions!$C$7) ^ INT(((YEAR(M$2)-YEAR($F36))*12 + MONTH(M$2)-MONTH($F36)) / 12),
  0)</f>
        <v/>
      </c>
      <c r="N36" s="299">
        <f>IF(AND($F36&lt;=N$2, OR($G36="",$G36&gt;=N$2)),
  $H36 * (1 + Assumptions!$C$7) ^ INT(((YEAR(N$2)-YEAR($F36))*12 + MONTH(N$2)-MONTH($F36)) / 12),
  0)</f>
        <v/>
      </c>
      <c r="O36" s="299">
        <f>IF(AND($F36&lt;=O$2, OR($G36="",$G36&gt;=O$2)),
  $H36 * (1 + Assumptions!$C$7) ^ INT(((YEAR(O$2)-YEAR($F36))*12 + MONTH(O$2)-MONTH($F36)) / 12),
  0)</f>
        <v/>
      </c>
      <c r="P36" s="299">
        <f>IF(AND($F36&lt;=P$2, OR($G36="",$G36&gt;=P$2)),
  $H36 * (1 + Assumptions!$C$7) ^ INT(((YEAR(P$2)-YEAR($F36))*12 + MONTH(P$2)-MONTH($F36)) / 12),
  0)</f>
        <v/>
      </c>
      <c r="Q36" s="299">
        <f>IF(AND($F36&lt;=Q$2, OR($G36="",$G36&gt;=Q$2)),
  $H36 * (1 + Assumptions!$C$7) ^ INT(((YEAR(Q$2)-YEAR($F36))*12 + MONTH(Q$2)-MONTH($F36)) / 12),
  0)</f>
        <v/>
      </c>
      <c r="R36" s="299">
        <f>IF(AND($F36&lt;=R$2, OR($G36="",$G36&gt;=R$2)),
  $H36 * (1 + Assumptions!$C$7) ^ INT(((YEAR(R$2)-YEAR($F36))*12 + MONTH(R$2)-MONTH($F36)) / 12),
  0)</f>
        <v/>
      </c>
      <c r="S36" s="299">
        <f>IF(AND($F36&lt;=S$2, OR($G36="",$G36&gt;=S$2)),
  $H36 * (1 + Assumptions!$C$7) ^ INT(((YEAR(S$2)-YEAR($F36))*12 + MONTH(S$2)-MONTH($F36)) / 12),
  0)</f>
        <v/>
      </c>
      <c r="T36" s="299">
        <f>IF(AND($F36&lt;=T$2, OR($G36="",$G36&gt;=T$2)),
  $H36 * (1 + Assumptions!$C$7) ^ INT(((YEAR(T$2)-YEAR($F36))*12 + MONTH(T$2)-MONTH($F36)) / 12),
  0)</f>
        <v/>
      </c>
      <c r="U36" s="299">
        <f>IF(AND($F36&lt;=U$2, OR($G36="",$G36&gt;=U$2)),
  $H36 * (1 + Assumptions!$C$7) ^ INT(((YEAR(U$2)-YEAR($F36))*12 + MONTH(U$2)-MONTH($F36)) / 12),
  0)</f>
        <v/>
      </c>
      <c r="V36" s="299">
        <f>IF(AND($F36&lt;=V$2, OR($G36="",$G36&gt;=V$2)),
  $H36 * (1 + Assumptions!$C$7) ^ INT(((YEAR(V$2)-YEAR($F36))*12 + MONTH(V$2)-MONTH($F36)) / 12),
  0)</f>
        <v/>
      </c>
      <c r="W36" s="299">
        <f>IF(AND($F36&lt;=W$2, OR($G36="",$G36&gt;=W$2)),
  $H36 * (1 + Assumptions!$C$7) ^ INT(((YEAR(W$2)-YEAR($F36))*12 + MONTH(W$2)-MONTH($F36)) / 12),
  0)</f>
        <v/>
      </c>
      <c r="X36" s="299">
        <f>IF(AND($F36&lt;=X$2, OR($G36="",$G36&gt;=X$2)),
  $H36 * (1 + Assumptions!$C$7) ^ INT(((YEAR(X$2)-YEAR($F36))*12 + MONTH(X$2)-MONTH($F36)) / 12),
  0)</f>
        <v/>
      </c>
      <c r="Y36" s="299">
        <f>IF(AND($F36&lt;=Y$2, OR($G36="",$G36&gt;=Y$2)),
  $H36 * (1 + Assumptions!$C$7) ^ INT(((YEAR(Y$2)-YEAR($F36))*12 + MONTH(Y$2)-MONTH($F36)) / 12),
  0)</f>
        <v/>
      </c>
      <c r="Z36" s="299">
        <f>IF(AND($F36&lt;=Z$2, OR($G36="",$G36&gt;=Z$2)),
  $H36 * (1 + Assumptions!$C$7) ^ INT(((YEAR(Z$2)-YEAR($F36))*12 + MONTH(Z$2)-MONTH($F36)) / 12),
  0)</f>
        <v/>
      </c>
      <c r="AA36" s="299">
        <f>IF(AND($F36&lt;=AA$2, OR($G36="",$G36&gt;=AA$2)),
  $H36 * (1 + Assumptions!$C$7) ^ INT(((YEAR(AA$2)-YEAR($F36))*12 + MONTH(AA$2)-MONTH($F36)) / 12),
  0)</f>
        <v/>
      </c>
      <c r="AB36" s="299">
        <f>IF(AND($F36&lt;=AB$2, OR($G36="",$G36&gt;=AB$2)),
  $H36 * (1 + Assumptions!$C$7) ^ INT(((YEAR(AB$2)-YEAR($F36))*12 + MONTH(AB$2)-MONTH($F36)) / 12),
  0)</f>
        <v/>
      </c>
      <c r="AC36" s="299">
        <f>IF(AND($F36&lt;=AC$2, OR($G36="",$G36&gt;=AC$2)),
  $H36 * (1 + Assumptions!$C$7) ^ INT(((YEAR(AC$2)-YEAR($F36))*12 + MONTH(AC$2)-MONTH($F36)) / 12),
  0)</f>
        <v/>
      </c>
      <c r="AD36" s="299">
        <f>IF(AND($F36&lt;=AD$2, OR($G36="",$G36&gt;=AD$2)),
  $H36 * (1 + Assumptions!$C$7) ^ INT(((YEAR(AD$2)-YEAR($F36))*12 + MONTH(AD$2)-MONTH($F36)) / 12),
  0)</f>
        <v/>
      </c>
      <c r="AE36" s="299">
        <f>IF(AND($F36&lt;=AE$2, OR($G36="",$G36&gt;=AE$2)),
  $H36 * (1 + Assumptions!$C$7) ^ INT(((YEAR(AE$2)-YEAR($F36))*12 + MONTH(AE$2)-MONTH($F36)) / 12),
  0)</f>
        <v/>
      </c>
      <c r="AF36" s="299">
        <f>IF(AND($F36&lt;=AF$2, OR($G36="",$G36&gt;=AF$2)),
  $H36 * (1 + Assumptions!$C$7) ^ INT(((YEAR(AF$2)-YEAR($F36))*12 + MONTH(AF$2)-MONTH($F36)) / 12),
  0)</f>
        <v/>
      </c>
      <c r="AG36" s="299">
        <f>IF(AND($F36&lt;=AG$2, OR($G36="",$G36&gt;=AG$2)),
  $H36 * (1 + Assumptions!$C$7) ^ INT(((YEAR(AG$2)-YEAR($F36))*12 + MONTH(AG$2)-MONTH($F36)) / 12),
  0)</f>
        <v/>
      </c>
      <c r="AH36" s="299">
        <f>IF(AND($F36&lt;=AH$2, OR($G36="",$G36&gt;=AH$2)),
  $H36 * (1 + Assumptions!$C$7) ^ INT(((YEAR(AH$2)-YEAR($F36))*12 + MONTH(AH$2)-MONTH($F36)) / 12),
  0)</f>
        <v/>
      </c>
      <c r="AI36" s="299">
        <f>IF(AND($F36&lt;=AI$2, OR($G36="",$G36&gt;=AI$2)),
  $H36 * (1 + Assumptions!$C$7) ^ INT(((YEAR(AI$2)-YEAR($F36))*12 + MONTH(AI$2)-MONTH($F36)) / 12),
  0)</f>
        <v/>
      </c>
      <c r="AJ36" s="299">
        <f>IF(AND($F36&lt;=AJ$2, OR($G36="",$G36&gt;=AJ$2)),
  $H36 * (1 + Assumptions!$C$7) ^ INT(((YEAR(AJ$2)-YEAR($F36))*12 + MONTH(AJ$2)-MONTH($F36)) / 12),
  0)</f>
        <v/>
      </c>
      <c r="AK36" s="299">
        <f>IF(AND($F36&lt;=AK$2, OR($G36="",$G36&gt;=AK$2)),
  $H36 * (1 + Assumptions!$C$7) ^ INT(((YEAR(AK$2)-YEAR($F36))*12 + MONTH(AK$2)-MONTH($F36)) / 12),
  0)</f>
        <v/>
      </c>
      <c r="AL36" s="299">
        <f>IF(AND($F36&lt;=AL$2, OR($G36="",$G36&gt;=AL$2)),
  $H36 * (1 + Assumptions!$C$7) ^ INT(((YEAR(AL$2)-YEAR($F36))*12 + MONTH(AL$2)-MONTH($F36)) / 12),
  0)</f>
        <v/>
      </c>
      <c r="AM36" s="299">
        <f>IF(AND($F36&lt;=AM$2, OR($G36="",$G36&gt;=AM$2)),
  $H36 * (1 + Assumptions!$C$7) ^ INT(((YEAR(AM$2)-YEAR($F36))*12 + MONTH(AM$2)-MONTH($F36)) / 12),
  0)</f>
        <v/>
      </c>
      <c r="AN36" s="299">
        <f>IF(AND($F36&lt;=AN$2, OR($G36="",$G36&gt;=AN$2)),
  $H36 * (1 + Assumptions!$C$7) ^ INT(((YEAR(AN$2)-YEAR($F36))*12 + MONTH(AN$2)-MONTH($F36)) / 12),
  0)</f>
        <v/>
      </c>
      <c r="AO36" s="299">
        <f>IF(AND($F36&lt;=AO$2, OR($G36="",$G36&gt;=AO$2)),
  $H36 * (1 + Assumptions!$C$7) ^ INT(((YEAR(AO$2)-YEAR($F36))*12 + MONTH(AO$2)-MONTH($F36)) / 12),
  0)</f>
        <v/>
      </c>
      <c r="AP36" s="299">
        <f>IF(AND($F36&lt;=AP$2, OR($G36="",$G36&gt;=AP$2)),
  $H36 * (1 + Assumptions!$C$7) ^ INT(((YEAR(AP$2)-YEAR($F36))*12 + MONTH(AP$2)-MONTH($F36)) / 12),
  0)</f>
        <v/>
      </c>
      <c r="AQ36" s="299">
        <f>IF(AND($F36&lt;=AQ$2, OR($G36="",$G36&gt;=AQ$2)),
  $H36 * (1 + Assumptions!$C$7) ^ INT(((YEAR(AQ$2)-YEAR($F36))*12 + MONTH(AQ$2)-MONTH($F36)) / 12),
  0)</f>
        <v/>
      </c>
      <c r="AR36" s="299">
        <f>IF(AND($F36&lt;=AR$2, OR($G36="",$G36&gt;=AR$2)),
  $H36 * (1 + Assumptions!$C$7) ^ INT(((YEAR(AR$2)-YEAR($F36))*12 + MONTH(AR$2)-MONTH($F36)) / 12),
  0)</f>
        <v/>
      </c>
      <c r="AS36" s="299">
        <f>IF(AND($F36&lt;=AS$2, OR($G36="",$G36&gt;=AS$2)),
  $H36 * (1 + Assumptions!$C$7) ^ INT(((YEAR(AS$2)-YEAR($F36))*12 + MONTH(AS$2)-MONTH($F36)) / 12),
  0)</f>
        <v/>
      </c>
      <c r="AT36" s="299">
        <f>IF(AND($F36&lt;=AT$2, OR($G36="",$G36&gt;=AT$2)),
  $H36 * (1 + Assumptions!$C$7) ^ INT(((YEAR(AT$2)-YEAR($F36))*12 + MONTH(AT$2)-MONTH($F36)) / 12),
  0)</f>
        <v/>
      </c>
      <c r="AU36" s="299">
        <f>IF(AND($F36&lt;=AU$2, OR($G36="",$G36&gt;=AU$2)),
  $H36 * (1 + Assumptions!$C$7) ^ INT(((YEAR(AU$2)-YEAR($F36))*12 + MONTH(AU$2)-MONTH($F36)) / 12),
  0)</f>
        <v/>
      </c>
      <c r="AV36" s="299">
        <f>IF(AND($F36&lt;=AV$2, OR($G36="",$G36&gt;=AV$2)),
  $H36 * (1 + Assumptions!$C$7) ^ INT(((YEAR(AV$2)-YEAR($F36))*12 + MONTH(AV$2)-MONTH($F36)) / 12),
  0)</f>
        <v/>
      </c>
      <c r="AW36" s="299">
        <f>IF(AND($F36&lt;=AW$2, OR($G36="",$G36&gt;=AW$2)),
  $H36 * (1 + Assumptions!$C$7) ^ INT(((YEAR(AW$2)-YEAR($F36))*12 + MONTH(AW$2)-MONTH($F36)) / 12),
  0)</f>
        <v/>
      </c>
      <c r="AX36" s="299">
        <f>IF(AND($F36&lt;=AX$2, OR($G36="",$G36&gt;=AX$2)),
  $H36 * (1 + Assumptions!$C$7) ^ INT(((YEAR(AX$2)-YEAR($F36))*12 + MONTH(AX$2)-MONTH($F36)) / 12),
  0)</f>
        <v/>
      </c>
      <c r="AY36" s="299">
        <f>IF(AND($F36&lt;=AY$2, OR($G36="",$G36&gt;=AY$2)),
  $H36 * (1 + Assumptions!$C$7) ^ INT(((YEAR(AY$2)-YEAR($F36))*12 + MONTH(AY$2)-MONTH($F36)) / 12),
  0)</f>
        <v/>
      </c>
      <c r="AZ36" s="299">
        <f>IF(AND($F36&lt;=AZ$2, OR($G36="",$G36&gt;=AZ$2)),
  $H36 * (1 + Assumptions!$C$7) ^ INT(((YEAR(AZ$2)-YEAR($F36))*12 + MONTH(AZ$2)-MONTH($F36)) / 12),
  0)</f>
        <v/>
      </c>
      <c r="BA36" s="299">
        <f>IF(AND($F36&lt;=BA$2, OR($G36="",$G36&gt;=BA$2)),
  $H36 * (1 + Assumptions!$C$7) ^ INT(((YEAR(BA$2)-YEAR($F36))*12 + MONTH(BA$2)-MONTH($F36)) / 12),
  0)</f>
        <v/>
      </c>
      <c r="BB36" s="299">
        <f>IF(AND($F36&lt;=BB$2, OR($G36="",$G36&gt;=BB$2)),
  $H36 * (1 + Assumptions!$C$7) ^ INT(((YEAR(BB$2)-YEAR($F36))*12 + MONTH(BB$2)-MONTH($F36)) / 12),
  0)</f>
        <v/>
      </c>
      <c r="BC36" s="299">
        <f>IF(AND($F36&lt;=BC$2, OR($G36="",$G36&gt;=BC$2)),
  $H36 * (1 + Assumptions!$C$7) ^ INT(((YEAR(BC$2)-YEAR($F36))*12 + MONTH(BC$2)-MONTH($F36)) / 12),
  0)</f>
        <v/>
      </c>
      <c r="BD36" s="299">
        <f>IF(AND($F36&lt;=BD$2, OR($G36="",$G36&gt;=BD$2)),
  $H36 * (1 + Assumptions!$C$7) ^ INT(((YEAR(BD$2)-YEAR($F36))*12 + MONTH(BD$2)-MONTH($F36)) / 12),
  0)</f>
        <v/>
      </c>
      <c r="BE36" s="299">
        <f>IF(AND($F36&lt;=BE$2, OR($G36="",$G36&gt;=BE$2)),
  $H36 * (1 + Assumptions!$C$7) ^ INT(((YEAR(BE$2)-YEAR($F36))*12 + MONTH(BE$2)-MONTH($F36)) / 12),
  0)</f>
        <v/>
      </c>
      <c r="BF36" s="299">
        <f>IF(AND($F36&lt;=BF$2, OR($G36="",$G36&gt;=BF$2)),
  $H36 * (1 + Assumptions!$C$7) ^ INT(((YEAR(BF$2)-YEAR($F36))*12 + MONTH(BF$2)-MONTH($F36)) / 12),
  0)</f>
        <v/>
      </c>
      <c r="BG36" s="299">
        <f>IF(AND($F36&lt;=BG$2, OR($G36="",$G36&gt;=BG$2)),
  $H36 * (1 + Assumptions!$C$7) ^ INT(((YEAR(BG$2)-YEAR($F36))*12 + MONTH(BG$2)-MONTH($F36)) / 12),
  0)</f>
        <v/>
      </c>
      <c r="BH36" s="299">
        <f>IF(AND($F36&lt;=BH$2, OR($G36="",$G36&gt;=BH$2)),
  $H36 * (1 + Assumptions!$C$7) ^ INT(((YEAR(BH$2)-YEAR($F36))*12 + MONTH(BH$2)-MONTH($F36)) / 12),
  0)</f>
        <v/>
      </c>
      <c r="BI36" s="299">
        <f>IF(AND($F36&lt;=BI$2, OR($G36="",$G36&gt;=BI$2)),
  $H36 * (1 + Assumptions!$C$7) ^ INT(((YEAR(BI$2)-YEAR($F36))*12 + MONTH(BI$2)-MONTH($F36)) / 12),
  0)</f>
        <v/>
      </c>
      <c r="BJ36" s="299">
        <f>IF(AND($F36&lt;=BJ$2, OR($G36="",$G36&gt;=BJ$2)),
  $H36 * (1 + Assumptions!$C$7) ^ INT(((YEAR(BJ$2)-YEAR($F36))*12 + MONTH(BJ$2)-MONTH($F36)) / 12),
  0)</f>
        <v/>
      </c>
      <c r="BK36" s="299">
        <f>IF(AND($F36&lt;=BK$2, OR($G36="",$G36&gt;=BK$2)),
  $H36 * (1 + Assumptions!$C$7) ^ INT(((YEAR(BK$2)-YEAR($F36))*12 + MONTH(BK$2)-MONTH($F36)) / 12),
  0)</f>
        <v/>
      </c>
      <c r="BL36" s="299">
        <f>IF(AND($F36&lt;=BL$2, OR($G36="",$G36&gt;=BL$2)),
  $H36 * (1 + Assumptions!$C$7) ^ INT(((YEAR(BL$2)-YEAR($F36))*12 + MONTH(BL$2)-MONTH($F36)) / 12),
  0)</f>
        <v/>
      </c>
      <c r="BM36" s="299">
        <f>IF(AND($F36&lt;=BM$2, OR($G36="",$G36&gt;=BM$2)),
  $H36 * (1 + Assumptions!$C$7) ^ INT(((YEAR(BM$2)-YEAR($F36))*12 + MONTH(BM$2)-MONTH($F36)) / 12),
  0)</f>
        <v/>
      </c>
      <c r="BN36" s="299">
        <f>IF(AND($F36&lt;=BN$2, OR($G36="",$G36&gt;=BN$2)),
  $H36 * (1 + Assumptions!$C$7) ^ INT(((YEAR(BN$2)-YEAR($F36))*12 + MONTH(BN$2)-MONTH($F36)) / 12),
  0)</f>
        <v/>
      </c>
      <c r="BO36" s="299">
        <f>IF(AND($F36&lt;=BO$2, OR($G36="",$G36&gt;=BO$2)),
  $H36 * (1 + Assumptions!$C$7) ^ INT(((YEAR(BO$2)-YEAR($F36))*12 + MONTH(BO$2)-MONTH($F36)) / 12),
  0)</f>
        <v/>
      </c>
      <c r="BP36" s="299">
        <f>IF(AND($F36&lt;=BP$2, OR($G36="",$G36&gt;=BP$2)),
  $H36 * (1 + Assumptions!$C$7) ^ INT(((YEAR(BP$2)-YEAR($F36))*12 + MONTH(BP$2)-MONTH($F36)) / 12),
  0)</f>
        <v/>
      </c>
      <c r="BQ36" s="307" t="n"/>
      <c r="BR36" s="83" t="inlineStr">
        <is>
          <t>paid this month if started and not yet left; +8% on each work anniversary</t>
        </is>
      </c>
      <c r="BS36" s="307" t="n"/>
      <c r="BT36" s="307" t="n"/>
    </row>
    <row r="37" ht="15.75" customHeight="1" s="349">
      <c r="A37" s="321" t="n">
        <v>32</v>
      </c>
      <c r="B37" s="285" t="inlineStr">
        <is>
          <t>New hire</t>
        </is>
      </c>
      <c r="C37" s="317" t="inlineStr">
        <is>
          <t>G&amp;A</t>
        </is>
      </c>
      <c r="D37" s="321" t="inlineStr">
        <is>
          <t>Logistics</t>
        </is>
      </c>
      <c r="E37" s="297" t="inlineStr">
        <is>
          <t>Planned</t>
        </is>
      </c>
      <c r="F37" s="318">
        <f>IF(Assumptions!$D$82=2,DATE(2028,1,1),DATE(2028,10,1))</f>
        <v/>
      </c>
      <c r="G37" s="319" t="n"/>
      <c r="H37" s="288" t="n">
        <v>6500</v>
      </c>
      <c r="I37" s="299">
        <f>IF(AND($F37&lt;=I$2, OR($G37="",$G37&gt;=I$2)),
  $H37 * (1 + Assumptions!$C$7) ^ INT(((YEAR(I$2)-YEAR($F37))*12 + MONTH(I$2)-MONTH($F37)) / 12),
  0)</f>
        <v/>
      </c>
      <c r="J37" s="299">
        <f>IF(AND($F37&lt;=J$2, OR($G37="",$G37&gt;=J$2)),
  $H37 * (1 + Assumptions!$C$7) ^ INT(((YEAR(J$2)-YEAR($F37))*12 + MONTH(J$2)-MONTH($F37)) / 12),
  0)</f>
        <v/>
      </c>
      <c r="K37" s="299">
        <f>IF(AND($F37&lt;=K$2, OR($G37="",$G37&gt;=K$2)),
  $H37 * (1 + Assumptions!$C$7) ^ INT(((YEAR(K$2)-YEAR($F37))*12 + MONTH(K$2)-MONTH($F37)) / 12),
  0)</f>
        <v/>
      </c>
      <c r="L37" s="299">
        <f>IF(AND($F37&lt;=L$2, OR($G37="",$G37&gt;=L$2)),
  $H37 * (1 + Assumptions!$C$7) ^ INT(((YEAR(L$2)-YEAR($F37))*12 + MONTH(L$2)-MONTH($F37)) / 12),
  0)</f>
        <v/>
      </c>
      <c r="M37" s="299">
        <f>IF(AND($F37&lt;=M$2, OR($G37="",$G37&gt;=M$2)),
  $H37 * (1 + Assumptions!$C$7) ^ INT(((YEAR(M$2)-YEAR($F37))*12 + MONTH(M$2)-MONTH($F37)) / 12),
  0)</f>
        <v/>
      </c>
      <c r="N37" s="299">
        <f>IF(AND($F37&lt;=N$2, OR($G37="",$G37&gt;=N$2)),
  $H37 * (1 + Assumptions!$C$7) ^ INT(((YEAR(N$2)-YEAR($F37))*12 + MONTH(N$2)-MONTH($F37)) / 12),
  0)</f>
        <v/>
      </c>
      <c r="O37" s="299">
        <f>IF(AND($F37&lt;=O$2, OR($G37="",$G37&gt;=O$2)),
  $H37 * (1 + Assumptions!$C$7) ^ INT(((YEAR(O$2)-YEAR($F37))*12 + MONTH(O$2)-MONTH($F37)) / 12),
  0)</f>
        <v/>
      </c>
      <c r="P37" s="299">
        <f>IF(AND($F37&lt;=P$2, OR($G37="",$G37&gt;=P$2)),
  $H37 * (1 + Assumptions!$C$7) ^ INT(((YEAR(P$2)-YEAR($F37))*12 + MONTH(P$2)-MONTH($F37)) / 12),
  0)</f>
        <v/>
      </c>
      <c r="Q37" s="299">
        <f>IF(AND($F37&lt;=Q$2, OR($G37="",$G37&gt;=Q$2)),
  $H37 * (1 + Assumptions!$C$7) ^ INT(((YEAR(Q$2)-YEAR($F37))*12 + MONTH(Q$2)-MONTH($F37)) / 12),
  0)</f>
        <v/>
      </c>
      <c r="R37" s="299">
        <f>IF(AND($F37&lt;=R$2, OR($G37="",$G37&gt;=R$2)),
  $H37 * (1 + Assumptions!$C$7) ^ INT(((YEAR(R$2)-YEAR($F37))*12 + MONTH(R$2)-MONTH($F37)) / 12),
  0)</f>
        <v/>
      </c>
      <c r="S37" s="299">
        <f>IF(AND($F37&lt;=S$2, OR($G37="",$G37&gt;=S$2)),
  $H37 * (1 + Assumptions!$C$7) ^ INT(((YEAR(S$2)-YEAR($F37))*12 + MONTH(S$2)-MONTH($F37)) / 12),
  0)</f>
        <v/>
      </c>
      <c r="T37" s="299">
        <f>IF(AND($F37&lt;=T$2, OR($G37="",$G37&gt;=T$2)),
  $H37 * (1 + Assumptions!$C$7) ^ INT(((YEAR(T$2)-YEAR($F37))*12 + MONTH(T$2)-MONTH($F37)) / 12),
  0)</f>
        <v/>
      </c>
      <c r="U37" s="299">
        <f>IF(AND($F37&lt;=U$2, OR($G37="",$G37&gt;=U$2)),
  $H37 * (1 + Assumptions!$C$7) ^ INT(((YEAR(U$2)-YEAR($F37))*12 + MONTH(U$2)-MONTH($F37)) / 12),
  0)</f>
        <v/>
      </c>
      <c r="V37" s="299">
        <f>IF(AND($F37&lt;=V$2, OR($G37="",$G37&gt;=V$2)),
  $H37 * (1 + Assumptions!$C$7) ^ INT(((YEAR(V$2)-YEAR($F37))*12 + MONTH(V$2)-MONTH($F37)) / 12),
  0)</f>
        <v/>
      </c>
      <c r="W37" s="299">
        <f>IF(AND($F37&lt;=W$2, OR($G37="",$G37&gt;=W$2)),
  $H37 * (1 + Assumptions!$C$7) ^ INT(((YEAR(W$2)-YEAR($F37))*12 + MONTH(W$2)-MONTH($F37)) / 12),
  0)</f>
        <v/>
      </c>
      <c r="X37" s="299">
        <f>IF(AND($F37&lt;=X$2, OR($G37="",$G37&gt;=X$2)),
  $H37 * (1 + Assumptions!$C$7) ^ INT(((YEAR(X$2)-YEAR($F37))*12 + MONTH(X$2)-MONTH($F37)) / 12),
  0)</f>
        <v/>
      </c>
      <c r="Y37" s="299">
        <f>IF(AND($F37&lt;=Y$2, OR($G37="",$G37&gt;=Y$2)),
  $H37 * (1 + Assumptions!$C$7) ^ INT(((YEAR(Y$2)-YEAR($F37))*12 + MONTH(Y$2)-MONTH($F37)) / 12),
  0)</f>
        <v/>
      </c>
      <c r="Z37" s="299">
        <f>IF(AND($F37&lt;=Z$2, OR($G37="",$G37&gt;=Z$2)),
  $H37 * (1 + Assumptions!$C$7) ^ INT(((YEAR(Z$2)-YEAR($F37))*12 + MONTH(Z$2)-MONTH($F37)) / 12),
  0)</f>
        <v/>
      </c>
      <c r="AA37" s="299">
        <f>IF(AND($F37&lt;=AA$2, OR($G37="",$G37&gt;=AA$2)),
  $H37 * (1 + Assumptions!$C$7) ^ INT(((YEAR(AA$2)-YEAR($F37))*12 + MONTH(AA$2)-MONTH($F37)) / 12),
  0)</f>
        <v/>
      </c>
      <c r="AB37" s="299">
        <f>IF(AND($F37&lt;=AB$2, OR($G37="",$G37&gt;=AB$2)),
  $H37 * (1 + Assumptions!$C$7) ^ INT(((YEAR(AB$2)-YEAR($F37))*12 + MONTH(AB$2)-MONTH($F37)) / 12),
  0)</f>
        <v/>
      </c>
      <c r="AC37" s="299">
        <f>IF(AND($F37&lt;=AC$2, OR($G37="",$G37&gt;=AC$2)),
  $H37 * (1 + Assumptions!$C$7) ^ INT(((YEAR(AC$2)-YEAR($F37))*12 + MONTH(AC$2)-MONTH($F37)) / 12),
  0)</f>
        <v/>
      </c>
      <c r="AD37" s="299">
        <f>IF(AND($F37&lt;=AD$2, OR($G37="",$G37&gt;=AD$2)),
  $H37 * (1 + Assumptions!$C$7) ^ INT(((YEAR(AD$2)-YEAR($F37))*12 + MONTH(AD$2)-MONTH($F37)) / 12),
  0)</f>
        <v/>
      </c>
      <c r="AE37" s="299">
        <f>IF(AND($F37&lt;=AE$2, OR($G37="",$G37&gt;=AE$2)),
  $H37 * (1 + Assumptions!$C$7) ^ INT(((YEAR(AE$2)-YEAR($F37))*12 + MONTH(AE$2)-MONTH($F37)) / 12),
  0)</f>
        <v/>
      </c>
      <c r="AF37" s="299">
        <f>IF(AND($F37&lt;=AF$2, OR($G37="",$G37&gt;=AF$2)),
  $H37 * (1 + Assumptions!$C$7) ^ INT(((YEAR(AF$2)-YEAR($F37))*12 + MONTH(AF$2)-MONTH($F37)) / 12),
  0)</f>
        <v/>
      </c>
      <c r="AG37" s="299">
        <f>IF(AND($F37&lt;=AG$2, OR($G37="",$G37&gt;=AG$2)),
  $H37 * (1 + Assumptions!$C$7) ^ INT(((YEAR(AG$2)-YEAR($F37))*12 + MONTH(AG$2)-MONTH($F37)) / 12),
  0)</f>
        <v/>
      </c>
      <c r="AH37" s="299">
        <f>IF(AND($F37&lt;=AH$2, OR($G37="",$G37&gt;=AH$2)),
  $H37 * (1 + Assumptions!$C$7) ^ INT(((YEAR(AH$2)-YEAR($F37))*12 + MONTH(AH$2)-MONTH($F37)) / 12),
  0)</f>
        <v/>
      </c>
      <c r="AI37" s="299">
        <f>IF(AND($F37&lt;=AI$2, OR($G37="",$G37&gt;=AI$2)),
  $H37 * (1 + Assumptions!$C$7) ^ INT(((YEAR(AI$2)-YEAR($F37))*12 + MONTH(AI$2)-MONTH($F37)) / 12),
  0)</f>
        <v/>
      </c>
      <c r="AJ37" s="299">
        <f>IF(AND($F37&lt;=AJ$2, OR($G37="",$G37&gt;=AJ$2)),
  $H37 * (1 + Assumptions!$C$7) ^ INT(((YEAR(AJ$2)-YEAR($F37))*12 + MONTH(AJ$2)-MONTH($F37)) / 12),
  0)</f>
        <v/>
      </c>
      <c r="AK37" s="299">
        <f>IF(AND($F37&lt;=AK$2, OR($G37="",$G37&gt;=AK$2)),
  $H37 * (1 + Assumptions!$C$7) ^ INT(((YEAR(AK$2)-YEAR($F37))*12 + MONTH(AK$2)-MONTH($F37)) / 12),
  0)</f>
        <v/>
      </c>
      <c r="AL37" s="299">
        <f>IF(AND($F37&lt;=AL$2, OR($G37="",$G37&gt;=AL$2)),
  $H37 * (1 + Assumptions!$C$7) ^ INT(((YEAR(AL$2)-YEAR($F37))*12 + MONTH(AL$2)-MONTH($F37)) / 12),
  0)</f>
        <v/>
      </c>
      <c r="AM37" s="299">
        <f>IF(AND($F37&lt;=AM$2, OR($G37="",$G37&gt;=AM$2)),
  $H37 * (1 + Assumptions!$C$7) ^ INT(((YEAR(AM$2)-YEAR($F37))*12 + MONTH(AM$2)-MONTH($F37)) / 12),
  0)</f>
        <v/>
      </c>
      <c r="AN37" s="299">
        <f>IF(AND($F37&lt;=AN$2, OR($G37="",$G37&gt;=AN$2)),
  $H37 * (1 + Assumptions!$C$7) ^ INT(((YEAR(AN$2)-YEAR($F37))*12 + MONTH(AN$2)-MONTH($F37)) / 12),
  0)</f>
        <v/>
      </c>
      <c r="AO37" s="299">
        <f>IF(AND($F37&lt;=AO$2, OR($G37="",$G37&gt;=AO$2)),
  $H37 * (1 + Assumptions!$C$7) ^ INT(((YEAR(AO$2)-YEAR($F37))*12 + MONTH(AO$2)-MONTH($F37)) / 12),
  0)</f>
        <v/>
      </c>
      <c r="AP37" s="299">
        <f>IF(AND($F37&lt;=AP$2, OR($G37="",$G37&gt;=AP$2)),
  $H37 * (1 + Assumptions!$C$7) ^ INT(((YEAR(AP$2)-YEAR($F37))*12 + MONTH(AP$2)-MONTH($F37)) / 12),
  0)</f>
        <v/>
      </c>
      <c r="AQ37" s="299">
        <f>IF(AND($F37&lt;=AQ$2, OR($G37="",$G37&gt;=AQ$2)),
  $H37 * (1 + Assumptions!$C$7) ^ INT(((YEAR(AQ$2)-YEAR($F37))*12 + MONTH(AQ$2)-MONTH($F37)) / 12),
  0)</f>
        <v/>
      </c>
      <c r="AR37" s="299">
        <f>IF(AND($F37&lt;=AR$2, OR($G37="",$G37&gt;=AR$2)),
  $H37 * (1 + Assumptions!$C$7) ^ INT(((YEAR(AR$2)-YEAR($F37))*12 + MONTH(AR$2)-MONTH($F37)) / 12),
  0)</f>
        <v/>
      </c>
      <c r="AS37" s="299">
        <f>IF(AND($F37&lt;=AS$2, OR($G37="",$G37&gt;=AS$2)),
  $H37 * (1 + Assumptions!$C$7) ^ INT(((YEAR(AS$2)-YEAR($F37))*12 + MONTH(AS$2)-MONTH($F37)) / 12),
  0)</f>
        <v/>
      </c>
      <c r="AT37" s="299">
        <f>IF(AND($F37&lt;=AT$2, OR($G37="",$G37&gt;=AT$2)),
  $H37 * (1 + Assumptions!$C$7) ^ INT(((YEAR(AT$2)-YEAR($F37))*12 + MONTH(AT$2)-MONTH($F37)) / 12),
  0)</f>
        <v/>
      </c>
      <c r="AU37" s="299">
        <f>IF(AND($F37&lt;=AU$2, OR($G37="",$G37&gt;=AU$2)),
  $H37 * (1 + Assumptions!$C$7) ^ INT(((YEAR(AU$2)-YEAR($F37))*12 + MONTH(AU$2)-MONTH($F37)) / 12),
  0)</f>
        <v/>
      </c>
      <c r="AV37" s="299">
        <f>IF(AND($F37&lt;=AV$2, OR($G37="",$G37&gt;=AV$2)),
  $H37 * (1 + Assumptions!$C$7) ^ INT(((YEAR(AV$2)-YEAR($F37))*12 + MONTH(AV$2)-MONTH($F37)) / 12),
  0)</f>
        <v/>
      </c>
      <c r="AW37" s="299">
        <f>IF(AND($F37&lt;=AW$2, OR($G37="",$G37&gt;=AW$2)),
  $H37 * (1 + Assumptions!$C$7) ^ INT(((YEAR(AW$2)-YEAR($F37))*12 + MONTH(AW$2)-MONTH($F37)) / 12),
  0)</f>
        <v/>
      </c>
      <c r="AX37" s="299">
        <f>IF(AND($F37&lt;=AX$2, OR($G37="",$G37&gt;=AX$2)),
  $H37 * (1 + Assumptions!$C$7) ^ INT(((YEAR(AX$2)-YEAR($F37))*12 + MONTH(AX$2)-MONTH($F37)) / 12),
  0)</f>
        <v/>
      </c>
      <c r="AY37" s="299">
        <f>IF(AND($F37&lt;=AY$2, OR($G37="",$G37&gt;=AY$2)),
  $H37 * (1 + Assumptions!$C$7) ^ INT(((YEAR(AY$2)-YEAR($F37))*12 + MONTH(AY$2)-MONTH($F37)) / 12),
  0)</f>
        <v/>
      </c>
      <c r="AZ37" s="299">
        <f>IF(AND($F37&lt;=AZ$2, OR($G37="",$G37&gt;=AZ$2)),
  $H37 * (1 + Assumptions!$C$7) ^ INT(((YEAR(AZ$2)-YEAR($F37))*12 + MONTH(AZ$2)-MONTH($F37)) / 12),
  0)</f>
        <v/>
      </c>
      <c r="BA37" s="299">
        <f>IF(AND($F37&lt;=BA$2, OR($G37="",$G37&gt;=BA$2)),
  $H37 * (1 + Assumptions!$C$7) ^ INT(((YEAR(BA$2)-YEAR($F37))*12 + MONTH(BA$2)-MONTH($F37)) / 12),
  0)</f>
        <v/>
      </c>
      <c r="BB37" s="299">
        <f>IF(AND($F37&lt;=BB$2, OR($G37="",$G37&gt;=BB$2)),
  $H37 * (1 + Assumptions!$C$7) ^ INT(((YEAR(BB$2)-YEAR($F37))*12 + MONTH(BB$2)-MONTH($F37)) / 12),
  0)</f>
        <v/>
      </c>
      <c r="BC37" s="299">
        <f>IF(AND($F37&lt;=BC$2, OR($G37="",$G37&gt;=BC$2)),
  $H37 * (1 + Assumptions!$C$7) ^ INT(((YEAR(BC$2)-YEAR($F37))*12 + MONTH(BC$2)-MONTH($F37)) / 12),
  0)</f>
        <v/>
      </c>
      <c r="BD37" s="299">
        <f>IF(AND($F37&lt;=BD$2, OR($G37="",$G37&gt;=BD$2)),
  $H37 * (1 + Assumptions!$C$7) ^ INT(((YEAR(BD$2)-YEAR($F37))*12 + MONTH(BD$2)-MONTH($F37)) / 12),
  0)</f>
        <v/>
      </c>
      <c r="BE37" s="299">
        <f>IF(AND($F37&lt;=BE$2, OR($G37="",$G37&gt;=BE$2)),
  $H37 * (1 + Assumptions!$C$7) ^ INT(((YEAR(BE$2)-YEAR($F37))*12 + MONTH(BE$2)-MONTH($F37)) / 12),
  0)</f>
        <v/>
      </c>
      <c r="BF37" s="299">
        <f>IF(AND($F37&lt;=BF$2, OR($G37="",$G37&gt;=BF$2)),
  $H37 * (1 + Assumptions!$C$7) ^ INT(((YEAR(BF$2)-YEAR($F37))*12 + MONTH(BF$2)-MONTH($F37)) / 12),
  0)</f>
        <v/>
      </c>
      <c r="BG37" s="299">
        <f>IF(AND($F37&lt;=BG$2, OR($G37="",$G37&gt;=BG$2)),
  $H37 * (1 + Assumptions!$C$7) ^ INT(((YEAR(BG$2)-YEAR($F37))*12 + MONTH(BG$2)-MONTH($F37)) / 12),
  0)</f>
        <v/>
      </c>
      <c r="BH37" s="299">
        <f>IF(AND($F37&lt;=BH$2, OR($G37="",$G37&gt;=BH$2)),
  $H37 * (1 + Assumptions!$C$7) ^ INT(((YEAR(BH$2)-YEAR($F37))*12 + MONTH(BH$2)-MONTH($F37)) / 12),
  0)</f>
        <v/>
      </c>
      <c r="BI37" s="299">
        <f>IF(AND($F37&lt;=BI$2, OR($G37="",$G37&gt;=BI$2)),
  $H37 * (1 + Assumptions!$C$7) ^ INT(((YEAR(BI$2)-YEAR($F37))*12 + MONTH(BI$2)-MONTH($F37)) / 12),
  0)</f>
        <v/>
      </c>
      <c r="BJ37" s="299">
        <f>IF(AND($F37&lt;=BJ$2, OR($G37="",$G37&gt;=BJ$2)),
  $H37 * (1 + Assumptions!$C$7) ^ INT(((YEAR(BJ$2)-YEAR($F37))*12 + MONTH(BJ$2)-MONTH($F37)) / 12),
  0)</f>
        <v/>
      </c>
      <c r="BK37" s="299">
        <f>IF(AND($F37&lt;=BK$2, OR($G37="",$G37&gt;=BK$2)),
  $H37 * (1 + Assumptions!$C$7) ^ INT(((YEAR(BK$2)-YEAR($F37))*12 + MONTH(BK$2)-MONTH($F37)) / 12),
  0)</f>
        <v/>
      </c>
      <c r="BL37" s="299">
        <f>IF(AND($F37&lt;=BL$2, OR($G37="",$G37&gt;=BL$2)),
  $H37 * (1 + Assumptions!$C$7) ^ INT(((YEAR(BL$2)-YEAR($F37))*12 + MONTH(BL$2)-MONTH($F37)) / 12),
  0)</f>
        <v/>
      </c>
      <c r="BM37" s="299">
        <f>IF(AND($F37&lt;=BM$2, OR($G37="",$G37&gt;=BM$2)),
  $H37 * (1 + Assumptions!$C$7) ^ INT(((YEAR(BM$2)-YEAR($F37))*12 + MONTH(BM$2)-MONTH($F37)) / 12),
  0)</f>
        <v/>
      </c>
      <c r="BN37" s="299">
        <f>IF(AND($F37&lt;=BN$2, OR($G37="",$G37&gt;=BN$2)),
  $H37 * (1 + Assumptions!$C$7) ^ INT(((YEAR(BN$2)-YEAR($F37))*12 + MONTH(BN$2)-MONTH($F37)) / 12),
  0)</f>
        <v/>
      </c>
      <c r="BO37" s="299">
        <f>IF(AND($F37&lt;=BO$2, OR($G37="",$G37&gt;=BO$2)),
  $H37 * (1 + Assumptions!$C$7) ^ INT(((YEAR(BO$2)-YEAR($F37))*12 + MONTH(BO$2)-MONTH($F37)) / 12),
  0)</f>
        <v/>
      </c>
      <c r="BP37" s="299">
        <f>IF(AND($F37&lt;=BP$2, OR($G37="",$G37&gt;=BP$2)),
  $H37 * (1 + Assumptions!$C$7) ^ INT(((YEAR(BP$2)-YEAR($F37))*12 + MONTH(BP$2)-MONTH($F37)) / 12),
  0)</f>
        <v/>
      </c>
      <c r="BQ37" s="31" t="n"/>
      <c r="BR37" s="40" t="inlineStr">
        <is>
          <t>paid this month if started and not yet left; +8% on each work anniversary</t>
        </is>
      </c>
      <c r="BS37" s="31" t="n"/>
      <c r="BT37" s="31" t="n"/>
    </row>
    <row r="38" ht="15.75" customHeight="1" s="349">
      <c r="A38" s="321" t="n">
        <v>33</v>
      </c>
      <c r="B38" s="285" t="inlineStr">
        <is>
          <t>New hire</t>
        </is>
      </c>
      <c r="C38" s="23" t="inlineStr">
        <is>
          <t>S&amp;M</t>
        </is>
      </c>
      <c r="D38" s="321" t="inlineStr">
        <is>
          <t>Account Manager</t>
        </is>
      </c>
      <c r="E38" s="297" t="inlineStr">
        <is>
          <t>Planned</t>
        </is>
      </c>
      <c r="F38" s="318" t="n">
        <v>47027</v>
      </c>
      <c r="G38" s="319" t="n"/>
      <c r="H38" s="288" t="n">
        <v>8000</v>
      </c>
      <c r="I38" s="299">
        <f>IF(AND($F38&lt;=I$2, OR($G38="",$G38&gt;=I$2)),
  $H38 * (1 + Assumptions!$C$7) ^ INT(((YEAR(I$2)-YEAR($F38))*12 + MONTH(I$2)-MONTH($F38)) / 12),
  0)</f>
        <v/>
      </c>
      <c r="J38" s="299">
        <f>IF(AND($F38&lt;=J$2, OR($G38="",$G38&gt;=J$2)),
  $H38 * (1 + Assumptions!$C$7) ^ INT(((YEAR(J$2)-YEAR($F38))*12 + MONTH(J$2)-MONTH($F38)) / 12),
  0)</f>
        <v/>
      </c>
      <c r="K38" s="299">
        <f>IF(AND($F38&lt;=K$2, OR($G38="",$G38&gt;=K$2)),
  $H38 * (1 + Assumptions!$C$7) ^ INT(((YEAR(K$2)-YEAR($F38))*12 + MONTH(K$2)-MONTH($F38)) / 12),
  0)</f>
        <v/>
      </c>
      <c r="L38" s="299">
        <f>IF(AND($F38&lt;=L$2, OR($G38="",$G38&gt;=L$2)),
  $H38 * (1 + Assumptions!$C$7) ^ INT(((YEAR(L$2)-YEAR($F38))*12 + MONTH(L$2)-MONTH($F38)) / 12),
  0)</f>
        <v/>
      </c>
      <c r="M38" s="299">
        <f>IF(AND($F38&lt;=M$2, OR($G38="",$G38&gt;=M$2)),
  $H38 * (1 + Assumptions!$C$7) ^ INT(((YEAR(M$2)-YEAR($F38))*12 + MONTH(M$2)-MONTH($F38)) / 12),
  0)</f>
        <v/>
      </c>
      <c r="N38" s="299">
        <f>IF(AND($F38&lt;=N$2, OR($G38="",$G38&gt;=N$2)),
  $H38 * (1 + Assumptions!$C$7) ^ INT(((YEAR(N$2)-YEAR($F38))*12 + MONTH(N$2)-MONTH($F38)) / 12),
  0)</f>
        <v/>
      </c>
      <c r="O38" s="299">
        <f>IF(AND($F38&lt;=O$2, OR($G38="",$G38&gt;=O$2)),
  $H38 * (1 + Assumptions!$C$7) ^ INT(((YEAR(O$2)-YEAR($F38))*12 + MONTH(O$2)-MONTH($F38)) / 12),
  0)</f>
        <v/>
      </c>
      <c r="P38" s="299">
        <f>IF(AND($F38&lt;=P$2, OR($G38="",$G38&gt;=P$2)),
  $H38 * (1 + Assumptions!$C$7) ^ INT(((YEAR(P$2)-YEAR($F38))*12 + MONTH(P$2)-MONTH($F38)) / 12),
  0)</f>
        <v/>
      </c>
      <c r="Q38" s="299">
        <f>IF(AND($F38&lt;=Q$2, OR($G38="",$G38&gt;=Q$2)),
  $H38 * (1 + Assumptions!$C$7) ^ INT(((YEAR(Q$2)-YEAR($F38))*12 + MONTH(Q$2)-MONTH($F38)) / 12),
  0)</f>
        <v/>
      </c>
      <c r="R38" s="299">
        <f>IF(AND($F38&lt;=R$2, OR($G38="",$G38&gt;=R$2)),
  $H38 * (1 + Assumptions!$C$7) ^ INT(((YEAR(R$2)-YEAR($F38))*12 + MONTH(R$2)-MONTH($F38)) / 12),
  0)</f>
        <v/>
      </c>
      <c r="S38" s="299">
        <f>IF(AND($F38&lt;=S$2, OR($G38="",$G38&gt;=S$2)),
  $H38 * (1 + Assumptions!$C$7) ^ INT(((YEAR(S$2)-YEAR($F38))*12 + MONTH(S$2)-MONTH($F38)) / 12),
  0)</f>
        <v/>
      </c>
      <c r="T38" s="299">
        <f>IF(AND($F38&lt;=T$2, OR($G38="",$G38&gt;=T$2)),
  $H38 * (1 + Assumptions!$C$7) ^ INT(((YEAR(T$2)-YEAR($F38))*12 + MONTH(T$2)-MONTH($F38)) / 12),
  0)</f>
        <v/>
      </c>
      <c r="U38" s="299">
        <f>IF(AND($F38&lt;=U$2, OR($G38="",$G38&gt;=U$2)),
  $H38 * (1 + Assumptions!$C$7) ^ INT(((YEAR(U$2)-YEAR($F38))*12 + MONTH(U$2)-MONTH($F38)) / 12),
  0)</f>
        <v/>
      </c>
      <c r="V38" s="299">
        <f>IF(AND($F38&lt;=V$2, OR($G38="",$G38&gt;=V$2)),
  $H38 * (1 + Assumptions!$C$7) ^ INT(((YEAR(V$2)-YEAR($F38))*12 + MONTH(V$2)-MONTH($F38)) / 12),
  0)</f>
        <v/>
      </c>
      <c r="W38" s="299">
        <f>IF(AND($F38&lt;=W$2, OR($G38="",$G38&gt;=W$2)),
  $H38 * (1 + Assumptions!$C$7) ^ INT(((YEAR(W$2)-YEAR($F38))*12 + MONTH(W$2)-MONTH($F38)) / 12),
  0)</f>
        <v/>
      </c>
      <c r="X38" s="299">
        <f>IF(AND($F38&lt;=X$2, OR($G38="",$G38&gt;=X$2)),
  $H38 * (1 + Assumptions!$C$7) ^ INT(((YEAR(X$2)-YEAR($F38))*12 + MONTH(X$2)-MONTH($F38)) / 12),
  0)</f>
        <v/>
      </c>
      <c r="Y38" s="299">
        <f>IF(AND($F38&lt;=Y$2, OR($G38="",$G38&gt;=Y$2)),
  $H38 * (1 + Assumptions!$C$7) ^ INT(((YEAR(Y$2)-YEAR($F38))*12 + MONTH(Y$2)-MONTH($F38)) / 12),
  0)</f>
        <v/>
      </c>
      <c r="Z38" s="299">
        <f>IF(AND($F38&lt;=Z$2, OR($G38="",$G38&gt;=Z$2)),
  $H38 * (1 + Assumptions!$C$7) ^ INT(((YEAR(Z$2)-YEAR($F38))*12 + MONTH(Z$2)-MONTH($F38)) / 12),
  0)</f>
        <v/>
      </c>
      <c r="AA38" s="299">
        <f>IF(AND($F38&lt;=AA$2, OR($G38="",$G38&gt;=AA$2)),
  $H38 * (1 + Assumptions!$C$7) ^ INT(((YEAR(AA$2)-YEAR($F38))*12 + MONTH(AA$2)-MONTH($F38)) / 12),
  0)</f>
        <v/>
      </c>
      <c r="AB38" s="299">
        <f>IF(AND($F38&lt;=AB$2, OR($G38="",$G38&gt;=AB$2)),
  $H38 * (1 + Assumptions!$C$7) ^ INT(((YEAR(AB$2)-YEAR($F38))*12 + MONTH(AB$2)-MONTH($F38)) / 12),
  0)</f>
        <v/>
      </c>
      <c r="AC38" s="299">
        <f>IF(AND($F38&lt;=AC$2, OR($G38="",$G38&gt;=AC$2)),
  $H38 * (1 + Assumptions!$C$7) ^ INT(((YEAR(AC$2)-YEAR($F38))*12 + MONTH(AC$2)-MONTH($F38)) / 12),
  0)</f>
        <v/>
      </c>
      <c r="AD38" s="299">
        <f>IF(AND($F38&lt;=AD$2, OR($G38="",$G38&gt;=AD$2)),
  $H38 * (1 + Assumptions!$C$7) ^ INT(((YEAR(AD$2)-YEAR($F38))*12 + MONTH(AD$2)-MONTH($F38)) / 12),
  0)</f>
        <v/>
      </c>
      <c r="AE38" s="299">
        <f>IF(AND($F38&lt;=AE$2, OR($G38="",$G38&gt;=AE$2)),
  $H38 * (1 + Assumptions!$C$7) ^ INT(((YEAR(AE$2)-YEAR($F38))*12 + MONTH(AE$2)-MONTH($F38)) / 12),
  0)</f>
        <v/>
      </c>
      <c r="AF38" s="299">
        <f>IF(AND($F38&lt;=AF$2, OR($G38="",$G38&gt;=AF$2)),
  $H38 * (1 + Assumptions!$C$7) ^ INT(((YEAR(AF$2)-YEAR($F38))*12 + MONTH(AF$2)-MONTH($F38)) / 12),
  0)</f>
        <v/>
      </c>
      <c r="AG38" s="299">
        <f>IF(AND($F38&lt;=AG$2, OR($G38="",$G38&gt;=AG$2)),
  $H38 * (1 + Assumptions!$C$7) ^ INT(((YEAR(AG$2)-YEAR($F38))*12 + MONTH(AG$2)-MONTH($F38)) / 12),
  0)</f>
        <v/>
      </c>
      <c r="AH38" s="299">
        <f>IF(AND($F38&lt;=AH$2, OR($G38="",$G38&gt;=AH$2)),
  $H38 * (1 + Assumptions!$C$7) ^ INT(((YEAR(AH$2)-YEAR($F38))*12 + MONTH(AH$2)-MONTH($F38)) / 12),
  0)</f>
        <v/>
      </c>
      <c r="AI38" s="299">
        <f>IF(AND($F38&lt;=AI$2, OR($G38="",$G38&gt;=AI$2)),
  $H38 * (1 + Assumptions!$C$7) ^ INT(((YEAR(AI$2)-YEAR($F38))*12 + MONTH(AI$2)-MONTH($F38)) / 12),
  0)</f>
        <v/>
      </c>
      <c r="AJ38" s="299">
        <f>IF(AND($F38&lt;=AJ$2, OR($G38="",$G38&gt;=AJ$2)),
  $H38 * (1 + Assumptions!$C$7) ^ INT(((YEAR(AJ$2)-YEAR($F38))*12 + MONTH(AJ$2)-MONTH($F38)) / 12),
  0)</f>
        <v/>
      </c>
      <c r="AK38" s="299">
        <f>IF(AND($F38&lt;=AK$2, OR($G38="",$G38&gt;=AK$2)),
  $H38 * (1 + Assumptions!$C$7) ^ INT(((YEAR(AK$2)-YEAR($F38))*12 + MONTH(AK$2)-MONTH($F38)) / 12),
  0)</f>
        <v/>
      </c>
      <c r="AL38" s="299">
        <f>IF(AND($F38&lt;=AL$2, OR($G38="",$G38&gt;=AL$2)),
  $H38 * (1 + Assumptions!$C$7) ^ INT(((YEAR(AL$2)-YEAR($F38))*12 + MONTH(AL$2)-MONTH($F38)) / 12),
  0)</f>
        <v/>
      </c>
      <c r="AM38" s="299">
        <f>IF(AND($F38&lt;=AM$2, OR($G38="",$G38&gt;=AM$2)),
  $H38 * (1 + Assumptions!$C$7) ^ INT(((YEAR(AM$2)-YEAR($F38))*12 + MONTH(AM$2)-MONTH($F38)) / 12),
  0)</f>
        <v/>
      </c>
      <c r="AN38" s="299">
        <f>IF(AND($F38&lt;=AN$2, OR($G38="",$G38&gt;=AN$2)),
  $H38 * (1 + Assumptions!$C$7) ^ INT(((YEAR(AN$2)-YEAR($F38))*12 + MONTH(AN$2)-MONTH($F38)) / 12),
  0)</f>
        <v/>
      </c>
      <c r="AO38" s="299">
        <f>IF(AND($F38&lt;=AO$2, OR($G38="",$G38&gt;=AO$2)),
  $H38 * (1 + Assumptions!$C$7) ^ INT(((YEAR(AO$2)-YEAR($F38))*12 + MONTH(AO$2)-MONTH($F38)) / 12),
  0)</f>
        <v/>
      </c>
      <c r="AP38" s="299">
        <f>IF(AND($F38&lt;=AP$2, OR($G38="",$G38&gt;=AP$2)),
  $H38 * (1 + Assumptions!$C$7) ^ INT(((YEAR(AP$2)-YEAR($F38))*12 + MONTH(AP$2)-MONTH($F38)) / 12),
  0)</f>
        <v/>
      </c>
      <c r="AQ38" s="299">
        <f>IF(AND($F38&lt;=AQ$2, OR($G38="",$G38&gt;=AQ$2)),
  $H38 * (1 + Assumptions!$C$7) ^ INT(((YEAR(AQ$2)-YEAR($F38))*12 + MONTH(AQ$2)-MONTH($F38)) / 12),
  0)</f>
        <v/>
      </c>
      <c r="AR38" s="299">
        <f>IF(AND($F38&lt;=AR$2, OR($G38="",$G38&gt;=AR$2)),
  $H38 * (1 + Assumptions!$C$7) ^ INT(((YEAR(AR$2)-YEAR($F38))*12 + MONTH(AR$2)-MONTH($F38)) / 12),
  0)</f>
        <v/>
      </c>
      <c r="AS38" s="299">
        <f>IF(AND($F38&lt;=AS$2, OR($G38="",$G38&gt;=AS$2)),
  $H38 * (1 + Assumptions!$C$7) ^ INT(((YEAR(AS$2)-YEAR($F38))*12 + MONTH(AS$2)-MONTH($F38)) / 12),
  0)</f>
        <v/>
      </c>
      <c r="AT38" s="299">
        <f>IF(AND($F38&lt;=AT$2, OR($G38="",$G38&gt;=AT$2)),
  $H38 * (1 + Assumptions!$C$7) ^ INT(((YEAR(AT$2)-YEAR($F38))*12 + MONTH(AT$2)-MONTH($F38)) / 12),
  0)</f>
        <v/>
      </c>
      <c r="AU38" s="299">
        <f>IF(AND($F38&lt;=AU$2, OR($G38="",$G38&gt;=AU$2)),
  $H38 * (1 + Assumptions!$C$7) ^ INT(((YEAR(AU$2)-YEAR($F38))*12 + MONTH(AU$2)-MONTH($F38)) / 12),
  0)</f>
        <v/>
      </c>
      <c r="AV38" s="299">
        <f>IF(AND($F38&lt;=AV$2, OR($G38="",$G38&gt;=AV$2)),
  $H38 * (1 + Assumptions!$C$7) ^ INT(((YEAR(AV$2)-YEAR($F38))*12 + MONTH(AV$2)-MONTH($F38)) / 12),
  0)</f>
        <v/>
      </c>
      <c r="AW38" s="299">
        <f>IF(AND($F38&lt;=AW$2, OR($G38="",$G38&gt;=AW$2)),
  $H38 * (1 + Assumptions!$C$7) ^ INT(((YEAR(AW$2)-YEAR($F38))*12 + MONTH(AW$2)-MONTH($F38)) / 12),
  0)</f>
        <v/>
      </c>
      <c r="AX38" s="299">
        <f>IF(AND($F38&lt;=AX$2, OR($G38="",$G38&gt;=AX$2)),
  $H38 * (1 + Assumptions!$C$7) ^ INT(((YEAR(AX$2)-YEAR($F38))*12 + MONTH(AX$2)-MONTH($F38)) / 12),
  0)</f>
        <v/>
      </c>
      <c r="AY38" s="299">
        <f>IF(AND($F38&lt;=AY$2, OR($G38="",$G38&gt;=AY$2)),
  $H38 * (1 + Assumptions!$C$7) ^ INT(((YEAR(AY$2)-YEAR($F38))*12 + MONTH(AY$2)-MONTH($F38)) / 12),
  0)</f>
        <v/>
      </c>
      <c r="AZ38" s="299">
        <f>IF(AND($F38&lt;=AZ$2, OR($G38="",$G38&gt;=AZ$2)),
  $H38 * (1 + Assumptions!$C$7) ^ INT(((YEAR(AZ$2)-YEAR($F38))*12 + MONTH(AZ$2)-MONTH($F38)) / 12),
  0)</f>
        <v/>
      </c>
      <c r="BA38" s="299">
        <f>IF(AND($F38&lt;=BA$2, OR($G38="",$G38&gt;=BA$2)),
  $H38 * (1 + Assumptions!$C$7) ^ INT(((YEAR(BA$2)-YEAR($F38))*12 + MONTH(BA$2)-MONTH($F38)) / 12),
  0)</f>
        <v/>
      </c>
      <c r="BB38" s="299">
        <f>IF(AND($F38&lt;=BB$2, OR($G38="",$G38&gt;=BB$2)),
  $H38 * (1 + Assumptions!$C$7) ^ INT(((YEAR(BB$2)-YEAR($F38))*12 + MONTH(BB$2)-MONTH($F38)) / 12),
  0)</f>
        <v/>
      </c>
      <c r="BC38" s="299">
        <f>IF(AND($F38&lt;=BC$2, OR($G38="",$G38&gt;=BC$2)),
  $H38 * (1 + Assumptions!$C$7) ^ INT(((YEAR(BC$2)-YEAR($F38))*12 + MONTH(BC$2)-MONTH($F38)) / 12),
  0)</f>
        <v/>
      </c>
      <c r="BD38" s="299">
        <f>IF(AND($F38&lt;=BD$2, OR($G38="",$G38&gt;=BD$2)),
  $H38 * (1 + Assumptions!$C$7) ^ INT(((YEAR(BD$2)-YEAR($F38))*12 + MONTH(BD$2)-MONTH($F38)) / 12),
  0)</f>
        <v/>
      </c>
      <c r="BE38" s="299">
        <f>IF(AND($F38&lt;=BE$2, OR($G38="",$G38&gt;=BE$2)),
  $H38 * (1 + Assumptions!$C$7) ^ INT(((YEAR(BE$2)-YEAR($F38))*12 + MONTH(BE$2)-MONTH($F38)) / 12),
  0)</f>
        <v/>
      </c>
      <c r="BF38" s="299">
        <f>IF(AND($F38&lt;=BF$2, OR($G38="",$G38&gt;=BF$2)),
  $H38 * (1 + Assumptions!$C$7) ^ INT(((YEAR(BF$2)-YEAR($F38))*12 + MONTH(BF$2)-MONTH($F38)) / 12),
  0)</f>
        <v/>
      </c>
      <c r="BG38" s="299">
        <f>IF(AND($F38&lt;=BG$2, OR($G38="",$G38&gt;=BG$2)),
  $H38 * (1 + Assumptions!$C$7) ^ INT(((YEAR(BG$2)-YEAR($F38))*12 + MONTH(BG$2)-MONTH($F38)) / 12),
  0)</f>
        <v/>
      </c>
      <c r="BH38" s="299">
        <f>IF(AND($F38&lt;=BH$2, OR($G38="",$G38&gt;=BH$2)),
  $H38 * (1 + Assumptions!$C$7) ^ INT(((YEAR(BH$2)-YEAR($F38))*12 + MONTH(BH$2)-MONTH($F38)) / 12),
  0)</f>
        <v/>
      </c>
      <c r="BI38" s="299">
        <f>IF(AND($F38&lt;=BI$2, OR($G38="",$G38&gt;=BI$2)),
  $H38 * (1 + Assumptions!$C$7) ^ INT(((YEAR(BI$2)-YEAR($F38))*12 + MONTH(BI$2)-MONTH($F38)) / 12),
  0)</f>
        <v/>
      </c>
      <c r="BJ38" s="299">
        <f>IF(AND($F38&lt;=BJ$2, OR($G38="",$G38&gt;=BJ$2)),
  $H38 * (1 + Assumptions!$C$7) ^ INT(((YEAR(BJ$2)-YEAR($F38))*12 + MONTH(BJ$2)-MONTH($F38)) / 12),
  0)</f>
        <v/>
      </c>
      <c r="BK38" s="299">
        <f>IF(AND($F38&lt;=BK$2, OR($G38="",$G38&gt;=BK$2)),
  $H38 * (1 + Assumptions!$C$7) ^ INT(((YEAR(BK$2)-YEAR($F38))*12 + MONTH(BK$2)-MONTH($F38)) / 12),
  0)</f>
        <v/>
      </c>
      <c r="BL38" s="299">
        <f>IF(AND($F38&lt;=BL$2, OR($G38="",$G38&gt;=BL$2)),
  $H38 * (1 + Assumptions!$C$7) ^ INT(((YEAR(BL$2)-YEAR($F38))*12 + MONTH(BL$2)-MONTH($F38)) / 12),
  0)</f>
        <v/>
      </c>
      <c r="BM38" s="299">
        <f>IF(AND($F38&lt;=BM$2, OR($G38="",$G38&gt;=BM$2)),
  $H38 * (1 + Assumptions!$C$7) ^ INT(((YEAR(BM$2)-YEAR($F38))*12 + MONTH(BM$2)-MONTH($F38)) / 12),
  0)</f>
        <v/>
      </c>
      <c r="BN38" s="299">
        <f>IF(AND($F38&lt;=BN$2, OR($G38="",$G38&gt;=BN$2)),
  $H38 * (1 + Assumptions!$C$7) ^ INT(((YEAR(BN$2)-YEAR($F38))*12 + MONTH(BN$2)-MONTH($F38)) / 12),
  0)</f>
        <v/>
      </c>
      <c r="BO38" s="299">
        <f>IF(AND($F38&lt;=BO$2, OR($G38="",$G38&gt;=BO$2)),
  $H38 * (1 + Assumptions!$C$7) ^ INT(((YEAR(BO$2)-YEAR($F38))*12 + MONTH(BO$2)-MONTH($F38)) / 12),
  0)</f>
        <v/>
      </c>
      <c r="BP38" s="299">
        <f>IF(AND($F38&lt;=BP$2, OR($G38="",$G38&gt;=BP$2)),
  $H38 * (1 + Assumptions!$C$7) ^ INT(((YEAR(BP$2)-YEAR($F38))*12 + MONTH(BP$2)-MONTH($F38)) / 12),
  0)</f>
        <v/>
      </c>
      <c r="BQ38" s="307" t="n"/>
      <c r="BR38" s="83" t="inlineStr">
        <is>
          <t>paid this month if started and not yet left; +8% on each work anniversary</t>
        </is>
      </c>
      <c r="BS38" s="307" t="n"/>
      <c r="BT38" s="307" t="n"/>
    </row>
    <row r="39" ht="15.75" customHeight="1" s="349">
      <c r="A39" s="321" t="n">
        <v>34</v>
      </c>
      <c r="B39" s="285" t="inlineStr">
        <is>
          <t>New hire</t>
        </is>
      </c>
      <c r="C39" s="23" t="inlineStr">
        <is>
          <t>S&amp;M</t>
        </is>
      </c>
      <c r="D39" s="321" t="inlineStr">
        <is>
          <t>Sales</t>
        </is>
      </c>
      <c r="E39" s="297" t="inlineStr">
        <is>
          <t>Planned</t>
        </is>
      </c>
      <c r="F39" s="318">
        <f>IF(Assumptions!$D$82=2,DATE(2027,3,1),DATE(2028,10,1))</f>
        <v/>
      </c>
      <c r="G39" s="319" t="n"/>
      <c r="H39" s="288" t="n">
        <v>6500</v>
      </c>
      <c r="I39" s="299">
        <f>IF(AND($F39&lt;=I$2, OR($G39="",$G39&gt;=I$2)),
  $H39 * (1 + Assumptions!$C$7) ^ INT(((YEAR(I$2)-YEAR($F39))*12 + MONTH(I$2)-MONTH($F39)) / 12),
  0)</f>
        <v/>
      </c>
      <c r="J39" s="299">
        <f>IF(AND($F39&lt;=J$2, OR($G39="",$G39&gt;=J$2)),
  $H39 * (1 + Assumptions!$C$7) ^ INT(((YEAR(J$2)-YEAR($F39))*12 + MONTH(J$2)-MONTH($F39)) / 12),
  0)</f>
        <v/>
      </c>
      <c r="K39" s="299">
        <f>IF(AND($F39&lt;=K$2, OR($G39="",$G39&gt;=K$2)),
  $H39 * (1 + Assumptions!$C$7) ^ INT(((YEAR(K$2)-YEAR($F39))*12 + MONTH(K$2)-MONTH($F39)) / 12),
  0)</f>
        <v/>
      </c>
      <c r="L39" s="299">
        <f>IF(AND($F39&lt;=L$2, OR($G39="",$G39&gt;=L$2)),
  $H39 * (1 + Assumptions!$C$7) ^ INT(((YEAR(L$2)-YEAR($F39))*12 + MONTH(L$2)-MONTH($F39)) / 12),
  0)</f>
        <v/>
      </c>
      <c r="M39" s="299">
        <f>IF(AND($F39&lt;=M$2, OR($G39="",$G39&gt;=M$2)),
  $H39 * (1 + Assumptions!$C$7) ^ INT(((YEAR(M$2)-YEAR($F39))*12 + MONTH(M$2)-MONTH($F39)) / 12),
  0)</f>
        <v/>
      </c>
      <c r="N39" s="299">
        <f>IF(AND($F39&lt;=N$2, OR($G39="",$G39&gt;=N$2)),
  $H39 * (1 + Assumptions!$C$7) ^ INT(((YEAR(N$2)-YEAR($F39))*12 + MONTH(N$2)-MONTH($F39)) / 12),
  0)</f>
        <v/>
      </c>
      <c r="O39" s="299">
        <f>IF(AND($F39&lt;=O$2, OR($G39="",$G39&gt;=O$2)),
  $H39 * (1 + Assumptions!$C$7) ^ INT(((YEAR(O$2)-YEAR($F39))*12 + MONTH(O$2)-MONTH($F39)) / 12),
  0)</f>
        <v/>
      </c>
      <c r="P39" s="299">
        <f>IF(AND($F39&lt;=P$2, OR($G39="",$G39&gt;=P$2)),
  $H39 * (1 + Assumptions!$C$7) ^ INT(((YEAR(P$2)-YEAR($F39))*12 + MONTH(P$2)-MONTH($F39)) / 12),
  0)</f>
        <v/>
      </c>
      <c r="Q39" s="299">
        <f>IF(AND($F39&lt;=Q$2, OR($G39="",$G39&gt;=Q$2)),
  $H39 * (1 + Assumptions!$C$7) ^ INT(((YEAR(Q$2)-YEAR($F39))*12 + MONTH(Q$2)-MONTH($F39)) / 12),
  0)</f>
        <v/>
      </c>
      <c r="R39" s="299">
        <f>IF(AND($F39&lt;=R$2, OR($G39="",$G39&gt;=R$2)),
  $H39 * (1 + Assumptions!$C$7) ^ INT(((YEAR(R$2)-YEAR($F39))*12 + MONTH(R$2)-MONTH($F39)) / 12),
  0)</f>
        <v/>
      </c>
      <c r="S39" s="299">
        <f>IF(AND($F39&lt;=S$2, OR($G39="",$G39&gt;=S$2)),
  $H39 * (1 + Assumptions!$C$7) ^ INT(((YEAR(S$2)-YEAR($F39))*12 + MONTH(S$2)-MONTH($F39)) / 12),
  0)</f>
        <v/>
      </c>
      <c r="T39" s="299">
        <f>IF(AND($F39&lt;=T$2, OR($G39="",$G39&gt;=T$2)),
  $H39 * (1 + Assumptions!$C$7) ^ INT(((YEAR(T$2)-YEAR($F39))*12 + MONTH(T$2)-MONTH($F39)) / 12),
  0)</f>
        <v/>
      </c>
      <c r="U39" s="299">
        <f>IF(AND($F39&lt;=U$2, OR($G39="",$G39&gt;=U$2)),
  $H39 * (1 + Assumptions!$C$7) ^ INT(((YEAR(U$2)-YEAR($F39))*12 + MONTH(U$2)-MONTH($F39)) / 12),
  0)</f>
        <v/>
      </c>
      <c r="V39" s="299">
        <f>IF(AND($F39&lt;=V$2, OR($G39="",$G39&gt;=V$2)),
  $H39 * (1 + Assumptions!$C$7) ^ INT(((YEAR(V$2)-YEAR($F39))*12 + MONTH(V$2)-MONTH($F39)) / 12),
  0)</f>
        <v/>
      </c>
      <c r="W39" s="299">
        <f>IF(AND($F39&lt;=W$2, OR($G39="",$G39&gt;=W$2)),
  $H39 * (1 + Assumptions!$C$7) ^ INT(((YEAR(W$2)-YEAR($F39))*12 + MONTH(W$2)-MONTH($F39)) / 12),
  0)</f>
        <v/>
      </c>
      <c r="X39" s="299">
        <f>IF(AND($F39&lt;=X$2, OR($G39="",$G39&gt;=X$2)),
  $H39 * (1 + Assumptions!$C$7) ^ INT(((YEAR(X$2)-YEAR($F39))*12 + MONTH(X$2)-MONTH($F39)) / 12),
  0)</f>
        <v/>
      </c>
      <c r="Y39" s="299">
        <f>IF(AND($F39&lt;=Y$2, OR($G39="",$G39&gt;=Y$2)),
  $H39 * (1 + Assumptions!$C$7) ^ INT(((YEAR(Y$2)-YEAR($F39))*12 + MONTH(Y$2)-MONTH($F39)) / 12),
  0)</f>
        <v/>
      </c>
      <c r="Z39" s="299">
        <f>IF(AND($F39&lt;=Z$2, OR($G39="",$G39&gt;=Z$2)),
  $H39 * (1 + Assumptions!$C$7) ^ INT(((YEAR(Z$2)-YEAR($F39))*12 + MONTH(Z$2)-MONTH($F39)) / 12),
  0)</f>
        <v/>
      </c>
      <c r="AA39" s="299">
        <f>IF(AND($F39&lt;=AA$2, OR($G39="",$G39&gt;=AA$2)),
  $H39 * (1 + Assumptions!$C$7) ^ INT(((YEAR(AA$2)-YEAR($F39))*12 + MONTH(AA$2)-MONTH($F39)) / 12),
  0)</f>
        <v/>
      </c>
      <c r="AB39" s="299">
        <f>IF(AND($F39&lt;=AB$2, OR($G39="",$G39&gt;=AB$2)),
  $H39 * (1 + Assumptions!$C$7) ^ INT(((YEAR(AB$2)-YEAR($F39))*12 + MONTH(AB$2)-MONTH($F39)) / 12),
  0)</f>
        <v/>
      </c>
      <c r="AC39" s="299">
        <f>IF(AND($F39&lt;=AC$2, OR($G39="",$G39&gt;=AC$2)),
  $H39 * (1 + Assumptions!$C$7) ^ INT(((YEAR(AC$2)-YEAR($F39))*12 + MONTH(AC$2)-MONTH($F39)) / 12),
  0)</f>
        <v/>
      </c>
      <c r="AD39" s="299">
        <f>IF(AND($F39&lt;=AD$2, OR($G39="",$G39&gt;=AD$2)),
  $H39 * (1 + Assumptions!$C$7) ^ INT(((YEAR(AD$2)-YEAR($F39))*12 + MONTH(AD$2)-MONTH($F39)) / 12),
  0)</f>
        <v/>
      </c>
      <c r="AE39" s="299">
        <f>IF(AND($F39&lt;=AE$2, OR($G39="",$G39&gt;=AE$2)),
  $H39 * (1 + Assumptions!$C$7) ^ INT(((YEAR(AE$2)-YEAR($F39))*12 + MONTH(AE$2)-MONTH($F39)) / 12),
  0)</f>
        <v/>
      </c>
      <c r="AF39" s="299">
        <f>IF(AND($F39&lt;=AF$2, OR($G39="",$G39&gt;=AF$2)),
  $H39 * (1 + Assumptions!$C$7) ^ INT(((YEAR(AF$2)-YEAR($F39))*12 + MONTH(AF$2)-MONTH($F39)) / 12),
  0)</f>
        <v/>
      </c>
      <c r="AG39" s="299">
        <f>IF(AND($F39&lt;=AG$2, OR($G39="",$G39&gt;=AG$2)),
  $H39 * (1 + Assumptions!$C$7) ^ INT(((YEAR(AG$2)-YEAR($F39))*12 + MONTH(AG$2)-MONTH($F39)) / 12),
  0)</f>
        <v/>
      </c>
      <c r="AH39" s="299">
        <f>IF(AND($F39&lt;=AH$2, OR($G39="",$G39&gt;=AH$2)),
  $H39 * (1 + Assumptions!$C$7) ^ INT(((YEAR(AH$2)-YEAR($F39))*12 + MONTH(AH$2)-MONTH($F39)) / 12),
  0)</f>
        <v/>
      </c>
      <c r="AI39" s="299">
        <f>IF(AND($F39&lt;=AI$2, OR($G39="",$G39&gt;=AI$2)),
  $H39 * (1 + Assumptions!$C$7) ^ INT(((YEAR(AI$2)-YEAR($F39))*12 + MONTH(AI$2)-MONTH($F39)) / 12),
  0)</f>
        <v/>
      </c>
      <c r="AJ39" s="299">
        <f>IF(AND($F39&lt;=AJ$2, OR($G39="",$G39&gt;=AJ$2)),
  $H39 * (1 + Assumptions!$C$7) ^ INT(((YEAR(AJ$2)-YEAR($F39))*12 + MONTH(AJ$2)-MONTH($F39)) / 12),
  0)</f>
        <v/>
      </c>
      <c r="AK39" s="299">
        <f>IF(AND($F39&lt;=AK$2, OR($G39="",$G39&gt;=AK$2)),
  $H39 * (1 + Assumptions!$C$7) ^ INT(((YEAR(AK$2)-YEAR($F39))*12 + MONTH(AK$2)-MONTH($F39)) / 12),
  0)</f>
        <v/>
      </c>
      <c r="AL39" s="299">
        <f>IF(AND($F39&lt;=AL$2, OR($G39="",$G39&gt;=AL$2)),
  $H39 * (1 + Assumptions!$C$7) ^ INT(((YEAR(AL$2)-YEAR($F39))*12 + MONTH(AL$2)-MONTH($F39)) / 12),
  0)</f>
        <v/>
      </c>
      <c r="AM39" s="299">
        <f>IF(AND($F39&lt;=AM$2, OR($G39="",$G39&gt;=AM$2)),
  $H39 * (1 + Assumptions!$C$7) ^ INT(((YEAR(AM$2)-YEAR($F39))*12 + MONTH(AM$2)-MONTH($F39)) / 12),
  0)</f>
        <v/>
      </c>
      <c r="AN39" s="299">
        <f>IF(AND($F39&lt;=AN$2, OR($G39="",$G39&gt;=AN$2)),
  $H39 * (1 + Assumptions!$C$7) ^ INT(((YEAR(AN$2)-YEAR($F39))*12 + MONTH(AN$2)-MONTH($F39)) / 12),
  0)</f>
        <v/>
      </c>
      <c r="AO39" s="299">
        <f>IF(AND($F39&lt;=AO$2, OR($G39="",$G39&gt;=AO$2)),
  $H39 * (1 + Assumptions!$C$7) ^ INT(((YEAR(AO$2)-YEAR($F39))*12 + MONTH(AO$2)-MONTH($F39)) / 12),
  0)</f>
        <v/>
      </c>
      <c r="AP39" s="299">
        <f>IF(AND($F39&lt;=AP$2, OR($G39="",$G39&gt;=AP$2)),
  $H39 * (1 + Assumptions!$C$7) ^ INT(((YEAR(AP$2)-YEAR($F39))*12 + MONTH(AP$2)-MONTH($F39)) / 12),
  0)</f>
        <v/>
      </c>
      <c r="AQ39" s="299">
        <f>IF(AND($F39&lt;=AQ$2, OR($G39="",$G39&gt;=AQ$2)),
  $H39 * (1 + Assumptions!$C$7) ^ INT(((YEAR(AQ$2)-YEAR($F39))*12 + MONTH(AQ$2)-MONTH($F39)) / 12),
  0)</f>
        <v/>
      </c>
      <c r="AR39" s="299">
        <f>IF(AND($F39&lt;=AR$2, OR($G39="",$G39&gt;=AR$2)),
  $H39 * (1 + Assumptions!$C$7) ^ INT(((YEAR(AR$2)-YEAR($F39))*12 + MONTH(AR$2)-MONTH($F39)) / 12),
  0)</f>
        <v/>
      </c>
      <c r="AS39" s="299">
        <f>IF(AND($F39&lt;=AS$2, OR($G39="",$G39&gt;=AS$2)),
  $H39 * (1 + Assumptions!$C$7) ^ INT(((YEAR(AS$2)-YEAR($F39))*12 + MONTH(AS$2)-MONTH($F39)) / 12),
  0)</f>
        <v/>
      </c>
      <c r="AT39" s="299">
        <f>IF(AND($F39&lt;=AT$2, OR($G39="",$G39&gt;=AT$2)),
  $H39 * (1 + Assumptions!$C$7) ^ INT(((YEAR(AT$2)-YEAR($F39))*12 + MONTH(AT$2)-MONTH($F39)) / 12),
  0)</f>
        <v/>
      </c>
      <c r="AU39" s="299">
        <f>IF(AND($F39&lt;=AU$2, OR($G39="",$G39&gt;=AU$2)),
  $H39 * (1 + Assumptions!$C$7) ^ INT(((YEAR(AU$2)-YEAR($F39))*12 + MONTH(AU$2)-MONTH($F39)) / 12),
  0)</f>
        <v/>
      </c>
      <c r="AV39" s="299">
        <f>IF(AND($F39&lt;=AV$2, OR($G39="",$G39&gt;=AV$2)),
  $H39 * (1 + Assumptions!$C$7) ^ INT(((YEAR(AV$2)-YEAR($F39))*12 + MONTH(AV$2)-MONTH($F39)) / 12),
  0)</f>
        <v/>
      </c>
      <c r="AW39" s="299">
        <f>IF(AND($F39&lt;=AW$2, OR($G39="",$G39&gt;=AW$2)),
  $H39 * (1 + Assumptions!$C$7) ^ INT(((YEAR(AW$2)-YEAR($F39))*12 + MONTH(AW$2)-MONTH($F39)) / 12),
  0)</f>
        <v/>
      </c>
      <c r="AX39" s="299">
        <f>IF(AND($F39&lt;=AX$2, OR($G39="",$G39&gt;=AX$2)),
  $H39 * (1 + Assumptions!$C$7) ^ INT(((YEAR(AX$2)-YEAR($F39))*12 + MONTH(AX$2)-MONTH($F39)) / 12),
  0)</f>
        <v/>
      </c>
      <c r="AY39" s="299">
        <f>IF(AND($F39&lt;=AY$2, OR($G39="",$G39&gt;=AY$2)),
  $H39 * (1 + Assumptions!$C$7) ^ INT(((YEAR(AY$2)-YEAR($F39))*12 + MONTH(AY$2)-MONTH($F39)) / 12),
  0)</f>
        <v/>
      </c>
      <c r="AZ39" s="299">
        <f>IF(AND($F39&lt;=AZ$2, OR($G39="",$G39&gt;=AZ$2)),
  $H39 * (1 + Assumptions!$C$7) ^ INT(((YEAR(AZ$2)-YEAR($F39))*12 + MONTH(AZ$2)-MONTH($F39)) / 12),
  0)</f>
        <v/>
      </c>
      <c r="BA39" s="299">
        <f>IF(AND($F39&lt;=BA$2, OR($G39="",$G39&gt;=BA$2)),
  $H39 * (1 + Assumptions!$C$7) ^ INT(((YEAR(BA$2)-YEAR($F39))*12 + MONTH(BA$2)-MONTH($F39)) / 12),
  0)</f>
        <v/>
      </c>
      <c r="BB39" s="299">
        <f>IF(AND($F39&lt;=BB$2, OR($G39="",$G39&gt;=BB$2)),
  $H39 * (1 + Assumptions!$C$7) ^ INT(((YEAR(BB$2)-YEAR($F39))*12 + MONTH(BB$2)-MONTH($F39)) / 12),
  0)</f>
        <v/>
      </c>
      <c r="BC39" s="299">
        <f>IF(AND($F39&lt;=BC$2, OR($G39="",$G39&gt;=BC$2)),
  $H39 * (1 + Assumptions!$C$7) ^ INT(((YEAR(BC$2)-YEAR($F39))*12 + MONTH(BC$2)-MONTH($F39)) / 12),
  0)</f>
        <v/>
      </c>
      <c r="BD39" s="299">
        <f>IF(AND($F39&lt;=BD$2, OR($G39="",$G39&gt;=BD$2)),
  $H39 * (1 + Assumptions!$C$7) ^ INT(((YEAR(BD$2)-YEAR($F39))*12 + MONTH(BD$2)-MONTH($F39)) / 12),
  0)</f>
        <v/>
      </c>
      <c r="BE39" s="299">
        <f>IF(AND($F39&lt;=BE$2, OR($G39="",$G39&gt;=BE$2)),
  $H39 * (1 + Assumptions!$C$7) ^ INT(((YEAR(BE$2)-YEAR($F39))*12 + MONTH(BE$2)-MONTH($F39)) / 12),
  0)</f>
        <v/>
      </c>
      <c r="BF39" s="299">
        <f>IF(AND($F39&lt;=BF$2, OR($G39="",$G39&gt;=BF$2)),
  $H39 * (1 + Assumptions!$C$7) ^ INT(((YEAR(BF$2)-YEAR($F39))*12 + MONTH(BF$2)-MONTH($F39)) / 12),
  0)</f>
        <v/>
      </c>
      <c r="BG39" s="299">
        <f>IF(AND($F39&lt;=BG$2, OR($G39="",$G39&gt;=BG$2)),
  $H39 * (1 + Assumptions!$C$7) ^ INT(((YEAR(BG$2)-YEAR($F39))*12 + MONTH(BG$2)-MONTH($F39)) / 12),
  0)</f>
        <v/>
      </c>
      <c r="BH39" s="299">
        <f>IF(AND($F39&lt;=BH$2, OR($G39="",$G39&gt;=BH$2)),
  $H39 * (1 + Assumptions!$C$7) ^ INT(((YEAR(BH$2)-YEAR($F39))*12 + MONTH(BH$2)-MONTH($F39)) / 12),
  0)</f>
        <v/>
      </c>
      <c r="BI39" s="299">
        <f>IF(AND($F39&lt;=BI$2, OR($G39="",$G39&gt;=BI$2)),
  $H39 * (1 + Assumptions!$C$7) ^ INT(((YEAR(BI$2)-YEAR($F39))*12 + MONTH(BI$2)-MONTH($F39)) / 12),
  0)</f>
        <v/>
      </c>
      <c r="BJ39" s="299">
        <f>IF(AND($F39&lt;=BJ$2, OR($G39="",$G39&gt;=BJ$2)),
  $H39 * (1 + Assumptions!$C$7) ^ INT(((YEAR(BJ$2)-YEAR($F39))*12 + MONTH(BJ$2)-MONTH($F39)) / 12),
  0)</f>
        <v/>
      </c>
      <c r="BK39" s="299">
        <f>IF(AND($F39&lt;=BK$2, OR($G39="",$G39&gt;=BK$2)),
  $H39 * (1 + Assumptions!$C$7) ^ INT(((YEAR(BK$2)-YEAR($F39))*12 + MONTH(BK$2)-MONTH($F39)) / 12),
  0)</f>
        <v/>
      </c>
      <c r="BL39" s="299">
        <f>IF(AND($F39&lt;=BL$2, OR($G39="",$G39&gt;=BL$2)),
  $H39 * (1 + Assumptions!$C$7) ^ INT(((YEAR(BL$2)-YEAR($F39))*12 + MONTH(BL$2)-MONTH($F39)) / 12),
  0)</f>
        <v/>
      </c>
      <c r="BM39" s="299">
        <f>IF(AND($F39&lt;=BM$2, OR($G39="",$G39&gt;=BM$2)),
  $H39 * (1 + Assumptions!$C$7) ^ INT(((YEAR(BM$2)-YEAR($F39))*12 + MONTH(BM$2)-MONTH($F39)) / 12),
  0)</f>
        <v/>
      </c>
      <c r="BN39" s="299">
        <f>IF(AND($F39&lt;=BN$2, OR($G39="",$G39&gt;=BN$2)),
  $H39 * (1 + Assumptions!$C$7) ^ INT(((YEAR(BN$2)-YEAR($F39))*12 + MONTH(BN$2)-MONTH($F39)) / 12),
  0)</f>
        <v/>
      </c>
      <c r="BO39" s="299">
        <f>IF(AND($F39&lt;=BO$2, OR($G39="",$G39&gt;=BO$2)),
  $H39 * (1 + Assumptions!$C$7) ^ INT(((YEAR(BO$2)-YEAR($F39))*12 + MONTH(BO$2)-MONTH($F39)) / 12),
  0)</f>
        <v/>
      </c>
      <c r="BP39" s="299">
        <f>IF(AND($F39&lt;=BP$2, OR($G39="",$G39&gt;=BP$2)),
  $H39 * (1 + Assumptions!$C$7) ^ INT(((YEAR(BP$2)-YEAR($F39))*12 + MONTH(BP$2)-MONTH($F39)) / 12),
  0)</f>
        <v/>
      </c>
      <c r="BQ39" s="307" t="n"/>
      <c r="BR39" s="83" t="inlineStr">
        <is>
          <t>paid this month if started and not yet left; +8% on each work anniversary</t>
        </is>
      </c>
      <c r="BS39" s="307" t="n"/>
      <c r="BT39" s="307" t="n"/>
    </row>
    <row r="40" ht="15.75" customHeight="1" s="349">
      <c r="A40" s="321" t="n">
        <v>35</v>
      </c>
      <c r="B40" s="285" t="inlineStr">
        <is>
          <t>New hire</t>
        </is>
      </c>
      <c r="C40" s="23" t="inlineStr">
        <is>
          <t>S&amp;M</t>
        </is>
      </c>
      <c r="D40" s="321" t="inlineStr">
        <is>
          <t>Sales</t>
        </is>
      </c>
      <c r="E40" s="297" t="inlineStr">
        <is>
          <t>Planned</t>
        </is>
      </c>
      <c r="F40" s="318">
        <f>IF(Assumptions!$D$82=2,DATE(2027,4,1),DATE(2028,10,2))</f>
        <v/>
      </c>
      <c r="G40" s="319" t="n"/>
      <c r="H40" s="288" t="n">
        <v>6500</v>
      </c>
      <c r="I40" s="299">
        <f>IF(AND($F40&lt;=I$2, OR($G40="",$G40&gt;=I$2)),
  $H40 * (1 + Assumptions!$C$7) ^ INT(((YEAR(I$2)-YEAR($F40))*12 + MONTH(I$2)-MONTH($F40)) / 12),
  0)</f>
        <v/>
      </c>
      <c r="J40" s="299">
        <f>IF(AND($F40&lt;=J$2, OR($G40="",$G40&gt;=J$2)),
  $H40 * (1 + Assumptions!$C$7) ^ INT(((YEAR(J$2)-YEAR($F40))*12 + MONTH(J$2)-MONTH($F40)) / 12),
  0)</f>
        <v/>
      </c>
      <c r="K40" s="299">
        <f>IF(AND($F40&lt;=K$2, OR($G40="",$G40&gt;=K$2)),
  $H40 * (1 + Assumptions!$C$7) ^ INT(((YEAR(K$2)-YEAR($F40))*12 + MONTH(K$2)-MONTH($F40)) / 12),
  0)</f>
        <v/>
      </c>
      <c r="L40" s="299">
        <f>IF(AND($F40&lt;=L$2, OR($G40="",$G40&gt;=L$2)),
  $H40 * (1 + Assumptions!$C$7) ^ INT(((YEAR(L$2)-YEAR($F40))*12 + MONTH(L$2)-MONTH($F40)) / 12),
  0)</f>
        <v/>
      </c>
      <c r="M40" s="299">
        <f>IF(AND($F40&lt;=M$2, OR($G40="",$G40&gt;=M$2)),
  $H40 * (1 + Assumptions!$C$7) ^ INT(((YEAR(M$2)-YEAR($F40))*12 + MONTH(M$2)-MONTH($F40)) / 12),
  0)</f>
        <v/>
      </c>
      <c r="N40" s="299">
        <f>IF(AND($F40&lt;=N$2, OR($G40="",$G40&gt;=N$2)),
  $H40 * (1 + Assumptions!$C$7) ^ INT(((YEAR(N$2)-YEAR($F40))*12 + MONTH(N$2)-MONTH($F40)) / 12),
  0)</f>
        <v/>
      </c>
      <c r="O40" s="299">
        <f>IF(AND($F40&lt;=O$2, OR($G40="",$G40&gt;=O$2)),
  $H40 * (1 + Assumptions!$C$7) ^ INT(((YEAR(O$2)-YEAR($F40))*12 + MONTH(O$2)-MONTH($F40)) / 12),
  0)</f>
        <v/>
      </c>
      <c r="P40" s="299">
        <f>IF(AND($F40&lt;=P$2, OR($G40="",$G40&gt;=P$2)),
  $H40 * (1 + Assumptions!$C$7) ^ INT(((YEAR(P$2)-YEAR($F40))*12 + MONTH(P$2)-MONTH($F40)) / 12),
  0)</f>
        <v/>
      </c>
      <c r="Q40" s="299">
        <f>IF(AND($F40&lt;=Q$2, OR($G40="",$G40&gt;=Q$2)),
  $H40 * (1 + Assumptions!$C$7) ^ INT(((YEAR(Q$2)-YEAR($F40))*12 + MONTH(Q$2)-MONTH($F40)) / 12),
  0)</f>
        <v/>
      </c>
      <c r="R40" s="299">
        <f>IF(AND($F40&lt;=R$2, OR($G40="",$G40&gt;=R$2)),
  $H40 * (1 + Assumptions!$C$7) ^ INT(((YEAR(R$2)-YEAR($F40))*12 + MONTH(R$2)-MONTH($F40)) / 12),
  0)</f>
        <v/>
      </c>
      <c r="S40" s="299">
        <f>IF(AND($F40&lt;=S$2, OR($G40="",$G40&gt;=S$2)),
  $H40 * (1 + Assumptions!$C$7) ^ INT(((YEAR(S$2)-YEAR($F40))*12 + MONTH(S$2)-MONTH($F40)) / 12),
  0)</f>
        <v/>
      </c>
      <c r="T40" s="299">
        <f>IF(AND($F40&lt;=T$2, OR($G40="",$G40&gt;=T$2)),
  $H40 * (1 + Assumptions!$C$7) ^ INT(((YEAR(T$2)-YEAR($F40))*12 + MONTH(T$2)-MONTH($F40)) / 12),
  0)</f>
        <v/>
      </c>
      <c r="U40" s="299">
        <f>IF(AND($F40&lt;=U$2, OR($G40="",$G40&gt;=U$2)),
  $H40 * (1 + Assumptions!$C$7) ^ INT(((YEAR(U$2)-YEAR($F40))*12 + MONTH(U$2)-MONTH($F40)) / 12),
  0)</f>
        <v/>
      </c>
      <c r="V40" s="299">
        <f>IF(AND($F40&lt;=V$2, OR($G40="",$G40&gt;=V$2)),
  $H40 * (1 + Assumptions!$C$7) ^ INT(((YEAR(V$2)-YEAR($F40))*12 + MONTH(V$2)-MONTH($F40)) / 12),
  0)</f>
        <v/>
      </c>
      <c r="W40" s="299">
        <f>IF(AND($F40&lt;=W$2, OR($G40="",$G40&gt;=W$2)),
  $H40 * (1 + Assumptions!$C$7) ^ INT(((YEAR(W$2)-YEAR($F40))*12 + MONTH(W$2)-MONTH($F40)) / 12),
  0)</f>
        <v/>
      </c>
      <c r="X40" s="299">
        <f>IF(AND($F40&lt;=X$2, OR($G40="",$G40&gt;=X$2)),
  $H40 * (1 + Assumptions!$C$7) ^ INT(((YEAR(X$2)-YEAR($F40))*12 + MONTH(X$2)-MONTH($F40)) / 12),
  0)</f>
        <v/>
      </c>
      <c r="Y40" s="299">
        <f>IF(AND($F40&lt;=Y$2, OR($G40="",$G40&gt;=Y$2)),
  $H40 * (1 + Assumptions!$C$7) ^ INT(((YEAR(Y$2)-YEAR($F40))*12 + MONTH(Y$2)-MONTH($F40)) / 12),
  0)</f>
        <v/>
      </c>
      <c r="Z40" s="299">
        <f>IF(AND($F40&lt;=Z$2, OR($G40="",$G40&gt;=Z$2)),
  $H40 * (1 + Assumptions!$C$7) ^ INT(((YEAR(Z$2)-YEAR($F40))*12 + MONTH(Z$2)-MONTH($F40)) / 12),
  0)</f>
        <v/>
      </c>
      <c r="AA40" s="299">
        <f>IF(AND($F40&lt;=AA$2, OR($G40="",$G40&gt;=AA$2)),
  $H40 * (1 + Assumptions!$C$7) ^ INT(((YEAR(AA$2)-YEAR($F40))*12 + MONTH(AA$2)-MONTH($F40)) / 12),
  0)</f>
        <v/>
      </c>
      <c r="AB40" s="299">
        <f>IF(AND($F40&lt;=AB$2, OR($G40="",$G40&gt;=AB$2)),
  $H40 * (1 + Assumptions!$C$7) ^ INT(((YEAR(AB$2)-YEAR($F40))*12 + MONTH(AB$2)-MONTH($F40)) / 12),
  0)</f>
        <v/>
      </c>
      <c r="AC40" s="299">
        <f>IF(AND($F40&lt;=AC$2, OR($G40="",$G40&gt;=AC$2)),
  $H40 * (1 + Assumptions!$C$7) ^ INT(((YEAR(AC$2)-YEAR($F40))*12 + MONTH(AC$2)-MONTH($F40)) / 12),
  0)</f>
        <v/>
      </c>
      <c r="AD40" s="299">
        <f>IF(AND($F40&lt;=AD$2, OR($G40="",$G40&gt;=AD$2)),
  $H40 * (1 + Assumptions!$C$7) ^ INT(((YEAR(AD$2)-YEAR($F40))*12 + MONTH(AD$2)-MONTH($F40)) / 12),
  0)</f>
        <v/>
      </c>
      <c r="AE40" s="299">
        <f>IF(AND($F40&lt;=AE$2, OR($G40="",$G40&gt;=AE$2)),
  $H40 * (1 + Assumptions!$C$7) ^ INT(((YEAR(AE$2)-YEAR($F40))*12 + MONTH(AE$2)-MONTH($F40)) / 12),
  0)</f>
        <v/>
      </c>
      <c r="AF40" s="299">
        <f>IF(AND($F40&lt;=AF$2, OR($G40="",$G40&gt;=AF$2)),
  $H40 * (1 + Assumptions!$C$7) ^ INT(((YEAR(AF$2)-YEAR($F40))*12 + MONTH(AF$2)-MONTH($F40)) / 12),
  0)</f>
        <v/>
      </c>
      <c r="AG40" s="299">
        <f>IF(AND($F40&lt;=AG$2, OR($G40="",$G40&gt;=AG$2)),
  $H40 * (1 + Assumptions!$C$7) ^ INT(((YEAR(AG$2)-YEAR($F40))*12 + MONTH(AG$2)-MONTH($F40)) / 12),
  0)</f>
        <v/>
      </c>
      <c r="AH40" s="299">
        <f>IF(AND($F40&lt;=AH$2, OR($G40="",$G40&gt;=AH$2)),
  $H40 * (1 + Assumptions!$C$7) ^ INT(((YEAR(AH$2)-YEAR($F40))*12 + MONTH(AH$2)-MONTH($F40)) / 12),
  0)</f>
        <v/>
      </c>
      <c r="AI40" s="299">
        <f>IF(AND($F40&lt;=AI$2, OR($G40="",$G40&gt;=AI$2)),
  $H40 * (1 + Assumptions!$C$7) ^ INT(((YEAR(AI$2)-YEAR($F40))*12 + MONTH(AI$2)-MONTH($F40)) / 12),
  0)</f>
        <v/>
      </c>
      <c r="AJ40" s="299">
        <f>IF(AND($F40&lt;=AJ$2, OR($G40="",$G40&gt;=AJ$2)),
  $H40 * (1 + Assumptions!$C$7) ^ INT(((YEAR(AJ$2)-YEAR($F40))*12 + MONTH(AJ$2)-MONTH($F40)) / 12),
  0)</f>
        <v/>
      </c>
      <c r="AK40" s="299">
        <f>IF(AND($F40&lt;=AK$2, OR($G40="",$G40&gt;=AK$2)),
  $H40 * (1 + Assumptions!$C$7) ^ INT(((YEAR(AK$2)-YEAR($F40))*12 + MONTH(AK$2)-MONTH($F40)) / 12),
  0)</f>
        <v/>
      </c>
      <c r="AL40" s="299">
        <f>IF(AND($F40&lt;=AL$2, OR($G40="",$G40&gt;=AL$2)),
  $H40 * (1 + Assumptions!$C$7) ^ INT(((YEAR(AL$2)-YEAR($F40))*12 + MONTH(AL$2)-MONTH($F40)) / 12),
  0)</f>
        <v/>
      </c>
      <c r="AM40" s="299">
        <f>IF(AND($F40&lt;=AM$2, OR($G40="",$G40&gt;=AM$2)),
  $H40 * (1 + Assumptions!$C$7) ^ INT(((YEAR(AM$2)-YEAR($F40))*12 + MONTH(AM$2)-MONTH($F40)) / 12),
  0)</f>
        <v/>
      </c>
      <c r="AN40" s="299">
        <f>IF(AND($F40&lt;=AN$2, OR($G40="",$G40&gt;=AN$2)),
  $H40 * (1 + Assumptions!$C$7) ^ INT(((YEAR(AN$2)-YEAR($F40))*12 + MONTH(AN$2)-MONTH($F40)) / 12),
  0)</f>
        <v/>
      </c>
      <c r="AO40" s="299">
        <f>IF(AND($F40&lt;=AO$2, OR($G40="",$G40&gt;=AO$2)),
  $H40 * (1 + Assumptions!$C$7) ^ INT(((YEAR(AO$2)-YEAR($F40))*12 + MONTH(AO$2)-MONTH($F40)) / 12),
  0)</f>
        <v/>
      </c>
      <c r="AP40" s="299">
        <f>IF(AND($F40&lt;=AP$2, OR($G40="",$G40&gt;=AP$2)),
  $H40 * (1 + Assumptions!$C$7) ^ INT(((YEAR(AP$2)-YEAR($F40))*12 + MONTH(AP$2)-MONTH($F40)) / 12),
  0)</f>
        <v/>
      </c>
      <c r="AQ40" s="299">
        <f>IF(AND($F40&lt;=AQ$2, OR($G40="",$G40&gt;=AQ$2)),
  $H40 * (1 + Assumptions!$C$7) ^ INT(((YEAR(AQ$2)-YEAR($F40))*12 + MONTH(AQ$2)-MONTH($F40)) / 12),
  0)</f>
        <v/>
      </c>
      <c r="AR40" s="299">
        <f>IF(AND($F40&lt;=AR$2, OR($G40="",$G40&gt;=AR$2)),
  $H40 * (1 + Assumptions!$C$7) ^ INT(((YEAR(AR$2)-YEAR($F40))*12 + MONTH(AR$2)-MONTH($F40)) / 12),
  0)</f>
        <v/>
      </c>
      <c r="AS40" s="299">
        <f>IF(AND($F40&lt;=AS$2, OR($G40="",$G40&gt;=AS$2)),
  $H40 * (1 + Assumptions!$C$7) ^ INT(((YEAR(AS$2)-YEAR($F40))*12 + MONTH(AS$2)-MONTH($F40)) / 12),
  0)</f>
        <v/>
      </c>
      <c r="AT40" s="299">
        <f>IF(AND($F40&lt;=AT$2, OR($G40="",$G40&gt;=AT$2)),
  $H40 * (1 + Assumptions!$C$7) ^ INT(((YEAR(AT$2)-YEAR($F40))*12 + MONTH(AT$2)-MONTH($F40)) / 12),
  0)</f>
        <v/>
      </c>
      <c r="AU40" s="299">
        <f>IF(AND($F40&lt;=AU$2, OR($G40="",$G40&gt;=AU$2)),
  $H40 * (1 + Assumptions!$C$7) ^ INT(((YEAR(AU$2)-YEAR($F40))*12 + MONTH(AU$2)-MONTH($F40)) / 12),
  0)</f>
        <v/>
      </c>
      <c r="AV40" s="299">
        <f>IF(AND($F40&lt;=AV$2, OR($G40="",$G40&gt;=AV$2)),
  $H40 * (1 + Assumptions!$C$7) ^ INT(((YEAR(AV$2)-YEAR($F40))*12 + MONTH(AV$2)-MONTH($F40)) / 12),
  0)</f>
        <v/>
      </c>
      <c r="AW40" s="299">
        <f>IF(AND($F40&lt;=AW$2, OR($G40="",$G40&gt;=AW$2)),
  $H40 * (1 + Assumptions!$C$7) ^ INT(((YEAR(AW$2)-YEAR($F40))*12 + MONTH(AW$2)-MONTH($F40)) / 12),
  0)</f>
        <v/>
      </c>
      <c r="AX40" s="299">
        <f>IF(AND($F40&lt;=AX$2, OR($G40="",$G40&gt;=AX$2)),
  $H40 * (1 + Assumptions!$C$7) ^ INT(((YEAR(AX$2)-YEAR($F40))*12 + MONTH(AX$2)-MONTH($F40)) / 12),
  0)</f>
        <v/>
      </c>
      <c r="AY40" s="299">
        <f>IF(AND($F40&lt;=AY$2, OR($G40="",$G40&gt;=AY$2)),
  $H40 * (1 + Assumptions!$C$7) ^ INT(((YEAR(AY$2)-YEAR($F40))*12 + MONTH(AY$2)-MONTH($F40)) / 12),
  0)</f>
        <v/>
      </c>
      <c r="AZ40" s="299">
        <f>IF(AND($F40&lt;=AZ$2, OR($G40="",$G40&gt;=AZ$2)),
  $H40 * (1 + Assumptions!$C$7) ^ INT(((YEAR(AZ$2)-YEAR($F40))*12 + MONTH(AZ$2)-MONTH($F40)) / 12),
  0)</f>
        <v/>
      </c>
      <c r="BA40" s="299">
        <f>IF(AND($F40&lt;=BA$2, OR($G40="",$G40&gt;=BA$2)),
  $H40 * (1 + Assumptions!$C$7) ^ INT(((YEAR(BA$2)-YEAR($F40))*12 + MONTH(BA$2)-MONTH($F40)) / 12),
  0)</f>
        <v/>
      </c>
      <c r="BB40" s="299">
        <f>IF(AND($F40&lt;=BB$2, OR($G40="",$G40&gt;=BB$2)),
  $H40 * (1 + Assumptions!$C$7) ^ INT(((YEAR(BB$2)-YEAR($F40))*12 + MONTH(BB$2)-MONTH($F40)) / 12),
  0)</f>
        <v/>
      </c>
      <c r="BC40" s="299">
        <f>IF(AND($F40&lt;=BC$2, OR($G40="",$G40&gt;=BC$2)),
  $H40 * (1 + Assumptions!$C$7) ^ INT(((YEAR(BC$2)-YEAR($F40))*12 + MONTH(BC$2)-MONTH($F40)) / 12),
  0)</f>
        <v/>
      </c>
      <c r="BD40" s="299">
        <f>IF(AND($F40&lt;=BD$2, OR($G40="",$G40&gt;=BD$2)),
  $H40 * (1 + Assumptions!$C$7) ^ INT(((YEAR(BD$2)-YEAR($F40))*12 + MONTH(BD$2)-MONTH($F40)) / 12),
  0)</f>
        <v/>
      </c>
      <c r="BE40" s="299">
        <f>IF(AND($F40&lt;=BE$2, OR($G40="",$G40&gt;=BE$2)),
  $H40 * (1 + Assumptions!$C$7) ^ INT(((YEAR(BE$2)-YEAR($F40))*12 + MONTH(BE$2)-MONTH($F40)) / 12),
  0)</f>
        <v/>
      </c>
      <c r="BF40" s="299">
        <f>IF(AND($F40&lt;=BF$2, OR($G40="",$G40&gt;=BF$2)),
  $H40 * (1 + Assumptions!$C$7) ^ INT(((YEAR(BF$2)-YEAR($F40))*12 + MONTH(BF$2)-MONTH($F40)) / 12),
  0)</f>
        <v/>
      </c>
      <c r="BG40" s="299">
        <f>IF(AND($F40&lt;=BG$2, OR($G40="",$G40&gt;=BG$2)),
  $H40 * (1 + Assumptions!$C$7) ^ INT(((YEAR(BG$2)-YEAR($F40))*12 + MONTH(BG$2)-MONTH($F40)) / 12),
  0)</f>
        <v/>
      </c>
      <c r="BH40" s="299">
        <f>IF(AND($F40&lt;=BH$2, OR($G40="",$G40&gt;=BH$2)),
  $H40 * (1 + Assumptions!$C$7) ^ INT(((YEAR(BH$2)-YEAR($F40))*12 + MONTH(BH$2)-MONTH($F40)) / 12),
  0)</f>
        <v/>
      </c>
      <c r="BI40" s="299">
        <f>IF(AND($F40&lt;=BI$2, OR($G40="",$G40&gt;=BI$2)),
  $H40 * (1 + Assumptions!$C$7) ^ INT(((YEAR(BI$2)-YEAR($F40))*12 + MONTH(BI$2)-MONTH($F40)) / 12),
  0)</f>
        <v/>
      </c>
      <c r="BJ40" s="299">
        <f>IF(AND($F40&lt;=BJ$2, OR($G40="",$G40&gt;=BJ$2)),
  $H40 * (1 + Assumptions!$C$7) ^ INT(((YEAR(BJ$2)-YEAR($F40))*12 + MONTH(BJ$2)-MONTH($F40)) / 12),
  0)</f>
        <v/>
      </c>
      <c r="BK40" s="299">
        <f>IF(AND($F40&lt;=BK$2, OR($G40="",$G40&gt;=BK$2)),
  $H40 * (1 + Assumptions!$C$7) ^ INT(((YEAR(BK$2)-YEAR($F40))*12 + MONTH(BK$2)-MONTH($F40)) / 12),
  0)</f>
        <v/>
      </c>
      <c r="BL40" s="299">
        <f>IF(AND($F40&lt;=BL$2, OR($G40="",$G40&gt;=BL$2)),
  $H40 * (1 + Assumptions!$C$7) ^ INT(((YEAR(BL$2)-YEAR($F40))*12 + MONTH(BL$2)-MONTH($F40)) / 12),
  0)</f>
        <v/>
      </c>
      <c r="BM40" s="299">
        <f>IF(AND($F40&lt;=BM$2, OR($G40="",$G40&gt;=BM$2)),
  $H40 * (1 + Assumptions!$C$7) ^ INT(((YEAR(BM$2)-YEAR($F40))*12 + MONTH(BM$2)-MONTH($F40)) / 12),
  0)</f>
        <v/>
      </c>
      <c r="BN40" s="299">
        <f>IF(AND($F40&lt;=BN$2, OR($G40="",$G40&gt;=BN$2)),
  $H40 * (1 + Assumptions!$C$7) ^ INT(((YEAR(BN$2)-YEAR($F40))*12 + MONTH(BN$2)-MONTH($F40)) / 12),
  0)</f>
        <v/>
      </c>
      <c r="BO40" s="299">
        <f>IF(AND($F40&lt;=BO$2, OR($G40="",$G40&gt;=BO$2)),
  $H40 * (1 + Assumptions!$C$7) ^ INT(((YEAR(BO$2)-YEAR($F40))*12 + MONTH(BO$2)-MONTH($F40)) / 12),
  0)</f>
        <v/>
      </c>
      <c r="BP40" s="299">
        <f>IF(AND($F40&lt;=BP$2, OR($G40="",$G40&gt;=BP$2)),
  $H40 * (1 + Assumptions!$C$7) ^ INT(((YEAR(BP$2)-YEAR($F40))*12 + MONTH(BP$2)-MONTH($F40)) / 12),
  0)</f>
        <v/>
      </c>
      <c r="BQ40" s="307" t="n"/>
      <c r="BR40" s="83" t="inlineStr">
        <is>
          <t>paid this month if started and not yet left; +8% on each work anniversary</t>
        </is>
      </c>
      <c r="BS40" s="307" t="n"/>
      <c r="BT40" s="307" t="n"/>
    </row>
    <row r="41" ht="15.75" customHeight="1" s="349">
      <c r="A41" s="321" t="n">
        <v>36</v>
      </c>
      <c r="B41" s="285" t="inlineStr">
        <is>
          <t>New hire</t>
        </is>
      </c>
      <c r="C41" s="23" t="inlineStr">
        <is>
          <t>R&amp;D</t>
        </is>
      </c>
      <c r="D41" s="321" t="inlineStr">
        <is>
          <t>Field Engineer</t>
        </is>
      </c>
      <c r="E41" s="297" t="inlineStr">
        <is>
          <t>Planned</t>
        </is>
      </c>
      <c r="F41" s="318">
        <f>IF(Assumptions!$D$82=2,DATE(2028,1,1),DATE(2029,1,1))</f>
        <v/>
      </c>
      <c r="G41" s="319" t="n"/>
      <c r="H41" s="288" t="n">
        <v>6500</v>
      </c>
      <c r="I41" s="299">
        <f>IF(AND($F41&lt;=I$2, OR($G41="",$G41&gt;=I$2)),
  $H41 * (1 + Assumptions!$C$7) ^ INT(((YEAR(I$2)-YEAR($F41))*12 + MONTH(I$2)-MONTH($F41)) / 12),
  0)</f>
        <v/>
      </c>
      <c r="J41" s="299">
        <f>IF(AND($F41&lt;=J$2, OR($G41="",$G41&gt;=J$2)),
  $H41 * (1 + Assumptions!$C$7) ^ INT(((YEAR(J$2)-YEAR($F41))*12 + MONTH(J$2)-MONTH($F41)) / 12),
  0)</f>
        <v/>
      </c>
      <c r="K41" s="299">
        <f>IF(AND($F41&lt;=K$2, OR($G41="",$G41&gt;=K$2)),
  $H41 * (1 + Assumptions!$C$7) ^ INT(((YEAR(K$2)-YEAR($F41))*12 + MONTH(K$2)-MONTH($F41)) / 12),
  0)</f>
        <v/>
      </c>
      <c r="L41" s="299">
        <f>IF(AND($F41&lt;=L$2, OR($G41="",$G41&gt;=L$2)),
  $H41 * (1 + Assumptions!$C$7) ^ INT(((YEAR(L$2)-YEAR($F41))*12 + MONTH(L$2)-MONTH($F41)) / 12),
  0)</f>
        <v/>
      </c>
      <c r="M41" s="299">
        <f>IF(AND($F41&lt;=M$2, OR($G41="",$G41&gt;=M$2)),
  $H41 * (1 + Assumptions!$C$7) ^ INT(((YEAR(M$2)-YEAR($F41))*12 + MONTH(M$2)-MONTH($F41)) / 12),
  0)</f>
        <v/>
      </c>
      <c r="N41" s="299">
        <f>IF(AND($F41&lt;=N$2, OR($G41="",$G41&gt;=N$2)),
  $H41 * (1 + Assumptions!$C$7) ^ INT(((YEAR(N$2)-YEAR($F41))*12 + MONTH(N$2)-MONTH($F41)) / 12),
  0)</f>
        <v/>
      </c>
      <c r="O41" s="299">
        <f>IF(AND($F41&lt;=O$2, OR($G41="",$G41&gt;=O$2)),
  $H41 * (1 + Assumptions!$C$7) ^ INT(((YEAR(O$2)-YEAR($F41))*12 + MONTH(O$2)-MONTH($F41)) / 12),
  0)</f>
        <v/>
      </c>
      <c r="P41" s="299">
        <f>IF(AND($F41&lt;=P$2, OR($G41="",$G41&gt;=P$2)),
  $H41 * (1 + Assumptions!$C$7) ^ INT(((YEAR(P$2)-YEAR($F41))*12 + MONTH(P$2)-MONTH($F41)) / 12),
  0)</f>
        <v/>
      </c>
      <c r="Q41" s="299">
        <f>IF(AND($F41&lt;=Q$2, OR($G41="",$G41&gt;=Q$2)),
  $H41 * (1 + Assumptions!$C$7) ^ INT(((YEAR(Q$2)-YEAR($F41))*12 + MONTH(Q$2)-MONTH($F41)) / 12),
  0)</f>
        <v/>
      </c>
      <c r="R41" s="299">
        <f>IF(AND($F41&lt;=R$2, OR($G41="",$G41&gt;=R$2)),
  $H41 * (1 + Assumptions!$C$7) ^ INT(((YEAR(R$2)-YEAR($F41))*12 + MONTH(R$2)-MONTH($F41)) / 12),
  0)</f>
        <v/>
      </c>
      <c r="S41" s="299">
        <f>IF(AND($F41&lt;=S$2, OR($G41="",$G41&gt;=S$2)),
  $H41 * (1 + Assumptions!$C$7) ^ INT(((YEAR(S$2)-YEAR($F41))*12 + MONTH(S$2)-MONTH($F41)) / 12),
  0)</f>
        <v/>
      </c>
      <c r="T41" s="299">
        <f>IF(AND($F41&lt;=T$2, OR($G41="",$G41&gt;=T$2)),
  $H41 * (1 + Assumptions!$C$7) ^ INT(((YEAR(T$2)-YEAR($F41))*12 + MONTH(T$2)-MONTH($F41)) / 12),
  0)</f>
        <v/>
      </c>
      <c r="U41" s="299">
        <f>IF(AND($F41&lt;=U$2, OR($G41="",$G41&gt;=U$2)),
  $H41 * (1 + Assumptions!$C$7) ^ INT(((YEAR(U$2)-YEAR($F41))*12 + MONTH(U$2)-MONTH($F41)) / 12),
  0)</f>
        <v/>
      </c>
      <c r="V41" s="299">
        <f>IF(AND($F41&lt;=V$2, OR($G41="",$G41&gt;=V$2)),
  $H41 * (1 + Assumptions!$C$7) ^ INT(((YEAR(V$2)-YEAR($F41))*12 + MONTH(V$2)-MONTH($F41)) / 12),
  0)</f>
        <v/>
      </c>
      <c r="W41" s="299">
        <f>IF(AND($F41&lt;=W$2, OR($G41="",$G41&gt;=W$2)),
  $H41 * (1 + Assumptions!$C$7) ^ INT(((YEAR(W$2)-YEAR($F41))*12 + MONTH(W$2)-MONTH($F41)) / 12),
  0)</f>
        <v/>
      </c>
      <c r="X41" s="299">
        <f>IF(AND($F41&lt;=X$2, OR($G41="",$G41&gt;=X$2)),
  $H41 * (1 + Assumptions!$C$7) ^ INT(((YEAR(X$2)-YEAR($F41))*12 + MONTH(X$2)-MONTH($F41)) / 12),
  0)</f>
        <v/>
      </c>
      <c r="Y41" s="299">
        <f>IF(AND($F41&lt;=Y$2, OR($G41="",$G41&gt;=Y$2)),
  $H41 * (1 + Assumptions!$C$7) ^ INT(((YEAR(Y$2)-YEAR($F41))*12 + MONTH(Y$2)-MONTH($F41)) / 12),
  0)</f>
        <v/>
      </c>
      <c r="Z41" s="299">
        <f>IF(AND($F41&lt;=Z$2, OR($G41="",$G41&gt;=Z$2)),
  $H41 * (1 + Assumptions!$C$7) ^ INT(((YEAR(Z$2)-YEAR($F41))*12 + MONTH(Z$2)-MONTH($F41)) / 12),
  0)</f>
        <v/>
      </c>
      <c r="AA41" s="299">
        <f>IF(AND($F41&lt;=AA$2, OR($G41="",$G41&gt;=AA$2)),
  $H41 * (1 + Assumptions!$C$7) ^ INT(((YEAR(AA$2)-YEAR($F41))*12 + MONTH(AA$2)-MONTH($F41)) / 12),
  0)</f>
        <v/>
      </c>
      <c r="AB41" s="299">
        <f>IF(AND($F41&lt;=AB$2, OR($G41="",$G41&gt;=AB$2)),
  $H41 * (1 + Assumptions!$C$7) ^ INT(((YEAR(AB$2)-YEAR($F41))*12 + MONTH(AB$2)-MONTH($F41)) / 12),
  0)</f>
        <v/>
      </c>
      <c r="AC41" s="299">
        <f>IF(AND($F41&lt;=AC$2, OR($G41="",$G41&gt;=AC$2)),
  $H41 * (1 + Assumptions!$C$7) ^ INT(((YEAR(AC$2)-YEAR($F41))*12 + MONTH(AC$2)-MONTH($F41)) / 12),
  0)</f>
        <v/>
      </c>
      <c r="AD41" s="299">
        <f>IF(AND($F41&lt;=AD$2, OR($G41="",$G41&gt;=AD$2)),
  $H41 * (1 + Assumptions!$C$7) ^ INT(((YEAR(AD$2)-YEAR($F41))*12 + MONTH(AD$2)-MONTH($F41)) / 12),
  0)</f>
        <v/>
      </c>
      <c r="AE41" s="299">
        <f>IF(AND($F41&lt;=AE$2, OR($G41="",$G41&gt;=AE$2)),
  $H41 * (1 + Assumptions!$C$7) ^ INT(((YEAR(AE$2)-YEAR($F41))*12 + MONTH(AE$2)-MONTH($F41)) / 12),
  0)</f>
        <v/>
      </c>
      <c r="AF41" s="299">
        <f>IF(AND($F41&lt;=AF$2, OR($G41="",$G41&gt;=AF$2)),
  $H41 * (1 + Assumptions!$C$7) ^ INT(((YEAR(AF$2)-YEAR($F41))*12 + MONTH(AF$2)-MONTH($F41)) / 12),
  0)</f>
        <v/>
      </c>
      <c r="AG41" s="299">
        <f>IF(AND($F41&lt;=AG$2, OR($G41="",$G41&gt;=AG$2)),
  $H41 * (1 + Assumptions!$C$7) ^ INT(((YEAR(AG$2)-YEAR($F41))*12 + MONTH(AG$2)-MONTH($F41)) / 12),
  0)</f>
        <v/>
      </c>
      <c r="AH41" s="299">
        <f>IF(AND($F41&lt;=AH$2, OR($G41="",$G41&gt;=AH$2)),
  $H41 * (1 + Assumptions!$C$7) ^ INT(((YEAR(AH$2)-YEAR($F41))*12 + MONTH(AH$2)-MONTH($F41)) / 12),
  0)</f>
        <v/>
      </c>
      <c r="AI41" s="299">
        <f>IF(AND($F41&lt;=AI$2, OR($G41="",$G41&gt;=AI$2)),
  $H41 * (1 + Assumptions!$C$7) ^ INT(((YEAR(AI$2)-YEAR($F41))*12 + MONTH(AI$2)-MONTH($F41)) / 12),
  0)</f>
        <v/>
      </c>
      <c r="AJ41" s="299">
        <f>IF(AND($F41&lt;=AJ$2, OR($G41="",$G41&gt;=AJ$2)),
  $H41 * (1 + Assumptions!$C$7) ^ INT(((YEAR(AJ$2)-YEAR($F41))*12 + MONTH(AJ$2)-MONTH($F41)) / 12),
  0)</f>
        <v/>
      </c>
      <c r="AK41" s="299">
        <f>IF(AND($F41&lt;=AK$2, OR($G41="",$G41&gt;=AK$2)),
  $H41 * (1 + Assumptions!$C$7) ^ INT(((YEAR(AK$2)-YEAR($F41))*12 + MONTH(AK$2)-MONTH($F41)) / 12),
  0)</f>
        <v/>
      </c>
      <c r="AL41" s="299">
        <f>IF(AND($F41&lt;=AL$2, OR($G41="",$G41&gt;=AL$2)),
  $H41 * (1 + Assumptions!$C$7) ^ INT(((YEAR(AL$2)-YEAR($F41))*12 + MONTH(AL$2)-MONTH($F41)) / 12),
  0)</f>
        <v/>
      </c>
      <c r="AM41" s="299">
        <f>IF(AND($F41&lt;=AM$2, OR($G41="",$G41&gt;=AM$2)),
  $H41 * (1 + Assumptions!$C$7) ^ INT(((YEAR(AM$2)-YEAR($F41))*12 + MONTH(AM$2)-MONTH($F41)) / 12),
  0)</f>
        <v/>
      </c>
      <c r="AN41" s="299">
        <f>IF(AND($F41&lt;=AN$2, OR($G41="",$G41&gt;=AN$2)),
  $H41 * (1 + Assumptions!$C$7) ^ INT(((YEAR(AN$2)-YEAR($F41))*12 + MONTH(AN$2)-MONTH($F41)) / 12),
  0)</f>
        <v/>
      </c>
      <c r="AO41" s="299">
        <f>IF(AND($F41&lt;=AO$2, OR($G41="",$G41&gt;=AO$2)),
  $H41 * (1 + Assumptions!$C$7) ^ INT(((YEAR(AO$2)-YEAR($F41))*12 + MONTH(AO$2)-MONTH($F41)) / 12),
  0)</f>
        <v/>
      </c>
      <c r="AP41" s="299">
        <f>IF(AND($F41&lt;=AP$2, OR($G41="",$G41&gt;=AP$2)),
  $H41 * (1 + Assumptions!$C$7) ^ INT(((YEAR(AP$2)-YEAR($F41))*12 + MONTH(AP$2)-MONTH($F41)) / 12),
  0)</f>
        <v/>
      </c>
      <c r="AQ41" s="299">
        <f>IF(AND($F41&lt;=AQ$2, OR($G41="",$G41&gt;=AQ$2)),
  $H41 * (1 + Assumptions!$C$7) ^ INT(((YEAR(AQ$2)-YEAR($F41))*12 + MONTH(AQ$2)-MONTH($F41)) / 12),
  0)</f>
        <v/>
      </c>
      <c r="AR41" s="299">
        <f>IF(AND($F41&lt;=AR$2, OR($G41="",$G41&gt;=AR$2)),
  $H41 * (1 + Assumptions!$C$7) ^ INT(((YEAR(AR$2)-YEAR($F41))*12 + MONTH(AR$2)-MONTH($F41)) / 12),
  0)</f>
        <v/>
      </c>
      <c r="AS41" s="299">
        <f>IF(AND($F41&lt;=AS$2, OR($G41="",$G41&gt;=AS$2)),
  $H41 * (1 + Assumptions!$C$7) ^ INT(((YEAR(AS$2)-YEAR($F41))*12 + MONTH(AS$2)-MONTH($F41)) / 12),
  0)</f>
        <v/>
      </c>
      <c r="AT41" s="299">
        <f>IF(AND($F41&lt;=AT$2, OR($G41="",$G41&gt;=AT$2)),
  $H41 * (1 + Assumptions!$C$7) ^ INT(((YEAR(AT$2)-YEAR($F41))*12 + MONTH(AT$2)-MONTH($F41)) / 12),
  0)</f>
        <v/>
      </c>
      <c r="AU41" s="299">
        <f>IF(AND($F41&lt;=AU$2, OR($G41="",$G41&gt;=AU$2)),
  $H41 * (1 + Assumptions!$C$7) ^ INT(((YEAR(AU$2)-YEAR($F41))*12 + MONTH(AU$2)-MONTH($F41)) / 12),
  0)</f>
        <v/>
      </c>
      <c r="AV41" s="299">
        <f>IF(AND($F41&lt;=AV$2, OR($G41="",$G41&gt;=AV$2)),
  $H41 * (1 + Assumptions!$C$7) ^ INT(((YEAR(AV$2)-YEAR($F41))*12 + MONTH(AV$2)-MONTH($F41)) / 12),
  0)</f>
        <v/>
      </c>
      <c r="AW41" s="299">
        <f>IF(AND($F41&lt;=AW$2, OR($G41="",$G41&gt;=AW$2)),
  $H41 * (1 + Assumptions!$C$7) ^ INT(((YEAR(AW$2)-YEAR($F41))*12 + MONTH(AW$2)-MONTH($F41)) / 12),
  0)</f>
        <v/>
      </c>
      <c r="AX41" s="299">
        <f>IF(AND($F41&lt;=AX$2, OR($G41="",$G41&gt;=AX$2)),
  $H41 * (1 + Assumptions!$C$7) ^ INT(((YEAR(AX$2)-YEAR($F41))*12 + MONTH(AX$2)-MONTH($F41)) / 12),
  0)</f>
        <v/>
      </c>
      <c r="AY41" s="299">
        <f>IF(AND($F41&lt;=AY$2, OR($G41="",$G41&gt;=AY$2)),
  $H41 * (1 + Assumptions!$C$7) ^ INT(((YEAR(AY$2)-YEAR($F41))*12 + MONTH(AY$2)-MONTH($F41)) / 12),
  0)</f>
        <v/>
      </c>
      <c r="AZ41" s="299">
        <f>IF(AND($F41&lt;=AZ$2, OR($G41="",$G41&gt;=AZ$2)),
  $H41 * (1 + Assumptions!$C$7) ^ INT(((YEAR(AZ$2)-YEAR($F41))*12 + MONTH(AZ$2)-MONTH($F41)) / 12),
  0)</f>
        <v/>
      </c>
      <c r="BA41" s="299">
        <f>IF(AND($F41&lt;=BA$2, OR($G41="",$G41&gt;=BA$2)),
  $H41 * (1 + Assumptions!$C$7) ^ INT(((YEAR(BA$2)-YEAR($F41))*12 + MONTH(BA$2)-MONTH($F41)) / 12),
  0)</f>
        <v/>
      </c>
      <c r="BB41" s="299">
        <f>IF(AND($F41&lt;=BB$2, OR($G41="",$G41&gt;=BB$2)),
  $H41 * (1 + Assumptions!$C$7) ^ INT(((YEAR(BB$2)-YEAR($F41))*12 + MONTH(BB$2)-MONTH($F41)) / 12),
  0)</f>
        <v/>
      </c>
      <c r="BC41" s="299">
        <f>IF(AND($F41&lt;=BC$2, OR($G41="",$G41&gt;=BC$2)),
  $H41 * (1 + Assumptions!$C$7) ^ INT(((YEAR(BC$2)-YEAR($F41))*12 + MONTH(BC$2)-MONTH($F41)) / 12),
  0)</f>
        <v/>
      </c>
      <c r="BD41" s="299">
        <f>IF(AND($F41&lt;=BD$2, OR($G41="",$G41&gt;=BD$2)),
  $H41 * (1 + Assumptions!$C$7) ^ INT(((YEAR(BD$2)-YEAR($F41))*12 + MONTH(BD$2)-MONTH($F41)) / 12),
  0)</f>
        <v/>
      </c>
      <c r="BE41" s="299">
        <f>IF(AND($F41&lt;=BE$2, OR($G41="",$G41&gt;=BE$2)),
  $H41 * (1 + Assumptions!$C$7) ^ INT(((YEAR(BE$2)-YEAR($F41))*12 + MONTH(BE$2)-MONTH($F41)) / 12),
  0)</f>
        <v/>
      </c>
      <c r="BF41" s="299">
        <f>IF(AND($F41&lt;=BF$2, OR($G41="",$G41&gt;=BF$2)),
  $H41 * (1 + Assumptions!$C$7) ^ INT(((YEAR(BF$2)-YEAR($F41))*12 + MONTH(BF$2)-MONTH($F41)) / 12),
  0)</f>
        <v/>
      </c>
      <c r="BG41" s="299">
        <f>IF(AND($F41&lt;=BG$2, OR($G41="",$G41&gt;=BG$2)),
  $H41 * (1 + Assumptions!$C$7) ^ INT(((YEAR(BG$2)-YEAR($F41))*12 + MONTH(BG$2)-MONTH($F41)) / 12),
  0)</f>
        <v/>
      </c>
      <c r="BH41" s="299">
        <f>IF(AND($F41&lt;=BH$2, OR($G41="",$G41&gt;=BH$2)),
  $H41 * (1 + Assumptions!$C$7) ^ INT(((YEAR(BH$2)-YEAR($F41))*12 + MONTH(BH$2)-MONTH($F41)) / 12),
  0)</f>
        <v/>
      </c>
      <c r="BI41" s="299">
        <f>IF(AND($F41&lt;=BI$2, OR($G41="",$G41&gt;=BI$2)),
  $H41 * (1 + Assumptions!$C$7) ^ INT(((YEAR(BI$2)-YEAR($F41))*12 + MONTH(BI$2)-MONTH($F41)) / 12),
  0)</f>
        <v/>
      </c>
      <c r="BJ41" s="299">
        <f>IF(AND($F41&lt;=BJ$2, OR($G41="",$G41&gt;=BJ$2)),
  $H41 * (1 + Assumptions!$C$7) ^ INT(((YEAR(BJ$2)-YEAR($F41))*12 + MONTH(BJ$2)-MONTH($F41)) / 12),
  0)</f>
        <v/>
      </c>
      <c r="BK41" s="299">
        <f>IF(AND($F41&lt;=BK$2, OR($G41="",$G41&gt;=BK$2)),
  $H41 * (1 + Assumptions!$C$7) ^ INT(((YEAR(BK$2)-YEAR($F41))*12 + MONTH(BK$2)-MONTH($F41)) / 12),
  0)</f>
        <v/>
      </c>
      <c r="BL41" s="299">
        <f>IF(AND($F41&lt;=BL$2, OR($G41="",$G41&gt;=BL$2)),
  $H41 * (1 + Assumptions!$C$7) ^ INT(((YEAR(BL$2)-YEAR($F41))*12 + MONTH(BL$2)-MONTH($F41)) / 12),
  0)</f>
        <v/>
      </c>
      <c r="BM41" s="299">
        <f>IF(AND($F41&lt;=BM$2, OR($G41="",$G41&gt;=BM$2)),
  $H41 * (1 + Assumptions!$C$7) ^ INT(((YEAR(BM$2)-YEAR($F41))*12 + MONTH(BM$2)-MONTH($F41)) / 12),
  0)</f>
        <v/>
      </c>
      <c r="BN41" s="299">
        <f>IF(AND($F41&lt;=BN$2, OR($G41="",$G41&gt;=BN$2)),
  $H41 * (1 + Assumptions!$C$7) ^ INT(((YEAR(BN$2)-YEAR($F41))*12 + MONTH(BN$2)-MONTH($F41)) / 12),
  0)</f>
        <v/>
      </c>
      <c r="BO41" s="299">
        <f>IF(AND($F41&lt;=BO$2, OR($G41="",$G41&gt;=BO$2)),
  $H41 * (1 + Assumptions!$C$7) ^ INT(((YEAR(BO$2)-YEAR($F41))*12 + MONTH(BO$2)-MONTH($F41)) / 12),
  0)</f>
        <v/>
      </c>
      <c r="BP41" s="299">
        <f>IF(AND($F41&lt;=BP$2, OR($G41="",$G41&gt;=BP$2)),
  $H41 * (1 + Assumptions!$C$7) ^ INT(((YEAR(BP$2)-YEAR($F41))*12 + MONTH(BP$2)-MONTH($F41)) / 12),
  0)</f>
        <v/>
      </c>
      <c r="BQ41" s="307" t="n"/>
      <c r="BR41" s="83" t="inlineStr">
        <is>
          <t>paid this month if started and not yet left; +8% on each work anniversary</t>
        </is>
      </c>
      <c r="BS41" s="307" t="n"/>
      <c r="BT41" s="307" t="n"/>
    </row>
    <row r="42" ht="15.75" customHeight="1" s="349">
      <c r="A42" s="321" t="n">
        <v>37</v>
      </c>
      <c r="B42" s="285" t="inlineStr">
        <is>
          <t>New hire</t>
        </is>
      </c>
      <c r="C42" s="23" t="inlineStr">
        <is>
          <t>R&amp;D</t>
        </is>
      </c>
      <c r="D42" s="321" t="inlineStr">
        <is>
          <t>Field Engineer</t>
        </is>
      </c>
      <c r="E42" s="297" t="inlineStr">
        <is>
          <t>Planned</t>
        </is>
      </c>
      <c r="F42" s="318">
        <f>IF(Assumptions!$D$82=2,DATE(2028,1,2),DATE(2029,1,1))</f>
        <v/>
      </c>
      <c r="G42" s="319" t="n"/>
      <c r="H42" s="288" t="n">
        <v>6500</v>
      </c>
      <c r="I42" s="299">
        <f>IF(AND($F42&lt;=I$2, OR($G42="",$G42&gt;=I$2)),
  $H42 * (1 + Assumptions!$C$7) ^ INT(((YEAR(I$2)-YEAR($F42))*12 + MONTH(I$2)-MONTH($F42)) / 12),
  0)</f>
        <v/>
      </c>
      <c r="J42" s="299">
        <f>IF(AND($F42&lt;=J$2, OR($G42="",$G42&gt;=J$2)),
  $H42 * (1 + Assumptions!$C$7) ^ INT(((YEAR(J$2)-YEAR($F42))*12 + MONTH(J$2)-MONTH($F42)) / 12),
  0)</f>
        <v/>
      </c>
      <c r="K42" s="299">
        <f>IF(AND($F42&lt;=K$2, OR($G42="",$G42&gt;=K$2)),
  $H42 * (1 + Assumptions!$C$7) ^ INT(((YEAR(K$2)-YEAR($F42))*12 + MONTH(K$2)-MONTH($F42)) / 12),
  0)</f>
        <v/>
      </c>
      <c r="L42" s="299">
        <f>IF(AND($F42&lt;=L$2, OR($G42="",$G42&gt;=L$2)),
  $H42 * (1 + Assumptions!$C$7) ^ INT(((YEAR(L$2)-YEAR($F42))*12 + MONTH(L$2)-MONTH($F42)) / 12),
  0)</f>
        <v/>
      </c>
      <c r="M42" s="299">
        <f>IF(AND($F42&lt;=M$2, OR($G42="",$G42&gt;=M$2)),
  $H42 * (1 + Assumptions!$C$7) ^ INT(((YEAR(M$2)-YEAR($F42))*12 + MONTH(M$2)-MONTH($F42)) / 12),
  0)</f>
        <v/>
      </c>
      <c r="N42" s="299">
        <f>IF(AND($F42&lt;=N$2, OR($G42="",$G42&gt;=N$2)),
  $H42 * (1 + Assumptions!$C$7) ^ INT(((YEAR(N$2)-YEAR($F42))*12 + MONTH(N$2)-MONTH($F42)) / 12),
  0)</f>
        <v/>
      </c>
      <c r="O42" s="299">
        <f>IF(AND($F42&lt;=O$2, OR($G42="",$G42&gt;=O$2)),
  $H42 * (1 + Assumptions!$C$7) ^ INT(((YEAR(O$2)-YEAR($F42))*12 + MONTH(O$2)-MONTH($F42)) / 12),
  0)</f>
        <v/>
      </c>
      <c r="P42" s="299">
        <f>IF(AND($F42&lt;=P$2, OR($G42="",$G42&gt;=P$2)),
  $H42 * (1 + Assumptions!$C$7) ^ INT(((YEAR(P$2)-YEAR($F42))*12 + MONTH(P$2)-MONTH($F42)) / 12),
  0)</f>
        <v/>
      </c>
      <c r="Q42" s="299">
        <f>IF(AND($F42&lt;=Q$2, OR($G42="",$G42&gt;=Q$2)),
  $H42 * (1 + Assumptions!$C$7) ^ INT(((YEAR(Q$2)-YEAR($F42))*12 + MONTH(Q$2)-MONTH($F42)) / 12),
  0)</f>
        <v/>
      </c>
      <c r="R42" s="299">
        <f>IF(AND($F42&lt;=R$2, OR($G42="",$G42&gt;=R$2)),
  $H42 * (1 + Assumptions!$C$7) ^ INT(((YEAR(R$2)-YEAR($F42))*12 + MONTH(R$2)-MONTH($F42)) / 12),
  0)</f>
        <v/>
      </c>
      <c r="S42" s="299">
        <f>IF(AND($F42&lt;=S$2, OR($G42="",$G42&gt;=S$2)),
  $H42 * (1 + Assumptions!$C$7) ^ INT(((YEAR(S$2)-YEAR($F42))*12 + MONTH(S$2)-MONTH($F42)) / 12),
  0)</f>
        <v/>
      </c>
      <c r="T42" s="299">
        <f>IF(AND($F42&lt;=T$2, OR($G42="",$G42&gt;=T$2)),
  $H42 * (1 + Assumptions!$C$7) ^ INT(((YEAR(T$2)-YEAR($F42))*12 + MONTH(T$2)-MONTH($F42)) / 12),
  0)</f>
        <v/>
      </c>
      <c r="U42" s="299">
        <f>IF(AND($F42&lt;=U$2, OR($G42="",$G42&gt;=U$2)),
  $H42 * (1 + Assumptions!$C$7) ^ INT(((YEAR(U$2)-YEAR($F42))*12 + MONTH(U$2)-MONTH($F42)) / 12),
  0)</f>
        <v/>
      </c>
      <c r="V42" s="299">
        <f>IF(AND($F42&lt;=V$2, OR($G42="",$G42&gt;=V$2)),
  $H42 * (1 + Assumptions!$C$7) ^ INT(((YEAR(V$2)-YEAR($F42))*12 + MONTH(V$2)-MONTH($F42)) / 12),
  0)</f>
        <v/>
      </c>
      <c r="W42" s="299">
        <f>IF(AND($F42&lt;=W$2, OR($G42="",$G42&gt;=W$2)),
  $H42 * (1 + Assumptions!$C$7) ^ INT(((YEAR(W$2)-YEAR($F42))*12 + MONTH(W$2)-MONTH($F42)) / 12),
  0)</f>
        <v/>
      </c>
      <c r="X42" s="299">
        <f>IF(AND($F42&lt;=X$2, OR($G42="",$G42&gt;=X$2)),
  $H42 * (1 + Assumptions!$C$7) ^ INT(((YEAR(X$2)-YEAR($F42))*12 + MONTH(X$2)-MONTH($F42)) / 12),
  0)</f>
        <v/>
      </c>
      <c r="Y42" s="299">
        <f>IF(AND($F42&lt;=Y$2, OR($G42="",$G42&gt;=Y$2)),
  $H42 * (1 + Assumptions!$C$7) ^ INT(((YEAR(Y$2)-YEAR($F42))*12 + MONTH(Y$2)-MONTH($F42)) / 12),
  0)</f>
        <v/>
      </c>
      <c r="Z42" s="299">
        <f>IF(AND($F42&lt;=Z$2, OR($G42="",$G42&gt;=Z$2)),
  $H42 * (1 + Assumptions!$C$7) ^ INT(((YEAR(Z$2)-YEAR($F42))*12 + MONTH(Z$2)-MONTH($F42)) / 12),
  0)</f>
        <v/>
      </c>
      <c r="AA42" s="299">
        <f>IF(AND($F42&lt;=AA$2, OR($G42="",$G42&gt;=AA$2)),
  $H42 * (1 + Assumptions!$C$7) ^ INT(((YEAR(AA$2)-YEAR($F42))*12 + MONTH(AA$2)-MONTH($F42)) / 12),
  0)</f>
        <v/>
      </c>
      <c r="AB42" s="299">
        <f>IF(AND($F42&lt;=AB$2, OR($G42="",$G42&gt;=AB$2)),
  $H42 * (1 + Assumptions!$C$7) ^ INT(((YEAR(AB$2)-YEAR($F42))*12 + MONTH(AB$2)-MONTH($F42)) / 12),
  0)</f>
        <v/>
      </c>
      <c r="AC42" s="299">
        <f>IF(AND($F42&lt;=AC$2, OR($G42="",$G42&gt;=AC$2)),
  $H42 * (1 + Assumptions!$C$7) ^ INT(((YEAR(AC$2)-YEAR($F42))*12 + MONTH(AC$2)-MONTH($F42)) / 12),
  0)</f>
        <v/>
      </c>
      <c r="AD42" s="299">
        <f>IF(AND($F42&lt;=AD$2, OR($G42="",$G42&gt;=AD$2)),
  $H42 * (1 + Assumptions!$C$7) ^ INT(((YEAR(AD$2)-YEAR($F42))*12 + MONTH(AD$2)-MONTH($F42)) / 12),
  0)</f>
        <v/>
      </c>
      <c r="AE42" s="299">
        <f>IF(AND($F42&lt;=AE$2, OR($G42="",$G42&gt;=AE$2)),
  $H42 * (1 + Assumptions!$C$7) ^ INT(((YEAR(AE$2)-YEAR($F42))*12 + MONTH(AE$2)-MONTH($F42)) / 12),
  0)</f>
        <v/>
      </c>
      <c r="AF42" s="299">
        <f>IF(AND($F42&lt;=AF$2, OR($G42="",$G42&gt;=AF$2)),
  $H42 * (1 + Assumptions!$C$7) ^ INT(((YEAR(AF$2)-YEAR($F42))*12 + MONTH(AF$2)-MONTH($F42)) / 12),
  0)</f>
        <v/>
      </c>
      <c r="AG42" s="299">
        <f>IF(AND($F42&lt;=AG$2, OR($G42="",$G42&gt;=AG$2)),
  $H42 * (1 + Assumptions!$C$7) ^ INT(((YEAR(AG$2)-YEAR($F42))*12 + MONTH(AG$2)-MONTH($F42)) / 12),
  0)</f>
        <v/>
      </c>
      <c r="AH42" s="299">
        <f>IF(AND($F42&lt;=AH$2, OR($G42="",$G42&gt;=AH$2)),
  $H42 * (1 + Assumptions!$C$7) ^ INT(((YEAR(AH$2)-YEAR($F42))*12 + MONTH(AH$2)-MONTH($F42)) / 12),
  0)</f>
        <v/>
      </c>
      <c r="AI42" s="299">
        <f>IF(AND($F42&lt;=AI$2, OR($G42="",$G42&gt;=AI$2)),
  $H42 * (1 + Assumptions!$C$7) ^ INT(((YEAR(AI$2)-YEAR($F42))*12 + MONTH(AI$2)-MONTH($F42)) / 12),
  0)</f>
        <v/>
      </c>
      <c r="AJ42" s="299">
        <f>IF(AND($F42&lt;=AJ$2, OR($G42="",$G42&gt;=AJ$2)),
  $H42 * (1 + Assumptions!$C$7) ^ INT(((YEAR(AJ$2)-YEAR($F42))*12 + MONTH(AJ$2)-MONTH($F42)) / 12),
  0)</f>
        <v/>
      </c>
      <c r="AK42" s="299">
        <f>IF(AND($F42&lt;=AK$2, OR($G42="",$G42&gt;=AK$2)),
  $H42 * (1 + Assumptions!$C$7) ^ INT(((YEAR(AK$2)-YEAR($F42))*12 + MONTH(AK$2)-MONTH($F42)) / 12),
  0)</f>
        <v/>
      </c>
      <c r="AL42" s="299">
        <f>IF(AND($F42&lt;=AL$2, OR($G42="",$G42&gt;=AL$2)),
  $H42 * (1 + Assumptions!$C$7) ^ INT(((YEAR(AL$2)-YEAR($F42))*12 + MONTH(AL$2)-MONTH($F42)) / 12),
  0)</f>
        <v/>
      </c>
      <c r="AM42" s="299">
        <f>IF(AND($F42&lt;=AM$2, OR($G42="",$G42&gt;=AM$2)),
  $H42 * (1 + Assumptions!$C$7) ^ INT(((YEAR(AM$2)-YEAR($F42))*12 + MONTH(AM$2)-MONTH($F42)) / 12),
  0)</f>
        <v/>
      </c>
      <c r="AN42" s="299">
        <f>IF(AND($F42&lt;=AN$2, OR($G42="",$G42&gt;=AN$2)),
  $H42 * (1 + Assumptions!$C$7) ^ INT(((YEAR(AN$2)-YEAR($F42))*12 + MONTH(AN$2)-MONTH($F42)) / 12),
  0)</f>
        <v/>
      </c>
      <c r="AO42" s="299">
        <f>IF(AND($F42&lt;=AO$2, OR($G42="",$G42&gt;=AO$2)),
  $H42 * (1 + Assumptions!$C$7) ^ INT(((YEAR(AO$2)-YEAR($F42))*12 + MONTH(AO$2)-MONTH($F42)) / 12),
  0)</f>
        <v/>
      </c>
      <c r="AP42" s="299">
        <f>IF(AND($F42&lt;=AP$2, OR($G42="",$G42&gt;=AP$2)),
  $H42 * (1 + Assumptions!$C$7) ^ INT(((YEAR(AP$2)-YEAR($F42))*12 + MONTH(AP$2)-MONTH($F42)) / 12),
  0)</f>
        <v/>
      </c>
      <c r="AQ42" s="299">
        <f>IF(AND($F42&lt;=AQ$2, OR($G42="",$G42&gt;=AQ$2)),
  $H42 * (1 + Assumptions!$C$7) ^ INT(((YEAR(AQ$2)-YEAR($F42))*12 + MONTH(AQ$2)-MONTH($F42)) / 12),
  0)</f>
        <v/>
      </c>
      <c r="AR42" s="299">
        <f>IF(AND($F42&lt;=AR$2, OR($G42="",$G42&gt;=AR$2)),
  $H42 * (1 + Assumptions!$C$7) ^ INT(((YEAR(AR$2)-YEAR($F42))*12 + MONTH(AR$2)-MONTH($F42)) / 12),
  0)</f>
        <v/>
      </c>
      <c r="AS42" s="299">
        <f>IF(AND($F42&lt;=AS$2, OR($G42="",$G42&gt;=AS$2)),
  $H42 * (1 + Assumptions!$C$7) ^ INT(((YEAR(AS$2)-YEAR($F42))*12 + MONTH(AS$2)-MONTH($F42)) / 12),
  0)</f>
        <v/>
      </c>
      <c r="AT42" s="299">
        <f>IF(AND($F42&lt;=AT$2, OR($G42="",$G42&gt;=AT$2)),
  $H42 * (1 + Assumptions!$C$7) ^ INT(((YEAR(AT$2)-YEAR($F42))*12 + MONTH(AT$2)-MONTH($F42)) / 12),
  0)</f>
        <v/>
      </c>
      <c r="AU42" s="299">
        <f>IF(AND($F42&lt;=AU$2, OR($G42="",$G42&gt;=AU$2)),
  $H42 * (1 + Assumptions!$C$7) ^ INT(((YEAR(AU$2)-YEAR($F42))*12 + MONTH(AU$2)-MONTH($F42)) / 12),
  0)</f>
        <v/>
      </c>
      <c r="AV42" s="299">
        <f>IF(AND($F42&lt;=AV$2, OR($G42="",$G42&gt;=AV$2)),
  $H42 * (1 + Assumptions!$C$7) ^ INT(((YEAR(AV$2)-YEAR($F42))*12 + MONTH(AV$2)-MONTH($F42)) / 12),
  0)</f>
        <v/>
      </c>
      <c r="AW42" s="299">
        <f>IF(AND($F42&lt;=AW$2, OR($G42="",$G42&gt;=AW$2)),
  $H42 * (1 + Assumptions!$C$7) ^ INT(((YEAR(AW$2)-YEAR($F42))*12 + MONTH(AW$2)-MONTH($F42)) / 12),
  0)</f>
        <v/>
      </c>
      <c r="AX42" s="299">
        <f>IF(AND($F42&lt;=AX$2, OR($G42="",$G42&gt;=AX$2)),
  $H42 * (1 + Assumptions!$C$7) ^ INT(((YEAR(AX$2)-YEAR($F42))*12 + MONTH(AX$2)-MONTH($F42)) / 12),
  0)</f>
        <v/>
      </c>
      <c r="AY42" s="299">
        <f>IF(AND($F42&lt;=AY$2, OR($G42="",$G42&gt;=AY$2)),
  $H42 * (1 + Assumptions!$C$7) ^ INT(((YEAR(AY$2)-YEAR($F42))*12 + MONTH(AY$2)-MONTH($F42)) / 12),
  0)</f>
        <v/>
      </c>
      <c r="AZ42" s="299">
        <f>IF(AND($F42&lt;=AZ$2, OR($G42="",$G42&gt;=AZ$2)),
  $H42 * (1 + Assumptions!$C$7) ^ INT(((YEAR(AZ$2)-YEAR($F42))*12 + MONTH(AZ$2)-MONTH($F42)) / 12),
  0)</f>
        <v/>
      </c>
      <c r="BA42" s="299">
        <f>IF(AND($F42&lt;=BA$2, OR($G42="",$G42&gt;=BA$2)),
  $H42 * (1 + Assumptions!$C$7) ^ INT(((YEAR(BA$2)-YEAR($F42))*12 + MONTH(BA$2)-MONTH($F42)) / 12),
  0)</f>
        <v/>
      </c>
      <c r="BB42" s="299">
        <f>IF(AND($F42&lt;=BB$2, OR($G42="",$G42&gt;=BB$2)),
  $H42 * (1 + Assumptions!$C$7) ^ INT(((YEAR(BB$2)-YEAR($F42))*12 + MONTH(BB$2)-MONTH($F42)) / 12),
  0)</f>
        <v/>
      </c>
      <c r="BC42" s="299">
        <f>IF(AND($F42&lt;=BC$2, OR($G42="",$G42&gt;=BC$2)),
  $H42 * (1 + Assumptions!$C$7) ^ INT(((YEAR(BC$2)-YEAR($F42))*12 + MONTH(BC$2)-MONTH($F42)) / 12),
  0)</f>
        <v/>
      </c>
      <c r="BD42" s="299">
        <f>IF(AND($F42&lt;=BD$2, OR($G42="",$G42&gt;=BD$2)),
  $H42 * (1 + Assumptions!$C$7) ^ INT(((YEAR(BD$2)-YEAR($F42))*12 + MONTH(BD$2)-MONTH($F42)) / 12),
  0)</f>
        <v/>
      </c>
      <c r="BE42" s="299">
        <f>IF(AND($F42&lt;=BE$2, OR($G42="",$G42&gt;=BE$2)),
  $H42 * (1 + Assumptions!$C$7) ^ INT(((YEAR(BE$2)-YEAR($F42))*12 + MONTH(BE$2)-MONTH($F42)) / 12),
  0)</f>
        <v/>
      </c>
      <c r="BF42" s="299">
        <f>IF(AND($F42&lt;=BF$2, OR($G42="",$G42&gt;=BF$2)),
  $H42 * (1 + Assumptions!$C$7) ^ INT(((YEAR(BF$2)-YEAR($F42))*12 + MONTH(BF$2)-MONTH($F42)) / 12),
  0)</f>
        <v/>
      </c>
      <c r="BG42" s="299">
        <f>IF(AND($F42&lt;=BG$2, OR($G42="",$G42&gt;=BG$2)),
  $H42 * (1 + Assumptions!$C$7) ^ INT(((YEAR(BG$2)-YEAR($F42))*12 + MONTH(BG$2)-MONTH($F42)) / 12),
  0)</f>
        <v/>
      </c>
      <c r="BH42" s="299">
        <f>IF(AND($F42&lt;=BH$2, OR($G42="",$G42&gt;=BH$2)),
  $H42 * (1 + Assumptions!$C$7) ^ INT(((YEAR(BH$2)-YEAR($F42))*12 + MONTH(BH$2)-MONTH($F42)) / 12),
  0)</f>
        <v/>
      </c>
      <c r="BI42" s="299">
        <f>IF(AND($F42&lt;=BI$2, OR($G42="",$G42&gt;=BI$2)),
  $H42 * (1 + Assumptions!$C$7) ^ INT(((YEAR(BI$2)-YEAR($F42))*12 + MONTH(BI$2)-MONTH($F42)) / 12),
  0)</f>
        <v/>
      </c>
      <c r="BJ42" s="299">
        <f>IF(AND($F42&lt;=BJ$2, OR($G42="",$G42&gt;=BJ$2)),
  $H42 * (1 + Assumptions!$C$7) ^ INT(((YEAR(BJ$2)-YEAR($F42))*12 + MONTH(BJ$2)-MONTH($F42)) / 12),
  0)</f>
        <v/>
      </c>
      <c r="BK42" s="299">
        <f>IF(AND($F42&lt;=BK$2, OR($G42="",$G42&gt;=BK$2)),
  $H42 * (1 + Assumptions!$C$7) ^ INT(((YEAR(BK$2)-YEAR($F42))*12 + MONTH(BK$2)-MONTH($F42)) / 12),
  0)</f>
        <v/>
      </c>
      <c r="BL42" s="299">
        <f>IF(AND($F42&lt;=BL$2, OR($G42="",$G42&gt;=BL$2)),
  $H42 * (1 + Assumptions!$C$7) ^ INT(((YEAR(BL$2)-YEAR($F42))*12 + MONTH(BL$2)-MONTH($F42)) / 12),
  0)</f>
        <v/>
      </c>
      <c r="BM42" s="299">
        <f>IF(AND($F42&lt;=BM$2, OR($G42="",$G42&gt;=BM$2)),
  $H42 * (1 + Assumptions!$C$7) ^ INT(((YEAR(BM$2)-YEAR($F42))*12 + MONTH(BM$2)-MONTH($F42)) / 12),
  0)</f>
        <v/>
      </c>
      <c r="BN42" s="299">
        <f>IF(AND($F42&lt;=BN$2, OR($G42="",$G42&gt;=BN$2)),
  $H42 * (1 + Assumptions!$C$7) ^ INT(((YEAR(BN$2)-YEAR($F42))*12 + MONTH(BN$2)-MONTH($F42)) / 12),
  0)</f>
        <v/>
      </c>
      <c r="BO42" s="299">
        <f>IF(AND($F42&lt;=BO$2, OR($G42="",$G42&gt;=BO$2)),
  $H42 * (1 + Assumptions!$C$7) ^ INT(((YEAR(BO$2)-YEAR($F42))*12 + MONTH(BO$2)-MONTH($F42)) / 12),
  0)</f>
        <v/>
      </c>
      <c r="BP42" s="299">
        <f>IF(AND($F42&lt;=BP$2, OR($G42="",$G42&gt;=BP$2)),
  $H42 * (1 + Assumptions!$C$7) ^ INT(((YEAR(BP$2)-YEAR($F42))*12 + MONTH(BP$2)-MONTH($F42)) / 12),
  0)</f>
        <v/>
      </c>
      <c r="BQ42" s="307" t="n"/>
      <c r="BR42" s="83" t="inlineStr">
        <is>
          <t>paid this month if started and not yet left; +8% on each work anniversary</t>
        </is>
      </c>
      <c r="BS42" s="307" t="n"/>
      <c r="BT42" s="307" t="n"/>
    </row>
    <row r="43" ht="15.75" customHeight="1" s="349">
      <c r="A43" s="321" t="n">
        <v>38</v>
      </c>
      <c r="B43" s="285" t="inlineStr">
        <is>
          <t>New hire</t>
        </is>
      </c>
      <c r="C43" s="23" t="inlineStr">
        <is>
          <t>R&amp;D</t>
        </is>
      </c>
      <c r="D43" s="122" t="inlineStr">
        <is>
          <t>R&amp;D Engineer</t>
        </is>
      </c>
      <c r="E43" s="297" t="inlineStr">
        <is>
          <t>Planned</t>
        </is>
      </c>
      <c r="F43" s="318" t="n">
        <v>47178</v>
      </c>
      <c r="G43" s="319" t="n"/>
      <c r="H43" s="288" t="n">
        <v>6500</v>
      </c>
      <c r="I43" s="299">
        <f>IF(AND($F43&lt;=I$2, OR($G43="",$G43&gt;=I$2)),
  $H43 * (1 + Assumptions!$C$7) ^ INT(((YEAR(I$2)-YEAR($F43))*12 + MONTH(I$2)-MONTH($F43)) / 12),
  0)</f>
        <v/>
      </c>
      <c r="J43" s="299">
        <f>IF(AND($F43&lt;=J$2, OR($G43="",$G43&gt;=J$2)),
  $H43 * (1 + Assumptions!$C$7) ^ INT(((YEAR(J$2)-YEAR($F43))*12 + MONTH(J$2)-MONTH($F43)) / 12),
  0)</f>
        <v/>
      </c>
      <c r="K43" s="299">
        <f>IF(AND($F43&lt;=K$2, OR($G43="",$G43&gt;=K$2)),
  $H43 * (1 + Assumptions!$C$7) ^ INT(((YEAR(K$2)-YEAR($F43))*12 + MONTH(K$2)-MONTH($F43)) / 12),
  0)</f>
        <v/>
      </c>
      <c r="L43" s="299">
        <f>IF(AND($F43&lt;=L$2, OR($G43="",$G43&gt;=L$2)),
  $H43 * (1 + Assumptions!$C$7) ^ INT(((YEAR(L$2)-YEAR($F43))*12 + MONTH(L$2)-MONTH($F43)) / 12),
  0)</f>
        <v/>
      </c>
      <c r="M43" s="299">
        <f>IF(AND($F43&lt;=M$2, OR($G43="",$G43&gt;=M$2)),
  $H43 * (1 + Assumptions!$C$7) ^ INT(((YEAR(M$2)-YEAR($F43))*12 + MONTH(M$2)-MONTH($F43)) / 12),
  0)</f>
        <v/>
      </c>
      <c r="N43" s="299">
        <f>IF(AND($F43&lt;=N$2, OR($G43="",$G43&gt;=N$2)),
  $H43 * (1 + Assumptions!$C$7) ^ INT(((YEAR(N$2)-YEAR($F43))*12 + MONTH(N$2)-MONTH($F43)) / 12),
  0)</f>
        <v/>
      </c>
      <c r="O43" s="299">
        <f>IF(AND($F43&lt;=O$2, OR($G43="",$G43&gt;=O$2)),
  $H43 * (1 + Assumptions!$C$7) ^ INT(((YEAR(O$2)-YEAR($F43))*12 + MONTH(O$2)-MONTH($F43)) / 12),
  0)</f>
        <v/>
      </c>
      <c r="P43" s="299">
        <f>IF(AND($F43&lt;=P$2, OR($G43="",$G43&gt;=P$2)),
  $H43 * (1 + Assumptions!$C$7) ^ INT(((YEAR(P$2)-YEAR($F43))*12 + MONTH(P$2)-MONTH($F43)) / 12),
  0)</f>
        <v/>
      </c>
      <c r="Q43" s="299">
        <f>IF(AND($F43&lt;=Q$2, OR($G43="",$G43&gt;=Q$2)),
  $H43 * (1 + Assumptions!$C$7) ^ INT(((YEAR(Q$2)-YEAR($F43))*12 + MONTH(Q$2)-MONTH($F43)) / 12),
  0)</f>
        <v/>
      </c>
      <c r="R43" s="299">
        <f>IF(AND($F43&lt;=R$2, OR($G43="",$G43&gt;=R$2)),
  $H43 * (1 + Assumptions!$C$7) ^ INT(((YEAR(R$2)-YEAR($F43))*12 + MONTH(R$2)-MONTH($F43)) / 12),
  0)</f>
        <v/>
      </c>
      <c r="S43" s="299">
        <f>IF(AND($F43&lt;=S$2, OR($G43="",$G43&gt;=S$2)),
  $H43 * (1 + Assumptions!$C$7) ^ INT(((YEAR(S$2)-YEAR($F43))*12 + MONTH(S$2)-MONTH($F43)) / 12),
  0)</f>
        <v/>
      </c>
      <c r="T43" s="299">
        <f>IF(AND($F43&lt;=T$2, OR($G43="",$G43&gt;=T$2)),
  $H43 * (1 + Assumptions!$C$7) ^ INT(((YEAR(T$2)-YEAR($F43))*12 + MONTH(T$2)-MONTH($F43)) / 12),
  0)</f>
        <v/>
      </c>
      <c r="U43" s="299">
        <f>IF(AND($F43&lt;=U$2, OR($G43="",$G43&gt;=U$2)),
  $H43 * (1 + Assumptions!$C$7) ^ INT(((YEAR(U$2)-YEAR($F43))*12 + MONTH(U$2)-MONTH($F43)) / 12),
  0)</f>
        <v/>
      </c>
      <c r="V43" s="299">
        <f>IF(AND($F43&lt;=V$2, OR($G43="",$G43&gt;=V$2)),
  $H43 * (1 + Assumptions!$C$7) ^ INT(((YEAR(V$2)-YEAR($F43))*12 + MONTH(V$2)-MONTH($F43)) / 12),
  0)</f>
        <v/>
      </c>
      <c r="W43" s="299">
        <f>IF(AND($F43&lt;=W$2, OR($G43="",$G43&gt;=W$2)),
  $H43 * (1 + Assumptions!$C$7) ^ INT(((YEAR(W$2)-YEAR($F43))*12 + MONTH(W$2)-MONTH($F43)) / 12),
  0)</f>
        <v/>
      </c>
      <c r="X43" s="299">
        <f>IF(AND($F43&lt;=X$2, OR($G43="",$G43&gt;=X$2)),
  $H43 * (1 + Assumptions!$C$7) ^ INT(((YEAR(X$2)-YEAR($F43))*12 + MONTH(X$2)-MONTH($F43)) / 12),
  0)</f>
        <v/>
      </c>
      <c r="Y43" s="299">
        <f>IF(AND($F43&lt;=Y$2, OR($G43="",$G43&gt;=Y$2)),
  $H43 * (1 + Assumptions!$C$7) ^ INT(((YEAR(Y$2)-YEAR($F43))*12 + MONTH(Y$2)-MONTH($F43)) / 12),
  0)</f>
        <v/>
      </c>
      <c r="Z43" s="299">
        <f>IF(AND($F43&lt;=Z$2, OR($G43="",$G43&gt;=Z$2)),
  $H43 * (1 + Assumptions!$C$7) ^ INT(((YEAR(Z$2)-YEAR($F43))*12 + MONTH(Z$2)-MONTH($F43)) / 12),
  0)</f>
        <v/>
      </c>
      <c r="AA43" s="299">
        <f>IF(AND($F43&lt;=AA$2, OR($G43="",$G43&gt;=AA$2)),
  $H43 * (1 + Assumptions!$C$7) ^ INT(((YEAR(AA$2)-YEAR($F43))*12 + MONTH(AA$2)-MONTH($F43)) / 12),
  0)</f>
        <v/>
      </c>
      <c r="AB43" s="299">
        <f>IF(AND($F43&lt;=AB$2, OR($G43="",$G43&gt;=AB$2)),
  $H43 * (1 + Assumptions!$C$7) ^ INT(((YEAR(AB$2)-YEAR($F43))*12 + MONTH(AB$2)-MONTH($F43)) / 12),
  0)</f>
        <v/>
      </c>
      <c r="AC43" s="299">
        <f>IF(AND($F43&lt;=AC$2, OR($G43="",$G43&gt;=AC$2)),
  $H43 * (1 + Assumptions!$C$7) ^ INT(((YEAR(AC$2)-YEAR($F43))*12 + MONTH(AC$2)-MONTH($F43)) / 12),
  0)</f>
        <v/>
      </c>
      <c r="AD43" s="299">
        <f>IF(AND($F43&lt;=AD$2, OR($G43="",$G43&gt;=AD$2)),
  $H43 * (1 + Assumptions!$C$7) ^ INT(((YEAR(AD$2)-YEAR($F43))*12 + MONTH(AD$2)-MONTH($F43)) / 12),
  0)</f>
        <v/>
      </c>
      <c r="AE43" s="299">
        <f>IF(AND($F43&lt;=AE$2, OR($G43="",$G43&gt;=AE$2)),
  $H43 * (1 + Assumptions!$C$7) ^ INT(((YEAR(AE$2)-YEAR($F43))*12 + MONTH(AE$2)-MONTH($F43)) / 12),
  0)</f>
        <v/>
      </c>
      <c r="AF43" s="299">
        <f>IF(AND($F43&lt;=AF$2, OR($G43="",$G43&gt;=AF$2)),
  $H43 * (1 + Assumptions!$C$7) ^ INT(((YEAR(AF$2)-YEAR($F43))*12 + MONTH(AF$2)-MONTH($F43)) / 12),
  0)</f>
        <v/>
      </c>
      <c r="AG43" s="299">
        <f>IF(AND($F43&lt;=AG$2, OR($G43="",$G43&gt;=AG$2)),
  $H43 * (1 + Assumptions!$C$7) ^ INT(((YEAR(AG$2)-YEAR($F43))*12 + MONTH(AG$2)-MONTH($F43)) / 12),
  0)</f>
        <v/>
      </c>
      <c r="AH43" s="299">
        <f>IF(AND($F43&lt;=AH$2, OR($G43="",$G43&gt;=AH$2)),
  $H43 * (1 + Assumptions!$C$7) ^ INT(((YEAR(AH$2)-YEAR($F43))*12 + MONTH(AH$2)-MONTH($F43)) / 12),
  0)</f>
        <v/>
      </c>
      <c r="AI43" s="299">
        <f>IF(AND($F43&lt;=AI$2, OR($G43="",$G43&gt;=AI$2)),
  $H43 * (1 + Assumptions!$C$7) ^ INT(((YEAR(AI$2)-YEAR($F43))*12 + MONTH(AI$2)-MONTH($F43)) / 12),
  0)</f>
        <v/>
      </c>
      <c r="AJ43" s="299">
        <f>IF(AND($F43&lt;=AJ$2, OR($G43="",$G43&gt;=AJ$2)),
  $H43 * (1 + Assumptions!$C$7) ^ INT(((YEAR(AJ$2)-YEAR($F43))*12 + MONTH(AJ$2)-MONTH($F43)) / 12),
  0)</f>
        <v/>
      </c>
      <c r="AK43" s="299">
        <f>IF(AND($F43&lt;=AK$2, OR($G43="",$G43&gt;=AK$2)),
  $H43 * (1 + Assumptions!$C$7) ^ INT(((YEAR(AK$2)-YEAR($F43))*12 + MONTH(AK$2)-MONTH($F43)) / 12),
  0)</f>
        <v/>
      </c>
      <c r="AL43" s="299">
        <f>IF(AND($F43&lt;=AL$2, OR($G43="",$G43&gt;=AL$2)),
  $H43 * (1 + Assumptions!$C$7) ^ INT(((YEAR(AL$2)-YEAR($F43))*12 + MONTH(AL$2)-MONTH($F43)) / 12),
  0)</f>
        <v/>
      </c>
      <c r="AM43" s="299">
        <f>IF(AND($F43&lt;=AM$2, OR($G43="",$G43&gt;=AM$2)),
  $H43 * (1 + Assumptions!$C$7) ^ INT(((YEAR(AM$2)-YEAR($F43))*12 + MONTH(AM$2)-MONTH($F43)) / 12),
  0)</f>
        <v/>
      </c>
      <c r="AN43" s="299">
        <f>IF(AND($F43&lt;=AN$2, OR($G43="",$G43&gt;=AN$2)),
  $H43 * (1 + Assumptions!$C$7) ^ INT(((YEAR(AN$2)-YEAR($F43))*12 + MONTH(AN$2)-MONTH($F43)) / 12),
  0)</f>
        <v/>
      </c>
      <c r="AO43" s="299">
        <f>IF(AND($F43&lt;=AO$2, OR($G43="",$G43&gt;=AO$2)),
  $H43 * (1 + Assumptions!$C$7) ^ INT(((YEAR(AO$2)-YEAR($F43))*12 + MONTH(AO$2)-MONTH($F43)) / 12),
  0)</f>
        <v/>
      </c>
      <c r="AP43" s="299">
        <f>IF(AND($F43&lt;=AP$2, OR($G43="",$G43&gt;=AP$2)),
  $H43 * (1 + Assumptions!$C$7) ^ INT(((YEAR(AP$2)-YEAR($F43))*12 + MONTH(AP$2)-MONTH($F43)) / 12),
  0)</f>
        <v/>
      </c>
      <c r="AQ43" s="299">
        <f>IF(AND($F43&lt;=AQ$2, OR($G43="",$G43&gt;=AQ$2)),
  $H43 * (1 + Assumptions!$C$7) ^ INT(((YEAR(AQ$2)-YEAR($F43))*12 + MONTH(AQ$2)-MONTH($F43)) / 12),
  0)</f>
        <v/>
      </c>
      <c r="AR43" s="299">
        <f>IF(AND($F43&lt;=AR$2, OR($G43="",$G43&gt;=AR$2)),
  $H43 * (1 + Assumptions!$C$7) ^ INT(((YEAR(AR$2)-YEAR($F43))*12 + MONTH(AR$2)-MONTH($F43)) / 12),
  0)</f>
        <v/>
      </c>
      <c r="AS43" s="299">
        <f>IF(AND($F43&lt;=AS$2, OR($G43="",$G43&gt;=AS$2)),
  $H43 * (1 + Assumptions!$C$7) ^ INT(((YEAR(AS$2)-YEAR($F43))*12 + MONTH(AS$2)-MONTH($F43)) / 12),
  0)</f>
        <v/>
      </c>
      <c r="AT43" s="299">
        <f>IF(AND($F43&lt;=AT$2, OR($G43="",$G43&gt;=AT$2)),
  $H43 * (1 + Assumptions!$C$7) ^ INT(((YEAR(AT$2)-YEAR($F43))*12 + MONTH(AT$2)-MONTH($F43)) / 12),
  0)</f>
        <v/>
      </c>
      <c r="AU43" s="299">
        <f>IF(AND($F43&lt;=AU$2, OR($G43="",$G43&gt;=AU$2)),
  $H43 * (1 + Assumptions!$C$7) ^ INT(((YEAR(AU$2)-YEAR($F43))*12 + MONTH(AU$2)-MONTH($F43)) / 12),
  0)</f>
        <v/>
      </c>
      <c r="AV43" s="299">
        <f>IF(AND($F43&lt;=AV$2, OR($G43="",$G43&gt;=AV$2)),
  $H43 * (1 + Assumptions!$C$7) ^ INT(((YEAR(AV$2)-YEAR($F43))*12 + MONTH(AV$2)-MONTH($F43)) / 12),
  0)</f>
        <v/>
      </c>
      <c r="AW43" s="299">
        <f>IF(AND($F43&lt;=AW$2, OR($G43="",$G43&gt;=AW$2)),
  $H43 * (1 + Assumptions!$C$7) ^ INT(((YEAR(AW$2)-YEAR($F43))*12 + MONTH(AW$2)-MONTH($F43)) / 12),
  0)</f>
        <v/>
      </c>
      <c r="AX43" s="299">
        <f>IF(AND($F43&lt;=AX$2, OR($G43="",$G43&gt;=AX$2)),
  $H43 * (1 + Assumptions!$C$7) ^ INT(((YEAR(AX$2)-YEAR($F43))*12 + MONTH(AX$2)-MONTH($F43)) / 12),
  0)</f>
        <v/>
      </c>
      <c r="AY43" s="299">
        <f>IF(AND($F43&lt;=AY$2, OR($G43="",$G43&gt;=AY$2)),
  $H43 * (1 + Assumptions!$C$7) ^ INT(((YEAR(AY$2)-YEAR($F43))*12 + MONTH(AY$2)-MONTH($F43)) / 12),
  0)</f>
        <v/>
      </c>
      <c r="AZ43" s="299">
        <f>IF(AND($F43&lt;=AZ$2, OR($G43="",$G43&gt;=AZ$2)),
  $H43 * (1 + Assumptions!$C$7) ^ INT(((YEAR(AZ$2)-YEAR($F43))*12 + MONTH(AZ$2)-MONTH($F43)) / 12),
  0)</f>
        <v/>
      </c>
      <c r="BA43" s="299">
        <f>IF(AND($F43&lt;=BA$2, OR($G43="",$G43&gt;=BA$2)),
  $H43 * (1 + Assumptions!$C$7) ^ INT(((YEAR(BA$2)-YEAR($F43))*12 + MONTH(BA$2)-MONTH($F43)) / 12),
  0)</f>
        <v/>
      </c>
      <c r="BB43" s="299">
        <f>IF(AND($F43&lt;=BB$2, OR($G43="",$G43&gt;=BB$2)),
  $H43 * (1 + Assumptions!$C$7) ^ INT(((YEAR(BB$2)-YEAR($F43))*12 + MONTH(BB$2)-MONTH($F43)) / 12),
  0)</f>
        <v/>
      </c>
      <c r="BC43" s="299">
        <f>IF(AND($F43&lt;=BC$2, OR($G43="",$G43&gt;=BC$2)),
  $H43 * (1 + Assumptions!$C$7) ^ INT(((YEAR(BC$2)-YEAR($F43))*12 + MONTH(BC$2)-MONTH($F43)) / 12),
  0)</f>
        <v/>
      </c>
      <c r="BD43" s="299">
        <f>IF(AND($F43&lt;=BD$2, OR($G43="",$G43&gt;=BD$2)),
  $H43 * (1 + Assumptions!$C$7) ^ INT(((YEAR(BD$2)-YEAR($F43))*12 + MONTH(BD$2)-MONTH($F43)) / 12),
  0)</f>
        <v/>
      </c>
      <c r="BE43" s="299">
        <f>IF(AND($F43&lt;=BE$2, OR($G43="",$G43&gt;=BE$2)),
  $H43 * (1 + Assumptions!$C$7) ^ INT(((YEAR(BE$2)-YEAR($F43))*12 + MONTH(BE$2)-MONTH($F43)) / 12),
  0)</f>
        <v/>
      </c>
      <c r="BF43" s="299">
        <f>IF(AND($F43&lt;=BF$2, OR($G43="",$G43&gt;=BF$2)),
  $H43 * (1 + Assumptions!$C$7) ^ INT(((YEAR(BF$2)-YEAR($F43))*12 + MONTH(BF$2)-MONTH($F43)) / 12),
  0)</f>
        <v/>
      </c>
      <c r="BG43" s="299">
        <f>IF(AND($F43&lt;=BG$2, OR($G43="",$G43&gt;=BG$2)),
  $H43 * (1 + Assumptions!$C$7) ^ INT(((YEAR(BG$2)-YEAR($F43))*12 + MONTH(BG$2)-MONTH($F43)) / 12),
  0)</f>
        <v/>
      </c>
      <c r="BH43" s="299">
        <f>IF(AND($F43&lt;=BH$2, OR($G43="",$G43&gt;=BH$2)),
  $H43 * (1 + Assumptions!$C$7) ^ INT(((YEAR(BH$2)-YEAR($F43))*12 + MONTH(BH$2)-MONTH($F43)) / 12),
  0)</f>
        <v/>
      </c>
      <c r="BI43" s="299">
        <f>IF(AND($F43&lt;=BI$2, OR($G43="",$G43&gt;=BI$2)),
  $H43 * (1 + Assumptions!$C$7) ^ INT(((YEAR(BI$2)-YEAR($F43))*12 + MONTH(BI$2)-MONTH($F43)) / 12),
  0)</f>
        <v/>
      </c>
      <c r="BJ43" s="299">
        <f>IF(AND($F43&lt;=BJ$2, OR($G43="",$G43&gt;=BJ$2)),
  $H43 * (1 + Assumptions!$C$7) ^ INT(((YEAR(BJ$2)-YEAR($F43))*12 + MONTH(BJ$2)-MONTH($F43)) / 12),
  0)</f>
        <v/>
      </c>
      <c r="BK43" s="299">
        <f>IF(AND($F43&lt;=BK$2, OR($G43="",$G43&gt;=BK$2)),
  $H43 * (1 + Assumptions!$C$7) ^ INT(((YEAR(BK$2)-YEAR($F43))*12 + MONTH(BK$2)-MONTH($F43)) / 12),
  0)</f>
        <v/>
      </c>
      <c r="BL43" s="299">
        <f>IF(AND($F43&lt;=BL$2, OR($G43="",$G43&gt;=BL$2)),
  $H43 * (1 + Assumptions!$C$7) ^ INT(((YEAR(BL$2)-YEAR($F43))*12 + MONTH(BL$2)-MONTH($F43)) / 12),
  0)</f>
        <v/>
      </c>
      <c r="BM43" s="299">
        <f>IF(AND($F43&lt;=BM$2, OR($G43="",$G43&gt;=BM$2)),
  $H43 * (1 + Assumptions!$C$7) ^ INT(((YEAR(BM$2)-YEAR($F43))*12 + MONTH(BM$2)-MONTH($F43)) / 12),
  0)</f>
        <v/>
      </c>
      <c r="BN43" s="299">
        <f>IF(AND($F43&lt;=BN$2, OR($G43="",$G43&gt;=BN$2)),
  $H43 * (1 + Assumptions!$C$7) ^ INT(((YEAR(BN$2)-YEAR($F43))*12 + MONTH(BN$2)-MONTH($F43)) / 12),
  0)</f>
        <v/>
      </c>
      <c r="BO43" s="299">
        <f>IF(AND($F43&lt;=BO$2, OR($G43="",$G43&gt;=BO$2)),
  $H43 * (1 + Assumptions!$C$7) ^ INT(((YEAR(BO$2)-YEAR($F43))*12 + MONTH(BO$2)-MONTH($F43)) / 12),
  0)</f>
        <v/>
      </c>
      <c r="BP43" s="299">
        <f>IF(AND($F43&lt;=BP$2, OR($G43="",$G43&gt;=BP$2)),
  $H43 * (1 + Assumptions!$C$7) ^ INT(((YEAR(BP$2)-YEAR($F43))*12 + MONTH(BP$2)-MONTH($F43)) / 12),
  0)</f>
        <v/>
      </c>
      <c r="BQ43" s="307" t="n"/>
      <c r="BR43" s="83" t="inlineStr">
        <is>
          <t>paid this month if started and not yet left; +8% on each work anniversary</t>
        </is>
      </c>
      <c r="BS43" s="307" t="n"/>
      <c r="BT43" s="307" t="n"/>
    </row>
    <row r="44" ht="15.75" customHeight="1" s="349">
      <c r="A44" s="321" t="n">
        <v>39</v>
      </c>
      <c r="B44" s="285" t="inlineStr">
        <is>
          <t>New hire</t>
        </is>
      </c>
      <c r="C44" s="23" t="inlineStr">
        <is>
          <t>R&amp;D</t>
        </is>
      </c>
      <c r="D44" s="321" t="inlineStr">
        <is>
          <t>Field Engineer</t>
        </is>
      </c>
      <c r="E44" s="297" t="inlineStr">
        <is>
          <t>Planned</t>
        </is>
      </c>
      <c r="F44" s="318" t="n">
        <v>47179</v>
      </c>
      <c r="G44" s="319" t="n"/>
      <c r="H44" s="288" t="n">
        <v>6500</v>
      </c>
      <c r="I44" s="299">
        <f>IF(AND($F44&lt;=I$2, OR($G44="",$G44&gt;=I$2)),
  $H44 * (1 + Assumptions!$C$7) ^ INT(((YEAR(I$2)-YEAR($F44))*12 + MONTH(I$2)-MONTH($F44)) / 12),
  0)</f>
        <v/>
      </c>
      <c r="J44" s="299">
        <f>IF(AND($F44&lt;=J$2, OR($G44="",$G44&gt;=J$2)),
  $H44 * (1 + Assumptions!$C$7) ^ INT(((YEAR(J$2)-YEAR($F44))*12 + MONTH(J$2)-MONTH($F44)) / 12),
  0)</f>
        <v/>
      </c>
      <c r="K44" s="299">
        <f>IF(AND($F44&lt;=K$2, OR($G44="",$G44&gt;=K$2)),
  $H44 * (1 + Assumptions!$C$7) ^ INT(((YEAR(K$2)-YEAR($F44))*12 + MONTH(K$2)-MONTH($F44)) / 12),
  0)</f>
        <v/>
      </c>
      <c r="L44" s="299">
        <f>IF(AND($F44&lt;=L$2, OR($G44="",$G44&gt;=L$2)),
  $H44 * (1 + Assumptions!$C$7) ^ INT(((YEAR(L$2)-YEAR($F44))*12 + MONTH(L$2)-MONTH($F44)) / 12),
  0)</f>
        <v/>
      </c>
      <c r="M44" s="299">
        <f>IF(AND($F44&lt;=M$2, OR($G44="",$G44&gt;=M$2)),
  $H44 * (1 + Assumptions!$C$7) ^ INT(((YEAR(M$2)-YEAR($F44))*12 + MONTH(M$2)-MONTH($F44)) / 12),
  0)</f>
        <v/>
      </c>
      <c r="N44" s="299">
        <f>IF(AND($F44&lt;=N$2, OR($G44="",$G44&gt;=N$2)),
  $H44 * (1 + Assumptions!$C$7) ^ INT(((YEAR(N$2)-YEAR($F44))*12 + MONTH(N$2)-MONTH($F44)) / 12),
  0)</f>
        <v/>
      </c>
      <c r="O44" s="299">
        <f>IF(AND($F44&lt;=O$2, OR($G44="",$G44&gt;=O$2)),
  $H44 * (1 + Assumptions!$C$7) ^ INT(((YEAR(O$2)-YEAR($F44))*12 + MONTH(O$2)-MONTH($F44)) / 12),
  0)</f>
        <v/>
      </c>
      <c r="P44" s="299">
        <f>IF(AND($F44&lt;=P$2, OR($G44="",$G44&gt;=P$2)),
  $H44 * (1 + Assumptions!$C$7) ^ INT(((YEAR(P$2)-YEAR($F44))*12 + MONTH(P$2)-MONTH($F44)) / 12),
  0)</f>
        <v/>
      </c>
      <c r="Q44" s="299">
        <f>IF(AND($F44&lt;=Q$2, OR($G44="",$G44&gt;=Q$2)),
  $H44 * (1 + Assumptions!$C$7) ^ INT(((YEAR(Q$2)-YEAR($F44))*12 + MONTH(Q$2)-MONTH($F44)) / 12),
  0)</f>
        <v/>
      </c>
      <c r="R44" s="299">
        <f>IF(AND($F44&lt;=R$2, OR($G44="",$G44&gt;=R$2)),
  $H44 * (1 + Assumptions!$C$7) ^ INT(((YEAR(R$2)-YEAR($F44))*12 + MONTH(R$2)-MONTH($F44)) / 12),
  0)</f>
        <v/>
      </c>
      <c r="S44" s="299">
        <f>IF(AND($F44&lt;=S$2, OR($G44="",$G44&gt;=S$2)),
  $H44 * (1 + Assumptions!$C$7) ^ INT(((YEAR(S$2)-YEAR($F44))*12 + MONTH(S$2)-MONTH($F44)) / 12),
  0)</f>
        <v/>
      </c>
      <c r="T44" s="299">
        <f>IF(AND($F44&lt;=T$2, OR($G44="",$G44&gt;=T$2)),
  $H44 * (1 + Assumptions!$C$7) ^ INT(((YEAR(T$2)-YEAR($F44))*12 + MONTH(T$2)-MONTH($F44)) / 12),
  0)</f>
        <v/>
      </c>
      <c r="U44" s="299">
        <f>IF(AND($F44&lt;=U$2, OR($G44="",$G44&gt;=U$2)),
  $H44 * (1 + Assumptions!$C$7) ^ INT(((YEAR(U$2)-YEAR($F44))*12 + MONTH(U$2)-MONTH($F44)) / 12),
  0)</f>
        <v/>
      </c>
      <c r="V44" s="299">
        <f>IF(AND($F44&lt;=V$2, OR($G44="",$G44&gt;=V$2)),
  $H44 * (1 + Assumptions!$C$7) ^ INT(((YEAR(V$2)-YEAR($F44))*12 + MONTH(V$2)-MONTH($F44)) / 12),
  0)</f>
        <v/>
      </c>
      <c r="W44" s="299">
        <f>IF(AND($F44&lt;=W$2, OR($G44="",$G44&gt;=W$2)),
  $H44 * (1 + Assumptions!$C$7) ^ INT(((YEAR(W$2)-YEAR($F44))*12 + MONTH(W$2)-MONTH($F44)) / 12),
  0)</f>
        <v/>
      </c>
      <c r="X44" s="299">
        <f>IF(AND($F44&lt;=X$2, OR($G44="",$G44&gt;=X$2)),
  $H44 * (1 + Assumptions!$C$7) ^ INT(((YEAR(X$2)-YEAR($F44))*12 + MONTH(X$2)-MONTH($F44)) / 12),
  0)</f>
        <v/>
      </c>
      <c r="Y44" s="299">
        <f>IF(AND($F44&lt;=Y$2, OR($G44="",$G44&gt;=Y$2)),
  $H44 * (1 + Assumptions!$C$7) ^ INT(((YEAR(Y$2)-YEAR($F44))*12 + MONTH(Y$2)-MONTH($F44)) / 12),
  0)</f>
        <v/>
      </c>
      <c r="Z44" s="299">
        <f>IF(AND($F44&lt;=Z$2, OR($G44="",$G44&gt;=Z$2)),
  $H44 * (1 + Assumptions!$C$7) ^ INT(((YEAR(Z$2)-YEAR($F44))*12 + MONTH(Z$2)-MONTH($F44)) / 12),
  0)</f>
        <v/>
      </c>
      <c r="AA44" s="299">
        <f>IF(AND($F44&lt;=AA$2, OR($G44="",$G44&gt;=AA$2)),
  $H44 * (1 + Assumptions!$C$7) ^ INT(((YEAR(AA$2)-YEAR($F44))*12 + MONTH(AA$2)-MONTH($F44)) / 12),
  0)</f>
        <v/>
      </c>
      <c r="AB44" s="299">
        <f>IF(AND($F44&lt;=AB$2, OR($G44="",$G44&gt;=AB$2)),
  $H44 * (1 + Assumptions!$C$7) ^ INT(((YEAR(AB$2)-YEAR($F44))*12 + MONTH(AB$2)-MONTH($F44)) / 12),
  0)</f>
        <v/>
      </c>
      <c r="AC44" s="299">
        <f>IF(AND($F44&lt;=AC$2, OR($G44="",$G44&gt;=AC$2)),
  $H44 * (1 + Assumptions!$C$7) ^ INT(((YEAR(AC$2)-YEAR($F44))*12 + MONTH(AC$2)-MONTH($F44)) / 12),
  0)</f>
        <v/>
      </c>
      <c r="AD44" s="299">
        <f>IF(AND($F44&lt;=AD$2, OR($G44="",$G44&gt;=AD$2)),
  $H44 * (1 + Assumptions!$C$7) ^ INT(((YEAR(AD$2)-YEAR($F44))*12 + MONTH(AD$2)-MONTH($F44)) / 12),
  0)</f>
        <v/>
      </c>
      <c r="AE44" s="299">
        <f>IF(AND($F44&lt;=AE$2, OR($G44="",$G44&gt;=AE$2)),
  $H44 * (1 + Assumptions!$C$7) ^ INT(((YEAR(AE$2)-YEAR($F44))*12 + MONTH(AE$2)-MONTH($F44)) / 12),
  0)</f>
        <v/>
      </c>
      <c r="AF44" s="299">
        <f>IF(AND($F44&lt;=AF$2, OR($G44="",$G44&gt;=AF$2)),
  $H44 * (1 + Assumptions!$C$7) ^ INT(((YEAR(AF$2)-YEAR($F44))*12 + MONTH(AF$2)-MONTH($F44)) / 12),
  0)</f>
        <v/>
      </c>
      <c r="AG44" s="299">
        <f>IF(AND($F44&lt;=AG$2, OR($G44="",$G44&gt;=AG$2)),
  $H44 * (1 + Assumptions!$C$7) ^ INT(((YEAR(AG$2)-YEAR($F44))*12 + MONTH(AG$2)-MONTH($F44)) / 12),
  0)</f>
        <v/>
      </c>
      <c r="AH44" s="299">
        <f>IF(AND($F44&lt;=AH$2, OR($G44="",$G44&gt;=AH$2)),
  $H44 * (1 + Assumptions!$C$7) ^ INT(((YEAR(AH$2)-YEAR($F44))*12 + MONTH(AH$2)-MONTH($F44)) / 12),
  0)</f>
        <v/>
      </c>
      <c r="AI44" s="299">
        <f>IF(AND($F44&lt;=AI$2, OR($G44="",$G44&gt;=AI$2)),
  $H44 * (1 + Assumptions!$C$7) ^ INT(((YEAR(AI$2)-YEAR($F44))*12 + MONTH(AI$2)-MONTH($F44)) / 12),
  0)</f>
        <v/>
      </c>
      <c r="AJ44" s="299">
        <f>IF(AND($F44&lt;=AJ$2, OR($G44="",$G44&gt;=AJ$2)),
  $H44 * (1 + Assumptions!$C$7) ^ INT(((YEAR(AJ$2)-YEAR($F44))*12 + MONTH(AJ$2)-MONTH($F44)) / 12),
  0)</f>
        <v/>
      </c>
      <c r="AK44" s="299">
        <f>IF(AND($F44&lt;=AK$2, OR($G44="",$G44&gt;=AK$2)),
  $H44 * (1 + Assumptions!$C$7) ^ INT(((YEAR(AK$2)-YEAR($F44))*12 + MONTH(AK$2)-MONTH($F44)) / 12),
  0)</f>
        <v/>
      </c>
      <c r="AL44" s="299">
        <f>IF(AND($F44&lt;=AL$2, OR($G44="",$G44&gt;=AL$2)),
  $H44 * (1 + Assumptions!$C$7) ^ INT(((YEAR(AL$2)-YEAR($F44))*12 + MONTH(AL$2)-MONTH($F44)) / 12),
  0)</f>
        <v/>
      </c>
      <c r="AM44" s="299">
        <f>IF(AND($F44&lt;=AM$2, OR($G44="",$G44&gt;=AM$2)),
  $H44 * (1 + Assumptions!$C$7) ^ INT(((YEAR(AM$2)-YEAR($F44))*12 + MONTH(AM$2)-MONTH($F44)) / 12),
  0)</f>
        <v/>
      </c>
      <c r="AN44" s="299">
        <f>IF(AND($F44&lt;=AN$2, OR($G44="",$G44&gt;=AN$2)),
  $H44 * (1 + Assumptions!$C$7) ^ INT(((YEAR(AN$2)-YEAR($F44))*12 + MONTH(AN$2)-MONTH($F44)) / 12),
  0)</f>
        <v/>
      </c>
      <c r="AO44" s="299">
        <f>IF(AND($F44&lt;=AO$2, OR($G44="",$G44&gt;=AO$2)),
  $H44 * (1 + Assumptions!$C$7) ^ INT(((YEAR(AO$2)-YEAR($F44))*12 + MONTH(AO$2)-MONTH($F44)) / 12),
  0)</f>
        <v/>
      </c>
      <c r="AP44" s="299">
        <f>IF(AND($F44&lt;=AP$2, OR($G44="",$G44&gt;=AP$2)),
  $H44 * (1 + Assumptions!$C$7) ^ INT(((YEAR(AP$2)-YEAR($F44))*12 + MONTH(AP$2)-MONTH($F44)) / 12),
  0)</f>
        <v/>
      </c>
      <c r="AQ44" s="299">
        <f>IF(AND($F44&lt;=AQ$2, OR($G44="",$G44&gt;=AQ$2)),
  $H44 * (1 + Assumptions!$C$7) ^ INT(((YEAR(AQ$2)-YEAR($F44))*12 + MONTH(AQ$2)-MONTH($F44)) / 12),
  0)</f>
        <v/>
      </c>
      <c r="AR44" s="299">
        <f>IF(AND($F44&lt;=AR$2, OR($G44="",$G44&gt;=AR$2)),
  $H44 * (1 + Assumptions!$C$7) ^ INT(((YEAR(AR$2)-YEAR($F44))*12 + MONTH(AR$2)-MONTH($F44)) / 12),
  0)</f>
        <v/>
      </c>
      <c r="AS44" s="299">
        <f>IF(AND($F44&lt;=AS$2, OR($G44="",$G44&gt;=AS$2)),
  $H44 * (1 + Assumptions!$C$7) ^ INT(((YEAR(AS$2)-YEAR($F44))*12 + MONTH(AS$2)-MONTH($F44)) / 12),
  0)</f>
        <v/>
      </c>
      <c r="AT44" s="299">
        <f>IF(AND($F44&lt;=AT$2, OR($G44="",$G44&gt;=AT$2)),
  $H44 * (1 + Assumptions!$C$7) ^ INT(((YEAR(AT$2)-YEAR($F44))*12 + MONTH(AT$2)-MONTH($F44)) / 12),
  0)</f>
        <v/>
      </c>
      <c r="AU44" s="299">
        <f>IF(AND($F44&lt;=AU$2, OR($G44="",$G44&gt;=AU$2)),
  $H44 * (1 + Assumptions!$C$7) ^ INT(((YEAR(AU$2)-YEAR($F44))*12 + MONTH(AU$2)-MONTH($F44)) / 12),
  0)</f>
        <v/>
      </c>
      <c r="AV44" s="299">
        <f>IF(AND($F44&lt;=AV$2, OR($G44="",$G44&gt;=AV$2)),
  $H44 * (1 + Assumptions!$C$7) ^ INT(((YEAR(AV$2)-YEAR($F44))*12 + MONTH(AV$2)-MONTH($F44)) / 12),
  0)</f>
        <v/>
      </c>
      <c r="AW44" s="299">
        <f>IF(AND($F44&lt;=AW$2, OR($G44="",$G44&gt;=AW$2)),
  $H44 * (1 + Assumptions!$C$7) ^ INT(((YEAR(AW$2)-YEAR($F44))*12 + MONTH(AW$2)-MONTH($F44)) / 12),
  0)</f>
        <v/>
      </c>
      <c r="AX44" s="299">
        <f>IF(AND($F44&lt;=AX$2, OR($G44="",$G44&gt;=AX$2)),
  $H44 * (1 + Assumptions!$C$7) ^ INT(((YEAR(AX$2)-YEAR($F44))*12 + MONTH(AX$2)-MONTH($F44)) / 12),
  0)</f>
        <v/>
      </c>
      <c r="AY44" s="299">
        <f>IF(AND($F44&lt;=AY$2, OR($G44="",$G44&gt;=AY$2)),
  $H44 * (1 + Assumptions!$C$7) ^ INT(((YEAR(AY$2)-YEAR($F44))*12 + MONTH(AY$2)-MONTH($F44)) / 12),
  0)</f>
        <v/>
      </c>
      <c r="AZ44" s="299">
        <f>IF(AND($F44&lt;=AZ$2, OR($G44="",$G44&gt;=AZ$2)),
  $H44 * (1 + Assumptions!$C$7) ^ INT(((YEAR(AZ$2)-YEAR($F44))*12 + MONTH(AZ$2)-MONTH($F44)) / 12),
  0)</f>
        <v/>
      </c>
      <c r="BA44" s="299">
        <f>IF(AND($F44&lt;=BA$2, OR($G44="",$G44&gt;=BA$2)),
  $H44 * (1 + Assumptions!$C$7) ^ INT(((YEAR(BA$2)-YEAR($F44))*12 + MONTH(BA$2)-MONTH($F44)) / 12),
  0)</f>
        <v/>
      </c>
      <c r="BB44" s="299">
        <f>IF(AND($F44&lt;=BB$2, OR($G44="",$G44&gt;=BB$2)),
  $H44 * (1 + Assumptions!$C$7) ^ INT(((YEAR(BB$2)-YEAR($F44))*12 + MONTH(BB$2)-MONTH($F44)) / 12),
  0)</f>
        <v/>
      </c>
      <c r="BC44" s="299">
        <f>IF(AND($F44&lt;=BC$2, OR($G44="",$G44&gt;=BC$2)),
  $H44 * (1 + Assumptions!$C$7) ^ INT(((YEAR(BC$2)-YEAR($F44))*12 + MONTH(BC$2)-MONTH($F44)) / 12),
  0)</f>
        <v/>
      </c>
      <c r="BD44" s="299">
        <f>IF(AND($F44&lt;=BD$2, OR($G44="",$G44&gt;=BD$2)),
  $H44 * (1 + Assumptions!$C$7) ^ INT(((YEAR(BD$2)-YEAR($F44))*12 + MONTH(BD$2)-MONTH($F44)) / 12),
  0)</f>
        <v/>
      </c>
      <c r="BE44" s="299">
        <f>IF(AND($F44&lt;=BE$2, OR($G44="",$G44&gt;=BE$2)),
  $H44 * (1 + Assumptions!$C$7) ^ INT(((YEAR(BE$2)-YEAR($F44))*12 + MONTH(BE$2)-MONTH($F44)) / 12),
  0)</f>
        <v/>
      </c>
      <c r="BF44" s="299">
        <f>IF(AND($F44&lt;=BF$2, OR($G44="",$G44&gt;=BF$2)),
  $H44 * (1 + Assumptions!$C$7) ^ INT(((YEAR(BF$2)-YEAR($F44))*12 + MONTH(BF$2)-MONTH($F44)) / 12),
  0)</f>
        <v/>
      </c>
      <c r="BG44" s="299">
        <f>IF(AND($F44&lt;=BG$2, OR($G44="",$G44&gt;=BG$2)),
  $H44 * (1 + Assumptions!$C$7) ^ INT(((YEAR(BG$2)-YEAR($F44))*12 + MONTH(BG$2)-MONTH($F44)) / 12),
  0)</f>
        <v/>
      </c>
      <c r="BH44" s="299">
        <f>IF(AND($F44&lt;=BH$2, OR($G44="",$G44&gt;=BH$2)),
  $H44 * (1 + Assumptions!$C$7) ^ INT(((YEAR(BH$2)-YEAR($F44))*12 + MONTH(BH$2)-MONTH($F44)) / 12),
  0)</f>
        <v/>
      </c>
      <c r="BI44" s="299">
        <f>IF(AND($F44&lt;=BI$2, OR($G44="",$G44&gt;=BI$2)),
  $H44 * (1 + Assumptions!$C$7) ^ INT(((YEAR(BI$2)-YEAR($F44))*12 + MONTH(BI$2)-MONTH($F44)) / 12),
  0)</f>
        <v/>
      </c>
      <c r="BJ44" s="299">
        <f>IF(AND($F44&lt;=BJ$2, OR($G44="",$G44&gt;=BJ$2)),
  $H44 * (1 + Assumptions!$C$7) ^ INT(((YEAR(BJ$2)-YEAR($F44))*12 + MONTH(BJ$2)-MONTH($F44)) / 12),
  0)</f>
        <v/>
      </c>
      <c r="BK44" s="299">
        <f>IF(AND($F44&lt;=BK$2, OR($G44="",$G44&gt;=BK$2)),
  $H44 * (1 + Assumptions!$C$7) ^ INT(((YEAR(BK$2)-YEAR($F44))*12 + MONTH(BK$2)-MONTH($F44)) / 12),
  0)</f>
        <v/>
      </c>
      <c r="BL44" s="299">
        <f>IF(AND($F44&lt;=BL$2, OR($G44="",$G44&gt;=BL$2)),
  $H44 * (1 + Assumptions!$C$7) ^ INT(((YEAR(BL$2)-YEAR($F44))*12 + MONTH(BL$2)-MONTH($F44)) / 12),
  0)</f>
        <v/>
      </c>
      <c r="BM44" s="299">
        <f>IF(AND($F44&lt;=BM$2, OR($G44="",$G44&gt;=BM$2)),
  $H44 * (1 + Assumptions!$C$7) ^ INT(((YEAR(BM$2)-YEAR($F44))*12 + MONTH(BM$2)-MONTH($F44)) / 12),
  0)</f>
        <v/>
      </c>
      <c r="BN44" s="299">
        <f>IF(AND($F44&lt;=BN$2, OR($G44="",$G44&gt;=BN$2)),
  $H44 * (1 + Assumptions!$C$7) ^ INT(((YEAR(BN$2)-YEAR($F44))*12 + MONTH(BN$2)-MONTH($F44)) / 12),
  0)</f>
        <v/>
      </c>
      <c r="BO44" s="299">
        <f>IF(AND($F44&lt;=BO$2, OR($G44="",$G44&gt;=BO$2)),
  $H44 * (1 + Assumptions!$C$7) ^ INT(((YEAR(BO$2)-YEAR($F44))*12 + MONTH(BO$2)-MONTH($F44)) / 12),
  0)</f>
        <v/>
      </c>
      <c r="BP44" s="299">
        <f>IF(AND($F44&lt;=BP$2, OR($G44="",$G44&gt;=BP$2)),
  $H44 * (1 + Assumptions!$C$7) ^ INT(((YEAR(BP$2)-YEAR($F44))*12 + MONTH(BP$2)-MONTH($F44)) / 12),
  0)</f>
        <v/>
      </c>
      <c r="BQ44" s="307" t="n"/>
      <c r="BR44" s="83" t="inlineStr">
        <is>
          <t>paid this month if started and not yet left; +8% on each work anniversary</t>
        </is>
      </c>
      <c r="BS44" s="307" t="n"/>
      <c r="BT44" s="307" t="n"/>
    </row>
    <row r="45" ht="16.5" customHeight="1" s="349">
      <c r="A45" s="321" t="n">
        <v>40</v>
      </c>
      <c r="B45" s="285" t="inlineStr">
        <is>
          <t>New hire</t>
        </is>
      </c>
      <c r="C45" s="23" t="inlineStr">
        <is>
          <t>S&amp;M</t>
        </is>
      </c>
      <c r="D45" s="321" t="inlineStr">
        <is>
          <t>Marketing</t>
        </is>
      </c>
      <c r="E45" s="297" t="inlineStr">
        <is>
          <t>Planned</t>
        </is>
      </c>
      <c r="F45" s="318" t="n">
        <v>47180</v>
      </c>
      <c r="G45" s="319" t="n"/>
      <c r="H45" s="288" t="n">
        <v>7500</v>
      </c>
      <c r="I45" s="299">
        <f>IF(AND($F45&lt;=I$2, OR($G45="",$G45&gt;=I$2)),
  $H45 * (1 + Assumptions!$C$7) ^ INT(((YEAR(I$2)-YEAR($F45))*12 + MONTH(I$2)-MONTH($F45)) / 12),
  0)</f>
        <v/>
      </c>
      <c r="J45" s="299">
        <f>IF(AND($F45&lt;=J$2, OR($G45="",$G45&gt;=J$2)),
  $H45 * (1 + Assumptions!$C$7) ^ INT(((YEAR(J$2)-YEAR($F45))*12 + MONTH(J$2)-MONTH($F45)) / 12),
  0)</f>
        <v/>
      </c>
      <c r="K45" s="299">
        <f>IF(AND($F45&lt;=K$2, OR($G45="",$G45&gt;=K$2)),
  $H45 * (1 + Assumptions!$C$7) ^ INT(((YEAR(K$2)-YEAR($F45))*12 + MONTH(K$2)-MONTH($F45)) / 12),
  0)</f>
        <v/>
      </c>
      <c r="L45" s="299">
        <f>IF(AND($F45&lt;=L$2, OR($G45="",$G45&gt;=L$2)),
  $H45 * (1 + Assumptions!$C$7) ^ INT(((YEAR(L$2)-YEAR($F45))*12 + MONTH(L$2)-MONTH($F45)) / 12),
  0)</f>
        <v/>
      </c>
      <c r="M45" s="299">
        <f>IF(AND($F45&lt;=M$2, OR($G45="",$G45&gt;=M$2)),
  $H45 * (1 + Assumptions!$C$7) ^ INT(((YEAR(M$2)-YEAR($F45))*12 + MONTH(M$2)-MONTH($F45)) / 12),
  0)</f>
        <v/>
      </c>
      <c r="N45" s="299">
        <f>IF(AND($F45&lt;=N$2, OR($G45="",$G45&gt;=N$2)),
  $H45 * (1 + Assumptions!$C$7) ^ INT(((YEAR(N$2)-YEAR($F45))*12 + MONTH(N$2)-MONTH($F45)) / 12),
  0)</f>
        <v/>
      </c>
      <c r="O45" s="299">
        <f>IF(AND($F45&lt;=O$2, OR($G45="",$G45&gt;=O$2)),
  $H45 * (1 + Assumptions!$C$7) ^ INT(((YEAR(O$2)-YEAR($F45))*12 + MONTH(O$2)-MONTH($F45)) / 12),
  0)</f>
        <v/>
      </c>
      <c r="P45" s="299">
        <f>IF(AND($F45&lt;=P$2, OR($G45="",$G45&gt;=P$2)),
  $H45 * (1 + Assumptions!$C$7) ^ INT(((YEAR(P$2)-YEAR($F45))*12 + MONTH(P$2)-MONTH($F45)) / 12),
  0)</f>
        <v/>
      </c>
      <c r="Q45" s="299">
        <f>IF(AND($F45&lt;=Q$2, OR($G45="",$G45&gt;=Q$2)),
  $H45 * (1 + Assumptions!$C$7) ^ INT(((YEAR(Q$2)-YEAR($F45))*12 + MONTH(Q$2)-MONTH($F45)) / 12),
  0)</f>
        <v/>
      </c>
      <c r="R45" s="299">
        <f>IF(AND($F45&lt;=R$2, OR($G45="",$G45&gt;=R$2)),
  $H45 * (1 + Assumptions!$C$7) ^ INT(((YEAR(R$2)-YEAR($F45))*12 + MONTH(R$2)-MONTH($F45)) / 12),
  0)</f>
        <v/>
      </c>
      <c r="S45" s="299">
        <f>IF(AND($F45&lt;=S$2, OR($G45="",$G45&gt;=S$2)),
  $H45 * (1 + Assumptions!$C$7) ^ INT(((YEAR(S$2)-YEAR($F45))*12 + MONTH(S$2)-MONTH($F45)) / 12),
  0)</f>
        <v/>
      </c>
      <c r="T45" s="299">
        <f>IF(AND($F45&lt;=T$2, OR($G45="",$G45&gt;=T$2)),
  $H45 * (1 + Assumptions!$C$7) ^ INT(((YEAR(T$2)-YEAR($F45))*12 + MONTH(T$2)-MONTH($F45)) / 12),
  0)</f>
        <v/>
      </c>
      <c r="U45" s="299">
        <f>IF(AND($F45&lt;=U$2, OR($G45="",$G45&gt;=U$2)),
  $H45 * (1 + Assumptions!$C$7) ^ INT(((YEAR(U$2)-YEAR($F45))*12 + MONTH(U$2)-MONTH($F45)) / 12),
  0)</f>
        <v/>
      </c>
      <c r="V45" s="299">
        <f>IF(AND($F45&lt;=V$2, OR($G45="",$G45&gt;=V$2)),
  $H45 * (1 + Assumptions!$C$7) ^ INT(((YEAR(V$2)-YEAR($F45))*12 + MONTH(V$2)-MONTH($F45)) / 12),
  0)</f>
        <v/>
      </c>
      <c r="W45" s="299">
        <f>IF(AND($F45&lt;=W$2, OR($G45="",$G45&gt;=W$2)),
  $H45 * (1 + Assumptions!$C$7) ^ INT(((YEAR(W$2)-YEAR($F45))*12 + MONTH(W$2)-MONTH($F45)) / 12),
  0)</f>
        <v/>
      </c>
      <c r="X45" s="299">
        <f>IF(AND($F45&lt;=X$2, OR($G45="",$G45&gt;=X$2)),
  $H45 * (1 + Assumptions!$C$7) ^ INT(((YEAR(X$2)-YEAR($F45))*12 + MONTH(X$2)-MONTH($F45)) / 12),
  0)</f>
        <v/>
      </c>
      <c r="Y45" s="299">
        <f>IF(AND($F45&lt;=Y$2, OR($G45="",$G45&gt;=Y$2)),
  $H45 * (1 + Assumptions!$C$7) ^ INT(((YEAR(Y$2)-YEAR($F45))*12 + MONTH(Y$2)-MONTH($F45)) / 12),
  0)</f>
        <v/>
      </c>
      <c r="Z45" s="299">
        <f>IF(AND($F45&lt;=Z$2, OR($G45="",$G45&gt;=Z$2)),
  $H45 * (1 + Assumptions!$C$7) ^ INT(((YEAR(Z$2)-YEAR($F45))*12 + MONTH(Z$2)-MONTH($F45)) / 12),
  0)</f>
        <v/>
      </c>
      <c r="AA45" s="299">
        <f>IF(AND($F45&lt;=AA$2, OR($G45="",$G45&gt;=AA$2)),
  $H45 * (1 + Assumptions!$C$7) ^ INT(((YEAR(AA$2)-YEAR($F45))*12 + MONTH(AA$2)-MONTH($F45)) / 12),
  0)</f>
        <v/>
      </c>
      <c r="AB45" s="299">
        <f>IF(AND($F45&lt;=AB$2, OR($G45="",$G45&gt;=AB$2)),
  $H45 * (1 + Assumptions!$C$7) ^ INT(((YEAR(AB$2)-YEAR($F45))*12 + MONTH(AB$2)-MONTH($F45)) / 12),
  0)</f>
        <v/>
      </c>
      <c r="AC45" s="299">
        <f>IF(AND($F45&lt;=AC$2, OR($G45="",$G45&gt;=AC$2)),
  $H45 * (1 + Assumptions!$C$7) ^ INT(((YEAR(AC$2)-YEAR($F45))*12 + MONTH(AC$2)-MONTH($F45)) / 12),
  0)</f>
        <v/>
      </c>
      <c r="AD45" s="299">
        <f>IF(AND($F45&lt;=AD$2, OR($G45="",$G45&gt;=AD$2)),
  $H45 * (1 + Assumptions!$C$7) ^ INT(((YEAR(AD$2)-YEAR($F45))*12 + MONTH(AD$2)-MONTH($F45)) / 12),
  0)</f>
        <v/>
      </c>
      <c r="AE45" s="299">
        <f>IF(AND($F45&lt;=AE$2, OR($G45="",$G45&gt;=AE$2)),
  $H45 * (1 + Assumptions!$C$7) ^ INT(((YEAR(AE$2)-YEAR($F45))*12 + MONTH(AE$2)-MONTH($F45)) / 12),
  0)</f>
        <v/>
      </c>
      <c r="AF45" s="299">
        <f>IF(AND($F45&lt;=AF$2, OR($G45="",$G45&gt;=AF$2)),
  $H45 * (1 + Assumptions!$C$7) ^ INT(((YEAR(AF$2)-YEAR($F45))*12 + MONTH(AF$2)-MONTH($F45)) / 12),
  0)</f>
        <v/>
      </c>
      <c r="AG45" s="299">
        <f>IF(AND($F45&lt;=AG$2, OR($G45="",$G45&gt;=AG$2)),
  $H45 * (1 + Assumptions!$C$7) ^ INT(((YEAR(AG$2)-YEAR($F45))*12 + MONTH(AG$2)-MONTH($F45)) / 12),
  0)</f>
        <v/>
      </c>
      <c r="AH45" s="299">
        <f>IF(AND($F45&lt;=AH$2, OR($G45="",$G45&gt;=AH$2)),
  $H45 * (1 + Assumptions!$C$7) ^ INT(((YEAR(AH$2)-YEAR($F45))*12 + MONTH(AH$2)-MONTH($F45)) / 12),
  0)</f>
        <v/>
      </c>
      <c r="AI45" s="299">
        <f>IF(AND($F45&lt;=AI$2, OR($G45="",$G45&gt;=AI$2)),
  $H45 * (1 + Assumptions!$C$7) ^ INT(((YEAR(AI$2)-YEAR($F45))*12 + MONTH(AI$2)-MONTH($F45)) / 12),
  0)</f>
        <v/>
      </c>
      <c r="AJ45" s="299">
        <f>IF(AND($F45&lt;=AJ$2, OR($G45="",$G45&gt;=AJ$2)),
  $H45 * (1 + Assumptions!$C$7) ^ INT(((YEAR(AJ$2)-YEAR($F45))*12 + MONTH(AJ$2)-MONTH($F45)) / 12),
  0)</f>
        <v/>
      </c>
      <c r="AK45" s="299">
        <f>IF(AND($F45&lt;=AK$2, OR($G45="",$G45&gt;=AK$2)),
  $H45 * (1 + Assumptions!$C$7) ^ INT(((YEAR(AK$2)-YEAR($F45))*12 + MONTH(AK$2)-MONTH($F45)) / 12),
  0)</f>
        <v/>
      </c>
      <c r="AL45" s="299">
        <f>IF(AND($F45&lt;=AL$2, OR($G45="",$G45&gt;=AL$2)),
  $H45 * (1 + Assumptions!$C$7) ^ INT(((YEAR(AL$2)-YEAR($F45))*12 + MONTH(AL$2)-MONTH($F45)) / 12),
  0)</f>
        <v/>
      </c>
      <c r="AM45" s="299">
        <f>IF(AND($F45&lt;=AM$2, OR($G45="",$G45&gt;=AM$2)),
  $H45 * (1 + Assumptions!$C$7) ^ INT(((YEAR(AM$2)-YEAR($F45))*12 + MONTH(AM$2)-MONTH($F45)) / 12),
  0)</f>
        <v/>
      </c>
      <c r="AN45" s="299">
        <f>IF(AND($F45&lt;=AN$2, OR($G45="",$G45&gt;=AN$2)),
  $H45 * (1 + Assumptions!$C$7) ^ INT(((YEAR(AN$2)-YEAR($F45))*12 + MONTH(AN$2)-MONTH($F45)) / 12),
  0)</f>
        <v/>
      </c>
      <c r="AO45" s="299">
        <f>IF(AND($F45&lt;=AO$2, OR($G45="",$G45&gt;=AO$2)),
  $H45 * (1 + Assumptions!$C$7) ^ INT(((YEAR(AO$2)-YEAR($F45))*12 + MONTH(AO$2)-MONTH($F45)) / 12),
  0)</f>
        <v/>
      </c>
      <c r="AP45" s="299">
        <f>IF(AND($F45&lt;=AP$2, OR($G45="",$G45&gt;=AP$2)),
  $H45 * (1 + Assumptions!$C$7) ^ INT(((YEAR(AP$2)-YEAR($F45))*12 + MONTH(AP$2)-MONTH($F45)) / 12),
  0)</f>
        <v/>
      </c>
      <c r="AQ45" s="299">
        <f>IF(AND($F45&lt;=AQ$2, OR($G45="",$G45&gt;=AQ$2)),
  $H45 * (1 + Assumptions!$C$7) ^ INT(((YEAR(AQ$2)-YEAR($F45))*12 + MONTH(AQ$2)-MONTH($F45)) / 12),
  0)</f>
        <v/>
      </c>
      <c r="AR45" s="299">
        <f>IF(AND($F45&lt;=AR$2, OR($G45="",$G45&gt;=AR$2)),
  $H45 * (1 + Assumptions!$C$7) ^ INT(((YEAR(AR$2)-YEAR($F45))*12 + MONTH(AR$2)-MONTH($F45)) / 12),
  0)</f>
        <v/>
      </c>
      <c r="AS45" s="299">
        <f>IF(AND($F45&lt;=AS$2, OR($G45="",$G45&gt;=AS$2)),
  $H45 * (1 + Assumptions!$C$7) ^ INT(((YEAR(AS$2)-YEAR($F45))*12 + MONTH(AS$2)-MONTH($F45)) / 12),
  0)</f>
        <v/>
      </c>
      <c r="AT45" s="299">
        <f>IF(AND($F45&lt;=AT$2, OR($G45="",$G45&gt;=AT$2)),
  $H45 * (1 + Assumptions!$C$7) ^ INT(((YEAR(AT$2)-YEAR($F45))*12 + MONTH(AT$2)-MONTH($F45)) / 12),
  0)</f>
        <v/>
      </c>
      <c r="AU45" s="299">
        <f>IF(AND($F45&lt;=AU$2, OR($G45="",$G45&gt;=AU$2)),
  $H45 * (1 + Assumptions!$C$7) ^ INT(((YEAR(AU$2)-YEAR($F45))*12 + MONTH(AU$2)-MONTH($F45)) / 12),
  0)</f>
        <v/>
      </c>
      <c r="AV45" s="299">
        <f>IF(AND($F45&lt;=AV$2, OR($G45="",$G45&gt;=AV$2)),
  $H45 * (1 + Assumptions!$C$7) ^ INT(((YEAR(AV$2)-YEAR($F45))*12 + MONTH(AV$2)-MONTH($F45)) / 12),
  0)</f>
        <v/>
      </c>
      <c r="AW45" s="299">
        <f>IF(AND($F45&lt;=AW$2, OR($G45="",$G45&gt;=AW$2)),
  $H45 * (1 + Assumptions!$C$7) ^ INT(((YEAR(AW$2)-YEAR($F45))*12 + MONTH(AW$2)-MONTH($F45)) / 12),
  0)</f>
        <v/>
      </c>
      <c r="AX45" s="299">
        <f>IF(AND($F45&lt;=AX$2, OR($G45="",$G45&gt;=AX$2)),
  $H45 * (1 + Assumptions!$C$7) ^ INT(((YEAR(AX$2)-YEAR($F45))*12 + MONTH(AX$2)-MONTH($F45)) / 12),
  0)</f>
        <v/>
      </c>
      <c r="AY45" s="299">
        <f>IF(AND($F45&lt;=AY$2, OR($G45="",$G45&gt;=AY$2)),
  $H45 * (1 + Assumptions!$C$7) ^ INT(((YEAR(AY$2)-YEAR($F45))*12 + MONTH(AY$2)-MONTH($F45)) / 12),
  0)</f>
        <v/>
      </c>
      <c r="AZ45" s="299">
        <f>IF(AND($F45&lt;=AZ$2, OR($G45="",$G45&gt;=AZ$2)),
  $H45 * (1 + Assumptions!$C$7) ^ INT(((YEAR(AZ$2)-YEAR($F45))*12 + MONTH(AZ$2)-MONTH($F45)) / 12),
  0)</f>
        <v/>
      </c>
      <c r="BA45" s="299">
        <f>IF(AND($F45&lt;=BA$2, OR($G45="",$G45&gt;=BA$2)),
  $H45 * (1 + Assumptions!$C$7) ^ INT(((YEAR(BA$2)-YEAR($F45))*12 + MONTH(BA$2)-MONTH($F45)) / 12),
  0)</f>
        <v/>
      </c>
      <c r="BB45" s="299">
        <f>IF(AND($F45&lt;=BB$2, OR($G45="",$G45&gt;=BB$2)),
  $H45 * (1 + Assumptions!$C$7) ^ INT(((YEAR(BB$2)-YEAR($F45))*12 + MONTH(BB$2)-MONTH($F45)) / 12),
  0)</f>
        <v/>
      </c>
      <c r="BC45" s="299">
        <f>IF(AND($F45&lt;=BC$2, OR($G45="",$G45&gt;=BC$2)),
  $H45 * (1 + Assumptions!$C$7) ^ INT(((YEAR(BC$2)-YEAR($F45))*12 + MONTH(BC$2)-MONTH($F45)) / 12),
  0)</f>
        <v/>
      </c>
      <c r="BD45" s="299">
        <f>IF(AND($F45&lt;=BD$2, OR($G45="",$G45&gt;=BD$2)),
  $H45 * (1 + Assumptions!$C$7) ^ INT(((YEAR(BD$2)-YEAR($F45))*12 + MONTH(BD$2)-MONTH($F45)) / 12),
  0)</f>
        <v/>
      </c>
      <c r="BE45" s="299">
        <f>IF(AND($F45&lt;=BE$2, OR($G45="",$G45&gt;=BE$2)),
  $H45 * (1 + Assumptions!$C$7) ^ INT(((YEAR(BE$2)-YEAR($F45))*12 + MONTH(BE$2)-MONTH($F45)) / 12),
  0)</f>
        <v/>
      </c>
      <c r="BF45" s="299">
        <f>IF(AND($F45&lt;=BF$2, OR($G45="",$G45&gt;=BF$2)),
  $H45 * (1 + Assumptions!$C$7) ^ INT(((YEAR(BF$2)-YEAR($F45))*12 + MONTH(BF$2)-MONTH($F45)) / 12),
  0)</f>
        <v/>
      </c>
      <c r="BG45" s="299">
        <f>IF(AND($F45&lt;=BG$2, OR($G45="",$G45&gt;=BG$2)),
  $H45 * (1 + Assumptions!$C$7) ^ INT(((YEAR(BG$2)-YEAR($F45))*12 + MONTH(BG$2)-MONTH($F45)) / 12),
  0)</f>
        <v/>
      </c>
      <c r="BH45" s="299">
        <f>IF(AND($F45&lt;=BH$2, OR($G45="",$G45&gt;=BH$2)),
  $H45 * (1 + Assumptions!$C$7) ^ INT(((YEAR(BH$2)-YEAR($F45))*12 + MONTH(BH$2)-MONTH($F45)) / 12),
  0)</f>
        <v/>
      </c>
      <c r="BI45" s="299">
        <f>IF(AND($F45&lt;=BI$2, OR($G45="",$G45&gt;=BI$2)),
  $H45 * (1 + Assumptions!$C$7) ^ INT(((YEAR(BI$2)-YEAR($F45))*12 + MONTH(BI$2)-MONTH($F45)) / 12),
  0)</f>
        <v/>
      </c>
      <c r="BJ45" s="299">
        <f>IF(AND($F45&lt;=BJ$2, OR($G45="",$G45&gt;=BJ$2)),
  $H45 * (1 + Assumptions!$C$7) ^ INT(((YEAR(BJ$2)-YEAR($F45))*12 + MONTH(BJ$2)-MONTH($F45)) / 12),
  0)</f>
        <v/>
      </c>
      <c r="BK45" s="299">
        <f>IF(AND($F45&lt;=BK$2, OR($G45="",$G45&gt;=BK$2)),
  $H45 * (1 + Assumptions!$C$7) ^ INT(((YEAR(BK$2)-YEAR($F45))*12 + MONTH(BK$2)-MONTH($F45)) / 12),
  0)</f>
        <v/>
      </c>
      <c r="BL45" s="299">
        <f>IF(AND($F45&lt;=BL$2, OR($G45="",$G45&gt;=BL$2)),
  $H45 * (1 + Assumptions!$C$7) ^ INT(((YEAR(BL$2)-YEAR($F45))*12 + MONTH(BL$2)-MONTH($F45)) / 12),
  0)</f>
        <v/>
      </c>
      <c r="BM45" s="299">
        <f>IF(AND($F45&lt;=BM$2, OR($G45="",$G45&gt;=BM$2)),
  $H45 * (1 + Assumptions!$C$7) ^ INT(((YEAR(BM$2)-YEAR($F45))*12 + MONTH(BM$2)-MONTH($F45)) / 12),
  0)</f>
        <v/>
      </c>
      <c r="BN45" s="299">
        <f>IF(AND($F45&lt;=BN$2, OR($G45="",$G45&gt;=BN$2)),
  $H45 * (1 + Assumptions!$C$7) ^ INT(((YEAR(BN$2)-YEAR($F45))*12 + MONTH(BN$2)-MONTH($F45)) / 12),
  0)</f>
        <v/>
      </c>
      <c r="BO45" s="299">
        <f>IF(AND($F45&lt;=BO$2, OR($G45="",$G45&gt;=BO$2)),
  $H45 * (1 + Assumptions!$C$7) ^ INT(((YEAR(BO$2)-YEAR($F45))*12 + MONTH(BO$2)-MONTH($F45)) / 12),
  0)</f>
        <v/>
      </c>
      <c r="BP45" s="299">
        <f>IF(AND($F45&lt;=BP$2, OR($G45="",$G45&gt;=BP$2)),
  $H45 * (1 + Assumptions!$C$7) ^ INT(((YEAR(BP$2)-YEAR($F45))*12 + MONTH(BP$2)-MONTH($F45)) / 12),
  0)</f>
        <v/>
      </c>
      <c r="BQ45" s="307" t="n"/>
      <c r="BR45" s="83" t="inlineStr">
        <is>
          <t>paid this month if started and not yet left; +8% on each work anniversary</t>
        </is>
      </c>
      <c r="BS45" s="307" t="n"/>
      <c r="BT45" s="307" t="n"/>
    </row>
    <row r="46" ht="16.5" customHeight="1" s="349">
      <c r="A46" s="321" t="n">
        <v>41</v>
      </c>
      <c r="B46" s="285" t="inlineStr">
        <is>
          <t>New hire</t>
        </is>
      </c>
      <c r="C46" s="23" t="inlineStr">
        <is>
          <t>S&amp;M</t>
        </is>
      </c>
      <c r="D46" s="321" t="inlineStr">
        <is>
          <t>Marketing</t>
        </is>
      </c>
      <c r="E46" s="297" t="inlineStr">
        <is>
          <t>Planned</t>
        </is>
      </c>
      <c r="F46" s="318" t="n">
        <v>47180</v>
      </c>
      <c r="G46" s="319" t="n"/>
      <c r="H46" s="288" t="n">
        <v>7500</v>
      </c>
      <c r="I46" s="299">
        <f>IF(AND($F46&lt;=I$2, OR($G46="",$G46&gt;=I$2)),
  $H46 * (1 + Assumptions!$C$7) ^ INT(((YEAR(I$2)-YEAR($F46))*12 + MONTH(I$2)-MONTH($F46)) / 12),
  0)</f>
        <v/>
      </c>
      <c r="J46" s="299">
        <f>IF(AND($F46&lt;=J$2, OR($G46="",$G46&gt;=J$2)),
  $H46 * (1 + Assumptions!$C$7) ^ INT(((YEAR(J$2)-YEAR($F46))*12 + MONTH(J$2)-MONTH($F46)) / 12),
  0)</f>
        <v/>
      </c>
      <c r="K46" s="299">
        <f>IF(AND($F46&lt;=K$2, OR($G46="",$G46&gt;=K$2)),
  $H46 * (1 + Assumptions!$C$7) ^ INT(((YEAR(K$2)-YEAR($F46))*12 + MONTH(K$2)-MONTH($F46)) / 12),
  0)</f>
        <v/>
      </c>
      <c r="L46" s="299">
        <f>IF(AND($F46&lt;=L$2, OR($G46="",$G46&gt;=L$2)),
  $H46 * (1 + Assumptions!$C$7) ^ INT(((YEAR(L$2)-YEAR($F46))*12 + MONTH(L$2)-MONTH($F46)) / 12),
  0)</f>
        <v/>
      </c>
      <c r="M46" s="299">
        <f>IF(AND($F46&lt;=M$2, OR($G46="",$G46&gt;=M$2)),
  $H46 * (1 + Assumptions!$C$7) ^ INT(((YEAR(M$2)-YEAR($F46))*12 + MONTH(M$2)-MONTH($F46)) / 12),
  0)</f>
        <v/>
      </c>
      <c r="N46" s="299">
        <f>IF(AND($F46&lt;=N$2, OR($G46="",$G46&gt;=N$2)),
  $H46 * (1 + Assumptions!$C$7) ^ INT(((YEAR(N$2)-YEAR($F46))*12 + MONTH(N$2)-MONTH($F46)) / 12),
  0)</f>
        <v/>
      </c>
      <c r="O46" s="299">
        <f>IF(AND($F46&lt;=O$2, OR($G46="",$G46&gt;=O$2)),
  $H46 * (1 + Assumptions!$C$7) ^ INT(((YEAR(O$2)-YEAR($F46))*12 + MONTH(O$2)-MONTH($F46)) / 12),
  0)</f>
        <v/>
      </c>
      <c r="P46" s="299">
        <f>IF(AND($F46&lt;=P$2, OR($G46="",$G46&gt;=P$2)),
  $H46 * (1 + Assumptions!$C$7) ^ INT(((YEAR(P$2)-YEAR($F46))*12 + MONTH(P$2)-MONTH($F46)) / 12),
  0)</f>
        <v/>
      </c>
      <c r="Q46" s="299">
        <f>IF(AND($F46&lt;=Q$2, OR($G46="",$G46&gt;=Q$2)),
  $H46 * (1 + Assumptions!$C$7) ^ INT(((YEAR(Q$2)-YEAR($F46))*12 + MONTH(Q$2)-MONTH($F46)) / 12),
  0)</f>
        <v/>
      </c>
      <c r="R46" s="299">
        <f>IF(AND($F46&lt;=R$2, OR($G46="",$G46&gt;=R$2)),
  $H46 * (1 + Assumptions!$C$7) ^ INT(((YEAR(R$2)-YEAR($F46))*12 + MONTH(R$2)-MONTH($F46)) / 12),
  0)</f>
        <v/>
      </c>
      <c r="S46" s="299">
        <f>IF(AND($F46&lt;=S$2, OR($G46="",$G46&gt;=S$2)),
  $H46 * (1 + Assumptions!$C$7) ^ INT(((YEAR(S$2)-YEAR($F46))*12 + MONTH(S$2)-MONTH($F46)) / 12),
  0)</f>
        <v/>
      </c>
      <c r="T46" s="299">
        <f>IF(AND($F46&lt;=T$2, OR($G46="",$G46&gt;=T$2)),
  $H46 * (1 + Assumptions!$C$7) ^ INT(((YEAR(T$2)-YEAR($F46))*12 + MONTH(T$2)-MONTH($F46)) / 12),
  0)</f>
        <v/>
      </c>
      <c r="U46" s="299">
        <f>IF(AND($F46&lt;=U$2, OR($G46="",$G46&gt;=U$2)),
  $H46 * (1 + Assumptions!$C$7) ^ INT(((YEAR(U$2)-YEAR($F46))*12 + MONTH(U$2)-MONTH($F46)) / 12),
  0)</f>
        <v/>
      </c>
      <c r="V46" s="299">
        <f>IF(AND($F46&lt;=V$2, OR($G46="",$G46&gt;=V$2)),
  $H46 * (1 + Assumptions!$C$7) ^ INT(((YEAR(V$2)-YEAR($F46))*12 + MONTH(V$2)-MONTH($F46)) / 12),
  0)</f>
        <v/>
      </c>
      <c r="W46" s="299">
        <f>IF(AND($F46&lt;=W$2, OR($G46="",$G46&gt;=W$2)),
  $H46 * (1 + Assumptions!$C$7) ^ INT(((YEAR(W$2)-YEAR($F46))*12 + MONTH(W$2)-MONTH($F46)) / 12),
  0)</f>
        <v/>
      </c>
      <c r="X46" s="299">
        <f>IF(AND($F46&lt;=X$2, OR($G46="",$G46&gt;=X$2)),
  $H46 * (1 + Assumptions!$C$7) ^ INT(((YEAR(X$2)-YEAR($F46))*12 + MONTH(X$2)-MONTH($F46)) / 12),
  0)</f>
        <v/>
      </c>
      <c r="Y46" s="299">
        <f>IF(AND($F46&lt;=Y$2, OR($G46="",$G46&gt;=Y$2)),
  $H46 * (1 + Assumptions!$C$7) ^ INT(((YEAR(Y$2)-YEAR($F46))*12 + MONTH(Y$2)-MONTH($F46)) / 12),
  0)</f>
        <v/>
      </c>
      <c r="Z46" s="299">
        <f>IF(AND($F46&lt;=Z$2, OR($G46="",$G46&gt;=Z$2)),
  $H46 * (1 + Assumptions!$C$7) ^ INT(((YEAR(Z$2)-YEAR($F46))*12 + MONTH(Z$2)-MONTH($F46)) / 12),
  0)</f>
        <v/>
      </c>
      <c r="AA46" s="299">
        <f>IF(AND($F46&lt;=AA$2, OR($G46="",$G46&gt;=AA$2)),
  $H46 * (1 + Assumptions!$C$7) ^ INT(((YEAR(AA$2)-YEAR($F46))*12 + MONTH(AA$2)-MONTH($F46)) / 12),
  0)</f>
        <v/>
      </c>
      <c r="AB46" s="299">
        <f>IF(AND($F46&lt;=AB$2, OR($G46="",$G46&gt;=AB$2)),
  $H46 * (1 + Assumptions!$C$7) ^ INT(((YEAR(AB$2)-YEAR($F46))*12 + MONTH(AB$2)-MONTH($F46)) / 12),
  0)</f>
        <v/>
      </c>
      <c r="AC46" s="299">
        <f>IF(AND($F46&lt;=AC$2, OR($G46="",$G46&gt;=AC$2)),
  $H46 * (1 + Assumptions!$C$7) ^ INT(((YEAR(AC$2)-YEAR($F46))*12 + MONTH(AC$2)-MONTH($F46)) / 12),
  0)</f>
        <v/>
      </c>
      <c r="AD46" s="299">
        <f>IF(AND($F46&lt;=AD$2, OR($G46="",$G46&gt;=AD$2)),
  $H46 * (1 + Assumptions!$C$7) ^ INT(((YEAR(AD$2)-YEAR($F46))*12 + MONTH(AD$2)-MONTH($F46)) / 12),
  0)</f>
        <v/>
      </c>
      <c r="AE46" s="299">
        <f>IF(AND($F46&lt;=AE$2, OR($G46="",$G46&gt;=AE$2)),
  $H46 * (1 + Assumptions!$C$7) ^ INT(((YEAR(AE$2)-YEAR($F46))*12 + MONTH(AE$2)-MONTH($F46)) / 12),
  0)</f>
        <v/>
      </c>
      <c r="AF46" s="299">
        <f>IF(AND($F46&lt;=AF$2, OR($G46="",$G46&gt;=AF$2)),
  $H46 * (1 + Assumptions!$C$7) ^ INT(((YEAR(AF$2)-YEAR($F46))*12 + MONTH(AF$2)-MONTH($F46)) / 12),
  0)</f>
        <v/>
      </c>
      <c r="AG46" s="299">
        <f>IF(AND($F46&lt;=AG$2, OR($G46="",$G46&gt;=AG$2)),
  $H46 * (1 + Assumptions!$C$7) ^ INT(((YEAR(AG$2)-YEAR($F46))*12 + MONTH(AG$2)-MONTH($F46)) / 12),
  0)</f>
        <v/>
      </c>
      <c r="AH46" s="299">
        <f>IF(AND($F46&lt;=AH$2, OR($G46="",$G46&gt;=AH$2)),
  $H46 * (1 + Assumptions!$C$7) ^ INT(((YEAR(AH$2)-YEAR($F46))*12 + MONTH(AH$2)-MONTH($F46)) / 12),
  0)</f>
        <v/>
      </c>
      <c r="AI46" s="299">
        <f>IF(AND($F46&lt;=AI$2, OR($G46="",$G46&gt;=AI$2)),
  $H46 * (1 + Assumptions!$C$7) ^ INT(((YEAR(AI$2)-YEAR($F46))*12 + MONTH(AI$2)-MONTH($F46)) / 12),
  0)</f>
        <v/>
      </c>
      <c r="AJ46" s="299">
        <f>IF(AND($F46&lt;=AJ$2, OR($G46="",$G46&gt;=AJ$2)),
  $H46 * (1 + Assumptions!$C$7) ^ INT(((YEAR(AJ$2)-YEAR($F46))*12 + MONTH(AJ$2)-MONTH($F46)) / 12),
  0)</f>
        <v/>
      </c>
      <c r="AK46" s="299">
        <f>IF(AND($F46&lt;=AK$2, OR($G46="",$G46&gt;=AK$2)),
  $H46 * (1 + Assumptions!$C$7) ^ INT(((YEAR(AK$2)-YEAR($F46))*12 + MONTH(AK$2)-MONTH($F46)) / 12),
  0)</f>
        <v/>
      </c>
      <c r="AL46" s="299">
        <f>IF(AND($F46&lt;=AL$2, OR($G46="",$G46&gt;=AL$2)),
  $H46 * (1 + Assumptions!$C$7) ^ INT(((YEAR(AL$2)-YEAR($F46))*12 + MONTH(AL$2)-MONTH($F46)) / 12),
  0)</f>
        <v/>
      </c>
      <c r="AM46" s="299">
        <f>IF(AND($F46&lt;=AM$2, OR($G46="",$G46&gt;=AM$2)),
  $H46 * (1 + Assumptions!$C$7) ^ INT(((YEAR(AM$2)-YEAR($F46))*12 + MONTH(AM$2)-MONTH($F46)) / 12),
  0)</f>
        <v/>
      </c>
      <c r="AN46" s="299">
        <f>IF(AND($F46&lt;=AN$2, OR($G46="",$G46&gt;=AN$2)),
  $H46 * (1 + Assumptions!$C$7) ^ INT(((YEAR(AN$2)-YEAR($F46))*12 + MONTH(AN$2)-MONTH($F46)) / 12),
  0)</f>
        <v/>
      </c>
      <c r="AO46" s="299">
        <f>IF(AND($F46&lt;=AO$2, OR($G46="",$G46&gt;=AO$2)),
  $H46 * (1 + Assumptions!$C$7) ^ INT(((YEAR(AO$2)-YEAR($F46))*12 + MONTH(AO$2)-MONTH($F46)) / 12),
  0)</f>
        <v/>
      </c>
      <c r="AP46" s="299">
        <f>IF(AND($F46&lt;=AP$2, OR($G46="",$G46&gt;=AP$2)),
  $H46 * (1 + Assumptions!$C$7) ^ INT(((YEAR(AP$2)-YEAR($F46))*12 + MONTH(AP$2)-MONTH($F46)) / 12),
  0)</f>
        <v/>
      </c>
      <c r="AQ46" s="299">
        <f>IF(AND($F46&lt;=AQ$2, OR($G46="",$G46&gt;=AQ$2)),
  $H46 * (1 + Assumptions!$C$7) ^ INT(((YEAR(AQ$2)-YEAR($F46))*12 + MONTH(AQ$2)-MONTH($F46)) / 12),
  0)</f>
        <v/>
      </c>
      <c r="AR46" s="299">
        <f>IF(AND($F46&lt;=AR$2, OR($G46="",$G46&gt;=AR$2)),
  $H46 * (1 + Assumptions!$C$7) ^ INT(((YEAR(AR$2)-YEAR($F46))*12 + MONTH(AR$2)-MONTH($F46)) / 12),
  0)</f>
        <v/>
      </c>
      <c r="AS46" s="299">
        <f>IF(AND($F46&lt;=AS$2, OR($G46="",$G46&gt;=AS$2)),
  $H46 * (1 + Assumptions!$C$7) ^ INT(((YEAR(AS$2)-YEAR($F46))*12 + MONTH(AS$2)-MONTH($F46)) / 12),
  0)</f>
        <v/>
      </c>
      <c r="AT46" s="299">
        <f>IF(AND($F46&lt;=AT$2, OR($G46="",$G46&gt;=AT$2)),
  $H46 * (1 + Assumptions!$C$7) ^ INT(((YEAR(AT$2)-YEAR($F46))*12 + MONTH(AT$2)-MONTH($F46)) / 12),
  0)</f>
        <v/>
      </c>
      <c r="AU46" s="299">
        <f>IF(AND($F46&lt;=AU$2, OR($G46="",$G46&gt;=AU$2)),
  $H46 * (1 + Assumptions!$C$7) ^ INT(((YEAR(AU$2)-YEAR($F46))*12 + MONTH(AU$2)-MONTH($F46)) / 12),
  0)</f>
        <v/>
      </c>
      <c r="AV46" s="299">
        <f>IF(AND($F46&lt;=AV$2, OR($G46="",$G46&gt;=AV$2)),
  $H46 * (1 + Assumptions!$C$7) ^ INT(((YEAR(AV$2)-YEAR($F46))*12 + MONTH(AV$2)-MONTH($F46)) / 12),
  0)</f>
        <v/>
      </c>
      <c r="AW46" s="299">
        <f>IF(AND($F46&lt;=AW$2, OR($G46="",$G46&gt;=AW$2)),
  $H46 * (1 + Assumptions!$C$7) ^ INT(((YEAR(AW$2)-YEAR($F46))*12 + MONTH(AW$2)-MONTH($F46)) / 12),
  0)</f>
        <v/>
      </c>
      <c r="AX46" s="299">
        <f>IF(AND($F46&lt;=AX$2, OR($G46="",$G46&gt;=AX$2)),
  $H46 * (1 + Assumptions!$C$7) ^ INT(((YEAR(AX$2)-YEAR($F46))*12 + MONTH(AX$2)-MONTH($F46)) / 12),
  0)</f>
        <v/>
      </c>
      <c r="AY46" s="299">
        <f>IF(AND($F46&lt;=AY$2, OR($G46="",$G46&gt;=AY$2)),
  $H46 * (1 + Assumptions!$C$7) ^ INT(((YEAR(AY$2)-YEAR($F46))*12 + MONTH(AY$2)-MONTH($F46)) / 12),
  0)</f>
        <v/>
      </c>
      <c r="AZ46" s="299">
        <f>IF(AND($F46&lt;=AZ$2, OR($G46="",$G46&gt;=AZ$2)),
  $H46 * (1 + Assumptions!$C$7) ^ INT(((YEAR(AZ$2)-YEAR($F46))*12 + MONTH(AZ$2)-MONTH($F46)) / 12),
  0)</f>
        <v/>
      </c>
      <c r="BA46" s="299">
        <f>IF(AND($F46&lt;=BA$2, OR($G46="",$G46&gt;=BA$2)),
  $H46 * (1 + Assumptions!$C$7) ^ INT(((YEAR(BA$2)-YEAR($F46))*12 + MONTH(BA$2)-MONTH($F46)) / 12),
  0)</f>
        <v/>
      </c>
      <c r="BB46" s="299">
        <f>IF(AND($F46&lt;=BB$2, OR($G46="",$G46&gt;=BB$2)),
  $H46 * (1 + Assumptions!$C$7) ^ INT(((YEAR(BB$2)-YEAR($F46))*12 + MONTH(BB$2)-MONTH($F46)) / 12),
  0)</f>
        <v/>
      </c>
      <c r="BC46" s="299">
        <f>IF(AND($F46&lt;=BC$2, OR($G46="",$G46&gt;=BC$2)),
  $H46 * (1 + Assumptions!$C$7) ^ INT(((YEAR(BC$2)-YEAR($F46))*12 + MONTH(BC$2)-MONTH($F46)) / 12),
  0)</f>
        <v/>
      </c>
      <c r="BD46" s="299">
        <f>IF(AND($F46&lt;=BD$2, OR($G46="",$G46&gt;=BD$2)),
  $H46 * (1 + Assumptions!$C$7) ^ INT(((YEAR(BD$2)-YEAR($F46))*12 + MONTH(BD$2)-MONTH($F46)) / 12),
  0)</f>
        <v/>
      </c>
      <c r="BE46" s="299">
        <f>IF(AND($F46&lt;=BE$2, OR($G46="",$G46&gt;=BE$2)),
  $H46 * (1 + Assumptions!$C$7) ^ INT(((YEAR(BE$2)-YEAR($F46))*12 + MONTH(BE$2)-MONTH($F46)) / 12),
  0)</f>
        <v/>
      </c>
      <c r="BF46" s="299">
        <f>IF(AND($F46&lt;=BF$2, OR($G46="",$G46&gt;=BF$2)),
  $H46 * (1 + Assumptions!$C$7) ^ INT(((YEAR(BF$2)-YEAR($F46))*12 + MONTH(BF$2)-MONTH($F46)) / 12),
  0)</f>
        <v/>
      </c>
      <c r="BG46" s="299">
        <f>IF(AND($F46&lt;=BG$2, OR($G46="",$G46&gt;=BG$2)),
  $H46 * (1 + Assumptions!$C$7) ^ INT(((YEAR(BG$2)-YEAR($F46))*12 + MONTH(BG$2)-MONTH($F46)) / 12),
  0)</f>
        <v/>
      </c>
      <c r="BH46" s="299">
        <f>IF(AND($F46&lt;=BH$2, OR($G46="",$G46&gt;=BH$2)),
  $H46 * (1 + Assumptions!$C$7) ^ INT(((YEAR(BH$2)-YEAR($F46))*12 + MONTH(BH$2)-MONTH($F46)) / 12),
  0)</f>
        <v/>
      </c>
      <c r="BI46" s="299">
        <f>IF(AND($F46&lt;=BI$2, OR($G46="",$G46&gt;=BI$2)),
  $H46 * (1 + Assumptions!$C$7) ^ INT(((YEAR(BI$2)-YEAR($F46))*12 + MONTH(BI$2)-MONTH($F46)) / 12),
  0)</f>
        <v/>
      </c>
      <c r="BJ46" s="299">
        <f>IF(AND($F46&lt;=BJ$2, OR($G46="",$G46&gt;=BJ$2)),
  $H46 * (1 + Assumptions!$C$7) ^ INT(((YEAR(BJ$2)-YEAR($F46))*12 + MONTH(BJ$2)-MONTH($F46)) / 12),
  0)</f>
        <v/>
      </c>
      <c r="BK46" s="299">
        <f>IF(AND($F46&lt;=BK$2, OR($G46="",$G46&gt;=BK$2)),
  $H46 * (1 + Assumptions!$C$7) ^ INT(((YEAR(BK$2)-YEAR($F46))*12 + MONTH(BK$2)-MONTH($F46)) / 12),
  0)</f>
        <v/>
      </c>
      <c r="BL46" s="299">
        <f>IF(AND($F46&lt;=BL$2, OR($G46="",$G46&gt;=BL$2)),
  $H46 * (1 + Assumptions!$C$7) ^ INT(((YEAR(BL$2)-YEAR($F46))*12 + MONTH(BL$2)-MONTH($F46)) / 12),
  0)</f>
        <v/>
      </c>
      <c r="BM46" s="299">
        <f>IF(AND($F46&lt;=BM$2, OR($G46="",$G46&gt;=BM$2)),
  $H46 * (1 + Assumptions!$C$7) ^ INT(((YEAR(BM$2)-YEAR($F46))*12 + MONTH(BM$2)-MONTH($F46)) / 12),
  0)</f>
        <v/>
      </c>
      <c r="BN46" s="299">
        <f>IF(AND($F46&lt;=BN$2, OR($G46="",$G46&gt;=BN$2)),
  $H46 * (1 + Assumptions!$C$7) ^ INT(((YEAR(BN$2)-YEAR($F46))*12 + MONTH(BN$2)-MONTH($F46)) / 12),
  0)</f>
        <v/>
      </c>
      <c r="BO46" s="299">
        <f>IF(AND($F46&lt;=BO$2, OR($G46="",$G46&gt;=BO$2)),
  $H46 * (1 + Assumptions!$C$7) ^ INT(((YEAR(BO$2)-YEAR($F46))*12 + MONTH(BO$2)-MONTH($F46)) / 12),
  0)</f>
        <v/>
      </c>
      <c r="BP46" s="299">
        <f>IF(AND($F46&lt;=BP$2, OR($G46="",$G46&gt;=BP$2)),
  $H46 * (1 + Assumptions!$C$7) ^ INT(((YEAR(BP$2)-YEAR($F46))*12 + MONTH(BP$2)-MONTH($F46)) / 12),
  0)</f>
        <v/>
      </c>
      <c r="BQ46" s="307" t="n"/>
      <c r="BR46" s="83" t="inlineStr">
        <is>
          <t>paid this month if started and not yet left; +8% on each work anniversary</t>
        </is>
      </c>
      <c r="BS46" s="307" t="n"/>
      <c r="BT46" s="307" t="n"/>
    </row>
    <row r="47" ht="16.5" customHeight="1" s="349">
      <c r="A47" s="321" t="n">
        <v>42</v>
      </c>
      <c r="B47" s="285" t="inlineStr">
        <is>
          <t>New hire</t>
        </is>
      </c>
      <c r="C47" s="23" t="inlineStr">
        <is>
          <t>S&amp;M</t>
        </is>
      </c>
      <c r="D47" s="321" t="inlineStr">
        <is>
          <t>Sales</t>
        </is>
      </c>
      <c r="E47" s="297" t="inlineStr">
        <is>
          <t>Planned</t>
        </is>
      </c>
      <c r="F47" s="318">
        <f>IF(Assumptions!$D$82=2,DATE(2027,6,1),DATE(2029,6,1))</f>
        <v/>
      </c>
      <c r="G47" s="319" t="n"/>
      <c r="H47" s="288" t="n">
        <v>7500</v>
      </c>
      <c r="I47" s="299">
        <f>IF(AND($F47&lt;=I$2, OR($G47="",$G47&gt;=I$2)),
  $H47 * (1 + Assumptions!$C$7) ^ INT(((YEAR(I$2)-YEAR($F47))*12 + MONTH(I$2)-MONTH($F47)) / 12),
  0)</f>
        <v/>
      </c>
      <c r="J47" s="299">
        <f>IF(AND($F47&lt;=J$2, OR($G47="",$G47&gt;=J$2)),
  $H47 * (1 + Assumptions!$C$7) ^ INT(((YEAR(J$2)-YEAR($F47))*12 + MONTH(J$2)-MONTH($F47)) / 12),
  0)</f>
        <v/>
      </c>
      <c r="K47" s="299">
        <f>IF(AND($F47&lt;=K$2, OR($G47="",$G47&gt;=K$2)),
  $H47 * (1 + Assumptions!$C$7) ^ INT(((YEAR(K$2)-YEAR($F47))*12 + MONTH(K$2)-MONTH($F47)) / 12),
  0)</f>
        <v/>
      </c>
      <c r="L47" s="299">
        <f>IF(AND($F47&lt;=L$2, OR($G47="",$G47&gt;=L$2)),
  $H47 * (1 + Assumptions!$C$7) ^ INT(((YEAR(L$2)-YEAR($F47))*12 + MONTH(L$2)-MONTH($F47)) / 12),
  0)</f>
        <v/>
      </c>
      <c r="M47" s="299">
        <f>IF(AND($F47&lt;=M$2, OR($G47="",$G47&gt;=M$2)),
  $H47 * (1 + Assumptions!$C$7) ^ INT(((YEAR(M$2)-YEAR($F47))*12 + MONTH(M$2)-MONTH($F47)) / 12),
  0)</f>
        <v/>
      </c>
      <c r="N47" s="299">
        <f>IF(AND($F47&lt;=N$2, OR($G47="",$G47&gt;=N$2)),
  $H47 * (1 + Assumptions!$C$7) ^ INT(((YEAR(N$2)-YEAR($F47))*12 + MONTH(N$2)-MONTH($F47)) / 12),
  0)</f>
        <v/>
      </c>
      <c r="O47" s="299">
        <f>IF(AND($F47&lt;=O$2, OR($G47="",$G47&gt;=O$2)),
  $H47 * (1 + Assumptions!$C$7) ^ INT(((YEAR(O$2)-YEAR($F47))*12 + MONTH(O$2)-MONTH($F47)) / 12),
  0)</f>
        <v/>
      </c>
      <c r="P47" s="299">
        <f>IF(AND($F47&lt;=P$2, OR($G47="",$G47&gt;=P$2)),
  $H47 * (1 + Assumptions!$C$7) ^ INT(((YEAR(P$2)-YEAR($F47))*12 + MONTH(P$2)-MONTH($F47)) / 12),
  0)</f>
        <v/>
      </c>
      <c r="Q47" s="299">
        <f>IF(AND($F47&lt;=Q$2, OR($G47="",$G47&gt;=Q$2)),
  $H47 * (1 + Assumptions!$C$7) ^ INT(((YEAR(Q$2)-YEAR($F47))*12 + MONTH(Q$2)-MONTH($F47)) / 12),
  0)</f>
        <v/>
      </c>
      <c r="R47" s="299">
        <f>IF(AND($F47&lt;=R$2, OR($G47="",$G47&gt;=R$2)),
  $H47 * (1 + Assumptions!$C$7) ^ INT(((YEAR(R$2)-YEAR($F47))*12 + MONTH(R$2)-MONTH($F47)) / 12),
  0)</f>
        <v/>
      </c>
      <c r="S47" s="299">
        <f>IF(AND($F47&lt;=S$2, OR($G47="",$G47&gt;=S$2)),
  $H47 * (1 + Assumptions!$C$7) ^ INT(((YEAR(S$2)-YEAR($F47))*12 + MONTH(S$2)-MONTH($F47)) / 12),
  0)</f>
        <v/>
      </c>
      <c r="T47" s="299">
        <f>IF(AND($F47&lt;=T$2, OR($G47="",$G47&gt;=T$2)),
  $H47 * (1 + Assumptions!$C$7) ^ INT(((YEAR(T$2)-YEAR($F47))*12 + MONTH(T$2)-MONTH($F47)) / 12),
  0)</f>
        <v/>
      </c>
      <c r="U47" s="299">
        <f>IF(AND($F47&lt;=U$2, OR($G47="",$G47&gt;=U$2)),
  $H47 * (1 + Assumptions!$C$7) ^ INT(((YEAR(U$2)-YEAR($F47))*12 + MONTH(U$2)-MONTH($F47)) / 12),
  0)</f>
        <v/>
      </c>
      <c r="V47" s="299">
        <f>IF(AND($F47&lt;=V$2, OR($G47="",$G47&gt;=V$2)),
  $H47 * (1 + Assumptions!$C$7) ^ INT(((YEAR(V$2)-YEAR($F47))*12 + MONTH(V$2)-MONTH($F47)) / 12),
  0)</f>
        <v/>
      </c>
      <c r="W47" s="299">
        <f>IF(AND($F47&lt;=W$2, OR($G47="",$G47&gt;=W$2)),
  $H47 * (1 + Assumptions!$C$7) ^ INT(((YEAR(W$2)-YEAR($F47))*12 + MONTH(W$2)-MONTH($F47)) / 12),
  0)</f>
        <v/>
      </c>
      <c r="X47" s="299">
        <f>IF(AND($F47&lt;=X$2, OR($G47="",$G47&gt;=X$2)),
  $H47 * (1 + Assumptions!$C$7) ^ INT(((YEAR(X$2)-YEAR($F47))*12 + MONTH(X$2)-MONTH($F47)) / 12),
  0)</f>
        <v/>
      </c>
      <c r="Y47" s="299">
        <f>IF(AND($F47&lt;=Y$2, OR($G47="",$G47&gt;=Y$2)),
  $H47 * (1 + Assumptions!$C$7) ^ INT(((YEAR(Y$2)-YEAR($F47))*12 + MONTH(Y$2)-MONTH($F47)) / 12),
  0)</f>
        <v/>
      </c>
      <c r="Z47" s="299">
        <f>IF(AND($F47&lt;=Z$2, OR($G47="",$G47&gt;=Z$2)),
  $H47 * (1 + Assumptions!$C$7) ^ INT(((YEAR(Z$2)-YEAR($F47))*12 + MONTH(Z$2)-MONTH($F47)) / 12),
  0)</f>
        <v/>
      </c>
      <c r="AA47" s="299">
        <f>IF(AND($F47&lt;=AA$2, OR($G47="",$G47&gt;=AA$2)),
  $H47 * (1 + Assumptions!$C$7) ^ INT(((YEAR(AA$2)-YEAR($F47))*12 + MONTH(AA$2)-MONTH($F47)) / 12),
  0)</f>
        <v/>
      </c>
      <c r="AB47" s="299">
        <f>IF(AND($F47&lt;=AB$2, OR($G47="",$G47&gt;=AB$2)),
  $H47 * (1 + Assumptions!$C$7) ^ INT(((YEAR(AB$2)-YEAR($F47))*12 + MONTH(AB$2)-MONTH($F47)) / 12),
  0)</f>
        <v/>
      </c>
      <c r="AC47" s="299">
        <f>IF(AND($F47&lt;=AC$2, OR($G47="",$G47&gt;=AC$2)),
  $H47 * (1 + Assumptions!$C$7) ^ INT(((YEAR(AC$2)-YEAR($F47))*12 + MONTH(AC$2)-MONTH($F47)) / 12),
  0)</f>
        <v/>
      </c>
      <c r="AD47" s="299">
        <f>IF(AND($F47&lt;=AD$2, OR($G47="",$G47&gt;=AD$2)),
  $H47 * (1 + Assumptions!$C$7) ^ INT(((YEAR(AD$2)-YEAR($F47))*12 + MONTH(AD$2)-MONTH($F47)) / 12),
  0)</f>
        <v/>
      </c>
      <c r="AE47" s="299">
        <f>IF(AND($F47&lt;=AE$2, OR($G47="",$G47&gt;=AE$2)),
  $H47 * (1 + Assumptions!$C$7) ^ INT(((YEAR(AE$2)-YEAR($F47))*12 + MONTH(AE$2)-MONTH($F47)) / 12),
  0)</f>
        <v/>
      </c>
      <c r="AF47" s="299">
        <f>IF(AND($F47&lt;=AF$2, OR($G47="",$G47&gt;=AF$2)),
  $H47 * (1 + Assumptions!$C$7) ^ INT(((YEAR(AF$2)-YEAR($F47))*12 + MONTH(AF$2)-MONTH($F47)) / 12),
  0)</f>
        <v/>
      </c>
      <c r="AG47" s="299">
        <f>IF(AND($F47&lt;=AG$2, OR($G47="",$G47&gt;=AG$2)),
  $H47 * (1 + Assumptions!$C$7) ^ INT(((YEAR(AG$2)-YEAR($F47))*12 + MONTH(AG$2)-MONTH($F47)) / 12),
  0)</f>
        <v/>
      </c>
      <c r="AH47" s="299">
        <f>IF(AND($F47&lt;=AH$2, OR($G47="",$G47&gt;=AH$2)),
  $H47 * (1 + Assumptions!$C$7) ^ INT(((YEAR(AH$2)-YEAR($F47))*12 + MONTH(AH$2)-MONTH($F47)) / 12),
  0)</f>
        <v/>
      </c>
      <c r="AI47" s="299">
        <f>IF(AND($F47&lt;=AI$2, OR($G47="",$G47&gt;=AI$2)),
  $H47 * (1 + Assumptions!$C$7) ^ INT(((YEAR(AI$2)-YEAR($F47))*12 + MONTH(AI$2)-MONTH($F47)) / 12),
  0)</f>
        <v/>
      </c>
      <c r="AJ47" s="299">
        <f>IF(AND($F47&lt;=AJ$2, OR($G47="",$G47&gt;=AJ$2)),
  $H47 * (1 + Assumptions!$C$7) ^ INT(((YEAR(AJ$2)-YEAR($F47))*12 + MONTH(AJ$2)-MONTH($F47)) / 12),
  0)</f>
        <v/>
      </c>
      <c r="AK47" s="299">
        <f>IF(AND($F47&lt;=AK$2, OR($G47="",$G47&gt;=AK$2)),
  $H47 * (1 + Assumptions!$C$7) ^ INT(((YEAR(AK$2)-YEAR($F47))*12 + MONTH(AK$2)-MONTH($F47)) / 12),
  0)</f>
        <v/>
      </c>
      <c r="AL47" s="299">
        <f>IF(AND($F47&lt;=AL$2, OR($G47="",$G47&gt;=AL$2)),
  $H47 * (1 + Assumptions!$C$7) ^ INT(((YEAR(AL$2)-YEAR($F47))*12 + MONTH(AL$2)-MONTH($F47)) / 12),
  0)</f>
        <v/>
      </c>
      <c r="AM47" s="299">
        <f>IF(AND($F47&lt;=AM$2, OR($G47="",$G47&gt;=AM$2)),
  $H47 * (1 + Assumptions!$C$7) ^ INT(((YEAR(AM$2)-YEAR($F47))*12 + MONTH(AM$2)-MONTH($F47)) / 12),
  0)</f>
        <v/>
      </c>
      <c r="AN47" s="299">
        <f>IF(AND($F47&lt;=AN$2, OR($G47="",$G47&gt;=AN$2)),
  $H47 * (1 + Assumptions!$C$7) ^ INT(((YEAR(AN$2)-YEAR($F47))*12 + MONTH(AN$2)-MONTH($F47)) / 12),
  0)</f>
        <v/>
      </c>
      <c r="AO47" s="299">
        <f>IF(AND($F47&lt;=AO$2, OR($G47="",$G47&gt;=AO$2)),
  $H47 * (1 + Assumptions!$C$7) ^ INT(((YEAR(AO$2)-YEAR($F47))*12 + MONTH(AO$2)-MONTH($F47)) / 12),
  0)</f>
        <v/>
      </c>
      <c r="AP47" s="299">
        <f>IF(AND($F47&lt;=AP$2, OR($G47="",$G47&gt;=AP$2)),
  $H47 * (1 + Assumptions!$C$7) ^ INT(((YEAR(AP$2)-YEAR($F47))*12 + MONTH(AP$2)-MONTH($F47)) / 12),
  0)</f>
        <v/>
      </c>
      <c r="AQ47" s="299">
        <f>IF(AND($F47&lt;=AQ$2, OR($G47="",$G47&gt;=AQ$2)),
  $H47 * (1 + Assumptions!$C$7) ^ INT(((YEAR(AQ$2)-YEAR($F47))*12 + MONTH(AQ$2)-MONTH($F47)) / 12),
  0)</f>
        <v/>
      </c>
      <c r="AR47" s="299">
        <f>IF(AND($F47&lt;=AR$2, OR($G47="",$G47&gt;=AR$2)),
  $H47 * (1 + Assumptions!$C$7) ^ INT(((YEAR(AR$2)-YEAR($F47))*12 + MONTH(AR$2)-MONTH($F47)) / 12),
  0)</f>
        <v/>
      </c>
      <c r="AS47" s="299">
        <f>IF(AND($F47&lt;=AS$2, OR($G47="",$G47&gt;=AS$2)),
  $H47 * (1 + Assumptions!$C$7) ^ INT(((YEAR(AS$2)-YEAR($F47))*12 + MONTH(AS$2)-MONTH($F47)) / 12),
  0)</f>
        <v/>
      </c>
      <c r="AT47" s="299">
        <f>IF(AND($F47&lt;=AT$2, OR($G47="",$G47&gt;=AT$2)),
  $H47 * (1 + Assumptions!$C$7) ^ INT(((YEAR(AT$2)-YEAR($F47))*12 + MONTH(AT$2)-MONTH($F47)) / 12),
  0)</f>
        <v/>
      </c>
      <c r="AU47" s="299">
        <f>IF(AND($F47&lt;=AU$2, OR($G47="",$G47&gt;=AU$2)),
  $H47 * (1 + Assumptions!$C$7) ^ INT(((YEAR(AU$2)-YEAR($F47))*12 + MONTH(AU$2)-MONTH($F47)) / 12),
  0)</f>
        <v/>
      </c>
      <c r="AV47" s="299">
        <f>IF(AND($F47&lt;=AV$2, OR($G47="",$G47&gt;=AV$2)),
  $H47 * (1 + Assumptions!$C$7) ^ INT(((YEAR(AV$2)-YEAR($F47))*12 + MONTH(AV$2)-MONTH($F47)) / 12),
  0)</f>
        <v/>
      </c>
      <c r="AW47" s="299">
        <f>IF(AND($F47&lt;=AW$2, OR($G47="",$G47&gt;=AW$2)),
  $H47 * (1 + Assumptions!$C$7) ^ INT(((YEAR(AW$2)-YEAR($F47))*12 + MONTH(AW$2)-MONTH($F47)) / 12),
  0)</f>
        <v/>
      </c>
      <c r="AX47" s="299">
        <f>IF(AND($F47&lt;=AX$2, OR($G47="",$G47&gt;=AX$2)),
  $H47 * (1 + Assumptions!$C$7) ^ INT(((YEAR(AX$2)-YEAR($F47))*12 + MONTH(AX$2)-MONTH($F47)) / 12),
  0)</f>
        <v/>
      </c>
      <c r="AY47" s="299">
        <f>IF(AND($F47&lt;=AY$2, OR($G47="",$G47&gt;=AY$2)),
  $H47 * (1 + Assumptions!$C$7) ^ INT(((YEAR(AY$2)-YEAR($F47))*12 + MONTH(AY$2)-MONTH($F47)) / 12),
  0)</f>
        <v/>
      </c>
      <c r="AZ47" s="299">
        <f>IF(AND($F47&lt;=AZ$2, OR($G47="",$G47&gt;=AZ$2)),
  $H47 * (1 + Assumptions!$C$7) ^ INT(((YEAR(AZ$2)-YEAR($F47))*12 + MONTH(AZ$2)-MONTH($F47)) / 12),
  0)</f>
        <v/>
      </c>
      <c r="BA47" s="299">
        <f>IF(AND($F47&lt;=BA$2, OR($G47="",$G47&gt;=BA$2)),
  $H47 * (1 + Assumptions!$C$7) ^ INT(((YEAR(BA$2)-YEAR($F47))*12 + MONTH(BA$2)-MONTH($F47)) / 12),
  0)</f>
        <v/>
      </c>
      <c r="BB47" s="299">
        <f>IF(AND($F47&lt;=BB$2, OR($G47="",$G47&gt;=BB$2)),
  $H47 * (1 + Assumptions!$C$7) ^ INT(((YEAR(BB$2)-YEAR($F47))*12 + MONTH(BB$2)-MONTH($F47)) / 12),
  0)</f>
        <v/>
      </c>
      <c r="BC47" s="299">
        <f>IF(AND($F47&lt;=BC$2, OR($G47="",$G47&gt;=BC$2)),
  $H47 * (1 + Assumptions!$C$7) ^ INT(((YEAR(BC$2)-YEAR($F47))*12 + MONTH(BC$2)-MONTH($F47)) / 12),
  0)</f>
        <v/>
      </c>
      <c r="BD47" s="299">
        <f>IF(AND($F47&lt;=BD$2, OR($G47="",$G47&gt;=BD$2)),
  $H47 * (1 + Assumptions!$C$7) ^ INT(((YEAR(BD$2)-YEAR($F47))*12 + MONTH(BD$2)-MONTH($F47)) / 12),
  0)</f>
        <v/>
      </c>
      <c r="BE47" s="299">
        <f>IF(AND($F47&lt;=BE$2, OR($G47="",$G47&gt;=BE$2)),
  $H47 * (1 + Assumptions!$C$7) ^ INT(((YEAR(BE$2)-YEAR($F47))*12 + MONTH(BE$2)-MONTH($F47)) / 12),
  0)</f>
        <v/>
      </c>
      <c r="BF47" s="299">
        <f>IF(AND($F47&lt;=BF$2, OR($G47="",$G47&gt;=BF$2)),
  $H47 * (1 + Assumptions!$C$7) ^ INT(((YEAR(BF$2)-YEAR($F47))*12 + MONTH(BF$2)-MONTH($F47)) / 12),
  0)</f>
        <v/>
      </c>
      <c r="BG47" s="299">
        <f>IF(AND($F47&lt;=BG$2, OR($G47="",$G47&gt;=BG$2)),
  $H47 * (1 + Assumptions!$C$7) ^ INT(((YEAR(BG$2)-YEAR($F47))*12 + MONTH(BG$2)-MONTH($F47)) / 12),
  0)</f>
        <v/>
      </c>
      <c r="BH47" s="299">
        <f>IF(AND($F47&lt;=BH$2, OR($G47="",$G47&gt;=BH$2)),
  $H47 * (1 + Assumptions!$C$7) ^ INT(((YEAR(BH$2)-YEAR($F47))*12 + MONTH(BH$2)-MONTH($F47)) / 12),
  0)</f>
        <v/>
      </c>
      <c r="BI47" s="299">
        <f>IF(AND($F47&lt;=BI$2, OR($G47="",$G47&gt;=BI$2)),
  $H47 * (1 + Assumptions!$C$7) ^ INT(((YEAR(BI$2)-YEAR($F47))*12 + MONTH(BI$2)-MONTH($F47)) / 12),
  0)</f>
        <v/>
      </c>
      <c r="BJ47" s="299">
        <f>IF(AND($F47&lt;=BJ$2, OR($G47="",$G47&gt;=BJ$2)),
  $H47 * (1 + Assumptions!$C$7) ^ INT(((YEAR(BJ$2)-YEAR($F47))*12 + MONTH(BJ$2)-MONTH($F47)) / 12),
  0)</f>
        <v/>
      </c>
      <c r="BK47" s="299">
        <f>IF(AND($F47&lt;=BK$2, OR($G47="",$G47&gt;=BK$2)),
  $H47 * (1 + Assumptions!$C$7) ^ INT(((YEAR(BK$2)-YEAR($F47))*12 + MONTH(BK$2)-MONTH($F47)) / 12),
  0)</f>
        <v/>
      </c>
      <c r="BL47" s="299">
        <f>IF(AND($F47&lt;=BL$2, OR($G47="",$G47&gt;=BL$2)),
  $H47 * (1 + Assumptions!$C$7) ^ INT(((YEAR(BL$2)-YEAR($F47))*12 + MONTH(BL$2)-MONTH($F47)) / 12),
  0)</f>
        <v/>
      </c>
      <c r="BM47" s="299">
        <f>IF(AND($F47&lt;=BM$2, OR($G47="",$G47&gt;=BM$2)),
  $H47 * (1 + Assumptions!$C$7) ^ INT(((YEAR(BM$2)-YEAR($F47))*12 + MONTH(BM$2)-MONTH($F47)) / 12),
  0)</f>
        <v/>
      </c>
      <c r="BN47" s="299">
        <f>IF(AND($F47&lt;=BN$2, OR($G47="",$G47&gt;=BN$2)),
  $H47 * (1 + Assumptions!$C$7) ^ INT(((YEAR(BN$2)-YEAR($F47))*12 + MONTH(BN$2)-MONTH($F47)) / 12),
  0)</f>
        <v/>
      </c>
      <c r="BO47" s="299">
        <f>IF(AND($F47&lt;=BO$2, OR($G47="",$G47&gt;=BO$2)),
  $H47 * (1 + Assumptions!$C$7) ^ INT(((YEAR(BO$2)-YEAR($F47))*12 + MONTH(BO$2)-MONTH($F47)) / 12),
  0)</f>
        <v/>
      </c>
      <c r="BP47" s="299">
        <f>IF(AND($F47&lt;=BP$2, OR($G47="",$G47&gt;=BP$2)),
  $H47 * (1 + Assumptions!$C$7) ^ INT(((YEAR(BP$2)-YEAR($F47))*12 + MONTH(BP$2)-MONTH($F47)) / 12),
  0)</f>
        <v/>
      </c>
      <c r="BQ47" s="307" t="n"/>
      <c r="BR47" s="83" t="inlineStr">
        <is>
          <t>paid this month if started and not yet left; +8% on each work anniversary</t>
        </is>
      </c>
      <c r="BS47" s="307" t="n"/>
      <c r="BT47" s="307" t="n"/>
    </row>
    <row r="48" ht="16.5" customHeight="1" s="349">
      <c r="A48" s="321" t="n">
        <v>43</v>
      </c>
      <c r="B48" s="285" t="inlineStr">
        <is>
          <t>New hire</t>
        </is>
      </c>
      <c r="C48" s="23" t="inlineStr">
        <is>
          <t>S&amp;M</t>
        </is>
      </c>
      <c r="D48" s="321" t="inlineStr">
        <is>
          <t>Sales</t>
        </is>
      </c>
      <c r="E48" s="297" t="inlineStr">
        <is>
          <t>Planned</t>
        </is>
      </c>
      <c r="F48" s="318">
        <f>IF(Assumptions!$D$82=2,DATE(2027,7,1),DATE(2029,6,1))</f>
        <v/>
      </c>
      <c r="G48" s="319" t="n"/>
      <c r="H48" s="288" t="n">
        <v>7500</v>
      </c>
      <c r="I48" s="299">
        <f>IF(AND($F48&lt;=I$2, OR($G48="",$G48&gt;=I$2)),
  $H48 * (1 + Assumptions!$C$7) ^ INT(((YEAR(I$2)-YEAR($F48))*12 + MONTH(I$2)-MONTH($F48)) / 12),
  0)</f>
        <v/>
      </c>
      <c r="J48" s="299">
        <f>IF(AND($F48&lt;=J$2, OR($G48="",$G48&gt;=J$2)),
  $H48 * (1 + Assumptions!$C$7) ^ INT(((YEAR(J$2)-YEAR($F48))*12 + MONTH(J$2)-MONTH($F48)) / 12),
  0)</f>
        <v/>
      </c>
      <c r="K48" s="299">
        <f>IF(AND($F48&lt;=K$2, OR($G48="",$G48&gt;=K$2)),
  $H48 * (1 + Assumptions!$C$7) ^ INT(((YEAR(K$2)-YEAR($F48))*12 + MONTH(K$2)-MONTH($F48)) / 12),
  0)</f>
        <v/>
      </c>
      <c r="L48" s="299">
        <f>IF(AND($F48&lt;=L$2, OR($G48="",$G48&gt;=L$2)),
  $H48 * (1 + Assumptions!$C$7) ^ INT(((YEAR(L$2)-YEAR($F48))*12 + MONTH(L$2)-MONTH($F48)) / 12),
  0)</f>
        <v/>
      </c>
      <c r="M48" s="299">
        <f>IF(AND($F48&lt;=M$2, OR($G48="",$G48&gt;=M$2)),
  $H48 * (1 + Assumptions!$C$7) ^ INT(((YEAR(M$2)-YEAR($F48))*12 + MONTH(M$2)-MONTH($F48)) / 12),
  0)</f>
        <v/>
      </c>
      <c r="N48" s="299">
        <f>IF(AND($F48&lt;=N$2, OR($G48="",$G48&gt;=N$2)),
  $H48 * (1 + Assumptions!$C$7) ^ INT(((YEAR(N$2)-YEAR($F48))*12 + MONTH(N$2)-MONTH($F48)) / 12),
  0)</f>
        <v/>
      </c>
      <c r="O48" s="299">
        <f>IF(AND($F48&lt;=O$2, OR($G48="",$G48&gt;=O$2)),
  $H48 * (1 + Assumptions!$C$7) ^ INT(((YEAR(O$2)-YEAR($F48))*12 + MONTH(O$2)-MONTH($F48)) / 12),
  0)</f>
        <v/>
      </c>
      <c r="P48" s="299">
        <f>IF(AND($F48&lt;=P$2, OR($G48="",$G48&gt;=P$2)),
  $H48 * (1 + Assumptions!$C$7) ^ INT(((YEAR(P$2)-YEAR($F48))*12 + MONTH(P$2)-MONTH($F48)) / 12),
  0)</f>
        <v/>
      </c>
      <c r="Q48" s="299">
        <f>IF(AND($F48&lt;=Q$2, OR($G48="",$G48&gt;=Q$2)),
  $H48 * (1 + Assumptions!$C$7) ^ INT(((YEAR(Q$2)-YEAR($F48))*12 + MONTH(Q$2)-MONTH($F48)) / 12),
  0)</f>
        <v/>
      </c>
      <c r="R48" s="299">
        <f>IF(AND($F48&lt;=R$2, OR($G48="",$G48&gt;=R$2)),
  $H48 * (1 + Assumptions!$C$7) ^ INT(((YEAR(R$2)-YEAR($F48))*12 + MONTH(R$2)-MONTH($F48)) / 12),
  0)</f>
        <v/>
      </c>
      <c r="S48" s="299">
        <f>IF(AND($F48&lt;=S$2, OR($G48="",$G48&gt;=S$2)),
  $H48 * (1 + Assumptions!$C$7) ^ INT(((YEAR(S$2)-YEAR($F48))*12 + MONTH(S$2)-MONTH($F48)) / 12),
  0)</f>
        <v/>
      </c>
      <c r="T48" s="299">
        <f>IF(AND($F48&lt;=T$2, OR($G48="",$G48&gt;=T$2)),
  $H48 * (1 + Assumptions!$C$7) ^ INT(((YEAR(T$2)-YEAR($F48))*12 + MONTH(T$2)-MONTH($F48)) / 12),
  0)</f>
        <v/>
      </c>
      <c r="U48" s="299">
        <f>IF(AND($F48&lt;=U$2, OR($G48="",$G48&gt;=U$2)),
  $H48 * (1 + Assumptions!$C$7) ^ INT(((YEAR(U$2)-YEAR($F48))*12 + MONTH(U$2)-MONTH($F48)) / 12),
  0)</f>
        <v/>
      </c>
      <c r="V48" s="299">
        <f>IF(AND($F48&lt;=V$2, OR($G48="",$G48&gt;=V$2)),
  $H48 * (1 + Assumptions!$C$7) ^ INT(((YEAR(V$2)-YEAR($F48))*12 + MONTH(V$2)-MONTH($F48)) / 12),
  0)</f>
        <v/>
      </c>
      <c r="W48" s="299">
        <f>IF(AND($F48&lt;=W$2, OR($G48="",$G48&gt;=W$2)),
  $H48 * (1 + Assumptions!$C$7) ^ INT(((YEAR(W$2)-YEAR($F48))*12 + MONTH(W$2)-MONTH($F48)) / 12),
  0)</f>
        <v/>
      </c>
      <c r="X48" s="299">
        <f>IF(AND($F48&lt;=X$2, OR($G48="",$G48&gt;=X$2)),
  $H48 * (1 + Assumptions!$C$7) ^ INT(((YEAR(X$2)-YEAR($F48))*12 + MONTH(X$2)-MONTH($F48)) / 12),
  0)</f>
        <v/>
      </c>
      <c r="Y48" s="299">
        <f>IF(AND($F48&lt;=Y$2, OR($G48="",$G48&gt;=Y$2)),
  $H48 * (1 + Assumptions!$C$7) ^ INT(((YEAR(Y$2)-YEAR($F48))*12 + MONTH(Y$2)-MONTH($F48)) / 12),
  0)</f>
        <v/>
      </c>
      <c r="Z48" s="299">
        <f>IF(AND($F48&lt;=Z$2, OR($G48="",$G48&gt;=Z$2)),
  $H48 * (1 + Assumptions!$C$7) ^ INT(((YEAR(Z$2)-YEAR($F48))*12 + MONTH(Z$2)-MONTH($F48)) / 12),
  0)</f>
        <v/>
      </c>
      <c r="AA48" s="299">
        <f>IF(AND($F48&lt;=AA$2, OR($G48="",$G48&gt;=AA$2)),
  $H48 * (1 + Assumptions!$C$7) ^ INT(((YEAR(AA$2)-YEAR($F48))*12 + MONTH(AA$2)-MONTH($F48)) / 12),
  0)</f>
        <v/>
      </c>
      <c r="AB48" s="299">
        <f>IF(AND($F48&lt;=AB$2, OR($G48="",$G48&gt;=AB$2)),
  $H48 * (1 + Assumptions!$C$7) ^ INT(((YEAR(AB$2)-YEAR($F48))*12 + MONTH(AB$2)-MONTH($F48)) / 12),
  0)</f>
        <v/>
      </c>
      <c r="AC48" s="299">
        <f>IF(AND($F48&lt;=AC$2, OR($G48="",$G48&gt;=AC$2)),
  $H48 * (1 + Assumptions!$C$7) ^ INT(((YEAR(AC$2)-YEAR($F48))*12 + MONTH(AC$2)-MONTH($F48)) / 12),
  0)</f>
        <v/>
      </c>
      <c r="AD48" s="299">
        <f>IF(AND($F48&lt;=AD$2, OR($G48="",$G48&gt;=AD$2)),
  $H48 * (1 + Assumptions!$C$7) ^ INT(((YEAR(AD$2)-YEAR($F48))*12 + MONTH(AD$2)-MONTH($F48)) / 12),
  0)</f>
        <v/>
      </c>
      <c r="AE48" s="299">
        <f>IF(AND($F48&lt;=AE$2, OR($G48="",$G48&gt;=AE$2)),
  $H48 * (1 + Assumptions!$C$7) ^ INT(((YEAR(AE$2)-YEAR($F48))*12 + MONTH(AE$2)-MONTH($F48)) / 12),
  0)</f>
        <v/>
      </c>
      <c r="AF48" s="299">
        <f>IF(AND($F48&lt;=AF$2, OR($G48="",$G48&gt;=AF$2)),
  $H48 * (1 + Assumptions!$C$7) ^ INT(((YEAR(AF$2)-YEAR($F48))*12 + MONTH(AF$2)-MONTH($F48)) / 12),
  0)</f>
        <v/>
      </c>
      <c r="AG48" s="299">
        <f>IF(AND($F48&lt;=AG$2, OR($G48="",$G48&gt;=AG$2)),
  $H48 * (1 + Assumptions!$C$7) ^ INT(((YEAR(AG$2)-YEAR($F48))*12 + MONTH(AG$2)-MONTH($F48)) / 12),
  0)</f>
        <v/>
      </c>
      <c r="AH48" s="299">
        <f>IF(AND($F48&lt;=AH$2, OR($G48="",$G48&gt;=AH$2)),
  $H48 * (1 + Assumptions!$C$7) ^ INT(((YEAR(AH$2)-YEAR($F48))*12 + MONTH(AH$2)-MONTH($F48)) / 12),
  0)</f>
        <v/>
      </c>
      <c r="AI48" s="299">
        <f>IF(AND($F48&lt;=AI$2, OR($G48="",$G48&gt;=AI$2)),
  $H48 * (1 + Assumptions!$C$7) ^ INT(((YEAR(AI$2)-YEAR($F48))*12 + MONTH(AI$2)-MONTH($F48)) / 12),
  0)</f>
        <v/>
      </c>
      <c r="AJ48" s="299">
        <f>IF(AND($F48&lt;=AJ$2, OR($G48="",$G48&gt;=AJ$2)),
  $H48 * (1 + Assumptions!$C$7) ^ INT(((YEAR(AJ$2)-YEAR($F48))*12 + MONTH(AJ$2)-MONTH($F48)) / 12),
  0)</f>
        <v/>
      </c>
      <c r="AK48" s="299">
        <f>IF(AND($F48&lt;=AK$2, OR($G48="",$G48&gt;=AK$2)),
  $H48 * (1 + Assumptions!$C$7) ^ INT(((YEAR(AK$2)-YEAR($F48))*12 + MONTH(AK$2)-MONTH($F48)) / 12),
  0)</f>
        <v/>
      </c>
      <c r="AL48" s="299">
        <f>IF(AND($F48&lt;=AL$2, OR($G48="",$G48&gt;=AL$2)),
  $H48 * (1 + Assumptions!$C$7) ^ INT(((YEAR(AL$2)-YEAR($F48))*12 + MONTH(AL$2)-MONTH($F48)) / 12),
  0)</f>
        <v/>
      </c>
      <c r="AM48" s="299">
        <f>IF(AND($F48&lt;=AM$2, OR($G48="",$G48&gt;=AM$2)),
  $H48 * (1 + Assumptions!$C$7) ^ INT(((YEAR(AM$2)-YEAR($F48))*12 + MONTH(AM$2)-MONTH($F48)) / 12),
  0)</f>
        <v/>
      </c>
      <c r="AN48" s="299">
        <f>IF(AND($F48&lt;=AN$2, OR($G48="",$G48&gt;=AN$2)),
  $H48 * (1 + Assumptions!$C$7) ^ INT(((YEAR(AN$2)-YEAR($F48))*12 + MONTH(AN$2)-MONTH($F48)) / 12),
  0)</f>
        <v/>
      </c>
      <c r="AO48" s="299">
        <f>IF(AND($F48&lt;=AO$2, OR($G48="",$G48&gt;=AO$2)),
  $H48 * (1 + Assumptions!$C$7) ^ INT(((YEAR(AO$2)-YEAR($F48))*12 + MONTH(AO$2)-MONTH($F48)) / 12),
  0)</f>
        <v/>
      </c>
      <c r="AP48" s="299">
        <f>IF(AND($F48&lt;=AP$2, OR($G48="",$G48&gt;=AP$2)),
  $H48 * (1 + Assumptions!$C$7) ^ INT(((YEAR(AP$2)-YEAR($F48))*12 + MONTH(AP$2)-MONTH($F48)) / 12),
  0)</f>
        <v/>
      </c>
      <c r="AQ48" s="299">
        <f>IF(AND($F48&lt;=AQ$2, OR($G48="",$G48&gt;=AQ$2)),
  $H48 * (1 + Assumptions!$C$7) ^ INT(((YEAR(AQ$2)-YEAR($F48))*12 + MONTH(AQ$2)-MONTH($F48)) / 12),
  0)</f>
        <v/>
      </c>
      <c r="AR48" s="299">
        <f>IF(AND($F48&lt;=AR$2, OR($G48="",$G48&gt;=AR$2)),
  $H48 * (1 + Assumptions!$C$7) ^ INT(((YEAR(AR$2)-YEAR($F48))*12 + MONTH(AR$2)-MONTH($F48)) / 12),
  0)</f>
        <v/>
      </c>
      <c r="AS48" s="299">
        <f>IF(AND($F48&lt;=AS$2, OR($G48="",$G48&gt;=AS$2)),
  $H48 * (1 + Assumptions!$C$7) ^ INT(((YEAR(AS$2)-YEAR($F48))*12 + MONTH(AS$2)-MONTH($F48)) / 12),
  0)</f>
        <v/>
      </c>
      <c r="AT48" s="299">
        <f>IF(AND($F48&lt;=AT$2, OR($G48="",$G48&gt;=AT$2)),
  $H48 * (1 + Assumptions!$C$7) ^ INT(((YEAR(AT$2)-YEAR($F48))*12 + MONTH(AT$2)-MONTH($F48)) / 12),
  0)</f>
        <v/>
      </c>
      <c r="AU48" s="299">
        <f>IF(AND($F48&lt;=AU$2, OR($G48="",$G48&gt;=AU$2)),
  $H48 * (1 + Assumptions!$C$7) ^ INT(((YEAR(AU$2)-YEAR($F48))*12 + MONTH(AU$2)-MONTH($F48)) / 12),
  0)</f>
        <v/>
      </c>
      <c r="AV48" s="299">
        <f>IF(AND($F48&lt;=AV$2, OR($G48="",$G48&gt;=AV$2)),
  $H48 * (1 + Assumptions!$C$7) ^ INT(((YEAR(AV$2)-YEAR($F48))*12 + MONTH(AV$2)-MONTH($F48)) / 12),
  0)</f>
        <v/>
      </c>
      <c r="AW48" s="299">
        <f>IF(AND($F48&lt;=AW$2, OR($G48="",$G48&gt;=AW$2)),
  $H48 * (1 + Assumptions!$C$7) ^ INT(((YEAR(AW$2)-YEAR($F48))*12 + MONTH(AW$2)-MONTH($F48)) / 12),
  0)</f>
        <v/>
      </c>
      <c r="AX48" s="299">
        <f>IF(AND($F48&lt;=AX$2, OR($G48="",$G48&gt;=AX$2)),
  $H48 * (1 + Assumptions!$C$7) ^ INT(((YEAR(AX$2)-YEAR($F48))*12 + MONTH(AX$2)-MONTH($F48)) / 12),
  0)</f>
        <v/>
      </c>
      <c r="AY48" s="299">
        <f>IF(AND($F48&lt;=AY$2, OR($G48="",$G48&gt;=AY$2)),
  $H48 * (1 + Assumptions!$C$7) ^ INT(((YEAR(AY$2)-YEAR($F48))*12 + MONTH(AY$2)-MONTH($F48)) / 12),
  0)</f>
        <v/>
      </c>
      <c r="AZ48" s="299">
        <f>IF(AND($F48&lt;=AZ$2, OR($G48="",$G48&gt;=AZ$2)),
  $H48 * (1 + Assumptions!$C$7) ^ INT(((YEAR(AZ$2)-YEAR($F48))*12 + MONTH(AZ$2)-MONTH($F48)) / 12),
  0)</f>
        <v/>
      </c>
      <c r="BA48" s="299">
        <f>IF(AND($F48&lt;=BA$2, OR($G48="",$G48&gt;=BA$2)),
  $H48 * (1 + Assumptions!$C$7) ^ INT(((YEAR(BA$2)-YEAR($F48))*12 + MONTH(BA$2)-MONTH($F48)) / 12),
  0)</f>
        <v/>
      </c>
      <c r="BB48" s="299">
        <f>IF(AND($F48&lt;=BB$2, OR($G48="",$G48&gt;=BB$2)),
  $H48 * (1 + Assumptions!$C$7) ^ INT(((YEAR(BB$2)-YEAR($F48))*12 + MONTH(BB$2)-MONTH($F48)) / 12),
  0)</f>
        <v/>
      </c>
      <c r="BC48" s="299">
        <f>IF(AND($F48&lt;=BC$2, OR($G48="",$G48&gt;=BC$2)),
  $H48 * (1 + Assumptions!$C$7) ^ INT(((YEAR(BC$2)-YEAR($F48))*12 + MONTH(BC$2)-MONTH($F48)) / 12),
  0)</f>
        <v/>
      </c>
      <c r="BD48" s="299">
        <f>IF(AND($F48&lt;=BD$2, OR($G48="",$G48&gt;=BD$2)),
  $H48 * (1 + Assumptions!$C$7) ^ INT(((YEAR(BD$2)-YEAR($F48))*12 + MONTH(BD$2)-MONTH($F48)) / 12),
  0)</f>
        <v/>
      </c>
      <c r="BE48" s="299">
        <f>IF(AND($F48&lt;=BE$2, OR($G48="",$G48&gt;=BE$2)),
  $H48 * (1 + Assumptions!$C$7) ^ INT(((YEAR(BE$2)-YEAR($F48))*12 + MONTH(BE$2)-MONTH($F48)) / 12),
  0)</f>
        <v/>
      </c>
      <c r="BF48" s="299">
        <f>IF(AND($F48&lt;=BF$2, OR($G48="",$G48&gt;=BF$2)),
  $H48 * (1 + Assumptions!$C$7) ^ INT(((YEAR(BF$2)-YEAR($F48))*12 + MONTH(BF$2)-MONTH($F48)) / 12),
  0)</f>
        <v/>
      </c>
      <c r="BG48" s="299">
        <f>IF(AND($F48&lt;=BG$2, OR($G48="",$G48&gt;=BG$2)),
  $H48 * (1 + Assumptions!$C$7) ^ INT(((YEAR(BG$2)-YEAR($F48))*12 + MONTH(BG$2)-MONTH($F48)) / 12),
  0)</f>
        <v/>
      </c>
      <c r="BH48" s="299">
        <f>IF(AND($F48&lt;=BH$2, OR($G48="",$G48&gt;=BH$2)),
  $H48 * (1 + Assumptions!$C$7) ^ INT(((YEAR(BH$2)-YEAR($F48))*12 + MONTH(BH$2)-MONTH($F48)) / 12),
  0)</f>
        <v/>
      </c>
      <c r="BI48" s="299">
        <f>IF(AND($F48&lt;=BI$2, OR($G48="",$G48&gt;=BI$2)),
  $H48 * (1 + Assumptions!$C$7) ^ INT(((YEAR(BI$2)-YEAR($F48))*12 + MONTH(BI$2)-MONTH($F48)) / 12),
  0)</f>
        <v/>
      </c>
      <c r="BJ48" s="299">
        <f>IF(AND($F48&lt;=BJ$2, OR($G48="",$G48&gt;=BJ$2)),
  $H48 * (1 + Assumptions!$C$7) ^ INT(((YEAR(BJ$2)-YEAR($F48))*12 + MONTH(BJ$2)-MONTH($F48)) / 12),
  0)</f>
        <v/>
      </c>
      <c r="BK48" s="299">
        <f>IF(AND($F48&lt;=BK$2, OR($G48="",$G48&gt;=BK$2)),
  $H48 * (1 + Assumptions!$C$7) ^ INT(((YEAR(BK$2)-YEAR($F48))*12 + MONTH(BK$2)-MONTH($F48)) / 12),
  0)</f>
        <v/>
      </c>
      <c r="BL48" s="299">
        <f>IF(AND($F48&lt;=BL$2, OR($G48="",$G48&gt;=BL$2)),
  $H48 * (1 + Assumptions!$C$7) ^ INT(((YEAR(BL$2)-YEAR($F48))*12 + MONTH(BL$2)-MONTH($F48)) / 12),
  0)</f>
        <v/>
      </c>
      <c r="BM48" s="299">
        <f>IF(AND($F48&lt;=BM$2, OR($G48="",$G48&gt;=BM$2)),
  $H48 * (1 + Assumptions!$C$7) ^ INT(((YEAR(BM$2)-YEAR($F48))*12 + MONTH(BM$2)-MONTH($F48)) / 12),
  0)</f>
        <v/>
      </c>
      <c r="BN48" s="299">
        <f>IF(AND($F48&lt;=BN$2, OR($G48="",$G48&gt;=BN$2)),
  $H48 * (1 + Assumptions!$C$7) ^ INT(((YEAR(BN$2)-YEAR($F48))*12 + MONTH(BN$2)-MONTH($F48)) / 12),
  0)</f>
        <v/>
      </c>
      <c r="BO48" s="299">
        <f>IF(AND($F48&lt;=BO$2, OR($G48="",$G48&gt;=BO$2)),
  $H48 * (1 + Assumptions!$C$7) ^ INT(((YEAR(BO$2)-YEAR($F48))*12 + MONTH(BO$2)-MONTH($F48)) / 12),
  0)</f>
        <v/>
      </c>
      <c r="BP48" s="299">
        <f>IF(AND($F48&lt;=BP$2, OR($G48="",$G48&gt;=BP$2)),
  $H48 * (1 + Assumptions!$C$7) ^ INT(((YEAR(BP$2)-YEAR($F48))*12 + MONTH(BP$2)-MONTH($F48)) / 12),
  0)</f>
        <v/>
      </c>
      <c r="BQ48" s="307" t="n"/>
      <c r="BR48" s="83" t="inlineStr">
        <is>
          <t>paid this month if started and not yet left; +8% on each work anniversary</t>
        </is>
      </c>
      <c r="BS48" s="307" t="n"/>
      <c r="BT48" s="307" t="n"/>
    </row>
    <row r="49" ht="16.5" customHeight="1" s="349">
      <c r="A49" s="321" t="n">
        <v>44</v>
      </c>
      <c r="B49" s="285" t="inlineStr">
        <is>
          <t>New hire</t>
        </is>
      </c>
      <c r="C49" s="23" t="inlineStr">
        <is>
          <t>S&amp;M</t>
        </is>
      </c>
      <c r="D49" s="321" t="inlineStr">
        <is>
          <t>Sales</t>
        </is>
      </c>
      <c r="E49" s="297" t="inlineStr">
        <is>
          <t>Planned</t>
        </is>
      </c>
      <c r="F49" s="318">
        <f>IF(Assumptions!$D$82=2,DATE(2027,9,1),DATE(2029,6,1))</f>
        <v/>
      </c>
      <c r="G49" s="319" t="n"/>
      <c r="H49" s="288" t="n">
        <v>7500</v>
      </c>
      <c r="I49" s="299">
        <f>IF(AND($F49&lt;=I$2, OR($G49="",$G49&gt;=I$2)),
  $H49 * (1 + Assumptions!$C$7) ^ INT(((YEAR(I$2)-YEAR($F49))*12 + MONTH(I$2)-MONTH($F49)) / 12),
  0)</f>
        <v/>
      </c>
      <c r="J49" s="299">
        <f>IF(AND($F49&lt;=J$2, OR($G49="",$G49&gt;=J$2)),
  $H49 * (1 + Assumptions!$C$7) ^ INT(((YEAR(J$2)-YEAR($F49))*12 + MONTH(J$2)-MONTH($F49)) / 12),
  0)</f>
        <v/>
      </c>
      <c r="K49" s="299">
        <f>IF(AND($F49&lt;=K$2, OR($G49="",$G49&gt;=K$2)),
  $H49 * (1 + Assumptions!$C$7) ^ INT(((YEAR(K$2)-YEAR($F49))*12 + MONTH(K$2)-MONTH($F49)) / 12),
  0)</f>
        <v/>
      </c>
      <c r="L49" s="299">
        <f>IF(AND($F49&lt;=L$2, OR($G49="",$G49&gt;=L$2)),
  $H49 * (1 + Assumptions!$C$7) ^ INT(((YEAR(L$2)-YEAR($F49))*12 + MONTH(L$2)-MONTH($F49)) / 12),
  0)</f>
        <v/>
      </c>
      <c r="M49" s="299">
        <f>IF(AND($F49&lt;=M$2, OR($G49="",$G49&gt;=M$2)),
  $H49 * (1 + Assumptions!$C$7) ^ INT(((YEAR(M$2)-YEAR($F49))*12 + MONTH(M$2)-MONTH($F49)) / 12),
  0)</f>
        <v/>
      </c>
      <c r="N49" s="299">
        <f>IF(AND($F49&lt;=N$2, OR($G49="",$G49&gt;=N$2)),
  $H49 * (1 + Assumptions!$C$7) ^ INT(((YEAR(N$2)-YEAR($F49))*12 + MONTH(N$2)-MONTH($F49)) / 12),
  0)</f>
        <v/>
      </c>
      <c r="O49" s="299">
        <f>IF(AND($F49&lt;=O$2, OR($G49="",$G49&gt;=O$2)),
  $H49 * (1 + Assumptions!$C$7) ^ INT(((YEAR(O$2)-YEAR($F49))*12 + MONTH(O$2)-MONTH($F49)) / 12),
  0)</f>
        <v/>
      </c>
      <c r="P49" s="299">
        <f>IF(AND($F49&lt;=P$2, OR($G49="",$G49&gt;=P$2)),
  $H49 * (1 + Assumptions!$C$7) ^ INT(((YEAR(P$2)-YEAR($F49))*12 + MONTH(P$2)-MONTH($F49)) / 12),
  0)</f>
        <v/>
      </c>
      <c r="Q49" s="299">
        <f>IF(AND($F49&lt;=Q$2, OR($G49="",$G49&gt;=Q$2)),
  $H49 * (1 + Assumptions!$C$7) ^ INT(((YEAR(Q$2)-YEAR($F49))*12 + MONTH(Q$2)-MONTH($F49)) / 12),
  0)</f>
        <v/>
      </c>
      <c r="R49" s="299">
        <f>IF(AND($F49&lt;=R$2, OR($G49="",$G49&gt;=R$2)),
  $H49 * (1 + Assumptions!$C$7) ^ INT(((YEAR(R$2)-YEAR($F49))*12 + MONTH(R$2)-MONTH($F49)) / 12),
  0)</f>
        <v/>
      </c>
      <c r="S49" s="299">
        <f>IF(AND($F49&lt;=S$2, OR($G49="",$G49&gt;=S$2)),
  $H49 * (1 + Assumptions!$C$7) ^ INT(((YEAR(S$2)-YEAR($F49))*12 + MONTH(S$2)-MONTH($F49)) / 12),
  0)</f>
        <v/>
      </c>
      <c r="T49" s="299">
        <f>IF(AND($F49&lt;=T$2, OR($G49="",$G49&gt;=T$2)),
  $H49 * (1 + Assumptions!$C$7) ^ INT(((YEAR(T$2)-YEAR($F49))*12 + MONTH(T$2)-MONTH($F49)) / 12),
  0)</f>
        <v/>
      </c>
      <c r="U49" s="299">
        <f>IF(AND($F49&lt;=U$2, OR($G49="",$G49&gt;=U$2)),
  $H49 * (1 + Assumptions!$C$7) ^ INT(((YEAR(U$2)-YEAR($F49))*12 + MONTH(U$2)-MONTH($F49)) / 12),
  0)</f>
        <v/>
      </c>
      <c r="V49" s="299">
        <f>IF(AND($F49&lt;=V$2, OR($G49="",$G49&gt;=V$2)),
  $H49 * (1 + Assumptions!$C$7) ^ INT(((YEAR(V$2)-YEAR($F49))*12 + MONTH(V$2)-MONTH($F49)) / 12),
  0)</f>
        <v/>
      </c>
      <c r="W49" s="299">
        <f>IF(AND($F49&lt;=W$2, OR($G49="",$G49&gt;=W$2)),
  $H49 * (1 + Assumptions!$C$7) ^ INT(((YEAR(W$2)-YEAR($F49))*12 + MONTH(W$2)-MONTH($F49)) / 12),
  0)</f>
        <v/>
      </c>
      <c r="X49" s="299">
        <f>IF(AND($F49&lt;=X$2, OR($G49="",$G49&gt;=X$2)),
  $H49 * (1 + Assumptions!$C$7) ^ INT(((YEAR(X$2)-YEAR($F49))*12 + MONTH(X$2)-MONTH($F49)) / 12),
  0)</f>
        <v/>
      </c>
      <c r="Y49" s="299">
        <f>IF(AND($F49&lt;=Y$2, OR($G49="",$G49&gt;=Y$2)),
  $H49 * (1 + Assumptions!$C$7) ^ INT(((YEAR(Y$2)-YEAR($F49))*12 + MONTH(Y$2)-MONTH($F49)) / 12),
  0)</f>
        <v/>
      </c>
      <c r="Z49" s="299">
        <f>IF(AND($F49&lt;=Z$2, OR($G49="",$G49&gt;=Z$2)),
  $H49 * (1 + Assumptions!$C$7) ^ INT(((YEAR(Z$2)-YEAR($F49))*12 + MONTH(Z$2)-MONTH($F49)) / 12),
  0)</f>
        <v/>
      </c>
      <c r="AA49" s="299">
        <f>IF(AND($F49&lt;=AA$2, OR($G49="",$G49&gt;=AA$2)),
  $H49 * (1 + Assumptions!$C$7) ^ INT(((YEAR(AA$2)-YEAR($F49))*12 + MONTH(AA$2)-MONTH($F49)) / 12),
  0)</f>
        <v/>
      </c>
      <c r="AB49" s="299">
        <f>IF(AND($F49&lt;=AB$2, OR($G49="",$G49&gt;=AB$2)),
  $H49 * (1 + Assumptions!$C$7) ^ INT(((YEAR(AB$2)-YEAR($F49))*12 + MONTH(AB$2)-MONTH($F49)) / 12),
  0)</f>
        <v/>
      </c>
      <c r="AC49" s="299">
        <f>IF(AND($F49&lt;=AC$2, OR($G49="",$G49&gt;=AC$2)),
  $H49 * (1 + Assumptions!$C$7) ^ INT(((YEAR(AC$2)-YEAR($F49))*12 + MONTH(AC$2)-MONTH($F49)) / 12),
  0)</f>
        <v/>
      </c>
      <c r="AD49" s="299">
        <f>IF(AND($F49&lt;=AD$2, OR($G49="",$G49&gt;=AD$2)),
  $H49 * (1 + Assumptions!$C$7) ^ INT(((YEAR(AD$2)-YEAR($F49))*12 + MONTH(AD$2)-MONTH($F49)) / 12),
  0)</f>
        <v/>
      </c>
      <c r="AE49" s="299">
        <f>IF(AND($F49&lt;=AE$2, OR($G49="",$G49&gt;=AE$2)),
  $H49 * (1 + Assumptions!$C$7) ^ INT(((YEAR(AE$2)-YEAR($F49))*12 + MONTH(AE$2)-MONTH($F49)) / 12),
  0)</f>
        <v/>
      </c>
      <c r="AF49" s="299">
        <f>IF(AND($F49&lt;=AF$2, OR($G49="",$G49&gt;=AF$2)),
  $H49 * (1 + Assumptions!$C$7) ^ INT(((YEAR(AF$2)-YEAR($F49))*12 + MONTH(AF$2)-MONTH($F49)) / 12),
  0)</f>
        <v/>
      </c>
      <c r="AG49" s="299">
        <f>IF(AND($F49&lt;=AG$2, OR($G49="",$G49&gt;=AG$2)),
  $H49 * (1 + Assumptions!$C$7) ^ INT(((YEAR(AG$2)-YEAR($F49))*12 + MONTH(AG$2)-MONTH($F49)) / 12),
  0)</f>
        <v/>
      </c>
      <c r="AH49" s="299">
        <f>IF(AND($F49&lt;=AH$2, OR($G49="",$G49&gt;=AH$2)),
  $H49 * (1 + Assumptions!$C$7) ^ INT(((YEAR(AH$2)-YEAR($F49))*12 + MONTH(AH$2)-MONTH($F49)) / 12),
  0)</f>
        <v/>
      </c>
      <c r="AI49" s="299">
        <f>IF(AND($F49&lt;=AI$2, OR($G49="",$G49&gt;=AI$2)),
  $H49 * (1 + Assumptions!$C$7) ^ INT(((YEAR(AI$2)-YEAR($F49))*12 + MONTH(AI$2)-MONTH($F49)) / 12),
  0)</f>
        <v/>
      </c>
      <c r="AJ49" s="299">
        <f>IF(AND($F49&lt;=AJ$2, OR($G49="",$G49&gt;=AJ$2)),
  $H49 * (1 + Assumptions!$C$7) ^ INT(((YEAR(AJ$2)-YEAR($F49))*12 + MONTH(AJ$2)-MONTH($F49)) / 12),
  0)</f>
        <v/>
      </c>
      <c r="AK49" s="299">
        <f>IF(AND($F49&lt;=AK$2, OR($G49="",$G49&gt;=AK$2)),
  $H49 * (1 + Assumptions!$C$7) ^ INT(((YEAR(AK$2)-YEAR($F49))*12 + MONTH(AK$2)-MONTH($F49)) / 12),
  0)</f>
        <v/>
      </c>
      <c r="AL49" s="299">
        <f>IF(AND($F49&lt;=AL$2, OR($G49="",$G49&gt;=AL$2)),
  $H49 * (1 + Assumptions!$C$7) ^ INT(((YEAR(AL$2)-YEAR($F49))*12 + MONTH(AL$2)-MONTH($F49)) / 12),
  0)</f>
        <v/>
      </c>
      <c r="AM49" s="299">
        <f>IF(AND($F49&lt;=AM$2, OR($G49="",$G49&gt;=AM$2)),
  $H49 * (1 + Assumptions!$C$7) ^ INT(((YEAR(AM$2)-YEAR($F49))*12 + MONTH(AM$2)-MONTH($F49)) / 12),
  0)</f>
        <v/>
      </c>
      <c r="AN49" s="299">
        <f>IF(AND($F49&lt;=AN$2, OR($G49="",$G49&gt;=AN$2)),
  $H49 * (1 + Assumptions!$C$7) ^ INT(((YEAR(AN$2)-YEAR($F49))*12 + MONTH(AN$2)-MONTH($F49)) / 12),
  0)</f>
        <v/>
      </c>
      <c r="AO49" s="299">
        <f>IF(AND($F49&lt;=AO$2, OR($G49="",$G49&gt;=AO$2)),
  $H49 * (1 + Assumptions!$C$7) ^ INT(((YEAR(AO$2)-YEAR($F49))*12 + MONTH(AO$2)-MONTH($F49)) / 12),
  0)</f>
        <v/>
      </c>
      <c r="AP49" s="299">
        <f>IF(AND($F49&lt;=AP$2, OR($G49="",$G49&gt;=AP$2)),
  $H49 * (1 + Assumptions!$C$7) ^ INT(((YEAR(AP$2)-YEAR($F49))*12 + MONTH(AP$2)-MONTH($F49)) / 12),
  0)</f>
        <v/>
      </c>
      <c r="AQ49" s="299">
        <f>IF(AND($F49&lt;=AQ$2, OR($G49="",$G49&gt;=AQ$2)),
  $H49 * (1 + Assumptions!$C$7) ^ INT(((YEAR(AQ$2)-YEAR($F49))*12 + MONTH(AQ$2)-MONTH($F49)) / 12),
  0)</f>
        <v/>
      </c>
      <c r="AR49" s="299">
        <f>IF(AND($F49&lt;=AR$2, OR($G49="",$G49&gt;=AR$2)),
  $H49 * (1 + Assumptions!$C$7) ^ INT(((YEAR(AR$2)-YEAR($F49))*12 + MONTH(AR$2)-MONTH($F49)) / 12),
  0)</f>
        <v/>
      </c>
      <c r="AS49" s="299">
        <f>IF(AND($F49&lt;=AS$2, OR($G49="",$G49&gt;=AS$2)),
  $H49 * (1 + Assumptions!$C$7) ^ INT(((YEAR(AS$2)-YEAR($F49))*12 + MONTH(AS$2)-MONTH($F49)) / 12),
  0)</f>
        <v/>
      </c>
      <c r="AT49" s="299">
        <f>IF(AND($F49&lt;=AT$2, OR($G49="",$G49&gt;=AT$2)),
  $H49 * (1 + Assumptions!$C$7) ^ INT(((YEAR(AT$2)-YEAR($F49))*12 + MONTH(AT$2)-MONTH($F49)) / 12),
  0)</f>
        <v/>
      </c>
      <c r="AU49" s="299">
        <f>IF(AND($F49&lt;=AU$2, OR($G49="",$G49&gt;=AU$2)),
  $H49 * (1 + Assumptions!$C$7) ^ INT(((YEAR(AU$2)-YEAR($F49))*12 + MONTH(AU$2)-MONTH($F49)) / 12),
  0)</f>
        <v/>
      </c>
      <c r="AV49" s="299">
        <f>IF(AND($F49&lt;=AV$2, OR($G49="",$G49&gt;=AV$2)),
  $H49 * (1 + Assumptions!$C$7) ^ INT(((YEAR(AV$2)-YEAR($F49))*12 + MONTH(AV$2)-MONTH($F49)) / 12),
  0)</f>
        <v/>
      </c>
      <c r="AW49" s="299">
        <f>IF(AND($F49&lt;=AW$2, OR($G49="",$G49&gt;=AW$2)),
  $H49 * (1 + Assumptions!$C$7) ^ INT(((YEAR(AW$2)-YEAR($F49))*12 + MONTH(AW$2)-MONTH($F49)) / 12),
  0)</f>
        <v/>
      </c>
      <c r="AX49" s="299">
        <f>IF(AND($F49&lt;=AX$2, OR($G49="",$G49&gt;=AX$2)),
  $H49 * (1 + Assumptions!$C$7) ^ INT(((YEAR(AX$2)-YEAR($F49))*12 + MONTH(AX$2)-MONTH($F49)) / 12),
  0)</f>
        <v/>
      </c>
      <c r="AY49" s="299">
        <f>IF(AND($F49&lt;=AY$2, OR($G49="",$G49&gt;=AY$2)),
  $H49 * (1 + Assumptions!$C$7) ^ INT(((YEAR(AY$2)-YEAR($F49))*12 + MONTH(AY$2)-MONTH($F49)) / 12),
  0)</f>
        <v/>
      </c>
      <c r="AZ49" s="299">
        <f>IF(AND($F49&lt;=AZ$2, OR($G49="",$G49&gt;=AZ$2)),
  $H49 * (1 + Assumptions!$C$7) ^ INT(((YEAR(AZ$2)-YEAR($F49))*12 + MONTH(AZ$2)-MONTH($F49)) / 12),
  0)</f>
        <v/>
      </c>
      <c r="BA49" s="299">
        <f>IF(AND($F49&lt;=BA$2, OR($G49="",$G49&gt;=BA$2)),
  $H49 * (1 + Assumptions!$C$7) ^ INT(((YEAR(BA$2)-YEAR($F49))*12 + MONTH(BA$2)-MONTH($F49)) / 12),
  0)</f>
        <v/>
      </c>
      <c r="BB49" s="299">
        <f>IF(AND($F49&lt;=BB$2, OR($G49="",$G49&gt;=BB$2)),
  $H49 * (1 + Assumptions!$C$7) ^ INT(((YEAR(BB$2)-YEAR($F49))*12 + MONTH(BB$2)-MONTH($F49)) / 12),
  0)</f>
        <v/>
      </c>
      <c r="BC49" s="299">
        <f>IF(AND($F49&lt;=BC$2, OR($G49="",$G49&gt;=BC$2)),
  $H49 * (1 + Assumptions!$C$7) ^ INT(((YEAR(BC$2)-YEAR($F49))*12 + MONTH(BC$2)-MONTH($F49)) / 12),
  0)</f>
        <v/>
      </c>
      <c r="BD49" s="299">
        <f>IF(AND($F49&lt;=BD$2, OR($G49="",$G49&gt;=BD$2)),
  $H49 * (1 + Assumptions!$C$7) ^ INT(((YEAR(BD$2)-YEAR($F49))*12 + MONTH(BD$2)-MONTH($F49)) / 12),
  0)</f>
        <v/>
      </c>
      <c r="BE49" s="299">
        <f>IF(AND($F49&lt;=BE$2, OR($G49="",$G49&gt;=BE$2)),
  $H49 * (1 + Assumptions!$C$7) ^ INT(((YEAR(BE$2)-YEAR($F49))*12 + MONTH(BE$2)-MONTH($F49)) / 12),
  0)</f>
        <v/>
      </c>
      <c r="BF49" s="299">
        <f>IF(AND($F49&lt;=BF$2, OR($G49="",$G49&gt;=BF$2)),
  $H49 * (1 + Assumptions!$C$7) ^ INT(((YEAR(BF$2)-YEAR($F49))*12 + MONTH(BF$2)-MONTH($F49)) / 12),
  0)</f>
        <v/>
      </c>
      <c r="BG49" s="299">
        <f>IF(AND($F49&lt;=BG$2, OR($G49="",$G49&gt;=BG$2)),
  $H49 * (1 + Assumptions!$C$7) ^ INT(((YEAR(BG$2)-YEAR($F49))*12 + MONTH(BG$2)-MONTH($F49)) / 12),
  0)</f>
        <v/>
      </c>
      <c r="BH49" s="299">
        <f>IF(AND($F49&lt;=BH$2, OR($G49="",$G49&gt;=BH$2)),
  $H49 * (1 + Assumptions!$C$7) ^ INT(((YEAR(BH$2)-YEAR($F49))*12 + MONTH(BH$2)-MONTH($F49)) / 12),
  0)</f>
        <v/>
      </c>
      <c r="BI49" s="299">
        <f>IF(AND($F49&lt;=BI$2, OR($G49="",$G49&gt;=BI$2)),
  $H49 * (1 + Assumptions!$C$7) ^ INT(((YEAR(BI$2)-YEAR($F49))*12 + MONTH(BI$2)-MONTH($F49)) / 12),
  0)</f>
        <v/>
      </c>
      <c r="BJ49" s="299">
        <f>IF(AND($F49&lt;=BJ$2, OR($G49="",$G49&gt;=BJ$2)),
  $H49 * (1 + Assumptions!$C$7) ^ INT(((YEAR(BJ$2)-YEAR($F49))*12 + MONTH(BJ$2)-MONTH($F49)) / 12),
  0)</f>
        <v/>
      </c>
      <c r="BK49" s="299">
        <f>IF(AND($F49&lt;=BK$2, OR($G49="",$G49&gt;=BK$2)),
  $H49 * (1 + Assumptions!$C$7) ^ INT(((YEAR(BK$2)-YEAR($F49))*12 + MONTH(BK$2)-MONTH($F49)) / 12),
  0)</f>
        <v/>
      </c>
      <c r="BL49" s="299">
        <f>IF(AND($F49&lt;=BL$2, OR($G49="",$G49&gt;=BL$2)),
  $H49 * (1 + Assumptions!$C$7) ^ INT(((YEAR(BL$2)-YEAR($F49))*12 + MONTH(BL$2)-MONTH($F49)) / 12),
  0)</f>
        <v/>
      </c>
      <c r="BM49" s="299">
        <f>IF(AND($F49&lt;=BM$2, OR($G49="",$G49&gt;=BM$2)),
  $H49 * (1 + Assumptions!$C$7) ^ INT(((YEAR(BM$2)-YEAR($F49))*12 + MONTH(BM$2)-MONTH($F49)) / 12),
  0)</f>
        <v/>
      </c>
      <c r="BN49" s="299">
        <f>IF(AND($F49&lt;=BN$2, OR($G49="",$G49&gt;=BN$2)),
  $H49 * (1 + Assumptions!$C$7) ^ INT(((YEAR(BN$2)-YEAR($F49))*12 + MONTH(BN$2)-MONTH($F49)) / 12),
  0)</f>
        <v/>
      </c>
      <c r="BO49" s="299">
        <f>IF(AND($F49&lt;=BO$2, OR($G49="",$G49&gt;=BO$2)),
  $H49 * (1 + Assumptions!$C$7) ^ INT(((YEAR(BO$2)-YEAR($F49))*12 + MONTH(BO$2)-MONTH($F49)) / 12),
  0)</f>
        <v/>
      </c>
      <c r="BP49" s="299">
        <f>IF(AND($F49&lt;=BP$2, OR($G49="",$G49&gt;=BP$2)),
  $H49 * (1 + Assumptions!$C$7) ^ INT(((YEAR(BP$2)-YEAR($F49))*12 + MONTH(BP$2)-MONTH($F49)) / 12),
  0)</f>
        <v/>
      </c>
      <c r="BQ49" s="307" t="n"/>
      <c r="BR49" s="83" t="inlineStr">
        <is>
          <t>paid this month if started and not yet left; +8% on each work anniversary</t>
        </is>
      </c>
      <c r="BS49" s="307" t="n"/>
      <c r="BT49" s="307" t="n"/>
    </row>
    <row r="50" ht="15.75" customHeight="1" s="349">
      <c r="A50" s="321" t="n">
        <v>45</v>
      </c>
      <c r="B50" s="285" t="inlineStr">
        <is>
          <t>New hire</t>
        </is>
      </c>
      <c r="C50" s="23" t="inlineStr">
        <is>
          <t>S&amp;M</t>
        </is>
      </c>
      <c r="D50" s="321" t="inlineStr">
        <is>
          <t>Sales</t>
        </is>
      </c>
      <c r="E50" s="297" t="inlineStr">
        <is>
          <t>Planned</t>
        </is>
      </c>
      <c r="F50" s="318">
        <f>IF(Assumptions!$D$82=2,DATE(2028,1,2),DATE(2029,6,2))</f>
        <v/>
      </c>
      <c r="G50" s="319" t="n"/>
      <c r="H50" s="288" t="n">
        <v>7500</v>
      </c>
      <c r="I50" s="299">
        <f>IF(AND($F50&lt;=I$2, OR($G50="",$G50&gt;=I$2)),
  $H50 * (1 + Assumptions!$C$7) ^ INT(((YEAR(I$2)-YEAR($F50))*12 + MONTH(I$2)-MONTH($F50)) / 12),
  0)</f>
        <v/>
      </c>
      <c r="J50" s="299">
        <f>IF(AND($F50&lt;=J$2, OR($G50="",$G50&gt;=J$2)),
  $H50 * (1 + Assumptions!$C$7) ^ INT(((YEAR(J$2)-YEAR($F50))*12 + MONTH(J$2)-MONTH($F50)) / 12),
  0)</f>
        <v/>
      </c>
      <c r="K50" s="299">
        <f>IF(AND($F50&lt;=K$2, OR($G50="",$G50&gt;=K$2)),
  $H50 * (1 + Assumptions!$C$7) ^ INT(((YEAR(K$2)-YEAR($F50))*12 + MONTH(K$2)-MONTH($F50)) / 12),
  0)</f>
        <v/>
      </c>
      <c r="L50" s="299">
        <f>IF(AND($F50&lt;=L$2, OR($G50="",$G50&gt;=L$2)),
  $H50 * (1 + Assumptions!$C$7) ^ INT(((YEAR(L$2)-YEAR($F50))*12 + MONTH(L$2)-MONTH($F50)) / 12),
  0)</f>
        <v/>
      </c>
      <c r="M50" s="299">
        <f>IF(AND($F50&lt;=M$2, OR($G50="",$G50&gt;=M$2)),
  $H50 * (1 + Assumptions!$C$7) ^ INT(((YEAR(M$2)-YEAR($F50))*12 + MONTH(M$2)-MONTH($F50)) / 12),
  0)</f>
        <v/>
      </c>
      <c r="N50" s="299">
        <f>IF(AND($F50&lt;=N$2, OR($G50="",$G50&gt;=N$2)),
  $H50 * (1 + Assumptions!$C$7) ^ INT(((YEAR(N$2)-YEAR($F50))*12 + MONTH(N$2)-MONTH($F50)) / 12),
  0)</f>
        <v/>
      </c>
      <c r="O50" s="299">
        <f>IF(AND($F50&lt;=O$2, OR($G50="",$G50&gt;=O$2)),
  $H50 * (1 + Assumptions!$C$7) ^ INT(((YEAR(O$2)-YEAR($F50))*12 + MONTH(O$2)-MONTH($F50)) / 12),
  0)</f>
        <v/>
      </c>
      <c r="P50" s="299">
        <f>IF(AND($F50&lt;=P$2, OR($G50="",$G50&gt;=P$2)),
  $H50 * (1 + Assumptions!$C$7) ^ INT(((YEAR(P$2)-YEAR($F50))*12 + MONTH(P$2)-MONTH($F50)) / 12),
  0)</f>
        <v/>
      </c>
      <c r="Q50" s="299">
        <f>IF(AND($F50&lt;=Q$2, OR($G50="",$G50&gt;=Q$2)),
  $H50 * (1 + Assumptions!$C$7) ^ INT(((YEAR(Q$2)-YEAR($F50))*12 + MONTH(Q$2)-MONTH($F50)) / 12),
  0)</f>
        <v/>
      </c>
      <c r="R50" s="299">
        <f>IF(AND($F50&lt;=R$2, OR($G50="",$G50&gt;=R$2)),
  $H50 * (1 + Assumptions!$C$7) ^ INT(((YEAR(R$2)-YEAR($F50))*12 + MONTH(R$2)-MONTH($F50)) / 12),
  0)</f>
        <v/>
      </c>
      <c r="S50" s="299">
        <f>IF(AND($F50&lt;=S$2, OR($G50="",$G50&gt;=S$2)),
  $H50 * (1 + Assumptions!$C$7) ^ INT(((YEAR(S$2)-YEAR($F50))*12 + MONTH(S$2)-MONTH($F50)) / 12),
  0)</f>
        <v/>
      </c>
      <c r="T50" s="299">
        <f>IF(AND($F50&lt;=T$2, OR($G50="",$G50&gt;=T$2)),
  $H50 * (1 + Assumptions!$C$7) ^ INT(((YEAR(T$2)-YEAR($F50))*12 + MONTH(T$2)-MONTH($F50)) / 12),
  0)</f>
        <v/>
      </c>
      <c r="U50" s="299">
        <f>IF(AND($F50&lt;=U$2, OR($G50="",$G50&gt;=U$2)),
  $H50 * (1 + Assumptions!$C$7) ^ INT(((YEAR(U$2)-YEAR($F50))*12 + MONTH(U$2)-MONTH($F50)) / 12),
  0)</f>
        <v/>
      </c>
      <c r="V50" s="299">
        <f>IF(AND($F50&lt;=V$2, OR($G50="",$G50&gt;=V$2)),
  $H50 * (1 + Assumptions!$C$7) ^ INT(((YEAR(V$2)-YEAR($F50))*12 + MONTH(V$2)-MONTH($F50)) / 12),
  0)</f>
        <v/>
      </c>
      <c r="W50" s="299">
        <f>IF(AND($F50&lt;=W$2, OR($G50="",$G50&gt;=W$2)),
  $H50 * (1 + Assumptions!$C$7) ^ INT(((YEAR(W$2)-YEAR($F50))*12 + MONTH(W$2)-MONTH($F50)) / 12),
  0)</f>
        <v/>
      </c>
      <c r="X50" s="299">
        <f>IF(AND($F50&lt;=X$2, OR($G50="",$G50&gt;=X$2)),
  $H50 * (1 + Assumptions!$C$7) ^ INT(((YEAR(X$2)-YEAR($F50))*12 + MONTH(X$2)-MONTH($F50)) / 12),
  0)</f>
        <v/>
      </c>
      <c r="Y50" s="299">
        <f>IF(AND($F50&lt;=Y$2, OR($G50="",$G50&gt;=Y$2)),
  $H50 * (1 + Assumptions!$C$7) ^ INT(((YEAR(Y$2)-YEAR($F50))*12 + MONTH(Y$2)-MONTH($F50)) / 12),
  0)</f>
        <v/>
      </c>
      <c r="Z50" s="299">
        <f>IF(AND($F50&lt;=Z$2, OR($G50="",$G50&gt;=Z$2)),
  $H50 * (1 + Assumptions!$C$7) ^ INT(((YEAR(Z$2)-YEAR($F50))*12 + MONTH(Z$2)-MONTH($F50)) / 12),
  0)</f>
        <v/>
      </c>
      <c r="AA50" s="299">
        <f>IF(AND($F50&lt;=AA$2, OR($G50="",$G50&gt;=AA$2)),
  $H50 * (1 + Assumptions!$C$7) ^ INT(((YEAR(AA$2)-YEAR($F50))*12 + MONTH(AA$2)-MONTH($F50)) / 12),
  0)</f>
        <v/>
      </c>
      <c r="AB50" s="299">
        <f>IF(AND($F50&lt;=AB$2, OR($G50="",$G50&gt;=AB$2)),
  $H50 * (1 + Assumptions!$C$7) ^ INT(((YEAR(AB$2)-YEAR($F50))*12 + MONTH(AB$2)-MONTH($F50)) / 12),
  0)</f>
        <v/>
      </c>
      <c r="AC50" s="299">
        <f>IF(AND($F50&lt;=AC$2, OR($G50="",$G50&gt;=AC$2)),
  $H50 * (1 + Assumptions!$C$7) ^ INT(((YEAR(AC$2)-YEAR($F50))*12 + MONTH(AC$2)-MONTH($F50)) / 12),
  0)</f>
        <v/>
      </c>
      <c r="AD50" s="299">
        <f>IF(AND($F50&lt;=AD$2, OR($G50="",$G50&gt;=AD$2)),
  $H50 * (1 + Assumptions!$C$7) ^ INT(((YEAR(AD$2)-YEAR($F50))*12 + MONTH(AD$2)-MONTH($F50)) / 12),
  0)</f>
        <v/>
      </c>
      <c r="AE50" s="299">
        <f>IF(AND($F50&lt;=AE$2, OR($G50="",$G50&gt;=AE$2)),
  $H50 * (1 + Assumptions!$C$7) ^ INT(((YEAR(AE$2)-YEAR($F50))*12 + MONTH(AE$2)-MONTH($F50)) / 12),
  0)</f>
        <v/>
      </c>
      <c r="AF50" s="299">
        <f>IF(AND($F50&lt;=AF$2, OR($G50="",$G50&gt;=AF$2)),
  $H50 * (1 + Assumptions!$C$7) ^ INT(((YEAR(AF$2)-YEAR($F50))*12 + MONTH(AF$2)-MONTH($F50)) / 12),
  0)</f>
        <v/>
      </c>
      <c r="AG50" s="299">
        <f>IF(AND($F50&lt;=AG$2, OR($G50="",$G50&gt;=AG$2)),
  $H50 * (1 + Assumptions!$C$7) ^ INT(((YEAR(AG$2)-YEAR($F50))*12 + MONTH(AG$2)-MONTH($F50)) / 12),
  0)</f>
        <v/>
      </c>
      <c r="AH50" s="299">
        <f>IF(AND($F50&lt;=AH$2, OR($G50="",$G50&gt;=AH$2)),
  $H50 * (1 + Assumptions!$C$7) ^ INT(((YEAR(AH$2)-YEAR($F50))*12 + MONTH(AH$2)-MONTH($F50)) / 12),
  0)</f>
        <v/>
      </c>
      <c r="AI50" s="299">
        <f>IF(AND($F50&lt;=AI$2, OR($G50="",$G50&gt;=AI$2)),
  $H50 * (1 + Assumptions!$C$7) ^ INT(((YEAR(AI$2)-YEAR($F50))*12 + MONTH(AI$2)-MONTH($F50)) / 12),
  0)</f>
        <v/>
      </c>
      <c r="AJ50" s="299">
        <f>IF(AND($F50&lt;=AJ$2, OR($G50="",$G50&gt;=AJ$2)),
  $H50 * (1 + Assumptions!$C$7) ^ INT(((YEAR(AJ$2)-YEAR($F50))*12 + MONTH(AJ$2)-MONTH($F50)) / 12),
  0)</f>
        <v/>
      </c>
      <c r="AK50" s="299">
        <f>IF(AND($F50&lt;=AK$2, OR($G50="",$G50&gt;=AK$2)),
  $H50 * (1 + Assumptions!$C$7) ^ INT(((YEAR(AK$2)-YEAR($F50))*12 + MONTH(AK$2)-MONTH($F50)) / 12),
  0)</f>
        <v/>
      </c>
      <c r="AL50" s="299">
        <f>IF(AND($F50&lt;=AL$2, OR($G50="",$G50&gt;=AL$2)),
  $H50 * (1 + Assumptions!$C$7) ^ INT(((YEAR(AL$2)-YEAR($F50))*12 + MONTH(AL$2)-MONTH($F50)) / 12),
  0)</f>
        <v/>
      </c>
      <c r="AM50" s="299">
        <f>IF(AND($F50&lt;=AM$2, OR($G50="",$G50&gt;=AM$2)),
  $H50 * (1 + Assumptions!$C$7) ^ INT(((YEAR(AM$2)-YEAR($F50))*12 + MONTH(AM$2)-MONTH($F50)) / 12),
  0)</f>
        <v/>
      </c>
      <c r="AN50" s="299">
        <f>IF(AND($F50&lt;=AN$2, OR($G50="",$G50&gt;=AN$2)),
  $H50 * (1 + Assumptions!$C$7) ^ INT(((YEAR(AN$2)-YEAR($F50))*12 + MONTH(AN$2)-MONTH($F50)) / 12),
  0)</f>
        <v/>
      </c>
      <c r="AO50" s="299">
        <f>IF(AND($F50&lt;=AO$2, OR($G50="",$G50&gt;=AO$2)),
  $H50 * (1 + Assumptions!$C$7) ^ INT(((YEAR(AO$2)-YEAR($F50))*12 + MONTH(AO$2)-MONTH($F50)) / 12),
  0)</f>
        <v/>
      </c>
      <c r="AP50" s="299">
        <f>IF(AND($F50&lt;=AP$2, OR($G50="",$G50&gt;=AP$2)),
  $H50 * (1 + Assumptions!$C$7) ^ INT(((YEAR(AP$2)-YEAR($F50))*12 + MONTH(AP$2)-MONTH($F50)) / 12),
  0)</f>
        <v/>
      </c>
      <c r="AQ50" s="299">
        <f>IF(AND($F50&lt;=AQ$2, OR($G50="",$G50&gt;=AQ$2)),
  $H50 * (1 + Assumptions!$C$7) ^ INT(((YEAR(AQ$2)-YEAR($F50))*12 + MONTH(AQ$2)-MONTH($F50)) / 12),
  0)</f>
        <v/>
      </c>
      <c r="AR50" s="299">
        <f>IF(AND($F50&lt;=AR$2, OR($G50="",$G50&gt;=AR$2)),
  $H50 * (1 + Assumptions!$C$7) ^ INT(((YEAR(AR$2)-YEAR($F50))*12 + MONTH(AR$2)-MONTH($F50)) / 12),
  0)</f>
        <v/>
      </c>
      <c r="AS50" s="299">
        <f>IF(AND($F50&lt;=AS$2, OR($G50="",$G50&gt;=AS$2)),
  $H50 * (1 + Assumptions!$C$7) ^ INT(((YEAR(AS$2)-YEAR($F50))*12 + MONTH(AS$2)-MONTH($F50)) / 12),
  0)</f>
        <v/>
      </c>
      <c r="AT50" s="299">
        <f>IF(AND($F50&lt;=AT$2, OR($G50="",$G50&gt;=AT$2)),
  $H50 * (1 + Assumptions!$C$7) ^ INT(((YEAR(AT$2)-YEAR($F50))*12 + MONTH(AT$2)-MONTH($F50)) / 12),
  0)</f>
        <v/>
      </c>
      <c r="AU50" s="299">
        <f>IF(AND($F50&lt;=AU$2, OR($G50="",$G50&gt;=AU$2)),
  $H50 * (1 + Assumptions!$C$7) ^ INT(((YEAR(AU$2)-YEAR($F50))*12 + MONTH(AU$2)-MONTH($F50)) / 12),
  0)</f>
        <v/>
      </c>
      <c r="AV50" s="299">
        <f>IF(AND($F50&lt;=AV$2, OR($G50="",$G50&gt;=AV$2)),
  $H50 * (1 + Assumptions!$C$7) ^ INT(((YEAR(AV$2)-YEAR($F50))*12 + MONTH(AV$2)-MONTH($F50)) / 12),
  0)</f>
        <v/>
      </c>
      <c r="AW50" s="299">
        <f>IF(AND($F50&lt;=AW$2, OR($G50="",$G50&gt;=AW$2)),
  $H50 * (1 + Assumptions!$C$7) ^ INT(((YEAR(AW$2)-YEAR($F50))*12 + MONTH(AW$2)-MONTH($F50)) / 12),
  0)</f>
        <v/>
      </c>
      <c r="AX50" s="299">
        <f>IF(AND($F50&lt;=AX$2, OR($G50="",$G50&gt;=AX$2)),
  $H50 * (1 + Assumptions!$C$7) ^ INT(((YEAR(AX$2)-YEAR($F50))*12 + MONTH(AX$2)-MONTH($F50)) / 12),
  0)</f>
        <v/>
      </c>
      <c r="AY50" s="299">
        <f>IF(AND($F50&lt;=AY$2, OR($G50="",$G50&gt;=AY$2)),
  $H50 * (1 + Assumptions!$C$7) ^ INT(((YEAR(AY$2)-YEAR($F50))*12 + MONTH(AY$2)-MONTH($F50)) / 12),
  0)</f>
        <v/>
      </c>
      <c r="AZ50" s="299">
        <f>IF(AND($F50&lt;=AZ$2, OR($G50="",$G50&gt;=AZ$2)),
  $H50 * (1 + Assumptions!$C$7) ^ INT(((YEAR(AZ$2)-YEAR($F50))*12 + MONTH(AZ$2)-MONTH($F50)) / 12),
  0)</f>
        <v/>
      </c>
      <c r="BA50" s="299">
        <f>IF(AND($F50&lt;=BA$2, OR($G50="",$G50&gt;=BA$2)),
  $H50 * (1 + Assumptions!$C$7) ^ INT(((YEAR(BA$2)-YEAR($F50))*12 + MONTH(BA$2)-MONTH($F50)) / 12),
  0)</f>
        <v/>
      </c>
      <c r="BB50" s="299">
        <f>IF(AND($F50&lt;=BB$2, OR($G50="",$G50&gt;=BB$2)),
  $H50 * (1 + Assumptions!$C$7) ^ INT(((YEAR(BB$2)-YEAR($F50))*12 + MONTH(BB$2)-MONTH($F50)) / 12),
  0)</f>
        <v/>
      </c>
      <c r="BC50" s="299">
        <f>IF(AND($F50&lt;=BC$2, OR($G50="",$G50&gt;=BC$2)),
  $H50 * (1 + Assumptions!$C$7) ^ INT(((YEAR(BC$2)-YEAR($F50))*12 + MONTH(BC$2)-MONTH($F50)) / 12),
  0)</f>
        <v/>
      </c>
      <c r="BD50" s="299">
        <f>IF(AND($F50&lt;=BD$2, OR($G50="",$G50&gt;=BD$2)),
  $H50 * (1 + Assumptions!$C$7) ^ INT(((YEAR(BD$2)-YEAR($F50))*12 + MONTH(BD$2)-MONTH($F50)) / 12),
  0)</f>
        <v/>
      </c>
      <c r="BE50" s="299">
        <f>IF(AND($F50&lt;=BE$2, OR($G50="",$G50&gt;=BE$2)),
  $H50 * (1 + Assumptions!$C$7) ^ INT(((YEAR(BE$2)-YEAR($F50))*12 + MONTH(BE$2)-MONTH($F50)) / 12),
  0)</f>
        <v/>
      </c>
      <c r="BF50" s="299">
        <f>IF(AND($F50&lt;=BF$2, OR($G50="",$G50&gt;=BF$2)),
  $H50 * (1 + Assumptions!$C$7) ^ INT(((YEAR(BF$2)-YEAR($F50))*12 + MONTH(BF$2)-MONTH($F50)) / 12),
  0)</f>
        <v/>
      </c>
      <c r="BG50" s="299">
        <f>IF(AND($F50&lt;=BG$2, OR($G50="",$G50&gt;=BG$2)),
  $H50 * (1 + Assumptions!$C$7) ^ INT(((YEAR(BG$2)-YEAR($F50))*12 + MONTH(BG$2)-MONTH($F50)) / 12),
  0)</f>
        <v/>
      </c>
      <c r="BH50" s="299">
        <f>IF(AND($F50&lt;=BH$2, OR($G50="",$G50&gt;=BH$2)),
  $H50 * (1 + Assumptions!$C$7) ^ INT(((YEAR(BH$2)-YEAR($F50))*12 + MONTH(BH$2)-MONTH($F50)) / 12),
  0)</f>
        <v/>
      </c>
      <c r="BI50" s="299">
        <f>IF(AND($F50&lt;=BI$2, OR($G50="",$G50&gt;=BI$2)),
  $H50 * (1 + Assumptions!$C$7) ^ INT(((YEAR(BI$2)-YEAR($F50))*12 + MONTH(BI$2)-MONTH($F50)) / 12),
  0)</f>
        <v/>
      </c>
      <c r="BJ50" s="299">
        <f>IF(AND($F50&lt;=BJ$2, OR($G50="",$G50&gt;=BJ$2)),
  $H50 * (1 + Assumptions!$C$7) ^ INT(((YEAR(BJ$2)-YEAR($F50))*12 + MONTH(BJ$2)-MONTH($F50)) / 12),
  0)</f>
        <v/>
      </c>
      <c r="BK50" s="299">
        <f>IF(AND($F50&lt;=BK$2, OR($G50="",$G50&gt;=BK$2)),
  $H50 * (1 + Assumptions!$C$7) ^ INT(((YEAR(BK$2)-YEAR($F50))*12 + MONTH(BK$2)-MONTH($F50)) / 12),
  0)</f>
        <v/>
      </c>
      <c r="BL50" s="299">
        <f>IF(AND($F50&lt;=BL$2, OR($G50="",$G50&gt;=BL$2)),
  $H50 * (1 + Assumptions!$C$7) ^ INT(((YEAR(BL$2)-YEAR($F50))*12 + MONTH(BL$2)-MONTH($F50)) / 12),
  0)</f>
        <v/>
      </c>
      <c r="BM50" s="299">
        <f>IF(AND($F50&lt;=BM$2, OR($G50="",$G50&gt;=BM$2)),
  $H50 * (1 + Assumptions!$C$7) ^ INT(((YEAR(BM$2)-YEAR($F50))*12 + MONTH(BM$2)-MONTH($F50)) / 12),
  0)</f>
        <v/>
      </c>
      <c r="BN50" s="299">
        <f>IF(AND($F50&lt;=BN$2, OR($G50="",$G50&gt;=BN$2)),
  $H50 * (1 + Assumptions!$C$7) ^ INT(((YEAR(BN$2)-YEAR($F50))*12 + MONTH(BN$2)-MONTH($F50)) / 12),
  0)</f>
        <v/>
      </c>
      <c r="BO50" s="299">
        <f>IF(AND($F50&lt;=BO$2, OR($G50="",$G50&gt;=BO$2)),
  $H50 * (1 + Assumptions!$C$7) ^ INT(((YEAR(BO$2)-YEAR($F50))*12 + MONTH(BO$2)-MONTH($F50)) / 12),
  0)</f>
        <v/>
      </c>
      <c r="BP50" s="299">
        <f>IF(AND($F50&lt;=BP$2, OR($G50="",$G50&gt;=BP$2)),
  $H50 * (1 + Assumptions!$C$7) ^ INT(((YEAR(BP$2)-YEAR($F50))*12 + MONTH(BP$2)-MONTH($F50)) / 12),
  0)</f>
        <v/>
      </c>
      <c r="BQ50" s="307" t="n"/>
      <c r="BR50" s="83" t="inlineStr">
        <is>
          <t>paid this month if started and not yet left; +8% on each work anniversary</t>
        </is>
      </c>
      <c r="BS50" s="307" t="n"/>
      <c r="BT50" s="307" t="n"/>
    </row>
    <row r="51" ht="15.75" customHeight="1" s="349">
      <c r="A51" s="321" t="n">
        <v>46</v>
      </c>
      <c r="B51" s="285" t="inlineStr">
        <is>
          <t>New hire</t>
        </is>
      </c>
      <c r="C51" s="23" t="inlineStr">
        <is>
          <t>S&amp;M</t>
        </is>
      </c>
      <c r="D51" s="321" t="inlineStr">
        <is>
          <t>Sales</t>
        </is>
      </c>
      <c r="E51" s="297" t="inlineStr">
        <is>
          <t>Planned</t>
        </is>
      </c>
      <c r="F51" s="318">
        <f>IF(Assumptions!$D$82=2,DATE(2028,1,1),DATE(2029,6,5))</f>
        <v/>
      </c>
      <c r="G51" s="319" t="n"/>
      <c r="H51" s="288" t="n">
        <v>6500</v>
      </c>
      <c r="I51" s="299">
        <f>IF(AND($F51&lt;=I$2, OR($G51="",$G51&gt;=I$2)),
  $H51 * (1 + Assumptions!$C$7) ^ INT(((YEAR(I$2)-YEAR($F51))*12 + MONTH(I$2)-MONTH($F51)) / 12),
  0)</f>
        <v/>
      </c>
      <c r="J51" s="299">
        <f>IF(AND($F51&lt;=J$2, OR($G51="",$G51&gt;=J$2)),
  $H51 * (1 + Assumptions!$C$7) ^ INT(((YEAR(J$2)-YEAR($F51))*12 + MONTH(J$2)-MONTH($F51)) / 12),
  0)</f>
        <v/>
      </c>
      <c r="K51" s="299">
        <f>IF(AND($F51&lt;=K$2, OR($G51="",$G51&gt;=K$2)),
  $H51 * (1 + Assumptions!$C$7) ^ INT(((YEAR(K$2)-YEAR($F51))*12 + MONTH(K$2)-MONTH($F51)) / 12),
  0)</f>
        <v/>
      </c>
      <c r="L51" s="299">
        <f>IF(AND($F51&lt;=L$2, OR($G51="",$G51&gt;=L$2)),
  $H51 * (1 + Assumptions!$C$7) ^ INT(((YEAR(L$2)-YEAR($F51))*12 + MONTH(L$2)-MONTH($F51)) / 12),
  0)</f>
        <v/>
      </c>
      <c r="M51" s="299">
        <f>IF(AND($F51&lt;=M$2, OR($G51="",$G51&gt;=M$2)),
  $H51 * (1 + Assumptions!$C$7) ^ INT(((YEAR(M$2)-YEAR($F51))*12 + MONTH(M$2)-MONTH($F51)) / 12),
  0)</f>
        <v/>
      </c>
      <c r="N51" s="299">
        <f>IF(AND($F51&lt;=N$2, OR($G51="",$G51&gt;=N$2)),
  $H51 * (1 + Assumptions!$C$7) ^ INT(((YEAR(N$2)-YEAR($F51))*12 + MONTH(N$2)-MONTH($F51)) / 12),
  0)</f>
        <v/>
      </c>
      <c r="O51" s="299">
        <f>IF(AND($F51&lt;=O$2, OR($G51="",$G51&gt;=O$2)),
  $H51 * (1 + Assumptions!$C$7) ^ INT(((YEAR(O$2)-YEAR($F51))*12 + MONTH(O$2)-MONTH($F51)) / 12),
  0)</f>
        <v/>
      </c>
      <c r="P51" s="299">
        <f>IF(AND($F51&lt;=P$2, OR($G51="",$G51&gt;=P$2)),
  $H51 * (1 + Assumptions!$C$7) ^ INT(((YEAR(P$2)-YEAR($F51))*12 + MONTH(P$2)-MONTH($F51)) / 12),
  0)</f>
        <v/>
      </c>
      <c r="Q51" s="299">
        <f>IF(AND($F51&lt;=Q$2, OR($G51="",$G51&gt;=Q$2)),
  $H51 * (1 + Assumptions!$C$7) ^ INT(((YEAR(Q$2)-YEAR($F51))*12 + MONTH(Q$2)-MONTH($F51)) / 12),
  0)</f>
        <v/>
      </c>
      <c r="R51" s="299">
        <f>IF(AND($F51&lt;=R$2, OR($G51="",$G51&gt;=R$2)),
  $H51 * (1 + Assumptions!$C$7) ^ INT(((YEAR(R$2)-YEAR($F51))*12 + MONTH(R$2)-MONTH($F51)) / 12),
  0)</f>
        <v/>
      </c>
      <c r="S51" s="299">
        <f>IF(AND($F51&lt;=S$2, OR($G51="",$G51&gt;=S$2)),
  $H51 * (1 + Assumptions!$C$7) ^ INT(((YEAR(S$2)-YEAR($F51))*12 + MONTH(S$2)-MONTH($F51)) / 12),
  0)</f>
        <v/>
      </c>
      <c r="T51" s="299">
        <f>IF(AND($F51&lt;=T$2, OR($G51="",$G51&gt;=T$2)),
  $H51 * (1 + Assumptions!$C$7) ^ INT(((YEAR(T$2)-YEAR($F51))*12 + MONTH(T$2)-MONTH($F51)) / 12),
  0)</f>
        <v/>
      </c>
      <c r="U51" s="299">
        <f>IF(AND($F51&lt;=U$2, OR($G51="",$G51&gt;=U$2)),
  $H51 * (1 + Assumptions!$C$7) ^ INT(((YEAR(U$2)-YEAR($F51))*12 + MONTH(U$2)-MONTH($F51)) / 12),
  0)</f>
        <v/>
      </c>
      <c r="V51" s="299">
        <f>IF(AND($F51&lt;=V$2, OR($G51="",$G51&gt;=V$2)),
  $H51 * (1 + Assumptions!$C$7) ^ INT(((YEAR(V$2)-YEAR($F51))*12 + MONTH(V$2)-MONTH($F51)) / 12),
  0)</f>
        <v/>
      </c>
      <c r="W51" s="299">
        <f>IF(AND($F51&lt;=W$2, OR($G51="",$G51&gt;=W$2)),
  $H51 * (1 + Assumptions!$C$7) ^ INT(((YEAR(W$2)-YEAR($F51))*12 + MONTH(W$2)-MONTH($F51)) / 12),
  0)</f>
        <v/>
      </c>
      <c r="X51" s="299">
        <f>IF(AND($F51&lt;=X$2, OR($G51="",$G51&gt;=X$2)),
  $H51 * (1 + Assumptions!$C$7) ^ INT(((YEAR(X$2)-YEAR($F51))*12 + MONTH(X$2)-MONTH($F51)) / 12),
  0)</f>
        <v/>
      </c>
      <c r="Y51" s="299">
        <f>IF(AND($F51&lt;=Y$2, OR($G51="",$G51&gt;=Y$2)),
  $H51 * (1 + Assumptions!$C$7) ^ INT(((YEAR(Y$2)-YEAR($F51))*12 + MONTH(Y$2)-MONTH($F51)) / 12),
  0)</f>
        <v/>
      </c>
      <c r="Z51" s="299">
        <f>IF(AND($F51&lt;=Z$2, OR($G51="",$G51&gt;=Z$2)),
  $H51 * (1 + Assumptions!$C$7) ^ INT(((YEAR(Z$2)-YEAR($F51))*12 + MONTH(Z$2)-MONTH($F51)) / 12),
  0)</f>
        <v/>
      </c>
      <c r="AA51" s="299">
        <f>IF(AND($F51&lt;=AA$2, OR($G51="",$G51&gt;=AA$2)),
  $H51 * (1 + Assumptions!$C$7) ^ INT(((YEAR(AA$2)-YEAR($F51))*12 + MONTH(AA$2)-MONTH($F51)) / 12),
  0)</f>
        <v/>
      </c>
      <c r="AB51" s="299">
        <f>IF(AND($F51&lt;=AB$2, OR($G51="",$G51&gt;=AB$2)),
  $H51 * (1 + Assumptions!$C$7) ^ INT(((YEAR(AB$2)-YEAR($F51))*12 + MONTH(AB$2)-MONTH($F51)) / 12),
  0)</f>
        <v/>
      </c>
      <c r="AC51" s="299">
        <f>IF(AND($F51&lt;=AC$2, OR($G51="",$G51&gt;=AC$2)),
  $H51 * (1 + Assumptions!$C$7) ^ INT(((YEAR(AC$2)-YEAR($F51))*12 + MONTH(AC$2)-MONTH($F51)) / 12),
  0)</f>
        <v/>
      </c>
      <c r="AD51" s="299">
        <f>IF(AND($F51&lt;=AD$2, OR($G51="",$G51&gt;=AD$2)),
  $H51 * (1 + Assumptions!$C$7) ^ INT(((YEAR(AD$2)-YEAR($F51))*12 + MONTH(AD$2)-MONTH($F51)) / 12),
  0)</f>
        <v/>
      </c>
      <c r="AE51" s="299">
        <f>IF(AND($F51&lt;=AE$2, OR($G51="",$G51&gt;=AE$2)),
  $H51 * (1 + Assumptions!$C$7) ^ INT(((YEAR(AE$2)-YEAR($F51))*12 + MONTH(AE$2)-MONTH($F51)) / 12),
  0)</f>
        <v/>
      </c>
      <c r="AF51" s="299">
        <f>IF(AND($F51&lt;=AF$2, OR($G51="",$G51&gt;=AF$2)),
  $H51 * (1 + Assumptions!$C$7) ^ INT(((YEAR(AF$2)-YEAR($F51))*12 + MONTH(AF$2)-MONTH($F51)) / 12),
  0)</f>
        <v/>
      </c>
      <c r="AG51" s="299">
        <f>IF(AND($F51&lt;=AG$2, OR($G51="",$G51&gt;=AG$2)),
  $H51 * (1 + Assumptions!$C$7) ^ INT(((YEAR(AG$2)-YEAR($F51))*12 + MONTH(AG$2)-MONTH($F51)) / 12),
  0)</f>
        <v/>
      </c>
      <c r="AH51" s="299">
        <f>IF(AND($F51&lt;=AH$2, OR($G51="",$G51&gt;=AH$2)),
  $H51 * (1 + Assumptions!$C$7) ^ INT(((YEAR(AH$2)-YEAR($F51))*12 + MONTH(AH$2)-MONTH($F51)) / 12),
  0)</f>
        <v/>
      </c>
      <c r="AI51" s="299">
        <f>IF(AND($F51&lt;=AI$2, OR($G51="",$G51&gt;=AI$2)),
  $H51 * (1 + Assumptions!$C$7) ^ INT(((YEAR(AI$2)-YEAR($F51))*12 + MONTH(AI$2)-MONTH($F51)) / 12),
  0)</f>
        <v/>
      </c>
      <c r="AJ51" s="299">
        <f>IF(AND($F51&lt;=AJ$2, OR($G51="",$G51&gt;=AJ$2)),
  $H51 * (1 + Assumptions!$C$7) ^ INT(((YEAR(AJ$2)-YEAR($F51))*12 + MONTH(AJ$2)-MONTH($F51)) / 12),
  0)</f>
        <v/>
      </c>
      <c r="AK51" s="299">
        <f>IF(AND($F51&lt;=AK$2, OR($G51="",$G51&gt;=AK$2)),
  $H51 * (1 + Assumptions!$C$7) ^ INT(((YEAR(AK$2)-YEAR($F51))*12 + MONTH(AK$2)-MONTH($F51)) / 12),
  0)</f>
        <v/>
      </c>
      <c r="AL51" s="299">
        <f>IF(AND($F51&lt;=AL$2, OR($G51="",$G51&gt;=AL$2)),
  $H51 * (1 + Assumptions!$C$7) ^ INT(((YEAR(AL$2)-YEAR($F51))*12 + MONTH(AL$2)-MONTH($F51)) / 12),
  0)</f>
        <v/>
      </c>
      <c r="AM51" s="299">
        <f>IF(AND($F51&lt;=AM$2, OR($G51="",$G51&gt;=AM$2)),
  $H51 * (1 + Assumptions!$C$7) ^ INT(((YEAR(AM$2)-YEAR($F51))*12 + MONTH(AM$2)-MONTH($F51)) / 12),
  0)</f>
        <v/>
      </c>
      <c r="AN51" s="299">
        <f>IF(AND($F51&lt;=AN$2, OR($G51="",$G51&gt;=AN$2)),
  $H51 * (1 + Assumptions!$C$7) ^ INT(((YEAR(AN$2)-YEAR($F51))*12 + MONTH(AN$2)-MONTH($F51)) / 12),
  0)</f>
        <v/>
      </c>
      <c r="AO51" s="299">
        <f>IF(AND($F51&lt;=AO$2, OR($G51="",$G51&gt;=AO$2)),
  $H51 * (1 + Assumptions!$C$7) ^ INT(((YEAR(AO$2)-YEAR($F51))*12 + MONTH(AO$2)-MONTH($F51)) / 12),
  0)</f>
        <v/>
      </c>
      <c r="AP51" s="299">
        <f>IF(AND($F51&lt;=AP$2, OR($G51="",$G51&gt;=AP$2)),
  $H51 * (1 + Assumptions!$C$7) ^ INT(((YEAR(AP$2)-YEAR($F51))*12 + MONTH(AP$2)-MONTH($F51)) / 12),
  0)</f>
        <v/>
      </c>
      <c r="AQ51" s="299">
        <f>IF(AND($F51&lt;=AQ$2, OR($G51="",$G51&gt;=AQ$2)),
  $H51 * (1 + Assumptions!$C$7) ^ INT(((YEAR(AQ$2)-YEAR($F51))*12 + MONTH(AQ$2)-MONTH($F51)) / 12),
  0)</f>
        <v/>
      </c>
      <c r="AR51" s="299">
        <f>IF(AND($F51&lt;=AR$2, OR($G51="",$G51&gt;=AR$2)),
  $H51 * (1 + Assumptions!$C$7) ^ INT(((YEAR(AR$2)-YEAR($F51))*12 + MONTH(AR$2)-MONTH($F51)) / 12),
  0)</f>
        <v/>
      </c>
      <c r="AS51" s="299">
        <f>IF(AND($F51&lt;=AS$2, OR($G51="",$G51&gt;=AS$2)),
  $H51 * (1 + Assumptions!$C$7) ^ INT(((YEAR(AS$2)-YEAR($F51))*12 + MONTH(AS$2)-MONTH($F51)) / 12),
  0)</f>
        <v/>
      </c>
      <c r="AT51" s="299">
        <f>IF(AND($F51&lt;=AT$2, OR($G51="",$G51&gt;=AT$2)),
  $H51 * (1 + Assumptions!$C$7) ^ INT(((YEAR(AT$2)-YEAR($F51))*12 + MONTH(AT$2)-MONTH($F51)) / 12),
  0)</f>
        <v/>
      </c>
      <c r="AU51" s="299">
        <f>IF(AND($F51&lt;=AU$2, OR($G51="",$G51&gt;=AU$2)),
  $H51 * (1 + Assumptions!$C$7) ^ INT(((YEAR(AU$2)-YEAR($F51))*12 + MONTH(AU$2)-MONTH($F51)) / 12),
  0)</f>
        <v/>
      </c>
      <c r="AV51" s="299">
        <f>IF(AND($F51&lt;=AV$2, OR($G51="",$G51&gt;=AV$2)),
  $H51 * (1 + Assumptions!$C$7) ^ INT(((YEAR(AV$2)-YEAR($F51))*12 + MONTH(AV$2)-MONTH($F51)) / 12),
  0)</f>
        <v/>
      </c>
      <c r="AW51" s="299">
        <f>IF(AND($F51&lt;=AW$2, OR($G51="",$G51&gt;=AW$2)),
  $H51 * (1 + Assumptions!$C$7) ^ INT(((YEAR(AW$2)-YEAR($F51))*12 + MONTH(AW$2)-MONTH($F51)) / 12),
  0)</f>
        <v/>
      </c>
      <c r="AX51" s="299">
        <f>IF(AND($F51&lt;=AX$2, OR($G51="",$G51&gt;=AX$2)),
  $H51 * (1 + Assumptions!$C$7) ^ INT(((YEAR(AX$2)-YEAR($F51))*12 + MONTH(AX$2)-MONTH($F51)) / 12),
  0)</f>
        <v/>
      </c>
      <c r="AY51" s="299">
        <f>IF(AND($F51&lt;=AY$2, OR($G51="",$G51&gt;=AY$2)),
  $H51 * (1 + Assumptions!$C$7) ^ INT(((YEAR(AY$2)-YEAR($F51))*12 + MONTH(AY$2)-MONTH($F51)) / 12),
  0)</f>
        <v/>
      </c>
      <c r="AZ51" s="299">
        <f>IF(AND($F51&lt;=AZ$2, OR($G51="",$G51&gt;=AZ$2)),
  $H51 * (1 + Assumptions!$C$7) ^ INT(((YEAR(AZ$2)-YEAR($F51))*12 + MONTH(AZ$2)-MONTH($F51)) / 12),
  0)</f>
        <v/>
      </c>
      <c r="BA51" s="299">
        <f>IF(AND($F51&lt;=BA$2, OR($G51="",$G51&gt;=BA$2)),
  $H51 * (1 + Assumptions!$C$7) ^ INT(((YEAR(BA$2)-YEAR($F51))*12 + MONTH(BA$2)-MONTH($F51)) / 12),
  0)</f>
        <v/>
      </c>
      <c r="BB51" s="299">
        <f>IF(AND($F51&lt;=BB$2, OR($G51="",$G51&gt;=BB$2)),
  $H51 * (1 + Assumptions!$C$7) ^ INT(((YEAR(BB$2)-YEAR($F51))*12 + MONTH(BB$2)-MONTH($F51)) / 12),
  0)</f>
        <v/>
      </c>
      <c r="BC51" s="299">
        <f>IF(AND($F51&lt;=BC$2, OR($G51="",$G51&gt;=BC$2)),
  $H51 * (1 + Assumptions!$C$7) ^ INT(((YEAR(BC$2)-YEAR($F51))*12 + MONTH(BC$2)-MONTH($F51)) / 12),
  0)</f>
        <v/>
      </c>
      <c r="BD51" s="299">
        <f>IF(AND($F51&lt;=BD$2, OR($G51="",$G51&gt;=BD$2)),
  $H51 * (1 + Assumptions!$C$7) ^ INT(((YEAR(BD$2)-YEAR($F51))*12 + MONTH(BD$2)-MONTH($F51)) / 12),
  0)</f>
        <v/>
      </c>
      <c r="BE51" s="299">
        <f>IF(AND($F51&lt;=BE$2, OR($G51="",$G51&gt;=BE$2)),
  $H51 * (1 + Assumptions!$C$7) ^ INT(((YEAR(BE$2)-YEAR($F51))*12 + MONTH(BE$2)-MONTH($F51)) / 12),
  0)</f>
        <v/>
      </c>
      <c r="BF51" s="299">
        <f>IF(AND($F51&lt;=BF$2, OR($G51="",$G51&gt;=BF$2)),
  $H51 * (1 + Assumptions!$C$7) ^ INT(((YEAR(BF$2)-YEAR($F51))*12 + MONTH(BF$2)-MONTH($F51)) / 12),
  0)</f>
        <v/>
      </c>
      <c r="BG51" s="299">
        <f>IF(AND($F51&lt;=BG$2, OR($G51="",$G51&gt;=BG$2)),
  $H51 * (1 + Assumptions!$C$7) ^ INT(((YEAR(BG$2)-YEAR($F51))*12 + MONTH(BG$2)-MONTH($F51)) / 12),
  0)</f>
        <v/>
      </c>
      <c r="BH51" s="299">
        <f>IF(AND($F51&lt;=BH$2, OR($G51="",$G51&gt;=BH$2)),
  $H51 * (1 + Assumptions!$C$7) ^ INT(((YEAR(BH$2)-YEAR($F51))*12 + MONTH(BH$2)-MONTH($F51)) / 12),
  0)</f>
        <v/>
      </c>
      <c r="BI51" s="299">
        <f>IF(AND($F51&lt;=BI$2, OR($G51="",$G51&gt;=BI$2)),
  $H51 * (1 + Assumptions!$C$7) ^ INT(((YEAR(BI$2)-YEAR($F51))*12 + MONTH(BI$2)-MONTH($F51)) / 12),
  0)</f>
        <v/>
      </c>
      <c r="BJ51" s="299">
        <f>IF(AND($F51&lt;=BJ$2, OR($G51="",$G51&gt;=BJ$2)),
  $H51 * (1 + Assumptions!$C$7) ^ INT(((YEAR(BJ$2)-YEAR($F51))*12 + MONTH(BJ$2)-MONTH($F51)) / 12),
  0)</f>
        <v/>
      </c>
      <c r="BK51" s="299">
        <f>IF(AND($F51&lt;=BK$2, OR($G51="",$G51&gt;=BK$2)),
  $H51 * (1 + Assumptions!$C$7) ^ INT(((YEAR(BK$2)-YEAR($F51))*12 + MONTH(BK$2)-MONTH($F51)) / 12),
  0)</f>
        <v/>
      </c>
      <c r="BL51" s="299">
        <f>IF(AND($F51&lt;=BL$2, OR($G51="",$G51&gt;=BL$2)),
  $H51 * (1 + Assumptions!$C$7) ^ INT(((YEAR(BL$2)-YEAR($F51))*12 + MONTH(BL$2)-MONTH($F51)) / 12),
  0)</f>
        <v/>
      </c>
      <c r="BM51" s="299">
        <f>IF(AND($F51&lt;=BM$2, OR($G51="",$G51&gt;=BM$2)),
  $H51 * (1 + Assumptions!$C$7) ^ INT(((YEAR(BM$2)-YEAR($F51))*12 + MONTH(BM$2)-MONTH($F51)) / 12),
  0)</f>
        <v/>
      </c>
      <c r="BN51" s="299">
        <f>IF(AND($F51&lt;=BN$2, OR($G51="",$G51&gt;=BN$2)),
  $H51 * (1 + Assumptions!$C$7) ^ INT(((YEAR(BN$2)-YEAR($F51))*12 + MONTH(BN$2)-MONTH($F51)) / 12),
  0)</f>
        <v/>
      </c>
      <c r="BO51" s="299">
        <f>IF(AND($F51&lt;=BO$2, OR($G51="",$G51&gt;=BO$2)),
  $H51 * (1 + Assumptions!$C$7) ^ INT(((YEAR(BO$2)-YEAR($F51))*12 + MONTH(BO$2)-MONTH($F51)) / 12),
  0)</f>
        <v/>
      </c>
      <c r="BP51" s="299">
        <f>IF(AND($F51&lt;=BP$2, OR($G51="",$G51&gt;=BP$2)),
  $H51 * (1 + Assumptions!$C$7) ^ INT(((YEAR(BP$2)-YEAR($F51))*12 + MONTH(BP$2)-MONTH($F51)) / 12),
  0)</f>
        <v/>
      </c>
      <c r="BQ51" s="307" t="n"/>
      <c r="BR51" s="83" t="inlineStr">
        <is>
          <t>paid this month if started and not yet left; +8% on each work anniversary</t>
        </is>
      </c>
      <c r="BS51" s="307" t="n"/>
      <c r="BT51" s="307" t="n"/>
    </row>
    <row r="52" ht="15.75" customHeight="1" s="349">
      <c r="A52" s="321" t="n">
        <v>47</v>
      </c>
      <c r="B52" s="285" t="inlineStr">
        <is>
          <t>New hire</t>
        </is>
      </c>
      <c r="C52" s="285" t="inlineStr">
        <is>
          <t>R&amp;D</t>
        </is>
      </c>
      <c r="D52" s="122" t="inlineStr">
        <is>
          <t>R&amp;D Engineer</t>
        </is>
      </c>
      <c r="E52" s="297" t="inlineStr">
        <is>
          <t>Planned</t>
        </is>
      </c>
      <c r="F52" s="318" t="n">
        <v>47272</v>
      </c>
      <c r="G52" s="320" t="n"/>
      <c r="H52" s="288" t="n">
        <v>7500</v>
      </c>
      <c r="I52" s="299">
        <f>IF(AND($F52&lt;=I$2, OR($G52="",$G52&gt;=I$2)),
  $H52 * (1 + Assumptions!$C$7) ^ INT(((YEAR(I$2)-YEAR($F52))*12 + MONTH(I$2)-MONTH($F52)) / 12),
  0)</f>
        <v/>
      </c>
      <c r="J52" s="299">
        <f>IF(AND($F52&lt;=J$2, OR($G52="",$G52&gt;=J$2)),
  $H52 * (1 + Assumptions!$C$7) ^ INT(((YEAR(J$2)-YEAR($F52))*12 + MONTH(J$2)-MONTH($F52)) / 12),
  0)</f>
        <v/>
      </c>
      <c r="K52" s="299">
        <f>IF(AND($F52&lt;=K$2, OR($G52="",$G52&gt;=K$2)),
  $H52 * (1 + Assumptions!$C$7) ^ INT(((YEAR(K$2)-YEAR($F52))*12 + MONTH(K$2)-MONTH($F52)) / 12),
  0)</f>
        <v/>
      </c>
      <c r="L52" s="299">
        <f>IF(AND($F52&lt;=L$2, OR($G52="",$G52&gt;=L$2)),
  $H52 * (1 + Assumptions!$C$7) ^ INT(((YEAR(L$2)-YEAR($F52))*12 + MONTH(L$2)-MONTH($F52)) / 12),
  0)</f>
        <v/>
      </c>
      <c r="M52" s="299">
        <f>IF(AND($F52&lt;=M$2, OR($G52="",$G52&gt;=M$2)),
  $H52 * (1 + Assumptions!$C$7) ^ INT(((YEAR(M$2)-YEAR($F52))*12 + MONTH(M$2)-MONTH($F52)) / 12),
  0)</f>
        <v/>
      </c>
      <c r="N52" s="299">
        <f>IF(AND($F52&lt;=N$2, OR($G52="",$G52&gt;=N$2)),
  $H52 * (1 + Assumptions!$C$7) ^ INT(((YEAR(N$2)-YEAR($F52))*12 + MONTH(N$2)-MONTH($F52)) / 12),
  0)</f>
        <v/>
      </c>
      <c r="O52" s="299">
        <f>IF(AND($F52&lt;=O$2, OR($G52="",$G52&gt;=O$2)),
  $H52 * (1 + Assumptions!$C$7) ^ INT(((YEAR(O$2)-YEAR($F52))*12 + MONTH(O$2)-MONTH($F52)) / 12),
  0)</f>
        <v/>
      </c>
      <c r="P52" s="299">
        <f>IF(AND($F52&lt;=P$2, OR($G52="",$G52&gt;=P$2)),
  $H52 * (1 + Assumptions!$C$7) ^ INT(((YEAR(P$2)-YEAR($F52))*12 + MONTH(P$2)-MONTH($F52)) / 12),
  0)</f>
        <v/>
      </c>
      <c r="Q52" s="299">
        <f>IF(AND($F52&lt;=Q$2, OR($G52="",$G52&gt;=Q$2)),
  $H52 * (1 + Assumptions!$C$7) ^ INT(((YEAR(Q$2)-YEAR($F52))*12 + MONTH(Q$2)-MONTH($F52)) / 12),
  0)</f>
        <v/>
      </c>
      <c r="R52" s="299">
        <f>IF(AND($F52&lt;=R$2, OR($G52="",$G52&gt;=R$2)),
  $H52 * (1 + Assumptions!$C$7) ^ INT(((YEAR(R$2)-YEAR($F52))*12 + MONTH(R$2)-MONTH($F52)) / 12),
  0)</f>
        <v/>
      </c>
      <c r="S52" s="299">
        <f>IF(AND($F52&lt;=S$2, OR($G52="",$G52&gt;=S$2)),
  $H52 * (1 + Assumptions!$C$7) ^ INT(((YEAR(S$2)-YEAR($F52))*12 + MONTH(S$2)-MONTH($F52)) / 12),
  0)</f>
        <v/>
      </c>
      <c r="T52" s="299">
        <f>IF(AND($F52&lt;=T$2, OR($G52="",$G52&gt;=T$2)),
  $H52 * (1 + Assumptions!$C$7) ^ INT(((YEAR(T$2)-YEAR($F52))*12 + MONTH(T$2)-MONTH($F52)) / 12),
  0)</f>
        <v/>
      </c>
      <c r="U52" s="299">
        <f>IF(AND($F52&lt;=U$2, OR($G52="",$G52&gt;=U$2)),
  $H52 * (1 + Assumptions!$C$7) ^ INT(((YEAR(U$2)-YEAR($F52))*12 + MONTH(U$2)-MONTH($F52)) / 12),
  0)</f>
        <v/>
      </c>
      <c r="V52" s="299">
        <f>IF(AND($F52&lt;=V$2, OR($G52="",$G52&gt;=V$2)),
  $H52 * (1 + Assumptions!$C$7) ^ INT(((YEAR(V$2)-YEAR($F52))*12 + MONTH(V$2)-MONTH($F52)) / 12),
  0)</f>
        <v/>
      </c>
      <c r="W52" s="299">
        <f>IF(AND($F52&lt;=W$2, OR($G52="",$G52&gt;=W$2)),
  $H52 * (1 + Assumptions!$C$7) ^ INT(((YEAR(W$2)-YEAR($F52))*12 + MONTH(W$2)-MONTH($F52)) / 12),
  0)</f>
        <v/>
      </c>
      <c r="X52" s="299">
        <f>IF(AND($F52&lt;=X$2, OR($G52="",$G52&gt;=X$2)),
  $H52 * (1 + Assumptions!$C$7) ^ INT(((YEAR(X$2)-YEAR($F52))*12 + MONTH(X$2)-MONTH($F52)) / 12),
  0)</f>
        <v/>
      </c>
      <c r="Y52" s="299">
        <f>IF(AND($F52&lt;=Y$2, OR($G52="",$G52&gt;=Y$2)),
  $H52 * (1 + Assumptions!$C$7) ^ INT(((YEAR(Y$2)-YEAR($F52))*12 + MONTH(Y$2)-MONTH($F52)) / 12),
  0)</f>
        <v/>
      </c>
      <c r="Z52" s="299">
        <f>IF(AND($F52&lt;=Z$2, OR($G52="",$G52&gt;=Z$2)),
  $H52 * (1 + Assumptions!$C$7) ^ INT(((YEAR(Z$2)-YEAR($F52))*12 + MONTH(Z$2)-MONTH($F52)) / 12),
  0)</f>
        <v/>
      </c>
      <c r="AA52" s="299">
        <f>IF(AND($F52&lt;=AA$2, OR($G52="",$G52&gt;=AA$2)),
  $H52 * (1 + Assumptions!$C$7) ^ INT(((YEAR(AA$2)-YEAR($F52))*12 + MONTH(AA$2)-MONTH($F52)) / 12),
  0)</f>
        <v/>
      </c>
      <c r="AB52" s="299">
        <f>IF(AND($F52&lt;=AB$2, OR($G52="",$G52&gt;=AB$2)),
  $H52 * (1 + Assumptions!$C$7) ^ INT(((YEAR(AB$2)-YEAR($F52))*12 + MONTH(AB$2)-MONTH($F52)) / 12),
  0)</f>
        <v/>
      </c>
      <c r="AC52" s="299">
        <f>IF(AND($F52&lt;=AC$2, OR($G52="",$G52&gt;=AC$2)),
  $H52 * (1 + Assumptions!$C$7) ^ INT(((YEAR(AC$2)-YEAR($F52))*12 + MONTH(AC$2)-MONTH($F52)) / 12),
  0)</f>
        <v/>
      </c>
      <c r="AD52" s="299">
        <f>IF(AND($F52&lt;=AD$2, OR($G52="",$G52&gt;=AD$2)),
  $H52 * (1 + Assumptions!$C$7) ^ INT(((YEAR(AD$2)-YEAR($F52))*12 + MONTH(AD$2)-MONTH($F52)) / 12),
  0)</f>
        <v/>
      </c>
      <c r="AE52" s="299">
        <f>IF(AND($F52&lt;=AE$2, OR($G52="",$G52&gt;=AE$2)),
  $H52 * (1 + Assumptions!$C$7) ^ INT(((YEAR(AE$2)-YEAR($F52))*12 + MONTH(AE$2)-MONTH($F52)) / 12),
  0)</f>
        <v/>
      </c>
      <c r="AF52" s="299">
        <f>IF(AND($F52&lt;=AF$2, OR($G52="",$G52&gt;=AF$2)),
  $H52 * (1 + Assumptions!$C$7) ^ INT(((YEAR(AF$2)-YEAR($F52))*12 + MONTH(AF$2)-MONTH($F52)) / 12),
  0)</f>
        <v/>
      </c>
      <c r="AG52" s="299">
        <f>IF(AND($F52&lt;=AG$2, OR($G52="",$G52&gt;=AG$2)),
  $H52 * (1 + Assumptions!$C$7) ^ INT(((YEAR(AG$2)-YEAR($F52))*12 + MONTH(AG$2)-MONTH($F52)) / 12),
  0)</f>
        <v/>
      </c>
      <c r="AH52" s="299">
        <f>IF(AND($F52&lt;=AH$2, OR($G52="",$G52&gt;=AH$2)),
  $H52 * (1 + Assumptions!$C$7) ^ INT(((YEAR(AH$2)-YEAR($F52))*12 + MONTH(AH$2)-MONTH($F52)) / 12),
  0)</f>
        <v/>
      </c>
      <c r="AI52" s="299">
        <f>IF(AND($F52&lt;=AI$2, OR($G52="",$G52&gt;=AI$2)),
  $H52 * (1 + Assumptions!$C$7) ^ INT(((YEAR(AI$2)-YEAR($F52))*12 + MONTH(AI$2)-MONTH($F52)) / 12),
  0)</f>
        <v/>
      </c>
      <c r="AJ52" s="299">
        <f>IF(AND($F52&lt;=AJ$2, OR($G52="",$G52&gt;=AJ$2)),
  $H52 * (1 + Assumptions!$C$7) ^ INT(((YEAR(AJ$2)-YEAR($F52))*12 + MONTH(AJ$2)-MONTH($F52)) / 12),
  0)</f>
        <v/>
      </c>
      <c r="AK52" s="299">
        <f>IF(AND($F52&lt;=AK$2, OR($G52="",$G52&gt;=AK$2)),
  $H52 * (1 + Assumptions!$C$7) ^ INT(((YEAR(AK$2)-YEAR($F52))*12 + MONTH(AK$2)-MONTH($F52)) / 12),
  0)</f>
        <v/>
      </c>
      <c r="AL52" s="299">
        <f>IF(AND($F52&lt;=AL$2, OR($G52="",$G52&gt;=AL$2)),
  $H52 * (1 + Assumptions!$C$7) ^ INT(((YEAR(AL$2)-YEAR($F52))*12 + MONTH(AL$2)-MONTH($F52)) / 12),
  0)</f>
        <v/>
      </c>
      <c r="AM52" s="299">
        <f>IF(AND($F52&lt;=AM$2, OR($G52="",$G52&gt;=AM$2)),
  $H52 * (1 + Assumptions!$C$7) ^ INT(((YEAR(AM$2)-YEAR($F52))*12 + MONTH(AM$2)-MONTH($F52)) / 12),
  0)</f>
        <v/>
      </c>
      <c r="AN52" s="299">
        <f>IF(AND($F52&lt;=AN$2, OR($G52="",$G52&gt;=AN$2)),
  $H52 * (1 + Assumptions!$C$7) ^ INT(((YEAR(AN$2)-YEAR($F52))*12 + MONTH(AN$2)-MONTH($F52)) / 12),
  0)</f>
        <v/>
      </c>
      <c r="AO52" s="299">
        <f>IF(AND($F52&lt;=AO$2, OR($G52="",$G52&gt;=AO$2)),
  $H52 * (1 + Assumptions!$C$7) ^ INT(((YEAR(AO$2)-YEAR($F52))*12 + MONTH(AO$2)-MONTH($F52)) / 12),
  0)</f>
        <v/>
      </c>
      <c r="AP52" s="299">
        <f>IF(AND($F52&lt;=AP$2, OR($G52="",$G52&gt;=AP$2)),
  $H52 * (1 + Assumptions!$C$7) ^ INT(((YEAR(AP$2)-YEAR($F52))*12 + MONTH(AP$2)-MONTH($F52)) / 12),
  0)</f>
        <v/>
      </c>
      <c r="AQ52" s="299">
        <f>IF(AND($F52&lt;=AQ$2, OR($G52="",$G52&gt;=AQ$2)),
  $H52 * (1 + Assumptions!$C$7) ^ INT(((YEAR(AQ$2)-YEAR($F52))*12 + MONTH(AQ$2)-MONTH($F52)) / 12),
  0)</f>
        <v/>
      </c>
      <c r="AR52" s="299">
        <f>IF(AND($F52&lt;=AR$2, OR($G52="",$G52&gt;=AR$2)),
  $H52 * (1 + Assumptions!$C$7) ^ INT(((YEAR(AR$2)-YEAR($F52))*12 + MONTH(AR$2)-MONTH($F52)) / 12),
  0)</f>
        <v/>
      </c>
      <c r="AS52" s="299">
        <f>IF(AND($F52&lt;=AS$2, OR($G52="",$G52&gt;=AS$2)),
  $H52 * (1 + Assumptions!$C$7) ^ INT(((YEAR(AS$2)-YEAR($F52))*12 + MONTH(AS$2)-MONTH($F52)) / 12),
  0)</f>
        <v/>
      </c>
      <c r="AT52" s="299">
        <f>IF(AND($F52&lt;=AT$2, OR($G52="",$G52&gt;=AT$2)),
  $H52 * (1 + Assumptions!$C$7) ^ INT(((YEAR(AT$2)-YEAR($F52))*12 + MONTH(AT$2)-MONTH($F52)) / 12),
  0)</f>
        <v/>
      </c>
      <c r="AU52" s="299">
        <f>IF(AND($F52&lt;=AU$2, OR($G52="",$G52&gt;=AU$2)),
  $H52 * (1 + Assumptions!$C$7) ^ INT(((YEAR(AU$2)-YEAR($F52))*12 + MONTH(AU$2)-MONTH($F52)) / 12),
  0)</f>
        <v/>
      </c>
      <c r="AV52" s="299">
        <f>IF(AND($F52&lt;=AV$2, OR($G52="",$G52&gt;=AV$2)),
  $H52 * (1 + Assumptions!$C$7) ^ INT(((YEAR(AV$2)-YEAR($F52))*12 + MONTH(AV$2)-MONTH($F52)) / 12),
  0)</f>
        <v/>
      </c>
      <c r="AW52" s="299">
        <f>IF(AND($F52&lt;=AW$2, OR($G52="",$G52&gt;=AW$2)),
  $H52 * (1 + Assumptions!$C$7) ^ INT(((YEAR(AW$2)-YEAR($F52))*12 + MONTH(AW$2)-MONTH($F52)) / 12),
  0)</f>
        <v/>
      </c>
      <c r="AX52" s="299">
        <f>IF(AND($F52&lt;=AX$2, OR($G52="",$G52&gt;=AX$2)),
  $H52 * (1 + Assumptions!$C$7) ^ INT(((YEAR(AX$2)-YEAR($F52))*12 + MONTH(AX$2)-MONTH($F52)) / 12),
  0)</f>
        <v/>
      </c>
      <c r="AY52" s="299">
        <f>IF(AND($F52&lt;=AY$2, OR($G52="",$G52&gt;=AY$2)),
  $H52 * (1 + Assumptions!$C$7) ^ INT(((YEAR(AY$2)-YEAR($F52))*12 + MONTH(AY$2)-MONTH($F52)) / 12),
  0)</f>
        <v/>
      </c>
      <c r="AZ52" s="299">
        <f>IF(AND($F52&lt;=AZ$2, OR($G52="",$G52&gt;=AZ$2)),
  $H52 * (1 + Assumptions!$C$7) ^ INT(((YEAR(AZ$2)-YEAR($F52))*12 + MONTH(AZ$2)-MONTH($F52)) / 12),
  0)</f>
        <v/>
      </c>
      <c r="BA52" s="299">
        <f>IF(AND($F52&lt;=BA$2, OR($G52="",$G52&gt;=BA$2)),
  $H52 * (1 + Assumptions!$C$7) ^ INT(((YEAR(BA$2)-YEAR($F52))*12 + MONTH(BA$2)-MONTH($F52)) / 12),
  0)</f>
        <v/>
      </c>
      <c r="BB52" s="299">
        <f>IF(AND($F52&lt;=BB$2, OR($G52="",$G52&gt;=BB$2)),
  $H52 * (1 + Assumptions!$C$7) ^ INT(((YEAR(BB$2)-YEAR($F52))*12 + MONTH(BB$2)-MONTH($F52)) / 12),
  0)</f>
        <v/>
      </c>
      <c r="BC52" s="299">
        <f>IF(AND($F52&lt;=BC$2, OR($G52="",$G52&gt;=BC$2)),
  $H52 * (1 + Assumptions!$C$7) ^ INT(((YEAR(BC$2)-YEAR($F52))*12 + MONTH(BC$2)-MONTH($F52)) / 12),
  0)</f>
        <v/>
      </c>
      <c r="BD52" s="299">
        <f>IF(AND($F52&lt;=BD$2, OR($G52="",$G52&gt;=BD$2)),
  $H52 * (1 + Assumptions!$C$7) ^ INT(((YEAR(BD$2)-YEAR($F52))*12 + MONTH(BD$2)-MONTH($F52)) / 12),
  0)</f>
        <v/>
      </c>
      <c r="BE52" s="299">
        <f>IF(AND($F52&lt;=BE$2, OR($G52="",$G52&gt;=BE$2)),
  $H52 * (1 + Assumptions!$C$7) ^ INT(((YEAR(BE$2)-YEAR($F52))*12 + MONTH(BE$2)-MONTH($F52)) / 12),
  0)</f>
        <v/>
      </c>
      <c r="BF52" s="299">
        <f>IF(AND($F52&lt;=BF$2, OR($G52="",$G52&gt;=BF$2)),
  $H52 * (1 + Assumptions!$C$7) ^ INT(((YEAR(BF$2)-YEAR($F52))*12 + MONTH(BF$2)-MONTH($F52)) / 12),
  0)</f>
        <v/>
      </c>
      <c r="BG52" s="299">
        <f>IF(AND($F52&lt;=BG$2, OR($G52="",$G52&gt;=BG$2)),
  $H52 * (1 + Assumptions!$C$7) ^ INT(((YEAR(BG$2)-YEAR($F52))*12 + MONTH(BG$2)-MONTH($F52)) / 12),
  0)</f>
        <v/>
      </c>
      <c r="BH52" s="299">
        <f>IF(AND($F52&lt;=BH$2, OR($G52="",$G52&gt;=BH$2)),
  $H52 * (1 + Assumptions!$C$7) ^ INT(((YEAR(BH$2)-YEAR($F52))*12 + MONTH(BH$2)-MONTH($F52)) / 12),
  0)</f>
        <v/>
      </c>
      <c r="BI52" s="299">
        <f>IF(AND($F52&lt;=BI$2, OR($G52="",$G52&gt;=BI$2)),
  $H52 * (1 + Assumptions!$C$7) ^ INT(((YEAR(BI$2)-YEAR($F52))*12 + MONTH(BI$2)-MONTH($F52)) / 12),
  0)</f>
        <v/>
      </c>
      <c r="BJ52" s="299">
        <f>IF(AND($F52&lt;=BJ$2, OR($G52="",$G52&gt;=BJ$2)),
  $H52 * (1 + Assumptions!$C$7) ^ INT(((YEAR(BJ$2)-YEAR($F52))*12 + MONTH(BJ$2)-MONTH($F52)) / 12),
  0)</f>
        <v/>
      </c>
      <c r="BK52" s="299">
        <f>IF(AND($F52&lt;=BK$2, OR($G52="",$G52&gt;=BK$2)),
  $H52 * (1 + Assumptions!$C$7) ^ INT(((YEAR(BK$2)-YEAR($F52))*12 + MONTH(BK$2)-MONTH($F52)) / 12),
  0)</f>
        <v/>
      </c>
      <c r="BL52" s="299">
        <f>IF(AND($F52&lt;=BL$2, OR($G52="",$G52&gt;=BL$2)),
  $H52 * (1 + Assumptions!$C$7) ^ INT(((YEAR(BL$2)-YEAR($F52))*12 + MONTH(BL$2)-MONTH($F52)) / 12),
  0)</f>
        <v/>
      </c>
      <c r="BM52" s="299">
        <f>IF(AND($F52&lt;=BM$2, OR($G52="",$G52&gt;=BM$2)),
  $H52 * (1 + Assumptions!$C$7) ^ INT(((YEAR(BM$2)-YEAR($F52))*12 + MONTH(BM$2)-MONTH($F52)) / 12),
  0)</f>
        <v/>
      </c>
      <c r="BN52" s="299">
        <f>IF(AND($F52&lt;=BN$2, OR($G52="",$G52&gt;=BN$2)),
  $H52 * (1 + Assumptions!$C$7) ^ INT(((YEAR(BN$2)-YEAR($F52))*12 + MONTH(BN$2)-MONTH($F52)) / 12),
  0)</f>
        <v/>
      </c>
      <c r="BO52" s="299">
        <f>IF(AND($F52&lt;=BO$2, OR($G52="",$G52&gt;=BO$2)),
  $H52 * (1 + Assumptions!$C$7) ^ INT(((YEAR(BO$2)-YEAR($F52))*12 + MONTH(BO$2)-MONTH($F52)) / 12),
  0)</f>
        <v/>
      </c>
      <c r="BP52" s="299">
        <f>IF(AND($F52&lt;=BP$2, OR($G52="",$G52&gt;=BP$2)),
  $H52 * (1 + Assumptions!$C$7) ^ INT(((YEAR(BP$2)-YEAR($F52))*12 + MONTH(BP$2)-MONTH($F52)) / 12),
  0)</f>
        <v/>
      </c>
      <c r="BQ52" s="307" t="n"/>
      <c r="BR52" s="83" t="inlineStr">
        <is>
          <t>paid this month if started and not yet left; +8% on each work anniversary</t>
        </is>
      </c>
      <c r="BS52" s="307" t="n"/>
      <c r="BT52" s="307" t="n"/>
    </row>
    <row r="53" ht="15.75" customHeight="1" s="349">
      <c r="A53" s="321" t="n">
        <v>48</v>
      </c>
      <c r="B53" s="285" t="inlineStr">
        <is>
          <t>New hire</t>
        </is>
      </c>
      <c r="C53" s="285" t="inlineStr">
        <is>
          <t>R&amp;D</t>
        </is>
      </c>
      <c r="D53" s="285" t="inlineStr">
        <is>
          <t>Field Engineer</t>
        </is>
      </c>
      <c r="E53" s="297" t="inlineStr">
        <is>
          <t>Planned</t>
        </is>
      </c>
      <c r="F53" s="318" t="n">
        <v>47273</v>
      </c>
      <c r="G53" s="298" t="n"/>
      <c r="H53" s="288" t="n">
        <v>6500</v>
      </c>
      <c r="I53" s="299">
        <f>IF(AND($F53&lt;=I$2, OR($G53="",$G53&gt;=I$2)),
  $H53 * (1 + Assumptions!$C$7) ^ INT(((YEAR(I$2)-YEAR($F53))*12 + MONTH(I$2)-MONTH($F53)) / 12),
  0)</f>
        <v/>
      </c>
      <c r="J53" s="299">
        <f>IF(AND($F53&lt;=J$2, OR($G53="",$G53&gt;=J$2)),
  $H53 * (1 + Assumptions!$C$7) ^ INT(((YEAR(J$2)-YEAR($F53))*12 + MONTH(J$2)-MONTH($F53)) / 12),
  0)</f>
        <v/>
      </c>
      <c r="K53" s="299">
        <f>IF(AND($F53&lt;=K$2, OR($G53="",$G53&gt;=K$2)),
  $H53 * (1 + Assumptions!$C$7) ^ INT(((YEAR(K$2)-YEAR($F53))*12 + MONTH(K$2)-MONTH($F53)) / 12),
  0)</f>
        <v/>
      </c>
      <c r="L53" s="299">
        <f>IF(AND($F53&lt;=L$2, OR($G53="",$G53&gt;=L$2)),
  $H53 * (1 + Assumptions!$C$7) ^ INT(((YEAR(L$2)-YEAR($F53))*12 + MONTH(L$2)-MONTH($F53)) / 12),
  0)</f>
        <v/>
      </c>
      <c r="M53" s="299">
        <f>IF(AND($F53&lt;=M$2, OR($G53="",$G53&gt;=M$2)),
  $H53 * (1 + Assumptions!$C$7) ^ INT(((YEAR(M$2)-YEAR($F53))*12 + MONTH(M$2)-MONTH($F53)) / 12),
  0)</f>
        <v/>
      </c>
      <c r="N53" s="299">
        <f>IF(AND($F53&lt;=N$2, OR($G53="",$G53&gt;=N$2)),
  $H53 * (1 + Assumptions!$C$7) ^ INT(((YEAR(N$2)-YEAR($F53))*12 + MONTH(N$2)-MONTH($F53)) / 12),
  0)</f>
        <v/>
      </c>
      <c r="O53" s="299">
        <f>IF(AND($F53&lt;=O$2, OR($G53="",$G53&gt;=O$2)),
  $H53 * (1 + Assumptions!$C$7) ^ INT(((YEAR(O$2)-YEAR($F53))*12 + MONTH(O$2)-MONTH($F53)) / 12),
  0)</f>
        <v/>
      </c>
      <c r="P53" s="299">
        <f>IF(AND($F53&lt;=P$2, OR($G53="",$G53&gt;=P$2)),
  $H53 * (1 + Assumptions!$C$7) ^ INT(((YEAR(P$2)-YEAR($F53))*12 + MONTH(P$2)-MONTH($F53)) / 12),
  0)</f>
        <v/>
      </c>
      <c r="Q53" s="299">
        <f>IF(AND($F53&lt;=Q$2, OR($G53="",$G53&gt;=Q$2)),
  $H53 * (1 + Assumptions!$C$7) ^ INT(((YEAR(Q$2)-YEAR($F53))*12 + MONTH(Q$2)-MONTH($F53)) / 12),
  0)</f>
        <v/>
      </c>
      <c r="R53" s="299">
        <f>IF(AND($F53&lt;=R$2, OR($G53="",$G53&gt;=R$2)),
  $H53 * (1 + Assumptions!$C$7) ^ INT(((YEAR(R$2)-YEAR($F53))*12 + MONTH(R$2)-MONTH($F53)) / 12),
  0)</f>
        <v/>
      </c>
      <c r="S53" s="299">
        <f>IF(AND($F53&lt;=S$2, OR($G53="",$G53&gt;=S$2)),
  $H53 * (1 + Assumptions!$C$7) ^ INT(((YEAR(S$2)-YEAR($F53))*12 + MONTH(S$2)-MONTH($F53)) / 12),
  0)</f>
        <v/>
      </c>
      <c r="T53" s="299">
        <f>IF(AND($F53&lt;=T$2, OR($G53="",$G53&gt;=T$2)),
  $H53 * (1 + Assumptions!$C$7) ^ INT(((YEAR(T$2)-YEAR($F53))*12 + MONTH(T$2)-MONTH($F53)) / 12),
  0)</f>
        <v/>
      </c>
      <c r="U53" s="299">
        <f>IF(AND($F53&lt;=U$2, OR($G53="",$G53&gt;=U$2)),
  $H53 * (1 + Assumptions!$C$7) ^ INT(((YEAR(U$2)-YEAR($F53))*12 + MONTH(U$2)-MONTH($F53)) / 12),
  0)</f>
        <v/>
      </c>
      <c r="V53" s="299">
        <f>IF(AND($F53&lt;=V$2, OR($G53="",$G53&gt;=V$2)),
  $H53 * (1 + Assumptions!$C$7) ^ INT(((YEAR(V$2)-YEAR($F53))*12 + MONTH(V$2)-MONTH($F53)) / 12),
  0)</f>
        <v/>
      </c>
      <c r="W53" s="299">
        <f>IF(AND($F53&lt;=W$2, OR($G53="",$G53&gt;=W$2)),
  $H53 * (1 + Assumptions!$C$7) ^ INT(((YEAR(W$2)-YEAR($F53))*12 + MONTH(W$2)-MONTH($F53)) / 12),
  0)</f>
        <v/>
      </c>
      <c r="X53" s="299">
        <f>IF(AND($F53&lt;=X$2, OR($G53="",$G53&gt;=X$2)),
  $H53 * (1 + Assumptions!$C$7) ^ INT(((YEAR(X$2)-YEAR($F53))*12 + MONTH(X$2)-MONTH($F53)) / 12),
  0)</f>
        <v/>
      </c>
      <c r="Y53" s="299">
        <f>IF(AND($F53&lt;=Y$2, OR($G53="",$G53&gt;=Y$2)),
  $H53 * (1 + Assumptions!$C$7) ^ INT(((YEAR(Y$2)-YEAR($F53))*12 + MONTH(Y$2)-MONTH($F53)) / 12),
  0)</f>
        <v/>
      </c>
      <c r="Z53" s="299">
        <f>IF(AND($F53&lt;=Z$2, OR($G53="",$G53&gt;=Z$2)),
  $H53 * (1 + Assumptions!$C$7) ^ INT(((YEAR(Z$2)-YEAR($F53))*12 + MONTH(Z$2)-MONTH($F53)) / 12),
  0)</f>
        <v/>
      </c>
      <c r="AA53" s="299">
        <f>IF(AND($F53&lt;=AA$2, OR($G53="",$G53&gt;=AA$2)),
  $H53 * (1 + Assumptions!$C$7) ^ INT(((YEAR(AA$2)-YEAR($F53))*12 + MONTH(AA$2)-MONTH($F53)) / 12),
  0)</f>
        <v/>
      </c>
      <c r="AB53" s="299">
        <f>IF(AND($F53&lt;=AB$2, OR($G53="",$G53&gt;=AB$2)),
  $H53 * (1 + Assumptions!$C$7) ^ INT(((YEAR(AB$2)-YEAR($F53))*12 + MONTH(AB$2)-MONTH($F53)) / 12),
  0)</f>
        <v/>
      </c>
      <c r="AC53" s="299">
        <f>IF(AND($F53&lt;=AC$2, OR($G53="",$G53&gt;=AC$2)),
  $H53 * (1 + Assumptions!$C$7) ^ INT(((YEAR(AC$2)-YEAR($F53))*12 + MONTH(AC$2)-MONTH($F53)) / 12),
  0)</f>
        <v/>
      </c>
      <c r="AD53" s="299">
        <f>IF(AND($F53&lt;=AD$2, OR($G53="",$G53&gt;=AD$2)),
  $H53 * (1 + Assumptions!$C$7) ^ INT(((YEAR(AD$2)-YEAR($F53))*12 + MONTH(AD$2)-MONTH($F53)) / 12),
  0)</f>
        <v/>
      </c>
      <c r="AE53" s="299">
        <f>IF(AND($F53&lt;=AE$2, OR($G53="",$G53&gt;=AE$2)),
  $H53 * (1 + Assumptions!$C$7) ^ INT(((YEAR(AE$2)-YEAR($F53))*12 + MONTH(AE$2)-MONTH($F53)) / 12),
  0)</f>
        <v/>
      </c>
      <c r="AF53" s="299">
        <f>IF(AND($F53&lt;=AF$2, OR($G53="",$G53&gt;=AF$2)),
  $H53 * (1 + Assumptions!$C$7) ^ INT(((YEAR(AF$2)-YEAR($F53))*12 + MONTH(AF$2)-MONTH($F53)) / 12),
  0)</f>
        <v/>
      </c>
      <c r="AG53" s="299">
        <f>IF(AND($F53&lt;=AG$2, OR($G53="",$G53&gt;=AG$2)),
  $H53 * (1 + Assumptions!$C$7) ^ INT(((YEAR(AG$2)-YEAR($F53))*12 + MONTH(AG$2)-MONTH($F53)) / 12),
  0)</f>
        <v/>
      </c>
      <c r="AH53" s="299">
        <f>IF(AND($F53&lt;=AH$2, OR($G53="",$G53&gt;=AH$2)),
  $H53 * (1 + Assumptions!$C$7) ^ INT(((YEAR(AH$2)-YEAR($F53))*12 + MONTH(AH$2)-MONTH($F53)) / 12),
  0)</f>
        <v/>
      </c>
      <c r="AI53" s="299">
        <f>IF(AND($F53&lt;=AI$2, OR($G53="",$G53&gt;=AI$2)),
  $H53 * (1 + Assumptions!$C$7) ^ INT(((YEAR(AI$2)-YEAR($F53))*12 + MONTH(AI$2)-MONTH($F53)) / 12),
  0)</f>
        <v/>
      </c>
      <c r="AJ53" s="299">
        <f>IF(AND($F53&lt;=AJ$2, OR($G53="",$G53&gt;=AJ$2)),
  $H53 * (1 + Assumptions!$C$7) ^ INT(((YEAR(AJ$2)-YEAR($F53))*12 + MONTH(AJ$2)-MONTH($F53)) / 12),
  0)</f>
        <v/>
      </c>
      <c r="AK53" s="299">
        <f>IF(AND($F53&lt;=AK$2, OR($G53="",$G53&gt;=AK$2)),
  $H53 * (1 + Assumptions!$C$7) ^ INT(((YEAR(AK$2)-YEAR($F53))*12 + MONTH(AK$2)-MONTH($F53)) / 12),
  0)</f>
        <v/>
      </c>
      <c r="AL53" s="299">
        <f>IF(AND($F53&lt;=AL$2, OR($G53="",$G53&gt;=AL$2)),
  $H53 * (1 + Assumptions!$C$7) ^ INT(((YEAR(AL$2)-YEAR($F53))*12 + MONTH(AL$2)-MONTH($F53)) / 12),
  0)</f>
        <v/>
      </c>
      <c r="AM53" s="299">
        <f>IF(AND($F53&lt;=AM$2, OR($G53="",$G53&gt;=AM$2)),
  $H53 * (1 + Assumptions!$C$7) ^ INT(((YEAR(AM$2)-YEAR($F53))*12 + MONTH(AM$2)-MONTH($F53)) / 12),
  0)</f>
        <v/>
      </c>
      <c r="AN53" s="299">
        <f>IF(AND($F53&lt;=AN$2, OR($G53="",$G53&gt;=AN$2)),
  $H53 * (1 + Assumptions!$C$7) ^ INT(((YEAR(AN$2)-YEAR($F53))*12 + MONTH(AN$2)-MONTH($F53)) / 12),
  0)</f>
        <v/>
      </c>
      <c r="AO53" s="299">
        <f>IF(AND($F53&lt;=AO$2, OR($G53="",$G53&gt;=AO$2)),
  $H53 * (1 + Assumptions!$C$7) ^ INT(((YEAR(AO$2)-YEAR($F53))*12 + MONTH(AO$2)-MONTH($F53)) / 12),
  0)</f>
        <v/>
      </c>
      <c r="AP53" s="299">
        <f>IF(AND($F53&lt;=AP$2, OR($G53="",$G53&gt;=AP$2)),
  $H53 * (1 + Assumptions!$C$7) ^ INT(((YEAR(AP$2)-YEAR($F53))*12 + MONTH(AP$2)-MONTH($F53)) / 12),
  0)</f>
        <v/>
      </c>
      <c r="AQ53" s="299">
        <f>IF(AND($F53&lt;=AQ$2, OR($G53="",$G53&gt;=AQ$2)),
  $H53 * (1 + Assumptions!$C$7) ^ INT(((YEAR(AQ$2)-YEAR($F53))*12 + MONTH(AQ$2)-MONTH($F53)) / 12),
  0)</f>
        <v/>
      </c>
      <c r="AR53" s="299">
        <f>IF(AND($F53&lt;=AR$2, OR($G53="",$G53&gt;=AR$2)),
  $H53 * (1 + Assumptions!$C$7) ^ INT(((YEAR(AR$2)-YEAR($F53))*12 + MONTH(AR$2)-MONTH($F53)) / 12),
  0)</f>
        <v/>
      </c>
      <c r="AS53" s="299">
        <f>IF(AND($F53&lt;=AS$2, OR($G53="",$G53&gt;=AS$2)),
  $H53 * (1 + Assumptions!$C$7) ^ INT(((YEAR(AS$2)-YEAR($F53))*12 + MONTH(AS$2)-MONTH($F53)) / 12),
  0)</f>
        <v/>
      </c>
      <c r="AT53" s="299">
        <f>IF(AND($F53&lt;=AT$2, OR($G53="",$G53&gt;=AT$2)),
  $H53 * (1 + Assumptions!$C$7) ^ INT(((YEAR(AT$2)-YEAR($F53))*12 + MONTH(AT$2)-MONTH($F53)) / 12),
  0)</f>
        <v/>
      </c>
      <c r="AU53" s="299">
        <f>IF(AND($F53&lt;=AU$2, OR($G53="",$G53&gt;=AU$2)),
  $H53 * (1 + Assumptions!$C$7) ^ INT(((YEAR(AU$2)-YEAR($F53))*12 + MONTH(AU$2)-MONTH($F53)) / 12),
  0)</f>
        <v/>
      </c>
      <c r="AV53" s="299">
        <f>IF(AND($F53&lt;=AV$2, OR($G53="",$G53&gt;=AV$2)),
  $H53 * (1 + Assumptions!$C$7) ^ INT(((YEAR(AV$2)-YEAR($F53))*12 + MONTH(AV$2)-MONTH($F53)) / 12),
  0)</f>
        <v/>
      </c>
      <c r="AW53" s="299">
        <f>IF(AND($F53&lt;=AW$2, OR($G53="",$G53&gt;=AW$2)),
  $H53 * (1 + Assumptions!$C$7) ^ INT(((YEAR(AW$2)-YEAR($F53))*12 + MONTH(AW$2)-MONTH($F53)) / 12),
  0)</f>
        <v/>
      </c>
      <c r="AX53" s="299">
        <f>IF(AND($F53&lt;=AX$2, OR($G53="",$G53&gt;=AX$2)),
  $H53 * (1 + Assumptions!$C$7) ^ INT(((YEAR(AX$2)-YEAR($F53))*12 + MONTH(AX$2)-MONTH($F53)) / 12),
  0)</f>
        <v/>
      </c>
      <c r="AY53" s="299">
        <f>IF(AND($F53&lt;=AY$2, OR($G53="",$G53&gt;=AY$2)),
  $H53 * (1 + Assumptions!$C$7) ^ INT(((YEAR(AY$2)-YEAR($F53))*12 + MONTH(AY$2)-MONTH($F53)) / 12),
  0)</f>
        <v/>
      </c>
      <c r="AZ53" s="299">
        <f>IF(AND($F53&lt;=AZ$2, OR($G53="",$G53&gt;=AZ$2)),
  $H53 * (1 + Assumptions!$C$7) ^ INT(((YEAR(AZ$2)-YEAR($F53))*12 + MONTH(AZ$2)-MONTH($F53)) / 12),
  0)</f>
        <v/>
      </c>
      <c r="BA53" s="299">
        <f>IF(AND($F53&lt;=BA$2, OR($G53="",$G53&gt;=BA$2)),
  $H53 * (1 + Assumptions!$C$7) ^ INT(((YEAR(BA$2)-YEAR($F53))*12 + MONTH(BA$2)-MONTH($F53)) / 12),
  0)</f>
        <v/>
      </c>
      <c r="BB53" s="299">
        <f>IF(AND($F53&lt;=BB$2, OR($G53="",$G53&gt;=BB$2)),
  $H53 * (1 + Assumptions!$C$7) ^ INT(((YEAR(BB$2)-YEAR($F53))*12 + MONTH(BB$2)-MONTH($F53)) / 12),
  0)</f>
        <v/>
      </c>
      <c r="BC53" s="299">
        <f>IF(AND($F53&lt;=BC$2, OR($G53="",$G53&gt;=BC$2)),
  $H53 * (1 + Assumptions!$C$7) ^ INT(((YEAR(BC$2)-YEAR($F53))*12 + MONTH(BC$2)-MONTH($F53)) / 12),
  0)</f>
        <v/>
      </c>
      <c r="BD53" s="299">
        <f>IF(AND($F53&lt;=BD$2, OR($G53="",$G53&gt;=BD$2)),
  $H53 * (1 + Assumptions!$C$7) ^ INT(((YEAR(BD$2)-YEAR($F53))*12 + MONTH(BD$2)-MONTH($F53)) / 12),
  0)</f>
        <v/>
      </c>
      <c r="BE53" s="299">
        <f>IF(AND($F53&lt;=BE$2, OR($G53="",$G53&gt;=BE$2)),
  $H53 * (1 + Assumptions!$C$7) ^ INT(((YEAR(BE$2)-YEAR($F53))*12 + MONTH(BE$2)-MONTH($F53)) / 12),
  0)</f>
        <v/>
      </c>
      <c r="BF53" s="299">
        <f>IF(AND($F53&lt;=BF$2, OR($G53="",$G53&gt;=BF$2)),
  $H53 * (1 + Assumptions!$C$7) ^ INT(((YEAR(BF$2)-YEAR($F53))*12 + MONTH(BF$2)-MONTH($F53)) / 12),
  0)</f>
        <v/>
      </c>
      <c r="BG53" s="299">
        <f>IF(AND($F53&lt;=BG$2, OR($G53="",$G53&gt;=BG$2)),
  $H53 * (1 + Assumptions!$C$7) ^ INT(((YEAR(BG$2)-YEAR($F53))*12 + MONTH(BG$2)-MONTH($F53)) / 12),
  0)</f>
        <v/>
      </c>
      <c r="BH53" s="299">
        <f>IF(AND($F53&lt;=BH$2, OR($G53="",$G53&gt;=BH$2)),
  $H53 * (1 + Assumptions!$C$7) ^ INT(((YEAR(BH$2)-YEAR($F53))*12 + MONTH(BH$2)-MONTH($F53)) / 12),
  0)</f>
        <v/>
      </c>
      <c r="BI53" s="299">
        <f>IF(AND($F53&lt;=BI$2, OR($G53="",$G53&gt;=BI$2)),
  $H53 * (1 + Assumptions!$C$7) ^ INT(((YEAR(BI$2)-YEAR($F53))*12 + MONTH(BI$2)-MONTH($F53)) / 12),
  0)</f>
        <v/>
      </c>
      <c r="BJ53" s="299">
        <f>IF(AND($F53&lt;=BJ$2, OR($G53="",$G53&gt;=BJ$2)),
  $H53 * (1 + Assumptions!$C$7) ^ INT(((YEAR(BJ$2)-YEAR($F53))*12 + MONTH(BJ$2)-MONTH($F53)) / 12),
  0)</f>
        <v/>
      </c>
      <c r="BK53" s="299">
        <f>IF(AND($F53&lt;=BK$2, OR($G53="",$G53&gt;=BK$2)),
  $H53 * (1 + Assumptions!$C$7) ^ INT(((YEAR(BK$2)-YEAR($F53))*12 + MONTH(BK$2)-MONTH($F53)) / 12),
  0)</f>
        <v/>
      </c>
      <c r="BL53" s="299">
        <f>IF(AND($F53&lt;=BL$2, OR($G53="",$G53&gt;=BL$2)),
  $H53 * (1 + Assumptions!$C$7) ^ INT(((YEAR(BL$2)-YEAR($F53))*12 + MONTH(BL$2)-MONTH($F53)) / 12),
  0)</f>
        <v/>
      </c>
      <c r="BM53" s="299">
        <f>IF(AND($F53&lt;=BM$2, OR($G53="",$G53&gt;=BM$2)),
  $H53 * (1 + Assumptions!$C$7) ^ INT(((YEAR(BM$2)-YEAR($F53))*12 + MONTH(BM$2)-MONTH($F53)) / 12),
  0)</f>
        <v/>
      </c>
      <c r="BN53" s="299">
        <f>IF(AND($F53&lt;=BN$2, OR($G53="",$G53&gt;=BN$2)),
  $H53 * (1 + Assumptions!$C$7) ^ INT(((YEAR(BN$2)-YEAR($F53))*12 + MONTH(BN$2)-MONTH($F53)) / 12),
  0)</f>
        <v/>
      </c>
      <c r="BO53" s="299">
        <f>IF(AND($F53&lt;=BO$2, OR($G53="",$G53&gt;=BO$2)),
  $H53 * (1 + Assumptions!$C$7) ^ INT(((YEAR(BO$2)-YEAR($F53))*12 + MONTH(BO$2)-MONTH($F53)) / 12),
  0)</f>
        <v/>
      </c>
      <c r="BP53" s="299">
        <f>IF(AND($F53&lt;=BP$2, OR($G53="",$G53&gt;=BP$2)),
  $H53 * (1 + Assumptions!$C$7) ^ INT(((YEAR(BP$2)-YEAR($F53))*12 + MONTH(BP$2)-MONTH($F53)) / 12),
  0)</f>
        <v/>
      </c>
      <c r="BQ53" s="307" t="n"/>
      <c r="BR53" s="83" t="inlineStr">
        <is>
          <t>paid this month if started and not yet left; +8% on each work anniversary</t>
        </is>
      </c>
      <c r="BS53" s="307" t="n"/>
      <c r="BT53" s="307" t="n"/>
    </row>
    <row r="54" ht="15.75" customHeight="1" s="349">
      <c r="A54" s="321" t="n">
        <v>49</v>
      </c>
      <c r="B54" s="285" t="inlineStr">
        <is>
          <t>New hire</t>
        </is>
      </c>
      <c r="C54" s="23" t="inlineStr">
        <is>
          <t>S&amp;M</t>
        </is>
      </c>
      <c r="D54" s="321" t="inlineStr">
        <is>
          <t>Account Manager</t>
        </is>
      </c>
      <c r="E54" s="297" t="inlineStr">
        <is>
          <t>Planned</t>
        </is>
      </c>
      <c r="F54" s="318" t="n">
        <v>47392</v>
      </c>
      <c r="G54" s="319" t="n"/>
      <c r="H54" s="288" t="n">
        <v>8000</v>
      </c>
      <c r="I54" s="299">
        <f>IF(AND($F54&lt;=I$2, OR($G54="",$G54&gt;=I$2)),
  $H54 * (1 + Assumptions!$C$7) ^ INT(((YEAR(I$2)-YEAR($F54))*12 + MONTH(I$2)-MONTH($F54)) / 12),
  0)</f>
        <v/>
      </c>
      <c r="J54" s="299">
        <f>IF(AND($F54&lt;=J$2, OR($G54="",$G54&gt;=J$2)),
  $H54 * (1 + Assumptions!$C$7) ^ INT(((YEAR(J$2)-YEAR($F54))*12 + MONTH(J$2)-MONTH($F54)) / 12),
  0)</f>
        <v/>
      </c>
      <c r="K54" s="299">
        <f>IF(AND($F54&lt;=K$2, OR($G54="",$G54&gt;=K$2)),
  $H54 * (1 + Assumptions!$C$7) ^ INT(((YEAR(K$2)-YEAR($F54))*12 + MONTH(K$2)-MONTH($F54)) / 12),
  0)</f>
        <v/>
      </c>
      <c r="L54" s="299">
        <f>IF(AND($F54&lt;=L$2, OR($G54="",$G54&gt;=L$2)),
  $H54 * (1 + Assumptions!$C$7) ^ INT(((YEAR(L$2)-YEAR($F54))*12 + MONTH(L$2)-MONTH($F54)) / 12),
  0)</f>
        <v/>
      </c>
      <c r="M54" s="299">
        <f>IF(AND($F54&lt;=M$2, OR($G54="",$G54&gt;=M$2)),
  $H54 * (1 + Assumptions!$C$7) ^ INT(((YEAR(M$2)-YEAR($F54))*12 + MONTH(M$2)-MONTH($F54)) / 12),
  0)</f>
        <v/>
      </c>
      <c r="N54" s="299">
        <f>IF(AND($F54&lt;=N$2, OR($G54="",$G54&gt;=N$2)),
  $H54 * (1 + Assumptions!$C$7) ^ INT(((YEAR(N$2)-YEAR($F54))*12 + MONTH(N$2)-MONTH($F54)) / 12),
  0)</f>
        <v/>
      </c>
      <c r="O54" s="299">
        <f>IF(AND($F54&lt;=O$2, OR($G54="",$G54&gt;=O$2)),
  $H54 * (1 + Assumptions!$C$7) ^ INT(((YEAR(O$2)-YEAR($F54))*12 + MONTH(O$2)-MONTH($F54)) / 12),
  0)</f>
        <v/>
      </c>
      <c r="P54" s="299">
        <f>IF(AND($F54&lt;=P$2, OR($G54="",$G54&gt;=P$2)),
  $H54 * (1 + Assumptions!$C$7) ^ INT(((YEAR(P$2)-YEAR($F54))*12 + MONTH(P$2)-MONTH($F54)) / 12),
  0)</f>
        <v/>
      </c>
      <c r="Q54" s="299">
        <f>IF(AND($F54&lt;=Q$2, OR($G54="",$G54&gt;=Q$2)),
  $H54 * (1 + Assumptions!$C$7) ^ INT(((YEAR(Q$2)-YEAR($F54))*12 + MONTH(Q$2)-MONTH($F54)) / 12),
  0)</f>
        <v/>
      </c>
      <c r="R54" s="299">
        <f>IF(AND($F54&lt;=R$2, OR($G54="",$G54&gt;=R$2)),
  $H54 * (1 + Assumptions!$C$7) ^ INT(((YEAR(R$2)-YEAR($F54))*12 + MONTH(R$2)-MONTH($F54)) / 12),
  0)</f>
        <v/>
      </c>
      <c r="S54" s="299">
        <f>IF(AND($F54&lt;=S$2, OR($G54="",$G54&gt;=S$2)),
  $H54 * (1 + Assumptions!$C$7) ^ INT(((YEAR(S$2)-YEAR($F54))*12 + MONTH(S$2)-MONTH($F54)) / 12),
  0)</f>
        <v/>
      </c>
      <c r="T54" s="299">
        <f>IF(AND($F54&lt;=T$2, OR($G54="",$G54&gt;=T$2)),
  $H54 * (1 + Assumptions!$C$7) ^ INT(((YEAR(T$2)-YEAR($F54))*12 + MONTH(T$2)-MONTH($F54)) / 12),
  0)</f>
        <v/>
      </c>
      <c r="U54" s="299">
        <f>IF(AND($F54&lt;=U$2, OR($G54="",$G54&gt;=U$2)),
  $H54 * (1 + Assumptions!$C$7) ^ INT(((YEAR(U$2)-YEAR($F54))*12 + MONTH(U$2)-MONTH($F54)) / 12),
  0)</f>
        <v/>
      </c>
      <c r="V54" s="299">
        <f>IF(AND($F54&lt;=V$2, OR($G54="",$G54&gt;=V$2)),
  $H54 * (1 + Assumptions!$C$7) ^ INT(((YEAR(V$2)-YEAR($F54))*12 + MONTH(V$2)-MONTH($F54)) / 12),
  0)</f>
        <v/>
      </c>
      <c r="W54" s="299">
        <f>IF(AND($F54&lt;=W$2, OR($G54="",$G54&gt;=W$2)),
  $H54 * (1 + Assumptions!$C$7) ^ INT(((YEAR(W$2)-YEAR($F54))*12 + MONTH(W$2)-MONTH($F54)) / 12),
  0)</f>
        <v/>
      </c>
      <c r="X54" s="299">
        <f>IF(AND($F54&lt;=X$2, OR($G54="",$G54&gt;=X$2)),
  $H54 * (1 + Assumptions!$C$7) ^ INT(((YEAR(X$2)-YEAR($F54))*12 + MONTH(X$2)-MONTH($F54)) / 12),
  0)</f>
        <v/>
      </c>
      <c r="Y54" s="299">
        <f>IF(AND($F54&lt;=Y$2, OR($G54="",$G54&gt;=Y$2)),
  $H54 * (1 + Assumptions!$C$7) ^ INT(((YEAR(Y$2)-YEAR($F54))*12 + MONTH(Y$2)-MONTH($F54)) / 12),
  0)</f>
        <v/>
      </c>
      <c r="Z54" s="299">
        <f>IF(AND($F54&lt;=Z$2, OR($G54="",$G54&gt;=Z$2)),
  $H54 * (1 + Assumptions!$C$7) ^ INT(((YEAR(Z$2)-YEAR($F54))*12 + MONTH(Z$2)-MONTH($F54)) / 12),
  0)</f>
        <v/>
      </c>
      <c r="AA54" s="299">
        <f>IF(AND($F54&lt;=AA$2, OR($G54="",$G54&gt;=AA$2)),
  $H54 * (1 + Assumptions!$C$7) ^ INT(((YEAR(AA$2)-YEAR($F54))*12 + MONTH(AA$2)-MONTH($F54)) / 12),
  0)</f>
        <v/>
      </c>
      <c r="AB54" s="299">
        <f>IF(AND($F54&lt;=AB$2, OR($G54="",$G54&gt;=AB$2)),
  $H54 * (1 + Assumptions!$C$7) ^ INT(((YEAR(AB$2)-YEAR($F54))*12 + MONTH(AB$2)-MONTH($F54)) / 12),
  0)</f>
        <v/>
      </c>
      <c r="AC54" s="299">
        <f>IF(AND($F54&lt;=AC$2, OR($G54="",$G54&gt;=AC$2)),
  $H54 * (1 + Assumptions!$C$7) ^ INT(((YEAR(AC$2)-YEAR($F54))*12 + MONTH(AC$2)-MONTH($F54)) / 12),
  0)</f>
        <v/>
      </c>
      <c r="AD54" s="299">
        <f>IF(AND($F54&lt;=AD$2, OR($G54="",$G54&gt;=AD$2)),
  $H54 * (1 + Assumptions!$C$7) ^ INT(((YEAR(AD$2)-YEAR($F54))*12 + MONTH(AD$2)-MONTH($F54)) / 12),
  0)</f>
        <v/>
      </c>
      <c r="AE54" s="299">
        <f>IF(AND($F54&lt;=AE$2, OR($G54="",$G54&gt;=AE$2)),
  $H54 * (1 + Assumptions!$C$7) ^ INT(((YEAR(AE$2)-YEAR($F54))*12 + MONTH(AE$2)-MONTH($F54)) / 12),
  0)</f>
        <v/>
      </c>
      <c r="AF54" s="299">
        <f>IF(AND($F54&lt;=AF$2, OR($G54="",$G54&gt;=AF$2)),
  $H54 * (1 + Assumptions!$C$7) ^ INT(((YEAR(AF$2)-YEAR($F54))*12 + MONTH(AF$2)-MONTH($F54)) / 12),
  0)</f>
        <v/>
      </c>
      <c r="AG54" s="299">
        <f>IF(AND($F54&lt;=AG$2, OR($G54="",$G54&gt;=AG$2)),
  $H54 * (1 + Assumptions!$C$7) ^ INT(((YEAR(AG$2)-YEAR($F54))*12 + MONTH(AG$2)-MONTH($F54)) / 12),
  0)</f>
        <v/>
      </c>
      <c r="AH54" s="299">
        <f>IF(AND($F54&lt;=AH$2, OR($G54="",$G54&gt;=AH$2)),
  $H54 * (1 + Assumptions!$C$7) ^ INT(((YEAR(AH$2)-YEAR($F54))*12 + MONTH(AH$2)-MONTH($F54)) / 12),
  0)</f>
        <v/>
      </c>
      <c r="AI54" s="299">
        <f>IF(AND($F54&lt;=AI$2, OR($G54="",$G54&gt;=AI$2)),
  $H54 * (1 + Assumptions!$C$7) ^ INT(((YEAR(AI$2)-YEAR($F54))*12 + MONTH(AI$2)-MONTH($F54)) / 12),
  0)</f>
        <v/>
      </c>
      <c r="AJ54" s="299">
        <f>IF(AND($F54&lt;=AJ$2, OR($G54="",$G54&gt;=AJ$2)),
  $H54 * (1 + Assumptions!$C$7) ^ INT(((YEAR(AJ$2)-YEAR($F54))*12 + MONTH(AJ$2)-MONTH($F54)) / 12),
  0)</f>
        <v/>
      </c>
      <c r="AK54" s="299">
        <f>IF(AND($F54&lt;=AK$2, OR($G54="",$G54&gt;=AK$2)),
  $H54 * (1 + Assumptions!$C$7) ^ INT(((YEAR(AK$2)-YEAR($F54))*12 + MONTH(AK$2)-MONTH($F54)) / 12),
  0)</f>
        <v/>
      </c>
      <c r="AL54" s="299">
        <f>IF(AND($F54&lt;=AL$2, OR($G54="",$G54&gt;=AL$2)),
  $H54 * (1 + Assumptions!$C$7) ^ INT(((YEAR(AL$2)-YEAR($F54))*12 + MONTH(AL$2)-MONTH($F54)) / 12),
  0)</f>
        <v/>
      </c>
      <c r="AM54" s="299">
        <f>IF(AND($F54&lt;=AM$2, OR($G54="",$G54&gt;=AM$2)),
  $H54 * (1 + Assumptions!$C$7) ^ INT(((YEAR(AM$2)-YEAR($F54))*12 + MONTH(AM$2)-MONTH($F54)) / 12),
  0)</f>
        <v/>
      </c>
      <c r="AN54" s="299">
        <f>IF(AND($F54&lt;=AN$2, OR($G54="",$G54&gt;=AN$2)),
  $H54 * (1 + Assumptions!$C$7) ^ INT(((YEAR(AN$2)-YEAR($F54))*12 + MONTH(AN$2)-MONTH($F54)) / 12),
  0)</f>
        <v/>
      </c>
      <c r="AO54" s="299">
        <f>IF(AND($F54&lt;=AO$2, OR($G54="",$G54&gt;=AO$2)),
  $H54 * (1 + Assumptions!$C$7) ^ INT(((YEAR(AO$2)-YEAR($F54))*12 + MONTH(AO$2)-MONTH($F54)) / 12),
  0)</f>
        <v/>
      </c>
      <c r="AP54" s="299">
        <f>IF(AND($F54&lt;=AP$2, OR($G54="",$G54&gt;=AP$2)),
  $H54 * (1 + Assumptions!$C$7) ^ INT(((YEAR(AP$2)-YEAR($F54))*12 + MONTH(AP$2)-MONTH($F54)) / 12),
  0)</f>
        <v/>
      </c>
      <c r="AQ54" s="299">
        <f>IF(AND($F54&lt;=AQ$2, OR($G54="",$G54&gt;=AQ$2)),
  $H54 * (1 + Assumptions!$C$7) ^ INT(((YEAR(AQ$2)-YEAR($F54))*12 + MONTH(AQ$2)-MONTH($F54)) / 12),
  0)</f>
        <v/>
      </c>
      <c r="AR54" s="299">
        <f>IF(AND($F54&lt;=AR$2, OR($G54="",$G54&gt;=AR$2)),
  $H54 * (1 + Assumptions!$C$7) ^ INT(((YEAR(AR$2)-YEAR($F54))*12 + MONTH(AR$2)-MONTH($F54)) / 12),
  0)</f>
        <v/>
      </c>
      <c r="AS54" s="299">
        <f>IF(AND($F54&lt;=AS$2, OR($G54="",$G54&gt;=AS$2)),
  $H54 * (1 + Assumptions!$C$7) ^ INT(((YEAR(AS$2)-YEAR($F54))*12 + MONTH(AS$2)-MONTH($F54)) / 12),
  0)</f>
        <v/>
      </c>
      <c r="AT54" s="299">
        <f>IF(AND($F54&lt;=AT$2, OR($G54="",$G54&gt;=AT$2)),
  $H54 * (1 + Assumptions!$C$7) ^ INT(((YEAR(AT$2)-YEAR($F54))*12 + MONTH(AT$2)-MONTH($F54)) / 12),
  0)</f>
        <v/>
      </c>
      <c r="AU54" s="299">
        <f>IF(AND($F54&lt;=AU$2, OR($G54="",$G54&gt;=AU$2)),
  $H54 * (1 + Assumptions!$C$7) ^ INT(((YEAR(AU$2)-YEAR($F54))*12 + MONTH(AU$2)-MONTH($F54)) / 12),
  0)</f>
        <v/>
      </c>
      <c r="AV54" s="299">
        <f>IF(AND($F54&lt;=AV$2, OR($G54="",$G54&gt;=AV$2)),
  $H54 * (1 + Assumptions!$C$7) ^ INT(((YEAR(AV$2)-YEAR($F54))*12 + MONTH(AV$2)-MONTH($F54)) / 12),
  0)</f>
        <v/>
      </c>
      <c r="AW54" s="299">
        <f>IF(AND($F54&lt;=AW$2, OR($G54="",$G54&gt;=AW$2)),
  $H54 * (1 + Assumptions!$C$7) ^ INT(((YEAR(AW$2)-YEAR($F54))*12 + MONTH(AW$2)-MONTH($F54)) / 12),
  0)</f>
        <v/>
      </c>
      <c r="AX54" s="299">
        <f>IF(AND($F54&lt;=AX$2, OR($G54="",$G54&gt;=AX$2)),
  $H54 * (1 + Assumptions!$C$7) ^ INT(((YEAR(AX$2)-YEAR($F54))*12 + MONTH(AX$2)-MONTH($F54)) / 12),
  0)</f>
        <v/>
      </c>
      <c r="AY54" s="299">
        <f>IF(AND($F54&lt;=AY$2, OR($G54="",$G54&gt;=AY$2)),
  $H54 * (1 + Assumptions!$C$7) ^ INT(((YEAR(AY$2)-YEAR($F54))*12 + MONTH(AY$2)-MONTH($F54)) / 12),
  0)</f>
        <v/>
      </c>
      <c r="AZ54" s="299">
        <f>IF(AND($F54&lt;=AZ$2, OR($G54="",$G54&gt;=AZ$2)),
  $H54 * (1 + Assumptions!$C$7) ^ INT(((YEAR(AZ$2)-YEAR($F54))*12 + MONTH(AZ$2)-MONTH($F54)) / 12),
  0)</f>
        <v/>
      </c>
      <c r="BA54" s="299">
        <f>IF(AND($F54&lt;=BA$2, OR($G54="",$G54&gt;=BA$2)),
  $H54 * (1 + Assumptions!$C$7) ^ INT(((YEAR(BA$2)-YEAR($F54))*12 + MONTH(BA$2)-MONTH($F54)) / 12),
  0)</f>
        <v/>
      </c>
      <c r="BB54" s="299">
        <f>IF(AND($F54&lt;=BB$2, OR($G54="",$G54&gt;=BB$2)),
  $H54 * (1 + Assumptions!$C$7) ^ INT(((YEAR(BB$2)-YEAR($F54))*12 + MONTH(BB$2)-MONTH($F54)) / 12),
  0)</f>
        <v/>
      </c>
      <c r="BC54" s="299">
        <f>IF(AND($F54&lt;=BC$2, OR($G54="",$G54&gt;=BC$2)),
  $H54 * (1 + Assumptions!$C$7) ^ INT(((YEAR(BC$2)-YEAR($F54))*12 + MONTH(BC$2)-MONTH($F54)) / 12),
  0)</f>
        <v/>
      </c>
      <c r="BD54" s="299">
        <f>IF(AND($F54&lt;=BD$2, OR($G54="",$G54&gt;=BD$2)),
  $H54 * (1 + Assumptions!$C$7) ^ INT(((YEAR(BD$2)-YEAR($F54))*12 + MONTH(BD$2)-MONTH($F54)) / 12),
  0)</f>
        <v/>
      </c>
      <c r="BE54" s="299">
        <f>IF(AND($F54&lt;=BE$2, OR($G54="",$G54&gt;=BE$2)),
  $H54 * (1 + Assumptions!$C$7) ^ INT(((YEAR(BE$2)-YEAR($F54))*12 + MONTH(BE$2)-MONTH($F54)) / 12),
  0)</f>
        <v/>
      </c>
      <c r="BF54" s="299">
        <f>IF(AND($F54&lt;=BF$2, OR($G54="",$G54&gt;=BF$2)),
  $H54 * (1 + Assumptions!$C$7) ^ INT(((YEAR(BF$2)-YEAR($F54))*12 + MONTH(BF$2)-MONTH($F54)) / 12),
  0)</f>
        <v/>
      </c>
      <c r="BG54" s="299">
        <f>IF(AND($F54&lt;=BG$2, OR($G54="",$G54&gt;=BG$2)),
  $H54 * (1 + Assumptions!$C$7) ^ INT(((YEAR(BG$2)-YEAR($F54))*12 + MONTH(BG$2)-MONTH($F54)) / 12),
  0)</f>
        <v/>
      </c>
      <c r="BH54" s="299">
        <f>IF(AND($F54&lt;=BH$2, OR($G54="",$G54&gt;=BH$2)),
  $H54 * (1 + Assumptions!$C$7) ^ INT(((YEAR(BH$2)-YEAR($F54))*12 + MONTH(BH$2)-MONTH($F54)) / 12),
  0)</f>
        <v/>
      </c>
      <c r="BI54" s="299">
        <f>IF(AND($F54&lt;=BI$2, OR($G54="",$G54&gt;=BI$2)),
  $H54 * (1 + Assumptions!$C$7) ^ INT(((YEAR(BI$2)-YEAR($F54))*12 + MONTH(BI$2)-MONTH($F54)) / 12),
  0)</f>
        <v/>
      </c>
      <c r="BJ54" s="299">
        <f>IF(AND($F54&lt;=BJ$2, OR($G54="",$G54&gt;=BJ$2)),
  $H54 * (1 + Assumptions!$C$7) ^ INT(((YEAR(BJ$2)-YEAR($F54))*12 + MONTH(BJ$2)-MONTH($F54)) / 12),
  0)</f>
        <v/>
      </c>
      <c r="BK54" s="299">
        <f>IF(AND($F54&lt;=BK$2, OR($G54="",$G54&gt;=BK$2)),
  $H54 * (1 + Assumptions!$C$7) ^ INT(((YEAR(BK$2)-YEAR($F54))*12 + MONTH(BK$2)-MONTH($F54)) / 12),
  0)</f>
        <v/>
      </c>
      <c r="BL54" s="299">
        <f>IF(AND($F54&lt;=BL$2, OR($G54="",$G54&gt;=BL$2)),
  $H54 * (1 + Assumptions!$C$7) ^ INT(((YEAR(BL$2)-YEAR($F54))*12 + MONTH(BL$2)-MONTH($F54)) / 12),
  0)</f>
        <v/>
      </c>
      <c r="BM54" s="299">
        <f>IF(AND($F54&lt;=BM$2, OR($G54="",$G54&gt;=BM$2)),
  $H54 * (1 + Assumptions!$C$7) ^ INT(((YEAR(BM$2)-YEAR($F54))*12 + MONTH(BM$2)-MONTH($F54)) / 12),
  0)</f>
        <v/>
      </c>
      <c r="BN54" s="299">
        <f>IF(AND($F54&lt;=BN$2, OR($G54="",$G54&gt;=BN$2)),
  $H54 * (1 + Assumptions!$C$7) ^ INT(((YEAR(BN$2)-YEAR($F54))*12 + MONTH(BN$2)-MONTH($F54)) / 12),
  0)</f>
        <v/>
      </c>
      <c r="BO54" s="299">
        <f>IF(AND($F54&lt;=BO$2, OR($G54="",$G54&gt;=BO$2)),
  $H54 * (1 + Assumptions!$C$7) ^ INT(((YEAR(BO$2)-YEAR($F54))*12 + MONTH(BO$2)-MONTH($F54)) / 12),
  0)</f>
        <v/>
      </c>
      <c r="BP54" s="299">
        <f>IF(AND($F54&lt;=BP$2, OR($G54="",$G54&gt;=BP$2)),
  $H54 * (1 + Assumptions!$C$7) ^ INT(((YEAR(BP$2)-YEAR($F54))*12 + MONTH(BP$2)-MONTH($F54)) / 12),
  0)</f>
        <v/>
      </c>
      <c r="BQ54" s="307" t="n"/>
      <c r="BR54" s="83" t="inlineStr">
        <is>
          <t>paid this month if started and not yet left; +8% on each work anniversary</t>
        </is>
      </c>
      <c r="BS54" s="307" t="n"/>
      <c r="BT54" s="307" t="n"/>
    </row>
    <row r="55" ht="15.75" customHeight="1" s="349">
      <c r="A55" s="321" t="n">
        <v>50</v>
      </c>
      <c r="B55" s="285" t="inlineStr">
        <is>
          <t>New hire</t>
        </is>
      </c>
      <c r="C55" s="23" t="inlineStr">
        <is>
          <t>G&amp;A</t>
        </is>
      </c>
      <c r="D55" s="321" t="inlineStr">
        <is>
          <t>Operations</t>
        </is>
      </c>
      <c r="E55" s="297" t="inlineStr">
        <is>
          <t>Planned</t>
        </is>
      </c>
      <c r="F55" s="318">
        <f>IF(Assumptions!$D$82=2,DATE(2028,6,1),DATE(2029,10,2))</f>
        <v/>
      </c>
      <c r="G55" s="319" t="n"/>
      <c r="H55" s="288" t="n">
        <v>6500</v>
      </c>
      <c r="I55" s="299">
        <f>IF(AND($F55&lt;=I$2, OR($G55="",$G55&gt;=I$2)),
  $H55 * (1 + Assumptions!$C$7) ^ INT(((YEAR(I$2)-YEAR($F55))*12 + MONTH(I$2)-MONTH($F55)) / 12),
  0)</f>
        <v/>
      </c>
      <c r="J55" s="299">
        <f>IF(AND($F55&lt;=J$2, OR($G55="",$G55&gt;=J$2)),
  $H55 * (1 + Assumptions!$C$7) ^ INT(((YEAR(J$2)-YEAR($F55))*12 + MONTH(J$2)-MONTH($F55)) / 12),
  0)</f>
        <v/>
      </c>
      <c r="K55" s="299">
        <f>IF(AND($F55&lt;=K$2, OR($G55="",$G55&gt;=K$2)),
  $H55 * (1 + Assumptions!$C$7) ^ INT(((YEAR(K$2)-YEAR($F55))*12 + MONTH(K$2)-MONTH($F55)) / 12),
  0)</f>
        <v/>
      </c>
      <c r="L55" s="299">
        <f>IF(AND($F55&lt;=L$2, OR($G55="",$G55&gt;=L$2)),
  $H55 * (1 + Assumptions!$C$7) ^ INT(((YEAR(L$2)-YEAR($F55))*12 + MONTH(L$2)-MONTH($F55)) / 12),
  0)</f>
        <v/>
      </c>
      <c r="M55" s="299">
        <f>IF(AND($F55&lt;=M$2, OR($G55="",$G55&gt;=M$2)),
  $H55 * (1 + Assumptions!$C$7) ^ INT(((YEAR(M$2)-YEAR($F55))*12 + MONTH(M$2)-MONTH($F55)) / 12),
  0)</f>
        <v/>
      </c>
      <c r="N55" s="299">
        <f>IF(AND($F55&lt;=N$2, OR($G55="",$G55&gt;=N$2)),
  $H55 * (1 + Assumptions!$C$7) ^ INT(((YEAR(N$2)-YEAR($F55))*12 + MONTH(N$2)-MONTH($F55)) / 12),
  0)</f>
        <v/>
      </c>
      <c r="O55" s="299">
        <f>IF(AND($F55&lt;=O$2, OR($G55="",$G55&gt;=O$2)),
  $H55 * (1 + Assumptions!$C$7) ^ INT(((YEAR(O$2)-YEAR($F55))*12 + MONTH(O$2)-MONTH($F55)) / 12),
  0)</f>
        <v/>
      </c>
      <c r="P55" s="299">
        <f>IF(AND($F55&lt;=P$2, OR($G55="",$G55&gt;=P$2)),
  $H55 * (1 + Assumptions!$C$7) ^ INT(((YEAR(P$2)-YEAR($F55))*12 + MONTH(P$2)-MONTH($F55)) / 12),
  0)</f>
        <v/>
      </c>
      <c r="Q55" s="299">
        <f>IF(AND($F55&lt;=Q$2, OR($G55="",$G55&gt;=Q$2)),
  $H55 * (1 + Assumptions!$C$7) ^ INT(((YEAR(Q$2)-YEAR($F55))*12 + MONTH(Q$2)-MONTH($F55)) / 12),
  0)</f>
        <v/>
      </c>
      <c r="R55" s="299">
        <f>IF(AND($F55&lt;=R$2, OR($G55="",$G55&gt;=R$2)),
  $H55 * (1 + Assumptions!$C$7) ^ INT(((YEAR(R$2)-YEAR($F55))*12 + MONTH(R$2)-MONTH($F55)) / 12),
  0)</f>
        <v/>
      </c>
      <c r="S55" s="299">
        <f>IF(AND($F55&lt;=S$2, OR($G55="",$G55&gt;=S$2)),
  $H55 * (1 + Assumptions!$C$7) ^ INT(((YEAR(S$2)-YEAR($F55))*12 + MONTH(S$2)-MONTH($F55)) / 12),
  0)</f>
        <v/>
      </c>
      <c r="T55" s="299">
        <f>IF(AND($F55&lt;=T$2, OR($G55="",$G55&gt;=T$2)),
  $H55 * (1 + Assumptions!$C$7) ^ INT(((YEAR(T$2)-YEAR($F55))*12 + MONTH(T$2)-MONTH($F55)) / 12),
  0)</f>
        <v/>
      </c>
      <c r="U55" s="299">
        <f>IF(AND($F55&lt;=U$2, OR($G55="",$G55&gt;=U$2)),
  $H55 * (1 + Assumptions!$C$7) ^ INT(((YEAR(U$2)-YEAR($F55))*12 + MONTH(U$2)-MONTH($F55)) / 12),
  0)</f>
        <v/>
      </c>
      <c r="V55" s="299">
        <f>IF(AND($F55&lt;=V$2, OR($G55="",$G55&gt;=V$2)),
  $H55 * (1 + Assumptions!$C$7) ^ INT(((YEAR(V$2)-YEAR($F55))*12 + MONTH(V$2)-MONTH($F55)) / 12),
  0)</f>
        <v/>
      </c>
      <c r="W55" s="299">
        <f>IF(AND($F55&lt;=W$2, OR($G55="",$G55&gt;=W$2)),
  $H55 * (1 + Assumptions!$C$7) ^ INT(((YEAR(W$2)-YEAR($F55))*12 + MONTH(W$2)-MONTH($F55)) / 12),
  0)</f>
        <v/>
      </c>
      <c r="X55" s="299">
        <f>IF(AND($F55&lt;=X$2, OR($G55="",$G55&gt;=X$2)),
  $H55 * (1 + Assumptions!$C$7) ^ INT(((YEAR(X$2)-YEAR($F55))*12 + MONTH(X$2)-MONTH($F55)) / 12),
  0)</f>
        <v/>
      </c>
      <c r="Y55" s="299">
        <f>IF(AND($F55&lt;=Y$2, OR($G55="",$G55&gt;=Y$2)),
  $H55 * (1 + Assumptions!$C$7) ^ INT(((YEAR(Y$2)-YEAR($F55))*12 + MONTH(Y$2)-MONTH($F55)) / 12),
  0)</f>
        <v/>
      </c>
      <c r="Z55" s="299">
        <f>IF(AND($F55&lt;=Z$2, OR($G55="",$G55&gt;=Z$2)),
  $H55 * (1 + Assumptions!$C$7) ^ INT(((YEAR(Z$2)-YEAR($F55))*12 + MONTH(Z$2)-MONTH($F55)) / 12),
  0)</f>
        <v/>
      </c>
      <c r="AA55" s="299">
        <f>IF(AND($F55&lt;=AA$2, OR($G55="",$G55&gt;=AA$2)),
  $H55 * (1 + Assumptions!$C$7) ^ INT(((YEAR(AA$2)-YEAR($F55))*12 + MONTH(AA$2)-MONTH($F55)) / 12),
  0)</f>
        <v/>
      </c>
      <c r="AB55" s="299">
        <f>IF(AND($F55&lt;=AB$2, OR($G55="",$G55&gt;=AB$2)),
  $H55 * (1 + Assumptions!$C$7) ^ INT(((YEAR(AB$2)-YEAR($F55))*12 + MONTH(AB$2)-MONTH($F55)) / 12),
  0)</f>
        <v/>
      </c>
      <c r="AC55" s="299">
        <f>IF(AND($F55&lt;=AC$2, OR($G55="",$G55&gt;=AC$2)),
  $H55 * (1 + Assumptions!$C$7) ^ INT(((YEAR(AC$2)-YEAR($F55))*12 + MONTH(AC$2)-MONTH($F55)) / 12),
  0)</f>
        <v/>
      </c>
      <c r="AD55" s="299">
        <f>IF(AND($F55&lt;=AD$2, OR($G55="",$G55&gt;=AD$2)),
  $H55 * (1 + Assumptions!$C$7) ^ INT(((YEAR(AD$2)-YEAR($F55))*12 + MONTH(AD$2)-MONTH($F55)) / 12),
  0)</f>
        <v/>
      </c>
      <c r="AE55" s="299">
        <f>IF(AND($F55&lt;=AE$2, OR($G55="",$G55&gt;=AE$2)),
  $H55 * (1 + Assumptions!$C$7) ^ INT(((YEAR(AE$2)-YEAR($F55))*12 + MONTH(AE$2)-MONTH($F55)) / 12),
  0)</f>
        <v/>
      </c>
      <c r="AF55" s="299">
        <f>IF(AND($F55&lt;=AF$2, OR($G55="",$G55&gt;=AF$2)),
  $H55 * (1 + Assumptions!$C$7) ^ INT(((YEAR(AF$2)-YEAR($F55))*12 + MONTH(AF$2)-MONTH($F55)) / 12),
  0)</f>
        <v/>
      </c>
      <c r="AG55" s="299">
        <f>IF(AND($F55&lt;=AG$2, OR($G55="",$G55&gt;=AG$2)),
  $H55 * (1 + Assumptions!$C$7) ^ INT(((YEAR(AG$2)-YEAR($F55))*12 + MONTH(AG$2)-MONTH($F55)) / 12),
  0)</f>
        <v/>
      </c>
      <c r="AH55" s="299">
        <f>IF(AND($F55&lt;=AH$2, OR($G55="",$G55&gt;=AH$2)),
  $H55 * (1 + Assumptions!$C$7) ^ INT(((YEAR(AH$2)-YEAR($F55))*12 + MONTH(AH$2)-MONTH($F55)) / 12),
  0)</f>
        <v/>
      </c>
      <c r="AI55" s="299">
        <f>IF(AND($F55&lt;=AI$2, OR($G55="",$G55&gt;=AI$2)),
  $H55 * (1 + Assumptions!$C$7) ^ INT(((YEAR(AI$2)-YEAR($F55))*12 + MONTH(AI$2)-MONTH($F55)) / 12),
  0)</f>
        <v/>
      </c>
      <c r="AJ55" s="299">
        <f>IF(AND($F55&lt;=AJ$2, OR($G55="",$G55&gt;=AJ$2)),
  $H55 * (1 + Assumptions!$C$7) ^ INT(((YEAR(AJ$2)-YEAR($F55))*12 + MONTH(AJ$2)-MONTH($F55)) / 12),
  0)</f>
        <v/>
      </c>
      <c r="AK55" s="299">
        <f>IF(AND($F55&lt;=AK$2, OR($G55="",$G55&gt;=AK$2)),
  $H55 * (1 + Assumptions!$C$7) ^ INT(((YEAR(AK$2)-YEAR($F55))*12 + MONTH(AK$2)-MONTH($F55)) / 12),
  0)</f>
        <v/>
      </c>
      <c r="AL55" s="299">
        <f>IF(AND($F55&lt;=AL$2, OR($G55="",$G55&gt;=AL$2)),
  $H55 * (1 + Assumptions!$C$7) ^ INT(((YEAR(AL$2)-YEAR($F55))*12 + MONTH(AL$2)-MONTH($F55)) / 12),
  0)</f>
        <v/>
      </c>
      <c r="AM55" s="299">
        <f>IF(AND($F55&lt;=AM$2, OR($G55="",$G55&gt;=AM$2)),
  $H55 * (1 + Assumptions!$C$7) ^ INT(((YEAR(AM$2)-YEAR($F55))*12 + MONTH(AM$2)-MONTH($F55)) / 12),
  0)</f>
        <v/>
      </c>
      <c r="AN55" s="299">
        <f>IF(AND($F55&lt;=AN$2, OR($G55="",$G55&gt;=AN$2)),
  $H55 * (1 + Assumptions!$C$7) ^ INT(((YEAR(AN$2)-YEAR($F55))*12 + MONTH(AN$2)-MONTH($F55)) / 12),
  0)</f>
        <v/>
      </c>
      <c r="AO55" s="299">
        <f>IF(AND($F55&lt;=AO$2, OR($G55="",$G55&gt;=AO$2)),
  $H55 * (1 + Assumptions!$C$7) ^ INT(((YEAR(AO$2)-YEAR($F55))*12 + MONTH(AO$2)-MONTH($F55)) / 12),
  0)</f>
        <v/>
      </c>
      <c r="AP55" s="299">
        <f>IF(AND($F55&lt;=AP$2, OR($G55="",$G55&gt;=AP$2)),
  $H55 * (1 + Assumptions!$C$7) ^ INT(((YEAR(AP$2)-YEAR($F55))*12 + MONTH(AP$2)-MONTH($F55)) / 12),
  0)</f>
        <v/>
      </c>
      <c r="AQ55" s="299">
        <f>IF(AND($F55&lt;=AQ$2, OR($G55="",$G55&gt;=AQ$2)),
  $H55 * (1 + Assumptions!$C$7) ^ INT(((YEAR(AQ$2)-YEAR($F55))*12 + MONTH(AQ$2)-MONTH($F55)) / 12),
  0)</f>
        <v/>
      </c>
      <c r="AR55" s="299">
        <f>IF(AND($F55&lt;=AR$2, OR($G55="",$G55&gt;=AR$2)),
  $H55 * (1 + Assumptions!$C$7) ^ INT(((YEAR(AR$2)-YEAR($F55))*12 + MONTH(AR$2)-MONTH($F55)) / 12),
  0)</f>
        <v/>
      </c>
      <c r="AS55" s="299">
        <f>IF(AND($F55&lt;=AS$2, OR($G55="",$G55&gt;=AS$2)),
  $H55 * (1 + Assumptions!$C$7) ^ INT(((YEAR(AS$2)-YEAR($F55))*12 + MONTH(AS$2)-MONTH($F55)) / 12),
  0)</f>
        <v/>
      </c>
      <c r="AT55" s="299">
        <f>IF(AND($F55&lt;=AT$2, OR($G55="",$G55&gt;=AT$2)),
  $H55 * (1 + Assumptions!$C$7) ^ INT(((YEAR(AT$2)-YEAR($F55))*12 + MONTH(AT$2)-MONTH($F55)) / 12),
  0)</f>
        <v/>
      </c>
      <c r="AU55" s="299">
        <f>IF(AND($F55&lt;=AU$2, OR($G55="",$G55&gt;=AU$2)),
  $H55 * (1 + Assumptions!$C$7) ^ INT(((YEAR(AU$2)-YEAR($F55))*12 + MONTH(AU$2)-MONTH($F55)) / 12),
  0)</f>
        <v/>
      </c>
      <c r="AV55" s="299">
        <f>IF(AND($F55&lt;=AV$2, OR($G55="",$G55&gt;=AV$2)),
  $H55 * (1 + Assumptions!$C$7) ^ INT(((YEAR(AV$2)-YEAR($F55))*12 + MONTH(AV$2)-MONTH($F55)) / 12),
  0)</f>
        <v/>
      </c>
      <c r="AW55" s="299">
        <f>IF(AND($F55&lt;=AW$2, OR($G55="",$G55&gt;=AW$2)),
  $H55 * (1 + Assumptions!$C$7) ^ INT(((YEAR(AW$2)-YEAR($F55))*12 + MONTH(AW$2)-MONTH($F55)) / 12),
  0)</f>
        <v/>
      </c>
      <c r="AX55" s="299">
        <f>IF(AND($F55&lt;=AX$2, OR($G55="",$G55&gt;=AX$2)),
  $H55 * (1 + Assumptions!$C$7) ^ INT(((YEAR(AX$2)-YEAR($F55))*12 + MONTH(AX$2)-MONTH($F55)) / 12),
  0)</f>
        <v/>
      </c>
      <c r="AY55" s="299">
        <f>IF(AND($F55&lt;=AY$2, OR($G55="",$G55&gt;=AY$2)),
  $H55 * (1 + Assumptions!$C$7) ^ INT(((YEAR(AY$2)-YEAR($F55))*12 + MONTH(AY$2)-MONTH($F55)) / 12),
  0)</f>
        <v/>
      </c>
      <c r="AZ55" s="299">
        <f>IF(AND($F55&lt;=AZ$2, OR($G55="",$G55&gt;=AZ$2)),
  $H55 * (1 + Assumptions!$C$7) ^ INT(((YEAR(AZ$2)-YEAR($F55))*12 + MONTH(AZ$2)-MONTH($F55)) / 12),
  0)</f>
        <v/>
      </c>
      <c r="BA55" s="299">
        <f>IF(AND($F55&lt;=BA$2, OR($G55="",$G55&gt;=BA$2)),
  $H55 * (1 + Assumptions!$C$7) ^ INT(((YEAR(BA$2)-YEAR($F55))*12 + MONTH(BA$2)-MONTH($F55)) / 12),
  0)</f>
        <v/>
      </c>
      <c r="BB55" s="299">
        <f>IF(AND($F55&lt;=BB$2, OR($G55="",$G55&gt;=BB$2)),
  $H55 * (1 + Assumptions!$C$7) ^ INT(((YEAR(BB$2)-YEAR($F55))*12 + MONTH(BB$2)-MONTH($F55)) / 12),
  0)</f>
        <v/>
      </c>
      <c r="BC55" s="299">
        <f>IF(AND($F55&lt;=BC$2, OR($G55="",$G55&gt;=BC$2)),
  $H55 * (1 + Assumptions!$C$7) ^ INT(((YEAR(BC$2)-YEAR($F55))*12 + MONTH(BC$2)-MONTH($F55)) / 12),
  0)</f>
        <v/>
      </c>
      <c r="BD55" s="299">
        <f>IF(AND($F55&lt;=BD$2, OR($G55="",$G55&gt;=BD$2)),
  $H55 * (1 + Assumptions!$C$7) ^ INT(((YEAR(BD$2)-YEAR($F55))*12 + MONTH(BD$2)-MONTH($F55)) / 12),
  0)</f>
        <v/>
      </c>
      <c r="BE55" s="299">
        <f>IF(AND($F55&lt;=BE$2, OR($G55="",$G55&gt;=BE$2)),
  $H55 * (1 + Assumptions!$C$7) ^ INT(((YEAR(BE$2)-YEAR($F55))*12 + MONTH(BE$2)-MONTH($F55)) / 12),
  0)</f>
        <v/>
      </c>
      <c r="BF55" s="299">
        <f>IF(AND($F55&lt;=BF$2, OR($G55="",$G55&gt;=BF$2)),
  $H55 * (1 + Assumptions!$C$7) ^ INT(((YEAR(BF$2)-YEAR($F55))*12 + MONTH(BF$2)-MONTH($F55)) / 12),
  0)</f>
        <v/>
      </c>
      <c r="BG55" s="299">
        <f>IF(AND($F55&lt;=BG$2, OR($G55="",$G55&gt;=BG$2)),
  $H55 * (1 + Assumptions!$C$7) ^ INT(((YEAR(BG$2)-YEAR($F55))*12 + MONTH(BG$2)-MONTH($F55)) / 12),
  0)</f>
        <v/>
      </c>
      <c r="BH55" s="299">
        <f>IF(AND($F55&lt;=BH$2, OR($G55="",$G55&gt;=BH$2)),
  $H55 * (1 + Assumptions!$C$7) ^ INT(((YEAR(BH$2)-YEAR($F55))*12 + MONTH(BH$2)-MONTH($F55)) / 12),
  0)</f>
        <v/>
      </c>
      <c r="BI55" s="299">
        <f>IF(AND($F55&lt;=BI$2, OR($G55="",$G55&gt;=BI$2)),
  $H55 * (1 + Assumptions!$C$7) ^ INT(((YEAR(BI$2)-YEAR($F55))*12 + MONTH(BI$2)-MONTH($F55)) / 12),
  0)</f>
        <v/>
      </c>
      <c r="BJ55" s="299">
        <f>IF(AND($F55&lt;=BJ$2, OR($G55="",$G55&gt;=BJ$2)),
  $H55 * (1 + Assumptions!$C$7) ^ INT(((YEAR(BJ$2)-YEAR($F55))*12 + MONTH(BJ$2)-MONTH($F55)) / 12),
  0)</f>
        <v/>
      </c>
      <c r="BK55" s="299">
        <f>IF(AND($F55&lt;=BK$2, OR($G55="",$G55&gt;=BK$2)),
  $H55 * (1 + Assumptions!$C$7) ^ INT(((YEAR(BK$2)-YEAR($F55))*12 + MONTH(BK$2)-MONTH($F55)) / 12),
  0)</f>
        <v/>
      </c>
      <c r="BL55" s="299">
        <f>IF(AND($F55&lt;=BL$2, OR($G55="",$G55&gt;=BL$2)),
  $H55 * (1 + Assumptions!$C$7) ^ INT(((YEAR(BL$2)-YEAR($F55))*12 + MONTH(BL$2)-MONTH($F55)) / 12),
  0)</f>
        <v/>
      </c>
      <c r="BM55" s="299">
        <f>IF(AND($F55&lt;=BM$2, OR($G55="",$G55&gt;=BM$2)),
  $H55 * (1 + Assumptions!$C$7) ^ INT(((YEAR(BM$2)-YEAR($F55))*12 + MONTH(BM$2)-MONTH($F55)) / 12),
  0)</f>
        <v/>
      </c>
      <c r="BN55" s="299">
        <f>IF(AND($F55&lt;=BN$2, OR($G55="",$G55&gt;=BN$2)),
  $H55 * (1 + Assumptions!$C$7) ^ INT(((YEAR(BN$2)-YEAR($F55))*12 + MONTH(BN$2)-MONTH($F55)) / 12),
  0)</f>
        <v/>
      </c>
      <c r="BO55" s="299">
        <f>IF(AND($F55&lt;=BO$2, OR($G55="",$G55&gt;=BO$2)),
  $H55 * (1 + Assumptions!$C$7) ^ INT(((YEAR(BO$2)-YEAR($F55))*12 + MONTH(BO$2)-MONTH($F55)) / 12),
  0)</f>
        <v/>
      </c>
      <c r="BP55" s="299">
        <f>IF(AND($F55&lt;=BP$2, OR($G55="",$G55&gt;=BP$2)),
  $H55 * (1 + Assumptions!$C$7) ^ INT(((YEAR(BP$2)-YEAR($F55))*12 + MONTH(BP$2)-MONTH($F55)) / 12),
  0)</f>
        <v/>
      </c>
      <c r="BQ55" s="307" t="n"/>
      <c r="BR55" s="83" t="inlineStr">
        <is>
          <t>paid this month if started and not yet left; +8% on each work anniversary</t>
        </is>
      </c>
      <c r="BS55" s="307" t="n"/>
      <c r="BT55" s="307" t="n"/>
    </row>
    <row r="56" ht="15.75" customHeight="1" s="349">
      <c r="A56" s="321" t="n">
        <v>51</v>
      </c>
      <c r="B56" s="285" t="inlineStr">
        <is>
          <t>New hire</t>
        </is>
      </c>
      <c r="C56" s="23" t="inlineStr">
        <is>
          <t>G&amp;A</t>
        </is>
      </c>
      <c r="D56" s="321" t="inlineStr">
        <is>
          <t>Finance</t>
        </is>
      </c>
      <c r="E56" s="297" t="inlineStr">
        <is>
          <t>Planned</t>
        </is>
      </c>
      <c r="F56" s="318" t="n">
        <v>47394</v>
      </c>
      <c r="G56" s="319" t="n"/>
      <c r="H56" s="288" t="n">
        <v>7500</v>
      </c>
      <c r="I56" s="299">
        <f>IF(AND($F56&lt;=I$2, OR($G56="",$G56&gt;=I$2)),
  $H56 * (1 + Assumptions!$C$7) ^ INT(((YEAR(I$2)-YEAR($F56))*12 + MONTH(I$2)-MONTH($F56)) / 12),
  0)</f>
        <v/>
      </c>
      <c r="J56" s="299">
        <f>IF(AND($F56&lt;=J$2, OR($G56="",$G56&gt;=J$2)),
  $H56 * (1 + Assumptions!$C$7) ^ INT(((YEAR(J$2)-YEAR($F56))*12 + MONTH(J$2)-MONTH($F56)) / 12),
  0)</f>
        <v/>
      </c>
      <c r="K56" s="299">
        <f>IF(AND($F56&lt;=K$2, OR($G56="",$G56&gt;=K$2)),
  $H56 * (1 + Assumptions!$C$7) ^ INT(((YEAR(K$2)-YEAR($F56))*12 + MONTH(K$2)-MONTH($F56)) / 12),
  0)</f>
        <v/>
      </c>
      <c r="L56" s="299">
        <f>IF(AND($F56&lt;=L$2, OR($G56="",$G56&gt;=L$2)),
  $H56 * (1 + Assumptions!$C$7) ^ INT(((YEAR(L$2)-YEAR($F56))*12 + MONTH(L$2)-MONTH($F56)) / 12),
  0)</f>
        <v/>
      </c>
      <c r="M56" s="299">
        <f>IF(AND($F56&lt;=M$2, OR($G56="",$G56&gt;=M$2)),
  $H56 * (1 + Assumptions!$C$7) ^ INT(((YEAR(M$2)-YEAR($F56))*12 + MONTH(M$2)-MONTH($F56)) / 12),
  0)</f>
        <v/>
      </c>
      <c r="N56" s="299">
        <f>IF(AND($F56&lt;=N$2, OR($G56="",$G56&gt;=N$2)),
  $H56 * (1 + Assumptions!$C$7) ^ INT(((YEAR(N$2)-YEAR($F56))*12 + MONTH(N$2)-MONTH($F56)) / 12),
  0)</f>
        <v/>
      </c>
      <c r="O56" s="299">
        <f>IF(AND($F56&lt;=O$2, OR($G56="",$G56&gt;=O$2)),
  $H56 * (1 + Assumptions!$C$7) ^ INT(((YEAR(O$2)-YEAR($F56))*12 + MONTH(O$2)-MONTH($F56)) / 12),
  0)</f>
        <v/>
      </c>
      <c r="P56" s="299">
        <f>IF(AND($F56&lt;=P$2, OR($G56="",$G56&gt;=P$2)),
  $H56 * (1 + Assumptions!$C$7) ^ INT(((YEAR(P$2)-YEAR($F56))*12 + MONTH(P$2)-MONTH($F56)) / 12),
  0)</f>
        <v/>
      </c>
      <c r="Q56" s="299">
        <f>IF(AND($F56&lt;=Q$2, OR($G56="",$G56&gt;=Q$2)),
  $H56 * (1 + Assumptions!$C$7) ^ INT(((YEAR(Q$2)-YEAR($F56))*12 + MONTH(Q$2)-MONTH($F56)) / 12),
  0)</f>
        <v/>
      </c>
      <c r="R56" s="299">
        <f>IF(AND($F56&lt;=R$2, OR($G56="",$G56&gt;=R$2)),
  $H56 * (1 + Assumptions!$C$7) ^ INT(((YEAR(R$2)-YEAR($F56))*12 + MONTH(R$2)-MONTH($F56)) / 12),
  0)</f>
        <v/>
      </c>
      <c r="S56" s="299">
        <f>IF(AND($F56&lt;=S$2, OR($G56="",$G56&gt;=S$2)),
  $H56 * (1 + Assumptions!$C$7) ^ INT(((YEAR(S$2)-YEAR($F56))*12 + MONTH(S$2)-MONTH($F56)) / 12),
  0)</f>
        <v/>
      </c>
      <c r="T56" s="299">
        <f>IF(AND($F56&lt;=T$2, OR($G56="",$G56&gt;=T$2)),
  $H56 * (1 + Assumptions!$C$7) ^ INT(((YEAR(T$2)-YEAR($F56))*12 + MONTH(T$2)-MONTH($F56)) / 12),
  0)</f>
        <v/>
      </c>
      <c r="U56" s="299">
        <f>IF(AND($F56&lt;=U$2, OR($G56="",$G56&gt;=U$2)),
  $H56 * (1 + Assumptions!$C$7) ^ INT(((YEAR(U$2)-YEAR($F56))*12 + MONTH(U$2)-MONTH($F56)) / 12),
  0)</f>
        <v/>
      </c>
      <c r="V56" s="299">
        <f>IF(AND($F56&lt;=V$2, OR($G56="",$G56&gt;=V$2)),
  $H56 * (1 + Assumptions!$C$7) ^ INT(((YEAR(V$2)-YEAR($F56))*12 + MONTH(V$2)-MONTH($F56)) / 12),
  0)</f>
        <v/>
      </c>
      <c r="W56" s="299">
        <f>IF(AND($F56&lt;=W$2, OR($G56="",$G56&gt;=W$2)),
  $H56 * (1 + Assumptions!$C$7) ^ INT(((YEAR(W$2)-YEAR($F56))*12 + MONTH(W$2)-MONTH($F56)) / 12),
  0)</f>
        <v/>
      </c>
      <c r="X56" s="299">
        <f>IF(AND($F56&lt;=X$2, OR($G56="",$G56&gt;=X$2)),
  $H56 * (1 + Assumptions!$C$7) ^ INT(((YEAR(X$2)-YEAR($F56))*12 + MONTH(X$2)-MONTH($F56)) / 12),
  0)</f>
        <v/>
      </c>
      <c r="Y56" s="299">
        <f>IF(AND($F56&lt;=Y$2, OR($G56="",$G56&gt;=Y$2)),
  $H56 * (1 + Assumptions!$C$7) ^ INT(((YEAR(Y$2)-YEAR($F56))*12 + MONTH(Y$2)-MONTH($F56)) / 12),
  0)</f>
        <v/>
      </c>
      <c r="Z56" s="299">
        <f>IF(AND($F56&lt;=Z$2, OR($G56="",$G56&gt;=Z$2)),
  $H56 * (1 + Assumptions!$C$7) ^ INT(((YEAR(Z$2)-YEAR($F56))*12 + MONTH(Z$2)-MONTH($F56)) / 12),
  0)</f>
        <v/>
      </c>
      <c r="AA56" s="299">
        <f>IF(AND($F56&lt;=AA$2, OR($G56="",$G56&gt;=AA$2)),
  $H56 * (1 + Assumptions!$C$7) ^ INT(((YEAR(AA$2)-YEAR($F56))*12 + MONTH(AA$2)-MONTH($F56)) / 12),
  0)</f>
        <v/>
      </c>
      <c r="AB56" s="299">
        <f>IF(AND($F56&lt;=AB$2, OR($G56="",$G56&gt;=AB$2)),
  $H56 * (1 + Assumptions!$C$7) ^ INT(((YEAR(AB$2)-YEAR($F56))*12 + MONTH(AB$2)-MONTH($F56)) / 12),
  0)</f>
        <v/>
      </c>
      <c r="AC56" s="299">
        <f>IF(AND($F56&lt;=AC$2, OR($G56="",$G56&gt;=AC$2)),
  $H56 * (1 + Assumptions!$C$7) ^ INT(((YEAR(AC$2)-YEAR($F56))*12 + MONTH(AC$2)-MONTH($F56)) / 12),
  0)</f>
        <v/>
      </c>
      <c r="AD56" s="299">
        <f>IF(AND($F56&lt;=AD$2, OR($G56="",$G56&gt;=AD$2)),
  $H56 * (1 + Assumptions!$C$7) ^ INT(((YEAR(AD$2)-YEAR($F56))*12 + MONTH(AD$2)-MONTH($F56)) / 12),
  0)</f>
        <v/>
      </c>
      <c r="AE56" s="299">
        <f>IF(AND($F56&lt;=AE$2, OR($G56="",$G56&gt;=AE$2)),
  $H56 * (1 + Assumptions!$C$7) ^ INT(((YEAR(AE$2)-YEAR($F56))*12 + MONTH(AE$2)-MONTH($F56)) / 12),
  0)</f>
        <v/>
      </c>
      <c r="AF56" s="299">
        <f>IF(AND($F56&lt;=AF$2, OR($G56="",$G56&gt;=AF$2)),
  $H56 * (1 + Assumptions!$C$7) ^ INT(((YEAR(AF$2)-YEAR($F56))*12 + MONTH(AF$2)-MONTH($F56)) / 12),
  0)</f>
        <v/>
      </c>
      <c r="AG56" s="299">
        <f>IF(AND($F56&lt;=AG$2, OR($G56="",$G56&gt;=AG$2)),
  $H56 * (1 + Assumptions!$C$7) ^ INT(((YEAR(AG$2)-YEAR($F56))*12 + MONTH(AG$2)-MONTH($F56)) / 12),
  0)</f>
        <v/>
      </c>
      <c r="AH56" s="299">
        <f>IF(AND($F56&lt;=AH$2, OR($G56="",$G56&gt;=AH$2)),
  $H56 * (1 + Assumptions!$C$7) ^ INT(((YEAR(AH$2)-YEAR($F56))*12 + MONTH(AH$2)-MONTH($F56)) / 12),
  0)</f>
        <v/>
      </c>
      <c r="AI56" s="299">
        <f>IF(AND($F56&lt;=AI$2, OR($G56="",$G56&gt;=AI$2)),
  $H56 * (1 + Assumptions!$C$7) ^ INT(((YEAR(AI$2)-YEAR($F56))*12 + MONTH(AI$2)-MONTH($F56)) / 12),
  0)</f>
        <v/>
      </c>
      <c r="AJ56" s="299">
        <f>IF(AND($F56&lt;=AJ$2, OR($G56="",$G56&gt;=AJ$2)),
  $H56 * (1 + Assumptions!$C$7) ^ INT(((YEAR(AJ$2)-YEAR($F56))*12 + MONTH(AJ$2)-MONTH($F56)) / 12),
  0)</f>
        <v/>
      </c>
      <c r="AK56" s="299">
        <f>IF(AND($F56&lt;=AK$2, OR($G56="",$G56&gt;=AK$2)),
  $H56 * (1 + Assumptions!$C$7) ^ INT(((YEAR(AK$2)-YEAR($F56))*12 + MONTH(AK$2)-MONTH($F56)) / 12),
  0)</f>
        <v/>
      </c>
      <c r="AL56" s="299">
        <f>IF(AND($F56&lt;=AL$2, OR($G56="",$G56&gt;=AL$2)),
  $H56 * (1 + Assumptions!$C$7) ^ INT(((YEAR(AL$2)-YEAR($F56))*12 + MONTH(AL$2)-MONTH($F56)) / 12),
  0)</f>
        <v/>
      </c>
      <c r="AM56" s="299">
        <f>IF(AND($F56&lt;=AM$2, OR($G56="",$G56&gt;=AM$2)),
  $H56 * (1 + Assumptions!$C$7) ^ INT(((YEAR(AM$2)-YEAR($F56))*12 + MONTH(AM$2)-MONTH($F56)) / 12),
  0)</f>
        <v/>
      </c>
      <c r="AN56" s="299">
        <f>IF(AND($F56&lt;=AN$2, OR($G56="",$G56&gt;=AN$2)),
  $H56 * (1 + Assumptions!$C$7) ^ INT(((YEAR(AN$2)-YEAR($F56))*12 + MONTH(AN$2)-MONTH($F56)) / 12),
  0)</f>
        <v/>
      </c>
      <c r="AO56" s="299">
        <f>IF(AND($F56&lt;=AO$2, OR($G56="",$G56&gt;=AO$2)),
  $H56 * (1 + Assumptions!$C$7) ^ INT(((YEAR(AO$2)-YEAR($F56))*12 + MONTH(AO$2)-MONTH($F56)) / 12),
  0)</f>
        <v/>
      </c>
      <c r="AP56" s="299">
        <f>IF(AND($F56&lt;=AP$2, OR($G56="",$G56&gt;=AP$2)),
  $H56 * (1 + Assumptions!$C$7) ^ INT(((YEAR(AP$2)-YEAR($F56))*12 + MONTH(AP$2)-MONTH($F56)) / 12),
  0)</f>
        <v/>
      </c>
      <c r="AQ56" s="299">
        <f>IF(AND($F56&lt;=AQ$2, OR($G56="",$G56&gt;=AQ$2)),
  $H56 * (1 + Assumptions!$C$7) ^ INT(((YEAR(AQ$2)-YEAR($F56))*12 + MONTH(AQ$2)-MONTH($F56)) / 12),
  0)</f>
        <v/>
      </c>
      <c r="AR56" s="299">
        <f>IF(AND($F56&lt;=AR$2, OR($G56="",$G56&gt;=AR$2)),
  $H56 * (1 + Assumptions!$C$7) ^ INT(((YEAR(AR$2)-YEAR($F56))*12 + MONTH(AR$2)-MONTH($F56)) / 12),
  0)</f>
        <v/>
      </c>
      <c r="AS56" s="299">
        <f>IF(AND($F56&lt;=AS$2, OR($G56="",$G56&gt;=AS$2)),
  $H56 * (1 + Assumptions!$C$7) ^ INT(((YEAR(AS$2)-YEAR($F56))*12 + MONTH(AS$2)-MONTH($F56)) / 12),
  0)</f>
        <v/>
      </c>
      <c r="AT56" s="299">
        <f>IF(AND($F56&lt;=AT$2, OR($G56="",$G56&gt;=AT$2)),
  $H56 * (1 + Assumptions!$C$7) ^ INT(((YEAR(AT$2)-YEAR($F56))*12 + MONTH(AT$2)-MONTH($F56)) / 12),
  0)</f>
        <v/>
      </c>
      <c r="AU56" s="299">
        <f>IF(AND($F56&lt;=AU$2, OR($G56="",$G56&gt;=AU$2)),
  $H56 * (1 + Assumptions!$C$7) ^ INT(((YEAR(AU$2)-YEAR($F56))*12 + MONTH(AU$2)-MONTH($F56)) / 12),
  0)</f>
        <v/>
      </c>
      <c r="AV56" s="299">
        <f>IF(AND($F56&lt;=AV$2, OR($G56="",$G56&gt;=AV$2)),
  $H56 * (1 + Assumptions!$C$7) ^ INT(((YEAR(AV$2)-YEAR($F56))*12 + MONTH(AV$2)-MONTH($F56)) / 12),
  0)</f>
        <v/>
      </c>
      <c r="AW56" s="299">
        <f>IF(AND($F56&lt;=AW$2, OR($G56="",$G56&gt;=AW$2)),
  $H56 * (1 + Assumptions!$C$7) ^ INT(((YEAR(AW$2)-YEAR($F56))*12 + MONTH(AW$2)-MONTH($F56)) / 12),
  0)</f>
        <v/>
      </c>
      <c r="AX56" s="299">
        <f>IF(AND($F56&lt;=AX$2, OR($G56="",$G56&gt;=AX$2)),
  $H56 * (1 + Assumptions!$C$7) ^ INT(((YEAR(AX$2)-YEAR($F56))*12 + MONTH(AX$2)-MONTH($F56)) / 12),
  0)</f>
        <v/>
      </c>
      <c r="AY56" s="299">
        <f>IF(AND($F56&lt;=AY$2, OR($G56="",$G56&gt;=AY$2)),
  $H56 * (1 + Assumptions!$C$7) ^ INT(((YEAR(AY$2)-YEAR($F56))*12 + MONTH(AY$2)-MONTH($F56)) / 12),
  0)</f>
        <v/>
      </c>
      <c r="AZ56" s="299">
        <f>IF(AND($F56&lt;=AZ$2, OR($G56="",$G56&gt;=AZ$2)),
  $H56 * (1 + Assumptions!$C$7) ^ INT(((YEAR(AZ$2)-YEAR($F56))*12 + MONTH(AZ$2)-MONTH($F56)) / 12),
  0)</f>
        <v/>
      </c>
      <c r="BA56" s="299">
        <f>IF(AND($F56&lt;=BA$2, OR($G56="",$G56&gt;=BA$2)),
  $H56 * (1 + Assumptions!$C$7) ^ INT(((YEAR(BA$2)-YEAR($F56))*12 + MONTH(BA$2)-MONTH($F56)) / 12),
  0)</f>
        <v/>
      </c>
      <c r="BB56" s="299">
        <f>IF(AND($F56&lt;=BB$2, OR($G56="",$G56&gt;=BB$2)),
  $H56 * (1 + Assumptions!$C$7) ^ INT(((YEAR(BB$2)-YEAR($F56))*12 + MONTH(BB$2)-MONTH($F56)) / 12),
  0)</f>
        <v/>
      </c>
      <c r="BC56" s="299">
        <f>IF(AND($F56&lt;=BC$2, OR($G56="",$G56&gt;=BC$2)),
  $H56 * (1 + Assumptions!$C$7) ^ INT(((YEAR(BC$2)-YEAR($F56))*12 + MONTH(BC$2)-MONTH($F56)) / 12),
  0)</f>
        <v/>
      </c>
      <c r="BD56" s="299">
        <f>IF(AND($F56&lt;=BD$2, OR($G56="",$G56&gt;=BD$2)),
  $H56 * (1 + Assumptions!$C$7) ^ INT(((YEAR(BD$2)-YEAR($F56))*12 + MONTH(BD$2)-MONTH($F56)) / 12),
  0)</f>
        <v/>
      </c>
      <c r="BE56" s="299">
        <f>IF(AND($F56&lt;=BE$2, OR($G56="",$G56&gt;=BE$2)),
  $H56 * (1 + Assumptions!$C$7) ^ INT(((YEAR(BE$2)-YEAR($F56))*12 + MONTH(BE$2)-MONTH($F56)) / 12),
  0)</f>
        <v/>
      </c>
      <c r="BF56" s="299">
        <f>IF(AND($F56&lt;=BF$2, OR($G56="",$G56&gt;=BF$2)),
  $H56 * (1 + Assumptions!$C$7) ^ INT(((YEAR(BF$2)-YEAR($F56))*12 + MONTH(BF$2)-MONTH($F56)) / 12),
  0)</f>
        <v/>
      </c>
      <c r="BG56" s="299">
        <f>IF(AND($F56&lt;=BG$2, OR($G56="",$G56&gt;=BG$2)),
  $H56 * (1 + Assumptions!$C$7) ^ INT(((YEAR(BG$2)-YEAR($F56))*12 + MONTH(BG$2)-MONTH($F56)) / 12),
  0)</f>
        <v/>
      </c>
      <c r="BH56" s="299">
        <f>IF(AND($F56&lt;=BH$2, OR($G56="",$G56&gt;=BH$2)),
  $H56 * (1 + Assumptions!$C$7) ^ INT(((YEAR(BH$2)-YEAR($F56))*12 + MONTH(BH$2)-MONTH($F56)) / 12),
  0)</f>
        <v/>
      </c>
      <c r="BI56" s="299">
        <f>IF(AND($F56&lt;=BI$2, OR($G56="",$G56&gt;=BI$2)),
  $H56 * (1 + Assumptions!$C$7) ^ INT(((YEAR(BI$2)-YEAR($F56))*12 + MONTH(BI$2)-MONTH($F56)) / 12),
  0)</f>
        <v/>
      </c>
      <c r="BJ56" s="299">
        <f>IF(AND($F56&lt;=BJ$2, OR($G56="",$G56&gt;=BJ$2)),
  $H56 * (1 + Assumptions!$C$7) ^ INT(((YEAR(BJ$2)-YEAR($F56))*12 + MONTH(BJ$2)-MONTH($F56)) / 12),
  0)</f>
        <v/>
      </c>
      <c r="BK56" s="299">
        <f>IF(AND($F56&lt;=BK$2, OR($G56="",$G56&gt;=BK$2)),
  $H56 * (1 + Assumptions!$C$7) ^ INT(((YEAR(BK$2)-YEAR($F56))*12 + MONTH(BK$2)-MONTH($F56)) / 12),
  0)</f>
        <v/>
      </c>
      <c r="BL56" s="299">
        <f>IF(AND($F56&lt;=BL$2, OR($G56="",$G56&gt;=BL$2)),
  $H56 * (1 + Assumptions!$C$7) ^ INT(((YEAR(BL$2)-YEAR($F56))*12 + MONTH(BL$2)-MONTH($F56)) / 12),
  0)</f>
        <v/>
      </c>
      <c r="BM56" s="299">
        <f>IF(AND($F56&lt;=BM$2, OR($G56="",$G56&gt;=BM$2)),
  $H56 * (1 + Assumptions!$C$7) ^ INT(((YEAR(BM$2)-YEAR($F56))*12 + MONTH(BM$2)-MONTH($F56)) / 12),
  0)</f>
        <v/>
      </c>
      <c r="BN56" s="299">
        <f>IF(AND($F56&lt;=BN$2, OR($G56="",$G56&gt;=BN$2)),
  $H56 * (1 + Assumptions!$C$7) ^ INT(((YEAR(BN$2)-YEAR($F56))*12 + MONTH(BN$2)-MONTH($F56)) / 12),
  0)</f>
        <v/>
      </c>
      <c r="BO56" s="299">
        <f>IF(AND($F56&lt;=BO$2, OR($G56="",$G56&gt;=BO$2)),
  $H56 * (1 + Assumptions!$C$7) ^ INT(((YEAR(BO$2)-YEAR($F56))*12 + MONTH(BO$2)-MONTH($F56)) / 12),
  0)</f>
        <v/>
      </c>
      <c r="BP56" s="299">
        <f>IF(AND($F56&lt;=BP$2, OR($G56="",$G56&gt;=BP$2)),
  $H56 * (1 + Assumptions!$C$7) ^ INT(((YEAR(BP$2)-YEAR($F56))*12 + MONTH(BP$2)-MONTH($F56)) / 12),
  0)</f>
        <v/>
      </c>
      <c r="BQ56" s="307" t="n"/>
      <c r="BR56" s="83" t="inlineStr">
        <is>
          <t>paid this month if started and not yet left; +8% on each work anniversary</t>
        </is>
      </c>
      <c r="BS56" s="307" t="n"/>
      <c r="BT56" s="307" t="n"/>
    </row>
    <row r="57" ht="15.75" customHeight="1" s="349">
      <c r="A57" s="23" t="n"/>
      <c r="B57" s="23" t="n"/>
      <c r="C57" s="23" t="n"/>
      <c r="D57" s="23" t="n"/>
      <c r="E57" s="322" t="n"/>
      <c r="F57" s="323" t="n"/>
      <c r="G57" s="324" t="n"/>
      <c r="H57" s="325" t="n"/>
      <c r="I57" s="299" t="n"/>
      <c r="J57" s="289" t="n"/>
      <c r="K57" s="289" t="n"/>
      <c r="L57" s="289" t="n"/>
      <c r="M57" s="289" t="n"/>
      <c r="N57" s="289" t="n"/>
      <c r="O57" s="289" t="n"/>
      <c r="P57" s="289" t="n"/>
      <c r="Q57" s="289" t="n"/>
      <c r="R57" s="289" t="n"/>
      <c r="S57" s="289" t="n"/>
      <c r="T57" s="289" t="n"/>
      <c r="U57" s="289" t="n"/>
      <c r="V57" s="289" t="n"/>
      <c r="W57" s="289" t="n"/>
      <c r="X57" s="289" t="n"/>
      <c r="Y57" s="289" t="n"/>
      <c r="Z57" s="289" t="n"/>
      <c r="AA57" s="289" t="n"/>
      <c r="AB57" s="289" t="n"/>
      <c r="AC57" s="289" t="n"/>
      <c r="AD57" s="289" t="n"/>
      <c r="AE57" s="289" t="n"/>
      <c r="AF57" s="289" t="n"/>
      <c r="AG57" s="289" t="n"/>
      <c r="AH57" s="289" t="n"/>
      <c r="AI57" s="289" t="n"/>
      <c r="AJ57" s="289" t="n"/>
      <c r="AK57" s="289" t="n"/>
      <c r="AL57" s="289" t="n"/>
      <c r="AM57" s="289" t="n"/>
      <c r="AN57" s="289" t="n"/>
      <c r="AO57" s="289" t="n"/>
      <c r="AP57" s="289" t="n"/>
      <c r="AQ57" s="289" t="n"/>
      <c r="AR57" s="289" t="n"/>
      <c r="AS57" s="289" t="n"/>
      <c r="AT57" s="289" t="n"/>
      <c r="AU57" s="289" t="n"/>
      <c r="AV57" s="289" t="n"/>
      <c r="AW57" s="289" t="n"/>
      <c r="AX57" s="289" t="n"/>
      <c r="AY57" s="289" t="n"/>
      <c r="AZ57" s="289" t="n"/>
      <c r="BA57" s="289" t="n"/>
      <c r="BB57" s="289" t="n"/>
      <c r="BC57" s="289" t="n"/>
      <c r="BD57" s="289" t="n"/>
      <c r="BE57" s="289" t="n"/>
      <c r="BF57" s="289" t="n"/>
      <c r="BG57" s="289" t="n"/>
      <c r="BH57" s="289" t="n"/>
      <c r="BI57" s="289" t="n"/>
      <c r="BJ57" s="289" t="n"/>
      <c r="BK57" s="289" t="n"/>
      <c r="BL57" s="289" t="n"/>
      <c r="BM57" s="289" t="n"/>
      <c r="BN57" s="289" t="n"/>
      <c r="BO57" s="289" t="n"/>
      <c r="BP57" s="289" t="n"/>
      <c r="BQ57" s="31" t="n"/>
      <c r="BR57" s="40" t="n"/>
      <c r="BS57" s="31" t="n"/>
      <c r="BT57" s="31" t="n"/>
    </row>
    <row r="58">
      <c r="A58" s="326" t="n"/>
      <c r="B58" s="327" t="inlineStr">
        <is>
          <t xml:space="preserve">How to use this section: </t>
        </is>
      </c>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c r="AA58" s="22" t="n"/>
      <c r="AB58" s="22" t="n"/>
      <c r="AC58" s="22" t="n"/>
      <c r="AD58" s="22" t="n"/>
      <c r="AE58" s="22" t="n"/>
      <c r="AF58" s="22" t="n"/>
      <c r="AG58" s="22" t="n"/>
      <c r="AH58" s="22" t="n"/>
      <c r="AI58" s="22" t="n"/>
      <c r="AJ58" s="22" t="n"/>
      <c r="AK58" s="22" t="n"/>
      <c r="AL58" s="22" t="n"/>
      <c r="AM58" s="22" t="n"/>
      <c r="AN58" s="22" t="n"/>
      <c r="AO58" s="22" t="n"/>
      <c r="AP58" s="22" t="n"/>
      <c r="AQ58" s="22" t="n"/>
      <c r="AR58" s="22" t="n"/>
      <c r="AS58" s="22" t="n"/>
      <c r="AT58" s="22" t="n"/>
      <c r="AU58" s="22" t="n"/>
      <c r="AV58" s="22" t="n"/>
      <c r="AW58" s="22" t="n"/>
      <c r="AX58" s="22" t="n"/>
      <c r="AY58" s="22" t="n"/>
      <c r="AZ58" s="22" t="n"/>
      <c r="BA58" s="22" t="n"/>
      <c r="BB58" s="22" t="n"/>
      <c r="BC58" s="22" t="n"/>
      <c r="BD58" s="22" t="n"/>
      <c r="BE58" s="22" t="n"/>
      <c r="BF58" s="22" t="n"/>
      <c r="BG58" s="22" t="n"/>
      <c r="BH58" s="22" t="n"/>
      <c r="BI58" s="22" t="n"/>
      <c r="BJ58" s="22" t="n"/>
      <c r="BK58" s="22" t="n"/>
      <c r="BL58" s="22" t="n"/>
      <c r="BM58" s="22" t="n"/>
      <c r="BN58" s="22" t="n"/>
      <c r="BO58" s="22" t="n"/>
      <c r="BP58" s="22" t="n"/>
      <c r="BQ58" s="31" t="n"/>
      <c r="BR58" s="40" t="n"/>
      <c r="BS58" s="31" t="n"/>
      <c r="BT58" s="31" t="n"/>
    </row>
    <row r="59" ht="46.5" customHeight="1" s="349">
      <c r="A59" s="22" t="n"/>
      <c r="B59" s="351" t="inlineStr">
        <is>
          <t xml:space="preserve">When adding an employee, follow the structure above, filling in columns A through H. Then drag the formula from the row above in column H down, and accross. Additionally, add a new employee above row 38, as the formulas below will not capture the new employee. </t>
        </is>
      </c>
      <c r="C59" s="352" t="n"/>
      <c r="D59" s="352" t="n"/>
      <c r="E59" s="352" t="n"/>
      <c r="F59" s="352" t="n"/>
      <c r="G59" s="352" t="n"/>
      <c r="H59" s="353" t="n"/>
      <c r="I59" s="22" t="n"/>
      <c r="J59" s="22" t="n"/>
      <c r="K59" s="22" t="n"/>
      <c r="L59" s="22" t="n"/>
      <c r="M59" s="22" t="n"/>
      <c r="N59" s="22" t="n"/>
      <c r="O59" s="22" t="n"/>
      <c r="P59" s="22" t="n"/>
      <c r="Q59" s="22" t="n"/>
      <c r="R59" s="22" t="n"/>
      <c r="S59" s="22" t="n"/>
      <c r="T59" s="22" t="n"/>
      <c r="U59" s="22" t="n"/>
      <c r="V59" s="22" t="n"/>
      <c r="W59" s="22" t="n"/>
      <c r="X59" s="22" t="n"/>
      <c r="Y59" s="22" t="n"/>
      <c r="Z59" s="22" t="n"/>
      <c r="AA59" s="22" t="n"/>
      <c r="AB59" s="22" t="n"/>
      <c r="AC59" s="22" t="n"/>
      <c r="AD59" s="22" t="n"/>
      <c r="AE59" s="22" t="n"/>
      <c r="AF59" s="22" t="n"/>
      <c r="AG59" s="22" t="n"/>
      <c r="AH59" s="22" t="n"/>
      <c r="AI59" s="22" t="n"/>
      <c r="AJ59" s="22" t="n"/>
      <c r="AK59" s="22" t="n"/>
      <c r="AL59" s="22" t="n"/>
      <c r="AM59" s="22" t="n"/>
      <c r="AN59" s="22" t="n"/>
      <c r="AO59" s="22" t="n"/>
      <c r="AP59" s="22" t="n"/>
      <c r="AQ59" s="22" t="n"/>
      <c r="AR59" s="22" t="n"/>
      <c r="AS59" s="22" t="n"/>
      <c r="AT59" s="22" t="n"/>
      <c r="AU59" s="22" t="n"/>
      <c r="AV59" s="22" t="n"/>
      <c r="AW59" s="22" t="n"/>
      <c r="AX59" s="22" t="n"/>
      <c r="AY59" s="22" t="n"/>
      <c r="AZ59" s="22" t="n"/>
      <c r="BA59" s="22" t="n"/>
      <c r="BB59" s="22" t="n"/>
      <c r="BC59" s="22" t="n"/>
      <c r="BD59" s="22" t="n"/>
      <c r="BE59" s="22" t="n"/>
      <c r="BF59" s="22" t="n"/>
      <c r="BG59" s="22" t="n"/>
      <c r="BH59" s="22" t="n"/>
      <c r="BI59" s="22" t="n"/>
      <c r="BJ59" s="22" t="n"/>
      <c r="BK59" s="22" t="n"/>
      <c r="BL59" s="22" t="n"/>
      <c r="BM59" s="22" t="n"/>
      <c r="BN59" s="22" t="n"/>
      <c r="BO59" s="22" t="n"/>
      <c r="BP59" s="22" t="n"/>
      <c r="BQ59" s="31" t="n"/>
      <c r="BR59" s="40" t="n"/>
      <c r="BS59" s="31" t="n"/>
      <c r="BT59" s="31" t="n"/>
    </row>
    <row r="60" ht="15.75" customHeight="1" s="349">
      <c r="A60" s="22" t="n"/>
      <c r="B60" s="22" t="n"/>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c r="AA60" s="22" t="n"/>
      <c r="AB60" s="22" t="n"/>
      <c r="AC60" s="22" t="n"/>
      <c r="AD60" s="22" t="n"/>
      <c r="AE60" s="22" t="n"/>
      <c r="AF60" s="22" t="n"/>
      <c r="AG60" s="22" t="n"/>
      <c r="AH60" s="22" t="n"/>
      <c r="AI60" s="22" t="n"/>
      <c r="AJ60" s="22" t="n"/>
      <c r="AK60" s="22" t="n"/>
      <c r="AL60" s="22" t="n"/>
      <c r="AM60" s="22" t="n"/>
      <c r="AN60" s="22" t="n"/>
      <c r="AO60" s="22" t="n"/>
      <c r="AP60" s="22" t="n"/>
      <c r="AQ60" s="22" t="n"/>
      <c r="AR60" s="22" t="n"/>
      <c r="AS60" s="22" t="n"/>
      <c r="AT60" s="22" t="n"/>
      <c r="AU60" s="22" t="n"/>
      <c r="AV60" s="22" t="n"/>
      <c r="AW60" s="22" t="n"/>
      <c r="AX60" s="22" t="n"/>
      <c r="AY60" s="22" t="n"/>
      <c r="AZ60" s="22" t="n"/>
      <c r="BA60" s="22" t="n"/>
      <c r="BB60" s="22" t="n"/>
      <c r="BC60" s="22" t="n"/>
      <c r="BD60" s="22" t="n"/>
      <c r="BE60" s="22" t="n"/>
      <c r="BF60" s="22" t="n"/>
      <c r="BG60" s="22" t="n"/>
      <c r="BH60" s="22" t="n"/>
      <c r="BI60" s="22" t="n"/>
      <c r="BJ60" s="22" t="n"/>
      <c r="BK60" s="22" t="n"/>
      <c r="BL60" s="22" t="n"/>
      <c r="BM60" s="22" t="n"/>
      <c r="BN60" s="22" t="n"/>
      <c r="BO60" s="22" t="n"/>
      <c r="BP60" s="22" t="n"/>
      <c r="BQ60" s="31" t="n"/>
      <c r="BR60" s="40" t="n"/>
      <c r="BS60" s="31" t="n"/>
      <c r="BT60" s="31" t="n"/>
    </row>
    <row r="61" ht="15.75" customHeight="1" s="349">
      <c r="A61" s="2" t="n"/>
      <c r="B61" s="26" t="inlineStr">
        <is>
          <t>SUMMARY BY DEPARTMENT</t>
        </is>
      </c>
      <c r="BE61" s="11" t="n"/>
      <c r="BF61" s="11" t="n"/>
      <c r="BG61" s="11" t="n"/>
      <c r="BH61" s="11" t="n"/>
      <c r="BI61" s="11" t="n"/>
      <c r="BJ61" s="11" t="n"/>
      <c r="BK61" s="11" t="n"/>
      <c r="BL61" s="11" t="n"/>
      <c r="BM61" s="11" t="n"/>
      <c r="BN61" s="11" t="n"/>
      <c r="BO61" s="11" t="n"/>
      <c r="BP61" s="11" t="n"/>
      <c r="BQ61" s="78" t="n"/>
      <c r="BR61" s="315" t="n"/>
      <c r="BS61" s="78" t="n"/>
      <c r="BT61" s="78" t="n"/>
    </row>
    <row r="62" ht="15.75" customHeight="1" s="349">
      <c r="A62" s="331" t="n"/>
      <c r="B62" s="332" t="inlineStr">
        <is>
          <t>R&amp;D</t>
        </is>
      </c>
      <c r="C62" s="331" t="n"/>
      <c r="D62" s="331" t="n"/>
      <c r="E62" s="331" t="n"/>
      <c r="F62" s="331" t="n"/>
      <c r="G62" s="331" t="n"/>
      <c r="H62" s="331" t="n"/>
      <c r="I62" s="333">
        <f>SUMIF($C$2:$C$56,"R&amp;D",I2:I56)</f>
        <v/>
      </c>
      <c r="J62" s="333">
        <f>SUMIF($C$2:$C$56,"R&amp;D",J2:J56)</f>
        <v/>
      </c>
      <c r="K62" s="333">
        <f>SUMIF($C$2:$C$56,"R&amp;D",K2:K56)</f>
        <v/>
      </c>
      <c r="L62" s="333">
        <f>SUMIF($C$2:$C$56,"R&amp;D",L2:L56)</f>
        <v/>
      </c>
      <c r="M62" s="333">
        <f>SUMIF($C$2:$C$56,"R&amp;D",M2:M56)</f>
        <v/>
      </c>
      <c r="N62" s="333">
        <f>SUMIF($C$2:$C$56,"R&amp;D",N2:N56)</f>
        <v/>
      </c>
      <c r="O62" s="333">
        <f>SUMIF($C$2:$C$56,"R&amp;D",O2:O56)</f>
        <v/>
      </c>
      <c r="P62" s="333">
        <f>SUMIF($C$2:$C$56,"R&amp;D",P2:P56)</f>
        <v/>
      </c>
      <c r="Q62" s="333">
        <f>SUMIF($C$3:$C$56,"R&amp;D",Q3:Q56)</f>
        <v/>
      </c>
      <c r="R62" s="333">
        <f>SUMIF($C$3:$C$56,"R&amp;D",R3:R56)</f>
        <v/>
      </c>
      <c r="S62" s="333">
        <f>SUMIF($C$3:$C$56,"R&amp;D",S3:S56)</f>
        <v/>
      </c>
      <c r="T62" s="333">
        <f>SUMIF($C$3:$C$56,"R&amp;D",T3:T56)</f>
        <v/>
      </c>
      <c r="U62" s="333">
        <f>SUMIF($C$3:$C$56,"R&amp;D",U3:U56)</f>
        <v/>
      </c>
      <c r="V62" s="333">
        <f>SUMIF($C$3:$C$56,"R&amp;D",V3:V56)</f>
        <v/>
      </c>
      <c r="W62" s="333">
        <f>SUMIF($C$3:$C$56,"R&amp;D",W3:W56)</f>
        <v/>
      </c>
      <c r="X62" s="333">
        <f>SUMIF($C$3:$C$56,"R&amp;D",X3:X56)</f>
        <v/>
      </c>
      <c r="Y62" s="333">
        <f>SUMIF($C$3:$C$56,"R&amp;D",Y3:Y56)</f>
        <v/>
      </c>
      <c r="Z62" s="333">
        <f>SUMIF($C$3:$C$56,"R&amp;D",Z3:Z56)</f>
        <v/>
      </c>
      <c r="AA62" s="333">
        <f>SUMIF($C$3:$C$56,"R&amp;D",AA3:AA56)</f>
        <v/>
      </c>
      <c r="AB62" s="333">
        <f>SUMIF($C$3:$C$56,"R&amp;D",AB3:AB56)</f>
        <v/>
      </c>
      <c r="AC62" s="333">
        <f>SUMIF($C$3:$C$56,"R&amp;D",AC3:AC56)</f>
        <v/>
      </c>
      <c r="AD62" s="333">
        <f>SUMIF($C$3:$C$56,"R&amp;D",AD3:AD56)</f>
        <v/>
      </c>
      <c r="AE62" s="333">
        <f>SUMIF($C$3:$C$56,"R&amp;D",AE3:AE56)</f>
        <v/>
      </c>
      <c r="AF62" s="333">
        <f>SUMIF($C$3:$C$56,"R&amp;D",AF3:AF56)</f>
        <v/>
      </c>
      <c r="AG62" s="333">
        <f>SUMIF($C$3:$C$56,"R&amp;D",AG3:AG56)</f>
        <v/>
      </c>
      <c r="AH62" s="333">
        <f>SUMIF($C$3:$C$56,"R&amp;D",AH3:AH56)</f>
        <v/>
      </c>
      <c r="AI62" s="333">
        <f>SUMIF($C$3:$C$56,"R&amp;D",AI3:AI56)</f>
        <v/>
      </c>
      <c r="AJ62" s="333">
        <f>SUMIF($C$3:$C$56,"R&amp;D",AJ3:AJ56)</f>
        <v/>
      </c>
      <c r="AK62" s="333">
        <f>SUMIF($C$3:$C$56,"R&amp;D",AK3:AK56)</f>
        <v/>
      </c>
      <c r="AL62" s="333">
        <f>SUMIF($C$3:$C$56,"R&amp;D",AL3:AL56)</f>
        <v/>
      </c>
      <c r="AM62" s="333">
        <f>SUMIF($C$3:$C$56,"R&amp;D",AM3:AM56)</f>
        <v/>
      </c>
      <c r="AN62" s="333">
        <f>SUMIF($C$3:$C$56,"R&amp;D",AN3:AN56)</f>
        <v/>
      </c>
      <c r="AO62" s="333">
        <f>SUMIF($C$3:$C$56,"R&amp;D",AO3:AO56)</f>
        <v/>
      </c>
      <c r="AP62" s="333">
        <f>SUMIF($C$3:$C$56,"R&amp;D",AP3:AP56)</f>
        <v/>
      </c>
      <c r="AQ62" s="333">
        <f>SUMIF($C$3:$C$56,"R&amp;D",AQ3:AQ56)</f>
        <v/>
      </c>
      <c r="AR62" s="333">
        <f>SUMIF($C$3:$C$56,"R&amp;D",AR3:AR56)</f>
        <v/>
      </c>
      <c r="AS62" s="333">
        <f>SUMIF($C$3:$C$56,"R&amp;D",AS3:AS56)</f>
        <v/>
      </c>
      <c r="AT62" s="333">
        <f>SUMIF($C$3:$C$56,"R&amp;D",AT3:AT56)</f>
        <v/>
      </c>
      <c r="AU62" s="333">
        <f>SUMIF($C$3:$C$56,"R&amp;D",AU3:AU56)</f>
        <v/>
      </c>
      <c r="AV62" s="333">
        <f>SUMIF($C$3:$C$56,"R&amp;D",AV3:AV56)</f>
        <v/>
      </c>
      <c r="AW62" s="333">
        <f>SUMIF($C$3:$C$56,"R&amp;D",AW3:AW56)</f>
        <v/>
      </c>
      <c r="AX62" s="333">
        <f>SUMIF($C$3:$C$56,"R&amp;D",AX3:AX56)</f>
        <v/>
      </c>
      <c r="AY62" s="333">
        <f>SUMIF($C$3:$C$56,"R&amp;D",AY3:AY56)</f>
        <v/>
      </c>
      <c r="AZ62" s="333">
        <f>SUMIF($C$3:$C$56,"R&amp;D",AZ3:AZ56)</f>
        <v/>
      </c>
      <c r="BA62" s="333">
        <f>SUMIF($C$3:$C$56,"R&amp;D",BA3:BA56)</f>
        <v/>
      </c>
      <c r="BB62" s="333">
        <f>SUMIF($C$3:$C$56,"R&amp;D",BB3:BB56)</f>
        <v/>
      </c>
      <c r="BC62" s="333">
        <f>SUMIF($C$3:$C$56,"R&amp;D",BC3:BC56)</f>
        <v/>
      </c>
      <c r="BD62" s="333">
        <f>SUMIF($C$3:$C$56,"R&amp;D",BD3:BD56)</f>
        <v/>
      </c>
      <c r="BE62" s="333">
        <f>SUMIF($C$3:$C$56,"R&amp;D",BE3:BE56)</f>
        <v/>
      </c>
      <c r="BF62" s="333">
        <f>SUMIF($C$3:$C$56,"R&amp;D",BF3:BF56)</f>
        <v/>
      </c>
      <c r="BG62" s="333">
        <f>SUMIF($C$3:$C$56,"R&amp;D",BG3:BG56)</f>
        <v/>
      </c>
      <c r="BH62" s="333">
        <f>SUMIF($C$3:$C$56,"R&amp;D",BH3:BH56)</f>
        <v/>
      </c>
      <c r="BI62" s="333">
        <f>SUMIF($C$3:$C$56,"R&amp;D",BI3:BI56)</f>
        <v/>
      </c>
      <c r="BJ62" s="333">
        <f>SUMIF($C$3:$C$56,"R&amp;D",BJ3:BJ56)</f>
        <v/>
      </c>
      <c r="BK62" s="333">
        <f>SUMIF($C$3:$C$56,"R&amp;D",BK3:BK56)</f>
        <v/>
      </c>
      <c r="BL62" s="333">
        <f>SUMIF($C$3:$C$56,"R&amp;D",BL3:BL56)</f>
        <v/>
      </c>
      <c r="BM62" s="333">
        <f>SUMIF($C$3:$C$56,"R&amp;D",BM3:BM56)</f>
        <v/>
      </c>
      <c r="BN62" s="333">
        <f>SUMIF($C$3:$C$56,"R&amp;D",BN3:BN56)</f>
        <v/>
      </c>
      <c r="BO62" s="333">
        <f>SUMIF($C$3:$C$56,"R&amp;D",BO3:BO56)</f>
        <v/>
      </c>
      <c r="BP62" s="333">
        <f>SUMIF($C$3:$C$56,"R&amp;D",BP3:BP56)</f>
        <v/>
      </c>
      <c r="BQ62" s="333" t="n"/>
      <c r="BR62" s="334" t="inlineStr">
        <is>
          <t>adds up everyone tagged R&amp;D that month</t>
        </is>
      </c>
      <c r="BS62" s="335" t="n"/>
      <c r="BT62" s="335" t="n"/>
    </row>
    <row r="63" ht="15.75" customHeight="1" s="349">
      <c r="A63" s="331" t="n"/>
      <c r="B63" s="332" t="inlineStr">
        <is>
          <t>S&amp;M</t>
        </is>
      </c>
      <c r="C63" s="331" t="n"/>
      <c r="D63" s="331" t="n"/>
      <c r="E63" s="331" t="n"/>
      <c r="F63" s="331" t="n"/>
      <c r="G63" s="331" t="n"/>
      <c r="H63" s="331" t="n"/>
      <c r="I63" s="333">
        <f>SUMIF($C$3:$C$56,"S&amp;M",I3:I56)</f>
        <v/>
      </c>
      <c r="J63" s="333">
        <f>SUMIF($C$3:$C$56,"S&amp;M",J3:J56)</f>
        <v/>
      </c>
      <c r="K63" s="333">
        <f>SUMIF($C$3:$C$56,"S&amp;M",K3:K56)</f>
        <v/>
      </c>
      <c r="L63" s="333">
        <f>SUMIF($C$3:$C$56,"S&amp;M",L3:L56)</f>
        <v/>
      </c>
      <c r="M63" s="333">
        <f>SUMIF($C$3:$C$56,"S&amp;M",M3:M56)</f>
        <v/>
      </c>
      <c r="N63" s="333">
        <f>SUMIF($C$3:$C$56,"S&amp;M",N3:N56)</f>
        <v/>
      </c>
      <c r="O63" s="333">
        <f>SUMIF($C$3:$C$56,"S&amp;M",O3:O56)</f>
        <v/>
      </c>
      <c r="P63" s="333">
        <f>SUMIF($C$3:$C$56,"S&amp;M",P3:P56)</f>
        <v/>
      </c>
      <c r="Q63" s="333">
        <f>SUMIF($C$3:$C$56,"S&amp;M",Q3:Q56)</f>
        <v/>
      </c>
      <c r="R63" s="333">
        <f>SUMIF($C$3:$C$56,"S&amp;M",R3:R56)</f>
        <v/>
      </c>
      <c r="S63" s="333">
        <f>SUMIF($C$3:$C$56,"S&amp;M",S3:S56)</f>
        <v/>
      </c>
      <c r="T63" s="333">
        <f>SUMIF($C$3:$C$56,"S&amp;M",T3:T56)</f>
        <v/>
      </c>
      <c r="U63" s="333">
        <f>SUMIF($C$3:$C$56,"S&amp;M",U3:U56)</f>
        <v/>
      </c>
      <c r="V63" s="333">
        <f>SUMIF($C$3:$C$56,"S&amp;M",V3:V56)</f>
        <v/>
      </c>
      <c r="W63" s="333">
        <f>SUMIF($C$3:$C$56,"S&amp;M",W3:W56)</f>
        <v/>
      </c>
      <c r="X63" s="333">
        <f>SUMIF($C$3:$C$56,"S&amp;M",X3:X56)</f>
        <v/>
      </c>
      <c r="Y63" s="333">
        <f>SUMIF($C$3:$C$56,"S&amp;M",Y3:Y56)</f>
        <v/>
      </c>
      <c r="Z63" s="333">
        <f>SUMIF($C$3:$C$56,"S&amp;M",Z3:Z56)</f>
        <v/>
      </c>
      <c r="AA63" s="333">
        <f>SUMIF($C$3:$C$56,"S&amp;M",AA3:AA56)</f>
        <v/>
      </c>
      <c r="AB63" s="333">
        <f>SUMIF($C$3:$C$56,"S&amp;M",AB3:AB56)</f>
        <v/>
      </c>
      <c r="AC63" s="333">
        <f>SUMIF($C$3:$C$56,"S&amp;M",AC3:AC56)</f>
        <v/>
      </c>
      <c r="AD63" s="333">
        <f>SUMIF($C$3:$C$56,"S&amp;M",AD3:AD56)</f>
        <v/>
      </c>
      <c r="AE63" s="333">
        <f>SUMIF($C$3:$C$56,"S&amp;M",AE3:AE56)</f>
        <v/>
      </c>
      <c r="AF63" s="333">
        <f>SUMIF($C$3:$C$56,"S&amp;M",AF3:AF56)</f>
        <v/>
      </c>
      <c r="AG63" s="333">
        <f>SUMIF($C$3:$C$56,"S&amp;M",AG3:AG56)</f>
        <v/>
      </c>
      <c r="AH63" s="333">
        <f>SUMIF($C$3:$C$56,"S&amp;M",AH3:AH56)</f>
        <v/>
      </c>
      <c r="AI63" s="333">
        <f>SUMIF($C$3:$C$56,"S&amp;M",AI3:AI56)</f>
        <v/>
      </c>
      <c r="AJ63" s="333">
        <f>SUMIF($C$3:$C$56,"S&amp;M",AJ3:AJ56)</f>
        <v/>
      </c>
      <c r="AK63" s="333">
        <f>SUMIF($C$3:$C$56,"S&amp;M",AK3:AK56)</f>
        <v/>
      </c>
      <c r="AL63" s="333">
        <f>SUMIF($C$3:$C$56,"S&amp;M",AL3:AL56)</f>
        <v/>
      </c>
      <c r="AM63" s="333">
        <f>SUMIF($C$3:$C$56,"S&amp;M",AM3:AM56)</f>
        <v/>
      </c>
      <c r="AN63" s="333">
        <f>SUMIF($C$3:$C$56,"S&amp;M",AN3:AN56)</f>
        <v/>
      </c>
      <c r="AO63" s="333">
        <f>SUMIF($C$3:$C$56,"S&amp;M",AO3:AO56)</f>
        <v/>
      </c>
      <c r="AP63" s="333">
        <f>SUMIF($C$3:$C$56,"S&amp;M",AP3:AP56)</f>
        <v/>
      </c>
      <c r="AQ63" s="333">
        <f>SUMIF($C$3:$C$56,"S&amp;M",AQ3:AQ56)</f>
        <v/>
      </c>
      <c r="AR63" s="333">
        <f>SUMIF($C$3:$C$56,"S&amp;M",AR3:AR56)</f>
        <v/>
      </c>
      <c r="AS63" s="333">
        <f>SUMIF($C$3:$C$56,"S&amp;M",AS3:AS56)</f>
        <v/>
      </c>
      <c r="AT63" s="333">
        <f>SUMIF($C$3:$C$56,"S&amp;M",AT3:AT56)</f>
        <v/>
      </c>
      <c r="AU63" s="333">
        <f>SUMIF($C$3:$C$56,"S&amp;M",AU3:AU56)</f>
        <v/>
      </c>
      <c r="AV63" s="333">
        <f>SUMIF($C$3:$C$56,"S&amp;M",AV3:AV56)</f>
        <v/>
      </c>
      <c r="AW63" s="333">
        <f>SUMIF($C$3:$C$56,"S&amp;M",AW3:AW56)</f>
        <v/>
      </c>
      <c r="AX63" s="333">
        <f>SUMIF($C$3:$C$56,"S&amp;M",AX3:AX56)</f>
        <v/>
      </c>
      <c r="AY63" s="333">
        <f>SUMIF($C$3:$C$56,"S&amp;M",AY3:AY56)</f>
        <v/>
      </c>
      <c r="AZ63" s="333">
        <f>SUMIF($C$3:$C$56,"S&amp;M",AZ3:AZ56)</f>
        <v/>
      </c>
      <c r="BA63" s="333">
        <f>SUMIF($C$3:$C$56,"S&amp;M",BA3:BA56)</f>
        <v/>
      </c>
      <c r="BB63" s="333">
        <f>SUMIF($C$3:$C$56,"S&amp;M",BB3:BB56)</f>
        <v/>
      </c>
      <c r="BC63" s="333">
        <f>SUMIF($C$3:$C$56,"S&amp;M",BC3:BC56)</f>
        <v/>
      </c>
      <c r="BD63" s="333">
        <f>SUMIF($C$3:$C$56,"S&amp;M",BD3:BD56)</f>
        <v/>
      </c>
      <c r="BE63" s="333">
        <f>SUMIF($C$3:$C$56,"S&amp;M",BE3:BE56)</f>
        <v/>
      </c>
      <c r="BF63" s="333">
        <f>SUMIF($C$3:$C$56,"S&amp;M",BF3:BF56)</f>
        <v/>
      </c>
      <c r="BG63" s="333">
        <f>SUMIF($C$3:$C$56,"S&amp;M",BG3:BG56)</f>
        <v/>
      </c>
      <c r="BH63" s="333">
        <f>SUMIF($C$3:$C$56,"S&amp;M",BH3:BH56)</f>
        <v/>
      </c>
      <c r="BI63" s="333">
        <f>SUMIF($C$3:$C$56,"S&amp;M",BI3:BI56)</f>
        <v/>
      </c>
      <c r="BJ63" s="333">
        <f>SUMIF($C$3:$C$56,"S&amp;M",BJ3:BJ56)</f>
        <v/>
      </c>
      <c r="BK63" s="333">
        <f>SUMIF($C$3:$C$56,"S&amp;M",BK3:BK56)</f>
        <v/>
      </c>
      <c r="BL63" s="333">
        <f>SUMIF($C$3:$C$56,"S&amp;M",BL3:BL56)</f>
        <v/>
      </c>
      <c r="BM63" s="333">
        <f>SUMIF($C$3:$C$56,"S&amp;M",BM3:BM56)</f>
        <v/>
      </c>
      <c r="BN63" s="333">
        <f>SUMIF($C$3:$C$56,"S&amp;M",BN3:BN56)</f>
        <v/>
      </c>
      <c r="BO63" s="333">
        <f>SUMIF($C$3:$C$56,"S&amp;M",BO3:BO56)</f>
        <v/>
      </c>
      <c r="BP63" s="333">
        <f>SUMIF($C$3:$C$56,"S&amp;M",BP3:BP56)</f>
        <v/>
      </c>
      <c r="BQ63" s="333" t="n"/>
      <c r="BR63" s="334" t="inlineStr">
        <is>
          <t>adds up everyone tagged S&amp;M that month</t>
        </is>
      </c>
      <c r="BS63" s="335" t="n"/>
      <c r="BT63" s="335" t="n"/>
    </row>
    <row r="64" ht="15.75" customHeight="1" s="349">
      <c r="A64" s="331" t="n"/>
      <c r="B64" s="336" t="inlineStr">
        <is>
          <t>G&amp;A</t>
        </is>
      </c>
      <c r="C64" s="331" t="n"/>
      <c r="D64" s="331" t="n"/>
      <c r="E64" s="331" t="n"/>
      <c r="F64" s="331" t="n"/>
      <c r="G64" s="331" t="n"/>
      <c r="H64" s="331" t="n"/>
      <c r="I64" s="337">
        <f>SUMIF($C$3:$C$56,"G&amp;A",I3:I56)</f>
        <v/>
      </c>
      <c r="J64" s="337">
        <f>SUMIF($C$3:$C$56,"G&amp;A",J3:J56)</f>
        <v/>
      </c>
      <c r="K64" s="337">
        <f>SUMIF($C$3:$C$56,"G&amp;A",K3:K56)</f>
        <v/>
      </c>
      <c r="L64" s="337">
        <f>SUMIF($C$3:$C$56,"G&amp;A",L3:L56)</f>
        <v/>
      </c>
      <c r="M64" s="337">
        <f>SUMIF($C$3:$C$56,"G&amp;A",M3:M56)</f>
        <v/>
      </c>
      <c r="N64" s="337">
        <f>SUMIF($C$3:$C$56,"G&amp;A",N3:N56)</f>
        <v/>
      </c>
      <c r="O64" s="337">
        <f>SUMIF($C$3:$C$56,"G&amp;A",O3:O56)</f>
        <v/>
      </c>
      <c r="P64" s="337">
        <f>SUMIF($C$3:$C$56,"G&amp;A",P3:P56)</f>
        <v/>
      </c>
      <c r="Q64" s="337">
        <f>SUMIF($C$3:$C$56,"G&amp;A",Q3:Q56)</f>
        <v/>
      </c>
      <c r="R64" s="337">
        <f>SUMIF($C$3:$C$56,"G&amp;A",R3:R56)</f>
        <v/>
      </c>
      <c r="S64" s="337">
        <f>SUMIF($C$3:$C$56,"G&amp;A",S3:S56)</f>
        <v/>
      </c>
      <c r="T64" s="337">
        <f>SUMIF($C$3:$C$56,"G&amp;A",T3:T56)</f>
        <v/>
      </c>
      <c r="U64" s="337">
        <f>SUMIF($C$3:$C$56,"G&amp;A",U3:U56)</f>
        <v/>
      </c>
      <c r="V64" s="337">
        <f>SUMIF($C$3:$C$56,"G&amp;A",V3:V56)</f>
        <v/>
      </c>
      <c r="W64" s="337">
        <f>SUMIF($C$3:$C$56,"G&amp;A",W3:W56)</f>
        <v/>
      </c>
      <c r="X64" s="337">
        <f>SUMIF($C$3:$C$56,"G&amp;A",X3:X56)</f>
        <v/>
      </c>
      <c r="Y64" s="337">
        <f>SUMIF($C$3:$C$56,"G&amp;A",Y3:Y56)</f>
        <v/>
      </c>
      <c r="Z64" s="337">
        <f>SUMIF($C$3:$C$56,"G&amp;A",Z3:Z56)</f>
        <v/>
      </c>
      <c r="AA64" s="337">
        <f>SUMIF($C$3:$C$56,"G&amp;A",AA3:AA56)</f>
        <v/>
      </c>
      <c r="AB64" s="337">
        <f>SUMIF($C$3:$C$56,"G&amp;A",AB3:AB56)</f>
        <v/>
      </c>
      <c r="AC64" s="337">
        <f>SUMIF($C$3:$C$56,"G&amp;A",AC3:AC56)</f>
        <v/>
      </c>
      <c r="AD64" s="337">
        <f>SUMIF($C$3:$C$56,"G&amp;A",AD3:AD56)</f>
        <v/>
      </c>
      <c r="AE64" s="337">
        <f>SUMIF($C$3:$C$56,"G&amp;A",AE3:AE56)</f>
        <v/>
      </c>
      <c r="AF64" s="337">
        <f>SUMIF($C$3:$C$56,"G&amp;A",AF3:AF56)</f>
        <v/>
      </c>
      <c r="AG64" s="337">
        <f>SUMIF($C$3:$C$56,"G&amp;A",AG3:AG56)</f>
        <v/>
      </c>
      <c r="AH64" s="337">
        <f>SUMIF($C$3:$C$56,"G&amp;A",AH3:AH56)</f>
        <v/>
      </c>
      <c r="AI64" s="337">
        <f>SUMIF($C$3:$C$56,"G&amp;A",AI3:AI56)</f>
        <v/>
      </c>
      <c r="AJ64" s="337">
        <f>SUMIF($C$3:$C$56,"G&amp;A",AJ3:AJ56)</f>
        <v/>
      </c>
      <c r="AK64" s="337">
        <f>SUMIF($C$3:$C$56,"G&amp;A",AK3:AK56)</f>
        <v/>
      </c>
      <c r="AL64" s="337">
        <f>SUMIF($C$3:$C$56,"G&amp;A",AL3:AL56)</f>
        <v/>
      </c>
      <c r="AM64" s="337">
        <f>SUMIF($C$3:$C$56,"G&amp;A",AM3:AM56)</f>
        <v/>
      </c>
      <c r="AN64" s="337">
        <f>SUMIF($C$3:$C$56,"G&amp;A",AN3:AN56)</f>
        <v/>
      </c>
      <c r="AO64" s="337">
        <f>SUMIF($C$3:$C$56,"G&amp;A",AO3:AO56)</f>
        <v/>
      </c>
      <c r="AP64" s="337">
        <f>SUMIF($C$3:$C$56,"G&amp;A",AP3:AP56)</f>
        <v/>
      </c>
      <c r="AQ64" s="337">
        <f>SUMIF($C$3:$C$56,"G&amp;A",AQ3:AQ56)</f>
        <v/>
      </c>
      <c r="AR64" s="337">
        <f>SUMIF($C$3:$C$56,"G&amp;A",AR3:AR56)</f>
        <v/>
      </c>
      <c r="AS64" s="337">
        <f>SUMIF($C$3:$C$56,"G&amp;A",AS3:AS56)</f>
        <v/>
      </c>
      <c r="AT64" s="337">
        <f>SUMIF($C$3:$C$56,"G&amp;A",AT3:AT56)</f>
        <v/>
      </c>
      <c r="AU64" s="337">
        <f>SUMIF($C$3:$C$56,"G&amp;A",AU3:AU56)</f>
        <v/>
      </c>
      <c r="AV64" s="337">
        <f>SUMIF($C$3:$C$56,"G&amp;A",AV3:AV56)</f>
        <v/>
      </c>
      <c r="AW64" s="337">
        <f>SUMIF($C$3:$C$56,"G&amp;A",AW3:AW56)</f>
        <v/>
      </c>
      <c r="AX64" s="337">
        <f>SUMIF($C$3:$C$56,"G&amp;A",AX3:AX56)</f>
        <v/>
      </c>
      <c r="AY64" s="337">
        <f>SUMIF($C$3:$C$56,"G&amp;A",AY3:AY56)</f>
        <v/>
      </c>
      <c r="AZ64" s="337">
        <f>SUMIF($C$3:$C$56,"G&amp;A",AZ3:AZ56)</f>
        <v/>
      </c>
      <c r="BA64" s="337">
        <f>SUMIF($C$3:$C$56,"G&amp;A",BA3:BA56)</f>
        <v/>
      </c>
      <c r="BB64" s="337">
        <f>SUMIF($C$3:$C$56,"G&amp;A",BB3:BB56)</f>
        <v/>
      </c>
      <c r="BC64" s="337">
        <f>SUMIF($C$3:$C$56,"G&amp;A",BC3:BC56)</f>
        <v/>
      </c>
      <c r="BD64" s="337">
        <f>SUMIF($C$3:$C$56,"G&amp;A",BD3:BD56)</f>
        <v/>
      </c>
      <c r="BE64" s="337">
        <f>SUMIF($C$3:$C$56,"G&amp;A",BE3:BE56)</f>
        <v/>
      </c>
      <c r="BF64" s="337">
        <f>SUMIF($C$3:$C$56,"G&amp;A",BF3:BF56)</f>
        <v/>
      </c>
      <c r="BG64" s="337">
        <f>SUMIF($C$3:$C$56,"G&amp;A",BG3:BG56)</f>
        <v/>
      </c>
      <c r="BH64" s="337">
        <f>SUMIF($C$3:$C$56,"G&amp;A",BH3:BH56)</f>
        <v/>
      </c>
      <c r="BI64" s="337">
        <f>SUMIF($C$3:$C$56,"G&amp;A",BI3:BI56)</f>
        <v/>
      </c>
      <c r="BJ64" s="337">
        <f>SUMIF($C$3:$C$56,"G&amp;A",BJ3:BJ56)</f>
        <v/>
      </c>
      <c r="BK64" s="337">
        <f>SUMIF($C$3:$C$56,"G&amp;A",BK3:BK56)</f>
        <v/>
      </c>
      <c r="BL64" s="337">
        <f>SUMIF($C$3:$C$56,"G&amp;A",BL3:BL56)</f>
        <v/>
      </c>
      <c r="BM64" s="337">
        <f>SUMIF($C$3:$C$56,"G&amp;A",BM3:BM56)</f>
        <v/>
      </c>
      <c r="BN64" s="337">
        <f>SUMIF($C$3:$C$56,"G&amp;A",BN3:BN56)</f>
        <v/>
      </c>
      <c r="BO64" s="337">
        <f>SUMIF($C$3:$C$56,"G&amp;A",BO3:BO56)</f>
        <v/>
      </c>
      <c r="BP64" s="337">
        <f>SUMIF($C$3:$C$56,"G&amp;A",BP3:BP56)</f>
        <v/>
      </c>
      <c r="BQ64" s="337" t="n"/>
      <c r="BR64" s="334" t="inlineStr">
        <is>
          <t>adds up everyone tagged G&amp;A that month</t>
        </is>
      </c>
      <c r="BS64" s="335" t="n"/>
      <c r="BT64" s="335" t="n"/>
    </row>
    <row r="65" ht="15.75" customHeight="1" s="349">
      <c r="A65" s="338" t="n"/>
      <c r="B65" s="339" t="inlineStr">
        <is>
          <t>TOTAL</t>
        </is>
      </c>
      <c r="C65" s="339" t="n"/>
      <c r="D65" s="339" t="n"/>
      <c r="E65" s="339" t="n"/>
      <c r="F65" s="339" t="n"/>
      <c r="G65" s="339" t="n"/>
      <c r="H65" s="339" t="n"/>
      <c r="I65" s="340">
        <f>SUM(I62:I64)</f>
        <v/>
      </c>
      <c r="J65" s="340">
        <f>SUM(J62:J64)</f>
        <v/>
      </c>
      <c r="K65" s="340">
        <f>SUM(K62:K64)</f>
        <v/>
      </c>
      <c r="L65" s="340">
        <f>SUM(L62:L64)</f>
        <v/>
      </c>
      <c r="M65" s="340">
        <f>SUM(M62:M64)</f>
        <v/>
      </c>
      <c r="N65" s="340">
        <f>SUM(N62:N64)</f>
        <v/>
      </c>
      <c r="O65" s="340">
        <f>SUM(O62:O64)</f>
        <v/>
      </c>
      <c r="P65" s="340">
        <f>SUM(P62:P64)</f>
        <v/>
      </c>
      <c r="Q65" s="340">
        <f>SUM(Q62:Q64)</f>
        <v/>
      </c>
      <c r="R65" s="340">
        <f>SUM(R62:R64)</f>
        <v/>
      </c>
      <c r="S65" s="340">
        <f>SUM(S62:S64)</f>
        <v/>
      </c>
      <c r="T65" s="340">
        <f>SUM(T62:T64)</f>
        <v/>
      </c>
      <c r="U65" s="340">
        <f>SUM(U62:U64)</f>
        <v/>
      </c>
      <c r="V65" s="340">
        <f>SUM(V62:V64)</f>
        <v/>
      </c>
      <c r="W65" s="340">
        <f>SUM(W62:W64)</f>
        <v/>
      </c>
      <c r="X65" s="340">
        <f>SUM(X62:X64)</f>
        <v/>
      </c>
      <c r="Y65" s="340">
        <f>SUM(Y62:Y64)</f>
        <v/>
      </c>
      <c r="Z65" s="340">
        <f>SUM(Z62:Z64)</f>
        <v/>
      </c>
      <c r="AA65" s="340">
        <f>SUM(AA62:AA64)</f>
        <v/>
      </c>
      <c r="AB65" s="340">
        <f>SUM(AB62:AB64)</f>
        <v/>
      </c>
      <c r="AC65" s="340">
        <f>SUM(AC62:AC64)</f>
        <v/>
      </c>
      <c r="AD65" s="340">
        <f>SUM(AD62:AD64)</f>
        <v/>
      </c>
      <c r="AE65" s="340">
        <f>SUM(AE62:AE64)</f>
        <v/>
      </c>
      <c r="AF65" s="340">
        <f>SUM(AF62:AF64)</f>
        <v/>
      </c>
      <c r="AG65" s="340">
        <f>SUM(AG62:AG64)</f>
        <v/>
      </c>
      <c r="AH65" s="340">
        <f>SUM(AH62:AH64)</f>
        <v/>
      </c>
      <c r="AI65" s="340">
        <f>SUM(AI62:AI64)</f>
        <v/>
      </c>
      <c r="AJ65" s="340">
        <f>SUM(AJ62:AJ64)</f>
        <v/>
      </c>
      <c r="AK65" s="340">
        <f>SUM(AK62:AK64)</f>
        <v/>
      </c>
      <c r="AL65" s="340">
        <f>SUM(AL62:AL64)</f>
        <v/>
      </c>
      <c r="AM65" s="340">
        <f>SUM(AM62:AM64)</f>
        <v/>
      </c>
      <c r="AN65" s="340">
        <f>SUM(AN62:AN64)</f>
        <v/>
      </c>
      <c r="AO65" s="340">
        <f>SUM(AO62:AO64)</f>
        <v/>
      </c>
      <c r="AP65" s="340">
        <f>SUM(AP62:AP64)</f>
        <v/>
      </c>
      <c r="AQ65" s="340">
        <f>SUM(AQ62:AQ64)</f>
        <v/>
      </c>
      <c r="AR65" s="340">
        <f>SUM(AR62:AR64)</f>
        <v/>
      </c>
      <c r="AS65" s="340">
        <f>SUM(AS62:AS64)</f>
        <v/>
      </c>
      <c r="AT65" s="340">
        <f>SUM(AT62:AT64)</f>
        <v/>
      </c>
      <c r="AU65" s="340">
        <f>SUM(AU62:AU64)</f>
        <v/>
      </c>
      <c r="AV65" s="340">
        <f>SUM(AV62:AV64)</f>
        <v/>
      </c>
      <c r="AW65" s="340">
        <f>SUM(AW62:AW64)</f>
        <v/>
      </c>
      <c r="AX65" s="340">
        <f>SUM(AX62:AX64)</f>
        <v/>
      </c>
      <c r="AY65" s="340">
        <f>SUM(AY62:AY64)</f>
        <v/>
      </c>
      <c r="AZ65" s="340">
        <f>SUM(AZ62:AZ64)</f>
        <v/>
      </c>
      <c r="BA65" s="340">
        <f>SUM(BA62:BA64)</f>
        <v/>
      </c>
      <c r="BB65" s="340">
        <f>SUM(BB62:BB64)</f>
        <v/>
      </c>
      <c r="BC65" s="340">
        <f>SUM(BC62:BC64)</f>
        <v/>
      </c>
      <c r="BD65" s="340">
        <f>SUM(BD62:BD64)</f>
        <v/>
      </c>
      <c r="BE65" s="340">
        <f>SUM(BE62:BE64)</f>
        <v/>
      </c>
      <c r="BF65" s="340">
        <f>SUM(BF62:BF64)</f>
        <v/>
      </c>
      <c r="BG65" s="340">
        <f>SUM(BG62:BG64)</f>
        <v/>
      </c>
      <c r="BH65" s="340">
        <f>SUM(BH62:BH64)</f>
        <v/>
      </c>
      <c r="BI65" s="340">
        <f>SUM(BI62:BI64)</f>
        <v/>
      </c>
      <c r="BJ65" s="340">
        <f>SUM(BJ62:BJ64)</f>
        <v/>
      </c>
      <c r="BK65" s="340">
        <f>SUM(BK62:BK64)</f>
        <v/>
      </c>
      <c r="BL65" s="340">
        <f>SUM(BL62:BL64)</f>
        <v/>
      </c>
      <c r="BM65" s="340">
        <f>SUM(BM62:BM64)</f>
        <v/>
      </c>
      <c r="BN65" s="340">
        <f>SUM(BN62:BN64)</f>
        <v/>
      </c>
      <c r="BO65" s="340">
        <f>SUM(BO62:BO64)</f>
        <v/>
      </c>
      <c r="BP65" s="340">
        <f>SUM(BP62:BP64)</f>
        <v/>
      </c>
      <c r="BQ65" s="340" t="n"/>
      <c r="BR65" s="315" t="inlineStr">
        <is>
          <t>total employer cost for the month</t>
        </is>
      </c>
      <c r="BS65" s="341" t="n"/>
      <c r="BT65" s="341" t="n"/>
    </row>
    <row r="66" ht="15.75" customHeight="1" s="349">
      <c r="A66" s="22" t="n"/>
      <c r="B66" s="22" t="n"/>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c r="AA66" s="22" t="n"/>
      <c r="AB66" s="22" t="n"/>
      <c r="AC66" s="22" t="n"/>
      <c r="AD66" s="22" t="n"/>
      <c r="AE66" s="22" t="n"/>
      <c r="AF66" s="22" t="n"/>
      <c r="AG66" s="22" t="n"/>
      <c r="AH66" s="22" t="n"/>
      <c r="AI66" s="22" t="n"/>
      <c r="AJ66" s="22" t="n"/>
      <c r="AK66" s="22" t="n"/>
      <c r="AL66" s="22" t="n"/>
      <c r="AM66" s="22" t="n"/>
      <c r="AN66" s="22" t="n"/>
      <c r="AO66" s="22" t="n"/>
      <c r="AP66" s="22" t="n"/>
      <c r="AQ66" s="22" t="n"/>
      <c r="AR66" s="22" t="n"/>
      <c r="AS66" s="22" t="n"/>
      <c r="AT66" s="22" t="n"/>
      <c r="AU66" s="22" t="n"/>
      <c r="AV66" s="22" t="n"/>
      <c r="AW66" s="22" t="n"/>
      <c r="AX66" s="22" t="n"/>
      <c r="AY66" s="22" t="n"/>
      <c r="AZ66" s="22" t="n"/>
      <c r="BA66" s="22" t="n"/>
      <c r="BB66" s="22" t="n"/>
      <c r="BC66" s="22" t="n"/>
      <c r="BD66" s="22" t="n"/>
      <c r="BE66" s="22" t="n"/>
      <c r="BF66" s="22" t="n"/>
      <c r="BG66" s="22" t="n"/>
      <c r="BH66" s="22" t="n"/>
      <c r="BI66" s="22" t="n"/>
      <c r="BJ66" s="22" t="n"/>
      <c r="BK66" s="22" t="n"/>
      <c r="BL66" s="22" t="n"/>
      <c r="BM66" s="22" t="n"/>
      <c r="BN66" s="22" t="n"/>
      <c r="BO66" s="22" t="n"/>
      <c r="BP66" s="22" t="n"/>
      <c r="BQ66" s="31" t="n"/>
      <c r="BR66" s="40" t="n"/>
      <c r="BS66" s="31" t="n"/>
      <c r="BT66" s="31" t="n"/>
    </row>
    <row r="67" ht="15.75" customHeight="1" s="349">
      <c r="A67" s="2" t="n"/>
      <c r="B67" s="26" t="inlineStr">
        <is>
          <t>HEADCOUNT BY DEPARTMENT</t>
        </is>
      </c>
      <c r="BE67" s="11" t="n"/>
      <c r="BF67" s="11" t="n"/>
      <c r="BG67" s="11" t="n"/>
      <c r="BH67" s="11" t="n"/>
      <c r="BI67" s="11" t="n"/>
      <c r="BJ67" s="11" t="n"/>
      <c r="BK67" s="11" t="n"/>
      <c r="BL67" s="11" t="n"/>
      <c r="BM67" s="11" t="n"/>
      <c r="BN67" s="11" t="n"/>
      <c r="BO67" s="11" t="n"/>
      <c r="BP67" s="11" t="n"/>
      <c r="BQ67" s="78" t="n"/>
      <c r="BR67" s="315" t="n"/>
      <c r="BS67" s="78" t="n"/>
      <c r="BT67" s="78" t="n"/>
    </row>
    <row r="68" ht="15.75" customHeight="1" s="349">
      <c r="A68" s="342" t="n"/>
      <c r="B68" s="343" t="inlineStr">
        <is>
          <t>R&amp;D</t>
        </is>
      </c>
      <c r="C68" s="342" t="n"/>
      <c r="D68" s="342" t="n"/>
      <c r="E68" s="342" t="n"/>
      <c r="F68" s="342" t="n"/>
      <c r="G68" s="342" t="n"/>
      <c r="H68" s="342" t="n"/>
      <c r="I68" s="344">
        <f>COUNTIFS($C$3:$C$56,"R&amp;D",I3:I56,"&gt;0")</f>
        <v/>
      </c>
      <c r="J68" s="344">
        <f>COUNTIFS($C$3:$C$56,"R&amp;D",J3:J56,"&gt;0")</f>
        <v/>
      </c>
      <c r="K68" s="344">
        <f>COUNTIFS($C$3:$C$56,"R&amp;D",K3:K56,"&gt;0")</f>
        <v/>
      </c>
      <c r="L68" s="344">
        <f>COUNTIFS($C$3:$C$56,"R&amp;D",L3:L56,"&gt;0")</f>
        <v/>
      </c>
      <c r="M68" s="344">
        <f>COUNTIFS($C$3:$C$56,"R&amp;D",M3:M56,"&gt;0")</f>
        <v/>
      </c>
      <c r="N68" s="344">
        <f>COUNTIFS($C$3:$C$56,"R&amp;D",N3:N56,"&gt;0")</f>
        <v/>
      </c>
      <c r="O68" s="344">
        <f>COUNTIFS($C$3:$C$56,"R&amp;D",O3:O56,"&gt;0")</f>
        <v/>
      </c>
      <c r="P68" s="344">
        <f>COUNTIFS($C$3:$C$56,"R&amp;D",P3:P56,"&gt;0")</f>
        <v/>
      </c>
      <c r="Q68" s="344">
        <f>COUNTIFS($C$3:$C$56,"R&amp;D",Q3:Q56,"&gt;0")</f>
        <v/>
      </c>
      <c r="R68" s="344">
        <f>COUNTIFS($C$3:$C$56,"R&amp;D",R3:R56,"&gt;0")</f>
        <v/>
      </c>
      <c r="S68" s="344">
        <f>COUNTIFS($C$3:$C$56,"R&amp;D",S3:S56,"&gt;0")</f>
        <v/>
      </c>
      <c r="T68" s="344">
        <f>COUNTIFS($C$3:$C$56,"R&amp;D",T3:T56,"&gt;0")</f>
        <v/>
      </c>
      <c r="U68" s="344">
        <f>COUNTIFS($C$3:$C$56,"R&amp;D",U3:U56,"&gt;0")</f>
        <v/>
      </c>
      <c r="V68" s="344">
        <f>COUNTIFS($C$3:$C$56,"R&amp;D",V3:V56,"&gt;0")</f>
        <v/>
      </c>
      <c r="W68" s="344">
        <f>COUNTIFS($C$3:$C$56,"R&amp;D",W3:W56,"&gt;0")</f>
        <v/>
      </c>
      <c r="X68" s="344">
        <f>COUNTIFS($C$3:$C$56,"R&amp;D",X3:X56,"&gt;0")</f>
        <v/>
      </c>
      <c r="Y68" s="344">
        <f>COUNTIFS($C$3:$C$56,"R&amp;D",Y3:Y56,"&gt;0")</f>
        <v/>
      </c>
      <c r="Z68" s="344">
        <f>COUNTIFS($C$3:$C$56,"R&amp;D",Z3:Z56,"&gt;0")</f>
        <v/>
      </c>
      <c r="AA68" s="344">
        <f>COUNTIFS($C$3:$C$56,"R&amp;D",AA3:AA56,"&gt;0")</f>
        <v/>
      </c>
      <c r="AB68" s="344">
        <f>COUNTIFS($C$3:$C$56,"R&amp;D",AB3:AB56,"&gt;0")</f>
        <v/>
      </c>
      <c r="AC68" s="344">
        <f>COUNTIFS($C$3:$C$56,"R&amp;D",AC3:AC56,"&gt;0")</f>
        <v/>
      </c>
      <c r="AD68" s="344">
        <f>COUNTIFS($C$3:$C$56,"R&amp;D",AD3:AD56,"&gt;0")</f>
        <v/>
      </c>
      <c r="AE68" s="344">
        <f>COUNTIFS($C$3:$C$56,"R&amp;D",AE3:AE56,"&gt;0")</f>
        <v/>
      </c>
      <c r="AF68" s="344">
        <f>COUNTIFS($C$3:$C$56,"R&amp;D",AF3:AF56,"&gt;0")</f>
        <v/>
      </c>
      <c r="AG68" s="344">
        <f>COUNTIFS($C$3:$C$56,"R&amp;D",AG3:AG56,"&gt;0")</f>
        <v/>
      </c>
      <c r="AH68" s="344">
        <f>COUNTIFS($C$3:$C$56,"R&amp;D",AH3:AH56,"&gt;0")</f>
        <v/>
      </c>
      <c r="AI68" s="344">
        <f>COUNTIFS($C$3:$C$56,"R&amp;D",AI3:AI56,"&gt;0")</f>
        <v/>
      </c>
      <c r="AJ68" s="344">
        <f>COUNTIFS($C$3:$C$56,"R&amp;D",AJ3:AJ56,"&gt;0")</f>
        <v/>
      </c>
      <c r="AK68" s="344">
        <f>COUNTIFS($C$3:$C$56,"R&amp;D",AK3:AK56,"&gt;0")</f>
        <v/>
      </c>
      <c r="AL68" s="344">
        <f>COUNTIFS($C$3:$C$56,"R&amp;D",AL3:AL56,"&gt;0")</f>
        <v/>
      </c>
      <c r="AM68" s="344">
        <f>COUNTIFS($C$3:$C$56,"R&amp;D",AM3:AM56,"&gt;0")</f>
        <v/>
      </c>
      <c r="AN68" s="344">
        <f>COUNTIFS($C$3:$C$56,"R&amp;D",AN3:AN56,"&gt;0")</f>
        <v/>
      </c>
      <c r="AO68" s="344">
        <f>COUNTIFS($C$3:$C$56,"R&amp;D",AO3:AO56,"&gt;0")</f>
        <v/>
      </c>
      <c r="AP68" s="344">
        <f>COUNTIFS($C$3:$C$56,"R&amp;D",AP3:AP56,"&gt;0")</f>
        <v/>
      </c>
      <c r="AQ68" s="344">
        <f>COUNTIFS($C$3:$C$56,"R&amp;D",AQ3:AQ56,"&gt;0")</f>
        <v/>
      </c>
      <c r="AR68" s="344">
        <f>COUNTIFS($C$3:$C$56,"R&amp;D",AR3:AR56,"&gt;0")</f>
        <v/>
      </c>
      <c r="AS68" s="344">
        <f>COUNTIFS($C$3:$C$56,"R&amp;D",AS3:AS56,"&gt;0")</f>
        <v/>
      </c>
      <c r="AT68" s="344">
        <f>COUNTIFS($C$3:$C$56,"R&amp;D",AT3:AT56,"&gt;0")</f>
        <v/>
      </c>
      <c r="AU68" s="344">
        <f>COUNTIFS($C$3:$C$56,"R&amp;D",AU3:AU56,"&gt;0")</f>
        <v/>
      </c>
      <c r="AV68" s="344">
        <f>COUNTIFS($C$3:$C$56,"R&amp;D",AV3:AV56,"&gt;0")</f>
        <v/>
      </c>
      <c r="AW68" s="344">
        <f>COUNTIFS($C$3:$C$56,"R&amp;D",AW3:AW56,"&gt;0")</f>
        <v/>
      </c>
      <c r="AX68" s="344">
        <f>COUNTIFS($C$3:$C$56,"R&amp;D",AX3:AX56,"&gt;0")</f>
        <v/>
      </c>
      <c r="AY68" s="344">
        <f>COUNTIFS($C$3:$C$56,"R&amp;D",AY3:AY56,"&gt;0")</f>
        <v/>
      </c>
      <c r="AZ68" s="344">
        <f>COUNTIFS($C$3:$C$56,"R&amp;D",AZ3:AZ56,"&gt;0")</f>
        <v/>
      </c>
      <c r="BA68" s="344">
        <f>COUNTIFS($C$3:$C$56,"R&amp;D",BA3:BA56,"&gt;0")</f>
        <v/>
      </c>
      <c r="BB68" s="344">
        <f>COUNTIFS($C$3:$C$56,"R&amp;D",BB3:BB56,"&gt;0")</f>
        <v/>
      </c>
      <c r="BC68" s="344">
        <f>COUNTIFS($C$3:$C$56,"R&amp;D",BC3:BC56,"&gt;0")</f>
        <v/>
      </c>
      <c r="BD68" s="344">
        <f>COUNTIFS($C$3:$C$56,"R&amp;D",BD3:BD56,"&gt;0")</f>
        <v/>
      </c>
      <c r="BE68" s="344">
        <f>COUNTIFS($C$3:$C$56,"R&amp;D",BE3:BE56,"&gt;0")</f>
        <v/>
      </c>
      <c r="BF68" s="344">
        <f>COUNTIFS($C$3:$C$56,"R&amp;D",BF3:BF56,"&gt;0")</f>
        <v/>
      </c>
      <c r="BG68" s="344">
        <f>COUNTIFS($C$3:$C$56,"R&amp;D",BG3:BG56,"&gt;0")</f>
        <v/>
      </c>
      <c r="BH68" s="344">
        <f>COUNTIFS($C$3:$C$56,"R&amp;D",BH3:BH56,"&gt;0")</f>
        <v/>
      </c>
      <c r="BI68" s="344">
        <f>COUNTIFS($C$3:$C$56,"R&amp;D",BI3:BI56,"&gt;0")</f>
        <v/>
      </c>
      <c r="BJ68" s="344">
        <f>COUNTIFS($C$3:$C$56,"R&amp;D",BJ3:BJ56,"&gt;0")</f>
        <v/>
      </c>
      <c r="BK68" s="344">
        <f>COUNTIFS($C$3:$C$56,"R&amp;D",BK3:BK56,"&gt;0")</f>
        <v/>
      </c>
      <c r="BL68" s="344">
        <f>COUNTIFS($C$3:$C$56,"R&amp;D",BL3:BL56,"&gt;0")</f>
        <v/>
      </c>
      <c r="BM68" s="344">
        <f>COUNTIFS($C$3:$C$56,"R&amp;D",BM3:BM56,"&gt;0")</f>
        <v/>
      </c>
      <c r="BN68" s="344">
        <f>COUNTIFS($C$3:$C$56,"R&amp;D",BN3:BN56,"&gt;0")</f>
        <v/>
      </c>
      <c r="BO68" s="344">
        <f>COUNTIFS($C$3:$C$56,"R&amp;D",BO3:BO56,"&gt;0")</f>
        <v/>
      </c>
      <c r="BP68" s="344">
        <f>COUNTIFS($C$3:$C$56,"R&amp;D",BP3:BP56,"&gt;0")</f>
        <v/>
      </c>
      <c r="BQ68" s="344" t="n"/>
      <c r="BR68" s="334" t="inlineStr">
        <is>
          <t>counts the R&amp;D people being paid that month</t>
        </is>
      </c>
      <c r="BS68" s="345" t="n"/>
      <c r="BT68" s="345" t="n"/>
    </row>
    <row r="69" ht="15.75" customHeight="1" s="349">
      <c r="A69" s="342" t="n"/>
      <c r="B69" s="343" t="inlineStr">
        <is>
          <t>S&amp;M</t>
        </is>
      </c>
      <c r="C69" s="342" t="n"/>
      <c r="D69" s="342" t="n"/>
      <c r="E69" s="342" t="n"/>
      <c r="F69" s="342" t="n"/>
      <c r="G69" s="342" t="n"/>
      <c r="H69" s="342" t="n"/>
      <c r="I69" s="344">
        <f>COUNTIFS($C$3:$C$56,"S&amp;M",I3:I56,"&gt;0")</f>
        <v/>
      </c>
      <c r="J69" s="344">
        <f>COUNTIFS($C$3:$C$56,"S&amp;M",J3:J56,"&gt;0")</f>
        <v/>
      </c>
      <c r="K69" s="344">
        <f>COUNTIFS($C$3:$C$56,"S&amp;M",K3:K56,"&gt;0")</f>
        <v/>
      </c>
      <c r="L69" s="344">
        <f>COUNTIFS($C$3:$C$56,"S&amp;M",L3:L56,"&gt;0")</f>
        <v/>
      </c>
      <c r="M69" s="344">
        <f>COUNTIFS($C$3:$C$56,"S&amp;M",M3:M56,"&gt;0")</f>
        <v/>
      </c>
      <c r="N69" s="344">
        <f>COUNTIFS($C$3:$C$56,"S&amp;M",N3:N56,"&gt;0")</f>
        <v/>
      </c>
      <c r="O69" s="344">
        <f>COUNTIFS($C$3:$C$56,"S&amp;M",O3:O56,"&gt;0")</f>
        <v/>
      </c>
      <c r="P69" s="344">
        <f>COUNTIFS($C$3:$C$56,"S&amp;M",P3:P56,"&gt;0")</f>
        <v/>
      </c>
      <c r="Q69" s="344">
        <f>COUNTIFS($C$3:$C$56,"S&amp;M",Q3:Q56,"&gt;0")</f>
        <v/>
      </c>
      <c r="R69" s="344">
        <f>COUNTIFS($C$3:$C$56,"S&amp;M",R3:R56,"&gt;0")</f>
        <v/>
      </c>
      <c r="S69" s="344">
        <f>COUNTIFS($C$3:$C$56,"S&amp;M",S3:S56,"&gt;0")</f>
        <v/>
      </c>
      <c r="T69" s="344">
        <f>COUNTIFS($C$3:$C$56,"S&amp;M",T3:T56,"&gt;0")</f>
        <v/>
      </c>
      <c r="U69" s="344">
        <f>COUNTIFS($C$3:$C$56,"S&amp;M",U3:U56,"&gt;0")</f>
        <v/>
      </c>
      <c r="V69" s="344">
        <f>COUNTIFS($C$3:$C$56,"S&amp;M",V3:V56,"&gt;0")</f>
        <v/>
      </c>
      <c r="W69" s="344">
        <f>COUNTIFS($C$3:$C$56,"S&amp;M",W3:W56,"&gt;0")</f>
        <v/>
      </c>
      <c r="X69" s="344">
        <f>COUNTIFS($C$3:$C$56,"S&amp;M",X3:X56,"&gt;0")</f>
        <v/>
      </c>
      <c r="Y69" s="344">
        <f>COUNTIFS($C$3:$C$56,"S&amp;M",Y3:Y56,"&gt;0")</f>
        <v/>
      </c>
      <c r="Z69" s="344">
        <f>COUNTIFS($C$3:$C$56,"S&amp;M",Z3:Z56,"&gt;0")</f>
        <v/>
      </c>
      <c r="AA69" s="344">
        <f>COUNTIFS($C$3:$C$56,"S&amp;M",AA3:AA56,"&gt;0")</f>
        <v/>
      </c>
      <c r="AB69" s="344">
        <f>COUNTIFS($C$3:$C$56,"S&amp;M",AB3:AB56,"&gt;0")</f>
        <v/>
      </c>
      <c r="AC69" s="344">
        <f>COUNTIFS($C$3:$C$56,"S&amp;M",AC3:AC56,"&gt;0")</f>
        <v/>
      </c>
      <c r="AD69" s="344">
        <f>COUNTIFS($C$3:$C$56,"S&amp;M",AD3:AD56,"&gt;0")</f>
        <v/>
      </c>
      <c r="AE69" s="344">
        <f>COUNTIFS($C$3:$C$56,"S&amp;M",AE3:AE56,"&gt;0")</f>
        <v/>
      </c>
      <c r="AF69" s="344">
        <f>COUNTIFS($C$3:$C$56,"S&amp;M",AF3:AF56,"&gt;0")</f>
        <v/>
      </c>
      <c r="AG69" s="344">
        <f>COUNTIFS($C$3:$C$56,"S&amp;M",AG3:AG56,"&gt;0")</f>
        <v/>
      </c>
      <c r="AH69" s="344">
        <f>COUNTIFS($C$3:$C$56,"S&amp;M",AH3:AH56,"&gt;0")</f>
        <v/>
      </c>
      <c r="AI69" s="344">
        <f>COUNTIFS($C$3:$C$56,"S&amp;M",AI3:AI56,"&gt;0")</f>
        <v/>
      </c>
      <c r="AJ69" s="344">
        <f>COUNTIFS($C$3:$C$56,"S&amp;M",AJ3:AJ56,"&gt;0")</f>
        <v/>
      </c>
      <c r="AK69" s="344">
        <f>COUNTIFS($C$3:$C$56,"S&amp;M",AK3:AK56,"&gt;0")</f>
        <v/>
      </c>
      <c r="AL69" s="344">
        <f>COUNTIFS($C$3:$C$56,"S&amp;M",AL3:AL56,"&gt;0")</f>
        <v/>
      </c>
      <c r="AM69" s="344">
        <f>COUNTIFS($C$3:$C$56,"S&amp;M",AM3:AM56,"&gt;0")</f>
        <v/>
      </c>
      <c r="AN69" s="344">
        <f>COUNTIFS($C$3:$C$56,"S&amp;M",AN3:AN56,"&gt;0")</f>
        <v/>
      </c>
      <c r="AO69" s="344">
        <f>COUNTIFS($C$3:$C$56,"S&amp;M",AO3:AO56,"&gt;0")</f>
        <v/>
      </c>
      <c r="AP69" s="344">
        <f>COUNTIFS($C$3:$C$56,"S&amp;M",AP3:AP56,"&gt;0")</f>
        <v/>
      </c>
      <c r="AQ69" s="344">
        <f>COUNTIFS($C$3:$C$56,"S&amp;M",AQ3:AQ56,"&gt;0")</f>
        <v/>
      </c>
      <c r="AR69" s="344">
        <f>COUNTIFS($C$3:$C$56,"S&amp;M",AR3:AR56,"&gt;0")</f>
        <v/>
      </c>
      <c r="AS69" s="344">
        <f>COUNTIFS($C$3:$C$56,"S&amp;M",AS3:AS56,"&gt;0")</f>
        <v/>
      </c>
      <c r="AT69" s="344">
        <f>COUNTIFS($C$3:$C$56,"S&amp;M",AT3:AT56,"&gt;0")</f>
        <v/>
      </c>
      <c r="AU69" s="344">
        <f>COUNTIFS($C$3:$C$56,"S&amp;M",AU3:AU56,"&gt;0")</f>
        <v/>
      </c>
      <c r="AV69" s="344">
        <f>COUNTIFS($C$3:$C$56,"S&amp;M",AV3:AV56,"&gt;0")</f>
        <v/>
      </c>
      <c r="AW69" s="344">
        <f>COUNTIFS($C$3:$C$56,"S&amp;M",AW3:AW56,"&gt;0")</f>
        <v/>
      </c>
      <c r="AX69" s="344">
        <f>COUNTIFS($C$3:$C$56,"S&amp;M",AX3:AX56,"&gt;0")</f>
        <v/>
      </c>
      <c r="AY69" s="344">
        <f>COUNTIFS($C$3:$C$56,"S&amp;M",AY3:AY56,"&gt;0")</f>
        <v/>
      </c>
      <c r="AZ69" s="344">
        <f>COUNTIFS($C$3:$C$56,"S&amp;M",AZ3:AZ56,"&gt;0")</f>
        <v/>
      </c>
      <c r="BA69" s="344">
        <f>COUNTIFS($C$3:$C$56,"S&amp;M",BA3:BA56,"&gt;0")</f>
        <v/>
      </c>
      <c r="BB69" s="344">
        <f>COUNTIFS($C$3:$C$56,"S&amp;M",BB3:BB56,"&gt;0")</f>
        <v/>
      </c>
      <c r="BC69" s="344">
        <f>COUNTIFS($C$3:$C$56,"S&amp;M",BC3:BC56,"&gt;0")</f>
        <v/>
      </c>
      <c r="BD69" s="344">
        <f>COUNTIFS($C$3:$C$56,"S&amp;M",BD3:BD56,"&gt;0")</f>
        <v/>
      </c>
      <c r="BE69" s="344">
        <f>COUNTIFS($C$3:$C$56,"S&amp;M",BE3:BE56,"&gt;0")</f>
        <v/>
      </c>
      <c r="BF69" s="344">
        <f>COUNTIFS($C$3:$C$56,"S&amp;M",BF3:BF56,"&gt;0")</f>
        <v/>
      </c>
      <c r="BG69" s="344">
        <f>COUNTIFS($C$3:$C$56,"S&amp;M",BG3:BG56,"&gt;0")</f>
        <v/>
      </c>
      <c r="BH69" s="344">
        <f>COUNTIFS($C$3:$C$56,"S&amp;M",BH3:BH56,"&gt;0")</f>
        <v/>
      </c>
      <c r="BI69" s="344">
        <f>COUNTIFS($C$3:$C$56,"S&amp;M",BI3:BI56,"&gt;0")</f>
        <v/>
      </c>
      <c r="BJ69" s="344">
        <f>COUNTIFS($C$3:$C$56,"S&amp;M",BJ3:BJ56,"&gt;0")</f>
        <v/>
      </c>
      <c r="BK69" s="344">
        <f>COUNTIFS($C$3:$C$56,"S&amp;M",BK3:BK56,"&gt;0")</f>
        <v/>
      </c>
      <c r="BL69" s="344">
        <f>COUNTIFS($C$3:$C$56,"S&amp;M",BL3:BL56,"&gt;0")</f>
        <v/>
      </c>
      <c r="BM69" s="344">
        <f>COUNTIFS($C$3:$C$56,"S&amp;M",BM3:BM56,"&gt;0")</f>
        <v/>
      </c>
      <c r="BN69" s="344">
        <f>COUNTIFS($C$3:$C$56,"S&amp;M",BN3:BN56,"&gt;0")</f>
        <v/>
      </c>
      <c r="BO69" s="344">
        <f>COUNTIFS($C$3:$C$56,"S&amp;M",BO3:BO56,"&gt;0")</f>
        <v/>
      </c>
      <c r="BP69" s="344">
        <f>COUNTIFS($C$3:$C$56,"S&amp;M",BP3:BP56,"&gt;0")</f>
        <v/>
      </c>
      <c r="BQ69" s="344" t="n"/>
      <c r="BR69" s="334" t="inlineStr">
        <is>
          <t>counts the S&amp;M people being paid that month</t>
        </is>
      </c>
      <c r="BS69" s="345" t="n"/>
      <c r="BT69" s="345" t="n"/>
    </row>
    <row r="70" ht="15.75" customHeight="1" s="349">
      <c r="A70" s="342" t="n"/>
      <c r="B70" s="343" t="inlineStr">
        <is>
          <t>G&amp;A</t>
        </is>
      </c>
      <c r="C70" s="342" t="n"/>
      <c r="D70" s="342" t="n"/>
      <c r="E70" s="342" t="n"/>
      <c r="F70" s="342" t="n"/>
      <c r="G70" s="342" t="n"/>
      <c r="H70" s="342" t="n"/>
      <c r="I70" s="344">
        <f>COUNTIFS($C$3:$C$56,"G&amp;A",I3:I56,"&gt;0")</f>
        <v/>
      </c>
      <c r="J70" s="344">
        <f>COUNTIFS($C$3:$C$56,"G&amp;A",J3:J56,"&gt;0")</f>
        <v/>
      </c>
      <c r="K70" s="344">
        <f>COUNTIFS($C$3:$C$56,"G&amp;A",K3:K56,"&gt;0")</f>
        <v/>
      </c>
      <c r="L70" s="344">
        <f>COUNTIFS($C$3:$C$56,"G&amp;A",L3:L56,"&gt;0")</f>
        <v/>
      </c>
      <c r="M70" s="344">
        <f>COUNTIFS($C$3:$C$56,"G&amp;A",M3:M56,"&gt;0")</f>
        <v/>
      </c>
      <c r="N70" s="344">
        <f>COUNTIFS($C$3:$C$56,"G&amp;A",N3:N56,"&gt;0")</f>
        <v/>
      </c>
      <c r="O70" s="344">
        <f>COUNTIFS($C$3:$C$56,"G&amp;A",O3:O56,"&gt;0")</f>
        <v/>
      </c>
      <c r="P70" s="344">
        <f>COUNTIFS($C$3:$C$56,"G&amp;A",P3:P56,"&gt;0")</f>
        <v/>
      </c>
      <c r="Q70" s="344">
        <f>COUNTIFS($C$3:$C$56,"G&amp;A",Q3:Q56,"&gt;0")</f>
        <v/>
      </c>
      <c r="R70" s="344">
        <f>COUNTIFS($C$3:$C$56,"G&amp;A",R3:R56,"&gt;0")</f>
        <v/>
      </c>
      <c r="S70" s="344">
        <f>COUNTIFS($C$3:$C$56,"G&amp;A",S3:S56,"&gt;0")</f>
        <v/>
      </c>
      <c r="T70" s="344">
        <f>COUNTIFS($C$3:$C$56,"G&amp;A",T3:T56,"&gt;0")</f>
        <v/>
      </c>
      <c r="U70" s="344">
        <f>COUNTIFS($C$3:$C$56,"G&amp;A",U3:U56,"&gt;0")</f>
        <v/>
      </c>
      <c r="V70" s="344">
        <f>COUNTIFS($C$3:$C$56,"G&amp;A",V3:V56,"&gt;0")</f>
        <v/>
      </c>
      <c r="W70" s="344">
        <f>COUNTIFS($C$3:$C$56,"G&amp;A",W3:W56,"&gt;0")</f>
        <v/>
      </c>
      <c r="X70" s="344">
        <f>COUNTIFS($C$3:$C$56,"G&amp;A",X3:X56,"&gt;0")</f>
        <v/>
      </c>
      <c r="Y70" s="344">
        <f>COUNTIFS($C$3:$C$56,"G&amp;A",Y3:Y56,"&gt;0")</f>
        <v/>
      </c>
      <c r="Z70" s="344">
        <f>COUNTIFS($C$3:$C$56,"G&amp;A",Z3:Z56,"&gt;0")</f>
        <v/>
      </c>
      <c r="AA70" s="344">
        <f>COUNTIFS($C$3:$C$56,"G&amp;A",AA3:AA56,"&gt;0")</f>
        <v/>
      </c>
      <c r="AB70" s="344">
        <f>COUNTIFS($C$3:$C$56,"G&amp;A",AB3:AB56,"&gt;0")</f>
        <v/>
      </c>
      <c r="AC70" s="344">
        <f>COUNTIFS($C$3:$C$56,"G&amp;A",AC3:AC56,"&gt;0")</f>
        <v/>
      </c>
      <c r="AD70" s="344">
        <f>COUNTIFS($C$3:$C$56,"G&amp;A",AD3:AD56,"&gt;0")</f>
        <v/>
      </c>
      <c r="AE70" s="344">
        <f>COUNTIFS($C$3:$C$56,"G&amp;A",AE3:AE56,"&gt;0")</f>
        <v/>
      </c>
      <c r="AF70" s="344">
        <f>COUNTIFS($C$3:$C$56,"G&amp;A",AF3:AF56,"&gt;0")</f>
        <v/>
      </c>
      <c r="AG70" s="344">
        <f>COUNTIFS($C$3:$C$56,"G&amp;A",AG3:AG56,"&gt;0")</f>
        <v/>
      </c>
      <c r="AH70" s="344">
        <f>COUNTIFS($C$3:$C$56,"G&amp;A",AH3:AH56,"&gt;0")</f>
        <v/>
      </c>
      <c r="AI70" s="344">
        <f>COUNTIFS($C$3:$C$56,"G&amp;A",AI3:AI56,"&gt;0")</f>
        <v/>
      </c>
      <c r="AJ70" s="344">
        <f>COUNTIFS($C$3:$C$56,"G&amp;A",AJ3:AJ56,"&gt;0")</f>
        <v/>
      </c>
      <c r="AK70" s="344">
        <f>COUNTIFS($C$3:$C$56,"G&amp;A",AK3:AK56,"&gt;0")</f>
        <v/>
      </c>
      <c r="AL70" s="344">
        <f>COUNTIFS($C$3:$C$56,"G&amp;A",AL3:AL56,"&gt;0")</f>
        <v/>
      </c>
      <c r="AM70" s="344">
        <f>COUNTIFS($C$3:$C$56,"G&amp;A",AM3:AM56,"&gt;0")</f>
        <v/>
      </c>
      <c r="AN70" s="344">
        <f>COUNTIFS($C$3:$C$56,"G&amp;A",AN3:AN56,"&gt;0")</f>
        <v/>
      </c>
      <c r="AO70" s="344">
        <f>COUNTIFS($C$3:$C$56,"G&amp;A",AO3:AO56,"&gt;0")</f>
        <v/>
      </c>
      <c r="AP70" s="344">
        <f>COUNTIFS($C$3:$C$56,"G&amp;A",AP3:AP56,"&gt;0")</f>
        <v/>
      </c>
      <c r="AQ70" s="344">
        <f>COUNTIFS($C$3:$C$56,"G&amp;A",AQ3:AQ56,"&gt;0")</f>
        <v/>
      </c>
      <c r="AR70" s="344">
        <f>COUNTIFS($C$3:$C$56,"G&amp;A",AR3:AR56,"&gt;0")</f>
        <v/>
      </c>
      <c r="AS70" s="344">
        <f>COUNTIFS($C$3:$C$56,"G&amp;A",AS3:AS56,"&gt;0")</f>
        <v/>
      </c>
      <c r="AT70" s="344">
        <f>COUNTIFS($C$3:$C$56,"G&amp;A",AT3:AT56,"&gt;0")</f>
        <v/>
      </c>
      <c r="AU70" s="344">
        <f>COUNTIFS($C$3:$C$56,"G&amp;A",AU3:AU56,"&gt;0")</f>
        <v/>
      </c>
      <c r="AV70" s="344">
        <f>COUNTIFS($C$3:$C$56,"G&amp;A",AV3:AV56,"&gt;0")</f>
        <v/>
      </c>
      <c r="AW70" s="344">
        <f>COUNTIFS($C$3:$C$56,"G&amp;A",AW3:AW56,"&gt;0")</f>
        <v/>
      </c>
      <c r="AX70" s="344">
        <f>COUNTIFS($C$3:$C$56,"G&amp;A",AX3:AX56,"&gt;0")</f>
        <v/>
      </c>
      <c r="AY70" s="344">
        <f>COUNTIFS($C$3:$C$56,"G&amp;A",AY3:AY56,"&gt;0")</f>
        <v/>
      </c>
      <c r="AZ70" s="344">
        <f>COUNTIFS($C$3:$C$56,"G&amp;A",AZ3:AZ56,"&gt;0")</f>
        <v/>
      </c>
      <c r="BA70" s="344">
        <f>COUNTIFS($C$3:$C$56,"G&amp;A",BA3:BA56,"&gt;0")</f>
        <v/>
      </c>
      <c r="BB70" s="344">
        <f>COUNTIFS($C$3:$C$56,"G&amp;A",BB3:BB56,"&gt;0")</f>
        <v/>
      </c>
      <c r="BC70" s="344">
        <f>COUNTIFS($C$3:$C$56,"G&amp;A",BC3:BC56,"&gt;0")</f>
        <v/>
      </c>
      <c r="BD70" s="344">
        <f>COUNTIFS($C$3:$C$56,"G&amp;A",BD3:BD56,"&gt;0")</f>
        <v/>
      </c>
      <c r="BE70" s="344">
        <f>COUNTIFS($C$3:$C$56,"G&amp;A",BE3:BE56,"&gt;0")</f>
        <v/>
      </c>
      <c r="BF70" s="344">
        <f>COUNTIFS($C$3:$C$56,"G&amp;A",BF3:BF56,"&gt;0")</f>
        <v/>
      </c>
      <c r="BG70" s="344">
        <f>COUNTIFS($C$3:$C$56,"G&amp;A",BG3:BG56,"&gt;0")</f>
        <v/>
      </c>
      <c r="BH70" s="344">
        <f>COUNTIFS($C$3:$C$56,"G&amp;A",BH3:BH56,"&gt;0")</f>
        <v/>
      </c>
      <c r="BI70" s="344">
        <f>COUNTIFS($C$3:$C$56,"G&amp;A",BI3:BI56,"&gt;0")</f>
        <v/>
      </c>
      <c r="BJ70" s="344">
        <f>COUNTIFS($C$3:$C$56,"G&amp;A",BJ3:BJ56,"&gt;0")</f>
        <v/>
      </c>
      <c r="BK70" s="344">
        <f>COUNTIFS($C$3:$C$56,"G&amp;A",BK3:BK56,"&gt;0")</f>
        <v/>
      </c>
      <c r="BL70" s="344">
        <f>COUNTIFS($C$3:$C$56,"G&amp;A",BL3:BL56,"&gt;0")</f>
        <v/>
      </c>
      <c r="BM70" s="344">
        <f>COUNTIFS($C$3:$C$56,"G&amp;A",BM3:BM56,"&gt;0")</f>
        <v/>
      </c>
      <c r="BN70" s="344">
        <f>COUNTIFS($C$3:$C$56,"G&amp;A",BN3:BN56,"&gt;0")</f>
        <v/>
      </c>
      <c r="BO70" s="344">
        <f>COUNTIFS($C$3:$C$56,"G&amp;A",BO3:BO56,"&gt;0")</f>
        <v/>
      </c>
      <c r="BP70" s="344">
        <f>COUNTIFS($C$3:$C$56,"G&amp;A",BP3:BP56,"&gt;0")</f>
        <v/>
      </c>
      <c r="BQ70" s="344" t="n"/>
      <c r="BR70" s="334" t="inlineStr">
        <is>
          <t>counts the G&amp;A people being paid that month</t>
        </is>
      </c>
      <c r="BS70" s="345" t="n"/>
      <c r="BT70" s="345" t="n"/>
    </row>
    <row r="71" ht="15.75" customHeight="1" s="349">
      <c r="A71" s="338" t="n"/>
      <c r="B71" s="346" t="inlineStr">
        <is>
          <t>TOTAL HEADCOUNT</t>
        </is>
      </c>
      <c r="C71" s="346" t="n"/>
      <c r="D71" s="346" t="n"/>
      <c r="E71" s="346" t="n"/>
      <c r="F71" s="346" t="n"/>
      <c r="G71" s="346" t="n"/>
      <c r="H71" s="346" t="n"/>
      <c r="I71" s="347">
        <f>SUM(I68:I70)</f>
        <v/>
      </c>
      <c r="J71" s="347">
        <f>SUM(J68:J70)</f>
        <v/>
      </c>
      <c r="K71" s="347">
        <f>SUM(K68:K70)</f>
        <v/>
      </c>
      <c r="L71" s="347">
        <f>SUM(L68:L70)</f>
        <v/>
      </c>
      <c r="M71" s="347">
        <f>SUM(M68:M70)</f>
        <v/>
      </c>
      <c r="N71" s="347">
        <f>SUM(N68:N70)</f>
        <v/>
      </c>
      <c r="O71" s="347">
        <f>SUM(O68:O70)</f>
        <v/>
      </c>
      <c r="P71" s="347">
        <f>SUM(P68:P70)</f>
        <v/>
      </c>
      <c r="Q71" s="347">
        <f>SUM(Q68:Q70)</f>
        <v/>
      </c>
      <c r="R71" s="347">
        <f>SUM(R68:R70)</f>
        <v/>
      </c>
      <c r="S71" s="347">
        <f>SUM(S68:S70)</f>
        <v/>
      </c>
      <c r="T71" s="347">
        <f>SUM(T68:T70)</f>
        <v/>
      </c>
      <c r="U71" s="347">
        <f>SUM(U68:U70)</f>
        <v/>
      </c>
      <c r="V71" s="347">
        <f>SUM(V68:V70)</f>
        <v/>
      </c>
      <c r="W71" s="347">
        <f>SUM(W68:W70)</f>
        <v/>
      </c>
      <c r="X71" s="347">
        <f>SUM(X68:X70)</f>
        <v/>
      </c>
      <c r="Y71" s="347">
        <f>SUM(Y68:Y70)</f>
        <v/>
      </c>
      <c r="Z71" s="347">
        <f>SUM(Z68:Z70)</f>
        <v/>
      </c>
      <c r="AA71" s="347">
        <f>SUM(AA68:AA70)</f>
        <v/>
      </c>
      <c r="AB71" s="347">
        <f>SUM(AB68:AB70)</f>
        <v/>
      </c>
      <c r="AC71" s="347">
        <f>SUM(AC68:AC70)</f>
        <v/>
      </c>
      <c r="AD71" s="347">
        <f>SUM(AD68:AD70)</f>
        <v/>
      </c>
      <c r="AE71" s="347">
        <f>SUM(AE68:AE70)</f>
        <v/>
      </c>
      <c r="AF71" s="347">
        <f>SUM(AF68:AF70)</f>
        <v/>
      </c>
      <c r="AG71" s="347">
        <f>SUM(AG68:AG70)</f>
        <v/>
      </c>
      <c r="AH71" s="347">
        <f>SUM(AH68:AH70)</f>
        <v/>
      </c>
      <c r="AI71" s="347">
        <f>SUM(AI68:AI70)</f>
        <v/>
      </c>
      <c r="AJ71" s="347">
        <f>SUM(AJ68:AJ70)</f>
        <v/>
      </c>
      <c r="AK71" s="347">
        <f>SUM(AK68:AK70)</f>
        <v/>
      </c>
      <c r="AL71" s="347">
        <f>SUM(AL68:AL70)</f>
        <v/>
      </c>
      <c r="AM71" s="347">
        <f>SUM(AM68:AM70)</f>
        <v/>
      </c>
      <c r="AN71" s="347">
        <f>SUM(AN68:AN70)</f>
        <v/>
      </c>
      <c r="AO71" s="347">
        <f>SUM(AO68:AO70)</f>
        <v/>
      </c>
      <c r="AP71" s="347">
        <f>SUM(AP68:AP70)</f>
        <v/>
      </c>
      <c r="AQ71" s="347">
        <f>SUM(AQ68:AQ70)</f>
        <v/>
      </c>
      <c r="AR71" s="347">
        <f>SUM(AR68:AR70)</f>
        <v/>
      </c>
      <c r="AS71" s="347">
        <f>SUM(AS68:AS70)</f>
        <v/>
      </c>
      <c r="AT71" s="347">
        <f>SUM(AT68:AT70)</f>
        <v/>
      </c>
      <c r="AU71" s="347">
        <f>SUM(AU68:AU70)</f>
        <v/>
      </c>
      <c r="AV71" s="347">
        <f>SUM(AV68:AV70)</f>
        <v/>
      </c>
      <c r="AW71" s="347">
        <f>SUM(AW68:AW70)</f>
        <v/>
      </c>
      <c r="AX71" s="347">
        <f>SUM(AX68:AX70)</f>
        <v/>
      </c>
      <c r="AY71" s="347">
        <f>SUM(AY68:AY70)</f>
        <v/>
      </c>
      <c r="AZ71" s="347">
        <f>SUM(AZ68:AZ70)</f>
        <v/>
      </c>
      <c r="BA71" s="347">
        <f>SUM(BA68:BA70)</f>
        <v/>
      </c>
      <c r="BB71" s="347">
        <f>SUM(BB68:BB70)</f>
        <v/>
      </c>
      <c r="BC71" s="347">
        <f>SUM(BC68:BC70)</f>
        <v/>
      </c>
      <c r="BD71" s="347">
        <f>SUM(BD68:BD70)</f>
        <v/>
      </c>
      <c r="BE71" s="347">
        <f>SUM(BE68:BE70)</f>
        <v/>
      </c>
      <c r="BF71" s="347">
        <f>SUM(BF68:BF70)</f>
        <v/>
      </c>
      <c r="BG71" s="347">
        <f>SUM(BG68:BG70)</f>
        <v/>
      </c>
      <c r="BH71" s="347">
        <f>SUM(BH68:BH70)</f>
        <v/>
      </c>
      <c r="BI71" s="347">
        <f>SUM(BI68:BI70)</f>
        <v/>
      </c>
      <c r="BJ71" s="347">
        <f>SUM(BJ68:BJ70)</f>
        <v/>
      </c>
      <c r="BK71" s="347">
        <f>SUM(BK68:BK70)</f>
        <v/>
      </c>
      <c r="BL71" s="347">
        <f>SUM(BL68:BL70)</f>
        <v/>
      </c>
      <c r="BM71" s="347">
        <f>SUM(BM68:BM70)</f>
        <v/>
      </c>
      <c r="BN71" s="347">
        <f>SUM(BN68:BN70)</f>
        <v/>
      </c>
      <c r="BO71" s="347">
        <f>SUM(BO68:BO70)</f>
        <v/>
      </c>
      <c r="BP71" s="347">
        <f>SUM(BP68:BP70)</f>
        <v/>
      </c>
      <c r="BQ71" s="348" t="n"/>
      <c r="BR71" s="315" t="inlineStr">
        <is>
          <t>total heads on the payroll that month</t>
        </is>
      </c>
      <c r="BS71" s="78" t="n"/>
      <c r="BT71" s="78" t="n"/>
    </row>
    <row r="72" ht="15.75" customHeight="1" s="349">
      <c r="A72" s="22" t="n"/>
      <c r="B72" s="22" t="n"/>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c r="AA72" s="22" t="n"/>
      <c r="AB72" s="22" t="n"/>
      <c r="AC72" s="22" t="n"/>
      <c r="AD72" s="22" t="n"/>
      <c r="AE72" s="22" t="n"/>
      <c r="AF72" s="22" t="n"/>
      <c r="AG72" s="22" t="n"/>
      <c r="AH72" s="22" t="n"/>
      <c r="AI72" s="22" t="n"/>
      <c r="AJ72" s="22" t="n"/>
      <c r="AK72" s="22" t="n"/>
      <c r="AL72" s="22" t="n"/>
      <c r="AM72" s="22" t="n"/>
      <c r="AN72" s="22" t="n"/>
      <c r="AO72" s="22" t="n"/>
      <c r="AP72" s="22" t="n"/>
      <c r="AQ72" s="22" t="n"/>
      <c r="AR72" s="22" t="n"/>
      <c r="AS72" s="22" t="n"/>
      <c r="AT72" s="22" t="n"/>
      <c r="AU72" s="22" t="n"/>
      <c r="AV72" s="22" t="n"/>
      <c r="AW72" s="22" t="n"/>
      <c r="AX72" s="22" t="n"/>
      <c r="AY72" s="22" t="n"/>
      <c r="AZ72" s="22" t="n"/>
      <c r="BA72" s="22" t="n"/>
      <c r="BB72" s="22" t="n"/>
      <c r="BC72" s="22" t="n"/>
      <c r="BD72" s="22" t="n"/>
      <c r="BE72" s="22" t="n"/>
      <c r="BF72" s="22" t="n"/>
      <c r="BG72" s="22" t="n"/>
      <c r="BH72" s="22" t="n"/>
      <c r="BI72" s="22" t="n"/>
      <c r="BJ72" s="22" t="n"/>
      <c r="BK72" s="22" t="n"/>
      <c r="BL72" s="22" t="n"/>
      <c r="BM72" s="22" t="n"/>
      <c r="BN72" s="22" t="n"/>
      <c r="BO72" s="22" t="n"/>
      <c r="BP72" s="22" t="n"/>
      <c r="BQ72" s="31" t="n"/>
      <c r="BR72" s="31" t="n"/>
      <c r="BS72" s="31" t="n"/>
      <c r="BT72" s="31" t="n"/>
    </row>
    <row r="73" ht="15.75" customHeight="1" s="349">
      <c r="A73" s="22" t="n"/>
      <c r="B73" s="22" t="n"/>
      <c r="C73" s="22" t="n"/>
      <c r="D73" s="22" t="n"/>
      <c r="E73" s="22" t="n"/>
      <c r="F73" s="22"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c r="AA73" s="22" t="n"/>
      <c r="AB73" s="22" t="n"/>
      <c r="AC73" s="22" t="n"/>
      <c r="AD73" s="22" t="n"/>
      <c r="AE73" s="22" t="n"/>
      <c r="AF73" s="22" t="n"/>
      <c r="AG73" s="22" t="n"/>
      <c r="AH73" s="22" t="n"/>
      <c r="AI73" s="22" t="n"/>
      <c r="AJ73" s="22" t="n"/>
      <c r="AK73" s="22" t="n"/>
      <c r="AL73" s="22" t="n"/>
      <c r="AM73" s="22" t="n"/>
      <c r="AN73" s="22" t="n"/>
      <c r="AO73" s="22" t="n"/>
      <c r="AP73" s="22" t="n"/>
      <c r="AQ73" s="22" t="n"/>
      <c r="AR73" s="22" t="n"/>
      <c r="AS73" s="22" t="n"/>
      <c r="AT73" s="22" t="n"/>
      <c r="AU73" s="22" t="n"/>
      <c r="AV73" s="22" t="n"/>
      <c r="AW73" s="22" t="n"/>
      <c r="AX73" s="22" t="n"/>
      <c r="AY73" s="22" t="n"/>
      <c r="AZ73" s="22" t="n"/>
      <c r="BA73" s="22" t="n"/>
      <c r="BB73" s="22" t="n"/>
      <c r="BC73" s="22" t="n"/>
      <c r="BD73" s="22" t="n"/>
      <c r="BE73" s="22" t="n"/>
      <c r="BF73" s="22" t="n"/>
      <c r="BG73" s="22" t="n"/>
      <c r="BH73" s="22" t="n"/>
      <c r="BI73" s="22" t="n"/>
      <c r="BJ73" s="22" t="n"/>
      <c r="BK73" s="22" t="n"/>
      <c r="BL73" s="22" t="n"/>
      <c r="BM73" s="22" t="n"/>
      <c r="BN73" s="22" t="n"/>
      <c r="BO73" s="22" t="n"/>
      <c r="BP73" s="22" t="n"/>
      <c r="BQ73" s="31" t="n"/>
      <c r="BR73" s="31" t="n"/>
      <c r="BS73" s="31" t="n"/>
      <c r="BT73" s="31" t="n"/>
    </row>
    <row r="74" ht="15.75" customHeight="1" s="349">
      <c r="A74" s="22" t="n"/>
      <c r="B74" s="307" t="n"/>
      <c r="C74" s="307" t="n"/>
      <c r="D74" s="307" t="n"/>
      <c r="E74" s="307" t="n"/>
      <c r="F74" s="307" t="n"/>
      <c r="G74" s="307" t="n"/>
      <c r="H74" s="307" t="n"/>
      <c r="I74" s="307" t="n"/>
      <c r="J74" s="307" t="n"/>
      <c r="K74" s="307" t="n"/>
      <c r="L74" s="307" t="n"/>
      <c r="M74" s="307" t="n"/>
      <c r="N74" s="22" t="n"/>
      <c r="O74" s="22" t="n"/>
      <c r="P74" s="22" t="n"/>
      <c r="Q74" s="22" t="n"/>
      <c r="R74" s="22" t="n"/>
      <c r="S74" s="22" t="n"/>
      <c r="T74" s="22" t="n"/>
      <c r="U74" s="22" t="n"/>
      <c r="V74" s="22" t="n"/>
      <c r="W74" s="22" t="n"/>
      <c r="X74" s="22" t="n"/>
      <c r="Y74" s="22" t="n"/>
      <c r="Z74" s="22" t="n"/>
      <c r="AA74" s="22" t="n"/>
      <c r="AB74" s="22" t="n"/>
      <c r="AC74" s="22" t="n"/>
      <c r="AD74" s="22" t="n"/>
      <c r="AE74" s="22" t="n"/>
      <c r="AF74" s="22" t="n"/>
      <c r="AG74" s="22" t="n"/>
      <c r="AH74" s="22" t="n"/>
      <c r="AI74" s="22" t="n"/>
      <c r="AJ74" s="22" t="n"/>
      <c r="AK74" s="22" t="n"/>
      <c r="AL74" s="22" t="n"/>
      <c r="AM74" s="22" t="n"/>
      <c r="AN74" s="22" t="n"/>
      <c r="AO74" s="22" t="n"/>
      <c r="AP74" s="22" t="n"/>
      <c r="AQ74" s="22" t="n"/>
      <c r="AR74" s="22" t="n"/>
      <c r="AS74" s="22" t="n"/>
      <c r="AT74" s="22" t="n"/>
      <c r="AU74" s="22" t="n"/>
      <c r="AV74" s="22" t="n"/>
      <c r="AW74" s="22" t="n"/>
      <c r="AX74" s="22" t="n"/>
      <c r="AY74" s="22" t="n"/>
      <c r="AZ74" s="22" t="n"/>
      <c r="BA74" s="22" t="n"/>
      <c r="BB74" s="22" t="n"/>
      <c r="BC74" s="22" t="n"/>
      <c r="BD74" s="22" t="n"/>
      <c r="BE74" s="22" t="n"/>
      <c r="BF74" s="22" t="n"/>
      <c r="BG74" s="22" t="n"/>
      <c r="BH74" s="22" t="n"/>
      <c r="BI74" s="22" t="n"/>
      <c r="BJ74" s="22" t="n"/>
      <c r="BK74" s="22" t="n"/>
      <c r="BL74" s="22" t="n"/>
      <c r="BM74" s="22" t="n"/>
      <c r="BN74" s="22" t="n"/>
      <c r="BO74" s="22" t="n"/>
      <c r="BP74" s="22" t="n"/>
      <c r="BQ74" s="31" t="n"/>
      <c r="BR74" s="31" t="n"/>
      <c r="BS74" s="31" t="n"/>
      <c r="BT74" s="31" t="n"/>
    </row>
    <row r="75" ht="15.75" customHeight="1" s="349">
      <c r="A75" s="22" t="n"/>
      <c r="B75" s="22" t="n"/>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c r="AA75" s="22" t="n"/>
      <c r="AB75" s="22" t="n"/>
      <c r="AC75" s="22" t="n"/>
      <c r="AD75" s="22" t="n"/>
      <c r="AE75" s="22" t="n"/>
      <c r="AF75" s="22" t="n"/>
      <c r="AG75" s="22" t="n"/>
      <c r="AH75" s="22" t="n"/>
      <c r="AI75" s="22" t="n"/>
      <c r="AJ75" s="22" t="n"/>
      <c r="AK75" s="22" t="n"/>
      <c r="AL75" s="22" t="n"/>
      <c r="AM75" s="22" t="n"/>
      <c r="AN75" s="22" t="n"/>
      <c r="AO75" s="22" t="n"/>
      <c r="AP75" s="22" t="n"/>
      <c r="AQ75" s="22" t="n"/>
      <c r="AR75" s="22" t="n"/>
      <c r="AS75" s="22" t="n"/>
      <c r="AT75" s="22" t="n"/>
      <c r="AU75" s="22" t="n"/>
      <c r="AV75" s="22" t="n"/>
      <c r="AW75" s="22" t="n"/>
      <c r="AX75" s="22" t="n"/>
      <c r="AY75" s="22" t="n"/>
      <c r="AZ75" s="22" t="n"/>
      <c r="BA75" s="22" t="n"/>
      <c r="BB75" s="22" t="n"/>
      <c r="BC75" s="22" t="n"/>
      <c r="BD75" s="22" t="n"/>
      <c r="BE75" s="22" t="n"/>
      <c r="BF75" s="22" t="n"/>
      <c r="BG75" s="22" t="n"/>
      <c r="BH75" s="22" t="n"/>
      <c r="BI75" s="22" t="n"/>
      <c r="BJ75" s="22" t="n"/>
      <c r="BK75" s="22" t="n"/>
      <c r="BL75" s="22" t="n"/>
      <c r="BM75" s="22" t="n"/>
      <c r="BN75" s="22" t="n"/>
      <c r="BO75" s="22" t="n"/>
      <c r="BP75" s="22" t="n"/>
      <c r="BQ75" s="31" t="n"/>
      <c r="BR75" s="31" t="n"/>
      <c r="BS75" s="31" t="n"/>
      <c r="BT75" s="31" t="n"/>
    </row>
    <row r="76" ht="15.75" customHeight="1" s="349">
      <c r="A76" s="22" t="n"/>
      <c r="B76" s="22" t="n"/>
      <c r="C76" s="22" t="n"/>
      <c r="D76" s="22" t="n"/>
      <c r="E76" s="22" t="n"/>
      <c r="F76" s="22"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c r="AA76" s="22" t="n"/>
      <c r="AB76" s="22" t="n"/>
      <c r="AC76" s="22" t="n"/>
      <c r="AD76" s="22" t="n"/>
      <c r="AE76" s="22" t="n"/>
      <c r="AF76" s="22" t="n"/>
      <c r="AG76" s="22" t="n"/>
      <c r="AH76" s="22" t="n"/>
      <c r="AI76" s="22" t="n"/>
      <c r="AJ76" s="22" t="n"/>
      <c r="AK76" s="22" t="n"/>
      <c r="AL76" s="22" t="n"/>
      <c r="AM76" s="22" t="n"/>
      <c r="AN76" s="22" t="n"/>
      <c r="AO76" s="22" t="n"/>
      <c r="AP76" s="22" t="n"/>
      <c r="AQ76" s="22" t="n"/>
      <c r="AR76" s="22" t="n"/>
      <c r="AS76" s="22" t="n"/>
      <c r="AT76" s="22" t="n"/>
      <c r="AU76" s="22" t="n"/>
      <c r="AV76" s="22" t="n"/>
      <c r="AW76" s="22" t="n"/>
      <c r="AX76" s="22" t="n"/>
      <c r="AY76" s="22" t="n"/>
      <c r="AZ76" s="22" t="n"/>
      <c r="BA76" s="22" t="n"/>
      <c r="BB76" s="22" t="n"/>
      <c r="BC76" s="22" t="n"/>
      <c r="BD76" s="22" t="n"/>
      <c r="BE76" s="22" t="n"/>
      <c r="BF76" s="22" t="n"/>
      <c r="BG76" s="22" t="n"/>
      <c r="BH76" s="22" t="n"/>
      <c r="BI76" s="22" t="n"/>
      <c r="BJ76" s="22" t="n"/>
      <c r="BK76" s="22" t="n"/>
      <c r="BL76" s="22" t="n"/>
      <c r="BM76" s="22" t="n"/>
      <c r="BN76" s="22" t="n"/>
      <c r="BO76" s="22" t="n"/>
      <c r="BP76" s="22" t="n"/>
      <c r="BQ76" s="31" t="n"/>
      <c r="BR76" s="31" t="n"/>
      <c r="BS76" s="31" t="n"/>
      <c r="BT76" s="31" t="n"/>
    </row>
    <row r="77" ht="15.75" customHeight="1" s="349">
      <c r="A77" s="22" t="n"/>
      <c r="B77" s="22" t="n"/>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c r="AA77" s="22" t="n"/>
      <c r="AB77" s="22" t="n"/>
      <c r="AC77" s="22" t="n"/>
      <c r="AD77" s="22" t="n"/>
      <c r="AE77" s="22" t="n"/>
      <c r="AF77" s="22" t="n"/>
      <c r="AG77" s="22" t="n"/>
      <c r="AH77" s="22" t="n"/>
      <c r="AI77" s="22" t="n"/>
      <c r="AJ77" s="22" t="n"/>
      <c r="AK77" s="22" t="n"/>
      <c r="AL77" s="22" t="n"/>
      <c r="AM77" s="22" t="n"/>
      <c r="AN77" s="22" t="n"/>
      <c r="AO77" s="22" t="n"/>
      <c r="AP77" s="22" t="n"/>
      <c r="AQ77" s="22" t="n"/>
      <c r="AR77" s="22" t="n"/>
      <c r="AS77" s="22" t="n"/>
      <c r="AT77" s="22" t="n"/>
      <c r="AU77" s="22" t="n"/>
      <c r="AV77" s="22" t="n"/>
      <c r="AW77" s="22" t="n"/>
      <c r="AX77" s="22" t="n"/>
      <c r="AY77" s="22" t="n"/>
      <c r="AZ77" s="22" t="n"/>
      <c r="BA77" s="22" t="n"/>
      <c r="BB77" s="22" t="n"/>
      <c r="BC77" s="22" t="n"/>
      <c r="BD77" s="22" t="n"/>
      <c r="BE77" s="22" t="n"/>
      <c r="BF77" s="22" t="n"/>
      <c r="BG77" s="22" t="n"/>
      <c r="BH77" s="22" t="n"/>
      <c r="BI77" s="22" t="n"/>
      <c r="BJ77" s="22" t="n"/>
      <c r="BK77" s="22" t="n"/>
      <c r="BL77" s="22" t="n"/>
      <c r="BM77" s="22" t="n"/>
      <c r="BN77" s="22" t="n"/>
      <c r="BO77" s="22" t="n"/>
      <c r="BP77" s="22" t="n"/>
      <c r="BQ77" s="31" t="n"/>
      <c r="BR77" s="31" t="n"/>
      <c r="BS77" s="31" t="n"/>
      <c r="BT77" s="31" t="n"/>
    </row>
    <row r="78" ht="15.75" customHeight="1" s="349">
      <c r="A78" s="22" t="n"/>
      <c r="B78" s="22" t="n"/>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c r="AA78" s="22" t="n"/>
      <c r="AB78" s="22" t="n"/>
      <c r="AC78" s="22" t="n"/>
      <c r="AD78" s="22" t="n"/>
      <c r="AE78" s="22" t="n"/>
      <c r="AF78" s="22" t="n"/>
      <c r="AG78" s="22" t="n"/>
      <c r="AH78" s="22" t="n"/>
      <c r="AI78" s="22" t="n"/>
      <c r="AJ78" s="22" t="n"/>
      <c r="AK78" s="22" t="n"/>
      <c r="AL78" s="22" t="n"/>
      <c r="AM78" s="22" t="n"/>
      <c r="AN78" s="22" t="n"/>
      <c r="AO78" s="22" t="n"/>
      <c r="AP78" s="22" t="n"/>
      <c r="AQ78" s="22" t="n"/>
      <c r="AR78" s="22" t="n"/>
      <c r="AS78" s="22" t="n"/>
      <c r="AT78" s="22" t="n"/>
      <c r="AU78" s="22" t="n"/>
      <c r="AV78" s="22" t="n"/>
      <c r="AW78" s="22" t="n"/>
      <c r="AX78" s="22" t="n"/>
      <c r="AY78" s="22" t="n"/>
      <c r="AZ78" s="22" t="n"/>
      <c r="BA78" s="22" t="n"/>
      <c r="BB78" s="22" t="n"/>
      <c r="BC78" s="22" t="n"/>
      <c r="BD78" s="22" t="n"/>
      <c r="BE78" s="22" t="n"/>
      <c r="BF78" s="22" t="n"/>
      <c r="BG78" s="22" t="n"/>
      <c r="BH78" s="22" t="n"/>
      <c r="BI78" s="22" t="n"/>
      <c r="BJ78" s="22" t="n"/>
      <c r="BK78" s="22" t="n"/>
      <c r="BL78" s="22" t="n"/>
      <c r="BM78" s="22" t="n"/>
      <c r="BN78" s="22" t="n"/>
      <c r="BO78" s="22" t="n"/>
      <c r="BP78" s="22" t="n"/>
      <c r="BQ78" s="31" t="n"/>
      <c r="BR78" s="31" t="n"/>
      <c r="BS78" s="31" t="n"/>
      <c r="BT78" s="31" t="n"/>
    </row>
    <row r="79" ht="15.75" customHeight="1" s="349">
      <c r="A79" s="22" t="n"/>
      <c r="B79" s="22" t="n"/>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c r="AA79" s="22" t="n"/>
      <c r="AB79" s="22" t="n"/>
      <c r="AC79" s="22" t="n"/>
      <c r="AD79" s="22" t="n"/>
      <c r="AE79" s="22" t="n"/>
      <c r="AF79" s="22" t="n"/>
      <c r="AG79" s="22" t="n"/>
      <c r="AH79" s="22" t="n"/>
      <c r="AI79" s="22" t="n"/>
      <c r="AJ79" s="22" t="n"/>
      <c r="AK79" s="22" t="n"/>
      <c r="AL79" s="22" t="n"/>
      <c r="AM79" s="22" t="n"/>
      <c r="AN79" s="22" t="n"/>
      <c r="AO79" s="22" t="n"/>
      <c r="AP79" s="22" t="n"/>
      <c r="AQ79" s="22" t="n"/>
      <c r="AR79" s="22" t="n"/>
      <c r="AS79" s="22" t="n"/>
      <c r="AT79" s="22" t="n"/>
      <c r="AU79" s="22" t="n"/>
      <c r="AV79" s="22" t="n"/>
      <c r="AW79" s="22" t="n"/>
      <c r="AX79" s="22" t="n"/>
      <c r="AY79" s="22" t="n"/>
      <c r="AZ79" s="22" t="n"/>
      <c r="BA79" s="22" t="n"/>
      <c r="BB79" s="22" t="n"/>
      <c r="BC79" s="22" t="n"/>
      <c r="BD79" s="22" t="n"/>
      <c r="BE79" s="22" t="n"/>
      <c r="BF79" s="22" t="n"/>
      <c r="BG79" s="22" t="n"/>
      <c r="BH79" s="22" t="n"/>
      <c r="BI79" s="22" t="n"/>
      <c r="BJ79" s="22" t="n"/>
      <c r="BK79" s="22" t="n"/>
      <c r="BL79" s="22" t="n"/>
      <c r="BM79" s="22" t="n"/>
      <c r="BN79" s="22" t="n"/>
      <c r="BO79" s="22" t="n"/>
      <c r="BP79" s="22" t="n"/>
      <c r="BQ79" s="31" t="n"/>
      <c r="BR79" s="31" t="n"/>
      <c r="BS79" s="31" t="n"/>
      <c r="BT79" s="31" t="n"/>
    </row>
    <row r="80" ht="15.75" customHeight="1" s="349">
      <c r="A80" s="22" t="n"/>
      <c r="B80" s="22" t="n"/>
      <c r="C80" s="22" t="n"/>
      <c r="D80" s="22" t="n"/>
      <c r="E80" s="22" t="n"/>
      <c r="F80" s="22"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c r="AA80" s="22" t="n"/>
      <c r="AB80" s="22" t="n"/>
      <c r="AC80" s="22" t="n"/>
      <c r="AD80" s="22" t="n"/>
      <c r="AE80" s="22" t="n"/>
      <c r="AF80" s="22" t="n"/>
      <c r="AG80" s="22" t="n"/>
      <c r="AH80" s="22" t="n"/>
      <c r="AI80" s="22" t="n"/>
      <c r="AJ80" s="22" t="n"/>
      <c r="AK80" s="22" t="n"/>
      <c r="AL80" s="22" t="n"/>
      <c r="AM80" s="22" t="n"/>
      <c r="AN80" s="22" t="n"/>
      <c r="AO80" s="22" t="n"/>
      <c r="AP80" s="22" t="n"/>
      <c r="AQ80" s="22" t="n"/>
      <c r="AR80" s="22" t="n"/>
      <c r="AS80" s="22" t="n"/>
      <c r="AT80" s="22" t="n"/>
      <c r="AU80" s="22" t="n"/>
      <c r="AV80" s="22" t="n"/>
      <c r="AW80" s="22" t="n"/>
      <c r="AX80" s="22" t="n"/>
      <c r="AY80" s="22" t="n"/>
      <c r="AZ80" s="22" t="n"/>
      <c r="BA80" s="22" t="n"/>
      <c r="BB80" s="22" t="n"/>
      <c r="BC80" s="22" t="n"/>
      <c r="BD80" s="22" t="n"/>
      <c r="BE80" s="22" t="n"/>
      <c r="BF80" s="22" t="n"/>
      <c r="BG80" s="22" t="n"/>
      <c r="BH80" s="22" t="n"/>
      <c r="BI80" s="22" t="n"/>
      <c r="BJ80" s="22" t="n"/>
      <c r="BK80" s="22" t="n"/>
      <c r="BL80" s="22" t="n"/>
      <c r="BM80" s="22" t="n"/>
      <c r="BN80" s="22" t="n"/>
      <c r="BO80" s="22" t="n"/>
      <c r="BP80" s="22" t="n"/>
      <c r="BQ80" s="31" t="n"/>
      <c r="BR80" s="31" t="n"/>
      <c r="BS80" s="31" t="n"/>
      <c r="BT80" s="31" t="n"/>
    </row>
    <row r="81" ht="15.75" customHeight="1" s="349">
      <c r="A81" s="22" t="n"/>
      <c r="B81" s="22" t="n"/>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c r="AA81" s="22" t="n"/>
      <c r="AB81" s="22" t="n"/>
      <c r="AC81" s="22" t="n"/>
      <c r="AD81" s="22" t="n"/>
      <c r="AE81" s="22" t="n"/>
      <c r="AF81" s="22" t="n"/>
      <c r="AG81" s="22" t="n"/>
      <c r="AH81" s="22" t="n"/>
      <c r="AI81" s="22" t="n"/>
      <c r="AJ81" s="22" t="n"/>
      <c r="AK81" s="22" t="n"/>
      <c r="AL81" s="22" t="n"/>
      <c r="AM81" s="22" t="n"/>
      <c r="AN81" s="22" t="n"/>
      <c r="AO81" s="22" t="n"/>
      <c r="AP81" s="22" t="n"/>
      <c r="AQ81" s="22" t="n"/>
      <c r="AR81" s="22" t="n"/>
      <c r="AS81" s="22" t="n"/>
      <c r="AT81" s="22" t="n"/>
      <c r="AU81" s="22" t="n"/>
      <c r="AV81" s="22" t="n"/>
      <c r="AW81" s="22" t="n"/>
      <c r="AX81" s="22" t="n"/>
      <c r="AY81" s="22" t="n"/>
      <c r="AZ81" s="22" t="n"/>
      <c r="BA81" s="22" t="n"/>
      <c r="BB81" s="22" t="n"/>
      <c r="BC81" s="22" t="n"/>
      <c r="BD81" s="22" t="n"/>
      <c r="BE81" s="22" t="n"/>
      <c r="BF81" s="22" t="n"/>
      <c r="BG81" s="22" t="n"/>
      <c r="BH81" s="22" t="n"/>
      <c r="BI81" s="22" t="n"/>
      <c r="BJ81" s="22" t="n"/>
      <c r="BK81" s="22" t="n"/>
      <c r="BL81" s="22" t="n"/>
      <c r="BM81" s="22" t="n"/>
      <c r="BN81" s="22" t="n"/>
      <c r="BO81" s="22" t="n"/>
      <c r="BP81" s="22" t="n"/>
      <c r="BQ81" s="31" t="n"/>
      <c r="BR81" s="31" t="n"/>
      <c r="BS81" s="31" t="n"/>
      <c r="BT81" s="31" t="n"/>
    </row>
    <row r="82" ht="15.75" customHeight="1" s="349">
      <c r="A82" s="22" t="n"/>
      <c r="B82" s="22" t="n"/>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c r="AA82" s="22" t="n"/>
      <c r="AB82" s="22" t="n"/>
      <c r="AC82" s="22" t="n"/>
      <c r="AD82" s="22" t="n"/>
      <c r="AE82" s="22" t="n"/>
      <c r="AF82" s="22" t="n"/>
      <c r="AG82" s="22" t="n"/>
      <c r="AH82" s="22" t="n"/>
      <c r="AI82" s="22" t="n"/>
      <c r="AJ82" s="22" t="n"/>
      <c r="AK82" s="22" t="n"/>
      <c r="AL82" s="22" t="n"/>
      <c r="AM82" s="22" t="n"/>
      <c r="AN82" s="22" t="n"/>
      <c r="AO82" s="22" t="n"/>
      <c r="AP82" s="22" t="n"/>
      <c r="AQ82" s="22" t="n"/>
      <c r="AR82" s="22" t="n"/>
      <c r="AS82" s="22" t="n"/>
      <c r="AT82" s="22" t="n"/>
      <c r="AU82" s="22" t="n"/>
      <c r="AV82" s="22" t="n"/>
      <c r="AW82" s="22" t="n"/>
      <c r="AX82" s="22" t="n"/>
      <c r="AY82" s="22" t="n"/>
      <c r="AZ82" s="22" t="n"/>
      <c r="BA82" s="22" t="n"/>
      <c r="BB82" s="22" t="n"/>
      <c r="BC82" s="22" t="n"/>
      <c r="BD82" s="22" t="n"/>
      <c r="BE82" s="22" t="n"/>
      <c r="BF82" s="22" t="n"/>
      <c r="BG82" s="22" t="n"/>
      <c r="BH82" s="22" t="n"/>
      <c r="BI82" s="22" t="n"/>
      <c r="BJ82" s="22" t="n"/>
      <c r="BK82" s="22" t="n"/>
      <c r="BL82" s="22" t="n"/>
      <c r="BM82" s="22" t="n"/>
      <c r="BN82" s="22" t="n"/>
      <c r="BO82" s="22" t="n"/>
      <c r="BP82" s="22" t="n"/>
      <c r="BQ82" s="31" t="n"/>
      <c r="BR82" s="31" t="n"/>
      <c r="BS82" s="31" t="n"/>
      <c r="BT82" s="31" t="n"/>
    </row>
    <row r="83" ht="15.75" customHeight="1" s="349">
      <c r="A83" s="22" t="n"/>
      <c r="B83" s="22" t="n"/>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c r="AA83" s="22" t="n"/>
      <c r="AB83" s="22" t="n"/>
      <c r="AC83" s="22" t="n"/>
      <c r="AD83" s="22" t="n"/>
      <c r="AE83" s="22" t="n"/>
      <c r="AF83" s="22" t="n"/>
      <c r="AG83" s="22" t="n"/>
      <c r="AH83" s="22" t="n"/>
      <c r="AI83" s="22" t="n"/>
      <c r="AJ83" s="22" t="n"/>
      <c r="AK83" s="22" t="n"/>
      <c r="AL83" s="22" t="n"/>
      <c r="AM83" s="22" t="n"/>
      <c r="AN83" s="22" t="n"/>
      <c r="AO83" s="22" t="n"/>
      <c r="AP83" s="22" t="n"/>
      <c r="AQ83" s="22" t="n"/>
      <c r="AR83" s="22" t="n"/>
      <c r="AS83" s="22" t="n"/>
      <c r="AT83" s="22" t="n"/>
      <c r="AU83" s="22" t="n"/>
      <c r="AV83" s="22" t="n"/>
      <c r="AW83" s="22" t="n"/>
      <c r="AX83" s="22" t="n"/>
      <c r="AY83" s="22" t="n"/>
      <c r="AZ83" s="22" t="n"/>
      <c r="BA83" s="22" t="n"/>
      <c r="BB83" s="22" t="n"/>
      <c r="BC83" s="22" t="n"/>
      <c r="BD83" s="22" t="n"/>
      <c r="BE83" s="22" t="n"/>
      <c r="BF83" s="22" t="n"/>
      <c r="BG83" s="22" t="n"/>
      <c r="BH83" s="22" t="n"/>
      <c r="BI83" s="22" t="n"/>
      <c r="BJ83" s="22" t="n"/>
      <c r="BK83" s="22" t="n"/>
      <c r="BL83" s="22" t="n"/>
      <c r="BM83" s="22" t="n"/>
      <c r="BN83" s="22" t="n"/>
      <c r="BO83" s="22" t="n"/>
      <c r="BP83" s="22" t="n"/>
      <c r="BQ83" s="31" t="n"/>
      <c r="BR83" s="31" t="n"/>
      <c r="BS83" s="31" t="n"/>
      <c r="BT83" s="31" t="n"/>
    </row>
    <row r="84" ht="15.75" customHeight="1" s="349">
      <c r="A84" s="22" t="n"/>
      <c r="B84" s="22" t="n"/>
      <c r="C84" s="22" t="n"/>
      <c r="D84" s="22" t="n"/>
      <c r="E84" s="22" t="n"/>
      <c r="F84" s="22"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c r="AA84" s="22" t="n"/>
      <c r="AB84" s="22" t="n"/>
      <c r="AC84" s="22" t="n"/>
      <c r="AD84" s="22" t="n"/>
      <c r="AE84" s="22" t="n"/>
      <c r="AF84" s="22" t="n"/>
      <c r="AG84" s="22" t="n"/>
      <c r="AH84" s="22" t="n"/>
      <c r="AI84" s="22" t="n"/>
      <c r="AJ84" s="22" t="n"/>
      <c r="AK84" s="22" t="n"/>
      <c r="AL84" s="22" t="n"/>
      <c r="AM84" s="22" t="n"/>
      <c r="AN84" s="22" t="n"/>
      <c r="AO84" s="22" t="n"/>
      <c r="AP84" s="22" t="n"/>
      <c r="AQ84" s="22" t="n"/>
      <c r="AR84" s="22" t="n"/>
      <c r="AS84" s="22" t="n"/>
      <c r="AT84" s="22" t="n"/>
      <c r="AU84" s="22" t="n"/>
      <c r="AV84" s="22" t="n"/>
      <c r="AW84" s="22" t="n"/>
      <c r="AX84" s="22" t="n"/>
      <c r="AY84" s="22" t="n"/>
      <c r="AZ84" s="22" t="n"/>
      <c r="BA84" s="22" t="n"/>
      <c r="BB84" s="22" t="n"/>
      <c r="BC84" s="22" t="n"/>
      <c r="BD84" s="22" t="n"/>
      <c r="BE84" s="22" t="n"/>
      <c r="BF84" s="22" t="n"/>
      <c r="BG84" s="22" t="n"/>
      <c r="BH84" s="22" t="n"/>
      <c r="BI84" s="22" t="n"/>
      <c r="BJ84" s="22" t="n"/>
      <c r="BK84" s="22" t="n"/>
      <c r="BL84" s="22" t="n"/>
      <c r="BM84" s="22" t="n"/>
      <c r="BN84" s="22" t="n"/>
      <c r="BO84" s="22" t="n"/>
      <c r="BP84" s="22" t="n"/>
      <c r="BQ84" s="31" t="n"/>
      <c r="BR84" s="31" t="n"/>
      <c r="BS84" s="31" t="n"/>
      <c r="BT84" s="31" t="n"/>
    </row>
    <row r="85" ht="15.75" customHeight="1" s="349">
      <c r="A85" s="22" t="n"/>
      <c r="B85" s="22" t="n"/>
      <c r="C85" s="22" t="n"/>
      <c r="D85" s="22" t="n"/>
      <c r="E85" s="22" t="n"/>
      <c r="F85" s="22"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c r="AA85" s="22" t="n"/>
      <c r="AB85" s="22" t="n"/>
      <c r="AC85" s="22" t="n"/>
      <c r="AD85" s="22" t="n"/>
      <c r="AE85" s="22" t="n"/>
      <c r="AF85" s="22" t="n"/>
      <c r="AG85" s="22" t="n"/>
      <c r="AH85" s="22" t="n"/>
      <c r="AI85" s="22" t="n"/>
      <c r="AJ85" s="22" t="n"/>
      <c r="AK85" s="22" t="n"/>
      <c r="AL85" s="22" t="n"/>
      <c r="AM85" s="22" t="n"/>
      <c r="AN85" s="22" t="n"/>
      <c r="AO85" s="22" t="n"/>
      <c r="AP85" s="22" t="n"/>
      <c r="AQ85" s="22" t="n"/>
      <c r="AR85" s="22" t="n"/>
      <c r="AS85" s="22" t="n"/>
      <c r="AT85" s="22" t="n"/>
      <c r="AU85" s="22" t="n"/>
      <c r="AV85" s="22" t="n"/>
      <c r="AW85" s="22" t="n"/>
      <c r="AX85" s="22" t="n"/>
      <c r="AY85" s="22" t="n"/>
      <c r="AZ85" s="22" t="n"/>
      <c r="BA85" s="22" t="n"/>
      <c r="BB85" s="22" t="n"/>
      <c r="BC85" s="22" t="n"/>
      <c r="BD85" s="22" t="n"/>
      <c r="BE85" s="22" t="n"/>
      <c r="BF85" s="22" t="n"/>
      <c r="BG85" s="22" t="n"/>
      <c r="BH85" s="22" t="n"/>
      <c r="BI85" s="22" t="n"/>
      <c r="BJ85" s="22" t="n"/>
      <c r="BK85" s="22" t="n"/>
      <c r="BL85" s="22" t="n"/>
      <c r="BM85" s="22" t="n"/>
      <c r="BN85" s="22" t="n"/>
      <c r="BO85" s="22" t="n"/>
      <c r="BP85" s="22" t="n"/>
      <c r="BQ85" s="31" t="n"/>
      <c r="BR85" s="31" t="n"/>
      <c r="BS85" s="31" t="n"/>
      <c r="BT85" s="31" t="n"/>
    </row>
    <row r="86" ht="15.75" customHeight="1" s="349">
      <c r="A86" s="22" t="n"/>
      <c r="B86" s="22" t="n"/>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c r="AA86" s="22" t="n"/>
      <c r="AB86" s="22" t="n"/>
      <c r="AC86" s="22" t="n"/>
      <c r="AD86" s="22" t="n"/>
      <c r="AE86" s="22" t="n"/>
      <c r="AF86" s="22" t="n"/>
      <c r="AG86" s="22" t="n"/>
      <c r="AH86" s="22" t="n"/>
      <c r="AI86" s="22" t="n"/>
      <c r="AJ86" s="22" t="n"/>
      <c r="AK86" s="22" t="n"/>
      <c r="AL86" s="22" t="n"/>
      <c r="AM86" s="22" t="n"/>
      <c r="AN86" s="22" t="n"/>
      <c r="AO86" s="22" t="n"/>
      <c r="AP86" s="22" t="n"/>
      <c r="AQ86" s="22" t="n"/>
      <c r="AR86" s="22" t="n"/>
      <c r="AS86" s="22" t="n"/>
      <c r="AT86" s="22" t="n"/>
      <c r="AU86" s="22" t="n"/>
      <c r="AV86" s="22" t="n"/>
      <c r="AW86" s="22" t="n"/>
      <c r="AX86" s="22" t="n"/>
      <c r="AY86" s="22" t="n"/>
      <c r="AZ86" s="22" t="n"/>
      <c r="BA86" s="22" t="n"/>
      <c r="BB86" s="22" t="n"/>
      <c r="BC86" s="22" t="n"/>
      <c r="BD86" s="22" t="n"/>
      <c r="BE86" s="22" t="n"/>
      <c r="BF86" s="22" t="n"/>
      <c r="BG86" s="22" t="n"/>
      <c r="BH86" s="22" t="n"/>
      <c r="BI86" s="22" t="n"/>
      <c r="BJ86" s="22" t="n"/>
      <c r="BK86" s="22" t="n"/>
      <c r="BL86" s="22" t="n"/>
      <c r="BM86" s="22" t="n"/>
      <c r="BN86" s="22" t="n"/>
      <c r="BO86" s="22" t="n"/>
      <c r="BP86" s="22" t="n"/>
      <c r="BQ86" s="31" t="n"/>
      <c r="BR86" s="31" t="n"/>
      <c r="BS86" s="31" t="n"/>
      <c r="BT86" s="31" t="n"/>
    </row>
    <row r="87" ht="15.75" customHeight="1" s="349">
      <c r="A87" s="22" t="n"/>
      <c r="B87" s="22" t="n"/>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c r="AA87" s="22" t="n"/>
      <c r="AB87" s="22" t="n"/>
      <c r="AC87" s="22" t="n"/>
      <c r="AD87" s="22" t="n"/>
      <c r="AE87" s="22" t="n"/>
      <c r="AF87" s="22" t="n"/>
      <c r="AG87" s="22" t="n"/>
      <c r="AH87" s="22" t="n"/>
      <c r="AI87" s="22" t="n"/>
      <c r="AJ87" s="22" t="n"/>
      <c r="AK87" s="22" t="n"/>
      <c r="AL87" s="22" t="n"/>
      <c r="AM87" s="22" t="n"/>
      <c r="AN87" s="22" t="n"/>
      <c r="AO87" s="22" t="n"/>
      <c r="AP87" s="22" t="n"/>
      <c r="AQ87" s="22" t="n"/>
      <c r="AR87" s="22" t="n"/>
      <c r="AS87" s="22" t="n"/>
      <c r="AT87" s="22" t="n"/>
      <c r="AU87" s="22" t="n"/>
      <c r="AV87" s="22" t="n"/>
      <c r="AW87" s="22" t="n"/>
      <c r="AX87" s="22" t="n"/>
      <c r="AY87" s="22" t="n"/>
      <c r="AZ87" s="22" t="n"/>
      <c r="BA87" s="22" t="n"/>
      <c r="BB87" s="22" t="n"/>
      <c r="BC87" s="22" t="n"/>
      <c r="BD87" s="22" t="n"/>
      <c r="BE87" s="22" t="n"/>
      <c r="BF87" s="22" t="n"/>
      <c r="BG87" s="22" t="n"/>
      <c r="BH87" s="22" t="n"/>
      <c r="BI87" s="22" t="n"/>
      <c r="BJ87" s="22" t="n"/>
      <c r="BK87" s="22" t="n"/>
      <c r="BL87" s="22" t="n"/>
      <c r="BM87" s="22" t="n"/>
      <c r="BN87" s="22" t="n"/>
      <c r="BO87" s="22" t="n"/>
      <c r="BP87" s="22" t="n"/>
      <c r="BQ87" s="31" t="n"/>
      <c r="BR87" s="31" t="n"/>
      <c r="BS87" s="31" t="n"/>
      <c r="BT87" s="31" t="n"/>
    </row>
    <row r="88" ht="15.75" customHeight="1" s="349">
      <c r="A88" s="22" t="n"/>
      <c r="B88" s="22" t="n"/>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c r="AA88" s="22" t="n"/>
      <c r="AB88" s="22" t="n"/>
      <c r="AC88" s="22" t="n"/>
      <c r="AD88" s="22" t="n"/>
      <c r="AE88" s="22" t="n"/>
      <c r="AF88" s="22" t="n"/>
      <c r="AG88" s="22" t="n"/>
      <c r="AH88" s="22" t="n"/>
      <c r="AI88" s="22" t="n"/>
      <c r="AJ88" s="22" t="n"/>
      <c r="AK88" s="22" t="n"/>
      <c r="AL88" s="22" t="n"/>
      <c r="AM88" s="22" t="n"/>
      <c r="AN88" s="22" t="n"/>
      <c r="AO88" s="22" t="n"/>
      <c r="AP88" s="22" t="n"/>
      <c r="AQ88" s="22" t="n"/>
      <c r="AR88" s="22" t="n"/>
      <c r="AS88" s="22" t="n"/>
      <c r="AT88" s="22" t="n"/>
      <c r="AU88" s="22" t="n"/>
      <c r="AV88" s="22" t="n"/>
      <c r="AW88" s="22" t="n"/>
      <c r="AX88" s="22" t="n"/>
      <c r="AY88" s="22" t="n"/>
      <c r="AZ88" s="22" t="n"/>
      <c r="BA88" s="22" t="n"/>
      <c r="BB88" s="22" t="n"/>
      <c r="BC88" s="22" t="n"/>
      <c r="BD88" s="22" t="n"/>
      <c r="BE88" s="22" t="n"/>
      <c r="BF88" s="22" t="n"/>
      <c r="BG88" s="22" t="n"/>
      <c r="BH88" s="22" t="n"/>
      <c r="BI88" s="22" t="n"/>
      <c r="BJ88" s="22" t="n"/>
      <c r="BK88" s="22" t="n"/>
      <c r="BL88" s="22" t="n"/>
      <c r="BM88" s="22" t="n"/>
      <c r="BN88" s="22" t="n"/>
      <c r="BO88" s="22" t="n"/>
      <c r="BP88" s="22" t="n"/>
      <c r="BQ88" s="31" t="n"/>
      <c r="BR88" s="31" t="n"/>
      <c r="BS88" s="31" t="n"/>
      <c r="BT88" s="31" t="n"/>
    </row>
    <row r="89" ht="15.75" customHeight="1" s="349">
      <c r="A89" s="22" t="n"/>
      <c r="B89" s="22" t="n"/>
      <c r="C89" s="22" t="n"/>
      <c r="D89" s="22" t="n"/>
      <c r="E89" s="22" t="n"/>
      <c r="F89" s="22"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c r="AA89" s="22" t="n"/>
      <c r="AB89" s="22" t="n"/>
      <c r="AC89" s="22" t="n"/>
      <c r="AD89" s="22" t="n"/>
      <c r="AE89" s="22" t="n"/>
      <c r="AF89" s="22" t="n"/>
      <c r="AG89" s="22" t="n"/>
      <c r="AH89" s="22" t="n"/>
      <c r="AI89" s="22" t="n"/>
      <c r="AJ89" s="22" t="n"/>
      <c r="AK89" s="22" t="n"/>
      <c r="AL89" s="22" t="n"/>
      <c r="AM89" s="22" t="n"/>
      <c r="AN89" s="22" t="n"/>
      <c r="AO89" s="22" t="n"/>
      <c r="AP89" s="22" t="n"/>
      <c r="AQ89" s="22" t="n"/>
      <c r="AR89" s="22" t="n"/>
      <c r="AS89" s="22" t="n"/>
      <c r="AT89" s="22" t="n"/>
      <c r="AU89" s="22" t="n"/>
      <c r="AV89" s="22" t="n"/>
      <c r="AW89" s="22" t="n"/>
      <c r="AX89" s="22" t="n"/>
      <c r="AY89" s="22" t="n"/>
      <c r="AZ89" s="22" t="n"/>
      <c r="BA89" s="22" t="n"/>
      <c r="BB89" s="22" t="n"/>
      <c r="BC89" s="22" t="n"/>
      <c r="BD89" s="22" t="n"/>
      <c r="BE89" s="22" t="n"/>
      <c r="BF89" s="22" t="n"/>
      <c r="BG89" s="22" t="n"/>
      <c r="BH89" s="22" t="n"/>
      <c r="BI89" s="22" t="n"/>
      <c r="BJ89" s="22" t="n"/>
      <c r="BK89" s="22" t="n"/>
      <c r="BL89" s="22" t="n"/>
      <c r="BM89" s="22" t="n"/>
      <c r="BN89" s="22" t="n"/>
      <c r="BO89" s="22" t="n"/>
      <c r="BP89" s="22" t="n"/>
      <c r="BQ89" s="31" t="n"/>
      <c r="BR89" s="31" t="n"/>
      <c r="BS89" s="31" t="n"/>
      <c r="BT89" s="31" t="n"/>
    </row>
    <row r="90" ht="15.75" customHeight="1" s="349">
      <c r="A90" s="22" t="n"/>
      <c r="B90" s="22" t="n"/>
      <c r="C90" s="22" t="n"/>
      <c r="D90" s="22" t="n"/>
      <c r="E90" s="22" t="n"/>
      <c r="F90" s="22"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c r="AA90" s="22" t="n"/>
      <c r="AB90" s="22" t="n"/>
      <c r="AC90" s="22" t="n"/>
      <c r="AD90" s="22" t="n"/>
      <c r="AE90" s="22" t="n"/>
      <c r="AF90" s="22" t="n"/>
      <c r="AG90" s="22" t="n"/>
      <c r="AH90" s="22" t="n"/>
      <c r="AI90" s="22" t="n"/>
      <c r="AJ90" s="22" t="n"/>
      <c r="AK90" s="22" t="n"/>
      <c r="AL90" s="22" t="n"/>
      <c r="AM90" s="22" t="n"/>
      <c r="AN90" s="22" t="n"/>
      <c r="AO90" s="22" t="n"/>
      <c r="AP90" s="22" t="n"/>
      <c r="AQ90" s="22" t="n"/>
      <c r="AR90" s="22" t="n"/>
      <c r="AS90" s="22" t="n"/>
      <c r="AT90" s="22" t="n"/>
      <c r="AU90" s="22" t="n"/>
      <c r="AV90" s="22" t="n"/>
      <c r="AW90" s="22" t="n"/>
      <c r="AX90" s="22" t="n"/>
      <c r="AY90" s="22" t="n"/>
      <c r="AZ90" s="22" t="n"/>
      <c r="BA90" s="22" t="n"/>
      <c r="BB90" s="22" t="n"/>
      <c r="BC90" s="22" t="n"/>
      <c r="BD90" s="22" t="n"/>
      <c r="BE90" s="22" t="n"/>
      <c r="BF90" s="22" t="n"/>
      <c r="BG90" s="22" t="n"/>
      <c r="BH90" s="22" t="n"/>
      <c r="BI90" s="22" t="n"/>
      <c r="BJ90" s="22" t="n"/>
      <c r="BK90" s="22" t="n"/>
      <c r="BL90" s="22" t="n"/>
      <c r="BM90" s="22" t="n"/>
      <c r="BN90" s="22" t="n"/>
      <c r="BO90" s="22" t="n"/>
      <c r="BP90" s="22" t="n"/>
      <c r="BQ90" s="31" t="n"/>
      <c r="BR90" s="31" t="n"/>
      <c r="BS90" s="31" t="n"/>
      <c r="BT90" s="31" t="n"/>
    </row>
    <row r="91" ht="15.75" customHeight="1" s="349">
      <c r="A91" s="22" t="n"/>
      <c r="B91" s="22" t="n"/>
      <c r="C91" s="22" t="n"/>
      <c r="D91" s="22" t="n"/>
      <c r="E91" s="22" t="n"/>
      <c r="F91" s="22"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c r="AA91" s="22" t="n"/>
      <c r="AB91" s="22" t="n"/>
      <c r="AC91" s="22" t="n"/>
      <c r="AD91" s="22" t="n"/>
      <c r="AE91" s="22" t="n"/>
      <c r="AF91" s="22" t="n"/>
      <c r="AG91" s="22" t="n"/>
      <c r="AH91" s="22" t="n"/>
      <c r="AI91" s="22" t="n"/>
      <c r="AJ91" s="22" t="n"/>
      <c r="AK91" s="22" t="n"/>
      <c r="AL91" s="22" t="n"/>
      <c r="AM91" s="22" t="n"/>
      <c r="AN91" s="22" t="n"/>
      <c r="AO91" s="22" t="n"/>
      <c r="AP91" s="22" t="n"/>
      <c r="AQ91" s="22" t="n"/>
      <c r="AR91" s="22" t="n"/>
      <c r="AS91" s="22" t="n"/>
      <c r="AT91" s="22" t="n"/>
      <c r="AU91" s="22" t="n"/>
      <c r="AV91" s="22" t="n"/>
      <c r="AW91" s="22" t="n"/>
      <c r="AX91" s="22" t="n"/>
      <c r="AY91" s="22" t="n"/>
      <c r="AZ91" s="22" t="n"/>
      <c r="BA91" s="22" t="n"/>
      <c r="BB91" s="22" t="n"/>
      <c r="BC91" s="22" t="n"/>
      <c r="BD91" s="22" t="n"/>
      <c r="BE91" s="22" t="n"/>
      <c r="BF91" s="22" t="n"/>
      <c r="BG91" s="22" t="n"/>
      <c r="BH91" s="22" t="n"/>
      <c r="BI91" s="22" t="n"/>
      <c r="BJ91" s="22" t="n"/>
      <c r="BK91" s="22" t="n"/>
      <c r="BL91" s="22" t="n"/>
      <c r="BM91" s="22" t="n"/>
      <c r="BN91" s="22" t="n"/>
      <c r="BO91" s="22" t="n"/>
      <c r="BP91" s="22" t="n"/>
      <c r="BQ91" s="31" t="n"/>
      <c r="BR91" s="31" t="n"/>
      <c r="BS91" s="31" t="n"/>
      <c r="BT91" s="31" t="n"/>
    </row>
    <row r="92" ht="15.75" customHeight="1" s="349">
      <c r="A92" s="22" t="n"/>
      <c r="B92" s="22" t="n"/>
      <c r="C92" s="22" t="n"/>
      <c r="D92" s="22" t="n"/>
      <c r="E92" s="22" t="n"/>
      <c r="F92" s="22"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c r="AA92" s="22" t="n"/>
      <c r="AB92" s="22" t="n"/>
      <c r="AC92" s="22" t="n"/>
      <c r="AD92" s="22" t="n"/>
      <c r="AE92" s="22" t="n"/>
      <c r="AF92" s="22" t="n"/>
      <c r="AG92" s="22" t="n"/>
      <c r="AH92" s="22" t="n"/>
      <c r="AI92" s="22" t="n"/>
      <c r="AJ92" s="22" t="n"/>
      <c r="AK92" s="22" t="n"/>
      <c r="AL92" s="22" t="n"/>
      <c r="AM92" s="22" t="n"/>
      <c r="AN92" s="22" t="n"/>
      <c r="AO92" s="22" t="n"/>
      <c r="AP92" s="22" t="n"/>
      <c r="AQ92" s="22" t="n"/>
      <c r="AR92" s="22" t="n"/>
      <c r="AS92" s="22" t="n"/>
      <c r="AT92" s="22" t="n"/>
      <c r="AU92" s="22" t="n"/>
      <c r="AV92" s="22" t="n"/>
      <c r="AW92" s="22" t="n"/>
      <c r="AX92" s="22" t="n"/>
      <c r="AY92" s="22" t="n"/>
      <c r="AZ92" s="22" t="n"/>
      <c r="BA92" s="22" t="n"/>
      <c r="BB92" s="22" t="n"/>
      <c r="BC92" s="22" t="n"/>
      <c r="BD92" s="22" t="n"/>
      <c r="BE92" s="22" t="n"/>
      <c r="BF92" s="22" t="n"/>
      <c r="BG92" s="22" t="n"/>
      <c r="BH92" s="22" t="n"/>
      <c r="BI92" s="22" t="n"/>
      <c r="BJ92" s="22" t="n"/>
      <c r="BK92" s="22" t="n"/>
      <c r="BL92" s="22" t="n"/>
      <c r="BM92" s="22" t="n"/>
      <c r="BN92" s="22" t="n"/>
      <c r="BO92" s="22" t="n"/>
      <c r="BP92" s="22" t="n"/>
      <c r="BQ92" s="31" t="n"/>
      <c r="BR92" s="31" t="n"/>
      <c r="BS92" s="31" t="n"/>
      <c r="BT92" s="31" t="n"/>
    </row>
    <row r="93" ht="15.75" customHeight="1" s="349">
      <c r="A93" s="22" t="n"/>
      <c r="B93" s="22" t="n"/>
      <c r="C93" s="22"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c r="AA93" s="22" t="n"/>
      <c r="AB93" s="22" t="n"/>
      <c r="AC93" s="22" t="n"/>
      <c r="AD93" s="22" t="n"/>
      <c r="AE93" s="22" t="n"/>
      <c r="AF93" s="22" t="n"/>
      <c r="AG93" s="22" t="n"/>
      <c r="AH93" s="22" t="n"/>
      <c r="AI93" s="22" t="n"/>
      <c r="AJ93" s="22" t="n"/>
      <c r="AK93" s="22" t="n"/>
      <c r="AL93" s="22" t="n"/>
      <c r="AM93" s="22" t="n"/>
      <c r="AN93" s="22" t="n"/>
      <c r="AO93" s="22" t="n"/>
      <c r="AP93" s="22" t="n"/>
      <c r="AQ93" s="22" t="n"/>
      <c r="AR93" s="22" t="n"/>
      <c r="AS93" s="22" t="n"/>
      <c r="AT93" s="22" t="n"/>
      <c r="AU93" s="22" t="n"/>
      <c r="AV93" s="22" t="n"/>
      <c r="AW93" s="22" t="n"/>
      <c r="AX93" s="22" t="n"/>
      <c r="AY93" s="22" t="n"/>
      <c r="AZ93" s="22" t="n"/>
      <c r="BA93" s="22" t="n"/>
      <c r="BB93" s="22" t="n"/>
      <c r="BC93" s="22" t="n"/>
      <c r="BD93" s="22" t="n"/>
      <c r="BE93" s="22" t="n"/>
      <c r="BF93" s="22" t="n"/>
      <c r="BG93" s="22" t="n"/>
      <c r="BH93" s="22" t="n"/>
      <c r="BI93" s="22" t="n"/>
      <c r="BJ93" s="22" t="n"/>
      <c r="BK93" s="22" t="n"/>
      <c r="BL93" s="22" t="n"/>
      <c r="BM93" s="22" t="n"/>
      <c r="BN93" s="22" t="n"/>
      <c r="BO93" s="22" t="n"/>
      <c r="BP93" s="22" t="n"/>
      <c r="BQ93" s="31" t="n"/>
      <c r="BR93" s="31" t="n"/>
      <c r="BS93" s="31" t="n"/>
      <c r="BT93" s="31" t="n"/>
    </row>
    <row r="94" ht="15.75" customHeight="1" s="349">
      <c r="A94" s="22" t="n"/>
      <c r="B94" s="22" t="n"/>
      <c r="C94" s="22" t="n"/>
      <c r="D94" s="22" t="n"/>
      <c r="E94" s="22" t="n"/>
      <c r="F94" s="22"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c r="AA94" s="22" t="n"/>
      <c r="AB94" s="22" t="n"/>
      <c r="AC94" s="22" t="n"/>
      <c r="AD94" s="22" t="n"/>
      <c r="AE94" s="22" t="n"/>
      <c r="AF94" s="22" t="n"/>
      <c r="AG94" s="22" t="n"/>
      <c r="AH94" s="22" t="n"/>
      <c r="AI94" s="22" t="n"/>
      <c r="AJ94" s="22" t="n"/>
      <c r="AK94" s="22" t="n"/>
      <c r="AL94" s="22" t="n"/>
      <c r="AM94" s="22" t="n"/>
      <c r="AN94" s="22" t="n"/>
      <c r="AO94" s="22" t="n"/>
      <c r="AP94" s="22" t="n"/>
      <c r="AQ94" s="22" t="n"/>
      <c r="AR94" s="22" t="n"/>
      <c r="AS94" s="22" t="n"/>
      <c r="AT94" s="22" t="n"/>
      <c r="AU94" s="22" t="n"/>
      <c r="AV94" s="22" t="n"/>
      <c r="AW94" s="22" t="n"/>
      <c r="AX94" s="22" t="n"/>
      <c r="AY94" s="22" t="n"/>
      <c r="AZ94" s="22" t="n"/>
      <c r="BA94" s="22" t="n"/>
      <c r="BB94" s="22" t="n"/>
      <c r="BC94" s="22" t="n"/>
      <c r="BD94" s="22" t="n"/>
      <c r="BE94" s="22" t="n"/>
      <c r="BF94" s="22" t="n"/>
      <c r="BG94" s="22" t="n"/>
      <c r="BH94" s="22" t="n"/>
      <c r="BI94" s="22" t="n"/>
      <c r="BJ94" s="22" t="n"/>
      <c r="BK94" s="22" t="n"/>
      <c r="BL94" s="22" t="n"/>
      <c r="BM94" s="22" t="n"/>
      <c r="BN94" s="22" t="n"/>
      <c r="BO94" s="22" t="n"/>
      <c r="BP94" s="22" t="n"/>
      <c r="BQ94" s="31" t="n"/>
      <c r="BR94" s="31" t="n"/>
      <c r="BS94" s="31" t="n"/>
      <c r="BT94" s="31" t="n"/>
    </row>
    <row r="95" ht="15.75" customHeight="1" s="349">
      <c r="A95" s="22" t="n"/>
      <c r="B95" s="22" t="n"/>
      <c r="C95" s="22" t="n"/>
      <c r="D95" s="22" t="n"/>
      <c r="E95" s="22" t="n"/>
      <c r="F95" s="22"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c r="AA95" s="22" t="n"/>
      <c r="AB95" s="22" t="n"/>
      <c r="AC95" s="22" t="n"/>
      <c r="AD95" s="22" t="n"/>
      <c r="AE95" s="22" t="n"/>
      <c r="AF95" s="22" t="n"/>
      <c r="AG95" s="22" t="n"/>
      <c r="AH95" s="22" t="n"/>
      <c r="AI95" s="22" t="n"/>
      <c r="AJ95" s="22" t="n"/>
      <c r="AK95" s="22" t="n"/>
      <c r="AL95" s="22" t="n"/>
      <c r="AM95" s="22" t="n"/>
      <c r="AN95" s="22" t="n"/>
      <c r="AO95" s="22" t="n"/>
      <c r="AP95" s="22" t="n"/>
      <c r="AQ95" s="22" t="n"/>
      <c r="AR95" s="22" t="n"/>
      <c r="AS95" s="22" t="n"/>
      <c r="AT95" s="22" t="n"/>
      <c r="AU95" s="22" t="n"/>
      <c r="AV95" s="22" t="n"/>
      <c r="AW95" s="22" t="n"/>
      <c r="AX95" s="22" t="n"/>
      <c r="AY95" s="22" t="n"/>
      <c r="AZ95" s="22" t="n"/>
      <c r="BA95" s="22" t="n"/>
      <c r="BB95" s="22" t="n"/>
      <c r="BC95" s="22" t="n"/>
      <c r="BD95" s="22" t="n"/>
      <c r="BE95" s="22" t="n"/>
      <c r="BF95" s="22" t="n"/>
      <c r="BG95" s="22" t="n"/>
      <c r="BH95" s="22" t="n"/>
      <c r="BI95" s="22" t="n"/>
      <c r="BJ95" s="22" t="n"/>
      <c r="BK95" s="22" t="n"/>
      <c r="BL95" s="22" t="n"/>
      <c r="BM95" s="22" t="n"/>
      <c r="BN95" s="22" t="n"/>
      <c r="BO95" s="22" t="n"/>
      <c r="BP95" s="22" t="n"/>
      <c r="BQ95" s="31" t="n"/>
      <c r="BR95" s="31" t="n"/>
      <c r="BS95" s="31" t="n"/>
      <c r="BT95" s="31" t="n"/>
    </row>
    <row r="96" ht="15.75" customHeight="1" s="349">
      <c r="A96" s="22" t="n"/>
      <c r="B96" s="22" t="n"/>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c r="AA96" s="22" t="n"/>
      <c r="AB96" s="22" t="n"/>
      <c r="AC96" s="22" t="n"/>
      <c r="AD96" s="22" t="n"/>
      <c r="AE96" s="22" t="n"/>
      <c r="AF96" s="22" t="n"/>
      <c r="AG96" s="22" t="n"/>
      <c r="AH96" s="22" t="n"/>
      <c r="AI96" s="22" t="n"/>
      <c r="AJ96" s="22" t="n"/>
      <c r="AK96" s="22" t="n"/>
      <c r="AL96" s="22" t="n"/>
      <c r="AM96" s="22" t="n"/>
      <c r="AN96" s="22" t="n"/>
      <c r="AO96" s="22" t="n"/>
      <c r="AP96" s="22" t="n"/>
      <c r="AQ96" s="22" t="n"/>
      <c r="AR96" s="22" t="n"/>
      <c r="AS96" s="22" t="n"/>
      <c r="AT96" s="22" t="n"/>
      <c r="AU96" s="22" t="n"/>
      <c r="AV96" s="22" t="n"/>
      <c r="AW96" s="22" t="n"/>
      <c r="AX96" s="22" t="n"/>
      <c r="AY96" s="22" t="n"/>
      <c r="AZ96" s="22" t="n"/>
      <c r="BA96" s="22" t="n"/>
      <c r="BB96" s="22" t="n"/>
      <c r="BC96" s="22" t="n"/>
      <c r="BD96" s="22" t="n"/>
      <c r="BE96" s="22" t="n"/>
      <c r="BF96" s="22" t="n"/>
      <c r="BG96" s="22" t="n"/>
      <c r="BH96" s="22" t="n"/>
      <c r="BI96" s="22" t="n"/>
      <c r="BJ96" s="22" t="n"/>
      <c r="BK96" s="22" t="n"/>
      <c r="BL96" s="22" t="n"/>
      <c r="BM96" s="22" t="n"/>
      <c r="BN96" s="22" t="n"/>
      <c r="BO96" s="22" t="n"/>
      <c r="BP96" s="22" t="n"/>
      <c r="BQ96" s="31" t="n"/>
      <c r="BR96" s="31" t="n"/>
      <c r="BS96" s="31" t="n"/>
      <c r="BT96" s="31" t="n"/>
    </row>
    <row r="97" ht="15.75" customHeight="1" s="349">
      <c r="A97" s="22" t="n"/>
      <c r="B97" s="22" t="n"/>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c r="AA97" s="22" t="n"/>
      <c r="AB97" s="22" t="n"/>
      <c r="AC97" s="22" t="n"/>
      <c r="AD97" s="22" t="n"/>
      <c r="AE97" s="22" t="n"/>
      <c r="AF97" s="22" t="n"/>
      <c r="AG97" s="22" t="n"/>
      <c r="AH97" s="22" t="n"/>
      <c r="AI97" s="22" t="n"/>
      <c r="AJ97" s="22" t="n"/>
      <c r="AK97" s="22" t="n"/>
      <c r="AL97" s="22" t="n"/>
      <c r="AM97" s="22" t="n"/>
      <c r="AN97" s="22" t="n"/>
      <c r="AO97" s="22" t="n"/>
      <c r="AP97" s="22" t="n"/>
      <c r="AQ97" s="22" t="n"/>
      <c r="AR97" s="22" t="n"/>
      <c r="AS97" s="22" t="n"/>
      <c r="AT97" s="22" t="n"/>
      <c r="AU97" s="22" t="n"/>
      <c r="AV97" s="22" t="n"/>
      <c r="AW97" s="22" t="n"/>
      <c r="AX97" s="22" t="n"/>
      <c r="AY97" s="22" t="n"/>
      <c r="AZ97" s="22" t="n"/>
      <c r="BA97" s="22" t="n"/>
      <c r="BB97" s="22" t="n"/>
      <c r="BC97" s="22" t="n"/>
      <c r="BD97" s="22" t="n"/>
      <c r="BE97" s="22" t="n"/>
      <c r="BF97" s="22" t="n"/>
      <c r="BG97" s="22" t="n"/>
      <c r="BH97" s="22" t="n"/>
      <c r="BI97" s="22" t="n"/>
      <c r="BJ97" s="22" t="n"/>
      <c r="BK97" s="22" t="n"/>
      <c r="BL97" s="22" t="n"/>
      <c r="BM97" s="22" t="n"/>
      <c r="BN97" s="22" t="n"/>
      <c r="BO97" s="22" t="n"/>
      <c r="BP97" s="22" t="n"/>
      <c r="BQ97" s="31" t="n"/>
      <c r="BR97" s="31" t="n"/>
      <c r="BS97" s="31" t="n"/>
      <c r="BT97" s="31" t="n"/>
    </row>
    <row r="98" ht="15.75" customHeight="1" s="349">
      <c r="A98" s="22" t="n"/>
      <c r="B98" s="22" t="n"/>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c r="AA98" s="22" t="n"/>
      <c r="AB98" s="22" t="n"/>
      <c r="AC98" s="22" t="n"/>
      <c r="AD98" s="22" t="n"/>
      <c r="AE98" s="22" t="n"/>
      <c r="AF98" s="22" t="n"/>
      <c r="AG98" s="22" t="n"/>
      <c r="AH98" s="22" t="n"/>
      <c r="AI98" s="22" t="n"/>
      <c r="AJ98" s="22" t="n"/>
      <c r="AK98" s="22" t="n"/>
      <c r="AL98" s="22" t="n"/>
      <c r="AM98" s="22" t="n"/>
      <c r="AN98" s="22" t="n"/>
      <c r="AO98" s="22" t="n"/>
      <c r="AP98" s="22" t="n"/>
      <c r="AQ98" s="22" t="n"/>
      <c r="AR98" s="22" t="n"/>
      <c r="AS98" s="22" t="n"/>
      <c r="AT98" s="22" t="n"/>
      <c r="AU98" s="22" t="n"/>
      <c r="AV98" s="22" t="n"/>
      <c r="AW98" s="22" t="n"/>
      <c r="AX98" s="22" t="n"/>
      <c r="AY98" s="22" t="n"/>
      <c r="AZ98" s="22" t="n"/>
      <c r="BA98" s="22" t="n"/>
      <c r="BB98" s="22" t="n"/>
      <c r="BC98" s="22" t="n"/>
      <c r="BD98" s="22" t="n"/>
      <c r="BE98" s="22" t="n"/>
      <c r="BF98" s="22" t="n"/>
      <c r="BG98" s="22" t="n"/>
      <c r="BH98" s="22" t="n"/>
      <c r="BI98" s="22" t="n"/>
      <c r="BJ98" s="22" t="n"/>
      <c r="BK98" s="22" t="n"/>
      <c r="BL98" s="22" t="n"/>
      <c r="BM98" s="22" t="n"/>
      <c r="BN98" s="22" t="n"/>
      <c r="BO98" s="22" t="n"/>
      <c r="BP98" s="22" t="n"/>
      <c r="BQ98" s="31" t="n"/>
      <c r="BR98" s="31" t="n"/>
      <c r="BS98" s="31" t="n"/>
      <c r="BT98" s="31" t="n"/>
    </row>
    <row r="99" ht="15.75" customHeight="1" s="349">
      <c r="A99" s="22" t="n"/>
      <c r="B99" s="22" t="n"/>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c r="AA99" s="22" t="n"/>
      <c r="AB99" s="22" t="n"/>
      <c r="AC99" s="22" t="n"/>
      <c r="AD99" s="22" t="n"/>
      <c r="AE99" s="22" t="n"/>
      <c r="AF99" s="22" t="n"/>
      <c r="AG99" s="22" t="n"/>
      <c r="AH99" s="22" t="n"/>
      <c r="AI99" s="22" t="n"/>
      <c r="AJ99" s="22" t="n"/>
      <c r="AK99" s="22" t="n"/>
      <c r="AL99" s="22" t="n"/>
      <c r="AM99" s="22" t="n"/>
      <c r="AN99" s="22" t="n"/>
      <c r="AO99" s="22" t="n"/>
      <c r="AP99" s="22" t="n"/>
      <c r="AQ99" s="22" t="n"/>
      <c r="AR99" s="22" t="n"/>
      <c r="AS99" s="22" t="n"/>
      <c r="AT99" s="22" t="n"/>
      <c r="AU99" s="22" t="n"/>
      <c r="AV99" s="22" t="n"/>
      <c r="AW99" s="22" t="n"/>
      <c r="AX99" s="22" t="n"/>
      <c r="AY99" s="22" t="n"/>
      <c r="AZ99" s="22" t="n"/>
      <c r="BA99" s="22" t="n"/>
      <c r="BB99" s="22" t="n"/>
      <c r="BC99" s="22" t="n"/>
      <c r="BD99" s="22" t="n"/>
      <c r="BE99" s="22" t="n"/>
      <c r="BF99" s="22" t="n"/>
      <c r="BG99" s="22" t="n"/>
      <c r="BH99" s="22" t="n"/>
      <c r="BI99" s="22" t="n"/>
      <c r="BJ99" s="22" t="n"/>
      <c r="BK99" s="22" t="n"/>
      <c r="BL99" s="22" t="n"/>
      <c r="BM99" s="22" t="n"/>
      <c r="BN99" s="22" t="n"/>
      <c r="BO99" s="22" t="n"/>
      <c r="BP99" s="22" t="n"/>
      <c r="BQ99" s="31" t="n"/>
      <c r="BR99" s="31" t="n"/>
      <c r="BS99" s="31" t="n"/>
      <c r="BT99" s="31" t="n"/>
    </row>
    <row r="100" ht="15.75" customHeight="1" s="349">
      <c r="A100" s="22" t="n"/>
      <c r="B100" s="22" t="n"/>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c r="AA100" s="22" t="n"/>
      <c r="AB100" s="22" t="n"/>
      <c r="AC100" s="22" t="n"/>
      <c r="AD100" s="22" t="n"/>
      <c r="AE100" s="22" t="n"/>
      <c r="AF100" s="22" t="n"/>
      <c r="AG100" s="22" t="n"/>
      <c r="AH100" s="22" t="n"/>
      <c r="AI100" s="22" t="n"/>
      <c r="AJ100" s="22" t="n"/>
      <c r="AK100" s="22" t="n"/>
      <c r="AL100" s="22" t="n"/>
      <c r="AM100" s="22" t="n"/>
      <c r="AN100" s="22" t="n"/>
      <c r="AO100" s="22" t="n"/>
      <c r="AP100" s="22" t="n"/>
      <c r="AQ100" s="22" t="n"/>
      <c r="AR100" s="22" t="n"/>
      <c r="AS100" s="22" t="n"/>
      <c r="AT100" s="22" t="n"/>
      <c r="AU100" s="22" t="n"/>
      <c r="AV100" s="22" t="n"/>
      <c r="AW100" s="22" t="n"/>
      <c r="AX100" s="22" t="n"/>
      <c r="AY100" s="22" t="n"/>
      <c r="AZ100" s="22" t="n"/>
      <c r="BA100" s="22" t="n"/>
      <c r="BB100" s="22" t="n"/>
      <c r="BC100" s="22" t="n"/>
      <c r="BD100" s="22" t="n"/>
      <c r="BE100" s="22" t="n"/>
      <c r="BF100" s="22" t="n"/>
      <c r="BG100" s="22" t="n"/>
      <c r="BH100" s="22" t="n"/>
      <c r="BI100" s="22" t="n"/>
      <c r="BJ100" s="22" t="n"/>
      <c r="BK100" s="22" t="n"/>
      <c r="BL100" s="22" t="n"/>
      <c r="BM100" s="22" t="n"/>
      <c r="BN100" s="22" t="n"/>
      <c r="BO100" s="22" t="n"/>
      <c r="BP100" s="22" t="n"/>
      <c r="BQ100" s="31" t="n"/>
      <c r="BR100" s="31" t="n"/>
      <c r="BS100" s="31" t="n"/>
      <c r="BT100" s="31" t="n"/>
    </row>
    <row r="101" ht="15.75" customHeight="1" s="349">
      <c r="A101" s="22" t="n"/>
      <c r="B101" s="22" t="n"/>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c r="AA101" s="22" t="n"/>
      <c r="AB101" s="22" t="n"/>
      <c r="AC101" s="22" t="n"/>
      <c r="AD101" s="22" t="n"/>
      <c r="AE101" s="22" t="n"/>
      <c r="AF101" s="22" t="n"/>
      <c r="AG101" s="22" t="n"/>
      <c r="AH101" s="22" t="n"/>
      <c r="AI101" s="22" t="n"/>
      <c r="AJ101" s="22" t="n"/>
      <c r="AK101" s="22" t="n"/>
      <c r="AL101" s="22" t="n"/>
      <c r="AM101" s="22" t="n"/>
      <c r="AN101" s="22" t="n"/>
      <c r="AO101" s="22" t="n"/>
      <c r="AP101" s="22" t="n"/>
      <c r="AQ101" s="22" t="n"/>
      <c r="AR101" s="22" t="n"/>
      <c r="AS101" s="22" t="n"/>
      <c r="AT101" s="22" t="n"/>
      <c r="AU101" s="22" t="n"/>
      <c r="AV101" s="22" t="n"/>
      <c r="AW101" s="22" t="n"/>
      <c r="AX101" s="22" t="n"/>
      <c r="AY101" s="22" t="n"/>
      <c r="AZ101" s="22" t="n"/>
      <c r="BA101" s="22" t="n"/>
      <c r="BB101" s="22" t="n"/>
      <c r="BC101" s="22" t="n"/>
      <c r="BD101" s="22" t="n"/>
      <c r="BE101" s="22" t="n"/>
      <c r="BF101" s="22" t="n"/>
      <c r="BG101" s="22" t="n"/>
      <c r="BH101" s="22" t="n"/>
      <c r="BI101" s="22" t="n"/>
      <c r="BJ101" s="22" t="n"/>
      <c r="BK101" s="22" t="n"/>
      <c r="BL101" s="22" t="n"/>
      <c r="BM101" s="22" t="n"/>
      <c r="BN101" s="22" t="n"/>
      <c r="BO101" s="22" t="n"/>
      <c r="BP101" s="22" t="n"/>
      <c r="BQ101" s="31" t="n"/>
      <c r="BR101" s="31" t="n"/>
      <c r="BS101" s="31" t="n"/>
      <c r="BT101" s="31" t="n"/>
    </row>
    <row r="102" ht="15.75" customHeight="1" s="349">
      <c r="A102" s="22" t="n"/>
      <c r="B102" s="22" t="n"/>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c r="AA102" s="22" t="n"/>
      <c r="AB102" s="22" t="n"/>
      <c r="AC102" s="22" t="n"/>
      <c r="AD102" s="22" t="n"/>
      <c r="AE102" s="22" t="n"/>
      <c r="AF102" s="22" t="n"/>
      <c r="AG102" s="22" t="n"/>
      <c r="AH102" s="22" t="n"/>
      <c r="AI102" s="22" t="n"/>
      <c r="AJ102" s="22" t="n"/>
      <c r="AK102" s="22" t="n"/>
      <c r="AL102" s="22" t="n"/>
      <c r="AM102" s="22" t="n"/>
      <c r="AN102" s="22" t="n"/>
      <c r="AO102" s="22" t="n"/>
      <c r="AP102" s="22" t="n"/>
      <c r="AQ102" s="22" t="n"/>
      <c r="AR102" s="22" t="n"/>
      <c r="AS102" s="22" t="n"/>
      <c r="AT102" s="22" t="n"/>
      <c r="AU102" s="22" t="n"/>
      <c r="AV102" s="22" t="n"/>
      <c r="AW102" s="22" t="n"/>
      <c r="AX102" s="22" t="n"/>
      <c r="AY102" s="22" t="n"/>
      <c r="AZ102" s="22" t="n"/>
      <c r="BA102" s="22" t="n"/>
      <c r="BB102" s="22" t="n"/>
      <c r="BC102" s="22" t="n"/>
      <c r="BD102" s="22" t="n"/>
      <c r="BE102" s="22" t="n"/>
      <c r="BF102" s="22" t="n"/>
      <c r="BG102" s="22" t="n"/>
      <c r="BH102" s="22" t="n"/>
      <c r="BI102" s="22" t="n"/>
      <c r="BJ102" s="22" t="n"/>
      <c r="BK102" s="22" t="n"/>
      <c r="BL102" s="22" t="n"/>
      <c r="BM102" s="22" t="n"/>
      <c r="BN102" s="22" t="n"/>
      <c r="BO102" s="22" t="n"/>
      <c r="BP102" s="22" t="n"/>
      <c r="BQ102" s="31" t="n"/>
      <c r="BR102" s="31" t="n"/>
      <c r="BS102" s="31" t="n"/>
      <c r="BT102" s="31" t="n"/>
    </row>
    <row r="103" ht="15.75" customHeight="1" s="349">
      <c r="A103" s="22" t="n"/>
      <c r="B103" s="22" t="n"/>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c r="AA103" s="22" t="n"/>
      <c r="AB103" s="22" t="n"/>
      <c r="AC103" s="22" t="n"/>
      <c r="AD103" s="22" t="n"/>
      <c r="AE103" s="22" t="n"/>
      <c r="AF103" s="22" t="n"/>
      <c r="AG103" s="22" t="n"/>
      <c r="AH103" s="22" t="n"/>
      <c r="AI103" s="22" t="n"/>
      <c r="AJ103" s="22" t="n"/>
      <c r="AK103" s="22" t="n"/>
      <c r="AL103" s="22" t="n"/>
      <c r="AM103" s="22" t="n"/>
      <c r="AN103" s="22" t="n"/>
      <c r="AO103" s="22" t="n"/>
      <c r="AP103" s="22" t="n"/>
      <c r="AQ103" s="22" t="n"/>
      <c r="AR103" s="22" t="n"/>
      <c r="AS103" s="22" t="n"/>
      <c r="AT103" s="22" t="n"/>
      <c r="AU103" s="22" t="n"/>
      <c r="AV103" s="22" t="n"/>
      <c r="AW103" s="22" t="n"/>
      <c r="AX103" s="22" t="n"/>
      <c r="AY103" s="22" t="n"/>
      <c r="AZ103" s="22" t="n"/>
      <c r="BA103" s="22" t="n"/>
      <c r="BB103" s="22" t="n"/>
      <c r="BC103" s="22" t="n"/>
      <c r="BD103" s="22" t="n"/>
      <c r="BE103" s="22" t="n"/>
      <c r="BF103" s="22" t="n"/>
      <c r="BG103" s="22" t="n"/>
      <c r="BH103" s="22" t="n"/>
      <c r="BI103" s="22" t="n"/>
      <c r="BJ103" s="22" t="n"/>
      <c r="BK103" s="22" t="n"/>
      <c r="BL103" s="22" t="n"/>
      <c r="BM103" s="22" t="n"/>
      <c r="BN103" s="22" t="n"/>
      <c r="BO103" s="22" t="n"/>
      <c r="BP103" s="22" t="n"/>
      <c r="BQ103" s="31" t="n"/>
      <c r="BR103" s="31" t="n"/>
      <c r="BS103" s="31" t="n"/>
      <c r="BT103" s="31" t="n"/>
    </row>
    <row r="104" ht="15.75" customHeight="1" s="349">
      <c r="A104" s="22" t="n"/>
      <c r="B104" s="22" t="n"/>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c r="AA104" s="22" t="n"/>
      <c r="AB104" s="22" t="n"/>
      <c r="AC104" s="22" t="n"/>
      <c r="AD104" s="22" t="n"/>
      <c r="AE104" s="22" t="n"/>
      <c r="AF104" s="22" t="n"/>
      <c r="AG104" s="22" t="n"/>
      <c r="AH104" s="22" t="n"/>
      <c r="AI104" s="22" t="n"/>
      <c r="AJ104" s="22" t="n"/>
      <c r="AK104" s="22" t="n"/>
      <c r="AL104" s="22" t="n"/>
      <c r="AM104" s="22" t="n"/>
      <c r="AN104" s="22" t="n"/>
      <c r="AO104" s="22" t="n"/>
      <c r="AP104" s="22" t="n"/>
      <c r="AQ104" s="22" t="n"/>
      <c r="AR104" s="22" t="n"/>
      <c r="AS104" s="22" t="n"/>
      <c r="AT104" s="22" t="n"/>
      <c r="AU104" s="22" t="n"/>
      <c r="AV104" s="22" t="n"/>
      <c r="AW104" s="22" t="n"/>
      <c r="AX104" s="22" t="n"/>
      <c r="AY104" s="22" t="n"/>
      <c r="AZ104" s="22" t="n"/>
      <c r="BA104" s="22" t="n"/>
      <c r="BB104" s="22" t="n"/>
      <c r="BC104" s="22" t="n"/>
      <c r="BD104" s="22" t="n"/>
      <c r="BE104" s="22" t="n"/>
      <c r="BF104" s="22" t="n"/>
      <c r="BG104" s="22" t="n"/>
      <c r="BH104" s="22" t="n"/>
      <c r="BI104" s="22" t="n"/>
      <c r="BJ104" s="22" t="n"/>
      <c r="BK104" s="22" t="n"/>
      <c r="BL104" s="22" t="n"/>
      <c r="BM104" s="22" t="n"/>
      <c r="BN104" s="22" t="n"/>
      <c r="BO104" s="22" t="n"/>
      <c r="BP104" s="22" t="n"/>
      <c r="BQ104" s="31" t="n"/>
      <c r="BR104" s="31" t="n"/>
      <c r="BS104" s="31" t="n"/>
      <c r="BT104" s="31" t="n"/>
    </row>
    <row r="105" ht="15.75" customHeight="1" s="349">
      <c r="A105" s="22" t="n"/>
      <c r="B105" s="22" t="n"/>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c r="AA105" s="22" t="n"/>
      <c r="AB105" s="22" t="n"/>
      <c r="AC105" s="22" t="n"/>
      <c r="AD105" s="22" t="n"/>
      <c r="AE105" s="22" t="n"/>
      <c r="AF105" s="22" t="n"/>
      <c r="AG105" s="22" t="n"/>
      <c r="AH105" s="22" t="n"/>
      <c r="AI105" s="22" t="n"/>
      <c r="AJ105" s="22" t="n"/>
      <c r="AK105" s="22" t="n"/>
      <c r="AL105" s="22" t="n"/>
      <c r="AM105" s="22" t="n"/>
      <c r="AN105" s="22" t="n"/>
      <c r="AO105" s="22" t="n"/>
      <c r="AP105" s="22" t="n"/>
      <c r="AQ105" s="22" t="n"/>
      <c r="AR105" s="22" t="n"/>
      <c r="AS105" s="22" t="n"/>
      <c r="AT105" s="22" t="n"/>
      <c r="AU105" s="22" t="n"/>
      <c r="AV105" s="22" t="n"/>
      <c r="AW105" s="22" t="n"/>
      <c r="AX105" s="22" t="n"/>
      <c r="AY105" s="22" t="n"/>
      <c r="AZ105" s="22" t="n"/>
      <c r="BA105" s="22" t="n"/>
      <c r="BB105" s="22" t="n"/>
      <c r="BC105" s="22" t="n"/>
      <c r="BD105" s="22" t="n"/>
      <c r="BE105" s="22" t="n"/>
      <c r="BF105" s="22" t="n"/>
      <c r="BG105" s="22" t="n"/>
      <c r="BH105" s="22" t="n"/>
      <c r="BI105" s="22" t="n"/>
      <c r="BJ105" s="22" t="n"/>
      <c r="BK105" s="22" t="n"/>
      <c r="BL105" s="22" t="n"/>
      <c r="BM105" s="22" t="n"/>
      <c r="BN105" s="22" t="n"/>
      <c r="BO105" s="22" t="n"/>
      <c r="BP105" s="22" t="n"/>
      <c r="BQ105" s="31" t="n"/>
      <c r="BR105" s="31" t="n"/>
      <c r="BS105" s="31" t="n"/>
      <c r="BT105" s="31" t="n"/>
    </row>
    <row r="106" ht="15.75" customHeight="1" s="349">
      <c r="A106" s="22" t="n"/>
      <c r="B106" s="22" t="n"/>
      <c r="C106" s="22" t="n"/>
      <c r="D106" s="22" t="n"/>
      <c r="E106" s="22" t="n"/>
      <c r="F106" s="22"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c r="AA106" s="22" t="n"/>
      <c r="AB106" s="22" t="n"/>
      <c r="AC106" s="22" t="n"/>
      <c r="AD106" s="22" t="n"/>
      <c r="AE106" s="22" t="n"/>
      <c r="AF106" s="22" t="n"/>
      <c r="AG106" s="22" t="n"/>
      <c r="AH106" s="22" t="n"/>
      <c r="AI106" s="22" t="n"/>
      <c r="AJ106" s="22" t="n"/>
      <c r="AK106" s="22" t="n"/>
      <c r="AL106" s="22" t="n"/>
      <c r="AM106" s="22" t="n"/>
      <c r="AN106" s="22" t="n"/>
      <c r="AO106" s="22" t="n"/>
      <c r="AP106" s="22" t="n"/>
      <c r="AQ106" s="22" t="n"/>
      <c r="AR106" s="22" t="n"/>
      <c r="AS106" s="22" t="n"/>
      <c r="AT106" s="22" t="n"/>
      <c r="AU106" s="22" t="n"/>
      <c r="AV106" s="22" t="n"/>
      <c r="AW106" s="22" t="n"/>
      <c r="AX106" s="22" t="n"/>
      <c r="AY106" s="22" t="n"/>
      <c r="AZ106" s="22" t="n"/>
      <c r="BA106" s="22" t="n"/>
      <c r="BB106" s="22" t="n"/>
      <c r="BC106" s="22" t="n"/>
      <c r="BD106" s="22" t="n"/>
      <c r="BE106" s="22" t="n"/>
      <c r="BF106" s="22" t="n"/>
      <c r="BG106" s="22" t="n"/>
      <c r="BH106" s="22" t="n"/>
      <c r="BI106" s="22" t="n"/>
      <c r="BJ106" s="22" t="n"/>
      <c r="BK106" s="22" t="n"/>
      <c r="BL106" s="22" t="n"/>
      <c r="BM106" s="22" t="n"/>
      <c r="BN106" s="22" t="n"/>
      <c r="BO106" s="22" t="n"/>
      <c r="BP106" s="22" t="n"/>
      <c r="BQ106" s="31" t="n"/>
      <c r="BR106" s="31" t="n"/>
      <c r="BS106" s="31" t="n"/>
      <c r="BT106" s="31" t="n"/>
    </row>
    <row r="107" ht="15.75" customHeight="1" s="349">
      <c r="A107" s="22" t="n"/>
      <c r="B107" s="22" t="n"/>
      <c r="C107" s="22" t="n"/>
      <c r="D107" s="22" t="n"/>
      <c r="E107" s="22" t="n"/>
      <c r="F107" s="22"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c r="AA107" s="22" t="n"/>
      <c r="AB107" s="22" t="n"/>
      <c r="AC107" s="22" t="n"/>
      <c r="AD107" s="22" t="n"/>
      <c r="AE107" s="22" t="n"/>
      <c r="AF107" s="22" t="n"/>
      <c r="AG107" s="22" t="n"/>
      <c r="AH107" s="22" t="n"/>
      <c r="AI107" s="22" t="n"/>
      <c r="AJ107" s="22" t="n"/>
      <c r="AK107" s="22" t="n"/>
      <c r="AL107" s="22" t="n"/>
      <c r="AM107" s="22" t="n"/>
      <c r="AN107" s="22" t="n"/>
      <c r="AO107" s="22" t="n"/>
      <c r="AP107" s="22" t="n"/>
      <c r="AQ107" s="22" t="n"/>
      <c r="AR107" s="22" t="n"/>
      <c r="AS107" s="22" t="n"/>
      <c r="AT107" s="22" t="n"/>
      <c r="AU107" s="22" t="n"/>
      <c r="AV107" s="22" t="n"/>
      <c r="AW107" s="22" t="n"/>
      <c r="AX107" s="22" t="n"/>
      <c r="AY107" s="22" t="n"/>
      <c r="AZ107" s="22" t="n"/>
      <c r="BA107" s="22" t="n"/>
      <c r="BB107" s="22" t="n"/>
      <c r="BC107" s="22" t="n"/>
      <c r="BD107" s="22" t="n"/>
      <c r="BE107" s="22" t="n"/>
      <c r="BF107" s="22" t="n"/>
      <c r="BG107" s="22" t="n"/>
      <c r="BH107" s="22" t="n"/>
      <c r="BI107" s="22" t="n"/>
      <c r="BJ107" s="22" t="n"/>
      <c r="BK107" s="22" t="n"/>
      <c r="BL107" s="22" t="n"/>
      <c r="BM107" s="22" t="n"/>
      <c r="BN107" s="22" t="n"/>
      <c r="BO107" s="22" t="n"/>
      <c r="BP107" s="22" t="n"/>
      <c r="BQ107" s="31" t="n"/>
      <c r="BR107" s="31" t="n"/>
      <c r="BS107" s="31" t="n"/>
      <c r="BT107" s="31" t="n"/>
    </row>
    <row r="108" ht="15.75" customHeight="1" s="349">
      <c r="A108" s="22" t="n"/>
      <c r="B108" s="22" t="n"/>
      <c r="C108" s="22" t="n"/>
      <c r="D108" s="22" t="n"/>
      <c r="E108" s="22" t="n"/>
      <c r="F108" s="22"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c r="AA108" s="22" t="n"/>
      <c r="AB108" s="22" t="n"/>
      <c r="AC108" s="22" t="n"/>
      <c r="AD108" s="22" t="n"/>
      <c r="AE108" s="22" t="n"/>
      <c r="AF108" s="22" t="n"/>
      <c r="AG108" s="22" t="n"/>
      <c r="AH108" s="22" t="n"/>
      <c r="AI108" s="22" t="n"/>
      <c r="AJ108" s="22" t="n"/>
      <c r="AK108" s="22" t="n"/>
      <c r="AL108" s="22" t="n"/>
      <c r="AM108" s="22" t="n"/>
      <c r="AN108" s="22" t="n"/>
      <c r="AO108" s="22" t="n"/>
      <c r="AP108" s="22" t="n"/>
      <c r="AQ108" s="22" t="n"/>
      <c r="AR108" s="22" t="n"/>
      <c r="AS108" s="22" t="n"/>
      <c r="AT108" s="22" t="n"/>
      <c r="AU108" s="22" t="n"/>
      <c r="AV108" s="22" t="n"/>
      <c r="AW108" s="22" t="n"/>
      <c r="AX108" s="22" t="n"/>
      <c r="AY108" s="22" t="n"/>
      <c r="AZ108" s="22" t="n"/>
      <c r="BA108" s="22" t="n"/>
      <c r="BB108" s="22" t="n"/>
      <c r="BC108" s="22" t="n"/>
      <c r="BD108" s="22" t="n"/>
      <c r="BE108" s="22" t="n"/>
      <c r="BF108" s="22" t="n"/>
      <c r="BG108" s="22" t="n"/>
      <c r="BH108" s="22" t="n"/>
      <c r="BI108" s="22" t="n"/>
      <c r="BJ108" s="22" t="n"/>
      <c r="BK108" s="22" t="n"/>
      <c r="BL108" s="22" t="n"/>
      <c r="BM108" s="22" t="n"/>
      <c r="BN108" s="22" t="n"/>
      <c r="BO108" s="22" t="n"/>
      <c r="BP108" s="22" t="n"/>
      <c r="BQ108" s="31" t="n"/>
      <c r="BR108" s="31" t="n"/>
      <c r="BS108" s="31" t="n"/>
      <c r="BT108" s="31" t="n"/>
    </row>
    <row r="109" ht="15.75" customHeight="1" s="349">
      <c r="A109" s="22" t="n"/>
      <c r="B109" s="22" t="n"/>
      <c r="C109" s="22" t="n"/>
      <c r="D109" s="22" t="n"/>
      <c r="E109" s="22" t="n"/>
      <c r="F109" s="22"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c r="AA109" s="22" t="n"/>
      <c r="AB109" s="22" t="n"/>
      <c r="AC109" s="22" t="n"/>
      <c r="AD109" s="22" t="n"/>
      <c r="AE109" s="22" t="n"/>
      <c r="AF109" s="22" t="n"/>
      <c r="AG109" s="22" t="n"/>
      <c r="AH109" s="22" t="n"/>
      <c r="AI109" s="22" t="n"/>
      <c r="AJ109" s="22" t="n"/>
      <c r="AK109" s="22" t="n"/>
      <c r="AL109" s="22" t="n"/>
      <c r="AM109" s="22" t="n"/>
      <c r="AN109" s="22" t="n"/>
      <c r="AO109" s="22" t="n"/>
      <c r="AP109" s="22" t="n"/>
      <c r="AQ109" s="22" t="n"/>
      <c r="AR109" s="22" t="n"/>
      <c r="AS109" s="22" t="n"/>
      <c r="AT109" s="22" t="n"/>
      <c r="AU109" s="22" t="n"/>
      <c r="AV109" s="22" t="n"/>
      <c r="AW109" s="22" t="n"/>
      <c r="AX109" s="22" t="n"/>
      <c r="AY109" s="22" t="n"/>
      <c r="AZ109" s="22" t="n"/>
      <c r="BA109" s="22" t="n"/>
      <c r="BB109" s="22" t="n"/>
      <c r="BC109" s="22" t="n"/>
      <c r="BD109" s="22" t="n"/>
      <c r="BE109" s="22" t="n"/>
      <c r="BF109" s="22" t="n"/>
      <c r="BG109" s="22" t="n"/>
      <c r="BH109" s="22" t="n"/>
      <c r="BI109" s="22" t="n"/>
      <c r="BJ109" s="22" t="n"/>
      <c r="BK109" s="22" t="n"/>
      <c r="BL109" s="22" t="n"/>
      <c r="BM109" s="22" t="n"/>
      <c r="BN109" s="22" t="n"/>
      <c r="BO109" s="22" t="n"/>
      <c r="BP109" s="22" t="n"/>
      <c r="BQ109" s="31" t="n"/>
      <c r="BR109" s="31" t="n"/>
      <c r="BS109" s="31" t="n"/>
      <c r="BT109" s="31" t="n"/>
    </row>
    <row r="110" ht="15.75" customHeight="1" s="349">
      <c r="A110" s="22" t="n"/>
      <c r="B110" s="22" t="n"/>
      <c r="C110" s="22" t="n"/>
      <c r="D110" s="22" t="n"/>
      <c r="E110" s="22" t="n"/>
      <c r="F110" s="22"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c r="AA110" s="22" t="n"/>
      <c r="AB110" s="22" t="n"/>
      <c r="AC110" s="22" t="n"/>
      <c r="AD110" s="22" t="n"/>
      <c r="AE110" s="22" t="n"/>
      <c r="AF110" s="22" t="n"/>
      <c r="AG110" s="22" t="n"/>
      <c r="AH110" s="22" t="n"/>
      <c r="AI110" s="22" t="n"/>
      <c r="AJ110" s="22" t="n"/>
      <c r="AK110" s="22" t="n"/>
      <c r="AL110" s="22" t="n"/>
      <c r="AM110" s="22" t="n"/>
      <c r="AN110" s="22" t="n"/>
      <c r="AO110" s="22" t="n"/>
      <c r="AP110" s="22" t="n"/>
      <c r="AQ110" s="22" t="n"/>
      <c r="AR110" s="22" t="n"/>
      <c r="AS110" s="22" t="n"/>
      <c r="AT110" s="22" t="n"/>
      <c r="AU110" s="22" t="n"/>
      <c r="AV110" s="22" t="n"/>
      <c r="AW110" s="22" t="n"/>
      <c r="AX110" s="22" t="n"/>
      <c r="AY110" s="22" t="n"/>
      <c r="AZ110" s="22" t="n"/>
      <c r="BA110" s="22" t="n"/>
      <c r="BB110" s="22" t="n"/>
      <c r="BC110" s="22" t="n"/>
      <c r="BD110" s="22" t="n"/>
      <c r="BE110" s="22" t="n"/>
      <c r="BF110" s="22" t="n"/>
      <c r="BG110" s="22" t="n"/>
      <c r="BH110" s="22" t="n"/>
      <c r="BI110" s="22" t="n"/>
      <c r="BJ110" s="22" t="n"/>
      <c r="BK110" s="22" t="n"/>
      <c r="BL110" s="22" t="n"/>
      <c r="BM110" s="22" t="n"/>
      <c r="BN110" s="22" t="n"/>
      <c r="BO110" s="22" t="n"/>
      <c r="BP110" s="22" t="n"/>
      <c r="BQ110" s="31" t="n"/>
      <c r="BR110" s="31" t="n"/>
      <c r="BS110" s="31" t="n"/>
      <c r="BT110" s="31" t="n"/>
    </row>
    <row r="111" ht="15.75" customHeight="1" s="349">
      <c r="A111" s="22" t="n"/>
      <c r="B111" s="22" t="n"/>
      <c r="C111" s="22" t="n"/>
      <c r="D111" s="22" t="n"/>
      <c r="E111" s="22" t="n"/>
      <c r="F111" s="22"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c r="AA111" s="22" t="n"/>
      <c r="AB111" s="22" t="n"/>
      <c r="AC111" s="22" t="n"/>
      <c r="AD111" s="22" t="n"/>
      <c r="AE111" s="22" t="n"/>
      <c r="AF111" s="22" t="n"/>
      <c r="AG111" s="22" t="n"/>
      <c r="AH111" s="22" t="n"/>
      <c r="AI111" s="22" t="n"/>
      <c r="AJ111" s="22" t="n"/>
      <c r="AK111" s="22" t="n"/>
      <c r="AL111" s="22" t="n"/>
      <c r="AM111" s="22" t="n"/>
      <c r="AN111" s="22" t="n"/>
      <c r="AO111" s="22" t="n"/>
      <c r="AP111" s="22" t="n"/>
      <c r="AQ111" s="22" t="n"/>
      <c r="AR111" s="22" t="n"/>
      <c r="AS111" s="22" t="n"/>
      <c r="AT111" s="22" t="n"/>
      <c r="AU111" s="22" t="n"/>
      <c r="AV111" s="22" t="n"/>
      <c r="AW111" s="22" t="n"/>
      <c r="AX111" s="22" t="n"/>
      <c r="AY111" s="22" t="n"/>
      <c r="AZ111" s="22" t="n"/>
      <c r="BA111" s="22" t="n"/>
      <c r="BB111" s="22" t="n"/>
      <c r="BC111" s="22" t="n"/>
      <c r="BD111" s="22" t="n"/>
      <c r="BE111" s="22" t="n"/>
      <c r="BF111" s="22" t="n"/>
      <c r="BG111" s="22" t="n"/>
      <c r="BH111" s="22" t="n"/>
      <c r="BI111" s="22" t="n"/>
      <c r="BJ111" s="22" t="n"/>
      <c r="BK111" s="22" t="n"/>
      <c r="BL111" s="22" t="n"/>
      <c r="BM111" s="22" t="n"/>
      <c r="BN111" s="22" t="n"/>
      <c r="BO111" s="22" t="n"/>
      <c r="BP111" s="22" t="n"/>
      <c r="BQ111" s="31" t="n"/>
      <c r="BR111" s="31" t="n"/>
      <c r="BS111" s="31" t="n"/>
      <c r="BT111" s="31" t="n"/>
    </row>
    <row r="112" ht="15.75" customHeight="1" s="349">
      <c r="A112" s="22" t="n"/>
      <c r="B112" s="22" t="n"/>
      <c r="C112" s="22" t="n"/>
      <c r="D112" s="22" t="n"/>
      <c r="E112" s="22" t="n"/>
      <c r="F112" s="22"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c r="AA112" s="22" t="n"/>
      <c r="AB112" s="22" t="n"/>
      <c r="AC112" s="22" t="n"/>
      <c r="AD112" s="22" t="n"/>
      <c r="AE112" s="22" t="n"/>
      <c r="AF112" s="22" t="n"/>
      <c r="AG112" s="22" t="n"/>
      <c r="AH112" s="22" t="n"/>
      <c r="AI112" s="22" t="n"/>
      <c r="AJ112" s="22" t="n"/>
      <c r="AK112" s="22" t="n"/>
      <c r="AL112" s="22" t="n"/>
      <c r="AM112" s="22" t="n"/>
      <c r="AN112" s="22" t="n"/>
      <c r="AO112" s="22" t="n"/>
      <c r="AP112" s="22" t="n"/>
      <c r="AQ112" s="22" t="n"/>
      <c r="AR112" s="22" t="n"/>
      <c r="AS112" s="22" t="n"/>
      <c r="AT112" s="22" t="n"/>
      <c r="AU112" s="22" t="n"/>
      <c r="AV112" s="22" t="n"/>
      <c r="AW112" s="22" t="n"/>
      <c r="AX112" s="22" t="n"/>
      <c r="AY112" s="22" t="n"/>
      <c r="AZ112" s="22" t="n"/>
      <c r="BA112" s="22" t="n"/>
      <c r="BB112" s="22" t="n"/>
      <c r="BC112" s="22" t="n"/>
      <c r="BD112" s="22" t="n"/>
      <c r="BE112" s="22" t="n"/>
      <c r="BF112" s="22" t="n"/>
      <c r="BG112" s="22" t="n"/>
      <c r="BH112" s="22" t="n"/>
      <c r="BI112" s="22" t="n"/>
      <c r="BJ112" s="22" t="n"/>
      <c r="BK112" s="22" t="n"/>
      <c r="BL112" s="22" t="n"/>
      <c r="BM112" s="22" t="n"/>
      <c r="BN112" s="22" t="n"/>
      <c r="BO112" s="22" t="n"/>
      <c r="BP112" s="22" t="n"/>
      <c r="BQ112" s="31" t="n"/>
      <c r="BR112" s="31" t="n"/>
      <c r="BS112" s="31" t="n"/>
      <c r="BT112" s="31" t="n"/>
    </row>
    <row r="113" ht="15.75" customHeight="1" s="349">
      <c r="A113" s="22" t="n"/>
      <c r="B113" s="22" t="n"/>
      <c r="C113" s="22" t="n"/>
      <c r="D113" s="22" t="n"/>
      <c r="E113" s="22" t="n"/>
      <c r="F113" s="22"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c r="AA113" s="22" t="n"/>
      <c r="AB113" s="22" t="n"/>
      <c r="AC113" s="22" t="n"/>
      <c r="AD113" s="22" t="n"/>
      <c r="AE113" s="22" t="n"/>
      <c r="AF113" s="22" t="n"/>
      <c r="AG113" s="22" t="n"/>
      <c r="AH113" s="22" t="n"/>
      <c r="AI113" s="22" t="n"/>
      <c r="AJ113" s="22" t="n"/>
      <c r="AK113" s="22" t="n"/>
      <c r="AL113" s="22" t="n"/>
      <c r="AM113" s="22" t="n"/>
      <c r="AN113" s="22" t="n"/>
      <c r="AO113" s="22" t="n"/>
      <c r="AP113" s="22" t="n"/>
      <c r="AQ113" s="22" t="n"/>
      <c r="AR113" s="22" t="n"/>
      <c r="AS113" s="22" t="n"/>
      <c r="AT113" s="22" t="n"/>
      <c r="AU113" s="22" t="n"/>
      <c r="AV113" s="22" t="n"/>
      <c r="AW113" s="22" t="n"/>
      <c r="AX113" s="22" t="n"/>
      <c r="AY113" s="22" t="n"/>
      <c r="AZ113" s="22" t="n"/>
      <c r="BA113" s="22" t="n"/>
      <c r="BB113" s="22" t="n"/>
      <c r="BC113" s="22" t="n"/>
      <c r="BD113" s="22" t="n"/>
      <c r="BE113" s="22" t="n"/>
      <c r="BF113" s="22" t="n"/>
      <c r="BG113" s="22" t="n"/>
      <c r="BH113" s="22" t="n"/>
      <c r="BI113" s="22" t="n"/>
      <c r="BJ113" s="22" t="n"/>
      <c r="BK113" s="22" t="n"/>
      <c r="BL113" s="22" t="n"/>
      <c r="BM113" s="22" t="n"/>
      <c r="BN113" s="22" t="n"/>
      <c r="BO113" s="22" t="n"/>
      <c r="BP113" s="22" t="n"/>
      <c r="BQ113" s="31" t="n"/>
      <c r="BR113" s="31" t="n"/>
      <c r="BS113" s="31" t="n"/>
      <c r="BT113" s="31" t="n"/>
    </row>
    <row r="114" ht="15.75" customHeight="1" s="349">
      <c r="A114" s="22" t="n"/>
      <c r="B114" s="22" t="n"/>
      <c r="C114" s="22" t="n"/>
      <c r="D114" s="22" t="n"/>
      <c r="E114" s="22" t="n"/>
      <c r="F114" s="22"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c r="AA114" s="22" t="n"/>
      <c r="AB114" s="22" t="n"/>
      <c r="AC114" s="22" t="n"/>
      <c r="AD114" s="22" t="n"/>
      <c r="AE114" s="22" t="n"/>
      <c r="AF114" s="22" t="n"/>
      <c r="AG114" s="22" t="n"/>
      <c r="AH114" s="22" t="n"/>
      <c r="AI114" s="22" t="n"/>
      <c r="AJ114" s="22" t="n"/>
      <c r="AK114" s="22" t="n"/>
      <c r="AL114" s="22" t="n"/>
      <c r="AM114" s="22" t="n"/>
      <c r="AN114" s="22" t="n"/>
      <c r="AO114" s="22" t="n"/>
      <c r="AP114" s="22" t="n"/>
      <c r="AQ114" s="22" t="n"/>
      <c r="AR114" s="22" t="n"/>
      <c r="AS114" s="22" t="n"/>
      <c r="AT114" s="22" t="n"/>
      <c r="AU114" s="22" t="n"/>
      <c r="AV114" s="22" t="n"/>
      <c r="AW114" s="22" t="n"/>
      <c r="AX114" s="22" t="n"/>
      <c r="AY114" s="22" t="n"/>
      <c r="AZ114" s="22" t="n"/>
      <c r="BA114" s="22" t="n"/>
      <c r="BB114" s="22" t="n"/>
      <c r="BC114" s="22" t="n"/>
      <c r="BD114" s="22" t="n"/>
      <c r="BE114" s="22" t="n"/>
      <c r="BF114" s="22" t="n"/>
      <c r="BG114" s="22" t="n"/>
      <c r="BH114" s="22" t="n"/>
      <c r="BI114" s="22" t="n"/>
      <c r="BJ114" s="22" t="n"/>
      <c r="BK114" s="22" t="n"/>
      <c r="BL114" s="22" t="n"/>
      <c r="BM114" s="22" t="n"/>
      <c r="BN114" s="22" t="n"/>
      <c r="BO114" s="22" t="n"/>
      <c r="BP114" s="22" t="n"/>
      <c r="BQ114" s="31" t="n"/>
      <c r="BR114" s="31" t="n"/>
      <c r="BS114" s="31" t="n"/>
      <c r="BT114" s="31" t="n"/>
    </row>
    <row r="115" ht="15.75" customHeight="1" s="349">
      <c r="A115" s="22" t="n"/>
      <c r="B115" s="22" t="n"/>
      <c r="C115" s="22" t="n"/>
      <c r="D115" s="22" t="n"/>
      <c r="E115" s="22" t="n"/>
      <c r="F115" s="22"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c r="AA115" s="22" t="n"/>
      <c r="AB115" s="22" t="n"/>
      <c r="AC115" s="22" t="n"/>
      <c r="AD115" s="22" t="n"/>
      <c r="AE115" s="22" t="n"/>
      <c r="AF115" s="22" t="n"/>
      <c r="AG115" s="22" t="n"/>
      <c r="AH115" s="22" t="n"/>
      <c r="AI115" s="22" t="n"/>
      <c r="AJ115" s="22" t="n"/>
      <c r="AK115" s="22" t="n"/>
      <c r="AL115" s="22" t="n"/>
      <c r="AM115" s="22" t="n"/>
      <c r="AN115" s="22" t="n"/>
      <c r="AO115" s="22" t="n"/>
      <c r="AP115" s="22" t="n"/>
      <c r="AQ115" s="22" t="n"/>
      <c r="AR115" s="22" t="n"/>
      <c r="AS115" s="22" t="n"/>
      <c r="AT115" s="22" t="n"/>
      <c r="AU115" s="22" t="n"/>
      <c r="AV115" s="22" t="n"/>
      <c r="AW115" s="22" t="n"/>
      <c r="AX115" s="22" t="n"/>
      <c r="AY115" s="22" t="n"/>
      <c r="AZ115" s="22" t="n"/>
      <c r="BA115" s="22" t="n"/>
      <c r="BB115" s="22" t="n"/>
      <c r="BC115" s="22" t="n"/>
      <c r="BD115" s="22" t="n"/>
      <c r="BE115" s="22" t="n"/>
      <c r="BF115" s="22" t="n"/>
      <c r="BG115" s="22" t="n"/>
      <c r="BH115" s="22" t="n"/>
      <c r="BI115" s="22" t="n"/>
      <c r="BJ115" s="22" t="n"/>
      <c r="BK115" s="22" t="n"/>
      <c r="BL115" s="22" t="n"/>
      <c r="BM115" s="22" t="n"/>
      <c r="BN115" s="22" t="n"/>
      <c r="BO115" s="22" t="n"/>
      <c r="BP115" s="22" t="n"/>
      <c r="BQ115" s="31" t="n"/>
      <c r="BR115" s="31" t="n"/>
      <c r="BS115" s="31" t="n"/>
      <c r="BT115" s="31" t="n"/>
    </row>
    <row r="116" ht="15.75" customHeight="1" s="349">
      <c r="A116" s="22" t="n"/>
      <c r="B116" s="22" t="n"/>
      <c r="C116" s="22" t="n"/>
      <c r="D116" s="22" t="n"/>
      <c r="E116" s="22" t="n"/>
      <c r="F116" s="22"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c r="AA116" s="22" t="n"/>
      <c r="AB116" s="22" t="n"/>
      <c r="AC116" s="22" t="n"/>
      <c r="AD116" s="22" t="n"/>
      <c r="AE116" s="22" t="n"/>
      <c r="AF116" s="22" t="n"/>
      <c r="AG116" s="22" t="n"/>
      <c r="AH116" s="22" t="n"/>
      <c r="AI116" s="22" t="n"/>
      <c r="AJ116" s="22" t="n"/>
      <c r="AK116" s="22" t="n"/>
      <c r="AL116" s="22" t="n"/>
      <c r="AM116" s="22" t="n"/>
      <c r="AN116" s="22" t="n"/>
      <c r="AO116" s="22" t="n"/>
      <c r="AP116" s="22" t="n"/>
      <c r="AQ116" s="22" t="n"/>
      <c r="AR116" s="22" t="n"/>
      <c r="AS116" s="22" t="n"/>
      <c r="AT116" s="22" t="n"/>
      <c r="AU116" s="22" t="n"/>
      <c r="AV116" s="22" t="n"/>
      <c r="AW116" s="22" t="n"/>
      <c r="AX116" s="22" t="n"/>
      <c r="AY116" s="22" t="n"/>
      <c r="AZ116" s="22" t="n"/>
      <c r="BA116" s="22" t="n"/>
      <c r="BB116" s="22" t="n"/>
      <c r="BC116" s="22" t="n"/>
      <c r="BD116" s="22" t="n"/>
      <c r="BE116" s="22" t="n"/>
      <c r="BF116" s="22" t="n"/>
      <c r="BG116" s="22" t="n"/>
      <c r="BH116" s="22" t="n"/>
      <c r="BI116" s="22" t="n"/>
      <c r="BJ116" s="22" t="n"/>
      <c r="BK116" s="22" t="n"/>
      <c r="BL116" s="22" t="n"/>
      <c r="BM116" s="22" t="n"/>
      <c r="BN116" s="22" t="n"/>
      <c r="BO116" s="22" t="n"/>
      <c r="BP116" s="22" t="n"/>
      <c r="BQ116" s="31" t="n"/>
      <c r="BR116" s="31" t="n"/>
      <c r="BS116" s="31" t="n"/>
      <c r="BT116" s="31" t="n"/>
    </row>
    <row r="117" ht="15.75" customHeight="1" s="349">
      <c r="A117" s="22" t="n"/>
      <c r="B117" s="22" t="n"/>
      <c r="C117" s="22" t="n"/>
      <c r="D117" s="22" t="n"/>
      <c r="E117" s="22" t="n"/>
      <c r="F117" s="22"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c r="AA117" s="22" t="n"/>
      <c r="AB117" s="22" t="n"/>
      <c r="AC117" s="22" t="n"/>
      <c r="AD117" s="22" t="n"/>
      <c r="AE117" s="22" t="n"/>
      <c r="AF117" s="22" t="n"/>
      <c r="AG117" s="22" t="n"/>
      <c r="AH117" s="22" t="n"/>
      <c r="AI117" s="22" t="n"/>
      <c r="AJ117" s="22" t="n"/>
      <c r="AK117" s="22" t="n"/>
      <c r="AL117" s="22" t="n"/>
      <c r="AM117" s="22" t="n"/>
      <c r="AN117" s="22" t="n"/>
      <c r="AO117" s="22" t="n"/>
      <c r="AP117" s="22" t="n"/>
      <c r="AQ117" s="22" t="n"/>
      <c r="AR117" s="22" t="n"/>
      <c r="AS117" s="22" t="n"/>
      <c r="AT117" s="22" t="n"/>
      <c r="AU117" s="22" t="n"/>
      <c r="AV117" s="22" t="n"/>
      <c r="AW117" s="22" t="n"/>
      <c r="AX117" s="22" t="n"/>
      <c r="AY117" s="22" t="n"/>
      <c r="AZ117" s="22" t="n"/>
      <c r="BA117" s="22" t="n"/>
      <c r="BB117" s="22" t="n"/>
      <c r="BC117" s="22" t="n"/>
      <c r="BD117" s="22" t="n"/>
      <c r="BE117" s="22" t="n"/>
      <c r="BF117" s="22" t="n"/>
      <c r="BG117" s="22" t="n"/>
      <c r="BH117" s="22" t="n"/>
      <c r="BI117" s="22" t="n"/>
      <c r="BJ117" s="22" t="n"/>
      <c r="BK117" s="22" t="n"/>
      <c r="BL117" s="22" t="n"/>
      <c r="BM117" s="22" t="n"/>
      <c r="BN117" s="22" t="n"/>
      <c r="BO117" s="22" t="n"/>
      <c r="BP117" s="22" t="n"/>
      <c r="BQ117" s="31" t="n"/>
      <c r="BR117" s="31" t="n"/>
      <c r="BS117" s="31" t="n"/>
      <c r="BT117" s="31" t="n"/>
    </row>
    <row r="118" ht="15.75" customHeight="1" s="349">
      <c r="A118" s="22" t="n"/>
      <c r="B118" s="22" t="n"/>
      <c r="C118" s="22" t="n"/>
      <c r="D118" s="22" t="n"/>
      <c r="E118" s="22" t="n"/>
      <c r="F118" s="22"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c r="AA118" s="22" t="n"/>
      <c r="AB118" s="22" t="n"/>
      <c r="AC118" s="22" t="n"/>
      <c r="AD118" s="22" t="n"/>
      <c r="AE118" s="22" t="n"/>
      <c r="AF118" s="22" t="n"/>
      <c r="AG118" s="22" t="n"/>
      <c r="AH118" s="22" t="n"/>
      <c r="AI118" s="22" t="n"/>
      <c r="AJ118" s="22" t="n"/>
      <c r="AK118" s="22" t="n"/>
      <c r="AL118" s="22" t="n"/>
      <c r="AM118" s="22" t="n"/>
      <c r="AN118" s="22" t="n"/>
      <c r="AO118" s="22" t="n"/>
      <c r="AP118" s="22" t="n"/>
      <c r="AQ118" s="22" t="n"/>
      <c r="AR118" s="22" t="n"/>
      <c r="AS118" s="22" t="n"/>
      <c r="AT118" s="22" t="n"/>
      <c r="AU118" s="22" t="n"/>
      <c r="AV118" s="22" t="n"/>
      <c r="AW118" s="22" t="n"/>
      <c r="AX118" s="22" t="n"/>
      <c r="AY118" s="22" t="n"/>
      <c r="AZ118" s="22" t="n"/>
      <c r="BA118" s="22" t="n"/>
      <c r="BB118" s="22" t="n"/>
      <c r="BC118" s="22" t="n"/>
      <c r="BD118" s="22" t="n"/>
      <c r="BE118" s="22" t="n"/>
      <c r="BF118" s="22" t="n"/>
      <c r="BG118" s="22" t="n"/>
      <c r="BH118" s="22" t="n"/>
      <c r="BI118" s="22" t="n"/>
      <c r="BJ118" s="22" t="n"/>
      <c r="BK118" s="22" t="n"/>
      <c r="BL118" s="22" t="n"/>
      <c r="BM118" s="22" t="n"/>
      <c r="BN118" s="22" t="n"/>
      <c r="BO118" s="22" t="n"/>
      <c r="BP118" s="22" t="n"/>
      <c r="BQ118" s="31" t="n"/>
      <c r="BR118" s="31" t="n"/>
      <c r="BS118" s="31" t="n"/>
      <c r="BT118" s="31" t="n"/>
    </row>
    <row r="119" ht="15.75" customHeight="1" s="349">
      <c r="A119" s="22" t="n"/>
      <c r="B119" s="22" t="n"/>
      <c r="C119" s="22" t="n"/>
      <c r="D119" s="22" t="n"/>
      <c r="E119" s="22" t="n"/>
      <c r="F119" s="22"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c r="AA119" s="22" t="n"/>
      <c r="AB119" s="22" t="n"/>
      <c r="AC119" s="22" t="n"/>
      <c r="AD119" s="22" t="n"/>
      <c r="AE119" s="22" t="n"/>
      <c r="AF119" s="22" t="n"/>
      <c r="AG119" s="22" t="n"/>
      <c r="AH119" s="22" t="n"/>
      <c r="AI119" s="22" t="n"/>
      <c r="AJ119" s="22" t="n"/>
      <c r="AK119" s="22" t="n"/>
      <c r="AL119" s="22" t="n"/>
      <c r="AM119" s="22" t="n"/>
      <c r="AN119" s="22" t="n"/>
      <c r="AO119" s="22" t="n"/>
      <c r="AP119" s="22" t="n"/>
      <c r="AQ119" s="22" t="n"/>
      <c r="AR119" s="22" t="n"/>
      <c r="AS119" s="22" t="n"/>
      <c r="AT119" s="22" t="n"/>
      <c r="AU119" s="22" t="n"/>
      <c r="AV119" s="22" t="n"/>
      <c r="AW119" s="22" t="n"/>
      <c r="AX119" s="22" t="n"/>
      <c r="AY119" s="22" t="n"/>
      <c r="AZ119" s="22" t="n"/>
      <c r="BA119" s="22" t="n"/>
      <c r="BB119" s="22" t="n"/>
      <c r="BC119" s="22" t="n"/>
      <c r="BD119" s="22" t="n"/>
      <c r="BE119" s="22" t="n"/>
      <c r="BF119" s="22" t="n"/>
      <c r="BG119" s="22" t="n"/>
      <c r="BH119" s="22" t="n"/>
      <c r="BI119" s="22" t="n"/>
      <c r="BJ119" s="22" t="n"/>
      <c r="BK119" s="22" t="n"/>
      <c r="BL119" s="22" t="n"/>
      <c r="BM119" s="22" t="n"/>
      <c r="BN119" s="22" t="n"/>
      <c r="BO119" s="22" t="n"/>
      <c r="BP119" s="22" t="n"/>
      <c r="BQ119" s="31" t="n"/>
      <c r="BR119" s="31" t="n"/>
      <c r="BS119" s="31" t="n"/>
      <c r="BT119" s="31" t="n"/>
    </row>
    <row r="120" ht="15.75" customHeight="1" s="349">
      <c r="A120" s="22" t="n"/>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c r="AA120" s="22" t="n"/>
      <c r="AB120" s="22" t="n"/>
      <c r="AC120" s="22" t="n"/>
      <c r="AD120" s="22" t="n"/>
      <c r="AE120" s="22" t="n"/>
      <c r="AF120" s="22" t="n"/>
      <c r="AG120" s="22" t="n"/>
      <c r="AH120" s="22" t="n"/>
      <c r="AI120" s="22" t="n"/>
      <c r="AJ120" s="22" t="n"/>
      <c r="AK120" s="22" t="n"/>
      <c r="AL120" s="22" t="n"/>
      <c r="AM120" s="22" t="n"/>
      <c r="AN120" s="22" t="n"/>
      <c r="AO120" s="22" t="n"/>
      <c r="AP120" s="22" t="n"/>
      <c r="AQ120" s="22" t="n"/>
      <c r="AR120" s="22" t="n"/>
      <c r="AS120" s="22" t="n"/>
      <c r="AT120" s="22" t="n"/>
      <c r="AU120" s="22" t="n"/>
      <c r="AV120" s="22" t="n"/>
      <c r="AW120" s="22" t="n"/>
      <c r="AX120" s="22" t="n"/>
      <c r="AY120" s="22" t="n"/>
      <c r="AZ120" s="22" t="n"/>
      <c r="BA120" s="22" t="n"/>
      <c r="BB120" s="22" t="n"/>
      <c r="BC120" s="22" t="n"/>
      <c r="BD120" s="22" t="n"/>
      <c r="BE120" s="22" t="n"/>
      <c r="BF120" s="22" t="n"/>
      <c r="BG120" s="22" t="n"/>
      <c r="BH120" s="22" t="n"/>
      <c r="BI120" s="22" t="n"/>
      <c r="BJ120" s="22" t="n"/>
      <c r="BK120" s="22" t="n"/>
      <c r="BL120" s="22" t="n"/>
      <c r="BM120" s="22" t="n"/>
      <c r="BN120" s="22" t="n"/>
      <c r="BO120" s="22" t="n"/>
      <c r="BP120" s="22" t="n"/>
      <c r="BQ120" s="31" t="n"/>
      <c r="BR120" s="31" t="n"/>
      <c r="BS120" s="31" t="n"/>
      <c r="BT120" s="31" t="n"/>
    </row>
    <row r="121" ht="15.75" customHeight="1" s="349">
      <c r="A121" s="22" t="n"/>
      <c r="B121" s="22" t="n"/>
      <c r="C121" s="22" t="n"/>
      <c r="D121" s="22" t="n"/>
      <c r="E121" s="22" t="n"/>
      <c r="F121" s="22"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c r="AA121" s="22" t="n"/>
      <c r="AB121" s="22" t="n"/>
      <c r="AC121" s="22" t="n"/>
      <c r="AD121" s="22" t="n"/>
      <c r="AE121" s="22" t="n"/>
      <c r="AF121" s="22" t="n"/>
      <c r="AG121" s="22" t="n"/>
      <c r="AH121" s="22" t="n"/>
      <c r="AI121" s="22" t="n"/>
      <c r="AJ121" s="22" t="n"/>
      <c r="AK121" s="22" t="n"/>
      <c r="AL121" s="22" t="n"/>
      <c r="AM121" s="22" t="n"/>
      <c r="AN121" s="22" t="n"/>
      <c r="AO121" s="22" t="n"/>
      <c r="AP121" s="22" t="n"/>
      <c r="AQ121" s="22" t="n"/>
      <c r="AR121" s="22" t="n"/>
      <c r="AS121" s="22" t="n"/>
      <c r="AT121" s="22" t="n"/>
      <c r="AU121" s="22" t="n"/>
      <c r="AV121" s="22" t="n"/>
      <c r="AW121" s="22" t="n"/>
      <c r="AX121" s="22" t="n"/>
      <c r="AY121" s="22" t="n"/>
      <c r="AZ121" s="22" t="n"/>
      <c r="BA121" s="22" t="n"/>
      <c r="BB121" s="22" t="n"/>
      <c r="BC121" s="22" t="n"/>
      <c r="BD121" s="22" t="n"/>
      <c r="BE121" s="22" t="n"/>
      <c r="BF121" s="22" t="n"/>
      <c r="BG121" s="22" t="n"/>
      <c r="BH121" s="22" t="n"/>
      <c r="BI121" s="22" t="n"/>
      <c r="BJ121" s="22" t="n"/>
      <c r="BK121" s="22" t="n"/>
      <c r="BL121" s="22" t="n"/>
      <c r="BM121" s="22" t="n"/>
      <c r="BN121" s="22" t="n"/>
      <c r="BO121" s="22" t="n"/>
      <c r="BP121" s="22" t="n"/>
      <c r="BQ121" s="31" t="n"/>
      <c r="BR121" s="31" t="n"/>
      <c r="BS121" s="31" t="n"/>
      <c r="BT121" s="31" t="n"/>
    </row>
    <row r="122" ht="15.75" customHeight="1" s="349">
      <c r="A122" s="22" t="n"/>
      <c r="B122" s="22" t="n"/>
      <c r="C122" s="22" t="n"/>
      <c r="D122" s="22" t="n"/>
      <c r="E122" s="22" t="n"/>
      <c r="F122" s="22"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c r="AA122" s="22" t="n"/>
      <c r="AB122" s="22" t="n"/>
      <c r="AC122" s="22" t="n"/>
      <c r="AD122" s="22" t="n"/>
      <c r="AE122" s="22" t="n"/>
      <c r="AF122" s="22" t="n"/>
      <c r="AG122" s="22" t="n"/>
      <c r="AH122" s="22" t="n"/>
      <c r="AI122" s="22" t="n"/>
      <c r="AJ122" s="22" t="n"/>
      <c r="AK122" s="22" t="n"/>
      <c r="AL122" s="22" t="n"/>
      <c r="AM122" s="22" t="n"/>
      <c r="AN122" s="22" t="n"/>
      <c r="AO122" s="22" t="n"/>
      <c r="AP122" s="22" t="n"/>
      <c r="AQ122" s="22" t="n"/>
      <c r="AR122" s="22" t="n"/>
      <c r="AS122" s="22" t="n"/>
      <c r="AT122" s="22" t="n"/>
      <c r="AU122" s="22" t="n"/>
      <c r="AV122" s="22" t="n"/>
      <c r="AW122" s="22" t="n"/>
      <c r="AX122" s="22" t="n"/>
      <c r="AY122" s="22" t="n"/>
      <c r="AZ122" s="22" t="n"/>
      <c r="BA122" s="22" t="n"/>
      <c r="BB122" s="22" t="n"/>
      <c r="BC122" s="22" t="n"/>
      <c r="BD122" s="22" t="n"/>
      <c r="BE122" s="22" t="n"/>
      <c r="BF122" s="22" t="n"/>
      <c r="BG122" s="22" t="n"/>
      <c r="BH122" s="22" t="n"/>
      <c r="BI122" s="22" t="n"/>
      <c r="BJ122" s="22" t="n"/>
      <c r="BK122" s="22" t="n"/>
      <c r="BL122" s="22" t="n"/>
      <c r="BM122" s="22" t="n"/>
      <c r="BN122" s="22" t="n"/>
      <c r="BO122" s="22" t="n"/>
      <c r="BP122" s="22" t="n"/>
      <c r="BQ122" s="31" t="n"/>
      <c r="BR122" s="31" t="n"/>
      <c r="BS122" s="31" t="n"/>
      <c r="BT122" s="31" t="n"/>
    </row>
    <row r="123" ht="15.75" customHeight="1" s="349">
      <c r="A123" s="22" t="n"/>
      <c r="B123" s="22" t="n"/>
      <c r="C123" s="22" t="n"/>
      <c r="D123" s="22" t="n"/>
      <c r="E123" s="22" t="n"/>
      <c r="F123" s="22"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c r="AA123" s="22" t="n"/>
      <c r="AB123" s="22" t="n"/>
      <c r="AC123" s="22" t="n"/>
      <c r="AD123" s="22" t="n"/>
      <c r="AE123" s="22" t="n"/>
      <c r="AF123" s="22" t="n"/>
      <c r="AG123" s="22" t="n"/>
      <c r="AH123" s="22" t="n"/>
      <c r="AI123" s="22" t="n"/>
      <c r="AJ123" s="22" t="n"/>
      <c r="AK123" s="22" t="n"/>
      <c r="AL123" s="22" t="n"/>
      <c r="AM123" s="22" t="n"/>
      <c r="AN123" s="22" t="n"/>
      <c r="AO123" s="22" t="n"/>
      <c r="AP123" s="22" t="n"/>
      <c r="AQ123" s="22" t="n"/>
      <c r="AR123" s="22" t="n"/>
      <c r="AS123" s="22" t="n"/>
      <c r="AT123" s="22" t="n"/>
      <c r="AU123" s="22" t="n"/>
      <c r="AV123" s="22" t="n"/>
      <c r="AW123" s="22" t="n"/>
      <c r="AX123" s="22" t="n"/>
      <c r="AY123" s="22" t="n"/>
      <c r="AZ123" s="22" t="n"/>
      <c r="BA123" s="22" t="n"/>
      <c r="BB123" s="22" t="n"/>
      <c r="BC123" s="22" t="n"/>
      <c r="BD123" s="22" t="n"/>
      <c r="BE123" s="22" t="n"/>
      <c r="BF123" s="22" t="n"/>
      <c r="BG123" s="22" t="n"/>
      <c r="BH123" s="22" t="n"/>
      <c r="BI123" s="22" t="n"/>
      <c r="BJ123" s="22" t="n"/>
      <c r="BK123" s="22" t="n"/>
      <c r="BL123" s="22" t="n"/>
      <c r="BM123" s="22" t="n"/>
      <c r="BN123" s="22" t="n"/>
      <c r="BO123" s="22" t="n"/>
      <c r="BP123" s="22" t="n"/>
      <c r="BQ123" s="31" t="n"/>
      <c r="BR123" s="31" t="n"/>
      <c r="BS123" s="31" t="n"/>
      <c r="BT123" s="31" t="n"/>
    </row>
    <row r="124" ht="15.75" customHeight="1" s="349">
      <c r="A124" s="22" t="n"/>
      <c r="B124" s="22" t="n"/>
      <c r="C124" s="22" t="n"/>
      <c r="D124" s="22" t="n"/>
      <c r="E124" s="22" t="n"/>
      <c r="F124" s="22"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c r="AA124" s="22" t="n"/>
      <c r="AB124" s="22" t="n"/>
      <c r="AC124" s="22" t="n"/>
      <c r="AD124" s="22" t="n"/>
      <c r="AE124" s="22" t="n"/>
      <c r="AF124" s="22" t="n"/>
      <c r="AG124" s="22" t="n"/>
      <c r="AH124" s="22" t="n"/>
      <c r="AI124" s="22" t="n"/>
      <c r="AJ124" s="22" t="n"/>
      <c r="AK124" s="22" t="n"/>
      <c r="AL124" s="22" t="n"/>
      <c r="AM124" s="22" t="n"/>
      <c r="AN124" s="22" t="n"/>
      <c r="AO124" s="22" t="n"/>
      <c r="AP124" s="22" t="n"/>
      <c r="AQ124" s="22" t="n"/>
      <c r="AR124" s="22" t="n"/>
      <c r="AS124" s="22" t="n"/>
      <c r="AT124" s="22" t="n"/>
      <c r="AU124" s="22" t="n"/>
      <c r="AV124" s="22" t="n"/>
      <c r="AW124" s="22" t="n"/>
      <c r="AX124" s="22" t="n"/>
      <c r="AY124" s="22" t="n"/>
      <c r="AZ124" s="22" t="n"/>
      <c r="BA124" s="22" t="n"/>
      <c r="BB124" s="22" t="n"/>
      <c r="BC124" s="22" t="n"/>
      <c r="BD124" s="22" t="n"/>
      <c r="BE124" s="22" t="n"/>
      <c r="BF124" s="22" t="n"/>
      <c r="BG124" s="22" t="n"/>
      <c r="BH124" s="22" t="n"/>
      <c r="BI124" s="22" t="n"/>
      <c r="BJ124" s="22" t="n"/>
      <c r="BK124" s="22" t="n"/>
      <c r="BL124" s="22" t="n"/>
      <c r="BM124" s="22" t="n"/>
      <c r="BN124" s="22" t="n"/>
      <c r="BO124" s="22" t="n"/>
      <c r="BP124" s="22" t="n"/>
      <c r="BQ124" s="31" t="n"/>
      <c r="BR124" s="31" t="n"/>
      <c r="BS124" s="31" t="n"/>
      <c r="BT124" s="31" t="n"/>
    </row>
    <row r="125" ht="15.75" customHeight="1" s="349">
      <c r="A125" s="22" t="n"/>
      <c r="B125" s="22" t="n"/>
      <c r="C125" s="22" t="n"/>
      <c r="D125" s="22" t="n"/>
      <c r="E125" s="22" t="n"/>
      <c r="F125" s="22"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c r="AA125" s="22" t="n"/>
      <c r="AB125" s="22" t="n"/>
      <c r="AC125" s="22" t="n"/>
      <c r="AD125" s="22" t="n"/>
      <c r="AE125" s="22" t="n"/>
      <c r="AF125" s="22" t="n"/>
      <c r="AG125" s="22" t="n"/>
      <c r="AH125" s="22" t="n"/>
      <c r="AI125" s="22" t="n"/>
      <c r="AJ125" s="22" t="n"/>
      <c r="AK125" s="22" t="n"/>
      <c r="AL125" s="22" t="n"/>
      <c r="AM125" s="22" t="n"/>
      <c r="AN125" s="22" t="n"/>
      <c r="AO125" s="22" t="n"/>
      <c r="AP125" s="22" t="n"/>
      <c r="AQ125" s="22" t="n"/>
      <c r="AR125" s="22" t="n"/>
      <c r="AS125" s="22" t="n"/>
      <c r="AT125" s="22" t="n"/>
      <c r="AU125" s="22" t="n"/>
      <c r="AV125" s="22" t="n"/>
      <c r="AW125" s="22" t="n"/>
      <c r="AX125" s="22" t="n"/>
      <c r="AY125" s="22" t="n"/>
      <c r="AZ125" s="22" t="n"/>
      <c r="BA125" s="22" t="n"/>
      <c r="BB125" s="22" t="n"/>
      <c r="BC125" s="22" t="n"/>
      <c r="BD125" s="22" t="n"/>
      <c r="BE125" s="22" t="n"/>
      <c r="BF125" s="22" t="n"/>
      <c r="BG125" s="22" t="n"/>
      <c r="BH125" s="22" t="n"/>
      <c r="BI125" s="22" t="n"/>
      <c r="BJ125" s="22" t="n"/>
      <c r="BK125" s="22" t="n"/>
      <c r="BL125" s="22" t="n"/>
      <c r="BM125" s="22" t="n"/>
      <c r="BN125" s="22" t="n"/>
      <c r="BO125" s="22" t="n"/>
      <c r="BP125" s="22" t="n"/>
      <c r="BQ125" s="31" t="n"/>
      <c r="BR125" s="31" t="n"/>
      <c r="BS125" s="31" t="n"/>
      <c r="BT125" s="31" t="n"/>
    </row>
    <row r="126" ht="15.75" customHeight="1" s="349">
      <c r="A126" s="22" t="n"/>
      <c r="B126" s="22" t="n"/>
      <c r="C126" s="22" t="n"/>
      <c r="D126" s="22" t="n"/>
      <c r="E126" s="22" t="n"/>
      <c r="F126" s="22"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c r="AA126" s="22" t="n"/>
      <c r="AB126" s="22" t="n"/>
      <c r="AC126" s="22" t="n"/>
      <c r="AD126" s="22" t="n"/>
      <c r="AE126" s="22" t="n"/>
      <c r="AF126" s="22" t="n"/>
      <c r="AG126" s="22" t="n"/>
      <c r="AH126" s="22" t="n"/>
      <c r="AI126" s="22" t="n"/>
      <c r="AJ126" s="22" t="n"/>
      <c r="AK126" s="22" t="n"/>
      <c r="AL126" s="22" t="n"/>
      <c r="AM126" s="22" t="n"/>
      <c r="AN126" s="22" t="n"/>
      <c r="AO126" s="22" t="n"/>
      <c r="AP126" s="22" t="n"/>
      <c r="AQ126" s="22" t="n"/>
      <c r="AR126" s="22" t="n"/>
      <c r="AS126" s="22" t="n"/>
      <c r="AT126" s="22" t="n"/>
      <c r="AU126" s="22" t="n"/>
      <c r="AV126" s="22" t="n"/>
      <c r="AW126" s="22" t="n"/>
      <c r="AX126" s="22" t="n"/>
      <c r="AY126" s="22" t="n"/>
      <c r="AZ126" s="22" t="n"/>
      <c r="BA126" s="22" t="n"/>
      <c r="BB126" s="22" t="n"/>
      <c r="BC126" s="22" t="n"/>
      <c r="BD126" s="22" t="n"/>
      <c r="BE126" s="22" t="n"/>
      <c r="BF126" s="22" t="n"/>
      <c r="BG126" s="22" t="n"/>
      <c r="BH126" s="22" t="n"/>
      <c r="BI126" s="22" t="n"/>
      <c r="BJ126" s="22" t="n"/>
      <c r="BK126" s="22" t="n"/>
      <c r="BL126" s="22" t="n"/>
      <c r="BM126" s="22" t="n"/>
      <c r="BN126" s="22" t="n"/>
      <c r="BO126" s="22" t="n"/>
      <c r="BP126" s="22" t="n"/>
      <c r="BQ126" s="31" t="n"/>
      <c r="BR126" s="31" t="n"/>
      <c r="BS126" s="31" t="n"/>
      <c r="BT126" s="31" t="n"/>
    </row>
    <row r="127" ht="15.75" customHeight="1" s="349">
      <c r="A127" s="22" t="n"/>
      <c r="B127" s="22" t="n"/>
      <c r="C127" s="22" t="n"/>
      <c r="D127" s="22" t="n"/>
      <c r="E127" s="22" t="n"/>
      <c r="F127" s="22"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c r="AA127" s="22" t="n"/>
      <c r="AB127" s="22" t="n"/>
      <c r="AC127" s="22" t="n"/>
      <c r="AD127" s="22" t="n"/>
      <c r="AE127" s="22" t="n"/>
      <c r="AF127" s="22" t="n"/>
      <c r="AG127" s="22" t="n"/>
      <c r="AH127" s="22" t="n"/>
      <c r="AI127" s="22" t="n"/>
      <c r="AJ127" s="22" t="n"/>
      <c r="AK127" s="22" t="n"/>
      <c r="AL127" s="22" t="n"/>
      <c r="AM127" s="22" t="n"/>
      <c r="AN127" s="22" t="n"/>
      <c r="AO127" s="22" t="n"/>
      <c r="AP127" s="22" t="n"/>
      <c r="AQ127" s="22" t="n"/>
      <c r="AR127" s="22" t="n"/>
      <c r="AS127" s="22" t="n"/>
      <c r="AT127" s="22" t="n"/>
      <c r="AU127" s="22" t="n"/>
      <c r="AV127" s="22" t="n"/>
      <c r="AW127" s="22" t="n"/>
      <c r="AX127" s="22" t="n"/>
      <c r="AY127" s="22" t="n"/>
      <c r="AZ127" s="22" t="n"/>
      <c r="BA127" s="22" t="n"/>
      <c r="BB127" s="22" t="n"/>
      <c r="BC127" s="22" t="n"/>
      <c r="BD127" s="22" t="n"/>
      <c r="BE127" s="22" t="n"/>
      <c r="BF127" s="22" t="n"/>
      <c r="BG127" s="22" t="n"/>
      <c r="BH127" s="22" t="n"/>
      <c r="BI127" s="22" t="n"/>
      <c r="BJ127" s="22" t="n"/>
      <c r="BK127" s="22" t="n"/>
      <c r="BL127" s="22" t="n"/>
      <c r="BM127" s="22" t="n"/>
      <c r="BN127" s="22" t="n"/>
      <c r="BO127" s="22" t="n"/>
      <c r="BP127" s="22" t="n"/>
      <c r="BQ127" s="31" t="n"/>
      <c r="BR127" s="31" t="n"/>
      <c r="BS127" s="31" t="n"/>
      <c r="BT127" s="31" t="n"/>
    </row>
    <row r="128" ht="15.75" customHeight="1" s="349">
      <c r="A128" s="22" t="n"/>
      <c r="B128" s="22" t="n"/>
      <c r="C128" s="22" t="n"/>
      <c r="D128" s="22" t="n"/>
      <c r="E128" s="22" t="n"/>
      <c r="F128" s="22"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c r="AA128" s="22" t="n"/>
      <c r="AB128" s="22" t="n"/>
      <c r="AC128" s="22" t="n"/>
      <c r="AD128" s="22" t="n"/>
      <c r="AE128" s="22" t="n"/>
      <c r="AF128" s="22" t="n"/>
      <c r="AG128" s="22" t="n"/>
      <c r="AH128" s="22" t="n"/>
      <c r="AI128" s="22" t="n"/>
      <c r="AJ128" s="22" t="n"/>
      <c r="AK128" s="22" t="n"/>
      <c r="AL128" s="22" t="n"/>
      <c r="AM128" s="22" t="n"/>
      <c r="AN128" s="22" t="n"/>
      <c r="AO128" s="22" t="n"/>
      <c r="AP128" s="22" t="n"/>
      <c r="AQ128" s="22" t="n"/>
      <c r="AR128" s="22" t="n"/>
      <c r="AS128" s="22" t="n"/>
      <c r="AT128" s="22" t="n"/>
      <c r="AU128" s="22" t="n"/>
      <c r="AV128" s="22" t="n"/>
      <c r="AW128" s="22" t="n"/>
      <c r="AX128" s="22" t="n"/>
      <c r="AY128" s="22" t="n"/>
      <c r="AZ128" s="22" t="n"/>
      <c r="BA128" s="22" t="n"/>
      <c r="BB128" s="22" t="n"/>
      <c r="BC128" s="22" t="n"/>
      <c r="BD128" s="22" t="n"/>
      <c r="BE128" s="22" t="n"/>
      <c r="BF128" s="22" t="n"/>
      <c r="BG128" s="22" t="n"/>
      <c r="BH128" s="22" t="n"/>
      <c r="BI128" s="22" t="n"/>
      <c r="BJ128" s="22" t="n"/>
      <c r="BK128" s="22" t="n"/>
      <c r="BL128" s="22" t="n"/>
      <c r="BM128" s="22" t="n"/>
      <c r="BN128" s="22" t="n"/>
      <c r="BO128" s="22" t="n"/>
      <c r="BP128" s="22" t="n"/>
      <c r="BQ128" s="31" t="n"/>
      <c r="BR128" s="31" t="n"/>
      <c r="BS128" s="31" t="n"/>
      <c r="BT128" s="31" t="n"/>
    </row>
    <row r="129" ht="15.75" customHeight="1" s="349">
      <c r="A129" s="22" t="n"/>
      <c r="B129" s="22" t="n"/>
      <c r="C129" s="22" t="n"/>
      <c r="D129" s="22" t="n"/>
      <c r="E129" s="22" t="n"/>
      <c r="F129" s="22"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c r="AA129" s="22" t="n"/>
      <c r="AB129" s="22" t="n"/>
      <c r="AC129" s="22" t="n"/>
      <c r="AD129" s="22" t="n"/>
      <c r="AE129" s="22" t="n"/>
      <c r="AF129" s="22" t="n"/>
      <c r="AG129" s="22" t="n"/>
      <c r="AH129" s="22" t="n"/>
      <c r="AI129" s="22" t="n"/>
      <c r="AJ129" s="22" t="n"/>
      <c r="AK129" s="22" t="n"/>
      <c r="AL129" s="22" t="n"/>
      <c r="AM129" s="22" t="n"/>
      <c r="AN129" s="22" t="n"/>
      <c r="AO129" s="22" t="n"/>
      <c r="AP129" s="22" t="n"/>
      <c r="AQ129" s="22" t="n"/>
      <c r="AR129" s="22" t="n"/>
      <c r="AS129" s="22" t="n"/>
      <c r="AT129" s="22" t="n"/>
      <c r="AU129" s="22" t="n"/>
      <c r="AV129" s="22" t="n"/>
      <c r="AW129" s="22" t="n"/>
      <c r="AX129" s="22" t="n"/>
      <c r="AY129" s="22" t="n"/>
      <c r="AZ129" s="22" t="n"/>
      <c r="BA129" s="22" t="n"/>
      <c r="BB129" s="22" t="n"/>
      <c r="BC129" s="22" t="n"/>
      <c r="BD129" s="22" t="n"/>
      <c r="BE129" s="22" t="n"/>
      <c r="BF129" s="22" t="n"/>
      <c r="BG129" s="22" t="n"/>
      <c r="BH129" s="22" t="n"/>
      <c r="BI129" s="22" t="n"/>
      <c r="BJ129" s="22" t="n"/>
      <c r="BK129" s="22" t="n"/>
      <c r="BL129" s="22" t="n"/>
      <c r="BM129" s="22" t="n"/>
      <c r="BN129" s="22" t="n"/>
      <c r="BO129" s="22" t="n"/>
      <c r="BP129" s="22" t="n"/>
      <c r="BQ129" s="31" t="n"/>
      <c r="BR129" s="31" t="n"/>
      <c r="BS129" s="31" t="n"/>
      <c r="BT129" s="31" t="n"/>
    </row>
    <row r="130" ht="15.75" customHeight="1" s="349">
      <c r="A130" s="22" t="n"/>
      <c r="B130" s="22" t="n"/>
      <c r="C130" s="22" t="n"/>
      <c r="D130" s="22" t="n"/>
      <c r="E130" s="22" t="n"/>
      <c r="F130" s="22"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c r="AA130" s="22" t="n"/>
      <c r="AB130" s="22" t="n"/>
      <c r="AC130" s="22" t="n"/>
      <c r="AD130" s="22" t="n"/>
      <c r="AE130" s="22" t="n"/>
      <c r="AF130" s="22" t="n"/>
      <c r="AG130" s="22" t="n"/>
      <c r="AH130" s="22" t="n"/>
      <c r="AI130" s="22" t="n"/>
      <c r="AJ130" s="22" t="n"/>
      <c r="AK130" s="22" t="n"/>
      <c r="AL130" s="22" t="n"/>
      <c r="AM130" s="22" t="n"/>
      <c r="AN130" s="22" t="n"/>
      <c r="AO130" s="22" t="n"/>
      <c r="AP130" s="22" t="n"/>
      <c r="AQ130" s="22" t="n"/>
      <c r="AR130" s="22" t="n"/>
      <c r="AS130" s="22" t="n"/>
      <c r="AT130" s="22" t="n"/>
      <c r="AU130" s="22" t="n"/>
      <c r="AV130" s="22" t="n"/>
      <c r="AW130" s="22" t="n"/>
      <c r="AX130" s="22" t="n"/>
      <c r="AY130" s="22" t="n"/>
      <c r="AZ130" s="22" t="n"/>
      <c r="BA130" s="22" t="n"/>
      <c r="BB130" s="22" t="n"/>
      <c r="BC130" s="22" t="n"/>
      <c r="BD130" s="22" t="n"/>
      <c r="BE130" s="22" t="n"/>
      <c r="BF130" s="22" t="n"/>
      <c r="BG130" s="22" t="n"/>
      <c r="BH130" s="22" t="n"/>
      <c r="BI130" s="22" t="n"/>
      <c r="BJ130" s="22" t="n"/>
      <c r="BK130" s="22" t="n"/>
      <c r="BL130" s="22" t="n"/>
      <c r="BM130" s="22" t="n"/>
      <c r="BN130" s="22" t="n"/>
      <c r="BO130" s="22" t="n"/>
      <c r="BP130" s="22" t="n"/>
      <c r="BQ130" s="31" t="n"/>
      <c r="BR130" s="31" t="n"/>
      <c r="BS130" s="31" t="n"/>
      <c r="BT130" s="31" t="n"/>
    </row>
    <row r="131" ht="15.75" customHeight="1" s="349">
      <c r="A131" s="22" t="n"/>
      <c r="B131" s="22" t="n"/>
      <c r="C131" s="22" t="n"/>
      <c r="D131" s="22" t="n"/>
      <c r="E131" s="22" t="n"/>
      <c r="F131" s="22"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c r="AA131" s="22" t="n"/>
      <c r="AB131" s="22" t="n"/>
      <c r="AC131" s="22" t="n"/>
      <c r="AD131" s="22" t="n"/>
      <c r="AE131" s="22" t="n"/>
      <c r="AF131" s="22" t="n"/>
      <c r="AG131" s="22" t="n"/>
      <c r="AH131" s="22" t="n"/>
      <c r="AI131" s="22" t="n"/>
      <c r="AJ131" s="22" t="n"/>
      <c r="AK131" s="22" t="n"/>
      <c r="AL131" s="22" t="n"/>
      <c r="AM131" s="22" t="n"/>
      <c r="AN131" s="22" t="n"/>
      <c r="AO131" s="22" t="n"/>
      <c r="AP131" s="22" t="n"/>
      <c r="AQ131" s="22" t="n"/>
      <c r="AR131" s="22" t="n"/>
      <c r="AS131" s="22" t="n"/>
      <c r="AT131" s="22" t="n"/>
      <c r="AU131" s="22" t="n"/>
      <c r="AV131" s="22" t="n"/>
      <c r="AW131" s="22" t="n"/>
      <c r="AX131" s="22" t="n"/>
      <c r="AY131" s="22" t="n"/>
      <c r="AZ131" s="22" t="n"/>
      <c r="BA131" s="22" t="n"/>
      <c r="BB131" s="22" t="n"/>
      <c r="BC131" s="22" t="n"/>
      <c r="BD131" s="22" t="n"/>
      <c r="BE131" s="22" t="n"/>
      <c r="BF131" s="22" t="n"/>
      <c r="BG131" s="22" t="n"/>
      <c r="BH131" s="22" t="n"/>
      <c r="BI131" s="22" t="n"/>
      <c r="BJ131" s="22" t="n"/>
      <c r="BK131" s="22" t="n"/>
      <c r="BL131" s="22" t="n"/>
      <c r="BM131" s="22" t="n"/>
      <c r="BN131" s="22" t="n"/>
      <c r="BO131" s="22" t="n"/>
      <c r="BP131" s="22" t="n"/>
      <c r="BQ131" s="31" t="n"/>
      <c r="BR131" s="31" t="n"/>
      <c r="BS131" s="31" t="n"/>
      <c r="BT131" s="31" t="n"/>
    </row>
    <row r="132" ht="15.75" customHeight="1" s="349">
      <c r="A132" s="22" t="n"/>
      <c r="B132" s="22" t="n"/>
      <c r="C132" s="22" t="n"/>
      <c r="D132" s="22" t="n"/>
      <c r="E132" s="22" t="n"/>
      <c r="F132" s="22"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c r="AA132" s="22" t="n"/>
      <c r="AB132" s="22" t="n"/>
      <c r="AC132" s="22" t="n"/>
      <c r="AD132" s="22" t="n"/>
      <c r="AE132" s="22" t="n"/>
      <c r="AF132" s="22" t="n"/>
      <c r="AG132" s="22" t="n"/>
      <c r="AH132" s="22" t="n"/>
      <c r="AI132" s="22" t="n"/>
      <c r="AJ132" s="22" t="n"/>
      <c r="AK132" s="22" t="n"/>
      <c r="AL132" s="22" t="n"/>
      <c r="AM132" s="22" t="n"/>
      <c r="AN132" s="22" t="n"/>
      <c r="AO132" s="22" t="n"/>
      <c r="AP132" s="22" t="n"/>
      <c r="AQ132" s="22" t="n"/>
      <c r="AR132" s="22" t="n"/>
      <c r="AS132" s="22" t="n"/>
      <c r="AT132" s="22" t="n"/>
      <c r="AU132" s="22" t="n"/>
      <c r="AV132" s="22" t="n"/>
      <c r="AW132" s="22" t="n"/>
      <c r="AX132" s="22" t="n"/>
      <c r="AY132" s="22" t="n"/>
      <c r="AZ132" s="22" t="n"/>
      <c r="BA132" s="22" t="n"/>
      <c r="BB132" s="22" t="n"/>
      <c r="BC132" s="22" t="n"/>
      <c r="BD132" s="22" t="n"/>
      <c r="BE132" s="22" t="n"/>
      <c r="BF132" s="22" t="n"/>
      <c r="BG132" s="22" t="n"/>
      <c r="BH132" s="22" t="n"/>
      <c r="BI132" s="22" t="n"/>
      <c r="BJ132" s="22" t="n"/>
      <c r="BK132" s="22" t="n"/>
      <c r="BL132" s="22" t="n"/>
      <c r="BM132" s="22" t="n"/>
      <c r="BN132" s="22" t="n"/>
      <c r="BO132" s="22" t="n"/>
      <c r="BP132" s="22" t="n"/>
      <c r="BQ132" s="31" t="n"/>
      <c r="BR132" s="31" t="n"/>
      <c r="BS132" s="31" t="n"/>
      <c r="BT132" s="31" t="n"/>
    </row>
    <row r="133" ht="15.75" customHeight="1" s="349">
      <c r="A133" s="22" t="n"/>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c r="AA133" s="22" t="n"/>
      <c r="AB133" s="22" t="n"/>
      <c r="AC133" s="22" t="n"/>
      <c r="AD133" s="22" t="n"/>
      <c r="AE133" s="22" t="n"/>
      <c r="AF133" s="22" t="n"/>
      <c r="AG133" s="22" t="n"/>
      <c r="AH133" s="22" t="n"/>
      <c r="AI133" s="22" t="n"/>
      <c r="AJ133" s="22" t="n"/>
      <c r="AK133" s="22" t="n"/>
      <c r="AL133" s="22" t="n"/>
      <c r="AM133" s="22" t="n"/>
      <c r="AN133" s="22" t="n"/>
      <c r="AO133" s="22" t="n"/>
      <c r="AP133" s="22" t="n"/>
      <c r="AQ133" s="22" t="n"/>
      <c r="AR133" s="22" t="n"/>
      <c r="AS133" s="22" t="n"/>
      <c r="AT133" s="22" t="n"/>
      <c r="AU133" s="22" t="n"/>
      <c r="AV133" s="22" t="n"/>
      <c r="AW133" s="22" t="n"/>
      <c r="AX133" s="22" t="n"/>
      <c r="AY133" s="22" t="n"/>
      <c r="AZ133" s="22" t="n"/>
      <c r="BA133" s="22" t="n"/>
      <c r="BB133" s="22" t="n"/>
      <c r="BC133" s="22" t="n"/>
      <c r="BD133" s="22" t="n"/>
      <c r="BE133" s="22" t="n"/>
      <c r="BF133" s="22" t="n"/>
      <c r="BG133" s="22" t="n"/>
      <c r="BH133" s="22" t="n"/>
      <c r="BI133" s="22" t="n"/>
      <c r="BJ133" s="22" t="n"/>
      <c r="BK133" s="22" t="n"/>
      <c r="BL133" s="22" t="n"/>
      <c r="BM133" s="22" t="n"/>
      <c r="BN133" s="22" t="n"/>
      <c r="BO133" s="22" t="n"/>
      <c r="BP133" s="22" t="n"/>
      <c r="BQ133" s="31" t="n"/>
      <c r="BR133" s="31" t="n"/>
      <c r="BS133" s="31" t="n"/>
      <c r="BT133" s="31" t="n"/>
    </row>
    <row r="134" ht="15.75" customHeight="1" s="349">
      <c r="A134" s="22" t="n"/>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c r="AA134" s="22" t="n"/>
      <c r="AB134" s="22" t="n"/>
      <c r="AC134" s="22" t="n"/>
      <c r="AD134" s="22" t="n"/>
      <c r="AE134" s="22" t="n"/>
      <c r="AF134" s="22" t="n"/>
      <c r="AG134" s="22" t="n"/>
      <c r="AH134" s="22" t="n"/>
      <c r="AI134" s="22" t="n"/>
      <c r="AJ134" s="22" t="n"/>
      <c r="AK134" s="22" t="n"/>
      <c r="AL134" s="22" t="n"/>
      <c r="AM134" s="22" t="n"/>
      <c r="AN134" s="22" t="n"/>
      <c r="AO134" s="22" t="n"/>
      <c r="AP134" s="22" t="n"/>
      <c r="AQ134" s="22" t="n"/>
      <c r="AR134" s="22" t="n"/>
      <c r="AS134" s="22" t="n"/>
      <c r="AT134" s="22" t="n"/>
      <c r="AU134" s="22" t="n"/>
      <c r="AV134" s="22" t="n"/>
      <c r="AW134" s="22" t="n"/>
      <c r="AX134" s="22" t="n"/>
      <c r="AY134" s="22" t="n"/>
      <c r="AZ134" s="22" t="n"/>
      <c r="BA134" s="22" t="n"/>
      <c r="BB134" s="22" t="n"/>
      <c r="BC134" s="22" t="n"/>
      <c r="BD134" s="22" t="n"/>
      <c r="BE134" s="22" t="n"/>
      <c r="BF134" s="22" t="n"/>
      <c r="BG134" s="22" t="n"/>
      <c r="BH134" s="22" t="n"/>
      <c r="BI134" s="22" t="n"/>
      <c r="BJ134" s="22" t="n"/>
      <c r="BK134" s="22" t="n"/>
      <c r="BL134" s="22" t="n"/>
      <c r="BM134" s="22" t="n"/>
      <c r="BN134" s="22" t="n"/>
      <c r="BO134" s="22" t="n"/>
      <c r="BP134" s="22" t="n"/>
      <c r="BQ134" s="31" t="n"/>
      <c r="BR134" s="31" t="n"/>
      <c r="BS134" s="31" t="n"/>
      <c r="BT134" s="31" t="n"/>
    </row>
    <row r="135" ht="15.75" customHeight="1" s="349">
      <c r="A135" s="22" t="n"/>
      <c r="B135" s="22" t="n"/>
      <c r="C135" s="22" t="n"/>
      <c r="D135" s="22" t="n"/>
      <c r="E135" s="22" t="n"/>
      <c r="F135" s="22"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c r="AA135" s="22" t="n"/>
      <c r="AB135" s="22" t="n"/>
      <c r="AC135" s="22" t="n"/>
      <c r="AD135" s="22" t="n"/>
      <c r="AE135" s="22" t="n"/>
      <c r="AF135" s="22" t="n"/>
      <c r="AG135" s="22" t="n"/>
      <c r="AH135" s="22" t="n"/>
      <c r="AI135" s="22" t="n"/>
      <c r="AJ135" s="22" t="n"/>
      <c r="AK135" s="22" t="n"/>
      <c r="AL135" s="22" t="n"/>
      <c r="AM135" s="22" t="n"/>
      <c r="AN135" s="22" t="n"/>
      <c r="AO135" s="22" t="n"/>
      <c r="AP135" s="22" t="n"/>
      <c r="AQ135" s="22" t="n"/>
      <c r="AR135" s="22" t="n"/>
      <c r="AS135" s="22" t="n"/>
      <c r="AT135" s="22" t="n"/>
      <c r="AU135" s="22" t="n"/>
      <c r="AV135" s="22" t="n"/>
      <c r="AW135" s="22" t="n"/>
      <c r="AX135" s="22" t="n"/>
      <c r="AY135" s="22" t="n"/>
      <c r="AZ135" s="22" t="n"/>
      <c r="BA135" s="22" t="n"/>
      <c r="BB135" s="22" t="n"/>
      <c r="BC135" s="22" t="n"/>
      <c r="BD135" s="22" t="n"/>
      <c r="BE135" s="22" t="n"/>
      <c r="BF135" s="22" t="n"/>
      <c r="BG135" s="22" t="n"/>
      <c r="BH135" s="22" t="n"/>
      <c r="BI135" s="22" t="n"/>
      <c r="BJ135" s="22" t="n"/>
      <c r="BK135" s="22" t="n"/>
      <c r="BL135" s="22" t="n"/>
      <c r="BM135" s="22" t="n"/>
      <c r="BN135" s="22" t="n"/>
      <c r="BO135" s="22" t="n"/>
      <c r="BP135" s="22" t="n"/>
      <c r="BQ135" s="31" t="n"/>
      <c r="BR135" s="31" t="n"/>
      <c r="BS135" s="31" t="n"/>
      <c r="BT135" s="31" t="n"/>
    </row>
    <row r="136" ht="15.75" customHeight="1" s="349">
      <c r="A136" s="22" t="n"/>
      <c r="B136" s="22" t="n"/>
      <c r="C136" s="22" t="n"/>
      <c r="D136" s="22" t="n"/>
      <c r="E136" s="22" t="n"/>
      <c r="F136" s="22"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c r="AA136" s="22" t="n"/>
      <c r="AB136" s="22" t="n"/>
      <c r="AC136" s="22" t="n"/>
      <c r="AD136" s="22" t="n"/>
      <c r="AE136" s="22" t="n"/>
      <c r="AF136" s="22" t="n"/>
      <c r="AG136" s="22" t="n"/>
      <c r="AH136" s="22" t="n"/>
      <c r="AI136" s="22" t="n"/>
      <c r="AJ136" s="22" t="n"/>
      <c r="AK136" s="22" t="n"/>
      <c r="AL136" s="22" t="n"/>
      <c r="AM136" s="22" t="n"/>
      <c r="AN136" s="22" t="n"/>
      <c r="AO136" s="22" t="n"/>
      <c r="AP136" s="22" t="n"/>
      <c r="AQ136" s="22" t="n"/>
      <c r="AR136" s="22" t="n"/>
      <c r="AS136" s="22" t="n"/>
      <c r="AT136" s="22" t="n"/>
      <c r="AU136" s="22" t="n"/>
      <c r="AV136" s="22" t="n"/>
      <c r="AW136" s="22" t="n"/>
      <c r="AX136" s="22" t="n"/>
      <c r="AY136" s="22" t="n"/>
      <c r="AZ136" s="22" t="n"/>
      <c r="BA136" s="22" t="n"/>
      <c r="BB136" s="22" t="n"/>
      <c r="BC136" s="22" t="n"/>
      <c r="BD136" s="22" t="n"/>
      <c r="BE136" s="22" t="n"/>
      <c r="BF136" s="22" t="n"/>
      <c r="BG136" s="22" t="n"/>
      <c r="BH136" s="22" t="n"/>
      <c r="BI136" s="22" t="n"/>
      <c r="BJ136" s="22" t="n"/>
      <c r="BK136" s="22" t="n"/>
      <c r="BL136" s="22" t="n"/>
      <c r="BM136" s="22" t="n"/>
      <c r="BN136" s="22" t="n"/>
      <c r="BO136" s="22" t="n"/>
      <c r="BP136" s="22" t="n"/>
      <c r="BQ136" s="31" t="n"/>
      <c r="BR136" s="31" t="n"/>
      <c r="BS136" s="31" t="n"/>
      <c r="BT136" s="31" t="n"/>
    </row>
    <row r="137" ht="15.75" customHeight="1" s="349">
      <c r="A137" s="22" t="n"/>
      <c r="B137" s="22" t="n"/>
      <c r="C137" s="22" t="n"/>
      <c r="D137" s="22" t="n"/>
      <c r="E137" s="22" t="n"/>
      <c r="F137" s="22"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c r="AA137" s="22" t="n"/>
      <c r="AB137" s="22" t="n"/>
      <c r="AC137" s="22" t="n"/>
      <c r="AD137" s="22" t="n"/>
      <c r="AE137" s="22" t="n"/>
      <c r="AF137" s="22" t="n"/>
      <c r="AG137" s="22" t="n"/>
      <c r="AH137" s="22" t="n"/>
      <c r="AI137" s="22" t="n"/>
      <c r="AJ137" s="22" t="n"/>
      <c r="AK137" s="22" t="n"/>
      <c r="AL137" s="22" t="n"/>
      <c r="AM137" s="22" t="n"/>
      <c r="AN137" s="22" t="n"/>
      <c r="AO137" s="22" t="n"/>
      <c r="AP137" s="22" t="n"/>
      <c r="AQ137" s="22" t="n"/>
      <c r="AR137" s="22" t="n"/>
      <c r="AS137" s="22" t="n"/>
      <c r="AT137" s="22" t="n"/>
      <c r="AU137" s="22" t="n"/>
      <c r="AV137" s="22" t="n"/>
      <c r="AW137" s="22" t="n"/>
      <c r="AX137" s="22" t="n"/>
      <c r="AY137" s="22" t="n"/>
      <c r="AZ137" s="22" t="n"/>
      <c r="BA137" s="22" t="n"/>
      <c r="BB137" s="22" t="n"/>
      <c r="BC137" s="22" t="n"/>
      <c r="BD137" s="22" t="n"/>
      <c r="BE137" s="22" t="n"/>
      <c r="BF137" s="22" t="n"/>
      <c r="BG137" s="22" t="n"/>
      <c r="BH137" s="22" t="n"/>
      <c r="BI137" s="22" t="n"/>
      <c r="BJ137" s="22" t="n"/>
      <c r="BK137" s="22" t="n"/>
      <c r="BL137" s="22" t="n"/>
      <c r="BM137" s="22" t="n"/>
      <c r="BN137" s="22" t="n"/>
      <c r="BO137" s="22" t="n"/>
      <c r="BP137" s="22" t="n"/>
      <c r="BQ137" s="31" t="n"/>
      <c r="BR137" s="31" t="n"/>
      <c r="BS137" s="31" t="n"/>
      <c r="BT137" s="31" t="n"/>
    </row>
    <row r="138" ht="15.75" customHeight="1" s="349">
      <c r="A138" s="22" t="n"/>
      <c r="B138" s="22" t="n"/>
      <c r="C138" s="22" t="n"/>
      <c r="D138" s="22" t="n"/>
      <c r="E138" s="22" t="n"/>
      <c r="F138" s="22"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c r="AA138" s="22" t="n"/>
      <c r="AB138" s="22" t="n"/>
      <c r="AC138" s="22" t="n"/>
      <c r="AD138" s="22" t="n"/>
      <c r="AE138" s="22" t="n"/>
      <c r="AF138" s="22" t="n"/>
      <c r="AG138" s="22" t="n"/>
      <c r="AH138" s="22" t="n"/>
      <c r="AI138" s="22" t="n"/>
      <c r="AJ138" s="22" t="n"/>
      <c r="AK138" s="22" t="n"/>
      <c r="AL138" s="22" t="n"/>
      <c r="AM138" s="22" t="n"/>
      <c r="AN138" s="22" t="n"/>
      <c r="AO138" s="22" t="n"/>
      <c r="AP138" s="22" t="n"/>
      <c r="AQ138" s="22" t="n"/>
      <c r="AR138" s="22" t="n"/>
      <c r="AS138" s="22" t="n"/>
      <c r="AT138" s="22" t="n"/>
      <c r="AU138" s="22" t="n"/>
      <c r="AV138" s="22" t="n"/>
      <c r="AW138" s="22" t="n"/>
      <c r="AX138" s="22" t="n"/>
      <c r="AY138" s="22" t="n"/>
      <c r="AZ138" s="22" t="n"/>
      <c r="BA138" s="22" t="n"/>
      <c r="BB138" s="22" t="n"/>
      <c r="BC138" s="22" t="n"/>
      <c r="BD138" s="22" t="n"/>
      <c r="BE138" s="22" t="n"/>
      <c r="BF138" s="22" t="n"/>
      <c r="BG138" s="22" t="n"/>
      <c r="BH138" s="22" t="n"/>
      <c r="BI138" s="22" t="n"/>
      <c r="BJ138" s="22" t="n"/>
      <c r="BK138" s="22" t="n"/>
      <c r="BL138" s="22" t="n"/>
      <c r="BM138" s="22" t="n"/>
      <c r="BN138" s="22" t="n"/>
      <c r="BO138" s="22" t="n"/>
      <c r="BP138" s="22" t="n"/>
      <c r="BQ138" s="31" t="n"/>
      <c r="BR138" s="31" t="n"/>
      <c r="BS138" s="31" t="n"/>
      <c r="BT138" s="31" t="n"/>
    </row>
    <row r="139" ht="15.75" customHeight="1" s="349">
      <c r="A139" s="22" t="n"/>
      <c r="B139" s="22" t="n"/>
      <c r="C139" s="22" t="n"/>
      <c r="D139" s="22" t="n"/>
      <c r="E139" s="22" t="n"/>
      <c r="F139" s="22"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c r="AA139" s="22" t="n"/>
      <c r="AB139" s="22" t="n"/>
      <c r="AC139" s="22" t="n"/>
      <c r="AD139" s="22" t="n"/>
      <c r="AE139" s="22" t="n"/>
      <c r="AF139" s="22" t="n"/>
      <c r="AG139" s="22" t="n"/>
      <c r="AH139" s="22" t="n"/>
      <c r="AI139" s="22" t="n"/>
      <c r="AJ139" s="22" t="n"/>
      <c r="AK139" s="22" t="n"/>
      <c r="AL139" s="22" t="n"/>
      <c r="AM139" s="22" t="n"/>
      <c r="AN139" s="22" t="n"/>
      <c r="AO139" s="22" t="n"/>
      <c r="AP139" s="22" t="n"/>
      <c r="AQ139" s="22" t="n"/>
      <c r="AR139" s="22" t="n"/>
      <c r="AS139" s="22" t="n"/>
      <c r="AT139" s="22" t="n"/>
      <c r="AU139" s="22" t="n"/>
      <c r="AV139" s="22" t="n"/>
      <c r="AW139" s="22" t="n"/>
      <c r="AX139" s="22" t="n"/>
      <c r="AY139" s="22" t="n"/>
      <c r="AZ139" s="22" t="n"/>
      <c r="BA139" s="22" t="n"/>
      <c r="BB139" s="22" t="n"/>
      <c r="BC139" s="22" t="n"/>
      <c r="BD139" s="22" t="n"/>
      <c r="BE139" s="22" t="n"/>
      <c r="BF139" s="22" t="n"/>
      <c r="BG139" s="22" t="n"/>
      <c r="BH139" s="22" t="n"/>
      <c r="BI139" s="22" t="n"/>
      <c r="BJ139" s="22" t="n"/>
      <c r="BK139" s="22" t="n"/>
      <c r="BL139" s="22" t="n"/>
      <c r="BM139" s="22" t="n"/>
      <c r="BN139" s="22" t="n"/>
      <c r="BO139" s="22" t="n"/>
      <c r="BP139" s="22" t="n"/>
      <c r="BQ139" s="31" t="n"/>
      <c r="BR139" s="31" t="n"/>
      <c r="BS139" s="31" t="n"/>
      <c r="BT139" s="31" t="n"/>
    </row>
    <row r="140" ht="15.75" customHeight="1" s="349">
      <c r="A140" s="22" t="n"/>
      <c r="B140" s="22" t="n"/>
      <c r="C140" s="22" t="n"/>
      <c r="D140" s="22" t="n"/>
      <c r="E140" s="22" t="n"/>
      <c r="F140" s="22"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c r="AA140" s="22" t="n"/>
      <c r="AB140" s="22" t="n"/>
      <c r="AC140" s="22" t="n"/>
      <c r="AD140" s="22" t="n"/>
      <c r="AE140" s="22" t="n"/>
      <c r="AF140" s="22" t="n"/>
      <c r="AG140" s="22" t="n"/>
      <c r="AH140" s="22" t="n"/>
      <c r="AI140" s="22" t="n"/>
      <c r="AJ140" s="22" t="n"/>
      <c r="AK140" s="22" t="n"/>
      <c r="AL140" s="22" t="n"/>
      <c r="AM140" s="22" t="n"/>
      <c r="AN140" s="22" t="n"/>
      <c r="AO140" s="22" t="n"/>
      <c r="AP140" s="22" t="n"/>
      <c r="AQ140" s="22" t="n"/>
      <c r="AR140" s="22" t="n"/>
      <c r="AS140" s="22" t="n"/>
      <c r="AT140" s="22" t="n"/>
      <c r="AU140" s="22" t="n"/>
      <c r="AV140" s="22" t="n"/>
      <c r="AW140" s="22" t="n"/>
      <c r="AX140" s="22" t="n"/>
      <c r="AY140" s="22" t="n"/>
      <c r="AZ140" s="22" t="n"/>
      <c r="BA140" s="22" t="n"/>
      <c r="BB140" s="22" t="n"/>
      <c r="BC140" s="22" t="n"/>
      <c r="BD140" s="22" t="n"/>
      <c r="BE140" s="22" t="n"/>
      <c r="BF140" s="22" t="n"/>
      <c r="BG140" s="22" t="n"/>
      <c r="BH140" s="22" t="n"/>
      <c r="BI140" s="22" t="n"/>
      <c r="BJ140" s="22" t="n"/>
      <c r="BK140" s="22" t="n"/>
      <c r="BL140" s="22" t="n"/>
      <c r="BM140" s="22" t="n"/>
      <c r="BN140" s="22" t="n"/>
      <c r="BO140" s="22" t="n"/>
      <c r="BP140" s="22" t="n"/>
      <c r="BQ140" s="31" t="n"/>
      <c r="BR140" s="31" t="n"/>
      <c r="BS140" s="31" t="n"/>
      <c r="BT140" s="31" t="n"/>
    </row>
    <row r="141" ht="15.75" customHeight="1" s="349">
      <c r="A141" s="22" t="n"/>
      <c r="B141" s="22" t="n"/>
      <c r="C141" s="22" t="n"/>
      <c r="D141" s="22" t="n"/>
      <c r="E141" s="22" t="n"/>
      <c r="F141" s="22"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c r="AA141" s="22" t="n"/>
      <c r="AB141" s="22" t="n"/>
      <c r="AC141" s="22" t="n"/>
      <c r="AD141" s="22" t="n"/>
      <c r="AE141" s="22" t="n"/>
      <c r="AF141" s="22" t="n"/>
      <c r="AG141" s="22" t="n"/>
      <c r="AH141" s="22" t="n"/>
      <c r="AI141" s="22" t="n"/>
      <c r="AJ141" s="22" t="n"/>
      <c r="AK141" s="22" t="n"/>
      <c r="AL141" s="22" t="n"/>
      <c r="AM141" s="22" t="n"/>
      <c r="AN141" s="22" t="n"/>
      <c r="AO141" s="22" t="n"/>
      <c r="AP141" s="22" t="n"/>
      <c r="AQ141" s="22" t="n"/>
      <c r="AR141" s="22" t="n"/>
      <c r="AS141" s="22" t="n"/>
      <c r="AT141" s="22" t="n"/>
      <c r="AU141" s="22" t="n"/>
      <c r="AV141" s="22" t="n"/>
      <c r="AW141" s="22" t="n"/>
      <c r="AX141" s="22" t="n"/>
      <c r="AY141" s="22" t="n"/>
      <c r="AZ141" s="22" t="n"/>
      <c r="BA141" s="22" t="n"/>
      <c r="BB141" s="22" t="n"/>
      <c r="BC141" s="22" t="n"/>
      <c r="BD141" s="22" t="n"/>
      <c r="BE141" s="22" t="n"/>
      <c r="BF141" s="22" t="n"/>
      <c r="BG141" s="22" t="n"/>
      <c r="BH141" s="22" t="n"/>
      <c r="BI141" s="22" t="n"/>
      <c r="BJ141" s="22" t="n"/>
      <c r="BK141" s="22" t="n"/>
      <c r="BL141" s="22" t="n"/>
      <c r="BM141" s="22" t="n"/>
      <c r="BN141" s="22" t="n"/>
      <c r="BO141" s="22" t="n"/>
      <c r="BP141" s="22" t="n"/>
      <c r="BQ141" s="31" t="n"/>
      <c r="BR141" s="31" t="n"/>
      <c r="BS141" s="31" t="n"/>
      <c r="BT141" s="31" t="n"/>
    </row>
    <row r="142" ht="15.75" customHeight="1" s="349">
      <c r="A142" s="22" t="n"/>
      <c r="B142" s="22" t="n"/>
      <c r="C142" s="22" t="n"/>
      <c r="D142" s="22" t="n"/>
      <c r="E142" s="22" t="n"/>
      <c r="F142" s="22"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c r="AA142" s="22" t="n"/>
      <c r="AB142" s="22" t="n"/>
      <c r="AC142" s="22" t="n"/>
      <c r="AD142" s="22" t="n"/>
      <c r="AE142" s="22" t="n"/>
      <c r="AF142" s="22" t="n"/>
      <c r="AG142" s="22" t="n"/>
      <c r="AH142" s="22" t="n"/>
      <c r="AI142" s="22" t="n"/>
      <c r="AJ142" s="22" t="n"/>
      <c r="AK142" s="22" t="n"/>
      <c r="AL142" s="22" t="n"/>
      <c r="AM142" s="22" t="n"/>
      <c r="AN142" s="22" t="n"/>
      <c r="AO142" s="22" t="n"/>
      <c r="AP142" s="22" t="n"/>
      <c r="AQ142" s="22" t="n"/>
      <c r="AR142" s="22" t="n"/>
      <c r="AS142" s="22" t="n"/>
      <c r="AT142" s="22" t="n"/>
      <c r="AU142" s="22" t="n"/>
      <c r="AV142" s="22" t="n"/>
      <c r="AW142" s="22" t="n"/>
      <c r="AX142" s="22" t="n"/>
      <c r="AY142" s="22" t="n"/>
      <c r="AZ142" s="22" t="n"/>
      <c r="BA142" s="22" t="n"/>
      <c r="BB142" s="22" t="n"/>
      <c r="BC142" s="22" t="n"/>
      <c r="BD142" s="22" t="n"/>
      <c r="BE142" s="22" t="n"/>
      <c r="BF142" s="22" t="n"/>
      <c r="BG142" s="22" t="n"/>
      <c r="BH142" s="22" t="n"/>
      <c r="BI142" s="22" t="n"/>
      <c r="BJ142" s="22" t="n"/>
      <c r="BK142" s="22" t="n"/>
      <c r="BL142" s="22" t="n"/>
      <c r="BM142" s="22" t="n"/>
      <c r="BN142" s="22" t="n"/>
      <c r="BO142" s="22" t="n"/>
      <c r="BP142" s="22" t="n"/>
      <c r="BQ142" s="31" t="n"/>
      <c r="BR142" s="31" t="n"/>
      <c r="BS142" s="31" t="n"/>
      <c r="BT142" s="31" t="n"/>
    </row>
    <row r="143" ht="15.75" customHeight="1" s="349">
      <c r="A143" s="22" t="n"/>
      <c r="B143" s="22" t="n"/>
      <c r="C143" s="22" t="n"/>
      <c r="D143" s="22" t="n"/>
      <c r="E143" s="22" t="n"/>
      <c r="F143" s="22"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c r="AA143" s="22" t="n"/>
      <c r="AB143" s="22" t="n"/>
      <c r="AC143" s="22" t="n"/>
      <c r="AD143" s="22" t="n"/>
      <c r="AE143" s="22" t="n"/>
      <c r="AF143" s="22" t="n"/>
      <c r="AG143" s="22" t="n"/>
      <c r="AH143" s="22" t="n"/>
      <c r="AI143" s="22" t="n"/>
      <c r="AJ143" s="22" t="n"/>
      <c r="AK143" s="22" t="n"/>
      <c r="AL143" s="22" t="n"/>
      <c r="AM143" s="22" t="n"/>
      <c r="AN143" s="22" t="n"/>
      <c r="AO143" s="22" t="n"/>
      <c r="AP143" s="22" t="n"/>
      <c r="AQ143" s="22" t="n"/>
      <c r="AR143" s="22" t="n"/>
      <c r="AS143" s="22" t="n"/>
      <c r="AT143" s="22" t="n"/>
      <c r="AU143" s="22" t="n"/>
      <c r="AV143" s="22" t="n"/>
      <c r="AW143" s="22" t="n"/>
      <c r="AX143" s="22" t="n"/>
      <c r="AY143" s="22" t="n"/>
      <c r="AZ143" s="22" t="n"/>
      <c r="BA143" s="22" t="n"/>
      <c r="BB143" s="22" t="n"/>
      <c r="BC143" s="22" t="n"/>
      <c r="BD143" s="22" t="n"/>
      <c r="BE143" s="22" t="n"/>
      <c r="BF143" s="22" t="n"/>
      <c r="BG143" s="22" t="n"/>
      <c r="BH143" s="22" t="n"/>
      <c r="BI143" s="22" t="n"/>
      <c r="BJ143" s="22" t="n"/>
      <c r="BK143" s="22" t="n"/>
      <c r="BL143" s="22" t="n"/>
      <c r="BM143" s="22" t="n"/>
      <c r="BN143" s="22" t="n"/>
      <c r="BO143" s="22" t="n"/>
      <c r="BP143" s="22" t="n"/>
      <c r="BQ143" s="31" t="n"/>
      <c r="BR143" s="31" t="n"/>
      <c r="BS143" s="31" t="n"/>
      <c r="BT143" s="31" t="n"/>
    </row>
    <row r="144" ht="15.75" customHeight="1" s="349">
      <c r="A144" s="22" t="n"/>
      <c r="B144" s="22" t="n"/>
      <c r="C144" s="22" t="n"/>
      <c r="D144" s="22" t="n"/>
      <c r="E144" s="22" t="n"/>
      <c r="F144" s="22"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c r="AA144" s="22" t="n"/>
      <c r="AB144" s="22" t="n"/>
      <c r="AC144" s="22" t="n"/>
      <c r="AD144" s="22" t="n"/>
      <c r="AE144" s="22" t="n"/>
      <c r="AF144" s="22" t="n"/>
      <c r="AG144" s="22" t="n"/>
      <c r="AH144" s="22" t="n"/>
      <c r="AI144" s="22" t="n"/>
      <c r="AJ144" s="22" t="n"/>
      <c r="AK144" s="22" t="n"/>
      <c r="AL144" s="22" t="n"/>
      <c r="AM144" s="22" t="n"/>
      <c r="AN144" s="22" t="n"/>
      <c r="AO144" s="22" t="n"/>
      <c r="AP144" s="22" t="n"/>
      <c r="AQ144" s="22" t="n"/>
      <c r="AR144" s="22" t="n"/>
      <c r="AS144" s="22" t="n"/>
      <c r="AT144" s="22" t="n"/>
      <c r="AU144" s="22" t="n"/>
      <c r="AV144" s="22" t="n"/>
      <c r="AW144" s="22" t="n"/>
      <c r="AX144" s="22" t="n"/>
      <c r="AY144" s="22" t="n"/>
      <c r="AZ144" s="22" t="n"/>
      <c r="BA144" s="22" t="n"/>
      <c r="BB144" s="22" t="n"/>
      <c r="BC144" s="22" t="n"/>
      <c r="BD144" s="22" t="n"/>
      <c r="BE144" s="22" t="n"/>
      <c r="BF144" s="22" t="n"/>
      <c r="BG144" s="22" t="n"/>
      <c r="BH144" s="22" t="n"/>
      <c r="BI144" s="22" t="n"/>
      <c r="BJ144" s="22" t="n"/>
      <c r="BK144" s="22" t="n"/>
      <c r="BL144" s="22" t="n"/>
      <c r="BM144" s="22" t="n"/>
      <c r="BN144" s="22" t="n"/>
      <c r="BO144" s="22" t="n"/>
      <c r="BP144" s="22" t="n"/>
      <c r="BQ144" s="31" t="n"/>
      <c r="BR144" s="31" t="n"/>
      <c r="BS144" s="31" t="n"/>
      <c r="BT144" s="31" t="n"/>
    </row>
    <row r="145" ht="15.75" customHeight="1" s="349">
      <c r="A145" s="22" t="n"/>
      <c r="B145" s="22" t="n"/>
      <c r="C145" s="22" t="n"/>
      <c r="D145" s="22" t="n"/>
      <c r="E145" s="22" t="n"/>
      <c r="F145" s="22"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c r="AA145" s="22" t="n"/>
      <c r="AB145" s="22" t="n"/>
      <c r="AC145" s="22" t="n"/>
      <c r="AD145" s="22" t="n"/>
      <c r="AE145" s="22" t="n"/>
      <c r="AF145" s="22" t="n"/>
      <c r="AG145" s="22" t="n"/>
      <c r="AH145" s="22" t="n"/>
      <c r="AI145" s="22" t="n"/>
      <c r="AJ145" s="22" t="n"/>
      <c r="AK145" s="22" t="n"/>
      <c r="AL145" s="22" t="n"/>
      <c r="AM145" s="22" t="n"/>
      <c r="AN145" s="22" t="n"/>
      <c r="AO145" s="22" t="n"/>
      <c r="AP145" s="22" t="n"/>
      <c r="AQ145" s="22" t="n"/>
      <c r="AR145" s="22" t="n"/>
      <c r="AS145" s="22" t="n"/>
      <c r="AT145" s="22" t="n"/>
      <c r="AU145" s="22" t="n"/>
      <c r="AV145" s="22" t="n"/>
      <c r="AW145" s="22" t="n"/>
      <c r="AX145" s="22" t="n"/>
      <c r="AY145" s="22" t="n"/>
      <c r="AZ145" s="22" t="n"/>
      <c r="BA145" s="22" t="n"/>
      <c r="BB145" s="22" t="n"/>
      <c r="BC145" s="22" t="n"/>
      <c r="BD145" s="22" t="n"/>
      <c r="BE145" s="22" t="n"/>
      <c r="BF145" s="22" t="n"/>
      <c r="BG145" s="22" t="n"/>
      <c r="BH145" s="22" t="n"/>
      <c r="BI145" s="22" t="n"/>
      <c r="BJ145" s="22" t="n"/>
      <c r="BK145" s="22" t="n"/>
      <c r="BL145" s="22" t="n"/>
      <c r="BM145" s="22" t="n"/>
      <c r="BN145" s="22" t="n"/>
      <c r="BO145" s="22" t="n"/>
      <c r="BP145" s="22" t="n"/>
      <c r="BQ145" s="31" t="n"/>
      <c r="BR145" s="31" t="n"/>
      <c r="BS145" s="31" t="n"/>
      <c r="BT145" s="31" t="n"/>
    </row>
    <row r="146" ht="15.75" customHeight="1" s="349">
      <c r="A146" s="22" t="n"/>
      <c r="B146" s="22" t="n"/>
      <c r="C146" s="22" t="n"/>
      <c r="D146" s="22" t="n"/>
      <c r="E146" s="22" t="n"/>
      <c r="F146" s="22"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c r="AA146" s="22" t="n"/>
      <c r="AB146" s="22" t="n"/>
      <c r="AC146" s="22" t="n"/>
      <c r="AD146" s="22" t="n"/>
      <c r="AE146" s="22" t="n"/>
      <c r="AF146" s="22" t="n"/>
      <c r="AG146" s="22" t="n"/>
      <c r="AH146" s="22" t="n"/>
      <c r="AI146" s="22" t="n"/>
      <c r="AJ146" s="22" t="n"/>
      <c r="AK146" s="22" t="n"/>
      <c r="AL146" s="22" t="n"/>
      <c r="AM146" s="22" t="n"/>
      <c r="AN146" s="22" t="n"/>
      <c r="AO146" s="22" t="n"/>
      <c r="AP146" s="22" t="n"/>
      <c r="AQ146" s="22" t="n"/>
      <c r="AR146" s="22" t="n"/>
      <c r="AS146" s="22" t="n"/>
      <c r="AT146" s="22" t="n"/>
      <c r="AU146" s="22" t="n"/>
      <c r="AV146" s="22" t="n"/>
      <c r="AW146" s="22" t="n"/>
      <c r="AX146" s="22" t="n"/>
      <c r="AY146" s="22" t="n"/>
      <c r="AZ146" s="22" t="n"/>
      <c r="BA146" s="22" t="n"/>
      <c r="BB146" s="22" t="n"/>
      <c r="BC146" s="22" t="n"/>
      <c r="BD146" s="22" t="n"/>
      <c r="BE146" s="22" t="n"/>
      <c r="BF146" s="22" t="n"/>
      <c r="BG146" s="22" t="n"/>
      <c r="BH146" s="22" t="n"/>
      <c r="BI146" s="22" t="n"/>
      <c r="BJ146" s="22" t="n"/>
      <c r="BK146" s="22" t="n"/>
      <c r="BL146" s="22" t="n"/>
      <c r="BM146" s="22" t="n"/>
      <c r="BN146" s="22" t="n"/>
      <c r="BO146" s="22" t="n"/>
      <c r="BP146" s="22" t="n"/>
      <c r="BQ146" s="31" t="n"/>
      <c r="BR146" s="31" t="n"/>
      <c r="BS146" s="31" t="n"/>
      <c r="BT146" s="31" t="n"/>
    </row>
    <row r="147" ht="15.75" customHeight="1" s="349">
      <c r="A147" s="22" t="n"/>
      <c r="B147" s="22" t="n"/>
      <c r="C147" s="22" t="n"/>
      <c r="D147" s="22" t="n"/>
      <c r="E147" s="22" t="n"/>
      <c r="F147" s="22"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c r="AA147" s="22" t="n"/>
      <c r="AB147" s="22" t="n"/>
      <c r="AC147" s="22" t="n"/>
      <c r="AD147" s="22" t="n"/>
      <c r="AE147" s="22" t="n"/>
      <c r="AF147" s="22" t="n"/>
      <c r="AG147" s="22" t="n"/>
      <c r="AH147" s="22" t="n"/>
      <c r="AI147" s="22" t="n"/>
      <c r="AJ147" s="22" t="n"/>
      <c r="AK147" s="22" t="n"/>
      <c r="AL147" s="22" t="n"/>
      <c r="AM147" s="22" t="n"/>
      <c r="AN147" s="22" t="n"/>
      <c r="AO147" s="22" t="n"/>
      <c r="AP147" s="22" t="n"/>
      <c r="AQ147" s="22" t="n"/>
      <c r="AR147" s="22" t="n"/>
      <c r="AS147" s="22" t="n"/>
      <c r="AT147" s="22" t="n"/>
      <c r="AU147" s="22" t="n"/>
      <c r="AV147" s="22" t="n"/>
      <c r="AW147" s="22" t="n"/>
      <c r="AX147" s="22" t="n"/>
      <c r="AY147" s="22" t="n"/>
      <c r="AZ147" s="22" t="n"/>
      <c r="BA147" s="22" t="n"/>
      <c r="BB147" s="22" t="n"/>
      <c r="BC147" s="22" t="n"/>
      <c r="BD147" s="22" t="n"/>
      <c r="BE147" s="22" t="n"/>
      <c r="BF147" s="22" t="n"/>
      <c r="BG147" s="22" t="n"/>
      <c r="BH147" s="22" t="n"/>
      <c r="BI147" s="22" t="n"/>
      <c r="BJ147" s="22" t="n"/>
      <c r="BK147" s="22" t="n"/>
      <c r="BL147" s="22" t="n"/>
      <c r="BM147" s="22" t="n"/>
      <c r="BN147" s="22" t="n"/>
      <c r="BO147" s="22" t="n"/>
      <c r="BP147" s="22" t="n"/>
      <c r="BQ147" s="31" t="n"/>
      <c r="BR147" s="31" t="n"/>
      <c r="BS147" s="31" t="n"/>
      <c r="BT147" s="31" t="n"/>
    </row>
    <row r="148" ht="15.75" customHeight="1" s="349">
      <c r="A148" s="22" t="n"/>
      <c r="B148" s="22" t="n"/>
      <c r="C148" s="22" t="n"/>
      <c r="D148" s="22" t="n"/>
      <c r="E148" s="22" t="n"/>
      <c r="F148" s="22"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c r="AA148" s="22" t="n"/>
      <c r="AB148" s="22" t="n"/>
      <c r="AC148" s="22" t="n"/>
      <c r="AD148" s="22" t="n"/>
      <c r="AE148" s="22" t="n"/>
      <c r="AF148" s="22" t="n"/>
      <c r="AG148" s="22" t="n"/>
      <c r="AH148" s="22" t="n"/>
      <c r="AI148" s="22" t="n"/>
      <c r="AJ148" s="22" t="n"/>
      <c r="AK148" s="22" t="n"/>
      <c r="AL148" s="22" t="n"/>
      <c r="AM148" s="22" t="n"/>
      <c r="AN148" s="22" t="n"/>
      <c r="AO148" s="22" t="n"/>
      <c r="AP148" s="22" t="n"/>
      <c r="AQ148" s="22" t="n"/>
      <c r="AR148" s="22" t="n"/>
      <c r="AS148" s="22" t="n"/>
      <c r="AT148" s="22" t="n"/>
      <c r="AU148" s="22" t="n"/>
      <c r="AV148" s="22" t="n"/>
      <c r="AW148" s="22" t="n"/>
      <c r="AX148" s="22" t="n"/>
      <c r="AY148" s="22" t="n"/>
      <c r="AZ148" s="22" t="n"/>
      <c r="BA148" s="22" t="n"/>
      <c r="BB148" s="22" t="n"/>
      <c r="BC148" s="22" t="n"/>
      <c r="BD148" s="22" t="n"/>
      <c r="BE148" s="22" t="n"/>
      <c r="BF148" s="22" t="n"/>
      <c r="BG148" s="22" t="n"/>
      <c r="BH148" s="22" t="n"/>
      <c r="BI148" s="22" t="n"/>
      <c r="BJ148" s="22" t="n"/>
      <c r="BK148" s="22" t="n"/>
      <c r="BL148" s="22" t="n"/>
      <c r="BM148" s="22" t="n"/>
      <c r="BN148" s="22" t="n"/>
      <c r="BO148" s="22" t="n"/>
      <c r="BP148" s="22" t="n"/>
      <c r="BQ148" s="31" t="n"/>
      <c r="BR148" s="31" t="n"/>
      <c r="BS148" s="31" t="n"/>
      <c r="BT148" s="31" t="n"/>
    </row>
    <row r="149" ht="15.75" customHeight="1" s="349">
      <c r="A149" s="22" t="n"/>
      <c r="B149" s="22" t="n"/>
      <c r="C149" s="22" t="n"/>
      <c r="D149" s="22" t="n"/>
      <c r="E149" s="22" t="n"/>
      <c r="F149" s="22"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c r="AA149" s="22" t="n"/>
      <c r="AB149" s="22" t="n"/>
      <c r="AC149" s="22" t="n"/>
      <c r="AD149" s="22" t="n"/>
      <c r="AE149" s="22" t="n"/>
      <c r="AF149" s="22" t="n"/>
      <c r="AG149" s="22" t="n"/>
      <c r="AH149" s="22" t="n"/>
      <c r="AI149" s="22" t="n"/>
      <c r="AJ149" s="22" t="n"/>
      <c r="AK149" s="22" t="n"/>
      <c r="AL149" s="22" t="n"/>
      <c r="AM149" s="22" t="n"/>
      <c r="AN149" s="22" t="n"/>
      <c r="AO149" s="22" t="n"/>
      <c r="AP149" s="22" t="n"/>
      <c r="AQ149" s="22" t="n"/>
      <c r="AR149" s="22" t="n"/>
      <c r="AS149" s="22" t="n"/>
      <c r="AT149" s="22" t="n"/>
      <c r="AU149" s="22" t="n"/>
      <c r="AV149" s="22" t="n"/>
      <c r="AW149" s="22" t="n"/>
      <c r="AX149" s="22" t="n"/>
      <c r="AY149" s="22" t="n"/>
      <c r="AZ149" s="22" t="n"/>
      <c r="BA149" s="22" t="n"/>
      <c r="BB149" s="22" t="n"/>
      <c r="BC149" s="22" t="n"/>
      <c r="BD149" s="22" t="n"/>
      <c r="BE149" s="22" t="n"/>
      <c r="BF149" s="22" t="n"/>
      <c r="BG149" s="22" t="n"/>
      <c r="BH149" s="22" t="n"/>
      <c r="BI149" s="22" t="n"/>
      <c r="BJ149" s="22" t="n"/>
      <c r="BK149" s="22" t="n"/>
      <c r="BL149" s="22" t="n"/>
      <c r="BM149" s="22" t="n"/>
      <c r="BN149" s="22" t="n"/>
      <c r="BO149" s="22" t="n"/>
      <c r="BP149" s="22" t="n"/>
      <c r="BQ149" s="31" t="n"/>
      <c r="BR149" s="31" t="n"/>
      <c r="BS149" s="31" t="n"/>
      <c r="BT149" s="31" t="n"/>
    </row>
    <row r="150" ht="15.75" customHeight="1" s="349">
      <c r="A150" s="22" t="n"/>
      <c r="B150" s="22" t="n"/>
      <c r="C150" s="22" t="n"/>
      <c r="D150" s="22" t="n"/>
      <c r="E150" s="22" t="n"/>
      <c r="F150" s="22"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c r="AA150" s="22" t="n"/>
      <c r="AB150" s="22" t="n"/>
      <c r="AC150" s="22" t="n"/>
      <c r="AD150" s="22" t="n"/>
      <c r="AE150" s="22" t="n"/>
      <c r="AF150" s="22" t="n"/>
      <c r="AG150" s="22" t="n"/>
      <c r="AH150" s="22" t="n"/>
      <c r="AI150" s="22" t="n"/>
      <c r="AJ150" s="22" t="n"/>
      <c r="AK150" s="22" t="n"/>
      <c r="AL150" s="22" t="n"/>
      <c r="AM150" s="22" t="n"/>
      <c r="AN150" s="22" t="n"/>
      <c r="AO150" s="22" t="n"/>
      <c r="AP150" s="22" t="n"/>
      <c r="AQ150" s="22" t="n"/>
      <c r="AR150" s="22" t="n"/>
      <c r="AS150" s="22" t="n"/>
      <c r="AT150" s="22" t="n"/>
      <c r="AU150" s="22" t="n"/>
      <c r="AV150" s="22" t="n"/>
      <c r="AW150" s="22" t="n"/>
      <c r="AX150" s="22" t="n"/>
      <c r="AY150" s="22" t="n"/>
      <c r="AZ150" s="22" t="n"/>
      <c r="BA150" s="22" t="n"/>
      <c r="BB150" s="22" t="n"/>
      <c r="BC150" s="22" t="n"/>
      <c r="BD150" s="22" t="n"/>
      <c r="BE150" s="22" t="n"/>
      <c r="BF150" s="22" t="n"/>
      <c r="BG150" s="22" t="n"/>
      <c r="BH150" s="22" t="n"/>
      <c r="BI150" s="22" t="n"/>
      <c r="BJ150" s="22" t="n"/>
      <c r="BK150" s="22" t="n"/>
      <c r="BL150" s="22" t="n"/>
      <c r="BM150" s="22" t="n"/>
      <c r="BN150" s="22" t="n"/>
      <c r="BO150" s="22" t="n"/>
      <c r="BP150" s="22" t="n"/>
      <c r="BQ150" s="31" t="n"/>
      <c r="BR150" s="31" t="n"/>
      <c r="BS150" s="31" t="n"/>
      <c r="BT150" s="31" t="n"/>
    </row>
    <row r="151" ht="15.75" customHeight="1" s="349">
      <c r="A151" s="22" t="n"/>
      <c r="B151" s="22" t="n"/>
      <c r="C151" s="22" t="n"/>
      <c r="D151" s="22" t="n"/>
      <c r="E151" s="22" t="n"/>
      <c r="F151" s="22"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c r="AA151" s="22" t="n"/>
      <c r="AB151" s="22" t="n"/>
      <c r="AC151" s="22" t="n"/>
      <c r="AD151" s="22" t="n"/>
      <c r="AE151" s="22" t="n"/>
      <c r="AF151" s="22" t="n"/>
      <c r="AG151" s="22" t="n"/>
      <c r="AH151" s="22" t="n"/>
      <c r="AI151" s="22" t="n"/>
      <c r="AJ151" s="22" t="n"/>
      <c r="AK151" s="22" t="n"/>
      <c r="AL151" s="22" t="n"/>
      <c r="AM151" s="22" t="n"/>
      <c r="AN151" s="22" t="n"/>
      <c r="AO151" s="22" t="n"/>
      <c r="AP151" s="22" t="n"/>
      <c r="AQ151" s="22" t="n"/>
      <c r="AR151" s="22" t="n"/>
      <c r="AS151" s="22" t="n"/>
      <c r="AT151" s="22" t="n"/>
      <c r="AU151" s="22" t="n"/>
      <c r="AV151" s="22" t="n"/>
      <c r="AW151" s="22" t="n"/>
      <c r="AX151" s="22" t="n"/>
      <c r="AY151" s="22" t="n"/>
      <c r="AZ151" s="22" t="n"/>
      <c r="BA151" s="22" t="n"/>
      <c r="BB151" s="22" t="n"/>
      <c r="BC151" s="22" t="n"/>
      <c r="BD151" s="22" t="n"/>
      <c r="BE151" s="22" t="n"/>
      <c r="BF151" s="22" t="n"/>
      <c r="BG151" s="22" t="n"/>
      <c r="BH151" s="22" t="n"/>
      <c r="BI151" s="22" t="n"/>
      <c r="BJ151" s="22" t="n"/>
      <c r="BK151" s="22" t="n"/>
      <c r="BL151" s="22" t="n"/>
      <c r="BM151" s="22" t="n"/>
      <c r="BN151" s="22" t="n"/>
      <c r="BO151" s="22" t="n"/>
      <c r="BP151" s="22" t="n"/>
      <c r="BQ151" s="31" t="n"/>
      <c r="BR151" s="31" t="n"/>
      <c r="BS151" s="31" t="n"/>
      <c r="BT151" s="31" t="n"/>
    </row>
    <row r="152" ht="15.75" customHeight="1" s="349">
      <c r="A152" s="22" t="n"/>
      <c r="B152" s="22" t="n"/>
      <c r="C152" s="22" t="n"/>
      <c r="D152" s="22" t="n"/>
      <c r="E152" s="22" t="n"/>
      <c r="F152" s="22"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c r="AA152" s="22" t="n"/>
      <c r="AB152" s="22" t="n"/>
      <c r="AC152" s="22" t="n"/>
      <c r="AD152" s="22" t="n"/>
      <c r="AE152" s="22" t="n"/>
      <c r="AF152" s="22" t="n"/>
      <c r="AG152" s="22" t="n"/>
      <c r="AH152" s="22" t="n"/>
      <c r="AI152" s="22" t="n"/>
      <c r="AJ152" s="22" t="n"/>
      <c r="AK152" s="22" t="n"/>
      <c r="AL152" s="22" t="n"/>
      <c r="AM152" s="22" t="n"/>
      <c r="AN152" s="22" t="n"/>
      <c r="AO152" s="22" t="n"/>
      <c r="AP152" s="22" t="n"/>
      <c r="AQ152" s="22" t="n"/>
      <c r="AR152" s="22" t="n"/>
      <c r="AS152" s="22" t="n"/>
      <c r="AT152" s="22" t="n"/>
      <c r="AU152" s="22" t="n"/>
      <c r="AV152" s="22" t="n"/>
      <c r="AW152" s="22" t="n"/>
      <c r="AX152" s="22" t="n"/>
      <c r="AY152" s="22" t="n"/>
      <c r="AZ152" s="22" t="n"/>
      <c r="BA152" s="22" t="n"/>
      <c r="BB152" s="22" t="n"/>
      <c r="BC152" s="22" t="n"/>
      <c r="BD152" s="22" t="n"/>
      <c r="BE152" s="22" t="n"/>
      <c r="BF152" s="22" t="n"/>
      <c r="BG152" s="22" t="n"/>
      <c r="BH152" s="22" t="n"/>
      <c r="BI152" s="22" t="n"/>
      <c r="BJ152" s="22" t="n"/>
      <c r="BK152" s="22" t="n"/>
      <c r="BL152" s="22" t="n"/>
      <c r="BM152" s="22" t="n"/>
      <c r="BN152" s="22" t="n"/>
      <c r="BO152" s="22" t="n"/>
      <c r="BP152" s="22" t="n"/>
      <c r="BQ152" s="31" t="n"/>
      <c r="BR152" s="31" t="n"/>
      <c r="BS152" s="31" t="n"/>
      <c r="BT152" s="31" t="n"/>
    </row>
    <row r="153" ht="15.75" customHeight="1" s="349">
      <c r="A153" s="22" t="n"/>
      <c r="B153" s="22" t="n"/>
      <c r="C153" s="22" t="n"/>
      <c r="D153" s="22" t="n"/>
      <c r="E153" s="22" t="n"/>
      <c r="F153" s="22"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c r="AA153" s="22" t="n"/>
      <c r="AB153" s="22" t="n"/>
      <c r="AC153" s="22" t="n"/>
      <c r="AD153" s="22" t="n"/>
      <c r="AE153" s="22" t="n"/>
      <c r="AF153" s="22" t="n"/>
      <c r="AG153" s="22" t="n"/>
      <c r="AH153" s="22" t="n"/>
      <c r="AI153" s="22" t="n"/>
      <c r="AJ153" s="22" t="n"/>
      <c r="AK153" s="22" t="n"/>
      <c r="AL153" s="22" t="n"/>
      <c r="AM153" s="22" t="n"/>
      <c r="AN153" s="22" t="n"/>
      <c r="AO153" s="22" t="n"/>
      <c r="AP153" s="22" t="n"/>
      <c r="AQ153" s="22" t="n"/>
      <c r="AR153" s="22" t="n"/>
      <c r="AS153" s="22" t="n"/>
      <c r="AT153" s="22" t="n"/>
      <c r="AU153" s="22" t="n"/>
      <c r="AV153" s="22" t="n"/>
      <c r="AW153" s="22" t="n"/>
      <c r="AX153" s="22" t="n"/>
      <c r="AY153" s="22" t="n"/>
      <c r="AZ153" s="22" t="n"/>
      <c r="BA153" s="22" t="n"/>
      <c r="BB153" s="22" t="n"/>
      <c r="BC153" s="22" t="n"/>
      <c r="BD153" s="22" t="n"/>
      <c r="BE153" s="22" t="n"/>
      <c r="BF153" s="22" t="n"/>
      <c r="BG153" s="22" t="n"/>
      <c r="BH153" s="22" t="n"/>
      <c r="BI153" s="22" t="n"/>
      <c r="BJ153" s="22" t="n"/>
      <c r="BK153" s="22" t="n"/>
      <c r="BL153" s="22" t="n"/>
      <c r="BM153" s="22" t="n"/>
      <c r="BN153" s="22" t="n"/>
      <c r="BO153" s="22" t="n"/>
      <c r="BP153" s="22" t="n"/>
      <c r="BQ153" s="31" t="n"/>
      <c r="BR153" s="31" t="n"/>
      <c r="BS153" s="31" t="n"/>
      <c r="BT153" s="31" t="n"/>
    </row>
    <row r="154" ht="15.75" customHeight="1" s="349">
      <c r="A154" s="22" t="n"/>
      <c r="B154" s="22" t="n"/>
      <c r="C154" s="22" t="n"/>
      <c r="D154" s="22" t="n"/>
      <c r="E154" s="22" t="n"/>
      <c r="F154" s="22"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c r="AA154" s="22" t="n"/>
      <c r="AB154" s="22" t="n"/>
      <c r="AC154" s="22" t="n"/>
      <c r="AD154" s="22" t="n"/>
      <c r="AE154" s="22" t="n"/>
      <c r="AF154" s="22" t="n"/>
      <c r="AG154" s="22" t="n"/>
      <c r="AH154" s="22" t="n"/>
      <c r="AI154" s="22" t="n"/>
      <c r="AJ154" s="22" t="n"/>
      <c r="AK154" s="22" t="n"/>
      <c r="AL154" s="22" t="n"/>
      <c r="AM154" s="22" t="n"/>
      <c r="AN154" s="22" t="n"/>
      <c r="AO154" s="22" t="n"/>
      <c r="AP154" s="22" t="n"/>
      <c r="AQ154" s="22" t="n"/>
      <c r="AR154" s="22" t="n"/>
      <c r="AS154" s="22" t="n"/>
      <c r="AT154" s="22" t="n"/>
      <c r="AU154" s="22" t="n"/>
      <c r="AV154" s="22" t="n"/>
      <c r="AW154" s="22" t="n"/>
      <c r="AX154" s="22" t="n"/>
      <c r="AY154" s="22" t="n"/>
      <c r="AZ154" s="22" t="n"/>
      <c r="BA154" s="22" t="n"/>
      <c r="BB154" s="22" t="n"/>
      <c r="BC154" s="22" t="n"/>
      <c r="BD154" s="22" t="n"/>
      <c r="BE154" s="22" t="n"/>
      <c r="BF154" s="22" t="n"/>
      <c r="BG154" s="22" t="n"/>
      <c r="BH154" s="22" t="n"/>
      <c r="BI154" s="22" t="n"/>
      <c r="BJ154" s="22" t="n"/>
      <c r="BK154" s="22" t="n"/>
      <c r="BL154" s="22" t="n"/>
      <c r="BM154" s="22" t="n"/>
      <c r="BN154" s="22" t="n"/>
      <c r="BO154" s="22" t="n"/>
      <c r="BP154" s="22" t="n"/>
      <c r="BQ154" s="31" t="n"/>
      <c r="BR154" s="31" t="n"/>
      <c r="BS154" s="31" t="n"/>
      <c r="BT154" s="31" t="n"/>
    </row>
    <row r="155" ht="15.75" customHeight="1" s="349">
      <c r="A155" s="22" t="n"/>
      <c r="B155" s="22" t="n"/>
      <c r="C155" s="22" t="n"/>
      <c r="D155" s="22" t="n"/>
      <c r="E155" s="22" t="n"/>
      <c r="F155" s="22"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c r="AA155" s="22" t="n"/>
      <c r="AB155" s="22" t="n"/>
      <c r="AC155" s="22" t="n"/>
      <c r="AD155" s="22" t="n"/>
      <c r="AE155" s="22" t="n"/>
      <c r="AF155" s="22" t="n"/>
      <c r="AG155" s="22" t="n"/>
      <c r="AH155" s="22" t="n"/>
      <c r="AI155" s="22" t="n"/>
      <c r="AJ155" s="22" t="n"/>
      <c r="AK155" s="22" t="n"/>
      <c r="AL155" s="22" t="n"/>
      <c r="AM155" s="22" t="n"/>
      <c r="AN155" s="22" t="n"/>
      <c r="AO155" s="22" t="n"/>
      <c r="AP155" s="22" t="n"/>
      <c r="AQ155" s="22" t="n"/>
      <c r="AR155" s="22" t="n"/>
      <c r="AS155" s="22" t="n"/>
      <c r="AT155" s="22" t="n"/>
      <c r="AU155" s="22" t="n"/>
      <c r="AV155" s="22" t="n"/>
      <c r="AW155" s="22" t="n"/>
      <c r="AX155" s="22" t="n"/>
      <c r="AY155" s="22" t="n"/>
      <c r="AZ155" s="22" t="n"/>
      <c r="BA155" s="22" t="n"/>
      <c r="BB155" s="22" t="n"/>
      <c r="BC155" s="22" t="n"/>
      <c r="BD155" s="22" t="n"/>
      <c r="BE155" s="22" t="n"/>
      <c r="BF155" s="22" t="n"/>
      <c r="BG155" s="22" t="n"/>
      <c r="BH155" s="22" t="n"/>
      <c r="BI155" s="22" t="n"/>
      <c r="BJ155" s="22" t="n"/>
      <c r="BK155" s="22" t="n"/>
      <c r="BL155" s="22" t="n"/>
      <c r="BM155" s="22" t="n"/>
      <c r="BN155" s="22" t="n"/>
      <c r="BO155" s="22" t="n"/>
      <c r="BP155" s="22" t="n"/>
      <c r="BQ155" s="31" t="n"/>
      <c r="BR155" s="31" t="n"/>
      <c r="BS155" s="31" t="n"/>
      <c r="BT155" s="31" t="n"/>
    </row>
    <row r="156" ht="15.75" customHeight="1" s="349">
      <c r="A156" s="22" t="n"/>
      <c r="B156" s="22" t="n"/>
      <c r="C156" s="22" t="n"/>
      <c r="D156" s="22" t="n"/>
      <c r="E156" s="22" t="n"/>
      <c r="F156" s="22"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c r="AA156" s="22" t="n"/>
      <c r="AB156" s="22" t="n"/>
      <c r="AC156" s="22" t="n"/>
      <c r="AD156" s="22" t="n"/>
      <c r="AE156" s="22" t="n"/>
      <c r="AF156" s="22" t="n"/>
      <c r="AG156" s="22" t="n"/>
      <c r="AH156" s="22" t="n"/>
      <c r="AI156" s="22" t="n"/>
      <c r="AJ156" s="22" t="n"/>
      <c r="AK156" s="22" t="n"/>
      <c r="AL156" s="22" t="n"/>
      <c r="AM156" s="22" t="n"/>
      <c r="AN156" s="22" t="n"/>
      <c r="AO156" s="22" t="n"/>
      <c r="AP156" s="22" t="n"/>
      <c r="AQ156" s="22" t="n"/>
      <c r="AR156" s="22" t="n"/>
      <c r="AS156" s="22" t="n"/>
      <c r="AT156" s="22" t="n"/>
      <c r="AU156" s="22" t="n"/>
      <c r="AV156" s="22" t="n"/>
      <c r="AW156" s="22" t="n"/>
      <c r="AX156" s="22" t="n"/>
      <c r="AY156" s="22" t="n"/>
      <c r="AZ156" s="22" t="n"/>
      <c r="BA156" s="22" t="n"/>
      <c r="BB156" s="22" t="n"/>
      <c r="BC156" s="22" t="n"/>
      <c r="BD156" s="22" t="n"/>
      <c r="BE156" s="22" t="n"/>
      <c r="BF156" s="22" t="n"/>
      <c r="BG156" s="22" t="n"/>
      <c r="BH156" s="22" t="n"/>
      <c r="BI156" s="22" t="n"/>
      <c r="BJ156" s="22" t="n"/>
      <c r="BK156" s="22" t="n"/>
      <c r="BL156" s="22" t="n"/>
      <c r="BM156" s="22" t="n"/>
      <c r="BN156" s="22" t="n"/>
      <c r="BO156" s="22" t="n"/>
      <c r="BP156" s="22" t="n"/>
      <c r="BQ156" s="31" t="n"/>
      <c r="BR156" s="31" t="n"/>
      <c r="BS156" s="31" t="n"/>
      <c r="BT156" s="31" t="n"/>
    </row>
    <row r="157" ht="15.75" customHeight="1" s="349">
      <c r="A157" s="22" t="n"/>
      <c r="B157" s="22" t="n"/>
      <c r="C157" s="22" t="n"/>
      <c r="D157" s="22" t="n"/>
      <c r="E157" s="22" t="n"/>
      <c r="F157" s="22"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c r="AA157" s="22" t="n"/>
      <c r="AB157" s="22" t="n"/>
      <c r="AC157" s="22" t="n"/>
      <c r="AD157" s="22" t="n"/>
      <c r="AE157" s="22" t="n"/>
      <c r="AF157" s="22" t="n"/>
      <c r="AG157" s="22" t="n"/>
      <c r="AH157" s="22" t="n"/>
      <c r="AI157" s="22" t="n"/>
      <c r="AJ157" s="22" t="n"/>
      <c r="AK157" s="22" t="n"/>
      <c r="AL157" s="22" t="n"/>
      <c r="AM157" s="22" t="n"/>
      <c r="AN157" s="22" t="n"/>
      <c r="AO157" s="22" t="n"/>
      <c r="AP157" s="22" t="n"/>
      <c r="AQ157" s="22" t="n"/>
      <c r="AR157" s="22" t="n"/>
      <c r="AS157" s="22" t="n"/>
      <c r="AT157" s="22" t="n"/>
      <c r="AU157" s="22" t="n"/>
      <c r="AV157" s="22" t="n"/>
      <c r="AW157" s="22" t="n"/>
      <c r="AX157" s="22" t="n"/>
      <c r="AY157" s="22" t="n"/>
      <c r="AZ157" s="22" t="n"/>
      <c r="BA157" s="22" t="n"/>
      <c r="BB157" s="22" t="n"/>
      <c r="BC157" s="22" t="n"/>
      <c r="BD157" s="22" t="n"/>
      <c r="BE157" s="22" t="n"/>
      <c r="BF157" s="22" t="n"/>
      <c r="BG157" s="22" t="n"/>
      <c r="BH157" s="22" t="n"/>
      <c r="BI157" s="22" t="n"/>
      <c r="BJ157" s="22" t="n"/>
      <c r="BK157" s="22" t="n"/>
      <c r="BL157" s="22" t="n"/>
      <c r="BM157" s="22" t="n"/>
      <c r="BN157" s="22" t="n"/>
      <c r="BO157" s="22" t="n"/>
      <c r="BP157" s="22" t="n"/>
      <c r="BQ157" s="31" t="n"/>
      <c r="BR157" s="31" t="n"/>
      <c r="BS157" s="31" t="n"/>
      <c r="BT157" s="31" t="n"/>
    </row>
    <row r="158" ht="15.75" customHeight="1" s="349">
      <c r="A158" s="22" t="n"/>
      <c r="B158" s="22" t="n"/>
      <c r="C158" s="22" t="n"/>
      <c r="D158" s="22" t="n"/>
      <c r="E158" s="22" t="n"/>
      <c r="F158" s="22"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c r="AA158" s="22" t="n"/>
      <c r="AB158" s="22" t="n"/>
      <c r="AC158" s="22" t="n"/>
      <c r="AD158" s="22" t="n"/>
      <c r="AE158" s="22" t="n"/>
      <c r="AF158" s="22" t="n"/>
      <c r="AG158" s="22" t="n"/>
      <c r="AH158" s="22" t="n"/>
      <c r="AI158" s="22" t="n"/>
      <c r="AJ158" s="22" t="n"/>
      <c r="AK158" s="22" t="n"/>
      <c r="AL158" s="22" t="n"/>
      <c r="AM158" s="22" t="n"/>
      <c r="AN158" s="22" t="n"/>
      <c r="AO158" s="22" t="n"/>
      <c r="AP158" s="22" t="n"/>
      <c r="AQ158" s="22" t="n"/>
      <c r="AR158" s="22" t="n"/>
      <c r="AS158" s="22" t="n"/>
      <c r="AT158" s="22" t="n"/>
      <c r="AU158" s="22" t="n"/>
      <c r="AV158" s="22" t="n"/>
      <c r="AW158" s="22" t="n"/>
      <c r="AX158" s="22" t="n"/>
      <c r="AY158" s="22" t="n"/>
      <c r="AZ158" s="22" t="n"/>
      <c r="BA158" s="22" t="n"/>
      <c r="BB158" s="22" t="n"/>
      <c r="BC158" s="22" t="n"/>
      <c r="BD158" s="22" t="n"/>
      <c r="BE158" s="22" t="n"/>
      <c r="BF158" s="22" t="n"/>
      <c r="BG158" s="22" t="n"/>
      <c r="BH158" s="22" t="n"/>
      <c r="BI158" s="22" t="n"/>
      <c r="BJ158" s="22" t="n"/>
      <c r="BK158" s="22" t="n"/>
      <c r="BL158" s="22" t="n"/>
      <c r="BM158" s="22" t="n"/>
      <c r="BN158" s="22" t="n"/>
      <c r="BO158" s="22" t="n"/>
      <c r="BP158" s="22" t="n"/>
      <c r="BQ158" s="31" t="n"/>
      <c r="BR158" s="31" t="n"/>
      <c r="BS158" s="31" t="n"/>
      <c r="BT158" s="31" t="n"/>
    </row>
    <row r="159" ht="15.75" customHeight="1" s="349">
      <c r="A159" s="22" t="n"/>
      <c r="B159" s="22" t="n"/>
      <c r="C159" s="22" t="n"/>
      <c r="D159" s="22" t="n"/>
      <c r="E159" s="22" t="n"/>
      <c r="F159" s="22"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c r="AA159" s="22" t="n"/>
      <c r="AB159" s="22" t="n"/>
      <c r="AC159" s="22" t="n"/>
      <c r="AD159" s="22" t="n"/>
      <c r="AE159" s="22" t="n"/>
      <c r="AF159" s="22" t="n"/>
      <c r="AG159" s="22" t="n"/>
      <c r="AH159" s="22" t="n"/>
      <c r="AI159" s="22" t="n"/>
      <c r="AJ159" s="22" t="n"/>
      <c r="AK159" s="22" t="n"/>
      <c r="AL159" s="22" t="n"/>
      <c r="AM159" s="22" t="n"/>
      <c r="AN159" s="22" t="n"/>
      <c r="AO159" s="22" t="n"/>
      <c r="AP159" s="22" t="n"/>
      <c r="AQ159" s="22" t="n"/>
      <c r="AR159" s="22" t="n"/>
      <c r="AS159" s="22" t="n"/>
      <c r="AT159" s="22" t="n"/>
      <c r="AU159" s="22" t="n"/>
      <c r="AV159" s="22" t="n"/>
      <c r="AW159" s="22" t="n"/>
      <c r="AX159" s="22" t="n"/>
      <c r="AY159" s="22" t="n"/>
      <c r="AZ159" s="22" t="n"/>
      <c r="BA159" s="22" t="n"/>
      <c r="BB159" s="22" t="n"/>
      <c r="BC159" s="22" t="n"/>
      <c r="BD159" s="22" t="n"/>
      <c r="BE159" s="22" t="n"/>
      <c r="BF159" s="22" t="n"/>
      <c r="BG159" s="22" t="n"/>
      <c r="BH159" s="22" t="n"/>
      <c r="BI159" s="22" t="n"/>
      <c r="BJ159" s="22" t="n"/>
      <c r="BK159" s="22" t="n"/>
      <c r="BL159" s="22" t="n"/>
      <c r="BM159" s="22" t="n"/>
      <c r="BN159" s="22" t="n"/>
      <c r="BO159" s="22" t="n"/>
      <c r="BP159" s="22" t="n"/>
      <c r="BQ159" s="31" t="n"/>
      <c r="BR159" s="31" t="n"/>
      <c r="BS159" s="31" t="n"/>
      <c r="BT159" s="31" t="n"/>
    </row>
    <row r="160" ht="15.75" customHeight="1" s="349">
      <c r="A160" s="22" t="n"/>
      <c r="B160" s="22" t="n"/>
      <c r="C160" s="22" t="n"/>
      <c r="D160" s="22" t="n"/>
      <c r="E160" s="22" t="n"/>
      <c r="F160" s="22"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c r="AA160" s="22" t="n"/>
      <c r="AB160" s="22" t="n"/>
      <c r="AC160" s="22" t="n"/>
      <c r="AD160" s="22" t="n"/>
      <c r="AE160" s="22" t="n"/>
      <c r="AF160" s="22" t="n"/>
      <c r="AG160" s="22" t="n"/>
      <c r="AH160" s="22" t="n"/>
      <c r="AI160" s="22" t="n"/>
      <c r="AJ160" s="22" t="n"/>
      <c r="AK160" s="22" t="n"/>
      <c r="AL160" s="22" t="n"/>
      <c r="AM160" s="22" t="n"/>
      <c r="AN160" s="22" t="n"/>
      <c r="AO160" s="22" t="n"/>
      <c r="AP160" s="22" t="n"/>
      <c r="AQ160" s="22" t="n"/>
      <c r="AR160" s="22" t="n"/>
      <c r="AS160" s="22" t="n"/>
      <c r="AT160" s="22" t="n"/>
      <c r="AU160" s="22" t="n"/>
      <c r="AV160" s="22" t="n"/>
      <c r="AW160" s="22" t="n"/>
      <c r="AX160" s="22" t="n"/>
      <c r="AY160" s="22" t="n"/>
      <c r="AZ160" s="22" t="n"/>
      <c r="BA160" s="22" t="n"/>
      <c r="BB160" s="22" t="n"/>
      <c r="BC160" s="22" t="n"/>
      <c r="BD160" s="22" t="n"/>
      <c r="BE160" s="22" t="n"/>
      <c r="BF160" s="22" t="n"/>
      <c r="BG160" s="22" t="n"/>
      <c r="BH160" s="22" t="n"/>
      <c r="BI160" s="22" t="n"/>
      <c r="BJ160" s="22" t="n"/>
      <c r="BK160" s="22" t="n"/>
      <c r="BL160" s="22" t="n"/>
      <c r="BM160" s="22" t="n"/>
      <c r="BN160" s="22" t="n"/>
      <c r="BO160" s="22" t="n"/>
      <c r="BP160" s="22" t="n"/>
      <c r="BQ160" s="31" t="n"/>
      <c r="BR160" s="31" t="n"/>
      <c r="BS160" s="31" t="n"/>
      <c r="BT160" s="31" t="n"/>
    </row>
    <row r="161" ht="15.75" customHeight="1" s="349">
      <c r="A161" s="22" t="n"/>
      <c r="B161" s="22" t="n"/>
      <c r="C161" s="22" t="n"/>
      <c r="D161" s="22" t="n"/>
      <c r="E161" s="22" t="n"/>
      <c r="F161" s="22"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c r="AA161" s="22" t="n"/>
      <c r="AB161" s="22" t="n"/>
      <c r="AC161" s="22" t="n"/>
      <c r="AD161" s="22" t="n"/>
      <c r="AE161" s="22" t="n"/>
      <c r="AF161" s="22" t="n"/>
      <c r="AG161" s="22" t="n"/>
      <c r="AH161" s="22" t="n"/>
      <c r="AI161" s="22" t="n"/>
      <c r="AJ161" s="22" t="n"/>
      <c r="AK161" s="22" t="n"/>
      <c r="AL161" s="22" t="n"/>
      <c r="AM161" s="22" t="n"/>
      <c r="AN161" s="22" t="n"/>
      <c r="AO161" s="22" t="n"/>
      <c r="AP161" s="22" t="n"/>
      <c r="AQ161" s="22" t="n"/>
      <c r="AR161" s="22" t="n"/>
      <c r="AS161" s="22" t="n"/>
      <c r="AT161" s="22" t="n"/>
      <c r="AU161" s="22" t="n"/>
      <c r="AV161" s="22" t="n"/>
      <c r="AW161" s="22" t="n"/>
      <c r="AX161" s="22" t="n"/>
      <c r="AY161" s="22" t="n"/>
      <c r="AZ161" s="22" t="n"/>
      <c r="BA161" s="22" t="n"/>
      <c r="BB161" s="22" t="n"/>
      <c r="BC161" s="22" t="n"/>
      <c r="BD161" s="22" t="n"/>
      <c r="BE161" s="22" t="n"/>
      <c r="BF161" s="22" t="n"/>
      <c r="BG161" s="22" t="n"/>
      <c r="BH161" s="22" t="n"/>
      <c r="BI161" s="22" t="n"/>
      <c r="BJ161" s="22" t="n"/>
      <c r="BK161" s="22" t="n"/>
      <c r="BL161" s="22" t="n"/>
      <c r="BM161" s="22" t="n"/>
      <c r="BN161" s="22" t="n"/>
      <c r="BO161" s="22" t="n"/>
      <c r="BP161" s="22" t="n"/>
      <c r="BQ161" s="31" t="n"/>
      <c r="BR161" s="31" t="n"/>
      <c r="BS161" s="31" t="n"/>
      <c r="BT161" s="31" t="n"/>
    </row>
    <row r="162" ht="15.75" customHeight="1" s="349">
      <c r="A162" s="22" t="n"/>
      <c r="B162" s="22" t="n"/>
      <c r="C162" s="22" t="n"/>
      <c r="D162" s="22" t="n"/>
      <c r="E162" s="22" t="n"/>
      <c r="F162" s="22"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c r="AA162" s="22" t="n"/>
      <c r="AB162" s="22" t="n"/>
      <c r="AC162" s="22" t="n"/>
      <c r="AD162" s="22" t="n"/>
      <c r="AE162" s="22" t="n"/>
      <c r="AF162" s="22" t="n"/>
      <c r="AG162" s="22" t="n"/>
      <c r="AH162" s="22" t="n"/>
      <c r="AI162" s="22" t="n"/>
      <c r="AJ162" s="22" t="n"/>
      <c r="AK162" s="22" t="n"/>
      <c r="AL162" s="22" t="n"/>
      <c r="AM162" s="22" t="n"/>
      <c r="AN162" s="22" t="n"/>
      <c r="AO162" s="22" t="n"/>
      <c r="AP162" s="22" t="n"/>
      <c r="AQ162" s="22" t="n"/>
      <c r="AR162" s="22" t="n"/>
      <c r="AS162" s="22" t="n"/>
      <c r="AT162" s="22" t="n"/>
      <c r="AU162" s="22" t="n"/>
      <c r="AV162" s="22" t="n"/>
      <c r="AW162" s="22" t="n"/>
      <c r="AX162" s="22" t="n"/>
      <c r="AY162" s="22" t="n"/>
      <c r="AZ162" s="22" t="n"/>
      <c r="BA162" s="22" t="n"/>
      <c r="BB162" s="22" t="n"/>
      <c r="BC162" s="22" t="n"/>
      <c r="BD162" s="22" t="n"/>
      <c r="BE162" s="22" t="n"/>
      <c r="BF162" s="22" t="n"/>
      <c r="BG162" s="22" t="n"/>
      <c r="BH162" s="22" t="n"/>
      <c r="BI162" s="22" t="n"/>
      <c r="BJ162" s="22" t="n"/>
      <c r="BK162" s="22" t="n"/>
      <c r="BL162" s="22" t="n"/>
      <c r="BM162" s="22" t="n"/>
      <c r="BN162" s="22" t="n"/>
      <c r="BO162" s="22" t="n"/>
      <c r="BP162" s="22" t="n"/>
      <c r="BQ162" s="31" t="n"/>
      <c r="BR162" s="31" t="n"/>
      <c r="BS162" s="31" t="n"/>
      <c r="BT162" s="31" t="n"/>
    </row>
    <row r="163" ht="15.75" customHeight="1" s="349">
      <c r="A163" s="22" t="n"/>
      <c r="B163" s="22" t="n"/>
      <c r="C163" s="22" t="n"/>
      <c r="D163" s="22" t="n"/>
      <c r="E163" s="22" t="n"/>
      <c r="F163" s="22"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c r="AA163" s="22" t="n"/>
      <c r="AB163" s="22" t="n"/>
      <c r="AC163" s="22" t="n"/>
      <c r="AD163" s="22" t="n"/>
      <c r="AE163" s="22" t="n"/>
      <c r="AF163" s="22" t="n"/>
      <c r="AG163" s="22" t="n"/>
      <c r="AH163" s="22" t="n"/>
      <c r="AI163" s="22" t="n"/>
      <c r="AJ163" s="22" t="n"/>
      <c r="AK163" s="22" t="n"/>
      <c r="AL163" s="22" t="n"/>
      <c r="AM163" s="22" t="n"/>
      <c r="AN163" s="22" t="n"/>
      <c r="AO163" s="22" t="n"/>
      <c r="AP163" s="22" t="n"/>
      <c r="AQ163" s="22" t="n"/>
      <c r="AR163" s="22" t="n"/>
      <c r="AS163" s="22" t="n"/>
      <c r="AT163" s="22" t="n"/>
      <c r="AU163" s="22" t="n"/>
      <c r="AV163" s="22" t="n"/>
      <c r="AW163" s="22" t="n"/>
      <c r="AX163" s="22" t="n"/>
      <c r="AY163" s="22" t="n"/>
      <c r="AZ163" s="22" t="n"/>
      <c r="BA163" s="22" t="n"/>
      <c r="BB163" s="22" t="n"/>
      <c r="BC163" s="22" t="n"/>
      <c r="BD163" s="22" t="n"/>
      <c r="BE163" s="22" t="n"/>
      <c r="BF163" s="22" t="n"/>
      <c r="BG163" s="22" t="n"/>
      <c r="BH163" s="22" t="n"/>
      <c r="BI163" s="22" t="n"/>
      <c r="BJ163" s="22" t="n"/>
      <c r="BK163" s="22" t="n"/>
      <c r="BL163" s="22" t="n"/>
      <c r="BM163" s="22" t="n"/>
      <c r="BN163" s="22" t="n"/>
      <c r="BO163" s="22" t="n"/>
      <c r="BP163" s="22" t="n"/>
      <c r="BQ163" s="31" t="n"/>
      <c r="BR163" s="31" t="n"/>
      <c r="BS163" s="31" t="n"/>
      <c r="BT163" s="31" t="n"/>
    </row>
    <row r="164" ht="15.75" customHeight="1" s="349">
      <c r="A164" s="22" t="n"/>
      <c r="B164" s="22" t="n"/>
      <c r="C164" s="22" t="n"/>
      <c r="D164" s="22" t="n"/>
      <c r="E164" s="22" t="n"/>
      <c r="F164" s="22"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c r="AA164" s="22" t="n"/>
      <c r="AB164" s="22" t="n"/>
      <c r="AC164" s="22" t="n"/>
      <c r="AD164" s="22" t="n"/>
      <c r="AE164" s="22" t="n"/>
      <c r="AF164" s="22" t="n"/>
      <c r="AG164" s="22" t="n"/>
      <c r="AH164" s="22" t="n"/>
      <c r="AI164" s="22" t="n"/>
      <c r="AJ164" s="22" t="n"/>
      <c r="AK164" s="22" t="n"/>
      <c r="AL164" s="22" t="n"/>
      <c r="AM164" s="22" t="n"/>
      <c r="AN164" s="22" t="n"/>
      <c r="AO164" s="22" t="n"/>
      <c r="AP164" s="22" t="n"/>
      <c r="AQ164" s="22" t="n"/>
      <c r="AR164" s="22" t="n"/>
      <c r="AS164" s="22" t="n"/>
      <c r="AT164" s="22" t="n"/>
      <c r="AU164" s="22" t="n"/>
      <c r="AV164" s="22" t="n"/>
      <c r="AW164" s="22" t="n"/>
      <c r="AX164" s="22" t="n"/>
      <c r="AY164" s="22" t="n"/>
      <c r="AZ164" s="22" t="n"/>
      <c r="BA164" s="22" t="n"/>
      <c r="BB164" s="22" t="n"/>
      <c r="BC164" s="22" t="n"/>
      <c r="BD164" s="22" t="n"/>
      <c r="BE164" s="22" t="n"/>
      <c r="BF164" s="22" t="n"/>
      <c r="BG164" s="22" t="n"/>
      <c r="BH164" s="22" t="n"/>
      <c r="BI164" s="22" t="n"/>
      <c r="BJ164" s="22" t="n"/>
      <c r="BK164" s="22" t="n"/>
      <c r="BL164" s="22" t="n"/>
      <c r="BM164" s="22" t="n"/>
      <c r="BN164" s="22" t="n"/>
      <c r="BO164" s="22" t="n"/>
      <c r="BP164" s="22" t="n"/>
      <c r="BQ164" s="31" t="n"/>
      <c r="BR164" s="31" t="n"/>
      <c r="BS164" s="31" t="n"/>
      <c r="BT164" s="31" t="n"/>
    </row>
    <row r="165" ht="15.75" customHeight="1" s="349">
      <c r="A165" s="22" t="n"/>
      <c r="B165" s="22" t="n"/>
      <c r="C165" s="22" t="n"/>
      <c r="D165" s="22" t="n"/>
      <c r="E165" s="22" t="n"/>
      <c r="F165" s="22"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c r="AA165" s="22" t="n"/>
      <c r="AB165" s="22" t="n"/>
      <c r="AC165" s="22" t="n"/>
      <c r="AD165" s="22" t="n"/>
      <c r="AE165" s="22" t="n"/>
      <c r="AF165" s="22" t="n"/>
      <c r="AG165" s="22" t="n"/>
      <c r="AH165" s="22" t="n"/>
      <c r="AI165" s="22" t="n"/>
      <c r="AJ165" s="22" t="n"/>
      <c r="AK165" s="22" t="n"/>
      <c r="AL165" s="22" t="n"/>
      <c r="AM165" s="22" t="n"/>
      <c r="AN165" s="22" t="n"/>
      <c r="AO165" s="22" t="n"/>
      <c r="AP165" s="22" t="n"/>
      <c r="AQ165" s="22" t="n"/>
      <c r="AR165" s="22" t="n"/>
      <c r="AS165" s="22" t="n"/>
      <c r="AT165" s="22" t="n"/>
      <c r="AU165" s="22" t="n"/>
      <c r="AV165" s="22" t="n"/>
      <c r="AW165" s="22" t="n"/>
      <c r="AX165" s="22" t="n"/>
      <c r="AY165" s="22" t="n"/>
      <c r="AZ165" s="22" t="n"/>
      <c r="BA165" s="22" t="n"/>
      <c r="BB165" s="22" t="n"/>
      <c r="BC165" s="22" t="n"/>
      <c r="BD165" s="22" t="n"/>
      <c r="BE165" s="22" t="n"/>
      <c r="BF165" s="22" t="n"/>
      <c r="BG165" s="22" t="n"/>
      <c r="BH165" s="22" t="n"/>
      <c r="BI165" s="22" t="n"/>
      <c r="BJ165" s="22" t="n"/>
      <c r="BK165" s="22" t="n"/>
      <c r="BL165" s="22" t="n"/>
      <c r="BM165" s="22" t="n"/>
      <c r="BN165" s="22" t="n"/>
      <c r="BO165" s="22" t="n"/>
      <c r="BP165" s="22" t="n"/>
      <c r="BQ165" s="31" t="n"/>
      <c r="BR165" s="31" t="n"/>
      <c r="BS165" s="31" t="n"/>
      <c r="BT165" s="31" t="n"/>
    </row>
    <row r="166" ht="15.75" customHeight="1" s="349">
      <c r="A166" s="22" t="n"/>
      <c r="B166" s="22" t="n"/>
      <c r="C166" s="22" t="n"/>
      <c r="D166" s="22" t="n"/>
      <c r="E166" s="22" t="n"/>
      <c r="F166" s="22"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c r="AA166" s="22" t="n"/>
      <c r="AB166" s="22" t="n"/>
      <c r="AC166" s="22" t="n"/>
      <c r="AD166" s="22" t="n"/>
      <c r="AE166" s="22" t="n"/>
      <c r="AF166" s="22" t="n"/>
      <c r="AG166" s="22" t="n"/>
      <c r="AH166" s="22" t="n"/>
      <c r="AI166" s="22" t="n"/>
      <c r="AJ166" s="22" t="n"/>
      <c r="AK166" s="22" t="n"/>
      <c r="AL166" s="22" t="n"/>
      <c r="AM166" s="22" t="n"/>
      <c r="AN166" s="22" t="n"/>
      <c r="AO166" s="22" t="n"/>
      <c r="AP166" s="22" t="n"/>
      <c r="AQ166" s="22" t="n"/>
      <c r="AR166" s="22" t="n"/>
      <c r="AS166" s="22" t="n"/>
      <c r="AT166" s="22" t="n"/>
      <c r="AU166" s="22" t="n"/>
      <c r="AV166" s="22" t="n"/>
      <c r="AW166" s="22" t="n"/>
      <c r="AX166" s="22" t="n"/>
      <c r="AY166" s="22" t="n"/>
      <c r="AZ166" s="22" t="n"/>
      <c r="BA166" s="22" t="n"/>
      <c r="BB166" s="22" t="n"/>
      <c r="BC166" s="22" t="n"/>
      <c r="BD166" s="22" t="n"/>
      <c r="BE166" s="22" t="n"/>
      <c r="BF166" s="22" t="n"/>
      <c r="BG166" s="22" t="n"/>
      <c r="BH166" s="22" t="n"/>
      <c r="BI166" s="22" t="n"/>
      <c r="BJ166" s="22" t="n"/>
      <c r="BK166" s="22" t="n"/>
      <c r="BL166" s="22" t="n"/>
      <c r="BM166" s="22" t="n"/>
      <c r="BN166" s="22" t="n"/>
      <c r="BO166" s="22" t="n"/>
      <c r="BP166" s="22" t="n"/>
      <c r="BQ166" s="31" t="n"/>
      <c r="BR166" s="31" t="n"/>
      <c r="BS166" s="31" t="n"/>
      <c r="BT166" s="31" t="n"/>
    </row>
    <row r="167" ht="15.75" customHeight="1" s="349">
      <c r="A167" s="22" t="n"/>
      <c r="B167" s="22" t="n"/>
      <c r="C167" s="22" t="n"/>
      <c r="D167" s="22" t="n"/>
      <c r="E167" s="22" t="n"/>
      <c r="F167" s="22"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c r="AA167" s="22" t="n"/>
      <c r="AB167" s="22" t="n"/>
      <c r="AC167" s="22" t="n"/>
      <c r="AD167" s="22" t="n"/>
      <c r="AE167" s="22" t="n"/>
      <c r="AF167" s="22" t="n"/>
      <c r="AG167" s="22" t="n"/>
      <c r="AH167" s="22" t="n"/>
      <c r="AI167" s="22" t="n"/>
      <c r="AJ167" s="22" t="n"/>
      <c r="AK167" s="22" t="n"/>
      <c r="AL167" s="22" t="n"/>
      <c r="AM167" s="22" t="n"/>
      <c r="AN167" s="22" t="n"/>
      <c r="AO167" s="22" t="n"/>
      <c r="AP167" s="22" t="n"/>
      <c r="AQ167" s="22" t="n"/>
      <c r="AR167" s="22" t="n"/>
      <c r="AS167" s="22" t="n"/>
      <c r="AT167" s="22" t="n"/>
      <c r="AU167" s="22" t="n"/>
      <c r="AV167" s="22" t="n"/>
      <c r="AW167" s="22" t="n"/>
      <c r="AX167" s="22" t="n"/>
      <c r="AY167" s="22" t="n"/>
      <c r="AZ167" s="22" t="n"/>
      <c r="BA167" s="22" t="n"/>
      <c r="BB167" s="22" t="n"/>
      <c r="BC167" s="22" t="n"/>
      <c r="BD167" s="22" t="n"/>
      <c r="BE167" s="22" t="n"/>
      <c r="BF167" s="22" t="n"/>
      <c r="BG167" s="22" t="n"/>
      <c r="BH167" s="22" t="n"/>
      <c r="BI167" s="22" t="n"/>
      <c r="BJ167" s="22" t="n"/>
      <c r="BK167" s="22" t="n"/>
      <c r="BL167" s="22" t="n"/>
      <c r="BM167" s="22" t="n"/>
      <c r="BN167" s="22" t="n"/>
      <c r="BO167" s="22" t="n"/>
      <c r="BP167" s="22" t="n"/>
      <c r="BQ167" s="31" t="n"/>
      <c r="BR167" s="31" t="n"/>
      <c r="BS167" s="31" t="n"/>
      <c r="BT167" s="31" t="n"/>
    </row>
    <row r="168" ht="15.75" customHeight="1" s="349">
      <c r="A168" s="22" t="n"/>
      <c r="B168" s="22" t="n"/>
      <c r="C168" s="22" t="n"/>
      <c r="D168" s="22" t="n"/>
      <c r="E168" s="22" t="n"/>
      <c r="F168" s="22"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c r="AA168" s="22" t="n"/>
      <c r="AB168" s="22" t="n"/>
      <c r="AC168" s="22" t="n"/>
      <c r="AD168" s="22" t="n"/>
      <c r="AE168" s="22" t="n"/>
      <c r="AF168" s="22" t="n"/>
      <c r="AG168" s="22" t="n"/>
      <c r="AH168" s="22" t="n"/>
      <c r="AI168" s="22" t="n"/>
      <c r="AJ168" s="22" t="n"/>
      <c r="AK168" s="22" t="n"/>
      <c r="AL168" s="22" t="n"/>
      <c r="AM168" s="22" t="n"/>
      <c r="AN168" s="22" t="n"/>
      <c r="AO168" s="22" t="n"/>
      <c r="AP168" s="22" t="n"/>
      <c r="AQ168" s="22" t="n"/>
      <c r="AR168" s="22" t="n"/>
      <c r="AS168" s="22" t="n"/>
      <c r="AT168" s="22" t="n"/>
      <c r="AU168" s="22" t="n"/>
      <c r="AV168" s="22" t="n"/>
      <c r="AW168" s="22" t="n"/>
      <c r="AX168" s="22" t="n"/>
      <c r="AY168" s="22" t="n"/>
      <c r="AZ168" s="22" t="n"/>
      <c r="BA168" s="22" t="n"/>
      <c r="BB168" s="22" t="n"/>
      <c r="BC168" s="22" t="n"/>
      <c r="BD168" s="22" t="n"/>
      <c r="BE168" s="22" t="n"/>
      <c r="BF168" s="22" t="n"/>
      <c r="BG168" s="22" t="n"/>
      <c r="BH168" s="22" t="n"/>
      <c r="BI168" s="22" t="n"/>
      <c r="BJ168" s="22" t="n"/>
      <c r="BK168" s="22" t="n"/>
      <c r="BL168" s="22" t="n"/>
      <c r="BM168" s="22" t="n"/>
      <c r="BN168" s="22" t="n"/>
      <c r="BO168" s="22" t="n"/>
      <c r="BP168" s="22" t="n"/>
      <c r="BQ168" s="31" t="n"/>
      <c r="BR168" s="31" t="n"/>
      <c r="BS168" s="31" t="n"/>
      <c r="BT168" s="31" t="n"/>
    </row>
    <row r="169" ht="15.75" customHeight="1" s="349">
      <c r="A169" s="22" t="n"/>
      <c r="B169" s="22" t="n"/>
      <c r="C169" s="22" t="n"/>
      <c r="D169" s="22" t="n"/>
      <c r="E169" s="22" t="n"/>
      <c r="F169" s="22"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c r="AA169" s="22" t="n"/>
      <c r="AB169" s="22" t="n"/>
      <c r="AC169" s="22" t="n"/>
      <c r="AD169" s="22" t="n"/>
      <c r="AE169" s="22" t="n"/>
      <c r="AF169" s="22" t="n"/>
      <c r="AG169" s="22" t="n"/>
      <c r="AH169" s="22" t="n"/>
      <c r="AI169" s="22" t="n"/>
      <c r="AJ169" s="22" t="n"/>
      <c r="AK169" s="22" t="n"/>
      <c r="AL169" s="22" t="n"/>
      <c r="AM169" s="22" t="n"/>
      <c r="AN169" s="22" t="n"/>
      <c r="AO169" s="22" t="n"/>
      <c r="AP169" s="22" t="n"/>
      <c r="AQ169" s="22" t="n"/>
      <c r="AR169" s="22" t="n"/>
      <c r="AS169" s="22" t="n"/>
      <c r="AT169" s="22" t="n"/>
      <c r="AU169" s="22" t="n"/>
      <c r="AV169" s="22" t="n"/>
      <c r="AW169" s="22" t="n"/>
      <c r="AX169" s="22" t="n"/>
      <c r="AY169" s="22" t="n"/>
      <c r="AZ169" s="22" t="n"/>
      <c r="BA169" s="22" t="n"/>
      <c r="BB169" s="22" t="n"/>
      <c r="BC169" s="22" t="n"/>
      <c r="BD169" s="22" t="n"/>
      <c r="BE169" s="22" t="n"/>
      <c r="BF169" s="22" t="n"/>
      <c r="BG169" s="22" t="n"/>
      <c r="BH169" s="22" t="n"/>
      <c r="BI169" s="22" t="n"/>
      <c r="BJ169" s="22" t="n"/>
      <c r="BK169" s="22" t="n"/>
      <c r="BL169" s="22" t="n"/>
      <c r="BM169" s="22" t="n"/>
      <c r="BN169" s="22" t="n"/>
      <c r="BO169" s="22" t="n"/>
      <c r="BP169" s="22" t="n"/>
      <c r="BQ169" s="31" t="n"/>
      <c r="BR169" s="31" t="n"/>
      <c r="BS169" s="31" t="n"/>
      <c r="BT169" s="31" t="n"/>
    </row>
    <row r="170" ht="15.75" customHeight="1" s="349">
      <c r="A170" s="22" t="n"/>
      <c r="B170" s="22" t="n"/>
      <c r="C170" s="22" t="n"/>
      <c r="D170" s="22" t="n"/>
      <c r="E170" s="22" t="n"/>
      <c r="F170" s="22"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c r="AA170" s="22" t="n"/>
      <c r="AB170" s="22" t="n"/>
      <c r="AC170" s="22" t="n"/>
      <c r="AD170" s="22" t="n"/>
      <c r="AE170" s="22" t="n"/>
      <c r="AF170" s="22" t="n"/>
      <c r="AG170" s="22" t="n"/>
      <c r="AH170" s="22" t="n"/>
      <c r="AI170" s="22" t="n"/>
      <c r="AJ170" s="22" t="n"/>
      <c r="AK170" s="22" t="n"/>
      <c r="AL170" s="22" t="n"/>
      <c r="AM170" s="22" t="n"/>
      <c r="AN170" s="22" t="n"/>
      <c r="AO170" s="22" t="n"/>
      <c r="AP170" s="22" t="n"/>
      <c r="AQ170" s="22" t="n"/>
      <c r="AR170" s="22" t="n"/>
      <c r="AS170" s="22" t="n"/>
      <c r="AT170" s="22" t="n"/>
      <c r="AU170" s="22" t="n"/>
      <c r="AV170" s="22" t="n"/>
      <c r="AW170" s="22" t="n"/>
      <c r="AX170" s="22" t="n"/>
      <c r="AY170" s="22" t="n"/>
      <c r="AZ170" s="22" t="n"/>
      <c r="BA170" s="22" t="n"/>
      <c r="BB170" s="22" t="n"/>
      <c r="BC170" s="22" t="n"/>
      <c r="BD170" s="22" t="n"/>
      <c r="BE170" s="22" t="n"/>
      <c r="BF170" s="22" t="n"/>
      <c r="BG170" s="22" t="n"/>
      <c r="BH170" s="22" t="n"/>
      <c r="BI170" s="22" t="n"/>
      <c r="BJ170" s="22" t="n"/>
      <c r="BK170" s="22" t="n"/>
      <c r="BL170" s="22" t="n"/>
      <c r="BM170" s="22" t="n"/>
      <c r="BN170" s="22" t="n"/>
      <c r="BO170" s="22" t="n"/>
      <c r="BP170" s="22" t="n"/>
      <c r="BQ170" s="31" t="n"/>
      <c r="BR170" s="31" t="n"/>
      <c r="BS170" s="31" t="n"/>
      <c r="BT170" s="31" t="n"/>
    </row>
    <row r="171" ht="15.75" customHeight="1" s="349">
      <c r="A171" s="22" t="n"/>
      <c r="B171" s="22" t="n"/>
      <c r="C171" s="22" t="n"/>
      <c r="D171" s="22" t="n"/>
      <c r="E171" s="22" t="n"/>
      <c r="F171" s="22"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c r="AA171" s="22" t="n"/>
      <c r="AB171" s="22" t="n"/>
      <c r="AC171" s="22" t="n"/>
      <c r="AD171" s="22" t="n"/>
      <c r="AE171" s="22" t="n"/>
      <c r="AF171" s="22" t="n"/>
      <c r="AG171" s="22" t="n"/>
      <c r="AH171" s="22" t="n"/>
      <c r="AI171" s="22" t="n"/>
      <c r="AJ171" s="22" t="n"/>
      <c r="AK171" s="22" t="n"/>
      <c r="AL171" s="22" t="n"/>
      <c r="AM171" s="22" t="n"/>
      <c r="AN171" s="22" t="n"/>
      <c r="AO171" s="22" t="n"/>
      <c r="AP171" s="22" t="n"/>
      <c r="AQ171" s="22" t="n"/>
      <c r="AR171" s="22" t="n"/>
      <c r="AS171" s="22" t="n"/>
      <c r="AT171" s="22" t="n"/>
      <c r="AU171" s="22" t="n"/>
      <c r="AV171" s="22" t="n"/>
      <c r="AW171" s="22" t="n"/>
      <c r="AX171" s="22" t="n"/>
      <c r="AY171" s="22" t="n"/>
      <c r="AZ171" s="22" t="n"/>
      <c r="BA171" s="22" t="n"/>
      <c r="BB171" s="22" t="n"/>
      <c r="BC171" s="22" t="n"/>
      <c r="BD171" s="22" t="n"/>
      <c r="BE171" s="22" t="n"/>
      <c r="BF171" s="22" t="n"/>
      <c r="BG171" s="22" t="n"/>
      <c r="BH171" s="22" t="n"/>
      <c r="BI171" s="22" t="n"/>
      <c r="BJ171" s="22" t="n"/>
      <c r="BK171" s="22" t="n"/>
      <c r="BL171" s="22" t="n"/>
      <c r="BM171" s="22" t="n"/>
      <c r="BN171" s="22" t="n"/>
      <c r="BO171" s="22" t="n"/>
      <c r="BP171" s="22" t="n"/>
      <c r="BQ171" s="31" t="n"/>
      <c r="BR171" s="31" t="n"/>
      <c r="BS171" s="31" t="n"/>
      <c r="BT171" s="31" t="n"/>
    </row>
    <row r="172" ht="15.75" customHeight="1" s="349">
      <c r="A172" s="22" t="n"/>
      <c r="B172" s="22" t="n"/>
      <c r="C172" s="22" t="n"/>
      <c r="D172" s="22" t="n"/>
      <c r="E172" s="22" t="n"/>
      <c r="F172" s="22"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c r="AA172" s="22" t="n"/>
      <c r="AB172" s="22" t="n"/>
      <c r="AC172" s="22" t="n"/>
      <c r="AD172" s="22" t="n"/>
      <c r="AE172" s="22" t="n"/>
      <c r="AF172" s="22" t="n"/>
      <c r="AG172" s="22" t="n"/>
      <c r="AH172" s="22" t="n"/>
      <c r="AI172" s="22" t="n"/>
      <c r="AJ172" s="22" t="n"/>
      <c r="AK172" s="22" t="n"/>
      <c r="AL172" s="22" t="n"/>
      <c r="AM172" s="22" t="n"/>
      <c r="AN172" s="22" t="n"/>
      <c r="AO172" s="22" t="n"/>
      <c r="AP172" s="22" t="n"/>
      <c r="AQ172" s="22" t="n"/>
      <c r="AR172" s="22" t="n"/>
      <c r="AS172" s="22" t="n"/>
      <c r="AT172" s="22" t="n"/>
      <c r="AU172" s="22" t="n"/>
      <c r="AV172" s="22" t="n"/>
      <c r="AW172" s="22" t="n"/>
      <c r="AX172" s="22" t="n"/>
      <c r="AY172" s="22" t="n"/>
      <c r="AZ172" s="22" t="n"/>
      <c r="BA172" s="22" t="n"/>
      <c r="BB172" s="22" t="n"/>
      <c r="BC172" s="22" t="n"/>
      <c r="BD172" s="22" t="n"/>
      <c r="BE172" s="22" t="n"/>
      <c r="BF172" s="22" t="n"/>
      <c r="BG172" s="22" t="n"/>
      <c r="BH172" s="22" t="n"/>
      <c r="BI172" s="22" t="n"/>
      <c r="BJ172" s="22" t="n"/>
      <c r="BK172" s="22" t="n"/>
      <c r="BL172" s="22" t="n"/>
      <c r="BM172" s="22" t="n"/>
      <c r="BN172" s="22" t="n"/>
      <c r="BO172" s="22" t="n"/>
      <c r="BP172" s="22" t="n"/>
      <c r="BQ172" s="31" t="n"/>
      <c r="BR172" s="31" t="n"/>
      <c r="BS172" s="31" t="n"/>
      <c r="BT172" s="31" t="n"/>
    </row>
    <row r="173" ht="15.75" customHeight="1" s="349">
      <c r="A173" s="22" t="n"/>
      <c r="B173" s="22" t="n"/>
      <c r="C173" s="22" t="n"/>
      <c r="D173" s="22" t="n"/>
      <c r="E173" s="22" t="n"/>
      <c r="F173" s="22"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c r="AA173" s="22" t="n"/>
      <c r="AB173" s="22" t="n"/>
      <c r="AC173" s="22" t="n"/>
      <c r="AD173" s="22" t="n"/>
      <c r="AE173" s="22" t="n"/>
      <c r="AF173" s="22" t="n"/>
      <c r="AG173" s="22" t="n"/>
      <c r="AH173" s="22" t="n"/>
      <c r="AI173" s="22" t="n"/>
      <c r="AJ173" s="22" t="n"/>
      <c r="AK173" s="22" t="n"/>
      <c r="AL173" s="22" t="n"/>
      <c r="AM173" s="22" t="n"/>
      <c r="AN173" s="22" t="n"/>
      <c r="AO173" s="22" t="n"/>
      <c r="AP173" s="22" t="n"/>
      <c r="AQ173" s="22" t="n"/>
      <c r="AR173" s="22" t="n"/>
      <c r="AS173" s="22" t="n"/>
      <c r="AT173" s="22" t="n"/>
      <c r="AU173" s="22" t="n"/>
      <c r="AV173" s="22" t="n"/>
      <c r="AW173" s="22" t="n"/>
      <c r="AX173" s="22" t="n"/>
      <c r="AY173" s="22" t="n"/>
      <c r="AZ173" s="22" t="n"/>
      <c r="BA173" s="22" t="n"/>
      <c r="BB173" s="22" t="n"/>
      <c r="BC173" s="22" t="n"/>
      <c r="BD173" s="22" t="n"/>
      <c r="BE173" s="22" t="n"/>
      <c r="BF173" s="22" t="n"/>
      <c r="BG173" s="22" t="n"/>
      <c r="BH173" s="22" t="n"/>
      <c r="BI173" s="22" t="n"/>
      <c r="BJ173" s="22" t="n"/>
      <c r="BK173" s="22" t="n"/>
      <c r="BL173" s="22" t="n"/>
      <c r="BM173" s="22" t="n"/>
      <c r="BN173" s="22" t="n"/>
      <c r="BO173" s="22" t="n"/>
      <c r="BP173" s="22" t="n"/>
      <c r="BQ173" s="31" t="n"/>
      <c r="BR173" s="31" t="n"/>
      <c r="BS173" s="31" t="n"/>
      <c r="BT173" s="31" t="n"/>
    </row>
    <row r="174" ht="15.75" customHeight="1" s="349">
      <c r="A174" s="22" t="n"/>
      <c r="B174" s="22" t="n"/>
      <c r="C174" s="22" t="n"/>
      <c r="D174" s="22" t="n"/>
      <c r="E174" s="22" t="n"/>
      <c r="F174" s="22"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c r="AA174" s="22" t="n"/>
      <c r="AB174" s="22" t="n"/>
      <c r="AC174" s="22" t="n"/>
      <c r="AD174" s="22" t="n"/>
      <c r="AE174" s="22" t="n"/>
      <c r="AF174" s="22" t="n"/>
      <c r="AG174" s="22" t="n"/>
      <c r="AH174" s="22" t="n"/>
      <c r="AI174" s="22" t="n"/>
      <c r="AJ174" s="22" t="n"/>
      <c r="AK174" s="22" t="n"/>
      <c r="AL174" s="22" t="n"/>
      <c r="AM174" s="22" t="n"/>
      <c r="AN174" s="22" t="n"/>
      <c r="AO174" s="22" t="n"/>
      <c r="AP174" s="22" t="n"/>
      <c r="AQ174" s="22" t="n"/>
      <c r="AR174" s="22" t="n"/>
      <c r="AS174" s="22" t="n"/>
      <c r="AT174" s="22" t="n"/>
      <c r="AU174" s="22" t="n"/>
      <c r="AV174" s="22" t="n"/>
      <c r="AW174" s="22" t="n"/>
      <c r="AX174" s="22" t="n"/>
      <c r="AY174" s="22" t="n"/>
      <c r="AZ174" s="22" t="n"/>
      <c r="BA174" s="22" t="n"/>
      <c r="BB174" s="22" t="n"/>
      <c r="BC174" s="22" t="n"/>
      <c r="BD174" s="22" t="n"/>
      <c r="BE174" s="22" t="n"/>
      <c r="BF174" s="22" t="n"/>
      <c r="BG174" s="22" t="n"/>
      <c r="BH174" s="22" t="n"/>
      <c r="BI174" s="22" t="n"/>
      <c r="BJ174" s="22" t="n"/>
      <c r="BK174" s="22" t="n"/>
      <c r="BL174" s="22" t="n"/>
      <c r="BM174" s="22" t="n"/>
      <c r="BN174" s="22" t="n"/>
      <c r="BO174" s="22" t="n"/>
      <c r="BP174" s="22" t="n"/>
      <c r="BQ174" s="31" t="n"/>
      <c r="BR174" s="31" t="n"/>
      <c r="BS174" s="31" t="n"/>
      <c r="BT174" s="31" t="n"/>
    </row>
    <row r="175" ht="15.75" customHeight="1" s="349">
      <c r="A175" s="22" t="n"/>
      <c r="B175" s="22" t="n"/>
      <c r="C175" s="22" t="n"/>
      <c r="D175" s="22" t="n"/>
      <c r="E175" s="22" t="n"/>
      <c r="F175" s="22"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c r="AA175" s="22" t="n"/>
      <c r="AB175" s="22" t="n"/>
      <c r="AC175" s="22" t="n"/>
      <c r="AD175" s="22" t="n"/>
      <c r="AE175" s="22" t="n"/>
      <c r="AF175" s="22" t="n"/>
      <c r="AG175" s="22" t="n"/>
      <c r="AH175" s="22" t="n"/>
      <c r="AI175" s="22" t="n"/>
      <c r="AJ175" s="22" t="n"/>
      <c r="AK175" s="22" t="n"/>
      <c r="AL175" s="22" t="n"/>
      <c r="AM175" s="22" t="n"/>
      <c r="AN175" s="22" t="n"/>
      <c r="AO175" s="22" t="n"/>
      <c r="AP175" s="22" t="n"/>
      <c r="AQ175" s="22" t="n"/>
      <c r="AR175" s="22" t="n"/>
      <c r="AS175" s="22" t="n"/>
      <c r="AT175" s="22" t="n"/>
      <c r="AU175" s="22" t="n"/>
      <c r="AV175" s="22" t="n"/>
      <c r="AW175" s="22" t="n"/>
      <c r="AX175" s="22" t="n"/>
      <c r="AY175" s="22" t="n"/>
      <c r="AZ175" s="22" t="n"/>
      <c r="BA175" s="22" t="n"/>
      <c r="BB175" s="22" t="n"/>
      <c r="BC175" s="22" t="n"/>
      <c r="BD175" s="22" t="n"/>
      <c r="BE175" s="22" t="n"/>
      <c r="BF175" s="22" t="n"/>
      <c r="BG175" s="22" t="n"/>
      <c r="BH175" s="22" t="n"/>
      <c r="BI175" s="22" t="n"/>
      <c r="BJ175" s="22" t="n"/>
      <c r="BK175" s="22" t="n"/>
      <c r="BL175" s="22" t="n"/>
      <c r="BM175" s="22" t="n"/>
      <c r="BN175" s="22" t="n"/>
      <c r="BO175" s="22" t="n"/>
      <c r="BP175" s="22" t="n"/>
      <c r="BQ175" s="31" t="n"/>
      <c r="BR175" s="31" t="n"/>
      <c r="BS175" s="31" t="n"/>
      <c r="BT175" s="31" t="n"/>
    </row>
    <row r="176" ht="15.75" customHeight="1" s="349">
      <c r="A176" s="22" t="n"/>
      <c r="B176" s="22" t="n"/>
      <c r="C176" s="22" t="n"/>
      <c r="D176" s="22" t="n"/>
      <c r="E176" s="22" t="n"/>
      <c r="F176" s="22"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c r="AA176" s="22" t="n"/>
      <c r="AB176" s="22" t="n"/>
      <c r="AC176" s="22" t="n"/>
      <c r="AD176" s="22" t="n"/>
      <c r="AE176" s="22" t="n"/>
      <c r="AF176" s="22" t="n"/>
      <c r="AG176" s="22" t="n"/>
      <c r="AH176" s="22" t="n"/>
      <c r="AI176" s="22" t="n"/>
      <c r="AJ176" s="22" t="n"/>
      <c r="AK176" s="22" t="n"/>
      <c r="AL176" s="22" t="n"/>
      <c r="AM176" s="22" t="n"/>
      <c r="AN176" s="22" t="n"/>
      <c r="AO176" s="22" t="n"/>
      <c r="AP176" s="22" t="n"/>
      <c r="AQ176" s="22" t="n"/>
      <c r="AR176" s="22" t="n"/>
      <c r="AS176" s="22" t="n"/>
      <c r="AT176" s="22" t="n"/>
      <c r="AU176" s="22" t="n"/>
      <c r="AV176" s="22" t="n"/>
      <c r="AW176" s="22" t="n"/>
      <c r="AX176" s="22" t="n"/>
      <c r="AY176" s="22" t="n"/>
      <c r="AZ176" s="22" t="n"/>
      <c r="BA176" s="22" t="n"/>
      <c r="BB176" s="22" t="n"/>
      <c r="BC176" s="22" t="n"/>
      <c r="BD176" s="22" t="n"/>
      <c r="BE176" s="22" t="n"/>
      <c r="BF176" s="22" t="n"/>
      <c r="BG176" s="22" t="n"/>
      <c r="BH176" s="22" t="n"/>
      <c r="BI176" s="22" t="n"/>
      <c r="BJ176" s="22" t="n"/>
      <c r="BK176" s="22" t="n"/>
      <c r="BL176" s="22" t="n"/>
      <c r="BM176" s="22" t="n"/>
      <c r="BN176" s="22" t="n"/>
      <c r="BO176" s="22" t="n"/>
      <c r="BP176" s="22" t="n"/>
      <c r="BQ176" s="31" t="n"/>
      <c r="BR176" s="31" t="n"/>
      <c r="BS176" s="31" t="n"/>
      <c r="BT176" s="31" t="n"/>
    </row>
    <row r="177" ht="15.75" customHeight="1" s="349">
      <c r="A177" s="22" t="n"/>
      <c r="B177" s="22" t="n"/>
      <c r="C177" s="22" t="n"/>
      <c r="D177" s="22" t="n"/>
      <c r="E177" s="22" t="n"/>
      <c r="F177" s="22"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c r="AA177" s="22" t="n"/>
      <c r="AB177" s="22" t="n"/>
      <c r="AC177" s="22" t="n"/>
      <c r="AD177" s="22" t="n"/>
      <c r="AE177" s="22" t="n"/>
      <c r="AF177" s="22" t="n"/>
      <c r="AG177" s="22" t="n"/>
      <c r="AH177" s="22" t="n"/>
      <c r="AI177" s="22" t="n"/>
      <c r="AJ177" s="22" t="n"/>
      <c r="AK177" s="22" t="n"/>
      <c r="AL177" s="22" t="n"/>
      <c r="AM177" s="22" t="n"/>
      <c r="AN177" s="22" t="n"/>
      <c r="AO177" s="22" t="n"/>
      <c r="AP177" s="22" t="n"/>
      <c r="AQ177" s="22" t="n"/>
      <c r="AR177" s="22" t="n"/>
      <c r="AS177" s="22" t="n"/>
      <c r="AT177" s="22" t="n"/>
      <c r="AU177" s="22" t="n"/>
      <c r="AV177" s="22" t="n"/>
      <c r="AW177" s="22" t="n"/>
      <c r="AX177" s="22" t="n"/>
      <c r="AY177" s="22" t="n"/>
      <c r="AZ177" s="22" t="n"/>
      <c r="BA177" s="22" t="n"/>
      <c r="BB177" s="22" t="n"/>
      <c r="BC177" s="22" t="n"/>
      <c r="BD177" s="22" t="n"/>
      <c r="BE177" s="22" t="n"/>
      <c r="BF177" s="22" t="n"/>
      <c r="BG177" s="22" t="n"/>
      <c r="BH177" s="22" t="n"/>
      <c r="BI177" s="22" t="n"/>
      <c r="BJ177" s="22" t="n"/>
      <c r="BK177" s="22" t="n"/>
      <c r="BL177" s="22" t="n"/>
      <c r="BM177" s="22" t="n"/>
      <c r="BN177" s="22" t="n"/>
      <c r="BO177" s="22" t="n"/>
      <c r="BP177" s="22" t="n"/>
      <c r="BQ177" s="31" t="n"/>
      <c r="BR177" s="31" t="n"/>
      <c r="BS177" s="31" t="n"/>
      <c r="BT177" s="31" t="n"/>
    </row>
    <row r="178" ht="15.75" customHeight="1" s="349">
      <c r="A178" s="22" t="n"/>
      <c r="B178" s="22" t="n"/>
      <c r="C178" s="22" t="n"/>
      <c r="D178" s="22" t="n"/>
      <c r="E178" s="22" t="n"/>
      <c r="F178" s="22"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c r="AA178" s="22" t="n"/>
      <c r="AB178" s="22" t="n"/>
      <c r="AC178" s="22" t="n"/>
      <c r="AD178" s="22" t="n"/>
      <c r="AE178" s="22" t="n"/>
      <c r="AF178" s="22" t="n"/>
      <c r="AG178" s="22" t="n"/>
      <c r="AH178" s="22" t="n"/>
      <c r="AI178" s="22" t="n"/>
      <c r="AJ178" s="22" t="n"/>
      <c r="AK178" s="22" t="n"/>
      <c r="AL178" s="22" t="n"/>
      <c r="AM178" s="22" t="n"/>
      <c r="AN178" s="22" t="n"/>
      <c r="AO178" s="22" t="n"/>
      <c r="AP178" s="22" t="n"/>
      <c r="AQ178" s="22" t="n"/>
      <c r="AR178" s="22" t="n"/>
      <c r="AS178" s="22" t="n"/>
      <c r="AT178" s="22" t="n"/>
      <c r="AU178" s="22" t="n"/>
      <c r="AV178" s="22" t="n"/>
      <c r="AW178" s="22" t="n"/>
      <c r="AX178" s="22" t="n"/>
      <c r="AY178" s="22" t="n"/>
      <c r="AZ178" s="22" t="n"/>
      <c r="BA178" s="22" t="n"/>
      <c r="BB178" s="22" t="n"/>
      <c r="BC178" s="22" t="n"/>
      <c r="BD178" s="22" t="n"/>
      <c r="BE178" s="22" t="n"/>
      <c r="BF178" s="22" t="n"/>
      <c r="BG178" s="22" t="n"/>
      <c r="BH178" s="22" t="n"/>
      <c r="BI178" s="22" t="n"/>
      <c r="BJ178" s="22" t="n"/>
      <c r="BK178" s="22" t="n"/>
      <c r="BL178" s="22" t="n"/>
      <c r="BM178" s="22" t="n"/>
      <c r="BN178" s="22" t="n"/>
      <c r="BO178" s="22" t="n"/>
      <c r="BP178" s="22" t="n"/>
      <c r="BQ178" s="31" t="n"/>
      <c r="BR178" s="31" t="n"/>
      <c r="BS178" s="31" t="n"/>
      <c r="BT178" s="31" t="n"/>
    </row>
    <row r="179" ht="15.75" customHeight="1" s="349">
      <c r="A179" s="22" t="n"/>
      <c r="B179" s="22" t="n"/>
      <c r="C179" s="22" t="n"/>
      <c r="D179" s="22" t="n"/>
      <c r="E179" s="22" t="n"/>
      <c r="F179" s="22"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c r="AA179" s="22" t="n"/>
      <c r="AB179" s="22" t="n"/>
      <c r="AC179" s="22" t="n"/>
      <c r="AD179" s="22" t="n"/>
      <c r="AE179" s="22" t="n"/>
      <c r="AF179" s="22" t="n"/>
      <c r="AG179" s="22" t="n"/>
      <c r="AH179" s="22" t="n"/>
      <c r="AI179" s="22" t="n"/>
      <c r="AJ179" s="22" t="n"/>
      <c r="AK179" s="22" t="n"/>
      <c r="AL179" s="22" t="n"/>
      <c r="AM179" s="22" t="n"/>
      <c r="AN179" s="22" t="n"/>
      <c r="AO179" s="22" t="n"/>
      <c r="AP179" s="22" t="n"/>
      <c r="AQ179" s="22" t="n"/>
      <c r="AR179" s="22" t="n"/>
      <c r="AS179" s="22" t="n"/>
      <c r="AT179" s="22" t="n"/>
      <c r="AU179" s="22" t="n"/>
      <c r="AV179" s="22" t="n"/>
      <c r="AW179" s="22" t="n"/>
      <c r="AX179" s="22" t="n"/>
      <c r="AY179" s="22" t="n"/>
      <c r="AZ179" s="22" t="n"/>
      <c r="BA179" s="22" t="n"/>
      <c r="BB179" s="22" t="n"/>
      <c r="BC179" s="22" t="n"/>
      <c r="BD179" s="22" t="n"/>
      <c r="BE179" s="22" t="n"/>
      <c r="BF179" s="22" t="n"/>
      <c r="BG179" s="22" t="n"/>
      <c r="BH179" s="22" t="n"/>
      <c r="BI179" s="22" t="n"/>
      <c r="BJ179" s="22" t="n"/>
      <c r="BK179" s="22" t="n"/>
      <c r="BL179" s="22" t="n"/>
      <c r="BM179" s="22" t="n"/>
      <c r="BN179" s="22" t="n"/>
      <c r="BO179" s="22" t="n"/>
      <c r="BP179" s="22" t="n"/>
      <c r="BQ179" s="31" t="n"/>
      <c r="BR179" s="31" t="n"/>
      <c r="BS179" s="31" t="n"/>
      <c r="BT179" s="31" t="n"/>
    </row>
    <row r="180" ht="15.75" customHeight="1" s="349">
      <c r="A180" s="22" t="n"/>
      <c r="B180" s="22" t="n"/>
      <c r="C180" s="22" t="n"/>
      <c r="D180" s="22" t="n"/>
      <c r="E180" s="22" t="n"/>
      <c r="F180" s="22"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c r="AA180" s="22" t="n"/>
      <c r="AB180" s="22" t="n"/>
      <c r="AC180" s="22" t="n"/>
      <c r="AD180" s="22" t="n"/>
      <c r="AE180" s="22" t="n"/>
      <c r="AF180" s="22" t="n"/>
      <c r="AG180" s="22" t="n"/>
      <c r="AH180" s="22" t="n"/>
      <c r="AI180" s="22" t="n"/>
      <c r="AJ180" s="22" t="n"/>
      <c r="AK180" s="22" t="n"/>
      <c r="AL180" s="22" t="n"/>
      <c r="AM180" s="22" t="n"/>
      <c r="AN180" s="22" t="n"/>
      <c r="AO180" s="22" t="n"/>
      <c r="AP180" s="22" t="n"/>
      <c r="AQ180" s="22" t="n"/>
      <c r="AR180" s="22" t="n"/>
      <c r="AS180" s="22" t="n"/>
      <c r="AT180" s="22" t="n"/>
      <c r="AU180" s="22" t="n"/>
      <c r="AV180" s="22" t="n"/>
      <c r="AW180" s="22" t="n"/>
      <c r="AX180" s="22" t="n"/>
      <c r="AY180" s="22" t="n"/>
      <c r="AZ180" s="22" t="n"/>
      <c r="BA180" s="22" t="n"/>
      <c r="BB180" s="22" t="n"/>
      <c r="BC180" s="22" t="n"/>
      <c r="BD180" s="22" t="n"/>
      <c r="BE180" s="22" t="n"/>
      <c r="BF180" s="22" t="n"/>
      <c r="BG180" s="22" t="n"/>
      <c r="BH180" s="22" t="n"/>
      <c r="BI180" s="22" t="n"/>
      <c r="BJ180" s="22" t="n"/>
      <c r="BK180" s="22" t="n"/>
      <c r="BL180" s="22" t="n"/>
      <c r="BM180" s="22" t="n"/>
      <c r="BN180" s="22" t="n"/>
      <c r="BO180" s="22" t="n"/>
      <c r="BP180" s="22" t="n"/>
      <c r="BQ180" s="31" t="n"/>
      <c r="BR180" s="31" t="n"/>
      <c r="BS180" s="31" t="n"/>
      <c r="BT180" s="31" t="n"/>
    </row>
    <row r="181" ht="15.75" customHeight="1" s="349">
      <c r="A181" s="22" t="n"/>
      <c r="B181" s="22" t="n"/>
      <c r="C181" s="22" t="n"/>
      <c r="D181" s="22" t="n"/>
      <c r="E181" s="22" t="n"/>
      <c r="F181" s="22"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c r="AA181" s="22" t="n"/>
      <c r="AB181" s="22" t="n"/>
      <c r="AC181" s="22" t="n"/>
      <c r="AD181" s="22" t="n"/>
      <c r="AE181" s="22" t="n"/>
      <c r="AF181" s="22" t="n"/>
      <c r="AG181" s="22" t="n"/>
      <c r="AH181" s="22" t="n"/>
      <c r="AI181" s="22" t="n"/>
      <c r="AJ181" s="22" t="n"/>
      <c r="AK181" s="22" t="n"/>
      <c r="AL181" s="22" t="n"/>
      <c r="AM181" s="22" t="n"/>
      <c r="AN181" s="22" t="n"/>
      <c r="AO181" s="22" t="n"/>
      <c r="AP181" s="22" t="n"/>
      <c r="AQ181" s="22" t="n"/>
      <c r="AR181" s="22" t="n"/>
      <c r="AS181" s="22" t="n"/>
      <c r="AT181" s="22" t="n"/>
      <c r="AU181" s="22" t="n"/>
      <c r="AV181" s="22" t="n"/>
      <c r="AW181" s="22" t="n"/>
      <c r="AX181" s="22" t="n"/>
      <c r="AY181" s="22" t="n"/>
      <c r="AZ181" s="22" t="n"/>
      <c r="BA181" s="22" t="n"/>
      <c r="BB181" s="22" t="n"/>
      <c r="BC181" s="22" t="n"/>
      <c r="BD181" s="22" t="n"/>
      <c r="BE181" s="22" t="n"/>
      <c r="BF181" s="22" t="n"/>
      <c r="BG181" s="22" t="n"/>
      <c r="BH181" s="22" t="n"/>
      <c r="BI181" s="22" t="n"/>
      <c r="BJ181" s="22" t="n"/>
      <c r="BK181" s="22" t="n"/>
      <c r="BL181" s="22" t="n"/>
      <c r="BM181" s="22" t="n"/>
      <c r="BN181" s="22" t="n"/>
      <c r="BO181" s="22" t="n"/>
      <c r="BP181" s="22" t="n"/>
      <c r="BQ181" s="31" t="n"/>
      <c r="BR181" s="31" t="n"/>
      <c r="BS181" s="31" t="n"/>
      <c r="BT181" s="31" t="n"/>
    </row>
    <row r="182" ht="15.75" customHeight="1" s="349">
      <c r="A182" s="22" t="n"/>
      <c r="B182" s="22" t="n"/>
      <c r="C182" s="22" t="n"/>
      <c r="D182" s="22" t="n"/>
      <c r="E182" s="22" t="n"/>
      <c r="F182" s="22"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c r="AA182" s="22" t="n"/>
      <c r="AB182" s="22" t="n"/>
      <c r="AC182" s="22" t="n"/>
      <c r="AD182" s="22" t="n"/>
      <c r="AE182" s="22" t="n"/>
      <c r="AF182" s="22" t="n"/>
      <c r="AG182" s="22" t="n"/>
      <c r="AH182" s="22" t="n"/>
      <c r="AI182" s="22" t="n"/>
      <c r="AJ182" s="22" t="n"/>
      <c r="AK182" s="22" t="n"/>
      <c r="AL182" s="22" t="n"/>
      <c r="AM182" s="22" t="n"/>
      <c r="AN182" s="22" t="n"/>
      <c r="AO182" s="22" t="n"/>
      <c r="AP182" s="22" t="n"/>
      <c r="AQ182" s="22" t="n"/>
      <c r="AR182" s="22" t="n"/>
      <c r="AS182" s="22" t="n"/>
      <c r="AT182" s="22" t="n"/>
      <c r="AU182" s="22" t="n"/>
      <c r="AV182" s="22" t="n"/>
      <c r="AW182" s="22" t="n"/>
      <c r="AX182" s="22" t="n"/>
      <c r="AY182" s="22" t="n"/>
      <c r="AZ182" s="22" t="n"/>
      <c r="BA182" s="22" t="n"/>
      <c r="BB182" s="22" t="n"/>
      <c r="BC182" s="22" t="n"/>
      <c r="BD182" s="22" t="n"/>
      <c r="BE182" s="22" t="n"/>
      <c r="BF182" s="22" t="n"/>
      <c r="BG182" s="22" t="n"/>
      <c r="BH182" s="22" t="n"/>
      <c r="BI182" s="22" t="n"/>
      <c r="BJ182" s="22" t="n"/>
      <c r="BK182" s="22" t="n"/>
      <c r="BL182" s="22" t="n"/>
      <c r="BM182" s="22" t="n"/>
      <c r="BN182" s="22" t="n"/>
      <c r="BO182" s="22" t="n"/>
      <c r="BP182" s="22" t="n"/>
      <c r="BQ182" s="31" t="n"/>
      <c r="BR182" s="31" t="n"/>
      <c r="BS182" s="31" t="n"/>
      <c r="BT182" s="31" t="n"/>
    </row>
    <row r="183" ht="15.75" customHeight="1" s="349">
      <c r="A183" s="22" t="n"/>
      <c r="B183" s="22" t="n"/>
      <c r="C183" s="22" t="n"/>
      <c r="D183" s="22" t="n"/>
      <c r="E183" s="22" t="n"/>
      <c r="F183" s="22"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c r="AA183" s="22" t="n"/>
      <c r="AB183" s="22" t="n"/>
      <c r="AC183" s="22" t="n"/>
      <c r="AD183" s="22" t="n"/>
      <c r="AE183" s="22" t="n"/>
      <c r="AF183" s="22" t="n"/>
      <c r="AG183" s="22" t="n"/>
      <c r="AH183" s="22" t="n"/>
      <c r="AI183" s="22" t="n"/>
      <c r="AJ183" s="22" t="n"/>
      <c r="AK183" s="22" t="n"/>
      <c r="AL183" s="22" t="n"/>
      <c r="AM183" s="22" t="n"/>
      <c r="AN183" s="22" t="n"/>
      <c r="AO183" s="22" t="n"/>
      <c r="AP183" s="22" t="n"/>
      <c r="AQ183" s="22" t="n"/>
      <c r="AR183" s="22" t="n"/>
      <c r="AS183" s="22" t="n"/>
      <c r="AT183" s="22" t="n"/>
      <c r="AU183" s="22" t="n"/>
      <c r="AV183" s="22" t="n"/>
      <c r="AW183" s="22" t="n"/>
      <c r="AX183" s="22" t="n"/>
      <c r="AY183" s="22" t="n"/>
      <c r="AZ183" s="22" t="n"/>
      <c r="BA183" s="22" t="n"/>
      <c r="BB183" s="22" t="n"/>
      <c r="BC183" s="22" t="n"/>
      <c r="BD183" s="22" t="n"/>
      <c r="BE183" s="22" t="n"/>
      <c r="BF183" s="22" t="n"/>
      <c r="BG183" s="22" t="n"/>
      <c r="BH183" s="22" t="n"/>
      <c r="BI183" s="22" t="n"/>
      <c r="BJ183" s="22" t="n"/>
      <c r="BK183" s="22" t="n"/>
      <c r="BL183" s="22" t="n"/>
      <c r="BM183" s="22" t="n"/>
      <c r="BN183" s="22" t="n"/>
      <c r="BO183" s="22" t="n"/>
      <c r="BP183" s="22" t="n"/>
      <c r="BQ183" s="31" t="n"/>
      <c r="BR183" s="31" t="n"/>
      <c r="BS183" s="31" t="n"/>
      <c r="BT183" s="31" t="n"/>
    </row>
    <row r="184" ht="15.75" customHeight="1" s="349">
      <c r="A184" s="22" t="n"/>
      <c r="B184" s="22" t="n"/>
      <c r="C184" s="22" t="n"/>
      <c r="D184" s="22" t="n"/>
      <c r="E184" s="22" t="n"/>
      <c r="F184" s="22"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c r="AA184" s="22" t="n"/>
      <c r="AB184" s="22" t="n"/>
      <c r="AC184" s="22" t="n"/>
      <c r="AD184" s="22" t="n"/>
      <c r="AE184" s="22" t="n"/>
      <c r="AF184" s="22" t="n"/>
      <c r="AG184" s="22" t="n"/>
      <c r="AH184" s="22" t="n"/>
      <c r="AI184" s="22" t="n"/>
      <c r="AJ184" s="22" t="n"/>
      <c r="AK184" s="22" t="n"/>
      <c r="AL184" s="22" t="n"/>
      <c r="AM184" s="22" t="n"/>
      <c r="AN184" s="22" t="n"/>
      <c r="AO184" s="22" t="n"/>
      <c r="AP184" s="22" t="n"/>
      <c r="AQ184" s="22" t="n"/>
      <c r="AR184" s="22" t="n"/>
      <c r="AS184" s="22" t="n"/>
      <c r="AT184" s="22" t="n"/>
      <c r="AU184" s="22" t="n"/>
      <c r="AV184" s="22" t="n"/>
      <c r="AW184" s="22" t="n"/>
      <c r="AX184" s="22" t="n"/>
      <c r="AY184" s="22" t="n"/>
      <c r="AZ184" s="22" t="n"/>
      <c r="BA184" s="22" t="n"/>
      <c r="BB184" s="22" t="n"/>
      <c r="BC184" s="22" t="n"/>
      <c r="BD184" s="22" t="n"/>
      <c r="BE184" s="22" t="n"/>
      <c r="BF184" s="22" t="n"/>
      <c r="BG184" s="22" t="n"/>
      <c r="BH184" s="22" t="n"/>
      <c r="BI184" s="22" t="n"/>
      <c r="BJ184" s="22" t="n"/>
      <c r="BK184" s="22" t="n"/>
      <c r="BL184" s="22" t="n"/>
      <c r="BM184" s="22" t="n"/>
      <c r="BN184" s="22" t="n"/>
      <c r="BO184" s="22" t="n"/>
      <c r="BP184" s="22" t="n"/>
      <c r="BQ184" s="31" t="n"/>
      <c r="BR184" s="31" t="n"/>
      <c r="BS184" s="31" t="n"/>
      <c r="BT184" s="31" t="n"/>
    </row>
    <row r="185" ht="15.75" customHeight="1" s="349">
      <c r="A185" s="22" t="n"/>
      <c r="B185" s="22" t="n"/>
      <c r="C185" s="22" t="n"/>
      <c r="D185" s="22" t="n"/>
      <c r="E185" s="22" t="n"/>
      <c r="F185" s="22"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c r="AA185" s="22" t="n"/>
      <c r="AB185" s="22" t="n"/>
      <c r="AC185" s="22" t="n"/>
      <c r="AD185" s="22" t="n"/>
      <c r="AE185" s="22" t="n"/>
      <c r="AF185" s="22" t="n"/>
      <c r="AG185" s="22" t="n"/>
      <c r="AH185" s="22" t="n"/>
      <c r="AI185" s="22" t="n"/>
      <c r="AJ185" s="22" t="n"/>
      <c r="AK185" s="22" t="n"/>
      <c r="AL185" s="22" t="n"/>
      <c r="AM185" s="22" t="n"/>
      <c r="AN185" s="22" t="n"/>
      <c r="AO185" s="22" t="n"/>
      <c r="AP185" s="22" t="n"/>
      <c r="AQ185" s="22" t="n"/>
      <c r="AR185" s="22" t="n"/>
      <c r="AS185" s="22" t="n"/>
      <c r="AT185" s="22" t="n"/>
      <c r="AU185" s="22" t="n"/>
      <c r="AV185" s="22" t="n"/>
      <c r="AW185" s="22" t="n"/>
      <c r="AX185" s="22" t="n"/>
      <c r="AY185" s="22" t="n"/>
      <c r="AZ185" s="22" t="n"/>
      <c r="BA185" s="22" t="n"/>
      <c r="BB185" s="22" t="n"/>
      <c r="BC185" s="22" t="n"/>
      <c r="BD185" s="22" t="n"/>
      <c r="BE185" s="22" t="n"/>
      <c r="BF185" s="22" t="n"/>
      <c r="BG185" s="22" t="n"/>
      <c r="BH185" s="22" t="n"/>
      <c r="BI185" s="22" t="n"/>
      <c r="BJ185" s="22" t="n"/>
      <c r="BK185" s="22" t="n"/>
      <c r="BL185" s="22" t="n"/>
      <c r="BM185" s="22" t="n"/>
      <c r="BN185" s="22" t="n"/>
      <c r="BO185" s="22" t="n"/>
      <c r="BP185" s="22" t="n"/>
      <c r="BQ185" s="31" t="n"/>
      <c r="BR185" s="31" t="n"/>
      <c r="BS185" s="31" t="n"/>
      <c r="BT185" s="31" t="n"/>
    </row>
    <row r="186" ht="15.75" customHeight="1" s="349">
      <c r="A186" s="22" t="n"/>
      <c r="B186" s="22" t="n"/>
      <c r="C186" s="22" t="n"/>
      <c r="D186" s="22" t="n"/>
      <c r="E186" s="22" t="n"/>
      <c r="F186" s="22"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c r="AA186" s="22" t="n"/>
      <c r="AB186" s="22" t="n"/>
      <c r="AC186" s="22" t="n"/>
      <c r="AD186" s="22" t="n"/>
      <c r="AE186" s="22" t="n"/>
      <c r="AF186" s="22" t="n"/>
      <c r="AG186" s="22" t="n"/>
      <c r="AH186" s="22" t="n"/>
      <c r="AI186" s="22" t="n"/>
      <c r="AJ186" s="22" t="n"/>
      <c r="AK186" s="22" t="n"/>
      <c r="AL186" s="22" t="n"/>
      <c r="AM186" s="22" t="n"/>
      <c r="AN186" s="22" t="n"/>
      <c r="AO186" s="22" t="n"/>
      <c r="AP186" s="22" t="n"/>
      <c r="AQ186" s="22" t="n"/>
      <c r="AR186" s="22" t="n"/>
      <c r="AS186" s="22" t="n"/>
      <c r="AT186" s="22" t="n"/>
      <c r="AU186" s="22" t="n"/>
      <c r="AV186" s="22" t="n"/>
      <c r="AW186" s="22" t="n"/>
      <c r="AX186" s="22" t="n"/>
      <c r="AY186" s="22" t="n"/>
      <c r="AZ186" s="22" t="n"/>
      <c r="BA186" s="22" t="n"/>
      <c r="BB186" s="22" t="n"/>
      <c r="BC186" s="22" t="n"/>
      <c r="BD186" s="22" t="n"/>
      <c r="BE186" s="22" t="n"/>
      <c r="BF186" s="22" t="n"/>
      <c r="BG186" s="22" t="n"/>
      <c r="BH186" s="22" t="n"/>
      <c r="BI186" s="22" t="n"/>
      <c r="BJ186" s="22" t="n"/>
      <c r="BK186" s="22" t="n"/>
      <c r="BL186" s="22" t="n"/>
      <c r="BM186" s="22" t="n"/>
      <c r="BN186" s="22" t="n"/>
      <c r="BO186" s="22" t="n"/>
      <c r="BP186" s="22" t="n"/>
      <c r="BQ186" s="31" t="n"/>
      <c r="BR186" s="31" t="n"/>
      <c r="BS186" s="31" t="n"/>
      <c r="BT186" s="31" t="n"/>
    </row>
    <row r="187" ht="15.75" customHeight="1" s="349">
      <c r="A187" s="22" t="n"/>
      <c r="B187" s="22" t="n"/>
      <c r="C187" s="22" t="n"/>
      <c r="D187" s="22" t="n"/>
      <c r="E187" s="22" t="n"/>
      <c r="F187" s="22"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c r="AA187" s="22" t="n"/>
      <c r="AB187" s="22" t="n"/>
      <c r="AC187" s="22" t="n"/>
      <c r="AD187" s="22" t="n"/>
      <c r="AE187" s="22" t="n"/>
      <c r="AF187" s="22" t="n"/>
      <c r="AG187" s="22" t="n"/>
      <c r="AH187" s="22" t="n"/>
      <c r="AI187" s="22" t="n"/>
      <c r="AJ187" s="22" t="n"/>
      <c r="AK187" s="22" t="n"/>
      <c r="AL187" s="22" t="n"/>
      <c r="AM187" s="22" t="n"/>
      <c r="AN187" s="22" t="n"/>
      <c r="AO187" s="22" t="n"/>
      <c r="AP187" s="22" t="n"/>
      <c r="AQ187" s="22" t="n"/>
      <c r="AR187" s="22" t="n"/>
      <c r="AS187" s="22" t="n"/>
      <c r="AT187" s="22" t="n"/>
      <c r="AU187" s="22" t="n"/>
      <c r="AV187" s="22" t="n"/>
      <c r="AW187" s="22" t="n"/>
      <c r="AX187" s="22" t="n"/>
      <c r="AY187" s="22" t="n"/>
      <c r="AZ187" s="22" t="n"/>
      <c r="BA187" s="22" t="n"/>
      <c r="BB187" s="22" t="n"/>
      <c r="BC187" s="22" t="n"/>
      <c r="BD187" s="22" t="n"/>
      <c r="BE187" s="22" t="n"/>
      <c r="BF187" s="22" t="n"/>
      <c r="BG187" s="22" t="n"/>
      <c r="BH187" s="22" t="n"/>
      <c r="BI187" s="22" t="n"/>
      <c r="BJ187" s="22" t="n"/>
      <c r="BK187" s="22" t="n"/>
      <c r="BL187" s="22" t="n"/>
      <c r="BM187" s="22" t="n"/>
      <c r="BN187" s="22" t="n"/>
      <c r="BO187" s="22" t="n"/>
      <c r="BP187" s="22" t="n"/>
      <c r="BQ187" s="31" t="n"/>
      <c r="BR187" s="31" t="n"/>
      <c r="BS187" s="31" t="n"/>
      <c r="BT187" s="31" t="n"/>
    </row>
    <row r="188" ht="15.75" customHeight="1" s="349">
      <c r="A188" s="22" t="n"/>
      <c r="B188" s="22" t="n"/>
      <c r="C188" s="22" t="n"/>
      <c r="D188" s="22" t="n"/>
      <c r="E188" s="22" t="n"/>
      <c r="F188" s="22"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c r="AA188" s="22" t="n"/>
      <c r="AB188" s="22" t="n"/>
      <c r="AC188" s="22" t="n"/>
      <c r="AD188" s="22" t="n"/>
      <c r="AE188" s="22" t="n"/>
      <c r="AF188" s="22" t="n"/>
      <c r="AG188" s="22" t="n"/>
      <c r="AH188" s="22" t="n"/>
      <c r="AI188" s="22" t="n"/>
      <c r="AJ188" s="22" t="n"/>
      <c r="AK188" s="22" t="n"/>
      <c r="AL188" s="22" t="n"/>
      <c r="AM188" s="22" t="n"/>
      <c r="AN188" s="22" t="n"/>
      <c r="AO188" s="22" t="n"/>
      <c r="AP188" s="22" t="n"/>
      <c r="AQ188" s="22" t="n"/>
      <c r="AR188" s="22" t="n"/>
      <c r="AS188" s="22" t="n"/>
      <c r="AT188" s="22" t="n"/>
      <c r="AU188" s="22" t="n"/>
      <c r="AV188" s="22" t="n"/>
      <c r="AW188" s="22" t="n"/>
      <c r="AX188" s="22" t="n"/>
      <c r="AY188" s="22" t="n"/>
      <c r="AZ188" s="22" t="n"/>
      <c r="BA188" s="22" t="n"/>
      <c r="BB188" s="22" t="n"/>
      <c r="BC188" s="22" t="n"/>
      <c r="BD188" s="22" t="n"/>
      <c r="BE188" s="22" t="n"/>
      <c r="BF188" s="22" t="n"/>
      <c r="BG188" s="22" t="n"/>
      <c r="BH188" s="22" t="n"/>
      <c r="BI188" s="22" t="n"/>
      <c r="BJ188" s="22" t="n"/>
      <c r="BK188" s="22" t="n"/>
      <c r="BL188" s="22" t="n"/>
      <c r="BM188" s="22" t="n"/>
      <c r="BN188" s="22" t="n"/>
      <c r="BO188" s="22" t="n"/>
      <c r="BP188" s="22" t="n"/>
      <c r="BQ188" s="31" t="n"/>
      <c r="BR188" s="31" t="n"/>
      <c r="BS188" s="31" t="n"/>
      <c r="BT188" s="31" t="n"/>
    </row>
    <row r="189" ht="15.75" customHeight="1" s="349">
      <c r="A189" s="22" t="n"/>
      <c r="B189" s="22" t="n"/>
      <c r="C189" s="22" t="n"/>
      <c r="D189" s="22" t="n"/>
      <c r="E189" s="22" t="n"/>
      <c r="F189" s="22"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c r="AA189" s="22" t="n"/>
      <c r="AB189" s="22" t="n"/>
      <c r="AC189" s="22" t="n"/>
      <c r="AD189" s="22" t="n"/>
      <c r="AE189" s="22" t="n"/>
      <c r="AF189" s="22" t="n"/>
      <c r="AG189" s="22" t="n"/>
      <c r="AH189" s="22" t="n"/>
      <c r="AI189" s="22" t="n"/>
      <c r="AJ189" s="22" t="n"/>
      <c r="AK189" s="22" t="n"/>
      <c r="AL189" s="22" t="n"/>
      <c r="AM189" s="22" t="n"/>
      <c r="AN189" s="22" t="n"/>
      <c r="AO189" s="22" t="n"/>
      <c r="AP189" s="22" t="n"/>
      <c r="AQ189" s="22" t="n"/>
      <c r="AR189" s="22" t="n"/>
      <c r="AS189" s="22" t="n"/>
      <c r="AT189" s="22" t="n"/>
      <c r="AU189" s="22" t="n"/>
      <c r="AV189" s="22" t="n"/>
      <c r="AW189" s="22" t="n"/>
      <c r="AX189" s="22" t="n"/>
      <c r="AY189" s="22" t="n"/>
      <c r="AZ189" s="22" t="n"/>
      <c r="BA189" s="22" t="n"/>
      <c r="BB189" s="22" t="n"/>
      <c r="BC189" s="22" t="n"/>
      <c r="BD189" s="22" t="n"/>
      <c r="BE189" s="22" t="n"/>
      <c r="BF189" s="22" t="n"/>
      <c r="BG189" s="22" t="n"/>
      <c r="BH189" s="22" t="n"/>
      <c r="BI189" s="22" t="n"/>
      <c r="BJ189" s="22" t="n"/>
      <c r="BK189" s="22" t="n"/>
      <c r="BL189" s="22" t="n"/>
      <c r="BM189" s="22" t="n"/>
      <c r="BN189" s="22" t="n"/>
      <c r="BO189" s="22" t="n"/>
      <c r="BP189" s="22" t="n"/>
      <c r="BQ189" s="31" t="n"/>
      <c r="BR189" s="31" t="n"/>
      <c r="BS189" s="31" t="n"/>
      <c r="BT189" s="31" t="n"/>
    </row>
    <row r="190" ht="15.75" customHeight="1" s="349">
      <c r="A190" s="22" t="n"/>
      <c r="B190" s="22" t="n"/>
      <c r="C190" s="22" t="n"/>
      <c r="D190" s="22" t="n"/>
      <c r="E190" s="22" t="n"/>
      <c r="F190" s="22"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c r="AA190" s="22" t="n"/>
      <c r="AB190" s="22" t="n"/>
      <c r="AC190" s="22" t="n"/>
      <c r="AD190" s="22" t="n"/>
      <c r="AE190" s="22" t="n"/>
      <c r="AF190" s="22" t="n"/>
      <c r="AG190" s="22" t="n"/>
      <c r="AH190" s="22" t="n"/>
      <c r="AI190" s="22" t="n"/>
      <c r="AJ190" s="22" t="n"/>
      <c r="AK190" s="22" t="n"/>
      <c r="AL190" s="22" t="n"/>
      <c r="AM190" s="22" t="n"/>
      <c r="AN190" s="22" t="n"/>
      <c r="AO190" s="22" t="n"/>
      <c r="AP190" s="22" t="n"/>
      <c r="AQ190" s="22" t="n"/>
      <c r="AR190" s="22" t="n"/>
      <c r="AS190" s="22" t="n"/>
      <c r="AT190" s="22" t="n"/>
      <c r="AU190" s="22" t="n"/>
      <c r="AV190" s="22" t="n"/>
      <c r="AW190" s="22" t="n"/>
      <c r="AX190" s="22" t="n"/>
      <c r="AY190" s="22" t="n"/>
      <c r="AZ190" s="22" t="n"/>
      <c r="BA190" s="22" t="n"/>
      <c r="BB190" s="22" t="n"/>
      <c r="BC190" s="22" t="n"/>
      <c r="BD190" s="22" t="n"/>
      <c r="BE190" s="22" t="n"/>
      <c r="BF190" s="22" t="n"/>
      <c r="BG190" s="22" t="n"/>
      <c r="BH190" s="22" t="n"/>
      <c r="BI190" s="22" t="n"/>
      <c r="BJ190" s="22" t="n"/>
      <c r="BK190" s="22" t="n"/>
      <c r="BL190" s="22" t="n"/>
      <c r="BM190" s="22" t="n"/>
      <c r="BN190" s="22" t="n"/>
      <c r="BO190" s="22" t="n"/>
      <c r="BP190" s="22" t="n"/>
      <c r="BQ190" s="31" t="n"/>
      <c r="BR190" s="31" t="n"/>
      <c r="BS190" s="31" t="n"/>
      <c r="BT190" s="31" t="n"/>
    </row>
    <row r="191" ht="15.75" customHeight="1" s="349">
      <c r="A191" s="22" t="n"/>
      <c r="B191" s="22" t="n"/>
      <c r="C191" s="22" t="n"/>
      <c r="D191" s="22" t="n"/>
      <c r="E191" s="22" t="n"/>
      <c r="F191" s="22"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c r="AA191" s="22" t="n"/>
      <c r="AB191" s="22" t="n"/>
      <c r="AC191" s="22" t="n"/>
      <c r="AD191" s="22" t="n"/>
      <c r="AE191" s="22" t="n"/>
      <c r="AF191" s="22" t="n"/>
      <c r="AG191" s="22" t="n"/>
      <c r="AH191" s="22" t="n"/>
      <c r="AI191" s="22" t="n"/>
      <c r="AJ191" s="22" t="n"/>
      <c r="AK191" s="22" t="n"/>
      <c r="AL191" s="22" t="n"/>
      <c r="AM191" s="22" t="n"/>
      <c r="AN191" s="22" t="n"/>
      <c r="AO191" s="22" t="n"/>
      <c r="AP191" s="22" t="n"/>
      <c r="AQ191" s="22" t="n"/>
      <c r="AR191" s="22" t="n"/>
      <c r="AS191" s="22" t="n"/>
      <c r="AT191" s="22" t="n"/>
      <c r="AU191" s="22" t="n"/>
      <c r="AV191" s="22" t="n"/>
      <c r="AW191" s="22" t="n"/>
      <c r="AX191" s="22" t="n"/>
      <c r="AY191" s="22" t="n"/>
      <c r="AZ191" s="22" t="n"/>
      <c r="BA191" s="22" t="n"/>
      <c r="BB191" s="22" t="n"/>
      <c r="BC191" s="22" t="n"/>
      <c r="BD191" s="22" t="n"/>
      <c r="BE191" s="22" t="n"/>
      <c r="BF191" s="22" t="n"/>
      <c r="BG191" s="22" t="n"/>
      <c r="BH191" s="22" t="n"/>
      <c r="BI191" s="22" t="n"/>
      <c r="BJ191" s="22" t="n"/>
      <c r="BK191" s="22" t="n"/>
      <c r="BL191" s="22" t="n"/>
      <c r="BM191" s="22" t="n"/>
      <c r="BN191" s="22" t="n"/>
      <c r="BO191" s="22" t="n"/>
      <c r="BP191" s="22" t="n"/>
      <c r="BQ191" s="31" t="n"/>
      <c r="BR191" s="31" t="n"/>
      <c r="BS191" s="31" t="n"/>
      <c r="BT191" s="31" t="n"/>
    </row>
    <row r="192" ht="15.75" customHeight="1" s="349">
      <c r="A192" s="22" t="n"/>
      <c r="B192" s="22" t="n"/>
      <c r="C192" s="22" t="n"/>
      <c r="D192" s="22" t="n"/>
      <c r="E192" s="22" t="n"/>
      <c r="F192" s="22"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c r="AA192" s="22" t="n"/>
      <c r="AB192" s="22" t="n"/>
      <c r="AC192" s="22" t="n"/>
      <c r="AD192" s="22" t="n"/>
      <c r="AE192" s="22" t="n"/>
      <c r="AF192" s="22" t="n"/>
      <c r="AG192" s="22" t="n"/>
      <c r="AH192" s="22" t="n"/>
      <c r="AI192" s="22" t="n"/>
      <c r="AJ192" s="22" t="n"/>
      <c r="AK192" s="22" t="n"/>
      <c r="AL192" s="22" t="n"/>
      <c r="AM192" s="22" t="n"/>
      <c r="AN192" s="22" t="n"/>
      <c r="AO192" s="22" t="n"/>
      <c r="AP192" s="22" t="n"/>
      <c r="AQ192" s="22" t="n"/>
      <c r="AR192" s="22" t="n"/>
      <c r="AS192" s="22" t="n"/>
      <c r="AT192" s="22" t="n"/>
      <c r="AU192" s="22" t="n"/>
      <c r="AV192" s="22" t="n"/>
      <c r="AW192" s="22" t="n"/>
      <c r="AX192" s="22" t="n"/>
      <c r="AY192" s="22" t="n"/>
      <c r="AZ192" s="22" t="n"/>
      <c r="BA192" s="22" t="n"/>
      <c r="BB192" s="22" t="n"/>
      <c r="BC192" s="22" t="n"/>
      <c r="BD192" s="22" t="n"/>
      <c r="BE192" s="22" t="n"/>
      <c r="BF192" s="22" t="n"/>
      <c r="BG192" s="22" t="n"/>
      <c r="BH192" s="22" t="n"/>
      <c r="BI192" s="22" t="n"/>
      <c r="BJ192" s="22" t="n"/>
      <c r="BK192" s="22" t="n"/>
      <c r="BL192" s="22" t="n"/>
      <c r="BM192" s="22" t="n"/>
      <c r="BN192" s="22" t="n"/>
      <c r="BO192" s="22" t="n"/>
      <c r="BP192" s="22" t="n"/>
      <c r="BQ192" s="31" t="n"/>
      <c r="BR192" s="31" t="n"/>
      <c r="BS192" s="31" t="n"/>
      <c r="BT192" s="31" t="n"/>
    </row>
    <row r="193" ht="15.75" customHeight="1" s="349">
      <c r="A193" s="22" t="n"/>
      <c r="B193" s="22" t="n"/>
      <c r="C193" s="22" t="n"/>
      <c r="D193" s="22" t="n"/>
      <c r="E193" s="22" t="n"/>
      <c r="F193" s="22"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c r="AA193" s="22" t="n"/>
      <c r="AB193" s="22" t="n"/>
      <c r="AC193" s="22" t="n"/>
      <c r="AD193" s="22" t="n"/>
      <c r="AE193" s="22" t="n"/>
      <c r="AF193" s="22" t="n"/>
      <c r="AG193" s="22" t="n"/>
      <c r="AH193" s="22" t="n"/>
      <c r="AI193" s="22" t="n"/>
      <c r="AJ193" s="22" t="n"/>
      <c r="AK193" s="22" t="n"/>
      <c r="AL193" s="22" t="n"/>
      <c r="AM193" s="22" t="n"/>
      <c r="AN193" s="22" t="n"/>
      <c r="AO193" s="22" t="n"/>
      <c r="AP193" s="22" t="n"/>
      <c r="AQ193" s="22" t="n"/>
      <c r="AR193" s="22" t="n"/>
      <c r="AS193" s="22" t="n"/>
      <c r="AT193" s="22" t="n"/>
      <c r="AU193" s="22" t="n"/>
      <c r="AV193" s="22" t="n"/>
      <c r="AW193" s="22" t="n"/>
      <c r="AX193" s="22" t="n"/>
      <c r="AY193" s="22" t="n"/>
      <c r="AZ193" s="22" t="n"/>
      <c r="BA193" s="22" t="n"/>
      <c r="BB193" s="22" t="n"/>
      <c r="BC193" s="22" t="n"/>
      <c r="BD193" s="22" t="n"/>
      <c r="BE193" s="22" t="n"/>
      <c r="BF193" s="22" t="n"/>
      <c r="BG193" s="22" t="n"/>
      <c r="BH193" s="22" t="n"/>
      <c r="BI193" s="22" t="n"/>
      <c r="BJ193" s="22" t="n"/>
      <c r="BK193" s="22" t="n"/>
      <c r="BL193" s="22" t="n"/>
      <c r="BM193" s="22" t="n"/>
      <c r="BN193" s="22" t="n"/>
      <c r="BO193" s="22" t="n"/>
      <c r="BP193" s="22" t="n"/>
      <c r="BQ193" s="31" t="n"/>
      <c r="BR193" s="31" t="n"/>
      <c r="BS193" s="31" t="n"/>
      <c r="BT193" s="31" t="n"/>
    </row>
    <row r="194" ht="15.75" customHeight="1" s="349">
      <c r="A194" s="22" t="n"/>
      <c r="B194" s="22" t="n"/>
      <c r="C194" s="22" t="n"/>
      <c r="D194" s="22" t="n"/>
      <c r="E194" s="22" t="n"/>
      <c r="F194" s="22"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c r="AA194" s="22" t="n"/>
      <c r="AB194" s="22" t="n"/>
      <c r="AC194" s="22" t="n"/>
      <c r="AD194" s="22" t="n"/>
      <c r="AE194" s="22" t="n"/>
      <c r="AF194" s="22" t="n"/>
      <c r="AG194" s="22" t="n"/>
      <c r="AH194" s="22" t="n"/>
      <c r="AI194" s="22" t="n"/>
      <c r="AJ194" s="22" t="n"/>
      <c r="AK194" s="22" t="n"/>
      <c r="AL194" s="22" t="n"/>
      <c r="AM194" s="22" t="n"/>
      <c r="AN194" s="22" t="n"/>
      <c r="AO194" s="22" t="n"/>
      <c r="AP194" s="22" t="n"/>
      <c r="AQ194" s="22" t="n"/>
      <c r="AR194" s="22" t="n"/>
      <c r="AS194" s="22" t="n"/>
      <c r="AT194" s="22" t="n"/>
      <c r="AU194" s="22" t="n"/>
      <c r="AV194" s="22" t="n"/>
      <c r="AW194" s="22" t="n"/>
      <c r="AX194" s="22" t="n"/>
      <c r="AY194" s="22" t="n"/>
      <c r="AZ194" s="22" t="n"/>
      <c r="BA194" s="22" t="n"/>
      <c r="BB194" s="22" t="n"/>
      <c r="BC194" s="22" t="n"/>
      <c r="BD194" s="22" t="n"/>
      <c r="BE194" s="22" t="n"/>
      <c r="BF194" s="22" t="n"/>
      <c r="BG194" s="22" t="n"/>
      <c r="BH194" s="22" t="n"/>
      <c r="BI194" s="22" t="n"/>
      <c r="BJ194" s="22" t="n"/>
      <c r="BK194" s="22" t="n"/>
      <c r="BL194" s="22" t="n"/>
      <c r="BM194" s="22" t="n"/>
      <c r="BN194" s="22" t="n"/>
      <c r="BO194" s="22" t="n"/>
      <c r="BP194" s="22" t="n"/>
      <c r="BQ194" s="31" t="n"/>
      <c r="BR194" s="31" t="n"/>
      <c r="BS194" s="31" t="n"/>
      <c r="BT194" s="31" t="n"/>
    </row>
    <row r="195" ht="15.75" customHeight="1" s="349">
      <c r="A195" s="22" t="n"/>
      <c r="B195" s="22" t="n"/>
      <c r="C195" s="22" t="n"/>
      <c r="D195" s="22" t="n"/>
      <c r="E195" s="22" t="n"/>
      <c r="F195" s="22"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c r="AA195" s="22" t="n"/>
      <c r="AB195" s="22" t="n"/>
      <c r="AC195" s="22" t="n"/>
      <c r="AD195" s="22" t="n"/>
      <c r="AE195" s="22" t="n"/>
      <c r="AF195" s="22" t="n"/>
      <c r="AG195" s="22" t="n"/>
      <c r="AH195" s="22" t="n"/>
      <c r="AI195" s="22" t="n"/>
      <c r="AJ195" s="22" t="n"/>
      <c r="AK195" s="22" t="n"/>
      <c r="AL195" s="22" t="n"/>
      <c r="AM195" s="22" t="n"/>
      <c r="AN195" s="22" t="n"/>
      <c r="AO195" s="22" t="n"/>
      <c r="AP195" s="22" t="n"/>
      <c r="AQ195" s="22" t="n"/>
      <c r="AR195" s="22" t="n"/>
      <c r="AS195" s="22" t="n"/>
      <c r="AT195" s="22" t="n"/>
      <c r="AU195" s="22" t="n"/>
      <c r="AV195" s="22" t="n"/>
      <c r="AW195" s="22" t="n"/>
      <c r="AX195" s="22" t="n"/>
      <c r="AY195" s="22" t="n"/>
      <c r="AZ195" s="22" t="n"/>
      <c r="BA195" s="22" t="n"/>
      <c r="BB195" s="22" t="n"/>
      <c r="BC195" s="22" t="n"/>
      <c r="BD195" s="22" t="n"/>
      <c r="BE195" s="22" t="n"/>
      <c r="BF195" s="22" t="n"/>
      <c r="BG195" s="22" t="n"/>
      <c r="BH195" s="22" t="n"/>
      <c r="BI195" s="22" t="n"/>
      <c r="BJ195" s="22" t="n"/>
      <c r="BK195" s="22" t="n"/>
      <c r="BL195" s="22" t="n"/>
      <c r="BM195" s="22" t="n"/>
      <c r="BN195" s="22" t="n"/>
      <c r="BO195" s="22" t="n"/>
      <c r="BP195" s="22" t="n"/>
      <c r="BQ195" s="31" t="n"/>
      <c r="BR195" s="31" t="n"/>
      <c r="BS195" s="31" t="n"/>
      <c r="BT195" s="31" t="n"/>
    </row>
    <row r="196" ht="15.75" customHeight="1" s="349">
      <c r="A196" s="22" t="n"/>
      <c r="B196" s="22" t="n"/>
      <c r="C196" s="22" t="n"/>
      <c r="D196" s="22" t="n"/>
      <c r="E196" s="22" t="n"/>
      <c r="F196" s="22"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c r="AA196" s="22" t="n"/>
      <c r="AB196" s="22" t="n"/>
      <c r="AC196" s="22" t="n"/>
      <c r="AD196" s="22" t="n"/>
      <c r="AE196" s="22" t="n"/>
      <c r="AF196" s="22" t="n"/>
      <c r="AG196" s="22" t="n"/>
      <c r="AH196" s="22" t="n"/>
      <c r="AI196" s="22" t="n"/>
      <c r="AJ196" s="22" t="n"/>
      <c r="AK196" s="22" t="n"/>
      <c r="AL196" s="22" t="n"/>
      <c r="AM196" s="22" t="n"/>
      <c r="AN196" s="22" t="n"/>
      <c r="AO196" s="22" t="n"/>
      <c r="AP196" s="22" t="n"/>
      <c r="AQ196" s="22" t="n"/>
      <c r="AR196" s="22" t="n"/>
      <c r="AS196" s="22" t="n"/>
      <c r="AT196" s="22" t="n"/>
      <c r="AU196" s="22" t="n"/>
      <c r="AV196" s="22" t="n"/>
      <c r="AW196" s="22" t="n"/>
      <c r="AX196" s="22" t="n"/>
      <c r="AY196" s="22" t="n"/>
      <c r="AZ196" s="22" t="n"/>
      <c r="BA196" s="22" t="n"/>
      <c r="BB196" s="22" t="n"/>
      <c r="BC196" s="22" t="n"/>
      <c r="BD196" s="22" t="n"/>
      <c r="BE196" s="22" t="n"/>
      <c r="BF196" s="22" t="n"/>
      <c r="BG196" s="22" t="n"/>
      <c r="BH196" s="22" t="n"/>
      <c r="BI196" s="22" t="n"/>
      <c r="BJ196" s="22" t="n"/>
      <c r="BK196" s="22" t="n"/>
      <c r="BL196" s="22" t="n"/>
      <c r="BM196" s="22" t="n"/>
      <c r="BN196" s="22" t="n"/>
      <c r="BO196" s="22" t="n"/>
      <c r="BP196" s="22" t="n"/>
      <c r="BQ196" s="31" t="n"/>
      <c r="BR196" s="31" t="n"/>
      <c r="BS196" s="31" t="n"/>
      <c r="BT196" s="31" t="n"/>
    </row>
    <row r="197" ht="15.75" customHeight="1" s="349">
      <c r="A197" s="22" t="n"/>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c r="AA197" s="22" t="n"/>
      <c r="AB197" s="22" t="n"/>
      <c r="AC197" s="22" t="n"/>
      <c r="AD197" s="22" t="n"/>
      <c r="AE197" s="22" t="n"/>
      <c r="AF197" s="22" t="n"/>
      <c r="AG197" s="22" t="n"/>
      <c r="AH197" s="22" t="n"/>
      <c r="AI197" s="22" t="n"/>
      <c r="AJ197" s="22" t="n"/>
      <c r="AK197" s="22" t="n"/>
      <c r="AL197" s="22" t="n"/>
      <c r="AM197" s="22" t="n"/>
      <c r="AN197" s="22" t="n"/>
      <c r="AO197" s="22" t="n"/>
      <c r="AP197" s="22" t="n"/>
      <c r="AQ197" s="22" t="n"/>
      <c r="AR197" s="22" t="n"/>
      <c r="AS197" s="22" t="n"/>
      <c r="AT197" s="22" t="n"/>
      <c r="AU197" s="22" t="n"/>
      <c r="AV197" s="22" t="n"/>
      <c r="AW197" s="22" t="n"/>
      <c r="AX197" s="22" t="n"/>
      <c r="AY197" s="22" t="n"/>
      <c r="AZ197" s="22" t="n"/>
      <c r="BA197" s="22" t="n"/>
      <c r="BB197" s="22" t="n"/>
      <c r="BC197" s="22" t="n"/>
      <c r="BD197" s="22" t="n"/>
      <c r="BE197" s="22" t="n"/>
      <c r="BF197" s="22" t="n"/>
      <c r="BG197" s="22" t="n"/>
      <c r="BH197" s="22" t="n"/>
      <c r="BI197" s="22" t="n"/>
      <c r="BJ197" s="22" t="n"/>
      <c r="BK197" s="22" t="n"/>
      <c r="BL197" s="22" t="n"/>
      <c r="BM197" s="22" t="n"/>
      <c r="BN197" s="22" t="n"/>
      <c r="BO197" s="22" t="n"/>
      <c r="BP197" s="22" t="n"/>
      <c r="BQ197" s="31" t="n"/>
      <c r="BR197" s="31" t="n"/>
      <c r="BS197" s="31" t="n"/>
      <c r="BT197" s="31" t="n"/>
    </row>
    <row r="198" ht="15.75" customHeight="1" s="349">
      <c r="A198" s="22" t="n"/>
      <c r="B198" s="22" t="n"/>
      <c r="C198" s="22" t="n"/>
      <c r="D198" s="22" t="n"/>
      <c r="E198" s="22" t="n"/>
      <c r="F198" s="22"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c r="AA198" s="22" t="n"/>
      <c r="AB198" s="22" t="n"/>
      <c r="AC198" s="22" t="n"/>
      <c r="AD198" s="22" t="n"/>
      <c r="AE198" s="22" t="n"/>
      <c r="AF198" s="22" t="n"/>
      <c r="AG198" s="22" t="n"/>
      <c r="AH198" s="22" t="n"/>
      <c r="AI198" s="22" t="n"/>
      <c r="AJ198" s="22" t="n"/>
      <c r="AK198" s="22" t="n"/>
      <c r="AL198" s="22" t="n"/>
      <c r="AM198" s="22" t="n"/>
      <c r="AN198" s="22" t="n"/>
      <c r="AO198" s="22" t="n"/>
      <c r="AP198" s="22" t="n"/>
      <c r="AQ198" s="22" t="n"/>
      <c r="AR198" s="22" t="n"/>
      <c r="AS198" s="22" t="n"/>
      <c r="AT198" s="22" t="n"/>
      <c r="AU198" s="22" t="n"/>
      <c r="AV198" s="22" t="n"/>
      <c r="AW198" s="22" t="n"/>
      <c r="AX198" s="22" t="n"/>
      <c r="AY198" s="22" t="n"/>
      <c r="AZ198" s="22" t="n"/>
      <c r="BA198" s="22" t="n"/>
      <c r="BB198" s="22" t="n"/>
      <c r="BC198" s="22" t="n"/>
      <c r="BD198" s="22" t="n"/>
      <c r="BE198" s="22" t="n"/>
      <c r="BF198" s="22" t="n"/>
      <c r="BG198" s="22" t="n"/>
      <c r="BH198" s="22" t="n"/>
      <c r="BI198" s="22" t="n"/>
      <c r="BJ198" s="22" t="n"/>
      <c r="BK198" s="22" t="n"/>
      <c r="BL198" s="22" t="n"/>
      <c r="BM198" s="22" t="n"/>
      <c r="BN198" s="22" t="n"/>
      <c r="BO198" s="22" t="n"/>
      <c r="BP198" s="22" t="n"/>
      <c r="BQ198" s="31" t="n"/>
      <c r="BR198" s="31" t="n"/>
      <c r="BS198" s="31" t="n"/>
      <c r="BT198" s="31" t="n"/>
    </row>
    <row r="199" ht="15.75" customHeight="1" s="349">
      <c r="A199" s="22" t="n"/>
      <c r="B199" s="22" t="n"/>
      <c r="C199" s="22" t="n"/>
      <c r="D199" s="22" t="n"/>
      <c r="E199" s="22" t="n"/>
      <c r="F199" s="22"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c r="AA199" s="22" t="n"/>
      <c r="AB199" s="22" t="n"/>
      <c r="AC199" s="22" t="n"/>
      <c r="AD199" s="22" t="n"/>
      <c r="AE199" s="22" t="n"/>
      <c r="AF199" s="22" t="n"/>
      <c r="AG199" s="22" t="n"/>
      <c r="AH199" s="22" t="n"/>
      <c r="AI199" s="22" t="n"/>
      <c r="AJ199" s="22" t="n"/>
      <c r="AK199" s="22" t="n"/>
      <c r="AL199" s="22" t="n"/>
      <c r="AM199" s="22" t="n"/>
      <c r="AN199" s="22" t="n"/>
      <c r="AO199" s="22" t="n"/>
      <c r="AP199" s="22" t="n"/>
      <c r="AQ199" s="22" t="n"/>
      <c r="AR199" s="22" t="n"/>
      <c r="AS199" s="22" t="n"/>
      <c r="AT199" s="22" t="n"/>
      <c r="AU199" s="22" t="n"/>
      <c r="AV199" s="22" t="n"/>
      <c r="AW199" s="22" t="n"/>
      <c r="AX199" s="22" t="n"/>
      <c r="AY199" s="22" t="n"/>
      <c r="AZ199" s="22" t="n"/>
      <c r="BA199" s="22" t="n"/>
      <c r="BB199" s="22" t="n"/>
      <c r="BC199" s="22" t="n"/>
      <c r="BD199" s="22" t="n"/>
      <c r="BE199" s="22" t="n"/>
      <c r="BF199" s="22" t="n"/>
      <c r="BG199" s="22" t="n"/>
      <c r="BH199" s="22" t="n"/>
      <c r="BI199" s="22" t="n"/>
      <c r="BJ199" s="22" t="n"/>
      <c r="BK199" s="22" t="n"/>
      <c r="BL199" s="22" t="n"/>
      <c r="BM199" s="22" t="n"/>
      <c r="BN199" s="22" t="n"/>
      <c r="BO199" s="22" t="n"/>
      <c r="BP199" s="22" t="n"/>
      <c r="BQ199" s="31" t="n"/>
      <c r="BR199" s="31" t="n"/>
      <c r="BS199" s="31" t="n"/>
      <c r="BT199" s="31" t="n"/>
    </row>
    <row r="200" ht="15.75" customHeight="1" s="349">
      <c r="A200" s="22" t="n"/>
      <c r="B200" s="22" t="n"/>
      <c r="C200" s="22" t="n"/>
      <c r="D200" s="22" t="n"/>
      <c r="E200" s="22" t="n"/>
      <c r="F200" s="22"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c r="AA200" s="22" t="n"/>
      <c r="AB200" s="22" t="n"/>
      <c r="AC200" s="22" t="n"/>
      <c r="AD200" s="22" t="n"/>
      <c r="AE200" s="22" t="n"/>
      <c r="AF200" s="22" t="n"/>
      <c r="AG200" s="22" t="n"/>
      <c r="AH200" s="22" t="n"/>
      <c r="AI200" s="22" t="n"/>
      <c r="AJ200" s="22" t="n"/>
      <c r="AK200" s="22" t="n"/>
      <c r="AL200" s="22" t="n"/>
      <c r="AM200" s="22" t="n"/>
      <c r="AN200" s="22" t="n"/>
      <c r="AO200" s="22" t="n"/>
      <c r="AP200" s="22" t="n"/>
      <c r="AQ200" s="22" t="n"/>
      <c r="AR200" s="22" t="n"/>
      <c r="AS200" s="22" t="n"/>
      <c r="AT200" s="22" t="n"/>
      <c r="AU200" s="22" t="n"/>
      <c r="AV200" s="22" t="n"/>
      <c r="AW200" s="22" t="n"/>
      <c r="AX200" s="22" t="n"/>
      <c r="AY200" s="22" t="n"/>
      <c r="AZ200" s="22" t="n"/>
      <c r="BA200" s="22" t="n"/>
      <c r="BB200" s="22" t="n"/>
      <c r="BC200" s="22" t="n"/>
      <c r="BD200" s="22" t="n"/>
      <c r="BE200" s="22" t="n"/>
      <c r="BF200" s="22" t="n"/>
      <c r="BG200" s="22" t="n"/>
      <c r="BH200" s="22" t="n"/>
      <c r="BI200" s="22" t="n"/>
      <c r="BJ200" s="22" t="n"/>
      <c r="BK200" s="22" t="n"/>
      <c r="BL200" s="22" t="n"/>
      <c r="BM200" s="22" t="n"/>
      <c r="BN200" s="22" t="n"/>
      <c r="BO200" s="22" t="n"/>
      <c r="BP200" s="22" t="n"/>
      <c r="BQ200" s="31" t="n"/>
      <c r="BR200" s="31" t="n"/>
      <c r="BS200" s="31" t="n"/>
      <c r="BT200" s="31" t="n"/>
    </row>
    <row r="201" ht="15.75" customHeight="1" s="349">
      <c r="A201" s="22" t="n"/>
      <c r="B201" s="22" t="n"/>
      <c r="C201" s="22" t="n"/>
      <c r="D201" s="22" t="n"/>
      <c r="E201" s="22" t="n"/>
      <c r="F201" s="22"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c r="AA201" s="22" t="n"/>
      <c r="AB201" s="22" t="n"/>
      <c r="AC201" s="22" t="n"/>
      <c r="AD201" s="22" t="n"/>
      <c r="AE201" s="22" t="n"/>
      <c r="AF201" s="22" t="n"/>
      <c r="AG201" s="22" t="n"/>
      <c r="AH201" s="22" t="n"/>
      <c r="AI201" s="22" t="n"/>
      <c r="AJ201" s="22" t="n"/>
      <c r="AK201" s="22" t="n"/>
      <c r="AL201" s="22" t="n"/>
      <c r="AM201" s="22" t="n"/>
      <c r="AN201" s="22" t="n"/>
      <c r="AO201" s="22" t="n"/>
      <c r="AP201" s="22" t="n"/>
      <c r="AQ201" s="22" t="n"/>
      <c r="AR201" s="22" t="n"/>
      <c r="AS201" s="22" t="n"/>
      <c r="AT201" s="22" t="n"/>
      <c r="AU201" s="22" t="n"/>
      <c r="AV201" s="22" t="n"/>
      <c r="AW201" s="22" t="n"/>
      <c r="AX201" s="22" t="n"/>
      <c r="AY201" s="22" t="n"/>
      <c r="AZ201" s="22" t="n"/>
      <c r="BA201" s="22" t="n"/>
      <c r="BB201" s="22" t="n"/>
      <c r="BC201" s="22" t="n"/>
      <c r="BD201" s="22" t="n"/>
      <c r="BE201" s="22" t="n"/>
      <c r="BF201" s="22" t="n"/>
      <c r="BG201" s="22" t="n"/>
      <c r="BH201" s="22" t="n"/>
      <c r="BI201" s="22" t="n"/>
      <c r="BJ201" s="22" t="n"/>
      <c r="BK201" s="22" t="n"/>
      <c r="BL201" s="22" t="n"/>
      <c r="BM201" s="22" t="n"/>
      <c r="BN201" s="22" t="n"/>
      <c r="BO201" s="22" t="n"/>
      <c r="BP201" s="22" t="n"/>
      <c r="BQ201" s="31" t="n"/>
      <c r="BR201" s="31" t="n"/>
      <c r="BS201" s="31" t="n"/>
      <c r="BT201" s="31" t="n"/>
    </row>
    <row r="202" ht="15.75" customHeight="1" s="349">
      <c r="A202" s="22" t="n"/>
      <c r="B202" s="22" t="n"/>
      <c r="C202" s="22" t="n"/>
      <c r="D202" s="22" t="n"/>
      <c r="E202" s="22" t="n"/>
      <c r="F202" s="22"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c r="AA202" s="22" t="n"/>
      <c r="AB202" s="22" t="n"/>
      <c r="AC202" s="22" t="n"/>
      <c r="AD202" s="22" t="n"/>
      <c r="AE202" s="22" t="n"/>
      <c r="AF202" s="22" t="n"/>
      <c r="AG202" s="22" t="n"/>
      <c r="AH202" s="22" t="n"/>
      <c r="AI202" s="22" t="n"/>
      <c r="AJ202" s="22" t="n"/>
      <c r="AK202" s="22" t="n"/>
      <c r="AL202" s="22" t="n"/>
      <c r="AM202" s="22" t="n"/>
      <c r="AN202" s="22" t="n"/>
      <c r="AO202" s="22" t="n"/>
      <c r="AP202" s="22" t="n"/>
      <c r="AQ202" s="22" t="n"/>
      <c r="AR202" s="22" t="n"/>
      <c r="AS202" s="22" t="n"/>
      <c r="AT202" s="22" t="n"/>
      <c r="AU202" s="22" t="n"/>
      <c r="AV202" s="22" t="n"/>
      <c r="AW202" s="22" t="n"/>
      <c r="AX202" s="22" t="n"/>
      <c r="AY202" s="22" t="n"/>
      <c r="AZ202" s="22" t="n"/>
      <c r="BA202" s="22" t="n"/>
      <c r="BB202" s="22" t="n"/>
      <c r="BC202" s="22" t="n"/>
      <c r="BD202" s="22" t="n"/>
      <c r="BE202" s="22" t="n"/>
      <c r="BF202" s="22" t="n"/>
      <c r="BG202" s="22" t="n"/>
      <c r="BH202" s="22" t="n"/>
      <c r="BI202" s="22" t="n"/>
      <c r="BJ202" s="22" t="n"/>
      <c r="BK202" s="22" t="n"/>
      <c r="BL202" s="22" t="n"/>
      <c r="BM202" s="22" t="n"/>
      <c r="BN202" s="22" t="n"/>
      <c r="BO202" s="22" t="n"/>
      <c r="BP202" s="22" t="n"/>
      <c r="BQ202" s="31" t="n"/>
      <c r="BR202" s="31" t="n"/>
      <c r="BS202" s="31" t="n"/>
      <c r="BT202" s="31" t="n"/>
    </row>
    <row r="203" ht="15.75" customHeight="1" s="349">
      <c r="A203" s="22" t="n"/>
      <c r="B203" s="22" t="n"/>
      <c r="C203" s="22" t="n"/>
      <c r="D203" s="22" t="n"/>
      <c r="E203" s="22" t="n"/>
      <c r="F203" s="22"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c r="AA203" s="22" t="n"/>
      <c r="AB203" s="22" t="n"/>
      <c r="AC203" s="22" t="n"/>
      <c r="AD203" s="22" t="n"/>
      <c r="AE203" s="22" t="n"/>
      <c r="AF203" s="22" t="n"/>
      <c r="AG203" s="22" t="n"/>
      <c r="AH203" s="22" t="n"/>
      <c r="AI203" s="22" t="n"/>
      <c r="AJ203" s="22" t="n"/>
      <c r="AK203" s="22" t="n"/>
      <c r="AL203" s="22" t="n"/>
      <c r="AM203" s="22" t="n"/>
      <c r="AN203" s="22" t="n"/>
      <c r="AO203" s="22" t="n"/>
      <c r="AP203" s="22" t="n"/>
      <c r="AQ203" s="22" t="n"/>
      <c r="AR203" s="22" t="n"/>
      <c r="AS203" s="22" t="n"/>
      <c r="AT203" s="22" t="n"/>
      <c r="AU203" s="22" t="n"/>
      <c r="AV203" s="22" t="n"/>
      <c r="AW203" s="22" t="n"/>
      <c r="AX203" s="22" t="n"/>
      <c r="AY203" s="22" t="n"/>
      <c r="AZ203" s="22" t="n"/>
      <c r="BA203" s="22" t="n"/>
      <c r="BB203" s="22" t="n"/>
      <c r="BC203" s="22" t="n"/>
      <c r="BD203" s="22" t="n"/>
      <c r="BE203" s="22" t="n"/>
      <c r="BF203" s="22" t="n"/>
      <c r="BG203" s="22" t="n"/>
      <c r="BH203" s="22" t="n"/>
      <c r="BI203" s="22" t="n"/>
      <c r="BJ203" s="22" t="n"/>
      <c r="BK203" s="22" t="n"/>
      <c r="BL203" s="22" t="n"/>
      <c r="BM203" s="22" t="n"/>
      <c r="BN203" s="22" t="n"/>
      <c r="BO203" s="22" t="n"/>
      <c r="BP203" s="22" t="n"/>
      <c r="BQ203" s="31" t="n"/>
      <c r="BR203" s="31" t="n"/>
      <c r="BS203" s="31" t="n"/>
      <c r="BT203" s="31" t="n"/>
    </row>
    <row r="204" ht="15.75" customHeight="1" s="349">
      <c r="A204" s="22" t="n"/>
      <c r="B204" s="22" t="n"/>
      <c r="C204" s="22" t="n"/>
      <c r="D204" s="22" t="n"/>
      <c r="E204" s="22" t="n"/>
      <c r="F204" s="22"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c r="AA204" s="22" t="n"/>
      <c r="AB204" s="22" t="n"/>
      <c r="AC204" s="22" t="n"/>
      <c r="AD204" s="22" t="n"/>
      <c r="AE204" s="22" t="n"/>
      <c r="AF204" s="22" t="n"/>
      <c r="AG204" s="22" t="n"/>
      <c r="AH204" s="22" t="n"/>
      <c r="AI204" s="22" t="n"/>
      <c r="AJ204" s="22" t="n"/>
      <c r="AK204" s="22" t="n"/>
      <c r="AL204" s="22" t="n"/>
      <c r="AM204" s="22" t="n"/>
      <c r="AN204" s="22" t="n"/>
      <c r="AO204" s="22" t="n"/>
      <c r="AP204" s="22" t="n"/>
      <c r="AQ204" s="22" t="n"/>
      <c r="AR204" s="22" t="n"/>
      <c r="AS204" s="22" t="n"/>
      <c r="AT204" s="22" t="n"/>
      <c r="AU204" s="22" t="n"/>
      <c r="AV204" s="22" t="n"/>
      <c r="AW204" s="22" t="n"/>
      <c r="AX204" s="22" t="n"/>
      <c r="AY204" s="22" t="n"/>
      <c r="AZ204" s="22" t="n"/>
      <c r="BA204" s="22" t="n"/>
      <c r="BB204" s="22" t="n"/>
      <c r="BC204" s="22" t="n"/>
      <c r="BD204" s="22" t="n"/>
      <c r="BE204" s="22" t="n"/>
      <c r="BF204" s="22" t="n"/>
      <c r="BG204" s="22" t="n"/>
      <c r="BH204" s="22" t="n"/>
      <c r="BI204" s="22" t="n"/>
      <c r="BJ204" s="22" t="n"/>
      <c r="BK204" s="22" t="n"/>
      <c r="BL204" s="22" t="n"/>
      <c r="BM204" s="22" t="n"/>
      <c r="BN204" s="22" t="n"/>
      <c r="BO204" s="22" t="n"/>
      <c r="BP204" s="22" t="n"/>
      <c r="BQ204" s="31" t="n"/>
      <c r="BR204" s="31" t="n"/>
      <c r="BS204" s="31" t="n"/>
      <c r="BT204" s="31" t="n"/>
    </row>
    <row r="205" ht="15.75" customHeight="1" s="349">
      <c r="A205" s="22" t="n"/>
      <c r="B205" s="22" t="n"/>
      <c r="C205" s="22" t="n"/>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c r="AA205" s="22" t="n"/>
      <c r="AB205" s="22" t="n"/>
      <c r="AC205" s="22" t="n"/>
      <c r="AD205" s="22" t="n"/>
      <c r="AE205" s="22" t="n"/>
      <c r="AF205" s="22" t="n"/>
      <c r="AG205" s="22" t="n"/>
      <c r="AH205" s="22" t="n"/>
      <c r="AI205" s="22" t="n"/>
      <c r="AJ205" s="22" t="n"/>
      <c r="AK205" s="22" t="n"/>
      <c r="AL205" s="22" t="n"/>
      <c r="AM205" s="22" t="n"/>
      <c r="AN205" s="22" t="n"/>
      <c r="AO205" s="22" t="n"/>
      <c r="AP205" s="22" t="n"/>
      <c r="AQ205" s="22" t="n"/>
      <c r="AR205" s="22" t="n"/>
      <c r="AS205" s="22" t="n"/>
      <c r="AT205" s="22" t="n"/>
      <c r="AU205" s="22" t="n"/>
      <c r="AV205" s="22" t="n"/>
      <c r="AW205" s="22" t="n"/>
      <c r="AX205" s="22" t="n"/>
      <c r="AY205" s="22" t="n"/>
      <c r="AZ205" s="22" t="n"/>
      <c r="BA205" s="22" t="n"/>
      <c r="BB205" s="22" t="n"/>
      <c r="BC205" s="22" t="n"/>
      <c r="BD205" s="22" t="n"/>
      <c r="BE205" s="22" t="n"/>
      <c r="BF205" s="22" t="n"/>
      <c r="BG205" s="22" t="n"/>
      <c r="BH205" s="22" t="n"/>
      <c r="BI205" s="22" t="n"/>
      <c r="BJ205" s="22" t="n"/>
      <c r="BK205" s="22" t="n"/>
      <c r="BL205" s="22" t="n"/>
      <c r="BM205" s="22" t="n"/>
      <c r="BN205" s="22" t="n"/>
      <c r="BO205" s="22" t="n"/>
      <c r="BP205" s="22" t="n"/>
      <c r="BQ205" s="31" t="n"/>
      <c r="BR205" s="31" t="n"/>
      <c r="BS205" s="31" t="n"/>
      <c r="BT205" s="31" t="n"/>
    </row>
    <row r="206" ht="15.75" customHeight="1" s="349">
      <c r="A206" s="22" t="n"/>
      <c r="B206" s="22" t="n"/>
      <c r="C206" s="22" t="n"/>
      <c r="D206" s="22" t="n"/>
      <c r="E206" s="22" t="n"/>
      <c r="F206" s="22"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c r="AA206" s="22" t="n"/>
      <c r="AB206" s="22" t="n"/>
      <c r="AC206" s="22" t="n"/>
      <c r="AD206" s="22" t="n"/>
      <c r="AE206" s="22" t="n"/>
      <c r="AF206" s="22" t="n"/>
      <c r="AG206" s="22" t="n"/>
      <c r="AH206" s="22" t="n"/>
      <c r="AI206" s="22" t="n"/>
      <c r="AJ206" s="22" t="n"/>
      <c r="AK206" s="22" t="n"/>
      <c r="AL206" s="22" t="n"/>
      <c r="AM206" s="22" t="n"/>
      <c r="AN206" s="22" t="n"/>
      <c r="AO206" s="22" t="n"/>
      <c r="AP206" s="22" t="n"/>
      <c r="AQ206" s="22" t="n"/>
      <c r="AR206" s="22" t="n"/>
      <c r="AS206" s="22" t="n"/>
      <c r="AT206" s="22" t="n"/>
      <c r="AU206" s="22" t="n"/>
      <c r="AV206" s="22" t="n"/>
      <c r="AW206" s="22" t="n"/>
      <c r="AX206" s="22" t="n"/>
      <c r="AY206" s="22" t="n"/>
      <c r="AZ206" s="22" t="n"/>
      <c r="BA206" s="22" t="n"/>
      <c r="BB206" s="22" t="n"/>
      <c r="BC206" s="22" t="n"/>
      <c r="BD206" s="22" t="n"/>
      <c r="BE206" s="22" t="n"/>
      <c r="BF206" s="22" t="n"/>
      <c r="BG206" s="22" t="n"/>
      <c r="BH206" s="22" t="n"/>
      <c r="BI206" s="22" t="n"/>
      <c r="BJ206" s="22" t="n"/>
      <c r="BK206" s="22" t="n"/>
      <c r="BL206" s="22" t="n"/>
      <c r="BM206" s="22" t="n"/>
      <c r="BN206" s="22" t="n"/>
      <c r="BO206" s="22" t="n"/>
      <c r="BP206" s="22" t="n"/>
      <c r="BQ206" s="31" t="n"/>
      <c r="BR206" s="31" t="n"/>
      <c r="BS206" s="31" t="n"/>
      <c r="BT206" s="31" t="n"/>
    </row>
    <row r="207" ht="15.75" customHeight="1" s="349">
      <c r="A207" s="22" t="n"/>
      <c r="B207" s="22" t="n"/>
      <c r="C207" s="22" t="n"/>
      <c r="D207" s="22" t="n"/>
      <c r="E207" s="22" t="n"/>
      <c r="F207" s="22"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c r="AA207" s="22" t="n"/>
      <c r="AB207" s="22" t="n"/>
      <c r="AC207" s="22" t="n"/>
      <c r="AD207" s="22" t="n"/>
      <c r="AE207" s="22" t="n"/>
      <c r="AF207" s="22" t="n"/>
      <c r="AG207" s="22" t="n"/>
      <c r="AH207" s="22" t="n"/>
      <c r="AI207" s="22" t="n"/>
      <c r="AJ207" s="22" t="n"/>
      <c r="AK207" s="22" t="n"/>
      <c r="AL207" s="22" t="n"/>
      <c r="AM207" s="22" t="n"/>
      <c r="AN207" s="22" t="n"/>
      <c r="AO207" s="22" t="n"/>
      <c r="AP207" s="22" t="n"/>
      <c r="AQ207" s="22" t="n"/>
      <c r="AR207" s="22" t="n"/>
      <c r="AS207" s="22" t="n"/>
      <c r="AT207" s="22" t="n"/>
      <c r="AU207" s="22" t="n"/>
      <c r="AV207" s="22" t="n"/>
      <c r="AW207" s="22" t="n"/>
      <c r="AX207" s="22" t="n"/>
      <c r="AY207" s="22" t="n"/>
      <c r="AZ207" s="22" t="n"/>
      <c r="BA207" s="22" t="n"/>
      <c r="BB207" s="22" t="n"/>
      <c r="BC207" s="22" t="n"/>
      <c r="BD207" s="22" t="n"/>
      <c r="BE207" s="22" t="n"/>
      <c r="BF207" s="22" t="n"/>
      <c r="BG207" s="22" t="n"/>
      <c r="BH207" s="22" t="n"/>
      <c r="BI207" s="22" t="n"/>
      <c r="BJ207" s="22" t="n"/>
      <c r="BK207" s="22" t="n"/>
      <c r="BL207" s="22" t="n"/>
      <c r="BM207" s="22" t="n"/>
      <c r="BN207" s="22" t="n"/>
      <c r="BO207" s="22" t="n"/>
      <c r="BP207" s="22" t="n"/>
      <c r="BQ207" s="31" t="n"/>
      <c r="BR207" s="31" t="n"/>
      <c r="BS207" s="31" t="n"/>
      <c r="BT207" s="31" t="n"/>
    </row>
    <row r="208" ht="15.75" customHeight="1" s="349">
      <c r="A208" s="22" t="n"/>
      <c r="B208" s="22" t="n"/>
      <c r="C208" s="22" t="n"/>
      <c r="D208" s="22" t="n"/>
      <c r="E208" s="22" t="n"/>
      <c r="F208" s="22"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c r="AA208" s="22" t="n"/>
      <c r="AB208" s="22" t="n"/>
      <c r="AC208" s="22" t="n"/>
      <c r="AD208" s="22" t="n"/>
      <c r="AE208" s="22" t="n"/>
      <c r="AF208" s="22" t="n"/>
      <c r="AG208" s="22" t="n"/>
      <c r="AH208" s="22" t="n"/>
      <c r="AI208" s="22" t="n"/>
      <c r="AJ208" s="22" t="n"/>
      <c r="AK208" s="22" t="n"/>
      <c r="AL208" s="22" t="n"/>
      <c r="AM208" s="22" t="n"/>
      <c r="AN208" s="22" t="n"/>
      <c r="AO208" s="22" t="n"/>
      <c r="AP208" s="22" t="n"/>
      <c r="AQ208" s="22" t="n"/>
      <c r="AR208" s="22" t="n"/>
      <c r="AS208" s="22" t="n"/>
      <c r="AT208" s="22" t="n"/>
      <c r="AU208" s="22" t="n"/>
      <c r="AV208" s="22" t="n"/>
      <c r="AW208" s="22" t="n"/>
      <c r="AX208" s="22" t="n"/>
      <c r="AY208" s="22" t="n"/>
      <c r="AZ208" s="22" t="n"/>
      <c r="BA208" s="22" t="n"/>
      <c r="BB208" s="22" t="n"/>
      <c r="BC208" s="22" t="n"/>
      <c r="BD208" s="22" t="n"/>
      <c r="BE208" s="22" t="n"/>
      <c r="BF208" s="22" t="n"/>
      <c r="BG208" s="22" t="n"/>
      <c r="BH208" s="22" t="n"/>
      <c r="BI208" s="22" t="n"/>
      <c r="BJ208" s="22" t="n"/>
      <c r="BK208" s="22" t="n"/>
      <c r="BL208" s="22" t="n"/>
      <c r="BM208" s="22" t="n"/>
      <c r="BN208" s="22" t="n"/>
      <c r="BO208" s="22" t="n"/>
      <c r="BP208" s="22" t="n"/>
      <c r="BQ208" s="31" t="n"/>
      <c r="BR208" s="31" t="n"/>
      <c r="BS208" s="31" t="n"/>
      <c r="BT208" s="31" t="n"/>
    </row>
    <row r="209" ht="15.75" customHeight="1" s="349">
      <c r="A209" s="22" t="n"/>
      <c r="B209" s="22" t="n"/>
      <c r="C209" s="22" t="n"/>
      <c r="D209" s="22" t="n"/>
      <c r="E209" s="22" t="n"/>
      <c r="F209" s="22"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c r="AA209" s="22" t="n"/>
      <c r="AB209" s="22" t="n"/>
      <c r="AC209" s="22" t="n"/>
      <c r="AD209" s="22" t="n"/>
      <c r="AE209" s="22" t="n"/>
      <c r="AF209" s="22" t="n"/>
      <c r="AG209" s="22" t="n"/>
      <c r="AH209" s="22" t="n"/>
      <c r="AI209" s="22" t="n"/>
      <c r="AJ209" s="22" t="n"/>
      <c r="AK209" s="22" t="n"/>
      <c r="AL209" s="22" t="n"/>
      <c r="AM209" s="22" t="n"/>
      <c r="AN209" s="22" t="n"/>
      <c r="AO209" s="22" t="n"/>
      <c r="AP209" s="22" t="n"/>
      <c r="AQ209" s="22" t="n"/>
      <c r="AR209" s="22" t="n"/>
      <c r="AS209" s="22" t="n"/>
      <c r="AT209" s="22" t="n"/>
      <c r="AU209" s="22" t="n"/>
      <c r="AV209" s="22" t="n"/>
      <c r="AW209" s="22" t="n"/>
      <c r="AX209" s="22" t="n"/>
      <c r="AY209" s="22" t="n"/>
      <c r="AZ209" s="22" t="n"/>
      <c r="BA209" s="22" t="n"/>
      <c r="BB209" s="22" t="n"/>
      <c r="BC209" s="22" t="n"/>
      <c r="BD209" s="22" t="n"/>
      <c r="BE209" s="22" t="n"/>
      <c r="BF209" s="22" t="n"/>
      <c r="BG209" s="22" t="n"/>
      <c r="BH209" s="22" t="n"/>
      <c r="BI209" s="22" t="n"/>
      <c r="BJ209" s="22" t="n"/>
      <c r="BK209" s="22" t="n"/>
      <c r="BL209" s="22" t="n"/>
      <c r="BM209" s="22" t="n"/>
      <c r="BN209" s="22" t="n"/>
      <c r="BO209" s="22" t="n"/>
      <c r="BP209" s="22" t="n"/>
      <c r="BQ209" s="31" t="n"/>
      <c r="BR209" s="31" t="n"/>
      <c r="BS209" s="31" t="n"/>
      <c r="BT209" s="31" t="n"/>
    </row>
    <row r="210" ht="15.75" customHeight="1" s="349">
      <c r="A210" s="22" t="n"/>
      <c r="B210" s="22" t="n"/>
      <c r="C210" s="22" t="n"/>
      <c r="D210" s="22" t="n"/>
      <c r="E210" s="22" t="n"/>
      <c r="F210" s="22"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c r="AA210" s="22" t="n"/>
      <c r="AB210" s="22" t="n"/>
      <c r="AC210" s="22" t="n"/>
      <c r="AD210" s="22" t="n"/>
      <c r="AE210" s="22" t="n"/>
      <c r="AF210" s="22" t="n"/>
      <c r="AG210" s="22" t="n"/>
      <c r="AH210" s="22" t="n"/>
      <c r="AI210" s="22" t="n"/>
      <c r="AJ210" s="22" t="n"/>
      <c r="AK210" s="22" t="n"/>
      <c r="AL210" s="22" t="n"/>
      <c r="AM210" s="22" t="n"/>
      <c r="AN210" s="22" t="n"/>
      <c r="AO210" s="22" t="n"/>
      <c r="AP210" s="22" t="n"/>
      <c r="AQ210" s="22" t="n"/>
      <c r="AR210" s="22" t="n"/>
      <c r="AS210" s="22" t="n"/>
      <c r="AT210" s="22" t="n"/>
      <c r="AU210" s="22" t="n"/>
      <c r="AV210" s="22" t="n"/>
      <c r="AW210" s="22" t="n"/>
      <c r="AX210" s="22" t="n"/>
      <c r="AY210" s="22" t="n"/>
      <c r="AZ210" s="22" t="n"/>
      <c r="BA210" s="22" t="n"/>
      <c r="BB210" s="22" t="n"/>
      <c r="BC210" s="22" t="n"/>
      <c r="BD210" s="22" t="n"/>
      <c r="BE210" s="22" t="n"/>
      <c r="BF210" s="22" t="n"/>
      <c r="BG210" s="22" t="n"/>
      <c r="BH210" s="22" t="n"/>
      <c r="BI210" s="22" t="n"/>
      <c r="BJ210" s="22" t="n"/>
      <c r="BK210" s="22" t="n"/>
      <c r="BL210" s="22" t="n"/>
      <c r="BM210" s="22" t="n"/>
      <c r="BN210" s="22" t="n"/>
      <c r="BO210" s="22" t="n"/>
      <c r="BP210" s="22" t="n"/>
      <c r="BQ210" s="31" t="n"/>
      <c r="BR210" s="31" t="n"/>
      <c r="BS210" s="31" t="n"/>
      <c r="BT210" s="31" t="n"/>
    </row>
    <row r="211" ht="15.75" customHeight="1" s="349">
      <c r="A211" s="22" t="n"/>
      <c r="B211" s="22" t="n"/>
      <c r="C211" s="22" t="n"/>
      <c r="D211" s="22" t="n"/>
      <c r="E211" s="22" t="n"/>
      <c r="F211" s="22"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c r="AA211" s="22" t="n"/>
      <c r="AB211" s="22" t="n"/>
      <c r="AC211" s="22" t="n"/>
      <c r="AD211" s="22" t="n"/>
      <c r="AE211" s="22" t="n"/>
      <c r="AF211" s="22" t="n"/>
      <c r="AG211" s="22" t="n"/>
      <c r="AH211" s="22" t="n"/>
      <c r="AI211" s="22" t="n"/>
      <c r="AJ211" s="22" t="n"/>
      <c r="AK211" s="22" t="n"/>
      <c r="AL211" s="22" t="n"/>
      <c r="AM211" s="22" t="n"/>
      <c r="AN211" s="22" t="n"/>
      <c r="AO211" s="22" t="n"/>
      <c r="AP211" s="22" t="n"/>
      <c r="AQ211" s="22" t="n"/>
      <c r="AR211" s="22" t="n"/>
      <c r="AS211" s="22" t="n"/>
      <c r="AT211" s="22" t="n"/>
      <c r="AU211" s="22" t="n"/>
      <c r="AV211" s="22" t="n"/>
      <c r="AW211" s="22" t="n"/>
      <c r="AX211" s="22" t="n"/>
      <c r="AY211" s="22" t="n"/>
      <c r="AZ211" s="22" t="n"/>
      <c r="BA211" s="22" t="n"/>
      <c r="BB211" s="22" t="n"/>
      <c r="BC211" s="22" t="n"/>
      <c r="BD211" s="22" t="n"/>
      <c r="BE211" s="22" t="n"/>
      <c r="BF211" s="22" t="n"/>
      <c r="BG211" s="22" t="n"/>
      <c r="BH211" s="22" t="n"/>
      <c r="BI211" s="22" t="n"/>
      <c r="BJ211" s="22" t="n"/>
      <c r="BK211" s="22" t="n"/>
      <c r="BL211" s="22" t="n"/>
      <c r="BM211" s="22" t="n"/>
      <c r="BN211" s="22" t="n"/>
      <c r="BO211" s="22" t="n"/>
      <c r="BP211" s="22" t="n"/>
      <c r="BQ211" s="31" t="n"/>
      <c r="BR211" s="31" t="n"/>
      <c r="BS211" s="31" t="n"/>
      <c r="BT211" s="31" t="n"/>
    </row>
    <row r="212" ht="15.75" customHeight="1" s="349">
      <c r="A212" s="22" t="n"/>
      <c r="B212" s="22" t="n"/>
      <c r="C212" s="22" t="n"/>
      <c r="D212" s="22" t="n"/>
      <c r="E212" s="22" t="n"/>
      <c r="F212" s="22"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c r="AA212" s="22" t="n"/>
      <c r="AB212" s="22" t="n"/>
      <c r="AC212" s="22" t="n"/>
      <c r="AD212" s="22" t="n"/>
      <c r="AE212" s="22" t="n"/>
      <c r="AF212" s="22" t="n"/>
      <c r="AG212" s="22" t="n"/>
      <c r="AH212" s="22" t="n"/>
      <c r="AI212" s="22" t="n"/>
      <c r="AJ212" s="22" t="n"/>
      <c r="AK212" s="22" t="n"/>
      <c r="AL212" s="22" t="n"/>
      <c r="AM212" s="22" t="n"/>
      <c r="AN212" s="22" t="n"/>
      <c r="AO212" s="22" t="n"/>
      <c r="AP212" s="22" t="n"/>
      <c r="AQ212" s="22" t="n"/>
      <c r="AR212" s="22" t="n"/>
      <c r="AS212" s="22" t="n"/>
      <c r="AT212" s="22" t="n"/>
      <c r="AU212" s="22" t="n"/>
      <c r="AV212" s="22" t="n"/>
      <c r="AW212" s="22" t="n"/>
      <c r="AX212" s="22" t="n"/>
      <c r="AY212" s="22" t="n"/>
      <c r="AZ212" s="22" t="n"/>
      <c r="BA212" s="22" t="n"/>
      <c r="BB212" s="22" t="n"/>
      <c r="BC212" s="22" t="n"/>
      <c r="BD212" s="22" t="n"/>
      <c r="BE212" s="22" t="n"/>
      <c r="BF212" s="22" t="n"/>
      <c r="BG212" s="22" t="n"/>
      <c r="BH212" s="22" t="n"/>
      <c r="BI212" s="22" t="n"/>
      <c r="BJ212" s="22" t="n"/>
      <c r="BK212" s="22" t="n"/>
      <c r="BL212" s="22" t="n"/>
      <c r="BM212" s="22" t="n"/>
      <c r="BN212" s="22" t="n"/>
      <c r="BO212" s="22" t="n"/>
      <c r="BP212" s="22" t="n"/>
      <c r="BQ212" s="31" t="n"/>
      <c r="BR212" s="31" t="n"/>
      <c r="BS212" s="31" t="n"/>
      <c r="BT212" s="31" t="n"/>
    </row>
    <row r="213" ht="15.75" customHeight="1" s="349">
      <c r="A213" s="22" t="n"/>
      <c r="B213" s="22" t="n"/>
      <c r="C213" s="22" t="n"/>
      <c r="D213" s="22" t="n"/>
      <c r="E213" s="22" t="n"/>
      <c r="F213" s="22"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c r="AA213" s="22" t="n"/>
      <c r="AB213" s="22" t="n"/>
      <c r="AC213" s="22" t="n"/>
      <c r="AD213" s="22" t="n"/>
      <c r="AE213" s="22" t="n"/>
      <c r="AF213" s="22" t="n"/>
      <c r="AG213" s="22" t="n"/>
      <c r="AH213" s="22" t="n"/>
      <c r="AI213" s="22" t="n"/>
      <c r="AJ213" s="22" t="n"/>
      <c r="AK213" s="22" t="n"/>
      <c r="AL213" s="22" t="n"/>
      <c r="AM213" s="22" t="n"/>
      <c r="AN213" s="22" t="n"/>
      <c r="AO213" s="22" t="n"/>
      <c r="AP213" s="22" t="n"/>
      <c r="AQ213" s="22" t="n"/>
      <c r="AR213" s="22" t="n"/>
      <c r="AS213" s="22" t="n"/>
      <c r="AT213" s="22" t="n"/>
      <c r="AU213" s="22" t="n"/>
      <c r="AV213" s="22" t="n"/>
      <c r="AW213" s="22" t="n"/>
      <c r="AX213" s="22" t="n"/>
      <c r="AY213" s="22" t="n"/>
      <c r="AZ213" s="22" t="n"/>
      <c r="BA213" s="22" t="n"/>
      <c r="BB213" s="22" t="n"/>
      <c r="BC213" s="22" t="n"/>
      <c r="BD213" s="22" t="n"/>
      <c r="BE213" s="22" t="n"/>
      <c r="BF213" s="22" t="n"/>
      <c r="BG213" s="22" t="n"/>
      <c r="BH213" s="22" t="n"/>
      <c r="BI213" s="22" t="n"/>
      <c r="BJ213" s="22" t="n"/>
      <c r="BK213" s="22" t="n"/>
      <c r="BL213" s="22" t="n"/>
      <c r="BM213" s="22" t="n"/>
      <c r="BN213" s="22" t="n"/>
      <c r="BO213" s="22" t="n"/>
      <c r="BP213" s="22" t="n"/>
      <c r="BQ213" s="31" t="n"/>
      <c r="BR213" s="31" t="n"/>
      <c r="BS213" s="31" t="n"/>
      <c r="BT213" s="31" t="n"/>
    </row>
    <row r="214" ht="15.75" customHeight="1" s="349">
      <c r="A214" s="22" t="n"/>
      <c r="B214" s="22" t="n"/>
      <c r="C214" s="22" t="n"/>
      <c r="D214" s="22" t="n"/>
      <c r="E214" s="22" t="n"/>
      <c r="F214" s="22"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c r="AA214" s="22" t="n"/>
      <c r="AB214" s="22" t="n"/>
      <c r="AC214" s="22" t="n"/>
      <c r="AD214" s="22" t="n"/>
      <c r="AE214" s="22" t="n"/>
      <c r="AF214" s="22" t="n"/>
      <c r="AG214" s="22" t="n"/>
      <c r="AH214" s="22" t="n"/>
      <c r="AI214" s="22" t="n"/>
      <c r="AJ214" s="22" t="n"/>
      <c r="AK214" s="22" t="n"/>
      <c r="AL214" s="22" t="n"/>
      <c r="AM214" s="22" t="n"/>
      <c r="AN214" s="22" t="n"/>
      <c r="AO214" s="22" t="n"/>
      <c r="AP214" s="22" t="n"/>
      <c r="AQ214" s="22" t="n"/>
      <c r="AR214" s="22" t="n"/>
      <c r="AS214" s="22" t="n"/>
      <c r="AT214" s="22" t="n"/>
      <c r="AU214" s="22" t="n"/>
      <c r="AV214" s="22" t="n"/>
      <c r="AW214" s="22" t="n"/>
      <c r="AX214" s="22" t="n"/>
      <c r="AY214" s="22" t="n"/>
      <c r="AZ214" s="22" t="n"/>
      <c r="BA214" s="22" t="n"/>
      <c r="BB214" s="22" t="n"/>
      <c r="BC214" s="22" t="n"/>
      <c r="BD214" s="22" t="n"/>
      <c r="BE214" s="22" t="n"/>
      <c r="BF214" s="22" t="n"/>
      <c r="BG214" s="22" t="n"/>
      <c r="BH214" s="22" t="n"/>
      <c r="BI214" s="22" t="n"/>
      <c r="BJ214" s="22" t="n"/>
      <c r="BK214" s="22" t="n"/>
      <c r="BL214" s="22" t="n"/>
      <c r="BM214" s="22" t="n"/>
      <c r="BN214" s="22" t="n"/>
      <c r="BO214" s="22" t="n"/>
      <c r="BP214" s="22" t="n"/>
      <c r="BQ214" s="31" t="n"/>
      <c r="BR214" s="31" t="n"/>
      <c r="BS214" s="31" t="n"/>
      <c r="BT214" s="31" t="n"/>
    </row>
    <row r="215" ht="15.75" customHeight="1" s="349">
      <c r="A215" s="22" t="n"/>
      <c r="B215" s="22" t="n"/>
      <c r="C215" s="22" t="n"/>
      <c r="D215" s="22" t="n"/>
      <c r="E215" s="22" t="n"/>
      <c r="F215" s="22"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c r="AA215" s="22" t="n"/>
      <c r="AB215" s="22" t="n"/>
      <c r="AC215" s="22" t="n"/>
      <c r="AD215" s="22" t="n"/>
      <c r="AE215" s="22" t="n"/>
      <c r="AF215" s="22" t="n"/>
      <c r="AG215" s="22" t="n"/>
      <c r="AH215" s="22" t="n"/>
      <c r="AI215" s="22" t="n"/>
      <c r="AJ215" s="22" t="n"/>
      <c r="AK215" s="22" t="n"/>
      <c r="AL215" s="22" t="n"/>
      <c r="AM215" s="22" t="n"/>
      <c r="AN215" s="22" t="n"/>
      <c r="AO215" s="22" t="n"/>
      <c r="AP215" s="22" t="n"/>
      <c r="AQ215" s="22" t="n"/>
      <c r="AR215" s="22" t="n"/>
      <c r="AS215" s="22" t="n"/>
      <c r="AT215" s="22" t="n"/>
      <c r="AU215" s="22" t="n"/>
      <c r="AV215" s="22" t="n"/>
      <c r="AW215" s="22" t="n"/>
      <c r="AX215" s="22" t="n"/>
      <c r="AY215" s="22" t="n"/>
      <c r="AZ215" s="22" t="n"/>
      <c r="BA215" s="22" t="n"/>
      <c r="BB215" s="22" t="n"/>
      <c r="BC215" s="22" t="n"/>
      <c r="BD215" s="22" t="n"/>
      <c r="BE215" s="22" t="n"/>
      <c r="BF215" s="22" t="n"/>
      <c r="BG215" s="22" t="n"/>
      <c r="BH215" s="22" t="n"/>
      <c r="BI215" s="22" t="n"/>
      <c r="BJ215" s="22" t="n"/>
      <c r="BK215" s="22" t="n"/>
      <c r="BL215" s="22" t="n"/>
      <c r="BM215" s="22" t="n"/>
      <c r="BN215" s="22" t="n"/>
      <c r="BO215" s="22" t="n"/>
      <c r="BP215" s="22" t="n"/>
      <c r="BQ215" s="31" t="n"/>
      <c r="BR215" s="31" t="n"/>
      <c r="BS215" s="31" t="n"/>
      <c r="BT215" s="31" t="n"/>
    </row>
    <row r="216" ht="15.75" customHeight="1" s="349">
      <c r="A216" s="22" t="n"/>
      <c r="B216" s="22" t="n"/>
      <c r="C216" s="22" t="n"/>
      <c r="D216" s="22" t="n"/>
      <c r="E216" s="22" t="n"/>
      <c r="F216" s="22"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c r="AA216" s="22" t="n"/>
      <c r="AB216" s="22" t="n"/>
      <c r="AC216" s="22" t="n"/>
      <c r="AD216" s="22" t="n"/>
      <c r="AE216" s="22" t="n"/>
      <c r="AF216" s="22" t="n"/>
      <c r="AG216" s="22" t="n"/>
      <c r="AH216" s="22" t="n"/>
      <c r="AI216" s="22" t="n"/>
      <c r="AJ216" s="22" t="n"/>
      <c r="AK216" s="22" t="n"/>
      <c r="AL216" s="22" t="n"/>
      <c r="AM216" s="22" t="n"/>
      <c r="AN216" s="22" t="n"/>
      <c r="AO216" s="22" t="n"/>
      <c r="AP216" s="22" t="n"/>
      <c r="AQ216" s="22" t="n"/>
      <c r="AR216" s="22" t="n"/>
      <c r="AS216" s="22" t="n"/>
      <c r="AT216" s="22" t="n"/>
      <c r="AU216" s="22" t="n"/>
      <c r="AV216" s="22" t="n"/>
      <c r="AW216" s="22" t="n"/>
      <c r="AX216" s="22" t="n"/>
      <c r="AY216" s="22" t="n"/>
      <c r="AZ216" s="22" t="n"/>
      <c r="BA216" s="22" t="n"/>
      <c r="BB216" s="22" t="n"/>
      <c r="BC216" s="22" t="n"/>
      <c r="BD216" s="22" t="n"/>
      <c r="BE216" s="22" t="n"/>
      <c r="BF216" s="22" t="n"/>
      <c r="BG216" s="22" t="n"/>
      <c r="BH216" s="22" t="n"/>
      <c r="BI216" s="22" t="n"/>
      <c r="BJ216" s="22" t="n"/>
      <c r="BK216" s="22" t="n"/>
      <c r="BL216" s="22" t="n"/>
      <c r="BM216" s="22" t="n"/>
      <c r="BN216" s="22" t="n"/>
      <c r="BO216" s="22" t="n"/>
      <c r="BP216" s="22" t="n"/>
      <c r="BQ216" s="31" t="n"/>
      <c r="BR216" s="31" t="n"/>
      <c r="BS216" s="31" t="n"/>
      <c r="BT216" s="31" t="n"/>
    </row>
    <row r="217" ht="15.75" customHeight="1" s="349">
      <c r="A217" s="22" t="n"/>
      <c r="B217" s="22" t="n"/>
      <c r="C217" s="22" t="n"/>
      <c r="D217" s="22" t="n"/>
      <c r="E217" s="22" t="n"/>
      <c r="F217" s="22"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c r="AA217" s="22" t="n"/>
      <c r="AB217" s="22" t="n"/>
      <c r="AC217" s="22" t="n"/>
      <c r="AD217" s="22" t="n"/>
      <c r="AE217" s="22" t="n"/>
      <c r="AF217" s="22" t="n"/>
      <c r="AG217" s="22" t="n"/>
      <c r="AH217" s="22" t="n"/>
      <c r="AI217" s="22" t="n"/>
      <c r="AJ217" s="22" t="n"/>
      <c r="AK217" s="22" t="n"/>
      <c r="AL217" s="22" t="n"/>
      <c r="AM217" s="22" t="n"/>
      <c r="AN217" s="22" t="n"/>
      <c r="AO217" s="22" t="n"/>
      <c r="AP217" s="22" t="n"/>
      <c r="AQ217" s="22" t="n"/>
      <c r="AR217" s="22" t="n"/>
      <c r="AS217" s="22" t="n"/>
      <c r="AT217" s="22" t="n"/>
      <c r="AU217" s="22" t="n"/>
      <c r="AV217" s="22" t="n"/>
      <c r="AW217" s="22" t="n"/>
      <c r="AX217" s="22" t="n"/>
      <c r="AY217" s="22" t="n"/>
      <c r="AZ217" s="22" t="n"/>
      <c r="BA217" s="22" t="n"/>
      <c r="BB217" s="22" t="n"/>
      <c r="BC217" s="22" t="n"/>
      <c r="BD217" s="22" t="n"/>
      <c r="BE217" s="22" t="n"/>
      <c r="BF217" s="22" t="n"/>
      <c r="BG217" s="22" t="n"/>
      <c r="BH217" s="22" t="n"/>
      <c r="BI217" s="22" t="n"/>
      <c r="BJ217" s="22" t="n"/>
      <c r="BK217" s="22" t="n"/>
      <c r="BL217" s="22" t="n"/>
      <c r="BM217" s="22" t="n"/>
      <c r="BN217" s="22" t="n"/>
      <c r="BO217" s="22" t="n"/>
      <c r="BP217" s="22" t="n"/>
      <c r="BQ217" s="31" t="n"/>
      <c r="BR217" s="31" t="n"/>
      <c r="BS217" s="31" t="n"/>
      <c r="BT217" s="31" t="n"/>
    </row>
    <row r="218" ht="15.75" customHeight="1" s="349">
      <c r="A218" s="22" t="n"/>
      <c r="B218" s="22" t="n"/>
      <c r="C218" s="22" t="n"/>
      <c r="D218" s="22" t="n"/>
      <c r="E218" s="22" t="n"/>
      <c r="F218" s="22"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c r="AA218" s="22" t="n"/>
      <c r="AB218" s="22" t="n"/>
      <c r="AC218" s="22" t="n"/>
      <c r="AD218" s="22" t="n"/>
      <c r="AE218" s="22" t="n"/>
      <c r="AF218" s="22" t="n"/>
      <c r="AG218" s="22" t="n"/>
      <c r="AH218" s="22" t="n"/>
      <c r="AI218" s="22" t="n"/>
      <c r="AJ218" s="22" t="n"/>
      <c r="AK218" s="22" t="n"/>
      <c r="AL218" s="22" t="n"/>
      <c r="AM218" s="22" t="n"/>
      <c r="AN218" s="22" t="n"/>
      <c r="AO218" s="22" t="n"/>
      <c r="AP218" s="22" t="n"/>
      <c r="AQ218" s="22" t="n"/>
      <c r="AR218" s="22" t="n"/>
      <c r="AS218" s="22" t="n"/>
      <c r="AT218" s="22" t="n"/>
      <c r="AU218" s="22" t="n"/>
      <c r="AV218" s="22" t="n"/>
      <c r="AW218" s="22" t="n"/>
      <c r="AX218" s="22" t="n"/>
      <c r="AY218" s="22" t="n"/>
      <c r="AZ218" s="22" t="n"/>
      <c r="BA218" s="22" t="n"/>
      <c r="BB218" s="22" t="n"/>
      <c r="BC218" s="22" t="n"/>
      <c r="BD218" s="22" t="n"/>
      <c r="BE218" s="22" t="n"/>
      <c r="BF218" s="22" t="n"/>
      <c r="BG218" s="22" t="n"/>
      <c r="BH218" s="22" t="n"/>
      <c r="BI218" s="22" t="n"/>
      <c r="BJ218" s="22" t="n"/>
      <c r="BK218" s="22" t="n"/>
      <c r="BL218" s="22" t="n"/>
      <c r="BM218" s="22" t="n"/>
      <c r="BN218" s="22" t="n"/>
      <c r="BO218" s="22" t="n"/>
      <c r="BP218" s="22" t="n"/>
      <c r="BQ218" s="31" t="n"/>
      <c r="BR218" s="31" t="n"/>
      <c r="BS218" s="31" t="n"/>
      <c r="BT218" s="31" t="n"/>
    </row>
    <row r="219" ht="15.75" customHeight="1" s="349">
      <c r="A219" s="22" t="n"/>
      <c r="B219" s="22" t="n"/>
      <c r="C219" s="22" t="n"/>
      <c r="D219" s="22" t="n"/>
      <c r="E219" s="22" t="n"/>
      <c r="F219" s="22"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c r="AA219" s="22" t="n"/>
      <c r="AB219" s="22" t="n"/>
      <c r="AC219" s="22" t="n"/>
      <c r="AD219" s="22" t="n"/>
      <c r="AE219" s="22" t="n"/>
      <c r="AF219" s="22" t="n"/>
      <c r="AG219" s="22" t="n"/>
      <c r="AH219" s="22" t="n"/>
      <c r="AI219" s="22" t="n"/>
      <c r="AJ219" s="22" t="n"/>
      <c r="AK219" s="22" t="n"/>
      <c r="AL219" s="22" t="n"/>
      <c r="AM219" s="22" t="n"/>
      <c r="AN219" s="22" t="n"/>
      <c r="AO219" s="22" t="n"/>
      <c r="AP219" s="22" t="n"/>
      <c r="AQ219" s="22" t="n"/>
      <c r="AR219" s="22" t="n"/>
      <c r="AS219" s="22" t="n"/>
      <c r="AT219" s="22" t="n"/>
      <c r="AU219" s="22" t="n"/>
      <c r="AV219" s="22" t="n"/>
      <c r="AW219" s="22" t="n"/>
      <c r="AX219" s="22" t="n"/>
      <c r="AY219" s="22" t="n"/>
      <c r="AZ219" s="22" t="n"/>
      <c r="BA219" s="22" t="n"/>
      <c r="BB219" s="22" t="n"/>
      <c r="BC219" s="22" t="n"/>
      <c r="BD219" s="22" t="n"/>
      <c r="BE219" s="22" t="n"/>
      <c r="BF219" s="22" t="n"/>
      <c r="BG219" s="22" t="n"/>
      <c r="BH219" s="22" t="n"/>
      <c r="BI219" s="22" t="n"/>
      <c r="BJ219" s="22" t="n"/>
      <c r="BK219" s="22" t="n"/>
      <c r="BL219" s="22" t="n"/>
      <c r="BM219" s="22" t="n"/>
      <c r="BN219" s="22" t="n"/>
      <c r="BO219" s="22" t="n"/>
      <c r="BP219" s="22" t="n"/>
      <c r="BQ219" s="31" t="n"/>
      <c r="BR219" s="31" t="n"/>
      <c r="BS219" s="31" t="n"/>
      <c r="BT219" s="31" t="n"/>
    </row>
    <row r="220" ht="15.75" customHeight="1" s="349">
      <c r="A220" s="22" t="n"/>
      <c r="B220" s="22" t="n"/>
      <c r="C220" s="22" t="n"/>
      <c r="D220" s="22" t="n"/>
      <c r="E220" s="22" t="n"/>
      <c r="F220" s="22"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c r="AA220" s="22" t="n"/>
      <c r="AB220" s="22" t="n"/>
      <c r="AC220" s="22" t="n"/>
      <c r="AD220" s="22" t="n"/>
      <c r="AE220" s="22" t="n"/>
      <c r="AF220" s="22" t="n"/>
      <c r="AG220" s="22" t="n"/>
      <c r="AH220" s="22" t="n"/>
      <c r="AI220" s="22" t="n"/>
      <c r="AJ220" s="22" t="n"/>
      <c r="AK220" s="22" t="n"/>
      <c r="AL220" s="22" t="n"/>
      <c r="AM220" s="22" t="n"/>
      <c r="AN220" s="22" t="n"/>
      <c r="AO220" s="22" t="n"/>
      <c r="AP220" s="22" t="n"/>
      <c r="AQ220" s="22" t="n"/>
      <c r="AR220" s="22" t="n"/>
      <c r="AS220" s="22" t="n"/>
      <c r="AT220" s="22" t="n"/>
      <c r="AU220" s="22" t="n"/>
      <c r="AV220" s="22" t="n"/>
      <c r="AW220" s="22" t="n"/>
      <c r="AX220" s="22" t="n"/>
      <c r="AY220" s="22" t="n"/>
      <c r="AZ220" s="22" t="n"/>
      <c r="BA220" s="22" t="n"/>
      <c r="BB220" s="22" t="n"/>
      <c r="BC220" s="22" t="n"/>
      <c r="BD220" s="22" t="n"/>
      <c r="BE220" s="22" t="n"/>
      <c r="BF220" s="22" t="n"/>
      <c r="BG220" s="22" t="n"/>
      <c r="BH220" s="22" t="n"/>
      <c r="BI220" s="22" t="n"/>
      <c r="BJ220" s="22" t="n"/>
      <c r="BK220" s="22" t="n"/>
      <c r="BL220" s="22" t="n"/>
      <c r="BM220" s="22" t="n"/>
      <c r="BN220" s="22" t="n"/>
      <c r="BO220" s="22" t="n"/>
      <c r="BP220" s="22" t="n"/>
      <c r="BQ220" s="31" t="n"/>
      <c r="BR220" s="31" t="n"/>
      <c r="BS220" s="31" t="n"/>
      <c r="BT220" s="31" t="n"/>
    </row>
    <row r="221" ht="15.75" customHeight="1" s="349">
      <c r="A221" s="22" t="n"/>
      <c r="B221" s="22" t="n"/>
      <c r="C221" s="22" t="n"/>
      <c r="D221" s="22" t="n"/>
      <c r="E221" s="22" t="n"/>
      <c r="F221" s="22"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c r="AA221" s="22" t="n"/>
      <c r="AB221" s="22" t="n"/>
      <c r="AC221" s="22" t="n"/>
      <c r="AD221" s="22" t="n"/>
      <c r="AE221" s="22" t="n"/>
      <c r="AF221" s="22" t="n"/>
      <c r="AG221" s="22" t="n"/>
      <c r="AH221" s="22" t="n"/>
      <c r="AI221" s="22" t="n"/>
      <c r="AJ221" s="22" t="n"/>
      <c r="AK221" s="22" t="n"/>
      <c r="AL221" s="22" t="n"/>
      <c r="AM221" s="22" t="n"/>
      <c r="AN221" s="22" t="n"/>
      <c r="AO221" s="22" t="n"/>
      <c r="AP221" s="22" t="n"/>
      <c r="AQ221" s="22" t="n"/>
      <c r="AR221" s="22" t="n"/>
      <c r="AS221" s="22" t="n"/>
      <c r="AT221" s="22" t="n"/>
      <c r="AU221" s="22" t="n"/>
      <c r="AV221" s="22" t="n"/>
      <c r="AW221" s="22" t="n"/>
      <c r="AX221" s="22" t="n"/>
      <c r="AY221" s="22" t="n"/>
      <c r="AZ221" s="22" t="n"/>
      <c r="BA221" s="22" t="n"/>
      <c r="BB221" s="22" t="n"/>
      <c r="BC221" s="22" t="n"/>
      <c r="BD221" s="22" t="n"/>
      <c r="BE221" s="22" t="n"/>
      <c r="BF221" s="22" t="n"/>
      <c r="BG221" s="22" t="n"/>
      <c r="BH221" s="22" t="n"/>
      <c r="BI221" s="22" t="n"/>
      <c r="BJ221" s="22" t="n"/>
      <c r="BK221" s="22" t="n"/>
      <c r="BL221" s="22" t="n"/>
      <c r="BM221" s="22" t="n"/>
      <c r="BN221" s="22" t="n"/>
      <c r="BO221" s="22" t="n"/>
      <c r="BP221" s="22" t="n"/>
      <c r="BQ221" s="31" t="n"/>
      <c r="BR221" s="31" t="n"/>
      <c r="BS221" s="31" t="n"/>
      <c r="BT221" s="31" t="n"/>
    </row>
    <row r="222" ht="15.75" customHeight="1" s="349">
      <c r="A222" s="22" t="n"/>
      <c r="B222" s="22" t="n"/>
      <c r="C222" s="22" t="n"/>
      <c r="D222" s="22" t="n"/>
      <c r="E222" s="22" t="n"/>
      <c r="F222" s="22"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c r="AA222" s="22" t="n"/>
      <c r="AB222" s="22" t="n"/>
      <c r="AC222" s="22" t="n"/>
      <c r="AD222" s="22" t="n"/>
      <c r="AE222" s="22" t="n"/>
      <c r="AF222" s="22" t="n"/>
      <c r="AG222" s="22" t="n"/>
      <c r="AH222" s="22" t="n"/>
      <c r="AI222" s="22" t="n"/>
      <c r="AJ222" s="22" t="n"/>
      <c r="AK222" s="22" t="n"/>
      <c r="AL222" s="22" t="n"/>
      <c r="AM222" s="22" t="n"/>
      <c r="AN222" s="22" t="n"/>
      <c r="AO222" s="22" t="n"/>
      <c r="AP222" s="22" t="n"/>
      <c r="AQ222" s="22" t="n"/>
      <c r="AR222" s="22" t="n"/>
      <c r="AS222" s="22" t="n"/>
      <c r="AT222" s="22" t="n"/>
      <c r="AU222" s="22" t="n"/>
      <c r="AV222" s="22" t="n"/>
      <c r="AW222" s="22" t="n"/>
      <c r="AX222" s="22" t="n"/>
      <c r="AY222" s="22" t="n"/>
      <c r="AZ222" s="22" t="n"/>
      <c r="BA222" s="22" t="n"/>
      <c r="BB222" s="22" t="n"/>
      <c r="BC222" s="22" t="n"/>
      <c r="BD222" s="22" t="n"/>
      <c r="BE222" s="22" t="n"/>
      <c r="BF222" s="22" t="n"/>
      <c r="BG222" s="22" t="n"/>
      <c r="BH222" s="22" t="n"/>
      <c r="BI222" s="22" t="n"/>
      <c r="BJ222" s="22" t="n"/>
      <c r="BK222" s="22" t="n"/>
      <c r="BL222" s="22" t="n"/>
      <c r="BM222" s="22" t="n"/>
      <c r="BN222" s="22" t="n"/>
      <c r="BO222" s="22" t="n"/>
      <c r="BP222" s="22" t="n"/>
      <c r="BQ222" s="31" t="n"/>
      <c r="BR222" s="31" t="n"/>
      <c r="BS222" s="31" t="n"/>
      <c r="BT222" s="31" t="n"/>
    </row>
    <row r="223" ht="15.75" customHeight="1" s="349">
      <c r="A223" s="22" t="n"/>
      <c r="B223" s="22" t="n"/>
      <c r="C223" s="22" t="n"/>
      <c r="D223" s="22" t="n"/>
      <c r="E223" s="22" t="n"/>
      <c r="F223" s="22"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c r="AA223" s="22" t="n"/>
      <c r="AB223" s="22" t="n"/>
      <c r="AC223" s="22" t="n"/>
      <c r="AD223" s="22" t="n"/>
      <c r="AE223" s="22" t="n"/>
      <c r="AF223" s="22" t="n"/>
      <c r="AG223" s="22" t="n"/>
      <c r="AH223" s="22" t="n"/>
      <c r="AI223" s="22" t="n"/>
      <c r="AJ223" s="22" t="n"/>
      <c r="AK223" s="22" t="n"/>
      <c r="AL223" s="22" t="n"/>
      <c r="AM223" s="22" t="n"/>
      <c r="AN223" s="22" t="n"/>
      <c r="AO223" s="22" t="n"/>
      <c r="AP223" s="22" t="n"/>
      <c r="AQ223" s="22" t="n"/>
      <c r="AR223" s="22" t="n"/>
      <c r="AS223" s="22" t="n"/>
      <c r="AT223" s="22" t="n"/>
      <c r="AU223" s="22" t="n"/>
      <c r="AV223" s="22" t="n"/>
      <c r="AW223" s="22" t="n"/>
      <c r="AX223" s="22" t="n"/>
      <c r="AY223" s="22" t="n"/>
      <c r="AZ223" s="22" t="n"/>
      <c r="BA223" s="22" t="n"/>
      <c r="BB223" s="22" t="n"/>
      <c r="BC223" s="22" t="n"/>
      <c r="BD223" s="22" t="n"/>
      <c r="BE223" s="22" t="n"/>
      <c r="BF223" s="22" t="n"/>
      <c r="BG223" s="22" t="n"/>
      <c r="BH223" s="22" t="n"/>
      <c r="BI223" s="22" t="n"/>
      <c r="BJ223" s="22" t="n"/>
      <c r="BK223" s="22" t="n"/>
      <c r="BL223" s="22" t="n"/>
      <c r="BM223" s="22" t="n"/>
      <c r="BN223" s="22" t="n"/>
      <c r="BO223" s="22" t="n"/>
      <c r="BP223" s="22" t="n"/>
      <c r="BQ223" s="31" t="n"/>
      <c r="BR223" s="31" t="n"/>
      <c r="BS223" s="31" t="n"/>
      <c r="BT223" s="31" t="n"/>
    </row>
    <row r="224" ht="15.75" customHeight="1" s="349">
      <c r="A224" s="22" t="n"/>
      <c r="B224" s="22" t="n"/>
      <c r="C224" s="22" t="n"/>
      <c r="D224" s="22" t="n"/>
      <c r="E224" s="22" t="n"/>
      <c r="F224" s="22"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c r="AA224" s="22" t="n"/>
      <c r="AB224" s="22" t="n"/>
      <c r="AC224" s="22" t="n"/>
      <c r="AD224" s="22" t="n"/>
      <c r="AE224" s="22" t="n"/>
      <c r="AF224" s="22" t="n"/>
      <c r="AG224" s="22" t="n"/>
      <c r="AH224" s="22" t="n"/>
      <c r="AI224" s="22" t="n"/>
      <c r="AJ224" s="22" t="n"/>
      <c r="AK224" s="22" t="n"/>
      <c r="AL224" s="22" t="n"/>
      <c r="AM224" s="22" t="n"/>
      <c r="AN224" s="22" t="n"/>
      <c r="AO224" s="22" t="n"/>
      <c r="AP224" s="22" t="n"/>
      <c r="AQ224" s="22" t="n"/>
      <c r="AR224" s="22" t="n"/>
      <c r="AS224" s="22" t="n"/>
      <c r="AT224" s="22" t="n"/>
      <c r="AU224" s="22" t="n"/>
      <c r="AV224" s="22" t="n"/>
      <c r="AW224" s="22" t="n"/>
      <c r="AX224" s="22" t="n"/>
      <c r="AY224" s="22" t="n"/>
      <c r="AZ224" s="22" t="n"/>
      <c r="BA224" s="22" t="n"/>
      <c r="BB224" s="22" t="n"/>
      <c r="BC224" s="22" t="n"/>
      <c r="BD224" s="22" t="n"/>
      <c r="BE224" s="22" t="n"/>
      <c r="BF224" s="22" t="n"/>
      <c r="BG224" s="22" t="n"/>
      <c r="BH224" s="22" t="n"/>
      <c r="BI224" s="22" t="n"/>
      <c r="BJ224" s="22" t="n"/>
      <c r="BK224" s="22" t="n"/>
      <c r="BL224" s="22" t="n"/>
      <c r="BM224" s="22" t="n"/>
      <c r="BN224" s="22" t="n"/>
      <c r="BO224" s="22" t="n"/>
      <c r="BP224" s="22" t="n"/>
      <c r="BQ224" s="31" t="n"/>
      <c r="BR224" s="31" t="n"/>
      <c r="BS224" s="31" t="n"/>
      <c r="BT224" s="31" t="n"/>
    </row>
    <row r="225" ht="15.75" customHeight="1" s="349">
      <c r="A225" s="22" t="n"/>
      <c r="B225" s="22" t="n"/>
      <c r="C225" s="22" t="n"/>
      <c r="D225" s="22" t="n"/>
      <c r="E225" s="22" t="n"/>
      <c r="F225" s="22"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c r="AA225" s="22" t="n"/>
      <c r="AB225" s="22" t="n"/>
      <c r="AC225" s="22" t="n"/>
      <c r="AD225" s="22" t="n"/>
      <c r="AE225" s="22" t="n"/>
      <c r="AF225" s="22" t="n"/>
      <c r="AG225" s="22" t="n"/>
      <c r="AH225" s="22" t="n"/>
      <c r="AI225" s="22" t="n"/>
      <c r="AJ225" s="22" t="n"/>
      <c r="AK225" s="22" t="n"/>
      <c r="AL225" s="22" t="n"/>
      <c r="AM225" s="22" t="n"/>
      <c r="AN225" s="22" t="n"/>
      <c r="AO225" s="22" t="n"/>
      <c r="AP225" s="22" t="n"/>
      <c r="AQ225" s="22" t="n"/>
      <c r="AR225" s="22" t="n"/>
      <c r="AS225" s="22" t="n"/>
      <c r="AT225" s="22" t="n"/>
      <c r="AU225" s="22" t="n"/>
      <c r="AV225" s="22" t="n"/>
      <c r="AW225" s="22" t="n"/>
      <c r="AX225" s="22" t="n"/>
      <c r="AY225" s="22" t="n"/>
      <c r="AZ225" s="22" t="n"/>
      <c r="BA225" s="22" t="n"/>
      <c r="BB225" s="22" t="n"/>
      <c r="BC225" s="22" t="n"/>
      <c r="BD225" s="22" t="n"/>
      <c r="BE225" s="22" t="n"/>
      <c r="BF225" s="22" t="n"/>
      <c r="BG225" s="22" t="n"/>
      <c r="BH225" s="22" t="n"/>
      <c r="BI225" s="22" t="n"/>
      <c r="BJ225" s="22" t="n"/>
      <c r="BK225" s="22" t="n"/>
      <c r="BL225" s="22" t="n"/>
      <c r="BM225" s="22" t="n"/>
      <c r="BN225" s="22" t="n"/>
      <c r="BO225" s="22" t="n"/>
      <c r="BP225" s="22" t="n"/>
      <c r="BQ225" s="31" t="n"/>
      <c r="BR225" s="31" t="n"/>
      <c r="BS225" s="31" t="n"/>
      <c r="BT225" s="31" t="n"/>
    </row>
    <row r="226" ht="15.75" customHeight="1" s="349">
      <c r="A226" s="22" t="n"/>
      <c r="B226" s="22" t="n"/>
      <c r="C226" s="22" t="n"/>
      <c r="D226" s="22" t="n"/>
      <c r="E226" s="22" t="n"/>
      <c r="F226" s="22"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c r="AA226" s="22" t="n"/>
      <c r="AB226" s="22" t="n"/>
      <c r="AC226" s="22" t="n"/>
      <c r="AD226" s="22" t="n"/>
      <c r="AE226" s="22" t="n"/>
      <c r="AF226" s="22" t="n"/>
      <c r="AG226" s="22" t="n"/>
      <c r="AH226" s="22" t="n"/>
      <c r="AI226" s="22" t="n"/>
      <c r="AJ226" s="22" t="n"/>
      <c r="AK226" s="22" t="n"/>
      <c r="AL226" s="22" t="n"/>
      <c r="AM226" s="22" t="n"/>
      <c r="AN226" s="22" t="n"/>
      <c r="AO226" s="22" t="n"/>
      <c r="AP226" s="22" t="n"/>
      <c r="AQ226" s="22" t="n"/>
      <c r="AR226" s="22" t="n"/>
      <c r="AS226" s="22" t="n"/>
      <c r="AT226" s="22" t="n"/>
      <c r="AU226" s="22" t="n"/>
      <c r="AV226" s="22" t="n"/>
      <c r="AW226" s="22" t="n"/>
      <c r="AX226" s="22" t="n"/>
      <c r="AY226" s="22" t="n"/>
      <c r="AZ226" s="22" t="n"/>
      <c r="BA226" s="22" t="n"/>
      <c r="BB226" s="22" t="n"/>
      <c r="BC226" s="22" t="n"/>
      <c r="BD226" s="22" t="n"/>
      <c r="BE226" s="22" t="n"/>
      <c r="BF226" s="22" t="n"/>
      <c r="BG226" s="22" t="n"/>
      <c r="BH226" s="22" t="n"/>
      <c r="BI226" s="22" t="n"/>
      <c r="BJ226" s="22" t="n"/>
      <c r="BK226" s="22" t="n"/>
      <c r="BL226" s="22" t="n"/>
      <c r="BM226" s="22" t="n"/>
      <c r="BN226" s="22" t="n"/>
      <c r="BO226" s="22" t="n"/>
      <c r="BP226" s="22" t="n"/>
      <c r="BQ226" s="31" t="n"/>
      <c r="BR226" s="31" t="n"/>
      <c r="BS226" s="31" t="n"/>
      <c r="BT226" s="31" t="n"/>
    </row>
    <row r="227" ht="15.75" customHeight="1" s="349">
      <c r="A227" s="22" t="n"/>
      <c r="B227" s="22" t="n"/>
      <c r="C227" s="22" t="n"/>
      <c r="D227" s="22" t="n"/>
      <c r="E227" s="22" t="n"/>
      <c r="F227" s="22"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c r="AA227" s="22" t="n"/>
      <c r="AB227" s="22" t="n"/>
      <c r="AC227" s="22" t="n"/>
      <c r="AD227" s="22" t="n"/>
      <c r="AE227" s="22" t="n"/>
      <c r="AF227" s="22" t="n"/>
      <c r="AG227" s="22" t="n"/>
      <c r="AH227" s="22" t="n"/>
      <c r="AI227" s="22" t="n"/>
      <c r="AJ227" s="22" t="n"/>
      <c r="AK227" s="22" t="n"/>
      <c r="AL227" s="22" t="n"/>
      <c r="AM227" s="22" t="n"/>
      <c r="AN227" s="22" t="n"/>
      <c r="AO227" s="22" t="n"/>
      <c r="AP227" s="22" t="n"/>
      <c r="AQ227" s="22" t="n"/>
      <c r="AR227" s="22" t="n"/>
      <c r="AS227" s="22" t="n"/>
      <c r="AT227" s="22" t="n"/>
      <c r="AU227" s="22" t="n"/>
      <c r="AV227" s="22" t="n"/>
      <c r="AW227" s="22" t="n"/>
      <c r="AX227" s="22" t="n"/>
      <c r="AY227" s="22" t="n"/>
      <c r="AZ227" s="22" t="n"/>
      <c r="BA227" s="22" t="n"/>
      <c r="BB227" s="22" t="n"/>
      <c r="BC227" s="22" t="n"/>
      <c r="BD227" s="22" t="n"/>
      <c r="BE227" s="22" t="n"/>
      <c r="BF227" s="22" t="n"/>
      <c r="BG227" s="22" t="n"/>
      <c r="BH227" s="22" t="n"/>
      <c r="BI227" s="22" t="n"/>
      <c r="BJ227" s="22" t="n"/>
      <c r="BK227" s="22" t="n"/>
      <c r="BL227" s="22" t="n"/>
      <c r="BM227" s="22" t="n"/>
      <c r="BN227" s="22" t="n"/>
      <c r="BO227" s="22" t="n"/>
      <c r="BP227" s="22" t="n"/>
      <c r="BQ227" s="31" t="n"/>
      <c r="BR227" s="31" t="n"/>
      <c r="BS227" s="31" t="n"/>
      <c r="BT227" s="31" t="n"/>
    </row>
    <row r="228" ht="15.75" customHeight="1" s="349">
      <c r="A228" s="22" t="n"/>
      <c r="B228" s="22" t="n"/>
      <c r="C228" s="22" t="n"/>
      <c r="D228" s="22" t="n"/>
      <c r="E228" s="22" t="n"/>
      <c r="F228" s="22"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c r="AA228" s="22" t="n"/>
      <c r="AB228" s="22" t="n"/>
      <c r="AC228" s="22" t="n"/>
      <c r="AD228" s="22" t="n"/>
      <c r="AE228" s="22" t="n"/>
      <c r="AF228" s="22" t="n"/>
      <c r="AG228" s="22" t="n"/>
      <c r="AH228" s="22" t="n"/>
      <c r="AI228" s="22" t="n"/>
      <c r="AJ228" s="22" t="n"/>
      <c r="AK228" s="22" t="n"/>
      <c r="AL228" s="22" t="n"/>
      <c r="AM228" s="22" t="n"/>
      <c r="AN228" s="22" t="n"/>
      <c r="AO228" s="22" t="n"/>
      <c r="AP228" s="22" t="n"/>
      <c r="AQ228" s="22" t="n"/>
      <c r="AR228" s="22" t="n"/>
      <c r="AS228" s="22" t="n"/>
      <c r="AT228" s="22" t="n"/>
      <c r="AU228" s="22" t="n"/>
      <c r="AV228" s="22" t="n"/>
      <c r="AW228" s="22" t="n"/>
      <c r="AX228" s="22" t="n"/>
      <c r="AY228" s="22" t="n"/>
      <c r="AZ228" s="22" t="n"/>
      <c r="BA228" s="22" t="n"/>
      <c r="BB228" s="22" t="n"/>
      <c r="BC228" s="22" t="n"/>
      <c r="BD228" s="22" t="n"/>
      <c r="BE228" s="22" t="n"/>
      <c r="BF228" s="22" t="n"/>
      <c r="BG228" s="22" t="n"/>
      <c r="BH228" s="22" t="n"/>
      <c r="BI228" s="22" t="n"/>
      <c r="BJ228" s="22" t="n"/>
      <c r="BK228" s="22" t="n"/>
      <c r="BL228" s="22" t="n"/>
      <c r="BM228" s="22" t="n"/>
      <c r="BN228" s="22" t="n"/>
      <c r="BO228" s="22" t="n"/>
      <c r="BP228" s="22" t="n"/>
      <c r="BQ228" s="31" t="n"/>
      <c r="BR228" s="31" t="n"/>
      <c r="BS228" s="31" t="n"/>
      <c r="BT228" s="31" t="n"/>
    </row>
    <row r="229" ht="15.75" customHeight="1" s="349">
      <c r="A229" s="22" t="n"/>
      <c r="B229" s="22" t="n"/>
      <c r="C229" s="22" t="n"/>
      <c r="D229" s="22" t="n"/>
      <c r="E229" s="22" t="n"/>
      <c r="F229" s="22"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c r="AA229" s="22" t="n"/>
      <c r="AB229" s="22" t="n"/>
      <c r="AC229" s="22" t="n"/>
      <c r="AD229" s="22" t="n"/>
      <c r="AE229" s="22" t="n"/>
      <c r="AF229" s="22" t="n"/>
      <c r="AG229" s="22" t="n"/>
      <c r="AH229" s="22" t="n"/>
      <c r="AI229" s="22" t="n"/>
      <c r="AJ229" s="22" t="n"/>
      <c r="AK229" s="22" t="n"/>
      <c r="AL229" s="22" t="n"/>
      <c r="AM229" s="22" t="n"/>
      <c r="AN229" s="22" t="n"/>
      <c r="AO229" s="22" t="n"/>
      <c r="AP229" s="22" t="n"/>
      <c r="AQ229" s="22" t="n"/>
      <c r="AR229" s="22" t="n"/>
      <c r="AS229" s="22" t="n"/>
      <c r="AT229" s="22" t="n"/>
      <c r="AU229" s="22" t="n"/>
      <c r="AV229" s="22" t="n"/>
      <c r="AW229" s="22" t="n"/>
      <c r="AX229" s="22" t="n"/>
      <c r="AY229" s="22" t="n"/>
      <c r="AZ229" s="22" t="n"/>
      <c r="BA229" s="22" t="n"/>
      <c r="BB229" s="22" t="n"/>
      <c r="BC229" s="22" t="n"/>
      <c r="BD229" s="22" t="n"/>
      <c r="BE229" s="22" t="n"/>
      <c r="BF229" s="22" t="n"/>
      <c r="BG229" s="22" t="n"/>
      <c r="BH229" s="22" t="n"/>
      <c r="BI229" s="22" t="n"/>
      <c r="BJ229" s="22" t="n"/>
      <c r="BK229" s="22" t="n"/>
      <c r="BL229" s="22" t="n"/>
      <c r="BM229" s="22" t="n"/>
      <c r="BN229" s="22" t="n"/>
      <c r="BO229" s="22" t="n"/>
      <c r="BP229" s="22" t="n"/>
      <c r="BQ229" s="31" t="n"/>
      <c r="BR229" s="31" t="n"/>
      <c r="BS229" s="31" t="n"/>
      <c r="BT229" s="31" t="n"/>
    </row>
    <row r="230" ht="15.75" customHeight="1" s="349">
      <c r="A230" s="22" t="n"/>
      <c r="B230" s="22" t="n"/>
      <c r="C230" s="22" t="n"/>
      <c r="D230" s="22" t="n"/>
      <c r="E230" s="22" t="n"/>
      <c r="F230" s="22"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c r="AA230" s="22" t="n"/>
      <c r="AB230" s="22" t="n"/>
      <c r="AC230" s="22" t="n"/>
      <c r="AD230" s="22" t="n"/>
      <c r="AE230" s="22" t="n"/>
      <c r="AF230" s="22" t="n"/>
      <c r="AG230" s="22" t="n"/>
      <c r="AH230" s="22" t="n"/>
      <c r="AI230" s="22" t="n"/>
      <c r="AJ230" s="22" t="n"/>
      <c r="AK230" s="22" t="n"/>
      <c r="AL230" s="22" t="n"/>
      <c r="AM230" s="22" t="n"/>
      <c r="AN230" s="22" t="n"/>
      <c r="AO230" s="22" t="n"/>
      <c r="AP230" s="22" t="n"/>
      <c r="AQ230" s="22" t="n"/>
      <c r="AR230" s="22" t="n"/>
      <c r="AS230" s="22" t="n"/>
      <c r="AT230" s="22" t="n"/>
      <c r="AU230" s="22" t="n"/>
      <c r="AV230" s="22" t="n"/>
      <c r="AW230" s="22" t="n"/>
      <c r="AX230" s="22" t="n"/>
      <c r="AY230" s="22" t="n"/>
      <c r="AZ230" s="22" t="n"/>
      <c r="BA230" s="22" t="n"/>
      <c r="BB230" s="22" t="n"/>
      <c r="BC230" s="22" t="n"/>
      <c r="BD230" s="22" t="n"/>
      <c r="BE230" s="22" t="n"/>
      <c r="BF230" s="22" t="n"/>
      <c r="BG230" s="22" t="n"/>
      <c r="BH230" s="22" t="n"/>
      <c r="BI230" s="22" t="n"/>
      <c r="BJ230" s="22" t="n"/>
      <c r="BK230" s="22" t="n"/>
      <c r="BL230" s="22" t="n"/>
      <c r="BM230" s="22" t="n"/>
      <c r="BN230" s="22" t="n"/>
      <c r="BO230" s="22" t="n"/>
      <c r="BP230" s="22" t="n"/>
      <c r="BQ230" s="31" t="n"/>
      <c r="BR230" s="31" t="n"/>
      <c r="BS230" s="31" t="n"/>
      <c r="BT230" s="31" t="n"/>
    </row>
    <row r="231" ht="15.75" customHeight="1" s="349">
      <c r="A231" s="22" t="n"/>
      <c r="B231" s="22" t="n"/>
      <c r="C231" s="22" t="n"/>
      <c r="D231" s="22" t="n"/>
      <c r="E231" s="22" t="n"/>
      <c r="F231" s="22"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c r="AA231" s="22" t="n"/>
      <c r="AB231" s="22" t="n"/>
      <c r="AC231" s="22" t="n"/>
      <c r="AD231" s="22" t="n"/>
      <c r="AE231" s="22" t="n"/>
      <c r="AF231" s="22" t="n"/>
      <c r="AG231" s="22" t="n"/>
      <c r="AH231" s="22" t="n"/>
      <c r="AI231" s="22" t="n"/>
      <c r="AJ231" s="22" t="n"/>
      <c r="AK231" s="22" t="n"/>
      <c r="AL231" s="22" t="n"/>
      <c r="AM231" s="22" t="n"/>
      <c r="AN231" s="22" t="n"/>
      <c r="AO231" s="22" t="n"/>
      <c r="AP231" s="22" t="n"/>
      <c r="AQ231" s="22" t="n"/>
      <c r="AR231" s="22" t="n"/>
      <c r="AS231" s="22" t="n"/>
      <c r="AT231" s="22" t="n"/>
      <c r="AU231" s="22" t="n"/>
      <c r="AV231" s="22" t="n"/>
      <c r="AW231" s="22" t="n"/>
      <c r="AX231" s="22" t="n"/>
      <c r="AY231" s="22" t="n"/>
      <c r="AZ231" s="22" t="n"/>
      <c r="BA231" s="22" t="n"/>
      <c r="BB231" s="22" t="n"/>
      <c r="BC231" s="22" t="n"/>
      <c r="BD231" s="22" t="n"/>
      <c r="BE231" s="22" t="n"/>
      <c r="BF231" s="22" t="n"/>
      <c r="BG231" s="22" t="n"/>
      <c r="BH231" s="22" t="n"/>
      <c r="BI231" s="22" t="n"/>
      <c r="BJ231" s="22" t="n"/>
      <c r="BK231" s="22" t="n"/>
      <c r="BL231" s="22" t="n"/>
      <c r="BM231" s="22" t="n"/>
      <c r="BN231" s="22" t="n"/>
      <c r="BO231" s="22" t="n"/>
      <c r="BP231" s="22" t="n"/>
      <c r="BQ231" s="31" t="n"/>
      <c r="BR231" s="31" t="n"/>
      <c r="BS231" s="31" t="n"/>
      <c r="BT231" s="31" t="n"/>
    </row>
    <row r="232" ht="15.75" customHeight="1" s="349">
      <c r="A232" s="22" t="n"/>
      <c r="B232" s="22" t="n"/>
      <c r="C232" s="22" t="n"/>
      <c r="D232" s="22" t="n"/>
      <c r="E232" s="22" t="n"/>
      <c r="F232" s="22"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c r="AA232" s="22" t="n"/>
      <c r="AB232" s="22" t="n"/>
      <c r="AC232" s="22" t="n"/>
      <c r="AD232" s="22" t="n"/>
      <c r="AE232" s="22" t="n"/>
      <c r="AF232" s="22" t="n"/>
      <c r="AG232" s="22" t="n"/>
      <c r="AH232" s="22" t="n"/>
      <c r="AI232" s="22" t="n"/>
      <c r="AJ232" s="22" t="n"/>
      <c r="AK232" s="22" t="n"/>
      <c r="AL232" s="22" t="n"/>
      <c r="AM232" s="22" t="n"/>
      <c r="AN232" s="22" t="n"/>
      <c r="AO232" s="22" t="n"/>
      <c r="AP232" s="22" t="n"/>
      <c r="AQ232" s="22" t="n"/>
      <c r="AR232" s="22" t="n"/>
      <c r="AS232" s="22" t="n"/>
      <c r="AT232" s="22" t="n"/>
      <c r="AU232" s="22" t="n"/>
      <c r="AV232" s="22" t="n"/>
      <c r="AW232" s="22" t="n"/>
      <c r="AX232" s="22" t="n"/>
      <c r="AY232" s="22" t="n"/>
      <c r="AZ232" s="22" t="n"/>
      <c r="BA232" s="22" t="n"/>
      <c r="BB232" s="22" t="n"/>
      <c r="BC232" s="22" t="n"/>
      <c r="BD232" s="22" t="n"/>
      <c r="BE232" s="22" t="n"/>
      <c r="BF232" s="22" t="n"/>
      <c r="BG232" s="22" t="n"/>
      <c r="BH232" s="22" t="n"/>
      <c r="BI232" s="22" t="n"/>
      <c r="BJ232" s="22" t="n"/>
      <c r="BK232" s="22" t="n"/>
      <c r="BL232" s="22" t="n"/>
      <c r="BM232" s="22" t="n"/>
      <c r="BN232" s="22" t="n"/>
      <c r="BO232" s="22" t="n"/>
      <c r="BP232" s="22" t="n"/>
      <c r="BQ232" s="31" t="n"/>
      <c r="BR232" s="31" t="n"/>
      <c r="BS232" s="31" t="n"/>
      <c r="BT232" s="31" t="n"/>
    </row>
    <row r="233" ht="15.75" customHeight="1" s="349">
      <c r="A233" s="22" t="n"/>
      <c r="B233" s="22" t="n"/>
      <c r="C233" s="22" t="n"/>
      <c r="D233" s="22" t="n"/>
      <c r="E233" s="22" t="n"/>
      <c r="F233" s="22"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c r="AA233" s="22" t="n"/>
      <c r="AB233" s="22" t="n"/>
      <c r="AC233" s="22" t="n"/>
      <c r="AD233" s="22" t="n"/>
      <c r="AE233" s="22" t="n"/>
      <c r="AF233" s="22" t="n"/>
      <c r="AG233" s="22" t="n"/>
      <c r="AH233" s="22" t="n"/>
      <c r="AI233" s="22" t="n"/>
      <c r="AJ233" s="22" t="n"/>
      <c r="AK233" s="22" t="n"/>
      <c r="AL233" s="22" t="n"/>
      <c r="AM233" s="22" t="n"/>
      <c r="AN233" s="22" t="n"/>
      <c r="AO233" s="22" t="n"/>
      <c r="AP233" s="22" t="n"/>
      <c r="AQ233" s="22" t="n"/>
      <c r="AR233" s="22" t="n"/>
      <c r="AS233" s="22" t="n"/>
      <c r="AT233" s="22" t="n"/>
      <c r="AU233" s="22" t="n"/>
      <c r="AV233" s="22" t="n"/>
      <c r="AW233" s="22" t="n"/>
      <c r="AX233" s="22" t="n"/>
      <c r="AY233" s="22" t="n"/>
      <c r="AZ233" s="22" t="n"/>
      <c r="BA233" s="22" t="n"/>
      <c r="BB233" s="22" t="n"/>
      <c r="BC233" s="22" t="n"/>
      <c r="BD233" s="22" t="n"/>
      <c r="BE233" s="22" t="n"/>
      <c r="BF233" s="22" t="n"/>
      <c r="BG233" s="22" t="n"/>
      <c r="BH233" s="22" t="n"/>
      <c r="BI233" s="22" t="n"/>
      <c r="BJ233" s="22" t="n"/>
      <c r="BK233" s="22" t="n"/>
      <c r="BL233" s="22" t="n"/>
      <c r="BM233" s="22" t="n"/>
      <c r="BN233" s="22" t="n"/>
      <c r="BO233" s="22" t="n"/>
      <c r="BP233" s="22" t="n"/>
      <c r="BQ233" s="31" t="n"/>
      <c r="BR233" s="31" t="n"/>
      <c r="BS233" s="31" t="n"/>
      <c r="BT233" s="31" t="n"/>
    </row>
    <row r="234" ht="15.75" customHeight="1" s="349">
      <c r="A234" s="22" t="n"/>
      <c r="B234" s="22" t="n"/>
      <c r="C234" s="22" t="n"/>
      <c r="D234" s="22" t="n"/>
      <c r="E234" s="22" t="n"/>
      <c r="F234" s="22"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c r="AA234" s="22" t="n"/>
      <c r="AB234" s="22" t="n"/>
      <c r="AC234" s="22" t="n"/>
      <c r="AD234" s="22" t="n"/>
      <c r="AE234" s="22" t="n"/>
      <c r="AF234" s="22" t="n"/>
      <c r="AG234" s="22" t="n"/>
      <c r="AH234" s="22" t="n"/>
      <c r="AI234" s="22" t="n"/>
      <c r="AJ234" s="22" t="n"/>
      <c r="AK234" s="22" t="n"/>
      <c r="AL234" s="22" t="n"/>
      <c r="AM234" s="22" t="n"/>
      <c r="AN234" s="22" t="n"/>
      <c r="AO234" s="22" t="n"/>
      <c r="AP234" s="22" t="n"/>
      <c r="AQ234" s="22" t="n"/>
      <c r="AR234" s="22" t="n"/>
      <c r="AS234" s="22" t="n"/>
      <c r="AT234" s="22" t="n"/>
      <c r="AU234" s="22" t="n"/>
      <c r="AV234" s="22" t="n"/>
      <c r="AW234" s="22" t="n"/>
      <c r="AX234" s="22" t="n"/>
      <c r="AY234" s="22" t="n"/>
      <c r="AZ234" s="22" t="n"/>
      <c r="BA234" s="22" t="n"/>
      <c r="BB234" s="22" t="n"/>
      <c r="BC234" s="22" t="n"/>
      <c r="BD234" s="22" t="n"/>
      <c r="BE234" s="22" t="n"/>
      <c r="BF234" s="22" t="n"/>
      <c r="BG234" s="22" t="n"/>
      <c r="BH234" s="22" t="n"/>
      <c r="BI234" s="22" t="n"/>
      <c r="BJ234" s="22" t="n"/>
      <c r="BK234" s="22" t="n"/>
      <c r="BL234" s="22" t="n"/>
      <c r="BM234" s="22" t="n"/>
      <c r="BN234" s="22" t="n"/>
      <c r="BO234" s="22" t="n"/>
      <c r="BP234" s="22" t="n"/>
      <c r="BQ234" s="31" t="n"/>
      <c r="BR234" s="31" t="n"/>
      <c r="BS234" s="31" t="n"/>
      <c r="BT234" s="31" t="n"/>
    </row>
    <row r="235" ht="15.75" customHeight="1" s="349">
      <c r="A235" s="22" t="n"/>
      <c r="B235" s="22" t="n"/>
      <c r="C235" s="22" t="n"/>
      <c r="D235" s="22" t="n"/>
      <c r="E235" s="22" t="n"/>
      <c r="F235" s="22"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c r="AA235" s="22" t="n"/>
      <c r="AB235" s="22" t="n"/>
      <c r="AC235" s="22" t="n"/>
      <c r="AD235" s="22" t="n"/>
      <c r="AE235" s="22" t="n"/>
      <c r="AF235" s="22" t="n"/>
      <c r="AG235" s="22" t="n"/>
      <c r="AH235" s="22" t="n"/>
      <c r="AI235" s="22" t="n"/>
      <c r="AJ235" s="22" t="n"/>
      <c r="AK235" s="22" t="n"/>
      <c r="AL235" s="22" t="n"/>
      <c r="AM235" s="22" t="n"/>
      <c r="AN235" s="22" t="n"/>
      <c r="AO235" s="22" t="n"/>
      <c r="AP235" s="22" t="n"/>
      <c r="AQ235" s="22" t="n"/>
      <c r="AR235" s="22" t="n"/>
      <c r="AS235" s="22" t="n"/>
      <c r="AT235" s="22" t="n"/>
      <c r="AU235" s="22" t="n"/>
      <c r="AV235" s="22" t="n"/>
      <c r="AW235" s="22" t="n"/>
      <c r="AX235" s="22" t="n"/>
      <c r="AY235" s="22" t="n"/>
      <c r="AZ235" s="22" t="n"/>
      <c r="BA235" s="22" t="n"/>
      <c r="BB235" s="22" t="n"/>
      <c r="BC235" s="22" t="n"/>
      <c r="BD235" s="22" t="n"/>
      <c r="BE235" s="22" t="n"/>
      <c r="BF235" s="22" t="n"/>
      <c r="BG235" s="22" t="n"/>
      <c r="BH235" s="22" t="n"/>
      <c r="BI235" s="22" t="n"/>
      <c r="BJ235" s="22" t="n"/>
      <c r="BK235" s="22" t="n"/>
      <c r="BL235" s="22" t="n"/>
      <c r="BM235" s="22" t="n"/>
      <c r="BN235" s="22" t="n"/>
      <c r="BO235" s="22" t="n"/>
      <c r="BP235" s="22" t="n"/>
      <c r="BQ235" s="31" t="n"/>
      <c r="BR235" s="31" t="n"/>
      <c r="BS235" s="31" t="n"/>
      <c r="BT235" s="31" t="n"/>
    </row>
    <row r="236" ht="15.75" customHeight="1" s="349">
      <c r="A236" s="22" t="n"/>
      <c r="B236" s="22" t="n"/>
      <c r="C236" s="22" t="n"/>
      <c r="D236" s="22" t="n"/>
      <c r="E236" s="22" t="n"/>
      <c r="F236" s="22"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c r="AA236" s="22" t="n"/>
      <c r="AB236" s="22" t="n"/>
      <c r="AC236" s="22" t="n"/>
      <c r="AD236" s="22" t="n"/>
      <c r="AE236" s="22" t="n"/>
      <c r="AF236" s="22" t="n"/>
      <c r="AG236" s="22" t="n"/>
      <c r="AH236" s="22" t="n"/>
      <c r="AI236" s="22" t="n"/>
      <c r="AJ236" s="22" t="n"/>
      <c r="AK236" s="22" t="n"/>
      <c r="AL236" s="22" t="n"/>
      <c r="AM236" s="22" t="n"/>
      <c r="AN236" s="22" t="n"/>
      <c r="AO236" s="22" t="n"/>
      <c r="AP236" s="22" t="n"/>
      <c r="AQ236" s="22" t="n"/>
      <c r="AR236" s="22" t="n"/>
      <c r="AS236" s="22" t="n"/>
      <c r="AT236" s="22" t="n"/>
      <c r="AU236" s="22" t="n"/>
      <c r="AV236" s="22" t="n"/>
      <c r="AW236" s="22" t="n"/>
      <c r="AX236" s="22" t="n"/>
      <c r="AY236" s="22" t="n"/>
      <c r="AZ236" s="22" t="n"/>
      <c r="BA236" s="22" t="n"/>
      <c r="BB236" s="22" t="n"/>
      <c r="BC236" s="22" t="n"/>
      <c r="BD236" s="22" t="n"/>
      <c r="BE236" s="22" t="n"/>
      <c r="BF236" s="22" t="n"/>
      <c r="BG236" s="22" t="n"/>
      <c r="BH236" s="22" t="n"/>
      <c r="BI236" s="22" t="n"/>
      <c r="BJ236" s="22" t="n"/>
      <c r="BK236" s="22" t="n"/>
      <c r="BL236" s="22" t="n"/>
      <c r="BM236" s="22" t="n"/>
      <c r="BN236" s="22" t="n"/>
      <c r="BO236" s="22" t="n"/>
      <c r="BP236" s="22" t="n"/>
      <c r="BQ236" s="31" t="n"/>
      <c r="BR236" s="31" t="n"/>
      <c r="BS236" s="31" t="n"/>
      <c r="BT236" s="31" t="n"/>
    </row>
    <row r="237" ht="15.75" customHeight="1" s="349">
      <c r="A237" s="22" t="n"/>
      <c r="B237" s="22" t="n"/>
      <c r="C237" s="22" t="n"/>
      <c r="D237" s="22" t="n"/>
      <c r="E237" s="22" t="n"/>
      <c r="F237" s="22"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c r="AA237" s="22" t="n"/>
      <c r="AB237" s="22" t="n"/>
      <c r="AC237" s="22" t="n"/>
      <c r="AD237" s="22" t="n"/>
      <c r="AE237" s="22" t="n"/>
      <c r="AF237" s="22" t="n"/>
      <c r="AG237" s="22" t="n"/>
      <c r="AH237" s="22" t="n"/>
      <c r="AI237" s="22" t="n"/>
      <c r="AJ237" s="22" t="n"/>
      <c r="AK237" s="22" t="n"/>
      <c r="AL237" s="22" t="n"/>
      <c r="AM237" s="22" t="n"/>
      <c r="AN237" s="22" t="n"/>
      <c r="AO237" s="22" t="n"/>
      <c r="AP237" s="22" t="n"/>
      <c r="AQ237" s="22" t="n"/>
      <c r="AR237" s="22" t="n"/>
      <c r="AS237" s="22" t="n"/>
      <c r="AT237" s="22" t="n"/>
      <c r="AU237" s="22" t="n"/>
      <c r="AV237" s="22" t="n"/>
      <c r="AW237" s="22" t="n"/>
      <c r="AX237" s="22" t="n"/>
      <c r="AY237" s="22" t="n"/>
      <c r="AZ237" s="22" t="n"/>
      <c r="BA237" s="22" t="n"/>
      <c r="BB237" s="22" t="n"/>
      <c r="BC237" s="22" t="n"/>
      <c r="BD237" s="22" t="n"/>
      <c r="BE237" s="22" t="n"/>
      <c r="BF237" s="22" t="n"/>
      <c r="BG237" s="22" t="n"/>
      <c r="BH237" s="22" t="n"/>
      <c r="BI237" s="22" t="n"/>
      <c r="BJ237" s="22" t="n"/>
      <c r="BK237" s="22" t="n"/>
      <c r="BL237" s="22" t="n"/>
      <c r="BM237" s="22" t="n"/>
      <c r="BN237" s="22" t="n"/>
      <c r="BO237" s="22" t="n"/>
      <c r="BP237" s="22" t="n"/>
      <c r="BQ237" s="31" t="n"/>
      <c r="BR237" s="31" t="n"/>
      <c r="BS237" s="31" t="n"/>
      <c r="BT237" s="31" t="n"/>
    </row>
    <row r="238" ht="15.75" customHeight="1" s="349">
      <c r="A238" s="22" t="n"/>
      <c r="B238" s="22" t="n"/>
      <c r="C238" s="22" t="n"/>
      <c r="D238" s="22" t="n"/>
      <c r="E238" s="22" t="n"/>
      <c r="F238" s="22"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c r="AA238" s="22" t="n"/>
      <c r="AB238" s="22" t="n"/>
      <c r="AC238" s="22" t="n"/>
      <c r="AD238" s="22" t="n"/>
      <c r="AE238" s="22" t="n"/>
      <c r="AF238" s="22" t="n"/>
      <c r="AG238" s="22" t="n"/>
      <c r="AH238" s="22" t="n"/>
      <c r="AI238" s="22" t="n"/>
      <c r="AJ238" s="22" t="n"/>
      <c r="AK238" s="22" t="n"/>
      <c r="AL238" s="22" t="n"/>
      <c r="AM238" s="22" t="n"/>
      <c r="AN238" s="22" t="n"/>
      <c r="AO238" s="22" t="n"/>
      <c r="AP238" s="22" t="n"/>
      <c r="AQ238" s="22" t="n"/>
      <c r="AR238" s="22" t="n"/>
      <c r="AS238" s="22" t="n"/>
      <c r="AT238" s="22" t="n"/>
      <c r="AU238" s="22" t="n"/>
      <c r="AV238" s="22" t="n"/>
      <c r="AW238" s="22" t="n"/>
      <c r="AX238" s="22" t="n"/>
      <c r="AY238" s="22" t="n"/>
      <c r="AZ238" s="22" t="n"/>
      <c r="BA238" s="22" t="n"/>
      <c r="BB238" s="22" t="n"/>
      <c r="BC238" s="22" t="n"/>
      <c r="BD238" s="22" t="n"/>
      <c r="BE238" s="22" t="n"/>
      <c r="BF238" s="22" t="n"/>
      <c r="BG238" s="22" t="n"/>
      <c r="BH238" s="22" t="n"/>
      <c r="BI238" s="22" t="n"/>
      <c r="BJ238" s="22" t="n"/>
      <c r="BK238" s="22" t="n"/>
      <c r="BL238" s="22" t="n"/>
      <c r="BM238" s="22" t="n"/>
      <c r="BN238" s="22" t="n"/>
      <c r="BO238" s="22" t="n"/>
      <c r="BP238" s="22" t="n"/>
      <c r="BQ238" s="31" t="n"/>
      <c r="BR238" s="31" t="n"/>
      <c r="BS238" s="31" t="n"/>
      <c r="BT238" s="31" t="n"/>
    </row>
    <row r="239" ht="15.75" customHeight="1" s="349">
      <c r="A239" s="22" t="n"/>
      <c r="B239" s="22" t="n"/>
      <c r="C239" s="22" t="n"/>
      <c r="D239" s="22" t="n"/>
      <c r="E239" s="22" t="n"/>
      <c r="F239" s="22"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c r="AA239" s="22" t="n"/>
      <c r="AB239" s="22" t="n"/>
      <c r="AC239" s="22" t="n"/>
      <c r="AD239" s="22" t="n"/>
      <c r="AE239" s="22" t="n"/>
      <c r="AF239" s="22" t="n"/>
      <c r="AG239" s="22" t="n"/>
      <c r="AH239" s="22" t="n"/>
      <c r="AI239" s="22" t="n"/>
      <c r="AJ239" s="22" t="n"/>
      <c r="AK239" s="22" t="n"/>
      <c r="AL239" s="22" t="n"/>
      <c r="AM239" s="22" t="n"/>
      <c r="AN239" s="22" t="n"/>
      <c r="AO239" s="22" t="n"/>
      <c r="AP239" s="22" t="n"/>
      <c r="AQ239" s="22" t="n"/>
      <c r="AR239" s="22" t="n"/>
      <c r="AS239" s="22" t="n"/>
      <c r="AT239" s="22" t="n"/>
      <c r="AU239" s="22" t="n"/>
      <c r="AV239" s="22" t="n"/>
      <c r="AW239" s="22" t="n"/>
      <c r="AX239" s="22" t="n"/>
      <c r="AY239" s="22" t="n"/>
      <c r="AZ239" s="22" t="n"/>
      <c r="BA239" s="22" t="n"/>
      <c r="BB239" s="22" t="n"/>
      <c r="BC239" s="22" t="n"/>
      <c r="BD239" s="22" t="n"/>
      <c r="BE239" s="22" t="n"/>
      <c r="BF239" s="22" t="n"/>
      <c r="BG239" s="22" t="n"/>
      <c r="BH239" s="22" t="n"/>
      <c r="BI239" s="22" t="n"/>
      <c r="BJ239" s="22" t="n"/>
      <c r="BK239" s="22" t="n"/>
      <c r="BL239" s="22" t="n"/>
      <c r="BM239" s="22" t="n"/>
      <c r="BN239" s="22" t="n"/>
      <c r="BO239" s="22" t="n"/>
      <c r="BP239" s="22" t="n"/>
      <c r="BQ239" s="31" t="n"/>
      <c r="BR239" s="31" t="n"/>
      <c r="BS239" s="31" t="n"/>
      <c r="BT239" s="31" t="n"/>
    </row>
    <row r="240" ht="15.75" customHeight="1" s="349">
      <c r="A240" s="22" t="n"/>
      <c r="B240" s="22" t="n"/>
      <c r="C240" s="22" t="n"/>
      <c r="D240" s="22" t="n"/>
      <c r="E240" s="22" t="n"/>
      <c r="F240" s="22"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c r="AA240" s="22" t="n"/>
      <c r="AB240" s="22" t="n"/>
      <c r="AC240" s="22" t="n"/>
      <c r="AD240" s="22" t="n"/>
      <c r="AE240" s="22" t="n"/>
      <c r="AF240" s="22" t="n"/>
      <c r="AG240" s="22" t="n"/>
      <c r="AH240" s="22" t="n"/>
      <c r="AI240" s="22" t="n"/>
      <c r="AJ240" s="22" t="n"/>
      <c r="AK240" s="22" t="n"/>
      <c r="AL240" s="22" t="n"/>
      <c r="AM240" s="22" t="n"/>
      <c r="AN240" s="22" t="n"/>
      <c r="AO240" s="22" t="n"/>
      <c r="AP240" s="22" t="n"/>
      <c r="AQ240" s="22" t="n"/>
      <c r="AR240" s="22" t="n"/>
      <c r="AS240" s="22" t="n"/>
      <c r="AT240" s="22" t="n"/>
      <c r="AU240" s="22" t="n"/>
      <c r="AV240" s="22" t="n"/>
      <c r="AW240" s="22" t="n"/>
      <c r="AX240" s="22" t="n"/>
      <c r="AY240" s="22" t="n"/>
      <c r="AZ240" s="22" t="n"/>
      <c r="BA240" s="22" t="n"/>
      <c r="BB240" s="22" t="n"/>
      <c r="BC240" s="22" t="n"/>
      <c r="BD240" s="22" t="n"/>
      <c r="BE240" s="22" t="n"/>
      <c r="BF240" s="22" t="n"/>
      <c r="BG240" s="22" t="n"/>
      <c r="BH240" s="22" t="n"/>
      <c r="BI240" s="22" t="n"/>
      <c r="BJ240" s="22" t="n"/>
      <c r="BK240" s="22" t="n"/>
      <c r="BL240" s="22" t="n"/>
      <c r="BM240" s="22" t="n"/>
      <c r="BN240" s="22" t="n"/>
      <c r="BO240" s="22" t="n"/>
      <c r="BP240" s="22" t="n"/>
      <c r="BQ240" s="31" t="n"/>
      <c r="BR240" s="31" t="n"/>
      <c r="BS240" s="31" t="n"/>
      <c r="BT240" s="31" t="n"/>
    </row>
    <row r="241" ht="15.75" customHeight="1" s="349">
      <c r="A241" s="22" t="n"/>
      <c r="B241" s="22" t="n"/>
      <c r="C241" s="22" t="n"/>
      <c r="D241" s="22" t="n"/>
      <c r="E241" s="22" t="n"/>
      <c r="F241" s="22"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c r="AA241" s="22" t="n"/>
      <c r="AB241" s="22" t="n"/>
      <c r="AC241" s="22" t="n"/>
      <c r="AD241" s="22" t="n"/>
      <c r="AE241" s="22" t="n"/>
      <c r="AF241" s="22" t="n"/>
      <c r="AG241" s="22" t="n"/>
      <c r="AH241" s="22" t="n"/>
      <c r="AI241" s="22" t="n"/>
      <c r="AJ241" s="22" t="n"/>
      <c r="AK241" s="22" t="n"/>
      <c r="AL241" s="22" t="n"/>
      <c r="AM241" s="22" t="n"/>
      <c r="AN241" s="22" t="n"/>
      <c r="AO241" s="22" t="n"/>
      <c r="AP241" s="22" t="n"/>
      <c r="AQ241" s="22" t="n"/>
      <c r="AR241" s="22" t="n"/>
      <c r="AS241" s="22" t="n"/>
      <c r="AT241" s="22" t="n"/>
      <c r="AU241" s="22" t="n"/>
      <c r="AV241" s="22" t="n"/>
      <c r="AW241" s="22" t="n"/>
      <c r="AX241" s="22" t="n"/>
      <c r="AY241" s="22" t="n"/>
      <c r="AZ241" s="22" t="n"/>
      <c r="BA241" s="22" t="n"/>
      <c r="BB241" s="22" t="n"/>
      <c r="BC241" s="22" t="n"/>
      <c r="BD241" s="22" t="n"/>
      <c r="BE241" s="22" t="n"/>
      <c r="BF241" s="22" t="n"/>
      <c r="BG241" s="22" t="n"/>
      <c r="BH241" s="22" t="n"/>
      <c r="BI241" s="22" t="n"/>
      <c r="BJ241" s="22" t="n"/>
      <c r="BK241" s="22" t="n"/>
      <c r="BL241" s="22" t="n"/>
      <c r="BM241" s="22" t="n"/>
      <c r="BN241" s="22" t="n"/>
      <c r="BO241" s="22" t="n"/>
      <c r="BP241" s="22" t="n"/>
      <c r="BQ241" s="31" t="n"/>
      <c r="BR241" s="31" t="n"/>
      <c r="BS241" s="31" t="n"/>
      <c r="BT241" s="31" t="n"/>
    </row>
    <row r="242" ht="15.75" customHeight="1" s="349">
      <c r="A242" s="22" t="n"/>
      <c r="B242" s="22" t="n"/>
      <c r="C242" s="22" t="n"/>
      <c r="D242" s="22" t="n"/>
      <c r="E242" s="22" t="n"/>
      <c r="F242" s="22"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c r="AA242" s="22" t="n"/>
      <c r="AB242" s="22" t="n"/>
      <c r="AC242" s="22" t="n"/>
      <c r="AD242" s="22" t="n"/>
      <c r="AE242" s="22" t="n"/>
      <c r="AF242" s="22" t="n"/>
      <c r="AG242" s="22" t="n"/>
      <c r="AH242" s="22" t="n"/>
      <c r="AI242" s="22" t="n"/>
      <c r="AJ242" s="22" t="n"/>
      <c r="AK242" s="22" t="n"/>
      <c r="AL242" s="22" t="n"/>
      <c r="AM242" s="22" t="n"/>
      <c r="AN242" s="22" t="n"/>
      <c r="AO242" s="22" t="n"/>
      <c r="AP242" s="22" t="n"/>
      <c r="AQ242" s="22" t="n"/>
      <c r="AR242" s="22" t="n"/>
      <c r="AS242" s="22" t="n"/>
      <c r="AT242" s="22" t="n"/>
      <c r="AU242" s="22" t="n"/>
      <c r="AV242" s="22" t="n"/>
      <c r="AW242" s="22" t="n"/>
      <c r="AX242" s="22" t="n"/>
      <c r="AY242" s="22" t="n"/>
      <c r="AZ242" s="22" t="n"/>
      <c r="BA242" s="22" t="n"/>
      <c r="BB242" s="22" t="n"/>
      <c r="BC242" s="22" t="n"/>
      <c r="BD242" s="22" t="n"/>
      <c r="BE242" s="22" t="n"/>
      <c r="BF242" s="22" t="n"/>
      <c r="BG242" s="22" t="n"/>
      <c r="BH242" s="22" t="n"/>
      <c r="BI242" s="22" t="n"/>
      <c r="BJ242" s="22" t="n"/>
      <c r="BK242" s="22" t="n"/>
      <c r="BL242" s="22" t="n"/>
      <c r="BM242" s="22" t="n"/>
      <c r="BN242" s="22" t="n"/>
      <c r="BO242" s="22" t="n"/>
      <c r="BP242" s="22" t="n"/>
      <c r="BQ242" s="31" t="n"/>
      <c r="BR242" s="31" t="n"/>
      <c r="BS242" s="31" t="n"/>
      <c r="BT242" s="31" t="n"/>
    </row>
    <row r="243" ht="15.75" customHeight="1" s="349">
      <c r="A243" s="22" t="n"/>
      <c r="B243" s="22" t="n"/>
      <c r="C243" s="22" t="n"/>
      <c r="D243" s="22" t="n"/>
      <c r="E243" s="22" t="n"/>
      <c r="F243" s="22"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c r="AA243" s="22" t="n"/>
      <c r="AB243" s="22" t="n"/>
      <c r="AC243" s="22" t="n"/>
      <c r="AD243" s="22" t="n"/>
      <c r="AE243" s="22" t="n"/>
      <c r="AF243" s="22" t="n"/>
      <c r="AG243" s="22" t="n"/>
      <c r="AH243" s="22" t="n"/>
      <c r="AI243" s="22" t="n"/>
      <c r="AJ243" s="22" t="n"/>
      <c r="AK243" s="22" t="n"/>
      <c r="AL243" s="22" t="n"/>
      <c r="AM243" s="22" t="n"/>
      <c r="AN243" s="22" t="n"/>
      <c r="AO243" s="22" t="n"/>
      <c r="AP243" s="22" t="n"/>
      <c r="AQ243" s="22" t="n"/>
      <c r="AR243" s="22" t="n"/>
      <c r="AS243" s="22" t="n"/>
      <c r="AT243" s="22" t="n"/>
      <c r="AU243" s="22" t="n"/>
      <c r="AV243" s="22" t="n"/>
      <c r="AW243" s="22" t="n"/>
      <c r="AX243" s="22" t="n"/>
      <c r="AY243" s="22" t="n"/>
      <c r="AZ243" s="22" t="n"/>
      <c r="BA243" s="22" t="n"/>
      <c r="BB243" s="22" t="n"/>
      <c r="BC243" s="22" t="n"/>
      <c r="BD243" s="22" t="n"/>
      <c r="BE243" s="22" t="n"/>
      <c r="BF243" s="22" t="n"/>
      <c r="BG243" s="22" t="n"/>
      <c r="BH243" s="22" t="n"/>
      <c r="BI243" s="22" t="n"/>
      <c r="BJ243" s="22" t="n"/>
      <c r="BK243" s="22" t="n"/>
      <c r="BL243" s="22" t="n"/>
      <c r="BM243" s="22" t="n"/>
      <c r="BN243" s="22" t="n"/>
      <c r="BO243" s="22" t="n"/>
      <c r="BP243" s="22" t="n"/>
      <c r="BQ243" s="31" t="n"/>
      <c r="BR243" s="31" t="n"/>
      <c r="BS243" s="31" t="n"/>
      <c r="BT243" s="31" t="n"/>
    </row>
    <row r="244" ht="15.75" customHeight="1" s="349">
      <c r="A244" s="22" t="n"/>
      <c r="B244" s="22" t="n"/>
      <c r="C244" s="22" t="n"/>
      <c r="D244" s="22" t="n"/>
      <c r="E244" s="22" t="n"/>
      <c r="F244" s="22"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c r="AA244" s="22" t="n"/>
      <c r="AB244" s="22" t="n"/>
      <c r="AC244" s="22" t="n"/>
      <c r="AD244" s="22" t="n"/>
      <c r="AE244" s="22" t="n"/>
      <c r="AF244" s="22" t="n"/>
      <c r="AG244" s="22" t="n"/>
      <c r="AH244" s="22" t="n"/>
      <c r="AI244" s="22" t="n"/>
      <c r="AJ244" s="22" t="n"/>
      <c r="AK244" s="22" t="n"/>
      <c r="AL244" s="22" t="n"/>
      <c r="AM244" s="22" t="n"/>
      <c r="AN244" s="22" t="n"/>
      <c r="AO244" s="22" t="n"/>
      <c r="AP244" s="22" t="n"/>
      <c r="AQ244" s="22" t="n"/>
      <c r="AR244" s="22" t="n"/>
      <c r="AS244" s="22" t="n"/>
      <c r="AT244" s="22" t="n"/>
      <c r="AU244" s="22" t="n"/>
      <c r="AV244" s="22" t="n"/>
      <c r="AW244" s="22" t="n"/>
      <c r="AX244" s="22" t="n"/>
      <c r="AY244" s="22" t="n"/>
      <c r="AZ244" s="22" t="n"/>
      <c r="BA244" s="22" t="n"/>
      <c r="BB244" s="22" t="n"/>
      <c r="BC244" s="22" t="n"/>
      <c r="BD244" s="22" t="n"/>
      <c r="BE244" s="22" t="n"/>
      <c r="BF244" s="22" t="n"/>
      <c r="BG244" s="22" t="n"/>
      <c r="BH244" s="22" t="n"/>
      <c r="BI244" s="22" t="n"/>
      <c r="BJ244" s="22" t="n"/>
      <c r="BK244" s="22" t="n"/>
      <c r="BL244" s="22" t="n"/>
      <c r="BM244" s="22" t="n"/>
      <c r="BN244" s="22" t="n"/>
      <c r="BO244" s="22" t="n"/>
      <c r="BP244" s="22" t="n"/>
      <c r="BQ244" s="31" t="n"/>
      <c r="BR244" s="31" t="n"/>
      <c r="BS244" s="31" t="n"/>
      <c r="BT244" s="31" t="n"/>
    </row>
    <row r="245" ht="15.75" customHeight="1" s="349">
      <c r="A245" s="22" t="n"/>
      <c r="B245" s="22" t="n"/>
      <c r="C245" s="22" t="n"/>
      <c r="D245" s="22" t="n"/>
      <c r="E245" s="22" t="n"/>
      <c r="F245" s="22"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c r="AA245" s="22" t="n"/>
      <c r="AB245" s="22" t="n"/>
      <c r="AC245" s="22" t="n"/>
      <c r="AD245" s="22" t="n"/>
      <c r="AE245" s="22" t="n"/>
      <c r="AF245" s="22" t="n"/>
      <c r="AG245" s="22" t="n"/>
      <c r="AH245" s="22" t="n"/>
      <c r="AI245" s="22" t="n"/>
      <c r="AJ245" s="22" t="n"/>
      <c r="AK245" s="22" t="n"/>
      <c r="AL245" s="22" t="n"/>
      <c r="AM245" s="22" t="n"/>
      <c r="AN245" s="22" t="n"/>
      <c r="AO245" s="22" t="n"/>
      <c r="AP245" s="22" t="n"/>
      <c r="AQ245" s="22" t="n"/>
      <c r="AR245" s="22" t="n"/>
      <c r="AS245" s="22" t="n"/>
      <c r="AT245" s="22" t="n"/>
      <c r="AU245" s="22" t="n"/>
      <c r="AV245" s="22" t="n"/>
      <c r="AW245" s="22" t="n"/>
      <c r="AX245" s="22" t="n"/>
      <c r="AY245" s="22" t="n"/>
      <c r="AZ245" s="22" t="n"/>
      <c r="BA245" s="22" t="n"/>
      <c r="BB245" s="22" t="n"/>
      <c r="BC245" s="22" t="n"/>
      <c r="BD245" s="22" t="n"/>
      <c r="BE245" s="22" t="n"/>
      <c r="BF245" s="22" t="n"/>
      <c r="BG245" s="22" t="n"/>
      <c r="BH245" s="22" t="n"/>
      <c r="BI245" s="22" t="n"/>
      <c r="BJ245" s="22" t="n"/>
      <c r="BK245" s="22" t="n"/>
      <c r="BL245" s="22" t="n"/>
      <c r="BM245" s="22" t="n"/>
      <c r="BN245" s="22" t="n"/>
      <c r="BO245" s="22" t="n"/>
      <c r="BP245" s="22" t="n"/>
      <c r="BQ245" s="31" t="n"/>
      <c r="BR245" s="31" t="n"/>
      <c r="BS245" s="31" t="n"/>
      <c r="BT245" s="31" t="n"/>
    </row>
    <row r="246" ht="15.75" customHeight="1" s="349">
      <c r="A246" s="22" t="n"/>
      <c r="B246" s="22" t="n"/>
      <c r="C246" s="22" t="n"/>
      <c r="D246" s="22" t="n"/>
      <c r="E246" s="22" t="n"/>
      <c r="F246" s="22"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c r="AA246" s="22" t="n"/>
      <c r="AB246" s="22" t="n"/>
      <c r="AC246" s="22" t="n"/>
      <c r="AD246" s="22" t="n"/>
      <c r="AE246" s="22" t="n"/>
      <c r="AF246" s="22" t="n"/>
      <c r="AG246" s="22" t="n"/>
      <c r="AH246" s="22" t="n"/>
      <c r="AI246" s="22" t="n"/>
      <c r="AJ246" s="22" t="n"/>
      <c r="AK246" s="22" t="n"/>
      <c r="AL246" s="22" t="n"/>
      <c r="AM246" s="22" t="n"/>
      <c r="AN246" s="22" t="n"/>
      <c r="AO246" s="22" t="n"/>
      <c r="AP246" s="22" t="n"/>
      <c r="AQ246" s="22" t="n"/>
      <c r="AR246" s="22" t="n"/>
      <c r="AS246" s="22" t="n"/>
      <c r="AT246" s="22" t="n"/>
      <c r="AU246" s="22" t="n"/>
      <c r="AV246" s="22" t="n"/>
      <c r="AW246" s="22" t="n"/>
      <c r="AX246" s="22" t="n"/>
      <c r="AY246" s="22" t="n"/>
      <c r="AZ246" s="22" t="n"/>
      <c r="BA246" s="22" t="n"/>
      <c r="BB246" s="22" t="n"/>
      <c r="BC246" s="22" t="n"/>
      <c r="BD246" s="22" t="n"/>
      <c r="BE246" s="22" t="n"/>
      <c r="BF246" s="22" t="n"/>
      <c r="BG246" s="22" t="n"/>
      <c r="BH246" s="22" t="n"/>
      <c r="BI246" s="22" t="n"/>
      <c r="BJ246" s="22" t="n"/>
      <c r="BK246" s="22" t="n"/>
      <c r="BL246" s="22" t="n"/>
      <c r="BM246" s="22" t="n"/>
      <c r="BN246" s="22" t="n"/>
      <c r="BO246" s="22" t="n"/>
      <c r="BP246" s="22" t="n"/>
      <c r="BQ246" s="31" t="n"/>
      <c r="BR246" s="31" t="n"/>
      <c r="BS246" s="31" t="n"/>
      <c r="BT246" s="31" t="n"/>
    </row>
    <row r="247" ht="15.75" customHeight="1" s="349">
      <c r="A247" s="22" t="n"/>
      <c r="B247" s="22" t="n"/>
      <c r="C247" s="22" t="n"/>
      <c r="D247" s="22" t="n"/>
      <c r="E247" s="22" t="n"/>
      <c r="F247" s="22"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c r="AA247" s="22" t="n"/>
      <c r="AB247" s="22" t="n"/>
      <c r="AC247" s="22" t="n"/>
      <c r="AD247" s="22" t="n"/>
      <c r="AE247" s="22" t="n"/>
      <c r="AF247" s="22" t="n"/>
      <c r="AG247" s="22" t="n"/>
      <c r="AH247" s="22" t="n"/>
      <c r="AI247" s="22" t="n"/>
      <c r="AJ247" s="22" t="n"/>
      <c r="AK247" s="22" t="n"/>
      <c r="AL247" s="22" t="n"/>
      <c r="AM247" s="22" t="n"/>
      <c r="AN247" s="22" t="n"/>
      <c r="AO247" s="22" t="n"/>
      <c r="AP247" s="22" t="n"/>
      <c r="AQ247" s="22" t="n"/>
      <c r="AR247" s="22" t="n"/>
      <c r="AS247" s="22" t="n"/>
      <c r="AT247" s="22" t="n"/>
      <c r="AU247" s="22" t="n"/>
      <c r="AV247" s="22" t="n"/>
      <c r="AW247" s="22" t="n"/>
      <c r="AX247" s="22" t="n"/>
      <c r="AY247" s="22" t="n"/>
      <c r="AZ247" s="22" t="n"/>
      <c r="BA247" s="22" t="n"/>
      <c r="BB247" s="22" t="n"/>
      <c r="BC247" s="22" t="n"/>
      <c r="BD247" s="22" t="n"/>
      <c r="BE247" s="22" t="n"/>
      <c r="BF247" s="22" t="n"/>
      <c r="BG247" s="22" t="n"/>
      <c r="BH247" s="22" t="n"/>
      <c r="BI247" s="22" t="n"/>
      <c r="BJ247" s="22" t="n"/>
      <c r="BK247" s="22" t="n"/>
      <c r="BL247" s="22" t="n"/>
      <c r="BM247" s="22" t="n"/>
      <c r="BN247" s="22" t="n"/>
      <c r="BO247" s="22" t="n"/>
      <c r="BP247" s="22" t="n"/>
      <c r="BQ247" s="31" t="n"/>
      <c r="BR247" s="31" t="n"/>
      <c r="BS247" s="31" t="n"/>
      <c r="BT247" s="31" t="n"/>
    </row>
    <row r="248" ht="15.75" customHeight="1" s="349">
      <c r="A248" s="22" t="n"/>
      <c r="B248" s="22" t="n"/>
      <c r="C248" s="22" t="n"/>
      <c r="D248" s="22" t="n"/>
      <c r="E248" s="22" t="n"/>
      <c r="F248" s="22"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c r="AA248" s="22" t="n"/>
      <c r="AB248" s="22" t="n"/>
      <c r="AC248" s="22" t="n"/>
      <c r="AD248" s="22" t="n"/>
      <c r="AE248" s="22" t="n"/>
      <c r="AF248" s="22" t="n"/>
      <c r="AG248" s="22" t="n"/>
      <c r="AH248" s="22" t="n"/>
      <c r="AI248" s="22" t="n"/>
      <c r="AJ248" s="22" t="n"/>
      <c r="AK248" s="22" t="n"/>
      <c r="AL248" s="22" t="n"/>
      <c r="AM248" s="22" t="n"/>
      <c r="AN248" s="22" t="n"/>
      <c r="AO248" s="22" t="n"/>
      <c r="AP248" s="22" t="n"/>
      <c r="AQ248" s="22" t="n"/>
      <c r="AR248" s="22" t="n"/>
      <c r="AS248" s="22" t="n"/>
      <c r="AT248" s="22" t="n"/>
      <c r="AU248" s="22" t="n"/>
      <c r="AV248" s="22" t="n"/>
      <c r="AW248" s="22" t="n"/>
      <c r="AX248" s="22" t="n"/>
      <c r="AY248" s="22" t="n"/>
      <c r="AZ248" s="22" t="n"/>
      <c r="BA248" s="22" t="n"/>
      <c r="BB248" s="22" t="n"/>
      <c r="BC248" s="22" t="n"/>
      <c r="BD248" s="22" t="n"/>
      <c r="BE248" s="22" t="n"/>
      <c r="BF248" s="22" t="n"/>
      <c r="BG248" s="22" t="n"/>
      <c r="BH248" s="22" t="n"/>
      <c r="BI248" s="22" t="n"/>
      <c r="BJ248" s="22" t="n"/>
      <c r="BK248" s="22" t="n"/>
      <c r="BL248" s="22" t="n"/>
      <c r="BM248" s="22" t="n"/>
      <c r="BN248" s="22" t="n"/>
      <c r="BO248" s="22" t="n"/>
      <c r="BP248" s="22" t="n"/>
      <c r="BQ248" s="31" t="n"/>
      <c r="BR248" s="31" t="n"/>
      <c r="BS248" s="31" t="n"/>
      <c r="BT248" s="31" t="n"/>
    </row>
    <row r="249" ht="15.75" customHeight="1" s="349">
      <c r="A249" s="22" t="n"/>
      <c r="B249" s="22" t="n"/>
      <c r="C249" s="22" t="n"/>
      <c r="D249" s="22" t="n"/>
      <c r="E249" s="22" t="n"/>
      <c r="F249" s="22"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c r="AA249" s="22" t="n"/>
      <c r="AB249" s="22" t="n"/>
      <c r="AC249" s="22" t="n"/>
      <c r="AD249" s="22" t="n"/>
      <c r="AE249" s="22" t="n"/>
      <c r="AF249" s="22" t="n"/>
      <c r="AG249" s="22" t="n"/>
      <c r="AH249" s="22" t="n"/>
      <c r="AI249" s="22" t="n"/>
      <c r="AJ249" s="22" t="n"/>
      <c r="AK249" s="22" t="n"/>
      <c r="AL249" s="22" t="n"/>
      <c r="AM249" s="22" t="n"/>
      <c r="AN249" s="22" t="n"/>
      <c r="AO249" s="22" t="n"/>
      <c r="AP249" s="22" t="n"/>
      <c r="AQ249" s="22" t="n"/>
      <c r="AR249" s="22" t="n"/>
      <c r="AS249" s="22" t="n"/>
      <c r="AT249" s="22" t="n"/>
      <c r="AU249" s="22" t="n"/>
      <c r="AV249" s="22" t="n"/>
      <c r="AW249" s="22" t="n"/>
      <c r="AX249" s="22" t="n"/>
      <c r="AY249" s="22" t="n"/>
      <c r="AZ249" s="22" t="n"/>
      <c r="BA249" s="22" t="n"/>
      <c r="BB249" s="22" t="n"/>
      <c r="BC249" s="22" t="n"/>
      <c r="BD249" s="22" t="n"/>
      <c r="BE249" s="22" t="n"/>
      <c r="BF249" s="22" t="n"/>
      <c r="BG249" s="22" t="n"/>
      <c r="BH249" s="22" t="n"/>
      <c r="BI249" s="22" t="n"/>
      <c r="BJ249" s="22" t="n"/>
      <c r="BK249" s="22" t="n"/>
      <c r="BL249" s="22" t="n"/>
      <c r="BM249" s="22" t="n"/>
      <c r="BN249" s="22" t="n"/>
      <c r="BO249" s="22" t="n"/>
      <c r="BP249" s="22" t="n"/>
      <c r="BQ249" s="31" t="n"/>
      <c r="BR249" s="31" t="n"/>
      <c r="BS249" s="31" t="n"/>
      <c r="BT249" s="31" t="n"/>
    </row>
    <row r="250" ht="15.75" customHeight="1" s="349">
      <c r="A250" s="22" t="n"/>
      <c r="B250" s="22" t="n"/>
      <c r="C250" s="22" t="n"/>
      <c r="D250" s="22" t="n"/>
      <c r="E250" s="22" t="n"/>
      <c r="F250" s="22"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c r="AA250" s="22" t="n"/>
      <c r="AB250" s="22" t="n"/>
      <c r="AC250" s="22" t="n"/>
      <c r="AD250" s="22" t="n"/>
      <c r="AE250" s="22" t="n"/>
      <c r="AF250" s="22" t="n"/>
      <c r="AG250" s="22" t="n"/>
      <c r="AH250" s="22" t="n"/>
      <c r="AI250" s="22" t="n"/>
      <c r="AJ250" s="22" t="n"/>
      <c r="AK250" s="22" t="n"/>
      <c r="AL250" s="22" t="n"/>
      <c r="AM250" s="22" t="n"/>
      <c r="AN250" s="22" t="n"/>
      <c r="AO250" s="22" t="n"/>
      <c r="AP250" s="22" t="n"/>
      <c r="AQ250" s="22" t="n"/>
      <c r="AR250" s="22" t="n"/>
      <c r="AS250" s="22" t="n"/>
      <c r="AT250" s="22" t="n"/>
      <c r="AU250" s="22" t="n"/>
      <c r="AV250" s="22" t="n"/>
      <c r="AW250" s="22" t="n"/>
      <c r="AX250" s="22" t="n"/>
      <c r="AY250" s="22" t="n"/>
      <c r="AZ250" s="22" t="n"/>
      <c r="BA250" s="22" t="n"/>
      <c r="BB250" s="22" t="n"/>
      <c r="BC250" s="22" t="n"/>
      <c r="BD250" s="22" t="n"/>
      <c r="BE250" s="22" t="n"/>
      <c r="BF250" s="22" t="n"/>
      <c r="BG250" s="22" t="n"/>
      <c r="BH250" s="22" t="n"/>
      <c r="BI250" s="22" t="n"/>
      <c r="BJ250" s="22" t="n"/>
      <c r="BK250" s="22" t="n"/>
      <c r="BL250" s="22" t="n"/>
      <c r="BM250" s="22" t="n"/>
      <c r="BN250" s="22" t="n"/>
      <c r="BO250" s="22" t="n"/>
      <c r="BP250" s="22" t="n"/>
      <c r="BQ250" s="31" t="n"/>
      <c r="BR250" s="31" t="n"/>
      <c r="BS250" s="31" t="n"/>
      <c r="BT250" s="31" t="n"/>
    </row>
    <row r="251" ht="15.75" customHeight="1" s="349">
      <c r="A251" s="22" t="n"/>
      <c r="B251" s="22" t="n"/>
      <c r="C251" s="22" t="n"/>
      <c r="D251" s="22" t="n"/>
      <c r="E251" s="22" t="n"/>
      <c r="F251" s="22"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c r="AA251" s="22" t="n"/>
      <c r="AB251" s="22" t="n"/>
      <c r="AC251" s="22" t="n"/>
      <c r="AD251" s="22" t="n"/>
      <c r="AE251" s="22" t="n"/>
      <c r="AF251" s="22" t="n"/>
      <c r="AG251" s="22" t="n"/>
      <c r="AH251" s="22" t="n"/>
      <c r="AI251" s="22" t="n"/>
      <c r="AJ251" s="22" t="n"/>
      <c r="AK251" s="22" t="n"/>
      <c r="AL251" s="22" t="n"/>
      <c r="AM251" s="22" t="n"/>
      <c r="AN251" s="22" t="n"/>
      <c r="AO251" s="22" t="n"/>
      <c r="AP251" s="22" t="n"/>
      <c r="AQ251" s="22" t="n"/>
      <c r="AR251" s="22" t="n"/>
      <c r="AS251" s="22" t="n"/>
      <c r="AT251" s="22" t="n"/>
      <c r="AU251" s="22" t="n"/>
      <c r="AV251" s="22" t="n"/>
      <c r="AW251" s="22" t="n"/>
      <c r="AX251" s="22" t="n"/>
      <c r="AY251" s="22" t="n"/>
      <c r="AZ251" s="22" t="n"/>
      <c r="BA251" s="22" t="n"/>
      <c r="BB251" s="22" t="n"/>
      <c r="BC251" s="22" t="n"/>
      <c r="BD251" s="22" t="n"/>
      <c r="BE251" s="22" t="n"/>
      <c r="BF251" s="22" t="n"/>
      <c r="BG251" s="22" t="n"/>
      <c r="BH251" s="22" t="n"/>
      <c r="BI251" s="22" t="n"/>
      <c r="BJ251" s="22" t="n"/>
      <c r="BK251" s="22" t="n"/>
      <c r="BL251" s="22" t="n"/>
      <c r="BM251" s="22" t="n"/>
      <c r="BN251" s="22" t="n"/>
      <c r="BO251" s="22" t="n"/>
      <c r="BP251" s="22" t="n"/>
      <c r="BQ251" s="31" t="n"/>
      <c r="BR251" s="31" t="n"/>
      <c r="BS251" s="31" t="n"/>
      <c r="BT251" s="31" t="n"/>
    </row>
    <row r="252" ht="15.75" customHeight="1" s="349">
      <c r="A252" s="22" t="n"/>
      <c r="B252" s="22" t="n"/>
      <c r="C252" s="22" t="n"/>
      <c r="D252" s="22" t="n"/>
      <c r="E252" s="22" t="n"/>
      <c r="F252" s="22"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c r="AA252" s="22" t="n"/>
      <c r="AB252" s="22" t="n"/>
      <c r="AC252" s="22" t="n"/>
      <c r="AD252" s="22" t="n"/>
      <c r="AE252" s="22" t="n"/>
      <c r="AF252" s="22" t="n"/>
      <c r="AG252" s="22" t="n"/>
      <c r="AH252" s="22" t="n"/>
      <c r="AI252" s="22" t="n"/>
      <c r="AJ252" s="22" t="n"/>
      <c r="AK252" s="22" t="n"/>
      <c r="AL252" s="22" t="n"/>
      <c r="AM252" s="22" t="n"/>
      <c r="AN252" s="22" t="n"/>
      <c r="AO252" s="22" t="n"/>
      <c r="AP252" s="22" t="n"/>
      <c r="AQ252" s="22" t="n"/>
      <c r="AR252" s="22" t="n"/>
      <c r="AS252" s="22" t="n"/>
      <c r="AT252" s="22" t="n"/>
      <c r="AU252" s="22" t="n"/>
      <c r="AV252" s="22" t="n"/>
      <c r="AW252" s="22" t="n"/>
      <c r="AX252" s="22" t="n"/>
      <c r="AY252" s="22" t="n"/>
      <c r="AZ252" s="22" t="n"/>
      <c r="BA252" s="22" t="n"/>
      <c r="BB252" s="22" t="n"/>
      <c r="BC252" s="22" t="n"/>
      <c r="BD252" s="22" t="n"/>
      <c r="BE252" s="22" t="n"/>
      <c r="BF252" s="22" t="n"/>
      <c r="BG252" s="22" t="n"/>
      <c r="BH252" s="22" t="n"/>
      <c r="BI252" s="22" t="n"/>
      <c r="BJ252" s="22" t="n"/>
      <c r="BK252" s="22" t="n"/>
      <c r="BL252" s="22" t="n"/>
      <c r="BM252" s="22" t="n"/>
      <c r="BN252" s="22" t="n"/>
      <c r="BO252" s="22" t="n"/>
      <c r="BP252" s="22" t="n"/>
      <c r="BQ252" s="31" t="n"/>
      <c r="BR252" s="31" t="n"/>
      <c r="BS252" s="31" t="n"/>
      <c r="BT252" s="31" t="n"/>
    </row>
    <row r="253" ht="15.75" customHeight="1" s="349">
      <c r="A253" s="22" t="n"/>
      <c r="B253" s="22" t="n"/>
      <c r="C253" s="22" t="n"/>
      <c r="D253" s="22" t="n"/>
      <c r="E253" s="22" t="n"/>
      <c r="F253" s="22"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c r="AA253" s="22" t="n"/>
      <c r="AB253" s="22" t="n"/>
      <c r="AC253" s="22" t="n"/>
      <c r="AD253" s="22" t="n"/>
      <c r="AE253" s="22" t="n"/>
      <c r="AF253" s="22" t="n"/>
      <c r="AG253" s="22" t="n"/>
      <c r="AH253" s="22" t="n"/>
      <c r="AI253" s="22" t="n"/>
      <c r="AJ253" s="22" t="n"/>
      <c r="AK253" s="22" t="n"/>
      <c r="AL253" s="22" t="n"/>
      <c r="AM253" s="22" t="n"/>
      <c r="AN253" s="22" t="n"/>
      <c r="AO253" s="22" t="n"/>
      <c r="AP253" s="22" t="n"/>
      <c r="AQ253" s="22" t="n"/>
      <c r="AR253" s="22" t="n"/>
      <c r="AS253" s="22" t="n"/>
      <c r="AT253" s="22" t="n"/>
      <c r="AU253" s="22" t="n"/>
      <c r="AV253" s="22" t="n"/>
      <c r="AW253" s="22" t="n"/>
      <c r="AX253" s="22" t="n"/>
      <c r="AY253" s="22" t="n"/>
      <c r="AZ253" s="22" t="n"/>
      <c r="BA253" s="22" t="n"/>
      <c r="BB253" s="22" t="n"/>
      <c r="BC253" s="22" t="n"/>
      <c r="BD253" s="22" t="n"/>
      <c r="BE253" s="22" t="n"/>
      <c r="BF253" s="22" t="n"/>
      <c r="BG253" s="22" t="n"/>
      <c r="BH253" s="22" t="n"/>
      <c r="BI253" s="22" t="n"/>
      <c r="BJ253" s="22" t="n"/>
      <c r="BK253" s="22" t="n"/>
      <c r="BL253" s="22" t="n"/>
      <c r="BM253" s="22" t="n"/>
      <c r="BN253" s="22" t="n"/>
      <c r="BO253" s="22" t="n"/>
      <c r="BP253" s="22" t="n"/>
      <c r="BQ253" s="31" t="n"/>
      <c r="BR253" s="31" t="n"/>
      <c r="BS253" s="31" t="n"/>
      <c r="BT253" s="31" t="n"/>
    </row>
    <row r="254" ht="15.75" customHeight="1" s="349">
      <c r="A254" s="22" t="n"/>
      <c r="B254" s="22" t="n"/>
      <c r="C254" s="22" t="n"/>
      <c r="D254" s="22" t="n"/>
      <c r="E254" s="22" t="n"/>
      <c r="F254" s="22"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c r="AA254" s="22" t="n"/>
      <c r="AB254" s="22" t="n"/>
      <c r="AC254" s="22" t="n"/>
      <c r="AD254" s="22" t="n"/>
      <c r="AE254" s="22" t="n"/>
      <c r="AF254" s="22" t="n"/>
      <c r="AG254" s="22" t="n"/>
      <c r="AH254" s="22" t="n"/>
      <c r="AI254" s="22" t="n"/>
      <c r="AJ254" s="22" t="n"/>
      <c r="AK254" s="22" t="n"/>
      <c r="AL254" s="22" t="n"/>
      <c r="AM254" s="22" t="n"/>
      <c r="AN254" s="22" t="n"/>
      <c r="AO254" s="22" t="n"/>
      <c r="AP254" s="22" t="n"/>
      <c r="AQ254" s="22" t="n"/>
      <c r="AR254" s="22" t="n"/>
      <c r="AS254" s="22" t="n"/>
      <c r="AT254" s="22" t="n"/>
      <c r="AU254" s="22" t="n"/>
      <c r="AV254" s="22" t="n"/>
      <c r="AW254" s="22" t="n"/>
      <c r="AX254" s="22" t="n"/>
      <c r="AY254" s="22" t="n"/>
      <c r="AZ254" s="22" t="n"/>
      <c r="BA254" s="22" t="n"/>
      <c r="BB254" s="22" t="n"/>
      <c r="BC254" s="22" t="n"/>
      <c r="BD254" s="22" t="n"/>
      <c r="BE254" s="22" t="n"/>
      <c r="BF254" s="22" t="n"/>
      <c r="BG254" s="22" t="n"/>
      <c r="BH254" s="22" t="n"/>
      <c r="BI254" s="22" t="n"/>
      <c r="BJ254" s="22" t="n"/>
      <c r="BK254" s="22" t="n"/>
      <c r="BL254" s="22" t="n"/>
      <c r="BM254" s="22" t="n"/>
      <c r="BN254" s="22" t="n"/>
      <c r="BO254" s="22" t="n"/>
      <c r="BP254" s="22" t="n"/>
      <c r="BQ254" s="31" t="n"/>
      <c r="BR254" s="31" t="n"/>
      <c r="BS254" s="31" t="n"/>
      <c r="BT254" s="31" t="n"/>
    </row>
    <row r="255" ht="15.75" customHeight="1" s="349">
      <c r="A255" s="22" t="n"/>
      <c r="B255" s="22" t="n"/>
      <c r="C255" s="22" t="n"/>
      <c r="D255" s="22" t="n"/>
      <c r="E255" s="22" t="n"/>
      <c r="F255" s="22"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c r="AA255" s="22" t="n"/>
      <c r="AB255" s="22" t="n"/>
      <c r="AC255" s="22" t="n"/>
      <c r="AD255" s="22" t="n"/>
      <c r="AE255" s="22" t="n"/>
      <c r="AF255" s="22" t="n"/>
      <c r="AG255" s="22" t="n"/>
      <c r="AH255" s="22" t="n"/>
      <c r="AI255" s="22" t="n"/>
      <c r="AJ255" s="22" t="n"/>
      <c r="AK255" s="22" t="n"/>
      <c r="AL255" s="22" t="n"/>
      <c r="AM255" s="22" t="n"/>
      <c r="AN255" s="22" t="n"/>
      <c r="AO255" s="22" t="n"/>
      <c r="AP255" s="22" t="n"/>
      <c r="AQ255" s="22" t="n"/>
      <c r="AR255" s="22" t="n"/>
      <c r="AS255" s="22" t="n"/>
      <c r="AT255" s="22" t="n"/>
      <c r="AU255" s="22" t="n"/>
      <c r="AV255" s="22" t="n"/>
      <c r="AW255" s="22" t="n"/>
      <c r="AX255" s="22" t="n"/>
      <c r="AY255" s="22" t="n"/>
      <c r="AZ255" s="22" t="n"/>
      <c r="BA255" s="22" t="n"/>
      <c r="BB255" s="22" t="n"/>
      <c r="BC255" s="22" t="n"/>
      <c r="BD255" s="22" t="n"/>
      <c r="BE255" s="22" t="n"/>
      <c r="BF255" s="22" t="n"/>
      <c r="BG255" s="22" t="n"/>
      <c r="BH255" s="22" t="n"/>
      <c r="BI255" s="22" t="n"/>
      <c r="BJ255" s="22" t="n"/>
      <c r="BK255" s="22" t="n"/>
      <c r="BL255" s="22" t="n"/>
      <c r="BM255" s="22" t="n"/>
      <c r="BN255" s="22" t="n"/>
      <c r="BO255" s="22" t="n"/>
      <c r="BP255" s="22" t="n"/>
      <c r="BQ255" s="31" t="n"/>
      <c r="BR255" s="31" t="n"/>
      <c r="BS255" s="31" t="n"/>
      <c r="BT255" s="31" t="n"/>
    </row>
    <row r="256" ht="15.75" customHeight="1" s="349">
      <c r="A256" s="22" t="n"/>
      <c r="B256" s="22" t="n"/>
      <c r="C256" s="22" t="n"/>
      <c r="D256" s="22" t="n"/>
      <c r="E256" s="22" t="n"/>
      <c r="F256" s="22"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c r="AA256" s="22" t="n"/>
      <c r="AB256" s="22" t="n"/>
      <c r="AC256" s="22" t="n"/>
      <c r="AD256" s="22" t="n"/>
      <c r="AE256" s="22" t="n"/>
      <c r="AF256" s="22" t="n"/>
      <c r="AG256" s="22" t="n"/>
      <c r="AH256" s="22" t="n"/>
      <c r="AI256" s="22" t="n"/>
      <c r="AJ256" s="22" t="n"/>
      <c r="AK256" s="22" t="n"/>
      <c r="AL256" s="22" t="n"/>
      <c r="AM256" s="22" t="n"/>
      <c r="AN256" s="22" t="n"/>
      <c r="AO256" s="22" t="n"/>
      <c r="AP256" s="22" t="n"/>
      <c r="AQ256" s="22" t="n"/>
      <c r="AR256" s="22" t="n"/>
      <c r="AS256" s="22" t="n"/>
      <c r="AT256" s="22" t="n"/>
      <c r="AU256" s="22" t="n"/>
      <c r="AV256" s="22" t="n"/>
      <c r="AW256" s="22" t="n"/>
      <c r="AX256" s="22" t="n"/>
      <c r="AY256" s="22" t="n"/>
      <c r="AZ256" s="22" t="n"/>
      <c r="BA256" s="22" t="n"/>
      <c r="BB256" s="22" t="n"/>
      <c r="BC256" s="22" t="n"/>
      <c r="BD256" s="22" t="n"/>
      <c r="BE256" s="22" t="n"/>
      <c r="BF256" s="22" t="n"/>
      <c r="BG256" s="22" t="n"/>
      <c r="BH256" s="22" t="n"/>
      <c r="BI256" s="22" t="n"/>
      <c r="BJ256" s="22" t="n"/>
      <c r="BK256" s="22" t="n"/>
      <c r="BL256" s="22" t="n"/>
      <c r="BM256" s="22" t="n"/>
      <c r="BN256" s="22" t="n"/>
      <c r="BO256" s="22" t="n"/>
      <c r="BP256" s="22" t="n"/>
      <c r="BQ256" s="31" t="n"/>
      <c r="BR256" s="31" t="n"/>
      <c r="BS256" s="31" t="n"/>
      <c r="BT256" s="31" t="n"/>
    </row>
    <row r="257" ht="15.75" customHeight="1" s="349">
      <c r="A257" s="22" t="n"/>
      <c r="B257" s="22" t="n"/>
      <c r="C257" s="22" t="n"/>
      <c r="D257" s="22" t="n"/>
      <c r="E257" s="22" t="n"/>
      <c r="F257" s="22"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c r="AA257" s="22" t="n"/>
      <c r="AB257" s="22" t="n"/>
      <c r="AC257" s="22" t="n"/>
      <c r="AD257" s="22" t="n"/>
      <c r="AE257" s="22" t="n"/>
      <c r="AF257" s="22" t="n"/>
      <c r="AG257" s="22" t="n"/>
      <c r="AH257" s="22" t="n"/>
      <c r="AI257" s="22" t="n"/>
      <c r="AJ257" s="22" t="n"/>
      <c r="AK257" s="22" t="n"/>
      <c r="AL257" s="22" t="n"/>
      <c r="AM257" s="22" t="n"/>
      <c r="AN257" s="22" t="n"/>
      <c r="AO257" s="22" t="n"/>
      <c r="AP257" s="22" t="n"/>
      <c r="AQ257" s="22" t="n"/>
      <c r="AR257" s="22" t="n"/>
      <c r="AS257" s="22" t="n"/>
      <c r="AT257" s="22" t="n"/>
      <c r="AU257" s="22" t="n"/>
      <c r="AV257" s="22" t="n"/>
      <c r="AW257" s="22" t="n"/>
      <c r="AX257" s="22" t="n"/>
      <c r="AY257" s="22" t="n"/>
      <c r="AZ257" s="22" t="n"/>
      <c r="BA257" s="22" t="n"/>
      <c r="BB257" s="22" t="n"/>
      <c r="BC257" s="22" t="n"/>
      <c r="BD257" s="22" t="n"/>
      <c r="BE257" s="22" t="n"/>
      <c r="BF257" s="22" t="n"/>
      <c r="BG257" s="22" t="n"/>
      <c r="BH257" s="22" t="n"/>
      <c r="BI257" s="22" t="n"/>
      <c r="BJ257" s="22" t="n"/>
      <c r="BK257" s="22" t="n"/>
      <c r="BL257" s="22" t="n"/>
      <c r="BM257" s="22" t="n"/>
      <c r="BN257" s="22" t="n"/>
      <c r="BO257" s="22" t="n"/>
      <c r="BP257" s="22" t="n"/>
      <c r="BQ257" s="31" t="n"/>
      <c r="BR257" s="31" t="n"/>
      <c r="BS257" s="31" t="n"/>
      <c r="BT257" s="31" t="n"/>
    </row>
    <row r="258" ht="15.75" customHeight="1" s="349">
      <c r="A258" s="22" t="n"/>
      <c r="B258" s="22" t="n"/>
      <c r="C258" s="22" t="n"/>
      <c r="D258" s="22" t="n"/>
      <c r="E258" s="22" t="n"/>
      <c r="F258" s="22"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c r="AA258" s="22" t="n"/>
      <c r="AB258" s="22" t="n"/>
      <c r="AC258" s="22" t="n"/>
      <c r="AD258" s="22" t="n"/>
      <c r="AE258" s="22" t="n"/>
      <c r="AF258" s="22" t="n"/>
      <c r="AG258" s="22" t="n"/>
      <c r="AH258" s="22" t="n"/>
      <c r="AI258" s="22" t="n"/>
      <c r="AJ258" s="22" t="n"/>
      <c r="AK258" s="22" t="n"/>
      <c r="AL258" s="22" t="n"/>
      <c r="AM258" s="22" t="n"/>
      <c r="AN258" s="22" t="n"/>
      <c r="AO258" s="22" t="n"/>
      <c r="AP258" s="22" t="n"/>
      <c r="AQ258" s="22" t="n"/>
      <c r="AR258" s="22" t="n"/>
      <c r="AS258" s="22" t="n"/>
      <c r="AT258" s="22" t="n"/>
      <c r="AU258" s="22" t="n"/>
      <c r="AV258" s="22" t="n"/>
      <c r="AW258" s="22" t="n"/>
      <c r="AX258" s="22" t="n"/>
      <c r="AY258" s="22" t="n"/>
      <c r="AZ258" s="22" t="n"/>
      <c r="BA258" s="22" t="n"/>
      <c r="BB258" s="22" t="n"/>
      <c r="BC258" s="22" t="n"/>
      <c r="BD258" s="22" t="n"/>
      <c r="BE258" s="22" t="n"/>
      <c r="BF258" s="22" t="n"/>
      <c r="BG258" s="22" t="n"/>
      <c r="BH258" s="22" t="n"/>
      <c r="BI258" s="22" t="n"/>
      <c r="BJ258" s="22" t="n"/>
      <c r="BK258" s="22" t="n"/>
      <c r="BL258" s="22" t="n"/>
      <c r="BM258" s="22" t="n"/>
      <c r="BN258" s="22" t="n"/>
      <c r="BO258" s="22" t="n"/>
      <c r="BP258" s="22" t="n"/>
      <c r="BQ258" s="31" t="n"/>
      <c r="BR258" s="31" t="n"/>
      <c r="BS258" s="31" t="n"/>
      <c r="BT258" s="31" t="n"/>
    </row>
    <row r="259" ht="15.75" customHeight="1" s="349">
      <c r="A259" s="22" t="n"/>
      <c r="B259" s="22" t="n"/>
      <c r="C259" s="22" t="n"/>
      <c r="D259" s="22" t="n"/>
      <c r="E259" s="22" t="n"/>
      <c r="F259" s="22"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c r="AA259" s="22" t="n"/>
      <c r="AB259" s="22" t="n"/>
      <c r="AC259" s="22" t="n"/>
      <c r="AD259" s="22" t="n"/>
      <c r="AE259" s="22" t="n"/>
      <c r="AF259" s="22" t="n"/>
      <c r="AG259" s="22" t="n"/>
      <c r="AH259" s="22" t="n"/>
      <c r="AI259" s="22" t="n"/>
      <c r="AJ259" s="22" t="n"/>
      <c r="AK259" s="22" t="n"/>
      <c r="AL259" s="22" t="n"/>
      <c r="AM259" s="22" t="n"/>
      <c r="AN259" s="22" t="n"/>
      <c r="AO259" s="22" t="n"/>
      <c r="AP259" s="22" t="n"/>
      <c r="AQ259" s="22" t="n"/>
      <c r="AR259" s="22" t="n"/>
      <c r="AS259" s="22" t="n"/>
      <c r="AT259" s="22" t="n"/>
      <c r="AU259" s="22" t="n"/>
      <c r="AV259" s="22" t="n"/>
      <c r="AW259" s="22" t="n"/>
      <c r="AX259" s="22" t="n"/>
      <c r="AY259" s="22" t="n"/>
      <c r="AZ259" s="22" t="n"/>
      <c r="BA259" s="22" t="n"/>
      <c r="BB259" s="22" t="n"/>
      <c r="BC259" s="22" t="n"/>
      <c r="BD259" s="22" t="n"/>
      <c r="BE259" s="22" t="n"/>
      <c r="BF259" s="22" t="n"/>
      <c r="BG259" s="22" t="n"/>
      <c r="BH259" s="22" t="n"/>
      <c r="BI259" s="22" t="n"/>
      <c r="BJ259" s="22" t="n"/>
      <c r="BK259" s="22" t="n"/>
      <c r="BL259" s="22" t="n"/>
      <c r="BM259" s="22" t="n"/>
      <c r="BN259" s="22" t="n"/>
      <c r="BO259" s="22" t="n"/>
      <c r="BP259" s="22" t="n"/>
      <c r="BQ259" s="31" t="n"/>
      <c r="BR259" s="31" t="n"/>
      <c r="BS259" s="31" t="n"/>
      <c r="BT259" s="31" t="n"/>
    </row>
    <row r="260" ht="15.75" customHeight="1" s="349">
      <c r="A260" s="22" t="n"/>
      <c r="B260" s="22" t="n"/>
      <c r="C260" s="22" t="n"/>
      <c r="D260" s="22" t="n"/>
      <c r="E260" s="22" t="n"/>
      <c r="F260" s="22"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c r="AA260" s="22" t="n"/>
      <c r="AB260" s="22" t="n"/>
      <c r="AC260" s="22" t="n"/>
      <c r="AD260" s="22" t="n"/>
      <c r="AE260" s="22" t="n"/>
      <c r="AF260" s="22" t="n"/>
      <c r="AG260" s="22" t="n"/>
      <c r="AH260" s="22" t="n"/>
      <c r="AI260" s="22" t="n"/>
      <c r="AJ260" s="22" t="n"/>
      <c r="AK260" s="22" t="n"/>
      <c r="AL260" s="22" t="n"/>
      <c r="AM260" s="22" t="n"/>
      <c r="AN260" s="22" t="n"/>
      <c r="AO260" s="22" t="n"/>
      <c r="AP260" s="22" t="n"/>
      <c r="AQ260" s="22" t="n"/>
      <c r="AR260" s="22" t="n"/>
      <c r="AS260" s="22" t="n"/>
      <c r="AT260" s="22" t="n"/>
      <c r="AU260" s="22" t="n"/>
      <c r="AV260" s="22" t="n"/>
      <c r="AW260" s="22" t="n"/>
      <c r="AX260" s="22" t="n"/>
      <c r="AY260" s="22" t="n"/>
      <c r="AZ260" s="22" t="n"/>
      <c r="BA260" s="22" t="n"/>
      <c r="BB260" s="22" t="n"/>
      <c r="BC260" s="22" t="n"/>
      <c r="BD260" s="22" t="n"/>
      <c r="BE260" s="22" t="n"/>
      <c r="BF260" s="22" t="n"/>
      <c r="BG260" s="22" t="n"/>
      <c r="BH260" s="22" t="n"/>
      <c r="BI260" s="22" t="n"/>
      <c r="BJ260" s="22" t="n"/>
      <c r="BK260" s="22" t="n"/>
      <c r="BL260" s="22" t="n"/>
      <c r="BM260" s="22" t="n"/>
      <c r="BN260" s="22" t="n"/>
      <c r="BO260" s="22" t="n"/>
      <c r="BP260" s="22" t="n"/>
      <c r="BQ260" s="31" t="n"/>
      <c r="BR260" s="31" t="n"/>
      <c r="BS260" s="31" t="n"/>
      <c r="BT260" s="31" t="n"/>
    </row>
    <row r="261" ht="15.75" customHeight="1" s="349">
      <c r="A261" s="22" t="n"/>
      <c r="B261" s="22" t="n"/>
      <c r="C261" s="22" t="n"/>
      <c r="D261" s="22" t="n"/>
      <c r="E261" s="22" t="n"/>
      <c r="F261" s="22"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c r="AA261" s="22" t="n"/>
      <c r="AB261" s="22" t="n"/>
      <c r="AC261" s="22" t="n"/>
      <c r="AD261" s="22" t="n"/>
      <c r="AE261" s="22" t="n"/>
      <c r="AF261" s="22" t="n"/>
      <c r="AG261" s="22" t="n"/>
      <c r="AH261" s="22" t="n"/>
      <c r="AI261" s="22" t="n"/>
      <c r="AJ261" s="22" t="n"/>
      <c r="AK261" s="22" t="n"/>
      <c r="AL261" s="22" t="n"/>
      <c r="AM261" s="22" t="n"/>
      <c r="AN261" s="22" t="n"/>
      <c r="AO261" s="22" t="n"/>
      <c r="AP261" s="22" t="n"/>
      <c r="AQ261" s="22" t="n"/>
      <c r="AR261" s="22" t="n"/>
      <c r="AS261" s="22" t="n"/>
      <c r="AT261" s="22" t="n"/>
      <c r="AU261" s="22" t="n"/>
      <c r="AV261" s="22" t="n"/>
      <c r="AW261" s="22" t="n"/>
      <c r="AX261" s="22" t="n"/>
      <c r="AY261" s="22" t="n"/>
      <c r="AZ261" s="22" t="n"/>
      <c r="BA261" s="22" t="n"/>
      <c r="BB261" s="22" t="n"/>
      <c r="BC261" s="22" t="n"/>
      <c r="BD261" s="22" t="n"/>
      <c r="BE261" s="22" t="n"/>
      <c r="BF261" s="22" t="n"/>
      <c r="BG261" s="22" t="n"/>
      <c r="BH261" s="22" t="n"/>
      <c r="BI261" s="22" t="n"/>
      <c r="BJ261" s="22" t="n"/>
      <c r="BK261" s="22" t="n"/>
      <c r="BL261" s="22" t="n"/>
      <c r="BM261" s="22" t="n"/>
      <c r="BN261" s="22" t="n"/>
      <c r="BO261" s="22" t="n"/>
      <c r="BP261" s="22" t="n"/>
      <c r="BQ261" s="31" t="n"/>
      <c r="BR261" s="31" t="n"/>
      <c r="BS261" s="31" t="n"/>
      <c r="BT261" s="31" t="n"/>
    </row>
    <row r="262" ht="15.75" customHeight="1" s="349">
      <c r="A262" s="22" t="n"/>
      <c r="B262" s="22" t="n"/>
      <c r="C262" s="22" t="n"/>
      <c r="D262" s="22" t="n"/>
      <c r="E262" s="22" t="n"/>
      <c r="F262" s="22"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c r="AA262" s="22" t="n"/>
      <c r="AB262" s="22" t="n"/>
      <c r="AC262" s="22" t="n"/>
      <c r="AD262" s="22" t="n"/>
      <c r="AE262" s="22" t="n"/>
      <c r="AF262" s="22" t="n"/>
      <c r="AG262" s="22" t="n"/>
      <c r="AH262" s="22" t="n"/>
      <c r="AI262" s="22" t="n"/>
      <c r="AJ262" s="22" t="n"/>
      <c r="AK262" s="22" t="n"/>
      <c r="AL262" s="22" t="n"/>
      <c r="AM262" s="22" t="n"/>
      <c r="AN262" s="22" t="n"/>
      <c r="AO262" s="22" t="n"/>
      <c r="AP262" s="22" t="n"/>
      <c r="AQ262" s="22" t="n"/>
      <c r="AR262" s="22" t="n"/>
      <c r="AS262" s="22" t="n"/>
      <c r="AT262" s="22" t="n"/>
      <c r="AU262" s="22" t="n"/>
      <c r="AV262" s="22" t="n"/>
      <c r="AW262" s="22" t="n"/>
      <c r="AX262" s="22" t="n"/>
      <c r="AY262" s="22" t="n"/>
      <c r="AZ262" s="22" t="n"/>
      <c r="BA262" s="22" t="n"/>
      <c r="BB262" s="22" t="n"/>
      <c r="BC262" s="22" t="n"/>
      <c r="BD262" s="22" t="n"/>
      <c r="BE262" s="22" t="n"/>
      <c r="BF262" s="22" t="n"/>
      <c r="BG262" s="22" t="n"/>
      <c r="BH262" s="22" t="n"/>
      <c r="BI262" s="22" t="n"/>
      <c r="BJ262" s="22" t="n"/>
      <c r="BK262" s="22" t="n"/>
      <c r="BL262" s="22" t="n"/>
      <c r="BM262" s="22" t="n"/>
      <c r="BN262" s="22" t="n"/>
      <c r="BO262" s="22" t="n"/>
      <c r="BP262" s="22" t="n"/>
      <c r="BQ262" s="31" t="n"/>
      <c r="BR262" s="31" t="n"/>
      <c r="BS262" s="31" t="n"/>
      <c r="BT262" s="31" t="n"/>
    </row>
    <row r="263" ht="15.75" customHeight="1" s="349">
      <c r="A263" s="22" t="n"/>
      <c r="B263" s="22" t="n"/>
      <c r="C263" s="22" t="n"/>
      <c r="D263" s="22" t="n"/>
      <c r="E263" s="22" t="n"/>
      <c r="F263" s="22"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c r="AA263" s="22" t="n"/>
      <c r="AB263" s="22" t="n"/>
      <c r="AC263" s="22" t="n"/>
      <c r="AD263" s="22" t="n"/>
      <c r="AE263" s="22" t="n"/>
      <c r="AF263" s="22" t="n"/>
      <c r="AG263" s="22" t="n"/>
      <c r="AH263" s="22" t="n"/>
      <c r="AI263" s="22" t="n"/>
      <c r="AJ263" s="22" t="n"/>
      <c r="AK263" s="22" t="n"/>
      <c r="AL263" s="22" t="n"/>
      <c r="AM263" s="22" t="n"/>
      <c r="AN263" s="22" t="n"/>
      <c r="AO263" s="22" t="n"/>
      <c r="AP263" s="22" t="n"/>
      <c r="AQ263" s="22" t="n"/>
      <c r="AR263" s="22" t="n"/>
      <c r="AS263" s="22" t="n"/>
      <c r="AT263" s="22" t="n"/>
      <c r="AU263" s="22" t="n"/>
      <c r="AV263" s="22" t="n"/>
      <c r="AW263" s="22" t="n"/>
      <c r="AX263" s="22" t="n"/>
      <c r="AY263" s="22" t="n"/>
      <c r="AZ263" s="22" t="n"/>
      <c r="BA263" s="22" t="n"/>
      <c r="BB263" s="22" t="n"/>
      <c r="BC263" s="22" t="n"/>
      <c r="BD263" s="22" t="n"/>
      <c r="BE263" s="22" t="n"/>
      <c r="BF263" s="22" t="n"/>
      <c r="BG263" s="22" t="n"/>
      <c r="BH263" s="22" t="n"/>
      <c r="BI263" s="22" t="n"/>
      <c r="BJ263" s="22" t="n"/>
      <c r="BK263" s="22" t="n"/>
      <c r="BL263" s="22" t="n"/>
      <c r="BM263" s="22" t="n"/>
      <c r="BN263" s="22" t="n"/>
      <c r="BO263" s="22" t="n"/>
      <c r="BP263" s="22" t="n"/>
      <c r="BQ263" s="31" t="n"/>
      <c r="BR263" s="31" t="n"/>
      <c r="BS263" s="31" t="n"/>
      <c r="BT263" s="31" t="n"/>
    </row>
    <row r="264" ht="15.75" customHeight="1" s="349">
      <c r="A264" s="22" t="n"/>
      <c r="B264" s="22" t="n"/>
      <c r="C264" s="22" t="n"/>
      <c r="D264" s="22" t="n"/>
      <c r="E264" s="22" t="n"/>
      <c r="F264" s="22"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c r="AA264" s="22" t="n"/>
      <c r="AB264" s="22" t="n"/>
      <c r="AC264" s="22" t="n"/>
      <c r="AD264" s="22" t="n"/>
      <c r="AE264" s="22" t="n"/>
      <c r="AF264" s="22" t="n"/>
      <c r="AG264" s="22" t="n"/>
      <c r="AH264" s="22" t="n"/>
      <c r="AI264" s="22" t="n"/>
      <c r="AJ264" s="22" t="n"/>
      <c r="AK264" s="22" t="n"/>
      <c r="AL264" s="22" t="n"/>
      <c r="AM264" s="22" t="n"/>
      <c r="AN264" s="22" t="n"/>
      <c r="AO264" s="22" t="n"/>
      <c r="AP264" s="22" t="n"/>
      <c r="AQ264" s="22" t="n"/>
      <c r="AR264" s="22" t="n"/>
      <c r="AS264" s="22" t="n"/>
      <c r="AT264" s="22" t="n"/>
      <c r="AU264" s="22" t="n"/>
      <c r="AV264" s="22" t="n"/>
      <c r="AW264" s="22" t="n"/>
      <c r="AX264" s="22" t="n"/>
      <c r="AY264" s="22" t="n"/>
      <c r="AZ264" s="22" t="n"/>
      <c r="BA264" s="22" t="n"/>
      <c r="BB264" s="22" t="n"/>
      <c r="BC264" s="22" t="n"/>
      <c r="BD264" s="22" t="n"/>
      <c r="BE264" s="22" t="n"/>
      <c r="BF264" s="22" t="n"/>
      <c r="BG264" s="22" t="n"/>
      <c r="BH264" s="22" t="n"/>
      <c r="BI264" s="22" t="n"/>
      <c r="BJ264" s="22" t="n"/>
      <c r="BK264" s="22" t="n"/>
      <c r="BL264" s="22" t="n"/>
      <c r="BM264" s="22" t="n"/>
      <c r="BN264" s="22" t="n"/>
      <c r="BO264" s="22" t="n"/>
      <c r="BP264" s="22" t="n"/>
      <c r="BQ264" s="31" t="n"/>
      <c r="BR264" s="31" t="n"/>
      <c r="BS264" s="31" t="n"/>
      <c r="BT264" s="31" t="n"/>
    </row>
    <row r="265" ht="15.75" customHeight="1" s="349">
      <c r="A265" s="22" t="n"/>
      <c r="B265" s="22" t="n"/>
      <c r="C265" s="22" t="n"/>
      <c r="D265" s="22" t="n"/>
      <c r="E265" s="22" t="n"/>
      <c r="F265" s="22"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c r="AA265" s="22" t="n"/>
      <c r="AB265" s="22" t="n"/>
      <c r="AC265" s="22" t="n"/>
      <c r="AD265" s="22" t="n"/>
      <c r="AE265" s="22" t="n"/>
      <c r="AF265" s="22" t="n"/>
      <c r="AG265" s="22" t="n"/>
      <c r="AH265" s="22" t="n"/>
      <c r="AI265" s="22" t="n"/>
      <c r="AJ265" s="22" t="n"/>
      <c r="AK265" s="22" t="n"/>
      <c r="AL265" s="22" t="n"/>
      <c r="AM265" s="22" t="n"/>
      <c r="AN265" s="22" t="n"/>
      <c r="AO265" s="22" t="n"/>
      <c r="AP265" s="22" t="n"/>
      <c r="AQ265" s="22" t="n"/>
      <c r="AR265" s="22" t="n"/>
      <c r="AS265" s="22" t="n"/>
      <c r="AT265" s="22" t="n"/>
      <c r="AU265" s="22" t="n"/>
      <c r="AV265" s="22" t="n"/>
      <c r="AW265" s="22" t="n"/>
      <c r="AX265" s="22" t="n"/>
      <c r="AY265" s="22" t="n"/>
      <c r="AZ265" s="22" t="n"/>
      <c r="BA265" s="22" t="n"/>
      <c r="BB265" s="22" t="n"/>
      <c r="BC265" s="22" t="n"/>
      <c r="BD265" s="22" t="n"/>
      <c r="BE265" s="22" t="n"/>
      <c r="BF265" s="22" t="n"/>
      <c r="BG265" s="22" t="n"/>
      <c r="BH265" s="22" t="n"/>
      <c r="BI265" s="22" t="n"/>
      <c r="BJ265" s="22" t="n"/>
      <c r="BK265" s="22" t="n"/>
      <c r="BL265" s="22" t="n"/>
      <c r="BM265" s="22" t="n"/>
      <c r="BN265" s="22" t="n"/>
      <c r="BO265" s="22" t="n"/>
      <c r="BP265" s="22" t="n"/>
      <c r="BQ265" s="31" t="n"/>
      <c r="BR265" s="31" t="n"/>
      <c r="BS265" s="31" t="n"/>
      <c r="BT265" s="31" t="n"/>
    </row>
    <row r="266" ht="15.75" customHeight="1" s="349">
      <c r="A266" s="22" t="n"/>
      <c r="B266" s="22" t="n"/>
      <c r="C266" s="22" t="n"/>
      <c r="D266" s="22" t="n"/>
      <c r="E266" s="22" t="n"/>
      <c r="F266" s="22"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c r="AA266" s="22" t="n"/>
      <c r="AB266" s="22" t="n"/>
      <c r="AC266" s="22" t="n"/>
      <c r="AD266" s="22" t="n"/>
      <c r="AE266" s="22" t="n"/>
      <c r="AF266" s="22" t="n"/>
      <c r="AG266" s="22" t="n"/>
      <c r="AH266" s="22" t="n"/>
      <c r="AI266" s="22" t="n"/>
      <c r="AJ266" s="22" t="n"/>
      <c r="AK266" s="22" t="n"/>
      <c r="AL266" s="22" t="n"/>
      <c r="AM266" s="22" t="n"/>
      <c r="AN266" s="22" t="n"/>
      <c r="AO266" s="22" t="n"/>
      <c r="AP266" s="22" t="n"/>
      <c r="AQ266" s="22" t="n"/>
      <c r="AR266" s="22" t="n"/>
      <c r="AS266" s="22" t="n"/>
      <c r="AT266" s="22" t="n"/>
      <c r="AU266" s="22" t="n"/>
      <c r="AV266" s="22" t="n"/>
      <c r="AW266" s="22" t="n"/>
      <c r="AX266" s="22" t="n"/>
      <c r="AY266" s="22" t="n"/>
      <c r="AZ266" s="22" t="n"/>
      <c r="BA266" s="22" t="n"/>
      <c r="BB266" s="22" t="n"/>
      <c r="BC266" s="22" t="n"/>
      <c r="BD266" s="22" t="n"/>
      <c r="BE266" s="22" t="n"/>
      <c r="BF266" s="22" t="n"/>
      <c r="BG266" s="22" t="n"/>
      <c r="BH266" s="22" t="n"/>
      <c r="BI266" s="22" t="n"/>
      <c r="BJ266" s="22" t="n"/>
      <c r="BK266" s="22" t="n"/>
      <c r="BL266" s="22" t="n"/>
      <c r="BM266" s="22" t="n"/>
      <c r="BN266" s="22" t="n"/>
      <c r="BO266" s="22" t="n"/>
      <c r="BP266" s="22" t="n"/>
      <c r="BQ266" s="31" t="n"/>
      <c r="BR266" s="31" t="n"/>
      <c r="BS266" s="31" t="n"/>
      <c r="BT266" s="31" t="n"/>
    </row>
    <row r="267" ht="15.75" customHeight="1" s="349">
      <c r="A267" s="22" t="n"/>
      <c r="B267" s="22" t="n"/>
      <c r="C267" s="22" t="n"/>
      <c r="D267" s="22" t="n"/>
      <c r="E267" s="22" t="n"/>
      <c r="F267" s="22"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c r="AA267" s="22" t="n"/>
      <c r="AB267" s="22" t="n"/>
      <c r="AC267" s="22" t="n"/>
      <c r="AD267" s="22" t="n"/>
      <c r="AE267" s="22" t="n"/>
      <c r="AF267" s="22" t="n"/>
      <c r="AG267" s="22" t="n"/>
      <c r="AH267" s="22" t="n"/>
      <c r="AI267" s="22" t="n"/>
      <c r="AJ267" s="22" t="n"/>
      <c r="AK267" s="22" t="n"/>
      <c r="AL267" s="22" t="n"/>
      <c r="AM267" s="22" t="n"/>
      <c r="AN267" s="22" t="n"/>
      <c r="AO267" s="22" t="n"/>
      <c r="AP267" s="22" t="n"/>
      <c r="AQ267" s="22" t="n"/>
      <c r="AR267" s="22" t="n"/>
      <c r="AS267" s="22" t="n"/>
      <c r="AT267" s="22" t="n"/>
      <c r="AU267" s="22" t="n"/>
      <c r="AV267" s="22" t="n"/>
      <c r="AW267" s="22" t="n"/>
      <c r="AX267" s="22" t="n"/>
      <c r="AY267" s="22" t="n"/>
      <c r="AZ267" s="22" t="n"/>
      <c r="BA267" s="22" t="n"/>
      <c r="BB267" s="22" t="n"/>
      <c r="BC267" s="22" t="n"/>
      <c r="BD267" s="22" t="n"/>
      <c r="BE267" s="22" t="n"/>
      <c r="BF267" s="22" t="n"/>
      <c r="BG267" s="22" t="n"/>
      <c r="BH267" s="22" t="n"/>
      <c r="BI267" s="22" t="n"/>
      <c r="BJ267" s="22" t="n"/>
      <c r="BK267" s="22" t="n"/>
      <c r="BL267" s="22" t="n"/>
      <c r="BM267" s="22" t="n"/>
      <c r="BN267" s="22" t="n"/>
      <c r="BO267" s="22" t="n"/>
      <c r="BP267" s="22" t="n"/>
      <c r="BQ267" s="31" t="n"/>
      <c r="BR267" s="31" t="n"/>
      <c r="BS267" s="31" t="n"/>
      <c r="BT267" s="31" t="n"/>
    </row>
    <row r="268" ht="15.75" customHeight="1" s="349">
      <c r="A268" s="22" t="n"/>
      <c r="B268" s="22" t="n"/>
      <c r="C268" s="22" t="n"/>
      <c r="D268" s="22" t="n"/>
      <c r="E268" s="22" t="n"/>
      <c r="F268" s="22"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c r="AA268" s="22" t="n"/>
      <c r="AB268" s="22" t="n"/>
      <c r="AC268" s="22" t="n"/>
      <c r="AD268" s="22" t="n"/>
      <c r="AE268" s="22" t="n"/>
      <c r="AF268" s="22" t="n"/>
      <c r="AG268" s="22" t="n"/>
      <c r="AH268" s="22" t="n"/>
      <c r="AI268" s="22" t="n"/>
      <c r="AJ268" s="22" t="n"/>
      <c r="AK268" s="22" t="n"/>
      <c r="AL268" s="22" t="n"/>
      <c r="AM268" s="22" t="n"/>
      <c r="AN268" s="22" t="n"/>
      <c r="AO268" s="22" t="n"/>
      <c r="AP268" s="22" t="n"/>
      <c r="AQ268" s="22" t="n"/>
      <c r="AR268" s="22" t="n"/>
      <c r="AS268" s="22" t="n"/>
      <c r="AT268" s="22" t="n"/>
      <c r="AU268" s="22" t="n"/>
      <c r="AV268" s="22" t="n"/>
      <c r="AW268" s="22" t="n"/>
      <c r="AX268" s="22" t="n"/>
      <c r="AY268" s="22" t="n"/>
      <c r="AZ268" s="22" t="n"/>
      <c r="BA268" s="22" t="n"/>
      <c r="BB268" s="22" t="n"/>
      <c r="BC268" s="22" t="n"/>
      <c r="BD268" s="22" t="n"/>
      <c r="BE268" s="22" t="n"/>
      <c r="BF268" s="22" t="n"/>
      <c r="BG268" s="22" t="n"/>
      <c r="BH268" s="22" t="n"/>
      <c r="BI268" s="22" t="n"/>
      <c r="BJ268" s="22" t="n"/>
      <c r="BK268" s="22" t="n"/>
      <c r="BL268" s="22" t="n"/>
      <c r="BM268" s="22" t="n"/>
      <c r="BN268" s="22" t="n"/>
      <c r="BO268" s="22" t="n"/>
      <c r="BP268" s="22" t="n"/>
      <c r="BQ268" s="31" t="n"/>
      <c r="BR268" s="31" t="n"/>
      <c r="BS268" s="31" t="n"/>
      <c r="BT268" s="31" t="n"/>
    </row>
    <row r="269" ht="15.75" customHeight="1" s="349">
      <c r="A269" s="22" t="n"/>
      <c r="B269" s="22" t="n"/>
      <c r="C269" s="22" t="n"/>
      <c r="D269" s="22" t="n"/>
      <c r="E269" s="22" t="n"/>
      <c r="F269" s="22"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c r="AA269" s="22" t="n"/>
      <c r="AB269" s="22" t="n"/>
      <c r="AC269" s="22" t="n"/>
      <c r="AD269" s="22" t="n"/>
      <c r="AE269" s="22" t="n"/>
      <c r="AF269" s="22" t="n"/>
      <c r="AG269" s="22" t="n"/>
      <c r="AH269" s="22" t="n"/>
      <c r="AI269" s="22" t="n"/>
      <c r="AJ269" s="22" t="n"/>
      <c r="AK269" s="22" t="n"/>
      <c r="AL269" s="22" t="n"/>
      <c r="AM269" s="22" t="n"/>
      <c r="AN269" s="22" t="n"/>
      <c r="AO269" s="22" t="n"/>
      <c r="AP269" s="22" t="n"/>
      <c r="AQ269" s="22" t="n"/>
      <c r="AR269" s="22" t="n"/>
      <c r="AS269" s="22" t="n"/>
      <c r="AT269" s="22" t="n"/>
      <c r="AU269" s="22" t="n"/>
      <c r="AV269" s="22" t="n"/>
      <c r="AW269" s="22" t="n"/>
      <c r="AX269" s="22" t="n"/>
      <c r="AY269" s="22" t="n"/>
      <c r="AZ269" s="22" t="n"/>
      <c r="BA269" s="22" t="n"/>
      <c r="BB269" s="22" t="n"/>
      <c r="BC269" s="22" t="n"/>
      <c r="BD269" s="22" t="n"/>
      <c r="BE269" s="22" t="n"/>
      <c r="BF269" s="22" t="n"/>
      <c r="BG269" s="22" t="n"/>
      <c r="BH269" s="22" t="n"/>
      <c r="BI269" s="22" t="n"/>
      <c r="BJ269" s="22" t="n"/>
      <c r="BK269" s="22" t="n"/>
      <c r="BL269" s="22" t="n"/>
      <c r="BM269" s="22" t="n"/>
      <c r="BN269" s="22" t="n"/>
      <c r="BO269" s="22" t="n"/>
      <c r="BP269" s="22" t="n"/>
      <c r="BQ269" s="31" t="n"/>
      <c r="BR269" s="31" t="n"/>
      <c r="BS269" s="31" t="n"/>
      <c r="BT269" s="31" t="n"/>
    </row>
    <row r="270" ht="15.75" customHeight="1" s="349">
      <c r="A270" s="22" t="n"/>
      <c r="B270" s="22" t="n"/>
      <c r="C270" s="22" t="n"/>
      <c r="D270" s="22" t="n"/>
      <c r="E270" s="22" t="n"/>
      <c r="F270" s="22"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c r="AA270" s="22" t="n"/>
      <c r="AB270" s="22" t="n"/>
      <c r="AC270" s="22" t="n"/>
      <c r="AD270" s="22" t="n"/>
      <c r="AE270" s="22" t="n"/>
      <c r="AF270" s="22" t="n"/>
      <c r="AG270" s="22" t="n"/>
      <c r="AH270" s="22" t="n"/>
      <c r="AI270" s="22" t="n"/>
      <c r="AJ270" s="22" t="n"/>
      <c r="AK270" s="22" t="n"/>
      <c r="AL270" s="22" t="n"/>
      <c r="AM270" s="22" t="n"/>
      <c r="AN270" s="22" t="n"/>
      <c r="AO270" s="22" t="n"/>
      <c r="AP270" s="22" t="n"/>
      <c r="AQ270" s="22" t="n"/>
      <c r="AR270" s="22" t="n"/>
      <c r="AS270" s="22" t="n"/>
      <c r="AT270" s="22" t="n"/>
      <c r="AU270" s="22" t="n"/>
      <c r="AV270" s="22" t="n"/>
      <c r="AW270" s="22" t="n"/>
      <c r="AX270" s="22" t="n"/>
      <c r="AY270" s="22" t="n"/>
      <c r="AZ270" s="22" t="n"/>
      <c r="BA270" s="22" t="n"/>
      <c r="BB270" s="22" t="n"/>
      <c r="BC270" s="22" t="n"/>
      <c r="BD270" s="22" t="n"/>
      <c r="BE270" s="22" t="n"/>
      <c r="BF270" s="22" t="n"/>
      <c r="BG270" s="22" t="n"/>
      <c r="BH270" s="22" t="n"/>
      <c r="BI270" s="22" t="n"/>
      <c r="BJ270" s="22" t="n"/>
      <c r="BK270" s="22" t="n"/>
      <c r="BL270" s="22" t="n"/>
      <c r="BM270" s="22" t="n"/>
      <c r="BN270" s="22" t="n"/>
      <c r="BO270" s="22" t="n"/>
      <c r="BP270" s="22" t="n"/>
      <c r="BQ270" s="31" t="n"/>
      <c r="BR270" s="31" t="n"/>
      <c r="BS270" s="31" t="n"/>
      <c r="BT270" s="31" t="n"/>
    </row>
    <row r="271" ht="15.75" customHeight="1" s="349">
      <c r="A271" s="22" t="n"/>
      <c r="B271" s="22" t="n"/>
      <c r="C271" s="22" t="n"/>
      <c r="D271" s="22" t="n"/>
      <c r="E271" s="22" t="n"/>
      <c r="F271" s="22"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c r="AA271" s="22" t="n"/>
      <c r="AB271" s="22" t="n"/>
      <c r="AC271" s="22" t="n"/>
      <c r="AD271" s="22" t="n"/>
      <c r="AE271" s="22" t="n"/>
      <c r="AF271" s="22" t="n"/>
      <c r="AG271" s="22" t="n"/>
      <c r="AH271" s="22" t="n"/>
      <c r="AI271" s="22" t="n"/>
      <c r="AJ271" s="22" t="n"/>
      <c r="AK271" s="22" t="n"/>
      <c r="AL271" s="22" t="n"/>
      <c r="AM271" s="22" t="n"/>
      <c r="AN271" s="22" t="n"/>
      <c r="AO271" s="22" t="n"/>
      <c r="AP271" s="22" t="n"/>
      <c r="AQ271" s="22" t="n"/>
      <c r="AR271" s="22" t="n"/>
      <c r="AS271" s="22" t="n"/>
      <c r="AT271" s="22" t="n"/>
      <c r="AU271" s="22" t="n"/>
      <c r="AV271" s="22" t="n"/>
      <c r="AW271" s="22" t="n"/>
      <c r="AX271" s="22" t="n"/>
      <c r="AY271" s="22" t="n"/>
      <c r="AZ271" s="22" t="n"/>
      <c r="BA271" s="22" t="n"/>
      <c r="BB271" s="22" t="n"/>
      <c r="BC271" s="22" t="n"/>
      <c r="BD271" s="22" t="n"/>
      <c r="BE271" s="22" t="n"/>
      <c r="BF271" s="22" t="n"/>
      <c r="BG271" s="22" t="n"/>
      <c r="BH271" s="22" t="n"/>
      <c r="BI271" s="22" t="n"/>
      <c r="BJ271" s="22" t="n"/>
      <c r="BK271" s="22" t="n"/>
      <c r="BL271" s="22" t="n"/>
      <c r="BM271" s="22" t="n"/>
      <c r="BN271" s="22" t="n"/>
      <c r="BO271" s="22" t="n"/>
      <c r="BP271" s="22" t="n"/>
      <c r="BQ271" s="31" t="n"/>
      <c r="BR271" s="31" t="n"/>
      <c r="BS271" s="31" t="n"/>
      <c r="BT271" s="31" t="n"/>
    </row>
    <row r="272" ht="15.75" customHeight="1" s="349"/>
    <row r="273" ht="15.75" customHeight="1" s="349"/>
    <row r="274" ht="15.75" customHeight="1" s="349"/>
    <row r="275" ht="15.75" customHeight="1" s="349"/>
    <row r="276" ht="15.75" customHeight="1" s="349"/>
    <row r="277" ht="15.75" customHeight="1" s="349"/>
    <row r="278" ht="15.75" customHeight="1" s="349"/>
    <row r="279" ht="15.75" customHeight="1" s="349"/>
    <row r="280" ht="15.75" customHeight="1" s="349"/>
    <row r="281" ht="15.75" customHeight="1" s="349"/>
    <row r="282" ht="15.75" customHeight="1" s="349"/>
    <row r="283" ht="15.75" customHeight="1" s="349"/>
    <row r="284" ht="15.75" customHeight="1" s="349"/>
    <row r="285" ht="15.75" customHeight="1" s="349"/>
    <row r="286" ht="15.75" customHeight="1" s="349"/>
    <row r="287" ht="15.75" customHeight="1" s="349"/>
    <row r="288" ht="15.75" customHeight="1" s="349"/>
    <row r="289" ht="15.75" customHeight="1" s="349"/>
    <row r="290" ht="15.75" customHeight="1" s="349"/>
    <row r="291" ht="15.75" customHeight="1" s="349"/>
    <row r="292" ht="15.75" customHeight="1" s="349"/>
    <row r="293" ht="15.75" customHeight="1" s="349"/>
    <row r="294" ht="15.75" customHeight="1" s="349"/>
    <row r="295" ht="15.75" customHeight="1" s="349"/>
    <row r="296" ht="15.75" customHeight="1" s="349"/>
    <row r="297" ht="15.75" customHeight="1" s="349"/>
    <row r="298" ht="15.75" customHeight="1" s="349"/>
    <row r="299" ht="15.75" customHeight="1" s="349"/>
    <row r="300" ht="15.75" customHeight="1" s="349"/>
    <row r="301" ht="15.75" customHeight="1" s="349"/>
    <row r="302" ht="15.75" customHeight="1" s="349"/>
    <row r="303" ht="15.75" customHeight="1" s="349"/>
    <row r="304" ht="15.75" customHeight="1" s="349"/>
    <row r="305" ht="15.75" customHeight="1" s="349"/>
    <row r="306" ht="15.75" customHeight="1" s="349"/>
    <row r="307" ht="15.75" customHeight="1" s="349"/>
    <row r="308" ht="15.75" customHeight="1" s="349"/>
    <row r="309" ht="15.75" customHeight="1" s="349"/>
    <row r="310" ht="15.75" customHeight="1" s="349"/>
    <row r="311" ht="15.75" customHeight="1" s="349"/>
    <row r="312" ht="15.75" customHeight="1" s="349"/>
    <row r="313" ht="15.75" customHeight="1" s="349"/>
    <row r="314" ht="15.75" customHeight="1" s="349"/>
    <row r="315" ht="15.75" customHeight="1" s="349"/>
    <row r="316" ht="15.75" customHeight="1" s="349"/>
    <row r="317" ht="15.75" customHeight="1" s="349"/>
    <row r="318" ht="15.75" customHeight="1" s="349"/>
    <row r="319" ht="15.75" customHeight="1" s="349"/>
    <row r="320" ht="15.75" customHeight="1" s="349"/>
    <row r="321" ht="15.75" customHeight="1" s="349"/>
    <row r="322" ht="15.75" customHeight="1" s="349"/>
    <row r="323" ht="15.75" customHeight="1" s="349"/>
    <row r="324" ht="15.75" customHeight="1" s="349"/>
    <row r="325" ht="15.75" customHeight="1" s="349"/>
    <row r="326" ht="15.75" customHeight="1" s="349"/>
    <row r="327" ht="15.75" customHeight="1" s="349"/>
    <row r="328" ht="15.75" customHeight="1" s="349"/>
    <row r="329" ht="15.75" customHeight="1" s="349"/>
    <row r="330" ht="15.75" customHeight="1" s="349"/>
    <row r="331" ht="15.75" customHeight="1" s="349"/>
    <row r="332" ht="15.75" customHeight="1" s="349"/>
    <row r="333" ht="15.75" customHeight="1" s="349"/>
    <row r="334" ht="15.75" customHeight="1" s="349"/>
    <row r="335" ht="15.75" customHeight="1" s="349"/>
    <row r="336" ht="15.75" customHeight="1" s="349"/>
    <row r="337" ht="15.75" customHeight="1" s="349"/>
    <row r="338" ht="15.75" customHeight="1" s="349"/>
    <row r="339" ht="15.75" customHeight="1" s="349"/>
    <row r="340" ht="15.75" customHeight="1" s="349"/>
    <row r="341" ht="15.75" customHeight="1" s="349"/>
    <row r="342" ht="15.75" customHeight="1" s="349"/>
    <row r="343" ht="15.75" customHeight="1" s="349"/>
    <row r="344" ht="15.75" customHeight="1" s="349"/>
    <row r="345" ht="15.75" customHeight="1" s="349"/>
    <row r="346" ht="15.75" customHeight="1" s="349"/>
    <row r="347" ht="15.75" customHeight="1" s="349"/>
    <row r="348" ht="15.75" customHeight="1" s="349"/>
    <row r="349" ht="15.75" customHeight="1" s="349"/>
    <row r="350" ht="15.75" customHeight="1" s="349"/>
    <row r="351" ht="15.75" customHeight="1" s="349"/>
    <row r="352" ht="15.75" customHeight="1" s="349"/>
    <row r="353" ht="15.75" customHeight="1" s="349"/>
    <row r="354" ht="15.75" customHeight="1" s="349"/>
    <row r="355" ht="15.75" customHeight="1" s="349"/>
    <row r="356" ht="15.75" customHeight="1" s="349"/>
    <row r="357" ht="15.75" customHeight="1" s="349"/>
    <row r="358" ht="15.75" customHeight="1" s="349"/>
    <row r="359" ht="15.75" customHeight="1" s="349"/>
    <row r="360" ht="15.75" customHeight="1" s="349"/>
    <row r="361" ht="15.75" customHeight="1" s="349"/>
    <row r="362" ht="15.75" customHeight="1" s="349"/>
    <row r="363" ht="15.75" customHeight="1" s="349"/>
    <row r="364" ht="15.75" customHeight="1" s="349"/>
    <row r="365" ht="15.75" customHeight="1" s="349"/>
    <row r="366" ht="15.75" customHeight="1" s="349"/>
    <row r="367" ht="15.75" customHeight="1" s="349"/>
    <row r="368" ht="15.75" customHeight="1" s="349"/>
    <row r="369" ht="15.75" customHeight="1" s="349"/>
    <row r="370" ht="15.75" customHeight="1" s="349"/>
    <row r="371" ht="15.75" customHeight="1" s="349"/>
    <row r="372" ht="15.75" customHeight="1" s="349"/>
    <row r="373" ht="15.75" customHeight="1" s="349"/>
    <row r="374" ht="15.75" customHeight="1" s="349"/>
    <row r="375" ht="15.75" customHeight="1" s="349"/>
    <row r="376" ht="15.75" customHeight="1" s="349"/>
    <row r="377" ht="15.75" customHeight="1" s="349"/>
    <row r="378" ht="15.75" customHeight="1" s="349"/>
    <row r="379" ht="15.75" customHeight="1" s="349"/>
    <row r="380" ht="15.75" customHeight="1" s="349"/>
    <row r="381" ht="15.75" customHeight="1" s="349"/>
    <row r="382" ht="15.75" customHeight="1" s="349"/>
    <row r="383" ht="15.75" customHeight="1" s="349"/>
    <row r="384" ht="15.75" customHeight="1" s="349"/>
    <row r="385" ht="15.75" customHeight="1" s="349"/>
    <row r="386" ht="15.75" customHeight="1" s="349"/>
    <row r="387" ht="15.75" customHeight="1" s="349"/>
    <row r="388" ht="15.75" customHeight="1" s="349"/>
    <row r="389" ht="15.75" customHeight="1" s="349"/>
    <row r="390" ht="15.75" customHeight="1" s="349"/>
    <row r="391" ht="15.75" customHeight="1" s="349"/>
    <row r="392" ht="15.75" customHeight="1" s="349"/>
    <row r="393" ht="15.75" customHeight="1" s="349"/>
    <row r="394" ht="15.75" customHeight="1" s="349"/>
    <row r="395" ht="15.75" customHeight="1" s="349"/>
    <row r="396" ht="15.75" customHeight="1" s="349"/>
    <row r="397" ht="15.75" customHeight="1" s="349"/>
    <row r="398" ht="15.75" customHeight="1" s="349"/>
    <row r="399" ht="15.75" customHeight="1" s="349"/>
    <row r="400" ht="15.75" customHeight="1" s="349"/>
    <row r="401" ht="15.75" customHeight="1" s="349"/>
    <row r="402" ht="15.75" customHeight="1" s="349"/>
    <row r="403" ht="15.75" customHeight="1" s="349"/>
    <row r="404" ht="15.75" customHeight="1" s="349"/>
    <row r="405" ht="15.75" customHeight="1" s="349"/>
    <row r="406" ht="15.75" customHeight="1" s="349"/>
    <row r="407" ht="15.75" customHeight="1" s="349"/>
    <row r="408" ht="15.75" customHeight="1" s="349"/>
    <row r="409" ht="15.75" customHeight="1" s="349"/>
    <row r="410" ht="15.75" customHeight="1" s="349"/>
    <row r="411" ht="15.75" customHeight="1" s="349"/>
    <row r="412" ht="15.75" customHeight="1" s="349"/>
    <row r="413" ht="15.75" customHeight="1" s="349"/>
    <row r="414" ht="15.75" customHeight="1" s="349"/>
    <row r="415" ht="15.75" customHeight="1" s="349"/>
    <row r="416" ht="15.75" customHeight="1" s="349"/>
    <row r="417" ht="15.75" customHeight="1" s="349"/>
    <row r="418" ht="15.75" customHeight="1" s="349"/>
    <row r="419" ht="15.75" customHeight="1" s="349"/>
    <row r="420" ht="15.75" customHeight="1" s="349"/>
    <row r="421" ht="15.75" customHeight="1" s="349"/>
    <row r="422" ht="15.75" customHeight="1" s="349"/>
    <row r="423" ht="15.75" customHeight="1" s="349"/>
    <row r="424" ht="15.75" customHeight="1" s="349"/>
    <row r="425" ht="15.75" customHeight="1" s="349"/>
    <row r="426" ht="15.75" customHeight="1" s="349"/>
    <row r="427" ht="15.75" customHeight="1" s="349"/>
    <row r="428" ht="15.75" customHeight="1" s="349"/>
    <row r="429" ht="15.75" customHeight="1" s="349"/>
    <row r="430" ht="15.75" customHeight="1" s="349"/>
    <row r="431" ht="15.75" customHeight="1" s="349"/>
    <row r="432" ht="15.75" customHeight="1" s="349"/>
    <row r="433" ht="15.75" customHeight="1" s="349"/>
    <row r="434" ht="15.75" customHeight="1" s="349"/>
    <row r="435" ht="15.75" customHeight="1" s="349"/>
    <row r="436" ht="15.75" customHeight="1" s="349"/>
    <row r="437" ht="15.75" customHeight="1" s="349"/>
    <row r="438" ht="15.75" customHeight="1" s="349"/>
    <row r="439" ht="15.75" customHeight="1" s="349"/>
    <row r="440" ht="15.75" customHeight="1" s="349"/>
    <row r="441" ht="15.75" customHeight="1" s="349"/>
    <row r="442" ht="15.75" customHeight="1" s="349"/>
    <row r="443" ht="15.75" customHeight="1" s="349"/>
    <row r="444" ht="15.75" customHeight="1" s="349"/>
    <row r="445" ht="15.75" customHeight="1" s="349"/>
    <row r="446" ht="15.75" customHeight="1" s="349"/>
    <row r="447" ht="15.75" customHeight="1" s="349"/>
    <row r="448" ht="15.75" customHeight="1" s="349"/>
    <row r="449" ht="15.75" customHeight="1" s="349"/>
    <row r="450" ht="15.75" customHeight="1" s="349"/>
    <row r="451" ht="15.75" customHeight="1" s="349"/>
    <row r="452" ht="15.75" customHeight="1" s="349"/>
    <row r="453" ht="15.75" customHeight="1" s="349"/>
    <row r="454" ht="15.75" customHeight="1" s="349"/>
    <row r="455" ht="15.75" customHeight="1" s="349"/>
    <row r="456" ht="15.75" customHeight="1" s="349"/>
    <row r="457" ht="15.75" customHeight="1" s="349"/>
    <row r="458" ht="15.75" customHeight="1" s="349"/>
    <row r="459" ht="15.75" customHeight="1" s="349"/>
    <row r="460" ht="15.75" customHeight="1" s="349"/>
    <row r="461" ht="15.75" customHeight="1" s="349"/>
    <row r="462" ht="15.75" customHeight="1" s="349"/>
    <row r="463" ht="15.75" customHeight="1" s="349"/>
    <row r="464" ht="15.75" customHeight="1" s="349"/>
    <row r="465" ht="15.75" customHeight="1" s="349"/>
    <row r="466" ht="15.75" customHeight="1" s="349"/>
    <row r="467" ht="15.75" customHeight="1" s="349"/>
    <row r="468" ht="15.75" customHeight="1" s="349"/>
    <row r="469" ht="15.75" customHeight="1" s="349"/>
    <row r="470" ht="15.75" customHeight="1" s="349"/>
    <row r="471" ht="15.75" customHeight="1" s="349"/>
    <row r="472" ht="15.75" customHeight="1" s="349"/>
    <row r="473" ht="15.75" customHeight="1" s="349"/>
    <row r="474" ht="15.75" customHeight="1" s="349"/>
    <row r="475" ht="15.75" customHeight="1" s="349"/>
    <row r="476" ht="15.75" customHeight="1" s="349"/>
    <row r="477" ht="15.75" customHeight="1" s="349"/>
    <row r="478" ht="15.75" customHeight="1" s="349"/>
    <row r="479" ht="15.75" customHeight="1" s="349"/>
    <row r="480" ht="15.75" customHeight="1" s="349"/>
    <row r="481" ht="15.75" customHeight="1" s="349"/>
    <row r="482" ht="15.75" customHeight="1" s="349"/>
    <row r="483" ht="15.75" customHeight="1" s="349"/>
    <row r="484" ht="15.75" customHeight="1" s="349"/>
    <row r="485" ht="15.75" customHeight="1" s="349"/>
    <row r="486" ht="15.75" customHeight="1" s="349"/>
    <row r="487" ht="15.75" customHeight="1" s="349"/>
    <row r="488" ht="15.75" customHeight="1" s="349"/>
    <row r="489" ht="15.75" customHeight="1" s="349"/>
    <row r="490" ht="15.75" customHeight="1" s="349"/>
    <row r="491" ht="15.75" customHeight="1" s="349"/>
    <row r="492" ht="15.75" customHeight="1" s="349"/>
    <row r="493" ht="15.75" customHeight="1" s="349"/>
    <row r="494" ht="15.75" customHeight="1" s="349"/>
    <row r="495" ht="15.75" customHeight="1" s="349"/>
    <row r="496" ht="15.75" customHeight="1" s="349"/>
    <row r="497" ht="15.75" customHeight="1" s="349"/>
    <row r="498" ht="15.75" customHeight="1" s="349"/>
    <row r="499" ht="15.75" customHeight="1" s="349"/>
    <row r="500" ht="15.75" customHeight="1" s="349"/>
    <row r="501" ht="15.75" customHeight="1" s="349"/>
    <row r="502" ht="15.75" customHeight="1" s="349"/>
    <row r="503" ht="15.75" customHeight="1" s="349"/>
    <row r="504" ht="15.75" customHeight="1" s="349"/>
    <row r="505" ht="15.75" customHeight="1" s="349"/>
    <row r="506" ht="15.75" customHeight="1" s="349"/>
    <row r="507" ht="15.75" customHeight="1" s="349"/>
    <row r="508" ht="15.75" customHeight="1" s="349"/>
    <row r="509" ht="15.75" customHeight="1" s="349"/>
    <row r="510" ht="15.75" customHeight="1" s="349"/>
    <row r="511" ht="15.75" customHeight="1" s="349"/>
    <row r="512" ht="15.75" customHeight="1" s="349"/>
    <row r="513" ht="15.75" customHeight="1" s="349"/>
    <row r="514" ht="15.75" customHeight="1" s="349"/>
    <row r="515" ht="15.75" customHeight="1" s="349"/>
    <row r="516" ht="15.75" customHeight="1" s="349"/>
    <row r="517" ht="15.75" customHeight="1" s="349"/>
    <row r="518" ht="15.75" customHeight="1" s="349"/>
    <row r="519" ht="15.75" customHeight="1" s="349"/>
    <row r="520" ht="15.75" customHeight="1" s="349"/>
    <row r="521" ht="15.75" customHeight="1" s="349"/>
    <row r="522" ht="15.75" customHeight="1" s="349"/>
    <row r="523" ht="15.75" customHeight="1" s="349"/>
    <row r="524" ht="15.75" customHeight="1" s="349"/>
    <row r="525" ht="15.75" customHeight="1" s="349"/>
    <row r="526" ht="15.75" customHeight="1" s="349"/>
    <row r="527" ht="15.75" customHeight="1" s="349"/>
    <row r="528" ht="15.75" customHeight="1" s="349"/>
    <row r="529" ht="15.75" customHeight="1" s="349"/>
    <row r="530" ht="15.75" customHeight="1" s="349"/>
    <row r="531" ht="15.75" customHeight="1" s="349"/>
    <row r="532" ht="15.75" customHeight="1" s="349"/>
    <row r="533" ht="15.75" customHeight="1" s="349"/>
    <row r="534" ht="15.75" customHeight="1" s="349"/>
    <row r="535" ht="15.75" customHeight="1" s="349"/>
    <row r="536" ht="15.75" customHeight="1" s="349"/>
    <row r="537" ht="15.75" customHeight="1" s="349"/>
    <row r="538" ht="15.75" customHeight="1" s="349"/>
    <row r="539" ht="15.75" customHeight="1" s="349"/>
    <row r="540" ht="15.75" customHeight="1" s="349"/>
    <row r="541" ht="15.75" customHeight="1" s="349"/>
    <row r="542" ht="15.75" customHeight="1" s="349"/>
    <row r="543" ht="15.75" customHeight="1" s="349"/>
    <row r="544" ht="15.75" customHeight="1" s="349"/>
    <row r="545" ht="15.75" customHeight="1" s="349"/>
    <row r="546" ht="15.75" customHeight="1" s="349"/>
    <row r="547" ht="15.75" customHeight="1" s="349"/>
    <row r="548" ht="15.75" customHeight="1" s="349"/>
    <row r="549" ht="15.75" customHeight="1" s="349"/>
    <row r="550" ht="15.75" customHeight="1" s="349"/>
    <row r="551" ht="15.75" customHeight="1" s="349"/>
    <row r="552" ht="15.75" customHeight="1" s="349"/>
    <row r="553" ht="15.75" customHeight="1" s="349"/>
    <row r="554" ht="15.75" customHeight="1" s="349"/>
    <row r="555" ht="15.75" customHeight="1" s="349"/>
    <row r="556" ht="15.75" customHeight="1" s="349"/>
    <row r="557" ht="15.75" customHeight="1" s="349"/>
    <row r="558" ht="15.75" customHeight="1" s="349"/>
    <row r="559" ht="15.75" customHeight="1" s="349"/>
    <row r="560" ht="15.75" customHeight="1" s="349"/>
    <row r="561" ht="15.75" customHeight="1" s="349"/>
    <row r="562" ht="15.75" customHeight="1" s="349"/>
    <row r="563" ht="15.75" customHeight="1" s="349"/>
    <row r="564" ht="15.75" customHeight="1" s="349"/>
    <row r="565" ht="15.75" customHeight="1" s="349"/>
    <row r="566" ht="15.75" customHeight="1" s="349"/>
    <row r="567" ht="15.75" customHeight="1" s="349"/>
    <row r="568" ht="15.75" customHeight="1" s="349"/>
    <row r="569" ht="15.75" customHeight="1" s="349"/>
    <row r="570" ht="15.75" customHeight="1" s="349"/>
    <row r="571" ht="15.75" customHeight="1" s="349"/>
    <row r="572" ht="15.75" customHeight="1" s="349"/>
    <row r="573" ht="15.75" customHeight="1" s="349"/>
    <row r="574" ht="15.75" customHeight="1" s="349"/>
    <row r="575" ht="15.75" customHeight="1" s="349"/>
    <row r="576" ht="15.75" customHeight="1" s="349"/>
    <row r="577" ht="15.75" customHeight="1" s="349"/>
    <row r="578" ht="15.75" customHeight="1" s="349"/>
    <row r="579" ht="15.75" customHeight="1" s="349"/>
    <row r="580" ht="15.75" customHeight="1" s="349"/>
    <row r="581" ht="15.75" customHeight="1" s="349"/>
    <row r="582" ht="15.75" customHeight="1" s="349"/>
    <row r="583" ht="15.75" customHeight="1" s="349"/>
    <row r="584" ht="15.75" customHeight="1" s="349"/>
    <row r="585" ht="15.75" customHeight="1" s="349"/>
    <row r="586" ht="15.75" customHeight="1" s="349"/>
    <row r="587" ht="15.75" customHeight="1" s="349"/>
    <row r="588" ht="15.75" customHeight="1" s="349"/>
    <row r="589" ht="15.75" customHeight="1" s="349"/>
    <row r="590" ht="15.75" customHeight="1" s="349"/>
    <row r="591" ht="15.75" customHeight="1" s="349"/>
    <row r="592" ht="15.75" customHeight="1" s="349"/>
    <row r="593" ht="15.75" customHeight="1" s="349"/>
    <row r="594" ht="15.75" customHeight="1" s="349"/>
    <row r="595" ht="15.75" customHeight="1" s="349"/>
    <row r="596" ht="15.75" customHeight="1" s="349"/>
    <row r="597" ht="15.75" customHeight="1" s="349"/>
    <row r="598" ht="15.75" customHeight="1" s="349"/>
    <row r="599" ht="15.75" customHeight="1" s="349"/>
    <row r="600" ht="15.75" customHeight="1" s="349"/>
    <row r="601" ht="15.75" customHeight="1" s="349"/>
    <row r="602" ht="15.75" customHeight="1" s="349"/>
    <row r="603" ht="15.75" customHeight="1" s="349"/>
    <row r="604" ht="15.75" customHeight="1" s="349"/>
    <row r="605" ht="15.75" customHeight="1" s="349"/>
    <row r="606" ht="15.75" customHeight="1" s="349"/>
    <row r="607" ht="15.75" customHeight="1" s="349"/>
    <row r="608" ht="15.75" customHeight="1" s="349"/>
    <row r="609" ht="15.75" customHeight="1" s="349"/>
    <row r="610" ht="15.75" customHeight="1" s="349"/>
    <row r="611" ht="15.75" customHeight="1" s="349"/>
    <row r="612" ht="15.75" customHeight="1" s="349"/>
    <row r="613" ht="15.75" customHeight="1" s="349"/>
    <row r="614" ht="15.75" customHeight="1" s="349"/>
    <row r="615" ht="15.75" customHeight="1" s="349"/>
    <row r="616" ht="15.75" customHeight="1" s="349"/>
    <row r="617" ht="15.75" customHeight="1" s="349"/>
    <row r="618" ht="15.75" customHeight="1" s="349"/>
    <row r="619" ht="15.75" customHeight="1" s="349"/>
    <row r="620" ht="15.75" customHeight="1" s="349"/>
    <row r="621" ht="15.75" customHeight="1" s="349"/>
    <row r="622" ht="15.75" customHeight="1" s="349"/>
    <row r="623" ht="15.75" customHeight="1" s="349"/>
    <row r="624" ht="15.75" customHeight="1" s="349"/>
    <row r="625" ht="15.75" customHeight="1" s="349"/>
    <row r="626" ht="15.75" customHeight="1" s="349"/>
    <row r="627" ht="15.75" customHeight="1" s="349"/>
    <row r="628" ht="15.75" customHeight="1" s="349"/>
    <row r="629" ht="15.75" customHeight="1" s="349"/>
    <row r="630" ht="15.75" customHeight="1" s="349"/>
    <row r="631" ht="15.75" customHeight="1" s="349"/>
    <row r="632" ht="15.75" customHeight="1" s="349"/>
    <row r="633" ht="15.75" customHeight="1" s="349"/>
    <row r="634" ht="15.75" customHeight="1" s="349"/>
    <row r="635" ht="15.75" customHeight="1" s="349"/>
    <row r="636" ht="15.75" customHeight="1" s="349"/>
    <row r="637" ht="15.75" customHeight="1" s="349"/>
    <row r="638" ht="15.75" customHeight="1" s="349"/>
    <row r="639" ht="15.75" customHeight="1" s="349"/>
    <row r="640" ht="15.75" customHeight="1" s="349"/>
    <row r="641" ht="15.75" customHeight="1" s="349"/>
    <row r="642" ht="15.75" customHeight="1" s="349"/>
    <row r="643" ht="15.75" customHeight="1" s="349"/>
    <row r="644" ht="15.75" customHeight="1" s="349"/>
    <row r="645" ht="15.75" customHeight="1" s="349"/>
    <row r="646" ht="15.75" customHeight="1" s="349"/>
    <row r="647" ht="15.75" customHeight="1" s="349"/>
    <row r="648" ht="15.75" customHeight="1" s="349"/>
    <row r="649" ht="15.75" customHeight="1" s="349"/>
    <row r="650" ht="15.75" customHeight="1" s="349"/>
    <row r="651" ht="15.75" customHeight="1" s="349"/>
    <row r="652" ht="15.75" customHeight="1" s="349"/>
    <row r="653" ht="15.75" customHeight="1" s="349"/>
    <row r="654" ht="15.75" customHeight="1" s="349"/>
    <row r="655" ht="15.75" customHeight="1" s="349"/>
    <row r="656" ht="15.75" customHeight="1" s="349"/>
    <row r="657" ht="15.75" customHeight="1" s="349"/>
    <row r="658" ht="15.75" customHeight="1" s="349"/>
    <row r="659" ht="15.75" customHeight="1" s="349"/>
    <row r="660" ht="15.75" customHeight="1" s="349"/>
    <row r="661" ht="15.75" customHeight="1" s="349"/>
    <row r="662" ht="15.75" customHeight="1" s="349"/>
    <row r="663" ht="15.75" customHeight="1" s="349"/>
    <row r="664" ht="15.75" customHeight="1" s="349"/>
    <row r="665" ht="15.75" customHeight="1" s="349"/>
    <row r="666" ht="15.75" customHeight="1" s="349"/>
    <row r="667" ht="15.75" customHeight="1" s="349"/>
    <row r="668" ht="15.75" customHeight="1" s="349"/>
    <row r="669" ht="15.75" customHeight="1" s="349"/>
    <row r="670" ht="15.75" customHeight="1" s="349"/>
    <row r="671" ht="15.75" customHeight="1" s="349"/>
    <row r="672" ht="15.75" customHeight="1" s="349"/>
    <row r="673" ht="15.75" customHeight="1" s="349"/>
    <row r="674" ht="15.75" customHeight="1" s="349"/>
    <row r="675" ht="15.75" customHeight="1" s="349"/>
    <row r="676" ht="15.75" customHeight="1" s="349"/>
    <row r="677" ht="15.75" customHeight="1" s="349"/>
    <row r="678" ht="15.75" customHeight="1" s="349"/>
    <row r="679" ht="15.75" customHeight="1" s="349"/>
    <row r="680" ht="15.75" customHeight="1" s="349"/>
    <row r="681" ht="15.75" customHeight="1" s="349"/>
    <row r="682" ht="15.75" customHeight="1" s="349"/>
    <row r="683" ht="15.75" customHeight="1" s="349"/>
    <row r="684" ht="15.75" customHeight="1" s="349"/>
    <row r="685" ht="15.75" customHeight="1" s="349"/>
    <row r="686" ht="15.75" customHeight="1" s="349"/>
    <row r="687" ht="15.75" customHeight="1" s="349"/>
    <row r="688" ht="15.75" customHeight="1" s="349"/>
    <row r="689" ht="15.75" customHeight="1" s="349"/>
    <row r="690" ht="15.75" customHeight="1" s="349"/>
    <row r="691" ht="15.75" customHeight="1" s="349"/>
    <row r="692" ht="15.75" customHeight="1" s="349"/>
    <row r="693" ht="15.75" customHeight="1" s="349"/>
    <row r="694" ht="15.75" customHeight="1" s="349"/>
    <row r="695" ht="15.75" customHeight="1" s="349"/>
    <row r="696" ht="15.75" customHeight="1" s="349"/>
    <row r="697" ht="15.75" customHeight="1" s="349"/>
    <row r="698" ht="15.75" customHeight="1" s="349"/>
    <row r="699" ht="15.75" customHeight="1" s="349"/>
    <row r="700" ht="15.75" customHeight="1" s="349"/>
    <row r="701" ht="15.75" customHeight="1" s="349"/>
    <row r="702" ht="15.75" customHeight="1" s="349"/>
    <row r="703" ht="15.75" customHeight="1" s="349"/>
    <row r="704" ht="15.75" customHeight="1" s="349"/>
    <row r="705" ht="15.75" customHeight="1" s="349"/>
    <row r="706" ht="15.75" customHeight="1" s="349"/>
    <row r="707" ht="15.75" customHeight="1" s="349"/>
    <row r="708" ht="15.75" customHeight="1" s="349"/>
    <row r="709" ht="15.75" customHeight="1" s="349"/>
    <row r="710" ht="15.75" customHeight="1" s="349"/>
    <row r="711" ht="15.75" customHeight="1" s="349"/>
    <row r="712" ht="15.75" customHeight="1" s="349"/>
    <row r="713" ht="15.75" customHeight="1" s="349"/>
    <row r="714" ht="15.75" customHeight="1" s="349"/>
    <row r="715" ht="15.75" customHeight="1" s="349"/>
    <row r="716" ht="15.75" customHeight="1" s="349"/>
    <row r="717" ht="15.75" customHeight="1" s="349"/>
    <row r="718" ht="15.75" customHeight="1" s="349"/>
    <row r="719" ht="15.75" customHeight="1" s="349"/>
    <row r="720" ht="15.75" customHeight="1" s="349"/>
    <row r="721" ht="15.75" customHeight="1" s="349"/>
    <row r="722" ht="15.75" customHeight="1" s="349"/>
    <row r="723" ht="15.75" customHeight="1" s="349"/>
    <row r="724" ht="15.75" customHeight="1" s="349"/>
    <row r="725" ht="15.75" customHeight="1" s="349"/>
    <row r="726" ht="15.75" customHeight="1" s="349"/>
    <row r="727" ht="15.75" customHeight="1" s="349"/>
    <row r="728" ht="15.75" customHeight="1" s="349"/>
    <row r="729" ht="15.75" customHeight="1" s="349"/>
    <row r="730" ht="15.75" customHeight="1" s="349"/>
    <row r="731" ht="15.75" customHeight="1" s="349"/>
    <row r="732" ht="15.75" customHeight="1" s="349"/>
    <row r="733" ht="15.75" customHeight="1" s="349"/>
    <row r="734" ht="15.75" customHeight="1" s="349"/>
    <row r="735" ht="15.75" customHeight="1" s="349"/>
    <row r="736" ht="15.75" customHeight="1" s="349"/>
    <row r="737" ht="15.75" customHeight="1" s="349"/>
    <row r="738" ht="15.75" customHeight="1" s="349"/>
    <row r="739" ht="15.75" customHeight="1" s="349"/>
    <row r="740" ht="15.75" customHeight="1" s="349"/>
    <row r="741" ht="15.75" customHeight="1" s="349"/>
    <row r="742" ht="15.75" customHeight="1" s="349"/>
    <row r="743" ht="15.75" customHeight="1" s="349"/>
    <row r="744" ht="15.75" customHeight="1" s="349"/>
    <row r="745" ht="15.75" customHeight="1" s="349"/>
    <row r="746" ht="15.75" customHeight="1" s="349"/>
    <row r="747" ht="15.75" customHeight="1" s="349"/>
    <row r="748" ht="15.75" customHeight="1" s="349"/>
    <row r="749" ht="15.75" customHeight="1" s="349"/>
    <row r="750" ht="15.75" customHeight="1" s="349"/>
    <row r="751" ht="15.75" customHeight="1" s="349"/>
    <row r="752" ht="15.75" customHeight="1" s="349"/>
    <row r="753" ht="15.75" customHeight="1" s="349"/>
    <row r="754" ht="15.75" customHeight="1" s="349"/>
    <row r="755" ht="15.75" customHeight="1" s="349"/>
    <row r="756" ht="15.75" customHeight="1" s="349"/>
    <row r="757" ht="15.75" customHeight="1" s="349"/>
    <row r="758" ht="15.75" customHeight="1" s="349"/>
    <row r="759" ht="15.75" customHeight="1" s="349"/>
    <row r="760" ht="15.75" customHeight="1" s="349"/>
    <row r="761" ht="15.75" customHeight="1" s="349"/>
    <row r="762" ht="15.75" customHeight="1" s="349"/>
    <row r="763" ht="15.75" customHeight="1" s="349"/>
    <row r="764" ht="15.75" customHeight="1" s="349"/>
    <row r="765" ht="15.75" customHeight="1" s="349"/>
    <row r="766" ht="15.75" customHeight="1" s="349"/>
    <row r="767" ht="15.75" customHeight="1" s="349"/>
    <row r="768" ht="15.75" customHeight="1" s="349"/>
    <row r="769" ht="15.75" customHeight="1" s="349"/>
    <row r="770" ht="15.75" customHeight="1" s="349"/>
    <row r="771" ht="15.75" customHeight="1" s="349"/>
    <row r="772" ht="15.75" customHeight="1" s="349"/>
    <row r="773" ht="15.75" customHeight="1" s="349"/>
    <row r="774" ht="15.75" customHeight="1" s="349"/>
    <row r="775" ht="15.75" customHeight="1" s="349"/>
    <row r="776" ht="15.75" customHeight="1" s="349"/>
    <row r="777" ht="15.75" customHeight="1" s="349"/>
    <row r="778" ht="15.75" customHeight="1" s="349"/>
    <row r="779" ht="15.75" customHeight="1" s="349"/>
    <row r="780" ht="15.75" customHeight="1" s="349"/>
    <row r="781" ht="15.75" customHeight="1" s="349"/>
    <row r="782" ht="15.75" customHeight="1" s="349"/>
    <row r="783" ht="15.75" customHeight="1" s="349"/>
    <row r="784" ht="15.75" customHeight="1" s="349"/>
    <row r="785" ht="15.75" customHeight="1" s="349"/>
    <row r="786" ht="15.75" customHeight="1" s="349"/>
    <row r="787" ht="15.75" customHeight="1" s="349"/>
    <row r="788" ht="15.75" customHeight="1" s="349"/>
    <row r="789" ht="15.75" customHeight="1" s="349"/>
    <row r="790" ht="15.75" customHeight="1" s="349"/>
    <row r="791" ht="15.75" customHeight="1" s="349"/>
    <row r="792" ht="15.75" customHeight="1" s="349"/>
    <row r="793" ht="15.75" customHeight="1" s="349"/>
    <row r="794" ht="15.75" customHeight="1" s="349"/>
    <row r="795" ht="15.75" customHeight="1" s="349"/>
    <row r="796" ht="15.75" customHeight="1" s="349"/>
    <row r="797" ht="15.75" customHeight="1" s="349"/>
    <row r="798" ht="15.75" customHeight="1" s="349"/>
    <row r="799" ht="15.75" customHeight="1" s="349"/>
    <row r="800" ht="15.75" customHeight="1" s="349"/>
    <row r="801" ht="15.75" customHeight="1" s="349"/>
    <row r="802" ht="15.75" customHeight="1" s="349"/>
    <row r="803" ht="15.75" customHeight="1" s="349"/>
    <row r="804" ht="15.75" customHeight="1" s="349"/>
    <row r="805" ht="15.75" customHeight="1" s="349"/>
    <row r="806" ht="15.75" customHeight="1" s="349"/>
    <row r="807" ht="15.75" customHeight="1" s="349"/>
    <row r="808" ht="15.75" customHeight="1" s="349"/>
    <row r="809" ht="15.75" customHeight="1" s="349"/>
    <row r="810" ht="15.75" customHeight="1" s="349"/>
    <row r="811" ht="15.75" customHeight="1" s="349"/>
    <row r="812" ht="15.75" customHeight="1" s="349"/>
    <row r="813" ht="15.75" customHeight="1" s="349"/>
    <row r="814" ht="15.75" customHeight="1" s="349"/>
    <row r="815" ht="15.75" customHeight="1" s="349"/>
    <row r="816" ht="15.75" customHeight="1" s="349"/>
    <row r="817" ht="15.75" customHeight="1" s="349"/>
    <row r="818" ht="15.75" customHeight="1" s="349"/>
    <row r="819" ht="15.75" customHeight="1" s="349"/>
    <row r="820" ht="15.75" customHeight="1" s="349"/>
    <row r="821" ht="15.75" customHeight="1" s="349"/>
    <row r="822" ht="15.75" customHeight="1" s="349"/>
    <row r="823" ht="15.75" customHeight="1" s="349"/>
    <row r="824" ht="15.75" customHeight="1" s="349"/>
    <row r="825" ht="15.75" customHeight="1" s="349"/>
    <row r="826" ht="15.75" customHeight="1" s="349"/>
    <row r="827" ht="15.75" customHeight="1" s="349"/>
    <row r="828" ht="15.75" customHeight="1" s="349"/>
    <row r="829" ht="15.75" customHeight="1" s="349"/>
    <row r="830" ht="15.75" customHeight="1" s="349"/>
    <row r="831" ht="15.75" customHeight="1" s="349"/>
    <row r="832" ht="15.75" customHeight="1" s="349"/>
    <row r="833" ht="15.75" customHeight="1" s="349"/>
    <row r="834" ht="15.75" customHeight="1" s="349"/>
    <row r="835" ht="15.75" customHeight="1" s="349"/>
    <row r="836" ht="15.75" customHeight="1" s="349"/>
    <row r="837" ht="15.75" customHeight="1" s="349"/>
    <row r="838" ht="15.75" customHeight="1" s="349"/>
    <row r="839" ht="15.75" customHeight="1" s="349"/>
    <row r="840" ht="15.75" customHeight="1" s="349"/>
    <row r="841" ht="15.75" customHeight="1" s="349"/>
    <row r="842" ht="15.75" customHeight="1" s="349"/>
    <row r="843" ht="15.75" customHeight="1" s="349"/>
    <row r="844" ht="15.75" customHeight="1" s="349"/>
    <row r="845" ht="15.75" customHeight="1" s="349"/>
    <row r="846" ht="15.75" customHeight="1" s="349"/>
    <row r="847" ht="15.75" customHeight="1" s="349"/>
    <row r="848" ht="15.75" customHeight="1" s="349"/>
    <row r="849" ht="15.75" customHeight="1" s="349"/>
    <row r="850" ht="15.75" customHeight="1" s="349"/>
    <row r="851" ht="15.75" customHeight="1" s="349"/>
    <row r="852" ht="15.75" customHeight="1" s="349"/>
    <row r="853" ht="15.75" customHeight="1" s="349"/>
    <row r="854" ht="15.75" customHeight="1" s="349"/>
    <row r="855" ht="15.75" customHeight="1" s="349"/>
    <row r="856" ht="15.75" customHeight="1" s="349"/>
    <row r="857" ht="15.75" customHeight="1" s="349"/>
    <row r="858" ht="15.75" customHeight="1" s="349"/>
    <row r="859" ht="15.75" customHeight="1" s="349"/>
    <row r="860" ht="15.75" customHeight="1" s="349"/>
    <row r="861" ht="15.75" customHeight="1" s="349"/>
    <row r="862" ht="15.75" customHeight="1" s="349"/>
    <row r="863" ht="15.75" customHeight="1" s="349"/>
    <row r="864" ht="15.75" customHeight="1" s="349"/>
    <row r="865" ht="15.75" customHeight="1" s="349"/>
    <row r="866" ht="15.75" customHeight="1" s="349"/>
    <row r="867" ht="15.75" customHeight="1" s="349"/>
    <row r="868" ht="15.75" customHeight="1" s="349"/>
    <row r="869" ht="15.75" customHeight="1" s="349"/>
    <row r="870" ht="15.75" customHeight="1" s="349"/>
    <row r="871" ht="15.75" customHeight="1" s="349"/>
    <row r="872" ht="15.75" customHeight="1" s="349"/>
    <row r="873" ht="15.75" customHeight="1" s="349"/>
    <row r="874" ht="15.75" customHeight="1" s="349"/>
    <row r="875" ht="15.75" customHeight="1" s="349"/>
    <row r="876" ht="15.75" customHeight="1" s="349"/>
    <row r="877" ht="15.75" customHeight="1" s="349"/>
    <row r="878" ht="15.75" customHeight="1" s="349"/>
    <row r="879" ht="15.75" customHeight="1" s="349"/>
    <row r="880" ht="15.75" customHeight="1" s="349"/>
    <row r="881" ht="15.75" customHeight="1" s="349"/>
    <row r="882" ht="15.75" customHeight="1" s="349"/>
    <row r="883" ht="15.75" customHeight="1" s="349"/>
    <row r="884" ht="15.75" customHeight="1" s="349"/>
    <row r="885" ht="15.75" customHeight="1" s="349"/>
    <row r="886" ht="15.75" customHeight="1" s="349"/>
    <row r="887" ht="15.75" customHeight="1" s="349"/>
    <row r="888" ht="15.75" customHeight="1" s="349"/>
    <row r="889" ht="15.75" customHeight="1" s="349"/>
    <row r="890" ht="15.75" customHeight="1" s="349"/>
    <row r="891" ht="15.75" customHeight="1" s="349"/>
    <row r="892" ht="15.75" customHeight="1" s="349"/>
    <row r="893" ht="15.75" customHeight="1" s="349"/>
    <row r="894" ht="15.75" customHeight="1" s="349"/>
    <row r="895" ht="15.75" customHeight="1" s="349"/>
    <row r="896" ht="15.75" customHeight="1" s="349"/>
    <row r="897" ht="15.75" customHeight="1" s="349"/>
    <row r="898" ht="15.75" customHeight="1" s="349"/>
    <row r="899" ht="15.75" customHeight="1" s="349"/>
    <row r="900" ht="15.75" customHeight="1" s="349"/>
    <row r="901" ht="15.75" customHeight="1" s="349"/>
    <row r="902" ht="15.75" customHeight="1" s="349"/>
    <row r="903" ht="15.75" customHeight="1" s="349"/>
    <row r="904" ht="15.75" customHeight="1" s="349"/>
    <row r="905" ht="15.75" customHeight="1" s="349"/>
    <row r="906" ht="15.75" customHeight="1" s="349"/>
    <row r="907" ht="15.75" customHeight="1" s="349"/>
    <row r="908" ht="15.75" customHeight="1" s="349"/>
    <row r="909" ht="15.75" customHeight="1" s="349"/>
    <row r="910" ht="15.75" customHeight="1" s="349"/>
    <row r="911" ht="15.75" customHeight="1" s="349"/>
    <row r="912" ht="15.75" customHeight="1" s="349"/>
    <row r="913" ht="15.75" customHeight="1" s="349"/>
    <row r="914" ht="15.75" customHeight="1" s="349"/>
    <row r="915" ht="15.75" customHeight="1" s="349"/>
    <row r="916" ht="15.75" customHeight="1" s="349"/>
    <row r="917" ht="15.75" customHeight="1" s="349"/>
    <row r="918" ht="15.75" customHeight="1" s="349"/>
    <row r="919" ht="15.75" customHeight="1" s="349"/>
    <row r="920" ht="15.75" customHeight="1" s="349"/>
    <row r="921" ht="15.75" customHeight="1" s="349"/>
    <row r="922" ht="15.75" customHeight="1" s="349"/>
    <row r="923" ht="15.75" customHeight="1" s="349"/>
    <row r="924" ht="15.75" customHeight="1" s="349"/>
    <row r="925" ht="15.75" customHeight="1" s="349"/>
    <row r="926" ht="15.75" customHeight="1" s="349"/>
    <row r="927" ht="15.75" customHeight="1" s="349"/>
    <row r="928" ht="15.75" customHeight="1" s="349"/>
    <row r="929" ht="15.75" customHeight="1" s="349"/>
    <row r="930" ht="15.75" customHeight="1" s="349"/>
    <row r="931" ht="15.75" customHeight="1" s="349"/>
    <row r="932" ht="15.75" customHeight="1" s="349"/>
    <row r="933" ht="15.75" customHeight="1" s="349"/>
    <row r="934" ht="15.75" customHeight="1" s="349"/>
    <row r="935" ht="15.75" customHeight="1" s="349"/>
    <row r="936" ht="15.75" customHeight="1" s="349"/>
    <row r="937" ht="15.75" customHeight="1" s="349"/>
    <row r="938" ht="15.75" customHeight="1" s="349"/>
    <row r="939" ht="15.75" customHeight="1" s="349"/>
    <row r="940" ht="15.75" customHeight="1" s="349"/>
    <row r="941" ht="15.75" customHeight="1" s="349"/>
    <row r="942" ht="15.75" customHeight="1" s="349"/>
    <row r="943" ht="15.75" customHeight="1" s="349"/>
    <row r="944" ht="15.75" customHeight="1" s="349"/>
    <row r="945" ht="15.75" customHeight="1" s="349"/>
    <row r="946" ht="15.75" customHeight="1" s="349"/>
    <row r="947" ht="15.75" customHeight="1" s="349"/>
    <row r="948" ht="15.75" customHeight="1" s="349"/>
    <row r="949" ht="15.75" customHeight="1" s="349"/>
    <row r="950" ht="15.75" customHeight="1" s="349"/>
    <row r="951" ht="15.75" customHeight="1" s="349"/>
    <row r="952" ht="15.75" customHeight="1" s="349"/>
    <row r="953" ht="15.75" customHeight="1" s="349"/>
    <row r="954" ht="15.75" customHeight="1" s="349"/>
    <row r="955" ht="15.75" customHeight="1" s="349"/>
    <row r="956" ht="15.75" customHeight="1" s="349"/>
    <row r="957" ht="15.75" customHeight="1" s="349"/>
    <row r="958" ht="15.75" customHeight="1" s="349"/>
    <row r="959" ht="15.75" customHeight="1" s="349"/>
    <row r="960" ht="15.75" customHeight="1" s="349"/>
    <row r="961" ht="15.75" customHeight="1" s="349"/>
    <row r="962" ht="15.75" customHeight="1" s="349"/>
    <row r="963" ht="15.75" customHeight="1" s="349"/>
    <row r="964" ht="15.75" customHeight="1" s="349"/>
    <row r="965" ht="15.75" customHeight="1" s="349"/>
    <row r="966" ht="15.75" customHeight="1" s="349"/>
    <row r="967" ht="15.75" customHeight="1" s="349"/>
    <row r="968" ht="15.75" customHeight="1" s="349"/>
    <row r="969" ht="15.75" customHeight="1" s="349"/>
    <row r="970" ht="15.75" customHeight="1" s="349"/>
    <row r="971" ht="15.75" customHeight="1" s="349"/>
    <row r="972" ht="15.75" customHeight="1" s="349"/>
    <row r="973" ht="15.75" customHeight="1" s="349"/>
    <row r="974" ht="15.75" customHeight="1" s="349"/>
    <row r="975" ht="15.75" customHeight="1" s="349"/>
    <row r="976" ht="15.75" customHeight="1" s="349"/>
    <row r="977" ht="15.75" customHeight="1" s="349"/>
    <row r="978" ht="15.75" customHeight="1" s="349"/>
    <row r="979" ht="15.75" customHeight="1" s="349"/>
    <row r="980" ht="15.75" customHeight="1" s="349"/>
    <row r="981" ht="15.75" customHeight="1" s="349"/>
    <row r="982" ht="15.75" customHeight="1" s="349"/>
    <row r="983" ht="15.75" customHeight="1" s="349"/>
    <row r="984" ht="15.75" customHeight="1" s="349"/>
    <row r="985" ht="15.75" customHeight="1" s="349"/>
    <row r="986" ht="15.75" customHeight="1" s="349"/>
    <row r="987" ht="15.75" customHeight="1" s="349"/>
    <row r="988" ht="15.75" customHeight="1" s="349"/>
    <row r="989" ht="15.75" customHeight="1" s="349"/>
    <row r="990" ht="15.75" customHeight="1" s="349"/>
    <row r="991" ht="15.75" customHeight="1" s="349"/>
    <row r="992" ht="15.75" customHeight="1" s="349"/>
    <row r="993" ht="15.75" customHeight="1" s="349"/>
    <row r="994" ht="15.75" customHeight="1" s="349"/>
    <row r="995" ht="15.75" customHeight="1" s="349"/>
    <row r="996" ht="15.75" customHeight="1" s="349"/>
    <row r="997" ht="15.75" customHeight="1" s="349"/>
    <row r="998" ht="15.75" customHeight="1" s="349"/>
    <row r="999" ht="15.75" customHeight="1" s="349"/>
    <row r="1000" ht="15.75" customHeight="1" s="349"/>
    <row r="1001" ht="15.75" customHeight="1" s="349"/>
    <row r="1002" ht="15.75" customHeight="1" s="349"/>
    <row r="1003" ht="15.75" customHeight="1" s="349"/>
    <row r="1004" ht="15.75" customHeight="1" s="349"/>
    <row r="1005" ht="15.75" customHeight="1" s="349"/>
    <row r="1006" ht="15.75" customHeight="1" s="349"/>
    <row r="1007" ht="15.75" customHeight="1" s="349"/>
    <row r="1008" ht="15.75" customHeight="1" s="349"/>
    <row r="1009" ht="15.75" customHeight="1" s="349"/>
    <row r="1010" ht="15.75" customHeight="1" s="349"/>
    <row r="1011" ht="15.75" customHeight="1" s="349"/>
    <row r="1012" ht="15.75" customHeight="1" s="349"/>
    <row r="1013" ht="15.75" customHeight="1" s="349"/>
  </sheetData>
  <mergeCells count="4">
    <mergeCell ref="B67:BD67"/>
    <mergeCell ref="B59:H59"/>
    <mergeCell ref="B61:BD61"/>
    <mergeCell ref="B1:B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R220"/>
  <sheetViews>
    <sheetView showGridLines="0" workbookViewId="0">
      <selection activeCell="A1" sqref="A1"/>
    </sheetView>
  </sheetViews>
  <sheetFormatPr baseColWidth="8" defaultColWidth="14.43" defaultRowHeight="15" customHeight="1"/>
  <cols>
    <col width="2" customWidth="1" style="349" min="1" max="1"/>
    <col width="30" customWidth="1" style="349" min="2" max="2"/>
    <col width="8" customWidth="1" style="349" min="3" max="4"/>
    <col width="9.57" customWidth="1" style="349" min="5" max="5"/>
    <col width="10.71" customWidth="1" style="349" min="6" max="8"/>
    <col width="9" customWidth="1" style="349" min="9" max="12"/>
    <col width="15.71" customWidth="1" style="349" min="13" max="13"/>
    <col width="12.86" customWidth="1" style="349" min="14" max="16"/>
    <col width="9" customWidth="1" style="349" min="17" max="18"/>
    <col width="13.29" customWidth="1" style="349" min="19" max="19"/>
    <col width="14.14" customWidth="1" style="349" min="20" max="20"/>
    <col width="10.71" customWidth="1" style="349" min="21" max="22"/>
    <col width="12.14" customWidth="1" style="349" min="23" max="23"/>
    <col width="16.57" customWidth="1" style="349" min="24" max="24"/>
    <col width="9" customWidth="1" style="349" min="25" max="31"/>
    <col width="8" customWidth="1" style="349" min="32" max="40"/>
  </cols>
  <sheetData>
    <row r="1">
      <c r="A1" s="307" t="n"/>
      <c r="B1" s="307" t="n"/>
      <c r="C1" s="307" t="n"/>
      <c r="D1" s="307" t="n"/>
      <c r="E1" s="307" t="n"/>
      <c r="F1" s="307" t="n"/>
      <c r="G1" s="307" t="n"/>
      <c r="H1" s="307" t="n"/>
      <c r="I1" s="307" t="n"/>
      <c r="J1" s="307" t="n"/>
      <c r="K1" s="307" t="n"/>
      <c r="L1" s="307" t="n"/>
      <c r="M1" s="307" t="n"/>
      <c r="N1" s="307" t="n"/>
      <c r="O1" s="307" t="n"/>
      <c r="P1" s="307" t="n"/>
      <c r="Q1" s="307" t="n"/>
      <c r="R1" s="307" t="n"/>
      <c r="S1" s="307" t="n"/>
      <c r="T1" s="307" t="n"/>
      <c r="U1" s="307" t="n"/>
      <c r="V1" s="307" t="n"/>
      <c r="W1" s="307" t="n"/>
      <c r="X1" s="307" t="n"/>
      <c r="Y1" s="307" t="n"/>
      <c r="Z1" s="307" t="n"/>
      <c r="AA1" s="307" t="n"/>
      <c r="AB1" s="307" t="n"/>
      <c r="AC1" s="307" t="n"/>
      <c r="AD1" s="307" t="n"/>
      <c r="AE1" s="307" t="n"/>
      <c r="AF1" s="307" t="n"/>
      <c r="AG1" s="307" t="n"/>
      <c r="AH1" s="307" t="n"/>
      <c r="AI1" s="307" t="n"/>
      <c r="AJ1" s="307" t="n"/>
      <c r="AK1" s="307" t="n"/>
      <c r="AL1" s="307" t="n"/>
      <c r="AM1" s="307" t="n"/>
      <c r="AN1" s="307" t="n"/>
      <c r="AO1" s="307" t="n"/>
      <c r="AP1" s="307" t="n"/>
      <c r="AQ1" s="307" t="n"/>
      <c r="AR1" s="307" t="n"/>
    </row>
    <row r="2" ht="13.5" customHeight="1" s="349">
      <c r="A2" s="300" t="n"/>
      <c r="B2" s="301" t="inlineStr">
        <is>
          <t>Financials</t>
        </is>
      </c>
      <c r="C2" s="302" t="n">
        <v>2025</v>
      </c>
      <c r="D2" s="302" t="n">
        <v>2026</v>
      </c>
      <c r="E2" s="302" t="n">
        <v>2027</v>
      </c>
      <c r="F2" s="302" t="n">
        <v>2028</v>
      </c>
      <c r="G2" s="302" t="n">
        <v>2029</v>
      </c>
      <c r="H2" s="302" t="n"/>
      <c r="I2" s="302" t="n"/>
      <c r="J2" s="302" t="n"/>
      <c r="K2" s="302" t="n"/>
      <c r="L2" s="302" t="n"/>
      <c r="M2" s="301" t="inlineStr">
        <is>
          <t>Units &amp; Revenues</t>
        </is>
      </c>
      <c r="N2" s="302" t="n">
        <v>2027</v>
      </c>
      <c r="O2" s="302" t="n">
        <v>2028</v>
      </c>
      <c r="P2" s="302" t="n">
        <v>2029</v>
      </c>
      <c r="Q2" s="302" t="n"/>
      <c r="R2" s="302" t="n"/>
      <c r="S2" s="302" t="n"/>
      <c r="T2" s="302" t="n">
        <v>2027</v>
      </c>
      <c r="U2" s="302" t="n">
        <v>2028</v>
      </c>
      <c r="V2" s="302" t="n">
        <v>2029</v>
      </c>
      <c r="W2" s="302" t="n"/>
      <c r="X2" s="302" t="n"/>
      <c r="Y2" s="302" t="n"/>
      <c r="Z2" s="302" t="n"/>
      <c r="AA2" s="302" t="n"/>
      <c r="AB2" s="302" t="n"/>
      <c r="AC2" s="305" t="n"/>
      <c r="AD2" s="305" t="n"/>
      <c r="AE2" s="305" t="n"/>
      <c r="AF2" s="305" t="n"/>
      <c r="AG2" s="305" t="n"/>
      <c r="AH2" s="305" t="n"/>
      <c r="AI2" s="305" t="n"/>
      <c r="AJ2" s="305" t="n"/>
      <c r="AK2" s="305" t="n"/>
      <c r="AL2" s="305" t="n"/>
      <c r="AM2" s="305" t="n"/>
      <c r="AN2" s="305" t="n"/>
      <c r="AO2" s="305" t="n"/>
      <c r="AP2" s="305" t="n"/>
      <c r="AQ2" s="306" t="n"/>
      <c r="AR2" s="300" t="n"/>
    </row>
    <row r="3" ht="15.75" customHeight="1" s="349">
      <c r="A3" s="307" t="n"/>
      <c r="B3" s="307" t="inlineStr">
        <is>
          <t>Revenues (€)</t>
        </is>
      </c>
      <c r="C3" s="233">
        <f>'Financial Statements'!BB11</f>
        <v/>
      </c>
      <c r="D3" s="233">
        <f>'Financial Statements'!BC11</f>
        <v/>
      </c>
      <c r="E3" s="233">
        <f>'Financial Statements'!BD11</f>
        <v/>
      </c>
      <c r="F3" s="233">
        <f>'Financial Statements'!BE11</f>
        <v/>
      </c>
      <c r="G3" s="233">
        <f>'Financial Statements'!BF11</f>
        <v/>
      </c>
      <c r="H3" s="307" t="n"/>
      <c r="I3" s="307" t="n"/>
      <c r="J3" s="307" t="n"/>
      <c r="K3" s="307" t="n"/>
      <c r="L3" s="307" t="n"/>
      <c r="M3" s="307" t="inlineStr">
        <is>
          <t>TTK units sold</t>
        </is>
      </c>
      <c r="N3" s="233">
        <f>'Revenue Forecast'!BD6</f>
        <v/>
      </c>
      <c r="O3" s="233">
        <f>'Revenue Forecast'!BE6</f>
        <v/>
      </c>
      <c r="P3" s="233">
        <f>'Revenue Forecast'!BF6</f>
        <v/>
      </c>
      <c r="Q3" s="307" t="n"/>
      <c r="R3" s="307" t="n"/>
      <c r="S3" s="307" t="inlineStr">
        <is>
          <t>TTK revenues</t>
        </is>
      </c>
      <c r="T3" s="233">
        <f>'Revenue Forecast'!BD9</f>
        <v/>
      </c>
      <c r="U3" s="233">
        <f>'Revenue Forecast'!BE9</f>
        <v/>
      </c>
      <c r="V3" s="233">
        <f>'Revenue Forecast'!BF9</f>
        <v/>
      </c>
      <c r="W3" s="233" t="n"/>
      <c r="X3" s="307" t="n"/>
      <c r="Y3" s="307" t="n"/>
      <c r="Z3" s="307" t="n"/>
      <c r="AA3" s="307" t="n"/>
      <c r="AB3" s="307" t="n"/>
      <c r="AC3" s="307" t="n"/>
      <c r="AD3" s="307" t="n"/>
      <c r="AE3" s="307" t="n"/>
      <c r="AF3" s="307" t="n"/>
      <c r="AG3" s="307" t="n"/>
      <c r="AH3" s="307" t="n"/>
      <c r="AI3" s="307" t="n"/>
      <c r="AJ3" s="307" t="n"/>
      <c r="AK3" s="307" t="n"/>
      <c r="AL3" s="307" t="n"/>
      <c r="AM3" s="307" t="n"/>
      <c r="AN3" s="307" t="n"/>
      <c r="AO3" s="307" t="n"/>
      <c r="AP3" s="307" t="n"/>
      <c r="AQ3" s="307" t="n"/>
      <c r="AR3" s="307" t="n"/>
    </row>
    <row r="4" ht="15.75" customHeight="1" s="349">
      <c r="A4" s="307" t="n"/>
      <c r="B4" s="307" t="inlineStr">
        <is>
          <t>COGS (€)</t>
        </is>
      </c>
      <c r="C4" s="307" t="n"/>
      <c r="D4" s="307" t="n"/>
      <c r="E4" s="233">
        <f>COGS!BD7</f>
        <v/>
      </c>
      <c r="F4" s="233">
        <f>COGS!BE7</f>
        <v/>
      </c>
      <c r="G4" s="307" t="n"/>
      <c r="H4" s="307" t="n"/>
      <c r="I4" s="307" t="n"/>
      <c r="J4" s="307" t="n"/>
      <c r="K4" s="307" t="n"/>
      <c r="L4" s="307" t="n"/>
      <c r="M4" s="307" t="inlineStr">
        <is>
          <t>Combi+ units sold</t>
        </is>
      </c>
      <c r="N4" s="233">
        <f>'Revenue Forecast'!BD12</f>
        <v/>
      </c>
      <c r="O4" s="233">
        <f>'Revenue Forecast'!BE12</f>
        <v/>
      </c>
      <c r="P4" s="233">
        <f>'Revenue Forecast'!BF12</f>
        <v/>
      </c>
      <c r="Q4" s="307" t="n"/>
      <c r="R4" s="307" t="n"/>
      <c r="S4" s="307" t="inlineStr">
        <is>
          <t>Combi+ revenues</t>
        </is>
      </c>
      <c r="T4" s="233">
        <f>'Revenue Forecast'!BD15</f>
        <v/>
      </c>
      <c r="U4" s="233">
        <f>'Revenue Forecast'!BE15</f>
        <v/>
      </c>
      <c r="V4" s="233">
        <f>'Revenue Forecast'!BF15</f>
        <v/>
      </c>
      <c r="W4" s="233" t="n"/>
      <c r="X4" s="307" t="n"/>
      <c r="Y4" s="307" t="n"/>
      <c r="Z4" s="307" t="n"/>
      <c r="AA4" s="307" t="n"/>
      <c r="AB4" s="307" t="n"/>
      <c r="AC4" s="307" t="n"/>
      <c r="AD4" s="307" t="n"/>
      <c r="AE4" s="307" t="n"/>
      <c r="AF4" s="307" t="n"/>
      <c r="AG4" s="307" t="n"/>
      <c r="AH4" s="307" t="n"/>
      <c r="AI4" s="307" t="n"/>
      <c r="AJ4" s="307" t="n"/>
      <c r="AK4" s="307" t="n"/>
      <c r="AL4" s="307" t="n"/>
      <c r="AM4" s="307" t="n"/>
      <c r="AN4" s="307" t="n"/>
      <c r="AO4" s="307" t="n"/>
      <c r="AP4" s="307" t="n"/>
      <c r="AQ4" s="307" t="n"/>
      <c r="AR4" s="307" t="n"/>
    </row>
    <row r="5" ht="15.75" customHeight="1" s="349">
      <c r="A5" s="307" t="n"/>
      <c r="B5" s="307" t="inlineStr">
        <is>
          <t>OPEX (€)</t>
        </is>
      </c>
      <c r="C5" s="307" t="n"/>
      <c r="D5" s="233">
        <f>OPEX!BE36</f>
        <v/>
      </c>
      <c r="E5" s="233">
        <f>OPEX!BF36</f>
        <v/>
      </c>
      <c r="F5" s="233">
        <f>OPEX!BG36</f>
        <v/>
      </c>
      <c r="G5" s="307" t="n"/>
      <c r="H5" s="307" t="n"/>
      <c r="I5" s="307" t="n"/>
      <c r="J5" s="307" t="n"/>
      <c r="K5" s="307" t="n"/>
      <c r="L5" s="307" t="n"/>
      <c r="M5" s="307" t="inlineStr">
        <is>
          <t>TTK revenues (€)</t>
        </is>
      </c>
      <c r="N5" s="233">
        <f>'Revenue Forecast'!BD9</f>
        <v/>
      </c>
      <c r="O5" s="233">
        <f>'Revenue Forecast'!BE9</f>
        <v/>
      </c>
      <c r="P5" s="233">
        <f>'Revenue Forecast'!BF9</f>
        <v/>
      </c>
      <c r="Q5" s="307" t="n"/>
      <c r="R5" s="307" t="n"/>
      <c r="S5" s="307" t="n"/>
      <c r="T5" s="307" t="n"/>
      <c r="U5" s="307" t="n"/>
      <c r="V5" s="307" t="n"/>
      <c r="W5" s="307" t="n"/>
      <c r="X5" s="307" t="n"/>
      <c r="Y5" s="307" t="n"/>
      <c r="Z5" s="307" t="n"/>
      <c r="AA5" s="307" t="n"/>
      <c r="AB5" s="307" t="n"/>
      <c r="AC5" s="307" t="n"/>
      <c r="AD5" s="307" t="n"/>
      <c r="AE5" s="307" t="n"/>
      <c r="AF5" s="307" t="n"/>
      <c r="AG5" s="307" t="n"/>
      <c r="AH5" s="307" t="n"/>
      <c r="AI5" s="307" t="n"/>
      <c r="AJ5" s="307" t="n"/>
      <c r="AK5" s="307" t="n"/>
      <c r="AL5" s="307" t="n"/>
      <c r="AM5" s="307" t="n"/>
      <c r="AN5" s="307" t="n"/>
      <c r="AO5" s="307" t="n"/>
      <c r="AP5" s="307" t="n"/>
      <c r="AQ5" s="307" t="n"/>
      <c r="AR5" s="307" t="n"/>
    </row>
    <row r="6" ht="15.75" customHeight="1" s="349">
      <c r="A6" s="307" t="n"/>
      <c r="B6" s="307" t="n"/>
      <c r="C6" s="307" t="n"/>
      <c r="D6" s="307" t="n"/>
      <c r="E6" s="307" t="n"/>
      <c r="F6" s="307" t="n"/>
      <c r="G6" s="307" t="n"/>
      <c r="H6" s="307" t="n"/>
      <c r="I6" s="307" t="n"/>
      <c r="J6" s="307" t="n"/>
      <c r="K6" s="307" t="n"/>
      <c r="L6" s="307" t="n"/>
      <c r="M6" s="307" t="inlineStr">
        <is>
          <t>Combi+ revenues (€)</t>
        </is>
      </c>
      <c r="N6" s="233">
        <f>'Revenue Forecast'!BD15</f>
        <v/>
      </c>
      <c r="O6" s="233">
        <f>'Revenue Forecast'!BE15</f>
        <v/>
      </c>
      <c r="P6" s="233">
        <f>'Revenue Forecast'!BF15</f>
        <v/>
      </c>
      <c r="Q6" s="307" t="n"/>
      <c r="R6" s="307" t="n"/>
      <c r="S6" s="307" t="inlineStr">
        <is>
          <t>Distribution of funds</t>
        </is>
      </c>
      <c r="T6" s="307" t="n"/>
      <c r="U6" s="307" t="n"/>
      <c r="V6" s="307" t="inlineStr">
        <is>
          <t>Production/Aasembly</t>
        </is>
      </c>
      <c r="W6" s="307" t="inlineStr">
        <is>
          <t>Product development</t>
        </is>
      </c>
      <c r="X6" s="307" t="inlineStr">
        <is>
          <t>Sales &amp; Marketing</t>
        </is>
      </c>
      <c r="Y6" s="307" t="n"/>
      <c r="Z6" s="307" t="n"/>
      <c r="AA6" s="307" t="n"/>
      <c r="AB6" s="307" t="n"/>
      <c r="AC6" s="307" t="n"/>
      <c r="AD6" s="307" t="n"/>
      <c r="AE6" s="307" t="n"/>
      <c r="AF6" s="307" t="n"/>
      <c r="AG6" s="307" t="n"/>
      <c r="AH6" s="307" t="n"/>
      <c r="AI6" s="307" t="n"/>
      <c r="AJ6" s="307" t="n"/>
      <c r="AK6" s="307" t="n"/>
      <c r="AL6" s="307" t="n"/>
      <c r="AM6" s="307" t="n"/>
      <c r="AN6" s="307" t="n"/>
      <c r="AO6" s="307" t="n"/>
      <c r="AP6" s="307" t="n"/>
      <c r="AQ6" s="307" t="n"/>
      <c r="AR6" s="307" t="n"/>
    </row>
    <row r="7" ht="15.75" customHeight="1" s="349">
      <c r="A7" s="307" t="n"/>
      <c r="B7" s="307" t="n"/>
      <c r="C7" s="307" t="n"/>
      <c r="D7" s="307" t="n"/>
      <c r="E7" s="307" t="n"/>
      <c r="F7" s="307" t="n"/>
      <c r="G7" s="307" t="n"/>
      <c r="H7" s="307" t="n"/>
      <c r="I7" s="307" t="n"/>
      <c r="J7" s="307" t="n"/>
      <c r="K7" s="307" t="n"/>
      <c r="L7" s="307" t="n"/>
      <c r="M7" s="307" t="n"/>
      <c r="N7" s="233" t="n"/>
      <c r="O7" s="233" t="n"/>
      <c r="P7" s="233" t="n"/>
      <c r="Q7" s="307" t="n"/>
      <c r="R7" s="307" t="n"/>
      <c r="S7" s="307" t="n"/>
      <c r="T7" s="307" t="n"/>
      <c r="U7" s="307" t="n"/>
      <c r="V7" s="217" t="n">
        <v>0.6</v>
      </c>
      <c r="W7" s="217" t="n">
        <v>0.15</v>
      </c>
      <c r="X7" s="217" t="n">
        <v>0.25</v>
      </c>
      <c r="Y7" s="307" t="n"/>
      <c r="Z7" s="307" t="n"/>
      <c r="AA7" s="307" t="n"/>
      <c r="AB7" s="307" t="n"/>
      <c r="AC7" s="307" t="n"/>
      <c r="AD7" s="307" t="n"/>
      <c r="AE7" s="307" t="n"/>
      <c r="AF7" s="307" t="n"/>
      <c r="AG7" s="307" t="n"/>
      <c r="AH7" s="307" t="n"/>
      <c r="AI7" s="307" t="n"/>
      <c r="AJ7" s="307" t="n"/>
      <c r="AK7" s="307" t="n"/>
      <c r="AL7" s="307" t="n"/>
      <c r="AM7" s="307" t="n"/>
      <c r="AN7" s="307" t="n"/>
      <c r="AO7" s="307" t="n"/>
      <c r="AP7" s="307" t="n"/>
      <c r="AQ7" s="307" t="n"/>
      <c r="AR7" s="307" t="n"/>
    </row>
    <row r="8" ht="15.75" customHeight="1" s="349">
      <c r="A8" s="307" t="n"/>
      <c r="B8" s="307" t="n"/>
      <c r="C8" s="307" t="n"/>
      <c r="D8" s="307" t="n"/>
      <c r="E8" s="307" t="n"/>
      <c r="F8" s="307" t="n"/>
      <c r="G8" s="307" t="n"/>
      <c r="H8" s="307" t="n"/>
      <c r="I8" s="307" t="n"/>
      <c r="J8" s="307" t="n"/>
      <c r="K8" s="307" t="n"/>
      <c r="L8" s="307" t="n"/>
      <c r="M8" s="307" t="n"/>
      <c r="N8" s="233" t="n"/>
      <c r="O8" s="233" t="n"/>
      <c r="P8" s="233" t="n"/>
      <c r="Q8" s="307" t="n"/>
      <c r="R8" s="307" t="n"/>
      <c r="S8" s="307" t="n"/>
      <c r="T8" s="307" t="n"/>
      <c r="U8" s="307" t="n"/>
      <c r="V8" s="307" t="n"/>
      <c r="W8" s="307" t="n"/>
      <c r="X8" s="307" t="n"/>
      <c r="Y8" s="307" t="n"/>
      <c r="Z8" s="307" t="n"/>
      <c r="AA8" s="307" t="n"/>
      <c r="AB8" s="307" t="n"/>
      <c r="AC8" s="307" t="n"/>
      <c r="AD8" s="307" t="n"/>
      <c r="AE8" s="307" t="n"/>
      <c r="AF8" s="307" t="n"/>
      <c r="AG8" s="307" t="n"/>
      <c r="AH8" s="307" t="n"/>
      <c r="AI8" s="307" t="n"/>
      <c r="AJ8" s="307" t="n"/>
      <c r="AK8" s="307" t="n"/>
      <c r="AL8" s="307" t="n"/>
      <c r="AM8" s="307" t="n"/>
      <c r="AN8" s="307" t="n"/>
      <c r="AO8" s="307" t="n"/>
      <c r="AP8" s="307" t="n"/>
      <c r="AQ8" s="307" t="n"/>
      <c r="AR8" s="307" t="n"/>
    </row>
    <row r="9" ht="15.75" customHeight="1" s="349">
      <c r="A9" s="307" t="n"/>
      <c r="B9" s="307" t="n"/>
      <c r="C9" s="307" t="n"/>
      <c r="D9" s="307" t="n"/>
      <c r="E9" s="307" t="n"/>
      <c r="F9" s="307" t="n"/>
      <c r="G9" s="307" t="n"/>
      <c r="H9" s="307" t="n"/>
      <c r="I9" s="307" t="n"/>
      <c r="J9" s="307" t="n"/>
      <c r="K9" s="307" t="n"/>
      <c r="L9" s="307" t="n"/>
      <c r="M9" s="307" t="n"/>
      <c r="N9" s="307" t="n"/>
      <c r="O9" s="307" t="n"/>
      <c r="P9" s="307" t="n"/>
      <c r="Q9" s="307" t="n"/>
      <c r="R9" s="307" t="n"/>
      <c r="S9" s="307" t="n"/>
      <c r="T9" s="307" t="n"/>
      <c r="U9" s="307" t="n"/>
      <c r="V9" s="307" t="n"/>
      <c r="W9" s="307" t="n"/>
      <c r="X9" s="307" t="n"/>
      <c r="Y9" s="307" t="n"/>
      <c r="Z9" s="307" t="n"/>
      <c r="AA9" s="307" t="n"/>
      <c r="AB9" s="307" t="n"/>
      <c r="AC9" s="307" t="n"/>
      <c r="AD9" s="307" t="n"/>
      <c r="AE9" s="307" t="n"/>
      <c r="AF9" s="307" t="n"/>
      <c r="AG9" s="307" t="n"/>
      <c r="AH9" s="307" t="n"/>
      <c r="AI9" s="307" t="n"/>
      <c r="AJ9" s="307" t="n"/>
      <c r="AK9" s="307" t="n"/>
      <c r="AL9" s="307" t="n"/>
      <c r="AM9" s="307" t="n"/>
      <c r="AN9" s="307" t="n"/>
      <c r="AO9" s="307" t="n"/>
      <c r="AP9" s="307" t="n"/>
      <c r="AQ9" s="307" t="n"/>
      <c r="AR9" s="307" t="n"/>
    </row>
    <row r="10" ht="15.75" customHeight="1" s="349">
      <c r="A10" s="307" t="n"/>
      <c r="B10" s="307" t="n"/>
      <c r="C10" s="307" t="n"/>
      <c r="D10" s="307" t="n"/>
      <c r="E10" s="307" t="n"/>
      <c r="F10" s="307" t="n"/>
      <c r="G10" s="307" t="n"/>
      <c r="H10" s="307" t="n"/>
      <c r="I10" s="307" t="n"/>
      <c r="J10" s="307" t="n"/>
      <c r="K10" s="307" t="n"/>
      <c r="L10" s="307" t="n"/>
      <c r="M10" s="307" t="n"/>
      <c r="N10" s="307" t="n"/>
      <c r="O10" s="307" t="n"/>
      <c r="P10" s="307" t="n"/>
      <c r="Q10" s="307" t="n"/>
      <c r="R10" s="307" t="n"/>
      <c r="S10" s="307" t="n"/>
      <c r="T10" s="307" t="n"/>
      <c r="U10" s="307" t="n"/>
      <c r="V10" s="307" t="n"/>
      <c r="W10" s="307" t="n"/>
      <c r="X10" s="307" t="n"/>
      <c r="Y10" s="307" t="n"/>
      <c r="Z10" s="307" t="n"/>
      <c r="AA10" s="307" t="n"/>
      <c r="AB10" s="307" t="n"/>
      <c r="AC10" s="307" t="n"/>
      <c r="AD10" s="307" t="n"/>
      <c r="AE10" s="307" t="n"/>
      <c r="AF10" s="307" t="n"/>
      <c r="AG10" s="307" t="n"/>
      <c r="AH10" s="307" t="n"/>
      <c r="AI10" s="307" t="n"/>
      <c r="AJ10" s="307" t="n"/>
      <c r="AK10" s="307" t="n"/>
      <c r="AL10" s="307" t="n"/>
      <c r="AM10" s="307" t="n"/>
      <c r="AN10" s="307" t="n"/>
      <c r="AO10" s="307" t="n"/>
      <c r="AP10" s="307" t="n"/>
      <c r="AQ10" s="307" t="n"/>
      <c r="AR10" s="307" t="n"/>
    </row>
    <row r="11" ht="15.75" customHeight="1" s="349">
      <c r="A11" s="307" t="n"/>
      <c r="B11" s="307" t="n"/>
      <c r="C11" s="307" t="n"/>
      <c r="D11" s="307" t="n"/>
      <c r="E11" s="307" t="n"/>
      <c r="F11" s="307" t="n"/>
      <c r="G11" s="307" t="n"/>
      <c r="H11" s="307" t="n"/>
      <c r="I11" s="307" t="n"/>
      <c r="J11" s="307" t="n"/>
      <c r="K11" s="307" t="n"/>
      <c r="L11" s="307" t="n"/>
      <c r="M11" s="307" t="n"/>
      <c r="N11" s="307" t="n"/>
      <c r="O11" s="307" t="n"/>
      <c r="P11" s="307" t="n"/>
      <c r="Q11" s="307" t="n"/>
      <c r="R11" s="307" t="n"/>
      <c r="S11" s="307" t="n"/>
      <c r="T11" s="307" t="n"/>
      <c r="U11" s="307" t="n"/>
      <c r="V11" s="307" t="n"/>
      <c r="W11" s="307" t="n"/>
      <c r="X11" s="307" t="n"/>
      <c r="Y11" s="307" t="n"/>
      <c r="Z11" s="307" t="n"/>
      <c r="AA11" s="307" t="n"/>
      <c r="AB11" s="307" t="n"/>
      <c r="AC11" s="307" t="n"/>
      <c r="AD11" s="307" t="n"/>
      <c r="AE11" s="307" t="n"/>
      <c r="AF11" s="307" t="n"/>
      <c r="AG11" s="307" t="n"/>
      <c r="AH11" s="307" t="n"/>
      <c r="AI11" s="307" t="n"/>
      <c r="AJ11" s="307" t="n"/>
      <c r="AK11" s="307" t="n"/>
      <c r="AL11" s="307" t="n"/>
      <c r="AM11" s="307" t="n"/>
      <c r="AN11" s="307" t="n"/>
      <c r="AO11" s="307" t="n"/>
      <c r="AP11" s="307" t="n"/>
      <c r="AQ11" s="307" t="n"/>
      <c r="AR11" s="307" t="n"/>
    </row>
    <row r="12" ht="15.75" customHeight="1" s="349">
      <c r="A12" s="307" t="n"/>
      <c r="B12" s="307" t="n"/>
      <c r="C12" s="307" t="n"/>
      <c r="D12" s="307" t="n"/>
      <c r="E12" s="307" t="n"/>
      <c r="F12" s="307" t="n"/>
      <c r="G12" s="307" t="n"/>
      <c r="H12" s="307" t="n"/>
      <c r="I12" s="307" t="n"/>
      <c r="J12" s="307" t="n"/>
      <c r="K12" s="307" t="n"/>
      <c r="L12" s="307" t="n"/>
      <c r="M12" s="307" t="n"/>
      <c r="N12" s="307" t="n"/>
      <c r="O12" s="307" t="n"/>
      <c r="P12" s="307" t="n"/>
      <c r="Q12" s="307" t="n"/>
      <c r="R12" s="307" t="n"/>
      <c r="S12" s="307" t="n"/>
      <c r="T12" s="307" t="n"/>
      <c r="U12" s="307" t="n"/>
      <c r="V12" s="307" t="n"/>
      <c r="W12" s="307" t="n"/>
      <c r="X12" s="307" t="n"/>
      <c r="Y12" s="307" t="n"/>
      <c r="Z12" s="307" t="n"/>
      <c r="AA12" s="307" t="n"/>
      <c r="AB12" s="307" t="n"/>
      <c r="AC12" s="307" t="n"/>
      <c r="AD12" s="307" t="n"/>
      <c r="AE12" s="307" t="n"/>
      <c r="AF12" s="307" t="n"/>
      <c r="AG12" s="307" t="n"/>
      <c r="AH12" s="307" t="n"/>
      <c r="AI12" s="307" t="n"/>
      <c r="AJ12" s="307" t="n"/>
      <c r="AK12" s="307" t="n"/>
      <c r="AL12" s="307" t="n"/>
      <c r="AM12" s="307" t="n"/>
      <c r="AN12" s="307" t="n"/>
      <c r="AO12" s="307" t="n"/>
      <c r="AP12" s="307" t="n"/>
      <c r="AQ12" s="307" t="n"/>
      <c r="AR12" s="307" t="n"/>
    </row>
    <row r="13" ht="15.75" customHeight="1" s="349">
      <c r="A13" s="307" t="n"/>
      <c r="B13" s="307" t="n"/>
      <c r="C13" s="307" t="n"/>
      <c r="D13" s="307" t="n"/>
      <c r="E13" s="307" t="n"/>
      <c r="F13" s="307" t="n"/>
      <c r="G13" s="307" t="n"/>
      <c r="H13" s="307" t="n"/>
      <c r="I13" s="307" t="n"/>
      <c r="J13" s="307" t="n"/>
      <c r="K13" s="307" t="n"/>
      <c r="L13" s="307" t="n"/>
      <c r="M13" s="307" t="n"/>
      <c r="N13" s="307" t="n"/>
      <c r="O13" s="307" t="n"/>
      <c r="P13" s="307" t="n"/>
      <c r="Q13" s="307" t="n"/>
      <c r="R13" s="307" t="n"/>
      <c r="S13" s="307" t="n"/>
      <c r="T13" s="307" t="n"/>
      <c r="U13" s="307" t="n"/>
      <c r="V13" s="307" t="n"/>
      <c r="W13" s="307" t="n"/>
      <c r="X13" s="307" t="n"/>
      <c r="Y13" s="307" t="n"/>
      <c r="Z13" s="307" t="n"/>
      <c r="AA13" s="307" t="n"/>
      <c r="AB13" s="307" t="n"/>
      <c r="AC13" s="307" t="n"/>
      <c r="AD13" s="307" t="n"/>
      <c r="AE13" s="307" t="n"/>
      <c r="AF13" s="307" t="n"/>
      <c r="AG13" s="307" t="n"/>
      <c r="AH13" s="307" t="n"/>
      <c r="AI13" s="307" t="n"/>
      <c r="AJ13" s="307" t="n"/>
      <c r="AK13" s="307" t="n"/>
      <c r="AL13" s="307" t="n"/>
      <c r="AM13" s="307" t="n"/>
      <c r="AN13" s="307" t="n"/>
      <c r="AO13" s="307" t="n"/>
      <c r="AP13" s="307" t="n"/>
      <c r="AQ13" s="307" t="n"/>
      <c r="AR13" s="307" t="n"/>
    </row>
    <row r="14" ht="15.75" customHeight="1" s="349">
      <c r="A14" s="307" t="n"/>
      <c r="B14" s="307" t="n"/>
      <c r="C14" s="307" t="n"/>
      <c r="D14" s="307" t="n"/>
      <c r="E14" s="307" t="n"/>
      <c r="F14" s="307" t="n"/>
      <c r="G14" s="307" t="n"/>
      <c r="H14" s="307" t="n"/>
      <c r="I14" s="307" t="n"/>
      <c r="J14" s="307" t="n"/>
      <c r="K14" s="307" t="n"/>
      <c r="L14" s="307" t="n"/>
      <c r="M14" s="307" t="n"/>
      <c r="N14" s="307" t="n"/>
      <c r="O14" s="307" t="n"/>
      <c r="P14" s="307" t="n"/>
      <c r="Q14" s="307" t="n"/>
      <c r="R14" s="307" t="n"/>
      <c r="S14" s="307" t="n"/>
      <c r="T14" s="307" t="n"/>
      <c r="U14" s="307" t="n"/>
      <c r="V14" s="307" t="n"/>
      <c r="W14" s="307" t="n"/>
      <c r="X14" s="307" t="n"/>
      <c r="Y14" s="307" t="n"/>
      <c r="Z14" s="307" t="n"/>
      <c r="AA14" s="307" t="n"/>
      <c r="AB14" s="307" t="n"/>
      <c r="AC14" s="307" t="n"/>
      <c r="AD14" s="307" t="n"/>
      <c r="AE14" s="307" t="n"/>
      <c r="AF14" s="307" t="n"/>
      <c r="AG14" s="307" t="n"/>
      <c r="AH14" s="307" t="n"/>
      <c r="AI14" s="307" t="n"/>
      <c r="AJ14" s="307" t="n"/>
      <c r="AK14" s="307" t="n"/>
      <c r="AL14" s="307" t="n"/>
      <c r="AM14" s="307" t="n"/>
      <c r="AN14" s="307" t="n"/>
      <c r="AO14" s="307" t="n"/>
      <c r="AP14" s="307" t="n"/>
      <c r="AQ14" s="307" t="n"/>
      <c r="AR14" s="307" t="n"/>
    </row>
    <row r="15" ht="15.75" customHeight="1" s="349">
      <c r="A15" s="307" t="n"/>
      <c r="B15" s="307" t="n"/>
      <c r="C15" s="307" t="n"/>
      <c r="D15" s="307" t="n"/>
      <c r="E15" s="307" t="n"/>
      <c r="F15" s="307" t="n"/>
      <c r="G15" s="307" t="n"/>
      <c r="H15" s="307" t="n"/>
      <c r="I15" s="307" t="n"/>
      <c r="J15" s="307" t="n"/>
      <c r="K15" s="307" t="n"/>
      <c r="L15" s="307" t="n"/>
      <c r="M15" s="307" t="n"/>
      <c r="N15" s="307" t="n"/>
      <c r="O15" s="307" t="n"/>
      <c r="P15" s="307" t="n"/>
      <c r="Q15" s="307" t="n"/>
      <c r="R15" s="307" t="n"/>
      <c r="S15" s="307" t="n"/>
      <c r="T15" s="307" t="n"/>
      <c r="U15" s="307" t="n"/>
      <c r="V15" s="307" t="n"/>
      <c r="W15" s="307" t="n"/>
      <c r="X15" s="307" t="n"/>
      <c r="Y15" s="307" t="n"/>
      <c r="Z15" s="307" t="n"/>
      <c r="AA15" s="307" t="n"/>
      <c r="AB15" s="307" t="n"/>
      <c r="AC15" s="307" t="n"/>
      <c r="AD15" s="307" t="n"/>
      <c r="AE15" s="307" t="n"/>
      <c r="AF15" s="307" t="n"/>
      <c r="AG15" s="307" t="n"/>
      <c r="AH15" s="307" t="n"/>
      <c r="AI15" s="307" t="n"/>
      <c r="AJ15" s="307" t="n"/>
      <c r="AK15" s="307" t="n"/>
      <c r="AL15" s="307" t="n"/>
      <c r="AM15" s="307" t="n"/>
      <c r="AN15" s="307" t="n"/>
      <c r="AO15" s="307" t="n"/>
      <c r="AP15" s="307" t="n"/>
      <c r="AQ15" s="307" t="n"/>
      <c r="AR15" s="307" t="n"/>
    </row>
    <row r="16" ht="15.75" customHeight="1" s="349">
      <c r="A16" s="307" t="n"/>
      <c r="B16" s="307" t="n"/>
      <c r="C16" s="307" t="n"/>
      <c r="D16" s="307" t="n"/>
      <c r="E16" s="307" t="n"/>
      <c r="F16" s="307" t="n"/>
      <c r="G16" s="307" t="n"/>
      <c r="H16" s="307" t="n"/>
      <c r="I16" s="307" t="n"/>
      <c r="J16" s="307" t="n"/>
      <c r="K16" s="307" t="n"/>
      <c r="L16" s="307" t="n"/>
      <c r="M16" s="307" t="n"/>
      <c r="N16" s="307" t="n"/>
      <c r="O16" s="307" t="n"/>
      <c r="P16" s="307" t="n"/>
      <c r="Q16" s="307" t="n"/>
      <c r="R16" s="307" t="n"/>
      <c r="S16" s="307" t="n"/>
      <c r="T16" s="307" t="n"/>
      <c r="U16" s="307" t="n"/>
      <c r="V16" s="307" t="n"/>
      <c r="W16" s="307" t="n"/>
      <c r="X16" s="307" t="n"/>
      <c r="Y16" s="307" t="n"/>
      <c r="Z16" s="307" t="n"/>
      <c r="AA16" s="307" t="n"/>
      <c r="AB16" s="307" t="n"/>
      <c r="AC16" s="307" t="n"/>
      <c r="AD16" s="307" t="n"/>
      <c r="AE16" s="307" t="n"/>
      <c r="AF16" s="307" t="n"/>
      <c r="AG16" s="307" t="n"/>
      <c r="AH16" s="307" t="n"/>
      <c r="AI16" s="307" t="n"/>
      <c r="AJ16" s="307" t="n"/>
      <c r="AK16" s="307" t="n"/>
      <c r="AL16" s="307" t="n"/>
      <c r="AM16" s="307" t="n"/>
      <c r="AN16" s="307" t="n"/>
      <c r="AO16" s="307" t="n"/>
      <c r="AP16" s="307" t="n"/>
      <c r="AQ16" s="307" t="n"/>
      <c r="AR16" s="307" t="n"/>
    </row>
    <row r="17" ht="15.75" customHeight="1" s="349">
      <c r="A17" s="307" t="n"/>
      <c r="B17" s="307" t="n"/>
      <c r="C17" s="307" t="n"/>
      <c r="D17" s="307" t="n"/>
      <c r="E17" s="307" t="n"/>
      <c r="F17" s="307" t="n"/>
      <c r="G17" s="307" t="n"/>
      <c r="H17" s="307" t="n"/>
      <c r="I17" s="307" t="n"/>
      <c r="J17" s="307" t="n"/>
      <c r="K17" s="307" t="n"/>
      <c r="L17" s="307" t="n"/>
      <c r="M17" s="307" t="n"/>
      <c r="N17" s="307" t="n"/>
      <c r="O17" s="307" t="n"/>
      <c r="P17" s="307" t="n"/>
      <c r="Q17" s="307" t="n"/>
      <c r="R17" s="307" t="n"/>
      <c r="S17" s="307" t="n"/>
      <c r="T17" s="307" t="n"/>
      <c r="U17" s="307" t="n"/>
      <c r="V17" s="307" t="n"/>
      <c r="W17" s="307" t="n"/>
      <c r="X17" s="307" t="n"/>
      <c r="Y17" s="307" t="n"/>
      <c r="Z17" s="307" t="n"/>
      <c r="AA17" s="307" t="n"/>
      <c r="AB17" s="307" t="n"/>
      <c r="AC17" s="307" t="n"/>
      <c r="AD17" s="307" t="n"/>
      <c r="AE17" s="307" t="n"/>
      <c r="AF17" s="307" t="n"/>
      <c r="AG17" s="307" t="n"/>
      <c r="AH17" s="307" t="n"/>
      <c r="AI17" s="307" t="n"/>
      <c r="AJ17" s="307" t="n"/>
      <c r="AK17" s="307" t="n"/>
      <c r="AL17" s="307" t="n"/>
      <c r="AM17" s="307" t="n"/>
      <c r="AN17" s="307" t="n"/>
      <c r="AO17" s="307" t="n"/>
      <c r="AP17" s="307" t="n"/>
      <c r="AQ17" s="307" t="n"/>
      <c r="AR17" s="307" t="n"/>
    </row>
    <row r="18" ht="15.75" customHeight="1" s="349">
      <c r="A18" s="307" t="n"/>
      <c r="B18" s="307" t="n"/>
      <c r="C18" s="307" t="n"/>
      <c r="D18" s="307" t="n"/>
      <c r="E18" s="307" t="n"/>
      <c r="F18" s="307" t="n"/>
      <c r="G18" s="307" t="n"/>
      <c r="H18" s="307" t="n"/>
      <c r="I18" s="307" t="n"/>
      <c r="J18" s="307" t="n"/>
      <c r="K18" s="307" t="n"/>
      <c r="L18" s="307" t="n"/>
      <c r="M18" s="307" t="n"/>
      <c r="N18" s="307" t="n"/>
      <c r="O18" s="307" t="n"/>
      <c r="P18" s="307" t="n"/>
      <c r="Q18" s="307" t="n"/>
      <c r="R18" s="307" t="n"/>
      <c r="S18" s="307" t="n"/>
      <c r="T18" s="307" t="n"/>
      <c r="U18" s="307" t="n"/>
      <c r="V18" s="307" t="n"/>
      <c r="W18" s="307" t="n"/>
      <c r="X18" s="307" t="n"/>
      <c r="Y18" s="307" t="n"/>
      <c r="Z18" s="307" t="n"/>
      <c r="AA18" s="307" t="n"/>
      <c r="AB18" s="307" t="n"/>
      <c r="AC18" s="307" t="n"/>
      <c r="AD18" s="307" t="n"/>
      <c r="AE18" s="307" t="n"/>
      <c r="AF18" s="307" t="n"/>
      <c r="AG18" s="307" t="n"/>
      <c r="AH18" s="307" t="n"/>
      <c r="AI18" s="307" t="n"/>
      <c r="AJ18" s="307" t="n"/>
      <c r="AK18" s="307" t="n"/>
      <c r="AL18" s="307" t="n"/>
      <c r="AM18" s="307" t="n"/>
      <c r="AN18" s="307" t="n"/>
      <c r="AO18" s="307" t="n"/>
      <c r="AP18" s="307" t="n"/>
      <c r="AQ18" s="307" t="n"/>
      <c r="AR18" s="307" t="n"/>
    </row>
    <row r="19" ht="15.75" customHeight="1" s="349">
      <c r="A19" s="307" t="n"/>
      <c r="B19" s="307" t="n"/>
      <c r="C19" s="307" t="n"/>
      <c r="D19" s="307" t="n"/>
      <c r="E19" s="307" t="n"/>
      <c r="F19" s="307" t="n"/>
      <c r="G19" s="307" t="n"/>
      <c r="H19" s="307" t="n"/>
      <c r="I19" s="307" t="n"/>
      <c r="J19" s="307" t="n"/>
      <c r="K19" s="307" t="n"/>
      <c r="L19" s="307" t="n"/>
      <c r="M19" s="307" t="n"/>
      <c r="N19" s="307" t="n"/>
      <c r="O19" s="307" t="n"/>
      <c r="P19" s="307" t="n"/>
      <c r="Q19" s="307" t="n"/>
      <c r="R19" s="307" t="n"/>
      <c r="S19" s="307" t="n"/>
      <c r="T19" s="307" t="n"/>
      <c r="U19" s="307" t="n"/>
      <c r="V19" s="307" t="n"/>
      <c r="W19" s="307" t="n"/>
      <c r="X19" s="307" t="n"/>
      <c r="Y19" s="307" t="n"/>
      <c r="Z19" s="307" t="n"/>
      <c r="AA19" s="307" t="n"/>
      <c r="AB19" s="307" t="n"/>
      <c r="AC19" s="307" t="n"/>
      <c r="AD19" s="307" t="n"/>
      <c r="AE19" s="307" t="n"/>
      <c r="AF19" s="307" t="n"/>
      <c r="AG19" s="307" t="n"/>
      <c r="AH19" s="307" t="n"/>
      <c r="AI19" s="307" t="n"/>
      <c r="AJ19" s="307" t="n"/>
      <c r="AK19" s="307" t="n"/>
      <c r="AL19" s="307" t="n"/>
      <c r="AM19" s="307" t="n"/>
      <c r="AN19" s="307" t="n"/>
      <c r="AO19" s="307" t="n"/>
      <c r="AP19" s="307" t="n"/>
      <c r="AQ19" s="307" t="n"/>
      <c r="AR19" s="307" t="n"/>
    </row>
    <row r="20" ht="15.75" customHeight="1" s="349">
      <c r="A20" s="307" t="n"/>
      <c r="B20" s="307" t="n"/>
      <c r="C20" s="307" t="n"/>
      <c r="D20" s="307" t="n"/>
      <c r="E20" s="307" t="n"/>
      <c r="F20" s="307" t="n"/>
      <c r="G20" s="307" t="n"/>
      <c r="H20" s="307" t="n"/>
      <c r="I20" s="307" t="n"/>
      <c r="J20" s="307" t="n"/>
      <c r="K20" s="307" t="n"/>
      <c r="L20" s="307" t="n"/>
      <c r="M20" s="307" t="n"/>
      <c r="N20" s="307" t="n"/>
      <c r="O20" s="307" t="n"/>
      <c r="P20" s="307" t="n"/>
      <c r="Q20" s="307" t="n"/>
      <c r="R20" s="307" t="n"/>
      <c r="S20" s="307" t="n"/>
      <c r="T20" s="307" t="n"/>
      <c r="U20" s="307" t="n"/>
      <c r="V20" s="307" t="n"/>
      <c r="W20" s="307" t="n"/>
      <c r="X20" s="307" t="n"/>
      <c r="Y20" s="307" t="n"/>
      <c r="Z20" s="307" t="n"/>
      <c r="AA20" s="307" t="n"/>
      <c r="AB20" s="307" t="n"/>
      <c r="AC20" s="307" t="n"/>
      <c r="AD20" s="307" t="n"/>
      <c r="AE20" s="307" t="n"/>
      <c r="AF20" s="307" t="n"/>
      <c r="AG20" s="307" t="n"/>
      <c r="AH20" s="307" t="n"/>
      <c r="AI20" s="307" t="n"/>
      <c r="AJ20" s="307" t="n"/>
      <c r="AK20" s="307" t="n"/>
      <c r="AL20" s="307" t="n"/>
      <c r="AM20" s="307" t="n"/>
      <c r="AN20" s="307" t="n"/>
      <c r="AO20" s="307" t="n"/>
      <c r="AP20" s="307" t="n"/>
      <c r="AQ20" s="307" t="n"/>
      <c r="AR20" s="307" t="n"/>
    </row>
    <row r="21" ht="15.75" customHeight="1" s="349">
      <c r="A21" s="307" t="n"/>
      <c r="B21" s="307" t="n"/>
      <c r="C21" s="307" t="n"/>
      <c r="D21" s="307" t="n"/>
      <c r="E21" s="307" t="n"/>
      <c r="F21" s="307" t="n"/>
      <c r="G21" s="307" t="n"/>
      <c r="H21" s="307" t="n"/>
      <c r="I21" s="307" t="n"/>
      <c r="J21" s="307" t="n"/>
      <c r="K21" s="307" t="n"/>
      <c r="L21" s="307" t="n"/>
      <c r="M21" s="307" t="n"/>
      <c r="N21" s="307" t="n"/>
      <c r="O21" s="307" t="n"/>
      <c r="P21" s="307" t="n"/>
      <c r="Q21" s="307" t="n"/>
      <c r="R21" s="307" t="n"/>
      <c r="S21" s="307" t="n"/>
      <c r="T21" s="307" t="n"/>
      <c r="U21" s="307" t="n"/>
      <c r="V21" s="307" t="n"/>
      <c r="W21" s="307" t="n"/>
      <c r="X21" s="307" t="n"/>
      <c r="Y21" s="307" t="n"/>
      <c r="Z21" s="307" t="n"/>
      <c r="AA21" s="307" t="n"/>
      <c r="AB21" s="307" t="n"/>
      <c r="AC21" s="307" t="n"/>
      <c r="AD21" s="307" t="n"/>
      <c r="AE21" s="307" t="n"/>
      <c r="AF21" s="307" t="n"/>
      <c r="AG21" s="307" t="n"/>
      <c r="AH21" s="307" t="n"/>
      <c r="AI21" s="307" t="n"/>
      <c r="AJ21" s="307" t="n"/>
      <c r="AK21" s="307" t="n"/>
      <c r="AL21" s="307" t="n"/>
      <c r="AM21" s="307" t="n"/>
      <c r="AN21" s="307" t="n"/>
      <c r="AO21" s="307" t="n"/>
      <c r="AP21" s="307" t="n"/>
      <c r="AQ21" s="307" t="n"/>
      <c r="AR21" s="307" t="n"/>
    </row>
    <row r="22" ht="15.75" customHeight="1" s="349">
      <c r="A22" s="307" t="n"/>
      <c r="B22" s="307" t="n"/>
      <c r="C22" s="307" t="n"/>
      <c r="D22" s="307" t="n"/>
      <c r="E22" s="307" t="n"/>
      <c r="F22" s="307" t="n"/>
      <c r="G22" s="307" t="n"/>
      <c r="H22" s="307" t="n"/>
      <c r="I22" s="307" t="n"/>
      <c r="J22" s="307" t="n"/>
      <c r="K22" s="307" t="n"/>
      <c r="L22" s="307" t="n"/>
      <c r="M22" s="307" t="n"/>
      <c r="N22" s="307" t="n"/>
      <c r="O22" s="307" t="n"/>
      <c r="P22" s="307" t="n"/>
      <c r="Q22" s="307" t="n"/>
      <c r="R22" s="307" t="n"/>
      <c r="S22" s="307" t="n"/>
      <c r="T22" s="307" t="n"/>
      <c r="U22" s="307" t="n"/>
      <c r="V22" s="307" t="n"/>
      <c r="W22" s="307" t="n"/>
      <c r="X22" s="307" t="n"/>
      <c r="Y22" s="307" t="n"/>
      <c r="Z22" s="307" t="n"/>
      <c r="AA22" s="307" t="n"/>
      <c r="AB22" s="307" t="n"/>
      <c r="AC22" s="307" t="n"/>
      <c r="AD22" s="307" t="n"/>
      <c r="AE22" s="307" t="n"/>
      <c r="AF22" s="307" t="n"/>
      <c r="AG22" s="307" t="n"/>
      <c r="AH22" s="307" t="n"/>
      <c r="AI22" s="307" t="n"/>
      <c r="AJ22" s="307" t="n"/>
      <c r="AK22" s="307" t="n"/>
      <c r="AL22" s="307" t="n"/>
      <c r="AM22" s="307" t="n"/>
      <c r="AN22" s="307" t="n"/>
      <c r="AO22" s="307" t="n"/>
      <c r="AP22" s="307" t="n"/>
      <c r="AQ22" s="307" t="n"/>
      <c r="AR22" s="307" t="n"/>
    </row>
    <row r="23" ht="15.75" customHeight="1" s="349">
      <c r="A23" s="307" t="n"/>
      <c r="B23" s="307" t="n"/>
      <c r="C23" s="307" t="n"/>
      <c r="D23" s="307" t="n"/>
      <c r="E23" s="307" t="n"/>
      <c r="F23" s="307" t="n"/>
      <c r="G23" s="307" t="n"/>
      <c r="H23" s="307" t="n"/>
      <c r="I23" s="307" t="n"/>
      <c r="J23" s="307" t="n"/>
      <c r="K23" s="307" t="n"/>
      <c r="L23" s="307" t="n"/>
      <c r="M23" s="307" t="n"/>
      <c r="N23" s="307" t="n"/>
      <c r="O23" s="307" t="n"/>
      <c r="P23" s="307" t="n"/>
      <c r="Q23" s="307" t="n"/>
      <c r="R23" s="307" t="n"/>
      <c r="S23" s="307" t="n"/>
      <c r="T23" s="307" t="n"/>
      <c r="U23" s="307" t="n"/>
      <c r="V23" s="307" t="n"/>
      <c r="W23" s="307" t="n"/>
      <c r="X23" s="307" t="n"/>
      <c r="Y23" s="307" t="n"/>
      <c r="Z23" s="307" t="n"/>
      <c r="AA23" s="307" t="n"/>
      <c r="AB23" s="307" t="n"/>
      <c r="AC23" s="307" t="n"/>
      <c r="AD23" s="307" t="n"/>
      <c r="AE23" s="307" t="n"/>
      <c r="AF23" s="307" t="n"/>
      <c r="AG23" s="307" t="n"/>
      <c r="AH23" s="307" t="n"/>
      <c r="AI23" s="307" t="n"/>
      <c r="AJ23" s="307" t="n"/>
      <c r="AK23" s="307" t="n"/>
      <c r="AL23" s="307" t="n"/>
      <c r="AM23" s="307" t="n"/>
      <c r="AN23" s="307" t="n"/>
      <c r="AO23" s="307" t="n"/>
      <c r="AP23" s="307" t="n"/>
      <c r="AQ23" s="307" t="n"/>
      <c r="AR23" s="307" t="n"/>
    </row>
    <row r="24" ht="15.75" customHeight="1" s="349">
      <c r="A24" s="307" t="n"/>
      <c r="B24" s="307" t="n"/>
      <c r="C24" s="307" t="n"/>
      <c r="D24" s="307" t="n"/>
      <c r="E24" s="307" t="n"/>
      <c r="F24" s="307" t="n"/>
      <c r="G24" s="307" t="n"/>
      <c r="H24" s="307" t="n"/>
      <c r="I24" s="307" t="n"/>
      <c r="J24" s="307" t="n"/>
      <c r="K24" s="307" t="n"/>
      <c r="L24" s="307" t="n"/>
      <c r="M24" s="307" t="n"/>
      <c r="N24" s="307" t="n"/>
      <c r="O24" s="307" t="n"/>
      <c r="P24" s="307" t="n"/>
      <c r="Q24" s="307" t="n"/>
      <c r="R24" s="307" t="n"/>
      <c r="S24" s="307" t="n"/>
      <c r="T24" s="307" t="n"/>
      <c r="U24" s="307" t="n"/>
      <c r="V24" s="307" t="n"/>
      <c r="W24" s="307" t="n"/>
      <c r="X24" s="307" t="n"/>
      <c r="Y24" s="307" t="n"/>
      <c r="Z24" s="307" t="n"/>
      <c r="AA24" s="307" t="n"/>
      <c r="AB24" s="307" t="n"/>
      <c r="AC24" s="307" t="n"/>
      <c r="AD24" s="307" t="n"/>
      <c r="AE24" s="307" t="n"/>
      <c r="AF24" s="307" t="n"/>
      <c r="AG24" s="307" t="n"/>
      <c r="AH24" s="307" t="n"/>
      <c r="AI24" s="307" t="n"/>
      <c r="AJ24" s="307" t="n"/>
      <c r="AK24" s="307" t="n"/>
      <c r="AL24" s="307" t="n"/>
      <c r="AM24" s="307" t="n"/>
      <c r="AN24" s="307" t="n"/>
      <c r="AO24" s="307" t="n"/>
      <c r="AP24" s="307" t="n"/>
      <c r="AQ24" s="307" t="n"/>
      <c r="AR24" s="307" t="n"/>
    </row>
    <row r="25" ht="15.75" customHeight="1" s="349">
      <c r="A25" s="307" t="n"/>
      <c r="B25" s="307" t="n"/>
      <c r="C25" s="307" t="n"/>
      <c r="D25" s="307" t="n"/>
      <c r="E25" s="307" t="n"/>
      <c r="F25" s="307" t="n"/>
      <c r="G25" s="307" t="n"/>
      <c r="H25" s="307" t="n"/>
      <c r="I25" s="307" t="n"/>
      <c r="J25" s="307" t="n"/>
      <c r="K25" s="307" t="n"/>
      <c r="L25" s="307" t="n"/>
      <c r="M25" s="307" t="n"/>
      <c r="N25" s="307" t="n"/>
      <c r="O25" s="307" t="n"/>
      <c r="P25" s="307" t="n"/>
      <c r="Q25" s="307" t="n"/>
      <c r="R25" s="307" t="n"/>
      <c r="S25" s="307" t="n"/>
      <c r="T25" s="307" t="n"/>
      <c r="U25" s="307" t="n"/>
      <c r="V25" s="307" t="n"/>
      <c r="W25" s="307" t="n"/>
      <c r="X25" s="307" t="n"/>
      <c r="Y25" s="307" t="n"/>
      <c r="Z25" s="307" t="n"/>
      <c r="AA25" s="307" t="n"/>
      <c r="AB25" s="307" t="n"/>
      <c r="AC25" s="307" t="n"/>
      <c r="AD25" s="307" t="n"/>
      <c r="AE25" s="307" t="n"/>
      <c r="AF25" s="307" t="n"/>
      <c r="AG25" s="307" t="n"/>
      <c r="AH25" s="307" t="n"/>
      <c r="AI25" s="307" t="n"/>
      <c r="AJ25" s="307" t="n"/>
      <c r="AK25" s="307" t="n"/>
      <c r="AL25" s="307" t="n"/>
      <c r="AM25" s="307" t="n"/>
      <c r="AN25" s="307" t="n"/>
      <c r="AO25" s="307" t="n"/>
      <c r="AP25" s="307" t="n"/>
      <c r="AQ25" s="307" t="n"/>
      <c r="AR25" s="307" t="n"/>
    </row>
    <row r="26" ht="15.75" customHeight="1" s="349">
      <c r="A26" s="307" t="n"/>
      <c r="B26" s="307" t="n"/>
      <c r="C26" s="307" t="n"/>
      <c r="D26" s="307" t="n"/>
      <c r="E26" s="307" t="n"/>
      <c r="F26" s="307" t="n"/>
      <c r="G26" s="307" t="n"/>
      <c r="H26" s="307" t="n"/>
      <c r="I26" s="307" t="n"/>
      <c r="J26" s="307" t="n"/>
      <c r="K26" s="307" t="n"/>
      <c r="L26" s="307" t="n"/>
      <c r="M26" s="307" t="n"/>
      <c r="N26" s="307" t="n"/>
      <c r="O26" s="307" t="n"/>
      <c r="P26" s="307" t="n"/>
      <c r="Q26" s="307" t="n"/>
      <c r="R26" s="307" t="n"/>
      <c r="S26" s="307" t="n"/>
      <c r="T26" s="307" t="n"/>
      <c r="U26" s="307" t="n"/>
      <c r="V26" s="307" t="n"/>
      <c r="W26" s="307" t="n"/>
      <c r="X26" s="307" t="n"/>
      <c r="Y26" s="307" t="n"/>
      <c r="Z26" s="307" t="n"/>
      <c r="AA26" s="307" t="n"/>
      <c r="AB26" s="307" t="n"/>
      <c r="AC26" s="307" t="n"/>
      <c r="AD26" s="307" t="n"/>
      <c r="AE26" s="307" t="n"/>
      <c r="AF26" s="307" t="n"/>
      <c r="AG26" s="307" t="n"/>
      <c r="AH26" s="307" t="n"/>
      <c r="AI26" s="307" t="n"/>
      <c r="AJ26" s="307" t="n"/>
      <c r="AK26" s="307" t="n"/>
      <c r="AL26" s="307" t="n"/>
      <c r="AM26" s="307" t="n"/>
      <c r="AN26" s="307" t="n"/>
      <c r="AO26" s="307" t="n"/>
      <c r="AP26" s="307" t="n"/>
      <c r="AQ26" s="307" t="n"/>
      <c r="AR26" s="307" t="n"/>
    </row>
    <row r="27" ht="15.75" customHeight="1" s="349">
      <c r="A27" s="307" t="n"/>
      <c r="B27" s="307" t="n"/>
      <c r="C27" s="307" t="n"/>
      <c r="D27" s="307" t="n"/>
      <c r="E27" s="307" t="n"/>
      <c r="F27" s="307" t="n"/>
      <c r="G27" s="307" t="n"/>
      <c r="H27" s="307" t="n"/>
      <c r="I27" s="307" t="n"/>
      <c r="J27" s="307" t="n"/>
      <c r="K27" s="307" t="n"/>
      <c r="L27" s="307" t="n"/>
      <c r="M27" s="307" t="n"/>
      <c r="N27" s="307" t="n"/>
      <c r="O27" s="307" t="n"/>
      <c r="P27" s="307" t="n"/>
      <c r="Q27" s="307" t="n"/>
      <c r="R27" s="307" t="n"/>
      <c r="S27" s="307" t="n"/>
      <c r="T27" s="307" t="n"/>
      <c r="U27" s="307" t="n"/>
      <c r="V27" s="307" t="n"/>
      <c r="W27" s="307" t="n"/>
      <c r="X27" s="307" t="n"/>
      <c r="Y27" s="307" t="n"/>
      <c r="Z27" s="307" t="n"/>
      <c r="AA27" s="307" t="n"/>
      <c r="AB27" s="307" t="n"/>
      <c r="AC27" s="307" t="n"/>
      <c r="AD27" s="307" t="n"/>
      <c r="AE27" s="307" t="n"/>
      <c r="AF27" s="307" t="n"/>
      <c r="AG27" s="307" t="n"/>
      <c r="AH27" s="307" t="n"/>
      <c r="AI27" s="307" t="n"/>
      <c r="AJ27" s="307" t="n"/>
      <c r="AK27" s="307" t="n"/>
      <c r="AL27" s="307" t="n"/>
      <c r="AM27" s="307" t="n"/>
      <c r="AN27" s="307" t="n"/>
      <c r="AO27" s="307" t="n"/>
      <c r="AP27" s="307" t="n"/>
      <c r="AQ27" s="307" t="n"/>
      <c r="AR27" s="307" t="n"/>
    </row>
    <row r="28" ht="15.75" customHeight="1" s="349">
      <c r="A28" s="307" t="n"/>
      <c r="B28" s="307" t="n"/>
      <c r="C28" s="307" t="n"/>
      <c r="D28" s="307" t="n"/>
      <c r="E28" s="307" t="n"/>
      <c r="F28" s="307" t="n"/>
      <c r="G28" s="307" t="n"/>
      <c r="H28" s="307" t="n"/>
      <c r="I28" s="307" t="n"/>
      <c r="J28" s="307" t="n"/>
      <c r="K28" s="307" t="n"/>
      <c r="L28" s="307" t="n"/>
      <c r="M28" s="307" t="n"/>
      <c r="N28" s="307" t="n"/>
      <c r="O28" s="307" t="n"/>
      <c r="P28" s="307" t="n"/>
      <c r="Q28" s="307" t="n"/>
      <c r="R28" s="307" t="n"/>
      <c r="S28" s="307" t="n"/>
      <c r="T28" s="307" t="n"/>
      <c r="U28" s="307" t="n"/>
      <c r="V28" s="307" t="n"/>
      <c r="W28" s="307" t="n"/>
      <c r="X28" s="307" t="n"/>
      <c r="Y28" s="307" t="n"/>
      <c r="Z28" s="307" t="n"/>
      <c r="AA28" s="307" t="n"/>
      <c r="AB28" s="307" t="n"/>
      <c r="AC28" s="307" t="n"/>
      <c r="AD28" s="307" t="n"/>
      <c r="AE28" s="307" t="n"/>
      <c r="AF28" s="307" t="n"/>
      <c r="AG28" s="307" t="n"/>
      <c r="AH28" s="307" t="n"/>
      <c r="AI28" s="307" t="n"/>
      <c r="AJ28" s="307" t="n"/>
      <c r="AK28" s="307" t="n"/>
      <c r="AL28" s="307" t="n"/>
      <c r="AM28" s="307" t="n"/>
      <c r="AN28" s="307" t="n"/>
      <c r="AO28" s="307" t="n"/>
      <c r="AP28" s="307" t="n"/>
      <c r="AQ28" s="307" t="n"/>
      <c r="AR28" s="307" t="n"/>
    </row>
    <row r="29" ht="15.75" customHeight="1" s="349">
      <c r="A29" s="307" t="n"/>
      <c r="B29" s="307" t="n"/>
      <c r="C29" s="307" t="n"/>
      <c r="D29" s="307" t="n"/>
      <c r="E29" s="307" t="n"/>
      <c r="F29" s="307" t="n"/>
      <c r="G29" s="307" t="n"/>
      <c r="H29" s="307" t="n"/>
      <c r="I29" s="307" t="n"/>
      <c r="J29" s="307" t="n"/>
      <c r="K29" s="307" t="n"/>
      <c r="L29" s="307" t="n"/>
      <c r="M29" s="307" t="n"/>
      <c r="N29" s="307" t="n"/>
      <c r="O29" s="307" t="n"/>
      <c r="P29" s="307" t="n"/>
      <c r="Q29" s="307" t="n"/>
      <c r="R29" s="307" t="n"/>
      <c r="S29" s="307" t="n"/>
      <c r="T29" s="307" t="n"/>
      <c r="U29" s="307" t="n"/>
      <c r="V29" s="307" t="n"/>
      <c r="W29" s="307" t="n"/>
      <c r="X29" s="307" t="n"/>
      <c r="Y29" s="307" t="n"/>
      <c r="Z29" s="307" t="n"/>
      <c r="AA29" s="307" t="n"/>
      <c r="AB29" s="307" t="n"/>
      <c r="AC29" s="307" t="n"/>
      <c r="AD29" s="307" t="n"/>
      <c r="AE29" s="307" t="n"/>
      <c r="AF29" s="307" t="n"/>
      <c r="AG29" s="307" t="n"/>
      <c r="AH29" s="307" t="n"/>
      <c r="AI29" s="307" t="n"/>
      <c r="AJ29" s="307" t="n"/>
      <c r="AK29" s="307" t="n"/>
      <c r="AL29" s="307" t="n"/>
      <c r="AM29" s="307" t="n"/>
      <c r="AN29" s="307" t="n"/>
      <c r="AO29" s="307" t="n"/>
      <c r="AP29" s="307" t="n"/>
      <c r="AQ29" s="307" t="n"/>
      <c r="AR29" s="307" t="n"/>
    </row>
    <row r="30" ht="15.75" customHeight="1" s="349">
      <c r="A30" s="307" t="n"/>
      <c r="B30" s="307" t="n"/>
      <c r="C30" s="307" t="n"/>
      <c r="D30" s="307" t="n"/>
      <c r="E30" s="307" t="n"/>
      <c r="F30" s="307" t="n"/>
      <c r="G30" s="307" t="n"/>
      <c r="H30" s="307" t="n"/>
      <c r="I30" s="307" t="n"/>
      <c r="J30" s="307" t="n"/>
      <c r="K30" s="307" t="n"/>
      <c r="L30" s="307" t="n"/>
      <c r="M30" s="307" t="n"/>
      <c r="N30" s="307" t="n"/>
      <c r="O30" s="307" t="n"/>
      <c r="P30" s="307" t="n"/>
      <c r="Q30" s="307" t="n"/>
      <c r="R30" s="307" t="n"/>
      <c r="S30" s="307" t="n"/>
      <c r="T30" s="307" t="n"/>
      <c r="U30" s="307" t="n"/>
      <c r="V30" s="307" t="n"/>
      <c r="W30" s="307" t="n"/>
      <c r="X30" s="307" t="n"/>
      <c r="Y30" s="307" t="n"/>
      <c r="Z30" s="307" t="n"/>
      <c r="AA30" s="307" t="n"/>
      <c r="AB30" s="307" t="n"/>
      <c r="AC30" s="307" t="n"/>
      <c r="AD30" s="307" t="n"/>
      <c r="AE30" s="307" t="n"/>
      <c r="AF30" s="307" t="n"/>
      <c r="AG30" s="307" t="n"/>
      <c r="AH30" s="307" t="n"/>
      <c r="AI30" s="307" t="n"/>
      <c r="AJ30" s="307" t="n"/>
      <c r="AK30" s="307" t="n"/>
      <c r="AL30" s="307" t="n"/>
      <c r="AM30" s="307" t="n"/>
      <c r="AN30" s="307" t="n"/>
      <c r="AO30" s="307" t="n"/>
      <c r="AP30" s="307" t="n"/>
      <c r="AQ30" s="307" t="n"/>
      <c r="AR30" s="307" t="n"/>
    </row>
    <row r="31" ht="15.75" customHeight="1" s="349">
      <c r="A31" s="307" t="n"/>
      <c r="B31" s="307" t="n"/>
      <c r="C31" s="307" t="n"/>
      <c r="D31" s="307" t="n"/>
      <c r="E31" s="307" t="n"/>
      <c r="F31" s="307" t="n"/>
      <c r="G31" s="307" t="n"/>
      <c r="H31" s="307" t="n"/>
      <c r="I31" s="307" t="n"/>
      <c r="J31" s="307" t="n"/>
      <c r="K31" s="307" t="n"/>
      <c r="L31" s="307" t="n"/>
      <c r="M31" s="307" t="n"/>
      <c r="N31" s="307" t="n"/>
      <c r="O31" s="307" t="n"/>
      <c r="P31" s="307" t="n"/>
      <c r="Q31" s="307" t="n"/>
      <c r="R31" s="307" t="n"/>
      <c r="S31" s="307" t="n"/>
      <c r="T31" s="307" t="n"/>
      <c r="U31" s="307" t="n"/>
      <c r="V31" s="307" t="n"/>
      <c r="W31" s="307" t="n"/>
      <c r="X31" s="307" t="n"/>
      <c r="Y31" s="307" t="n"/>
      <c r="Z31" s="307" t="n"/>
      <c r="AA31" s="307" t="n"/>
      <c r="AB31" s="307" t="n"/>
      <c r="AC31" s="307" t="n"/>
      <c r="AD31" s="307" t="n"/>
      <c r="AE31" s="307" t="n"/>
      <c r="AF31" s="307" t="n"/>
      <c r="AG31" s="307" t="n"/>
      <c r="AH31" s="307" t="n"/>
      <c r="AI31" s="307" t="n"/>
      <c r="AJ31" s="307" t="n"/>
      <c r="AK31" s="307" t="n"/>
      <c r="AL31" s="307" t="n"/>
      <c r="AM31" s="307" t="n"/>
      <c r="AN31" s="307" t="n"/>
      <c r="AO31" s="307" t="n"/>
      <c r="AP31" s="307" t="n"/>
      <c r="AQ31" s="307" t="n"/>
      <c r="AR31" s="307" t="n"/>
    </row>
    <row r="32" ht="15.75" customHeight="1" s="349">
      <c r="A32" s="307" t="n"/>
      <c r="B32" s="307" t="n"/>
      <c r="C32" s="307" t="n"/>
      <c r="D32" s="307" t="n"/>
      <c r="E32" s="307" t="n"/>
      <c r="F32" s="307" t="n"/>
      <c r="G32" s="307" t="n"/>
      <c r="H32" s="307" t="n"/>
      <c r="I32" s="307" t="n"/>
      <c r="J32" s="307" t="n"/>
      <c r="K32" s="307" t="n"/>
      <c r="L32" s="307" t="n"/>
      <c r="M32" s="307" t="n"/>
      <c r="N32" s="307" t="n"/>
      <c r="O32" s="307" t="n"/>
      <c r="P32" s="307" t="n"/>
      <c r="Q32" s="307" t="n"/>
      <c r="R32" s="307" t="n"/>
      <c r="S32" s="307" t="n"/>
      <c r="T32" s="307" t="n"/>
      <c r="U32" s="307" t="n"/>
      <c r="V32" s="307" t="n"/>
      <c r="W32" s="307" t="n"/>
      <c r="X32" s="307" t="n"/>
      <c r="Y32" s="307" t="n"/>
      <c r="Z32" s="307" t="n"/>
      <c r="AA32" s="307" t="n"/>
      <c r="AB32" s="307" t="n"/>
      <c r="AC32" s="307" t="n"/>
      <c r="AD32" s="307" t="n"/>
      <c r="AE32" s="307" t="n"/>
      <c r="AF32" s="307" t="n"/>
      <c r="AG32" s="307" t="n"/>
      <c r="AH32" s="307" t="n"/>
      <c r="AI32" s="307" t="n"/>
      <c r="AJ32" s="307" t="n"/>
      <c r="AK32" s="307" t="n"/>
      <c r="AL32" s="307" t="n"/>
      <c r="AM32" s="307" t="n"/>
      <c r="AN32" s="307" t="n"/>
      <c r="AO32" s="307" t="n"/>
      <c r="AP32" s="307" t="n"/>
      <c r="AQ32" s="307" t="n"/>
      <c r="AR32" s="307" t="n"/>
    </row>
    <row r="33" ht="15.75" customHeight="1" s="349">
      <c r="A33" s="307" t="n"/>
      <c r="B33" s="307" t="n"/>
      <c r="C33" s="307" t="n"/>
      <c r="D33" s="307" t="n"/>
      <c r="E33" s="307" t="n"/>
      <c r="F33" s="307" t="n"/>
      <c r="G33" s="307" t="n"/>
      <c r="H33" s="307" t="n"/>
      <c r="I33" s="307" t="n"/>
      <c r="J33" s="307" t="n"/>
      <c r="K33" s="307" t="n"/>
      <c r="L33" s="307" t="n"/>
      <c r="M33" s="307" t="n"/>
      <c r="N33" s="307" t="n"/>
      <c r="O33" s="307" t="n"/>
      <c r="P33" s="307" t="n"/>
      <c r="Q33" s="307" t="n"/>
      <c r="R33" s="307" t="n"/>
      <c r="S33" s="307" t="n"/>
      <c r="T33" s="307" t="n"/>
      <c r="U33" s="307" t="n"/>
      <c r="V33" s="307" t="n"/>
      <c r="W33" s="307" t="n"/>
      <c r="X33" s="307" t="n"/>
      <c r="Y33" s="307" t="n"/>
      <c r="Z33" s="307" t="n"/>
      <c r="AA33" s="307" t="n"/>
      <c r="AB33" s="307" t="n"/>
      <c r="AC33" s="307" t="n"/>
      <c r="AD33" s="307" t="n"/>
      <c r="AE33" s="307" t="n"/>
      <c r="AF33" s="307" t="n"/>
      <c r="AG33" s="307" t="n"/>
      <c r="AH33" s="307" t="n"/>
      <c r="AI33" s="307" t="n"/>
      <c r="AJ33" s="307" t="n"/>
      <c r="AK33" s="307" t="n"/>
      <c r="AL33" s="307" t="n"/>
      <c r="AM33" s="307" t="n"/>
      <c r="AN33" s="307" t="n"/>
      <c r="AO33" s="307" t="n"/>
      <c r="AP33" s="307" t="n"/>
      <c r="AQ33" s="307" t="n"/>
      <c r="AR33" s="307" t="n"/>
    </row>
    <row r="34" ht="15.75" customHeight="1" s="349">
      <c r="A34" s="307" t="n"/>
      <c r="B34" s="307" t="n"/>
      <c r="C34" s="307" t="n"/>
      <c r="D34" s="307" t="n"/>
      <c r="E34" s="307" t="n"/>
      <c r="F34" s="307" t="n"/>
      <c r="G34" s="307" t="n"/>
      <c r="H34" s="307" t="n"/>
      <c r="I34" s="307" t="n"/>
      <c r="J34" s="307" t="n"/>
      <c r="K34" s="307" t="n"/>
      <c r="L34" s="307" t="n"/>
      <c r="M34" s="307" t="n"/>
      <c r="N34" s="307" t="n"/>
      <c r="O34" s="307" t="n"/>
      <c r="P34" s="307" t="n"/>
      <c r="Q34" s="307" t="n"/>
      <c r="R34" s="307" t="n"/>
      <c r="S34" s="307" t="n"/>
      <c r="T34" s="307" t="n"/>
      <c r="U34" s="307" t="n"/>
      <c r="V34" s="307" t="n"/>
      <c r="W34" s="307" t="n"/>
      <c r="X34" s="307" t="n"/>
      <c r="Y34" s="307" t="n"/>
      <c r="Z34" s="307" t="n"/>
      <c r="AA34" s="307" t="n"/>
      <c r="AB34" s="307" t="n"/>
      <c r="AC34" s="307" t="n"/>
      <c r="AD34" s="307" t="n"/>
      <c r="AE34" s="307" t="n"/>
      <c r="AF34" s="307" t="n"/>
      <c r="AG34" s="307" t="n"/>
      <c r="AH34" s="307" t="n"/>
      <c r="AI34" s="307" t="n"/>
      <c r="AJ34" s="307" t="n"/>
      <c r="AK34" s="307" t="n"/>
      <c r="AL34" s="307" t="n"/>
      <c r="AM34" s="307" t="n"/>
      <c r="AN34" s="307" t="n"/>
      <c r="AO34" s="307" t="n"/>
      <c r="AP34" s="307" t="n"/>
      <c r="AQ34" s="307" t="n"/>
      <c r="AR34" s="307" t="n"/>
    </row>
    <row r="35" ht="15.75" customHeight="1" s="349">
      <c r="A35" s="307" t="n"/>
      <c r="B35" s="307" t="n"/>
      <c r="C35" s="307" t="n"/>
      <c r="D35" s="307" t="n"/>
      <c r="E35" s="307" t="n"/>
      <c r="F35" s="307" t="n"/>
      <c r="G35" s="307" t="n"/>
      <c r="H35" s="307" t="n"/>
      <c r="I35" s="307" t="n"/>
      <c r="J35" s="307" t="n"/>
      <c r="K35" s="307" t="n"/>
      <c r="L35" s="307" t="n"/>
      <c r="M35" s="307" t="n"/>
      <c r="N35" s="307" t="n"/>
      <c r="O35" s="307" t="n"/>
      <c r="P35" s="307" t="n"/>
      <c r="Q35" s="307" t="n"/>
      <c r="R35" s="307" t="n"/>
      <c r="S35" s="307" t="n"/>
      <c r="T35" s="307" t="n"/>
      <c r="U35" s="307" t="n"/>
      <c r="V35" s="307" t="n"/>
      <c r="W35" s="307" t="n"/>
      <c r="X35" s="307" t="n"/>
      <c r="Y35" s="307" t="n"/>
      <c r="Z35" s="307" t="n"/>
      <c r="AA35" s="307" t="n"/>
      <c r="AB35" s="307" t="n"/>
      <c r="AC35" s="307" t="n"/>
      <c r="AD35" s="307" t="n"/>
      <c r="AE35" s="307" t="n"/>
      <c r="AF35" s="307" t="n"/>
      <c r="AG35" s="307" t="n"/>
      <c r="AH35" s="307" t="n"/>
      <c r="AI35" s="307" t="n"/>
      <c r="AJ35" s="307" t="n"/>
      <c r="AK35" s="307" t="n"/>
      <c r="AL35" s="307" t="n"/>
      <c r="AM35" s="307" t="n"/>
      <c r="AN35" s="307" t="n"/>
      <c r="AO35" s="307" t="n"/>
      <c r="AP35" s="307" t="n"/>
      <c r="AQ35" s="307" t="n"/>
      <c r="AR35" s="307" t="n"/>
    </row>
    <row r="36" ht="15.75" customHeight="1" s="349">
      <c r="A36" s="307" t="n"/>
      <c r="B36" s="307" t="n"/>
      <c r="C36" s="307" t="n"/>
      <c r="D36" s="307" t="n"/>
      <c r="E36" s="307" t="n"/>
      <c r="F36" s="307" t="n"/>
      <c r="G36" s="307" t="n"/>
      <c r="H36" s="307" t="n"/>
      <c r="I36" s="307" t="n"/>
      <c r="J36" s="307" t="n"/>
      <c r="K36" s="307" t="n"/>
      <c r="L36" s="307" t="n"/>
      <c r="M36" s="307" t="n"/>
      <c r="N36" s="307" t="n"/>
      <c r="O36" s="307" t="n"/>
      <c r="P36" s="307" t="n"/>
      <c r="Q36" s="307" t="n"/>
      <c r="R36" s="307" t="n"/>
      <c r="S36" s="307" t="n"/>
      <c r="T36" s="307" t="n"/>
      <c r="U36" s="307" t="n"/>
      <c r="V36" s="307" t="n"/>
      <c r="W36" s="307" t="n"/>
      <c r="X36" s="307" t="n"/>
      <c r="Y36" s="307" t="n"/>
      <c r="Z36" s="307" t="n"/>
      <c r="AA36" s="307" t="n"/>
      <c r="AB36" s="307" t="n"/>
      <c r="AC36" s="307" t="n"/>
      <c r="AD36" s="307" t="n"/>
      <c r="AE36" s="307" t="n"/>
      <c r="AF36" s="307" t="n"/>
      <c r="AG36" s="307" t="n"/>
      <c r="AH36" s="307" t="n"/>
      <c r="AI36" s="307" t="n"/>
      <c r="AJ36" s="307" t="n"/>
      <c r="AK36" s="307" t="n"/>
      <c r="AL36" s="307" t="n"/>
      <c r="AM36" s="307" t="n"/>
      <c r="AN36" s="307" t="n"/>
      <c r="AO36" s="307" t="n"/>
      <c r="AP36" s="307" t="n"/>
      <c r="AQ36" s="307" t="n"/>
      <c r="AR36" s="307" t="n"/>
    </row>
    <row r="37" ht="15.75" customHeight="1" s="349">
      <c r="A37" s="307" t="n"/>
      <c r="B37" s="307" t="n"/>
      <c r="C37" s="307" t="n"/>
      <c r="D37" s="307" t="n"/>
      <c r="E37" s="307" t="n"/>
      <c r="F37" s="307" t="n"/>
      <c r="G37" s="307" t="n"/>
      <c r="H37" s="307" t="n"/>
      <c r="I37" s="307" t="n"/>
      <c r="J37" s="307" t="n"/>
      <c r="K37" s="307" t="n"/>
      <c r="L37" s="307" t="n"/>
      <c r="M37" s="307" t="n"/>
      <c r="N37" s="307" t="n"/>
      <c r="O37" s="307" t="n"/>
      <c r="P37" s="307" t="n"/>
      <c r="Q37" s="307" t="n"/>
      <c r="R37" s="307" t="n"/>
      <c r="S37" s="307" t="n"/>
      <c r="T37" s="307" t="n"/>
      <c r="U37" s="307" t="n"/>
      <c r="V37" s="307" t="n"/>
      <c r="W37" s="307" t="n"/>
      <c r="X37" s="307" t="n"/>
      <c r="Y37" s="307" t="n"/>
      <c r="Z37" s="307" t="n"/>
      <c r="AA37" s="307" t="n"/>
      <c r="AB37" s="307" t="n"/>
      <c r="AC37" s="307" t="n"/>
      <c r="AD37" s="307" t="n"/>
      <c r="AE37" s="307" t="n"/>
      <c r="AF37" s="307" t="n"/>
      <c r="AG37" s="307" t="n"/>
      <c r="AH37" s="307" t="n"/>
      <c r="AI37" s="307" t="n"/>
      <c r="AJ37" s="307" t="n"/>
      <c r="AK37" s="307" t="n"/>
      <c r="AL37" s="307" t="n"/>
      <c r="AM37" s="307" t="n"/>
      <c r="AN37" s="307" t="n"/>
      <c r="AO37" s="307" t="n"/>
      <c r="AP37" s="307" t="n"/>
      <c r="AQ37" s="307" t="n"/>
      <c r="AR37" s="307" t="n"/>
    </row>
    <row r="38" ht="15.75" customHeight="1" s="349">
      <c r="A38" s="307" t="n"/>
      <c r="B38" s="307" t="n"/>
      <c r="C38" s="307" t="n"/>
      <c r="D38" s="307" t="n"/>
      <c r="E38" s="307" t="n"/>
      <c r="F38" s="307" t="n"/>
      <c r="G38" s="307" t="n"/>
      <c r="H38" s="307" t="n"/>
      <c r="I38" s="307" t="n"/>
      <c r="J38" s="307" t="n"/>
      <c r="K38" s="307" t="n"/>
      <c r="L38" s="307" t="n"/>
      <c r="M38" s="307" t="n"/>
      <c r="N38" s="307" t="n"/>
      <c r="O38" s="307" t="n"/>
      <c r="P38" s="307" t="n"/>
      <c r="Q38" s="307" t="n"/>
      <c r="R38" s="307" t="n"/>
      <c r="S38" s="307" t="n"/>
      <c r="T38" s="307" t="n"/>
      <c r="U38" s="307" t="n"/>
      <c r="V38" s="307" t="n"/>
      <c r="W38" s="307" t="n"/>
      <c r="X38" s="307" t="n"/>
      <c r="Y38" s="307" t="n"/>
      <c r="Z38" s="307" t="n"/>
      <c r="AA38" s="307" t="n"/>
      <c r="AB38" s="307" t="n"/>
      <c r="AC38" s="307" t="n"/>
      <c r="AD38" s="307" t="n"/>
      <c r="AE38" s="307" t="n"/>
      <c r="AF38" s="307" t="n"/>
      <c r="AG38" s="307" t="n"/>
      <c r="AH38" s="307" t="n"/>
      <c r="AI38" s="307" t="n"/>
      <c r="AJ38" s="307" t="n"/>
      <c r="AK38" s="307" t="n"/>
      <c r="AL38" s="307" t="n"/>
      <c r="AM38" s="307" t="n"/>
      <c r="AN38" s="307" t="n"/>
      <c r="AO38" s="307" t="n"/>
      <c r="AP38" s="307" t="n"/>
      <c r="AQ38" s="307" t="n"/>
      <c r="AR38" s="307" t="n"/>
    </row>
    <row r="39" ht="15.75" customHeight="1" s="349">
      <c r="A39" s="307" t="n"/>
      <c r="B39" s="307" t="n"/>
      <c r="C39" s="307" t="n"/>
      <c r="D39" s="307" t="n"/>
      <c r="E39" s="307" t="n"/>
      <c r="F39" s="307" t="n"/>
      <c r="G39" s="307" t="n"/>
      <c r="H39" s="307" t="n"/>
      <c r="I39" s="307" t="n"/>
      <c r="J39" s="307" t="n"/>
      <c r="K39" s="307" t="n"/>
      <c r="L39" s="307" t="n"/>
      <c r="M39" s="307" t="n"/>
      <c r="N39" s="307" t="n"/>
      <c r="O39" s="307" t="n"/>
      <c r="P39" s="307" t="n"/>
      <c r="Q39" s="307" t="n"/>
      <c r="R39" s="307" t="n"/>
      <c r="S39" s="307" t="n"/>
      <c r="T39" s="307" t="n"/>
      <c r="U39" s="307" t="n"/>
      <c r="V39" s="307" t="n"/>
      <c r="W39" s="307" t="n"/>
      <c r="X39" s="307" t="n"/>
      <c r="Y39" s="307" t="n"/>
      <c r="Z39" s="307" t="n"/>
      <c r="AA39" s="307" t="n"/>
      <c r="AB39" s="307" t="n"/>
      <c r="AC39" s="307" t="n"/>
      <c r="AD39" s="307" t="n"/>
      <c r="AE39" s="307" t="n"/>
      <c r="AF39" s="307" t="n"/>
      <c r="AG39" s="307" t="n"/>
      <c r="AH39" s="307" t="n"/>
      <c r="AI39" s="307" t="n"/>
      <c r="AJ39" s="307" t="n"/>
      <c r="AK39" s="307" t="n"/>
      <c r="AL39" s="307" t="n"/>
      <c r="AM39" s="307" t="n"/>
      <c r="AN39" s="307" t="n"/>
      <c r="AO39" s="307" t="n"/>
      <c r="AP39" s="307" t="n"/>
      <c r="AQ39" s="307" t="n"/>
      <c r="AR39" s="307" t="n"/>
    </row>
    <row r="40" ht="15.75" customHeight="1" s="349">
      <c r="A40" s="307" t="n"/>
      <c r="B40" s="307" t="n"/>
      <c r="C40" s="307" t="n"/>
      <c r="D40" s="307" t="n"/>
      <c r="E40" s="307" t="n"/>
      <c r="F40" s="307" t="n"/>
      <c r="G40" s="307" t="n"/>
      <c r="H40" s="307" t="n"/>
      <c r="I40" s="307" t="n"/>
      <c r="J40" s="307" t="n"/>
      <c r="K40" s="307" t="n"/>
      <c r="L40" s="307" t="n"/>
      <c r="M40" s="307" t="n"/>
      <c r="N40" s="307" t="n"/>
      <c r="O40" s="307" t="n"/>
      <c r="P40" s="307" t="n"/>
      <c r="Q40" s="307" t="n"/>
      <c r="R40" s="307" t="n"/>
      <c r="S40" s="307" t="n"/>
      <c r="T40" s="307" t="n"/>
      <c r="U40" s="307" t="n"/>
      <c r="V40" s="307" t="n"/>
      <c r="W40" s="307" t="n"/>
      <c r="X40" s="307" t="n"/>
      <c r="Y40" s="307" t="n"/>
      <c r="Z40" s="307" t="n"/>
      <c r="AA40" s="307" t="n"/>
      <c r="AB40" s="307" t="n"/>
      <c r="AC40" s="307" t="n"/>
      <c r="AD40" s="307" t="n"/>
      <c r="AE40" s="307" t="n"/>
      <c r="AF40" s="307" t="n"/>
      <c r="AG40" s="307" t="n"/>
      <c r="AH40" s="307" t="n"/>
      <c r="AI40" s="307" t="n"/>
      <c r="AJ40" s="307" t="n"/>
      <c r="AK40" s="307" t="n"/>
      <c r="AL40" s="307" t="n"/>
      <c r="AM40" s="307" t="n"/>
      <c r="AN40" s="307" t="n"/>
      <c r="AO40" s="307" t="n"/>
      <c r="AP40" s="307" t="n"/>
      <c r="AQ40" s="307" t="n"/>
      <c r="AR40" s="307" t="n"/>
    </row>
    <row r="41" ht="15.75" customHeight="1" s="349">
      <c r="A41" s="307" t="n"/>
      <c r="B41" s="307" t="n"/>
      <c r="C41" s="307" t="n"/>
      <c r="D41" s="307" t="n"/>
      <c r="E41" s="307" t="n"/>
      <c r="F41" s="307" t="n"/>
      <c r="G41" s="307" t="n"/>
      <c r="H41" s="307" t="n"/>
      <c r="I41" s="307" t="n"/>
      <c r="J41" s="307" t="n"/>
      <c r="K41" s="307" t="n"/>
      <c r="L41" s="307" t="n"/>
      <c r="M41" s="307" t="n"/>
      <c r="N41" s="307" t="n"/>
      <c r="O41" s="307" t="n"/>
      <c r="P41" s="307" t="n"/>
      <c r="Q41" s="307" t="n"/>
      <c r="R41" s="307" t="n"/>
      <c r="S41" s="307" t="n"/>
      <c r="T41" s="307" t="n"/>
      <c r="U41" s="307" t="n"/>
      <c r="V41" s="307" t="n"/>
      <c r="W41" s="307" t="n"/>
      <c r="X41" s="307" t="n"/>
      <c r="Y41" s="307" t="n"/>
      <c r="Z41" s="307" t="n"/>
      <c r="AA41" s="307" t="n"/>
      <c r="AB41" s="307" t="n"/>
      <c r="AC41" s="307" t="n"/>
      <c r="AD41" s="307" t="n"/>
      <c r="AE41" s="307" t="n"/>
      <c r="AF41" s="307" t="n"/>
      <c r="AG41" s="307" t="n"/>
      <c r="AH41" s="307" t="n"/>
      <c r="AI41" s="307" t="n"/>
      <c r="AJ41" s="307" t="n"/>
      <c r="AK41" s="307" t="n"/>
      <c r="AL41" s="307" t="n"/>
      <c r="AM41" s="307" t="n"/>
      <c r="AN41" s="307" t="n"/>
      <c r="AO41" s="307" t="n"/>
      <c r="AP41" s="307" t="n"/>
      <c r="AQ41" s="307" t="n"/>
      <c r="AR41" s="307" t="n"/>
    </row>
    <row r="42" ht="15.75" customHeight="1" s="349">
      <c r="A42" s="307" t="n"/>
      <c r="B42" s="307" t="n"/>
      <c r="C42" s="307" t="n"/>
      <c r="D42" s="307" t="n"/>
      <c r="E42" s="307" t="n"/>
      <c r="F42" s="307" t="n"/>
      <c r="G42" s="307" t="n"/>
      <c r="H42" s="307" t="n"/>
      <c r="I42" s="307" t="n"/>
      <c r="J42" s="307" t="n"/>
      <c r="K42" s="307" t="n"/>
      <c r="L42" s="307" t="n"/>
      <c r="M42" s="307" t="n"/>
      <c r="N42" s="307" t="n"/>
      <c r="O42" s="307" t="n"/>
      <c r="P42" s="307" t="n"/>
      <c r="Q42" s="307" t="n"/>
      <c r="R42" s="307" t="n"/>
      <c r="S42" s="307" t="n"/>
      <c r="T42" s="307" t="n"/>
      <c r="U42" s="307" t="n"/>
      <c r="V42" s="307" t="n"/>
      <c r="W42" s="307" t="n"/>
      <c r="X42" s="307" t="n"/>
      <c r="Y42" s="307" t="n"/>
      <c r="Z42" s="307" t="n"/>
      <c r="AA42" s="307" t="n"/>
      <c r="AB42" s="307" t="n"/>
      <c r="AC42" s="307" t="n"/>
      <c r="AD42" s="307" t="n"/>
      <c r="AE42" s="307" t="n"/>
      <c r="AF42" s="307" t="n"/>
      <c r="AG42" s="307" t="n"/>
      <c r="AH42" s="307" t="n"/>
      <c r="AI42" s="307" t="n"/>
      <c r="AJ42" s="307" t="n"/>
      <c r="AK42" s="307" t="n"/>
      <c r="AL42" s="307" t="n"/>
      <c r="AM42" s="307" t="n"/>
      <c r="AN42" s="307" t="n"/>
      <c r="AO42" s="307" t="n"/>
      <c r="AP42" s="307" t="n"/>
      <c r="AQ42" s="307" t="n"/>
      <c r="AR42" s="307" t="n"/>
    </row>
    <row r="43" ht="15.75" customHeight="1" s="349">
      <c r="A43" s="307" t="n"/>
      <c r="B43" s="307" t="n"/>
      <c r="C43" s="307" t="n"/>
      <c r="D43" s="307" t="n"/>
      <c r="E43" s="307" t="n"/>
      <c r="F43" s="307" t="n"/>
      <c r="G43" s="307" t="n"/>
      <c r="H43" s="307" t="n"/>
      <c r="I43" s="307" t="n"/>
      <c r="J43" s="307" t="n"/>
      <c r="K43" s="307" t="n"/>
      <c r="L43" s="307" t="n"/>
      <c r="M43" s="307" t="n"/>
      <c r="N43" s="307" t="n"/>
      <c r="O43" s="307" t="n"/>
      <c r="P43" s="307" t="n"/>
      <c r="Q43" s="307" t="n"/>
      <c r="R43" s="307" t="n"/>
      <c r="S43" s="307" t="n"/>
      <c r="T43" s="307" t="n"/>
      <c r="U43" s="307" t="n"/>
      <c r="V43" s="307" t="n"/>
      <c r="W43" s="307" t="n"/>
      <c r="X43" s="307" t="n"/>
      <c r="Y43" s="307" t="n"/>
      <c r="Z43" s="307" t="n"/>
      <c r="AA43" s="307" t="n"/>
      <c r="AB43" s="307" t="n"/>
      <c r="AC43" s="307" t="n"/>
      <c r="AD43" s="307" t="n"/>
      <c r="AE43" s="307" t="n"/>
      <c r="AF43" s="307" t="n"/>
      <c r="AG43" s="307" t="n"/>
      <c r="AH43" s="307" t="n"/>
      <c r="AI43" s="307" t="n"/>
      <c r="AJ43" s="307" t="n"/>
      <c r="AK43" s="307" t="n"/>
      <c r="AL43" s="307" t="n"/>
      <c r="AM43" s="307" t="n"/>
      <c r="AN43" s="307" t="n"/>
      <c r="AO43" s="307" t="n"/>
      <c r="AP43" s="307" t="n"/>
      <c r="AQ43" s="307" t="n"/>
      <c r="AR43" s="307" t="n"/>
    </row>
    <row r="44" ht="15.75" customHeight="1" s="349">
      <c r="A44" s="307" t="n"/>
      <c r="B44" s="307" t="n"/>
      <c r="C44" s="307" t="n"/>
      <c r="D44" s="307" t="n"/>
      <c r="E44" s="307" t="n"/>
      <c r="F44" s="307" t="n"/>
      <c r="G44" s="307" t="n"/>
      <c r="H44" s="307" t="n"/>
      <c r="I44" s="307" t="n"/>
      <c r="J44" s="307" t="n"/>
      <c r="K44" s="307" t="n"/>
      <c r="L44" s="307" t="n"/>
      <c r="M44" s="307" t="n"/>
      <c r="N44" s="307" t="n"/>
      <c r="O44" s="307" t="n"/>
      <c r="P44" s="307" t="n"/>
      <c r="Q44" s="307" t="n"/>
      <c r="R44" s="307" t="n"/>
      <c r="S44" s="307" t="n"/>
      <c r="T44" s="307" t="n"/>
      <c r="U44" s="307" t="n"/>
      <c r="V44" s="307" t="n"/>
      <c r="W44" s="307" t="n"/>
      <c r="X44" s="307" t="n"/>
      <c r="Y44" s="307" t="n"/>
      <c r="Z44" s="307" t="n"/>
      <c r="AA44" s="307" t="n"/>
      <c r="AB44" s="307" t="n"/>
      <c r="AC44" s="307" t="n"/>
      <c r="AD44" s="307" t="n"/>
      <c r="AE44" s="307" t="n"/>
      <c r="AF44" s="307" t="n"/>
      <c r="AG44" s="307" t="n"/>
      <c r="AH44" s="307" t="n"/>
      <c r="AI44" s="307" t="n"/>
      <c r="AJ44" s="307" t="n"/>
      <c r="AK44" s="307" t="n"/>
      <c r="AL44" s="307" t="n"/>
      <c r="AM44" s="307" t="n"/>
      <c r="AN44" s="307" t="n"/>
      <c r="AO44" s="307" t="n"/>
      <c r="AP44" s="307" t="n"/>
      <c r="AQ44" s="307" t="n"/>
      <c r="AR44" s="307" t="n"/>
    </row>
    <row r="45" ht="15.75" customHeight="1" s="349">
      <c r="A45" s="307" t="n"/>
      <c r="B45" s="307" t="n"/>
      <c r="C45" s="307" t="n"/>
      <c r="D45" s="307" t="n"/>
      <c r="E45" s="307" t="n"/>
      <c r="F45" s="307" t="n"/>
      <c r="G45" s="307" t="n"/>
      <c r="H45" s="307" t="n"/>
      <c r="I45" s="307" t="n"/>
      <c r="J45" s="307" t="n"/>
      <c r="K45" s="307" t="n"/>
      <c r="L45" s="307" t="n"/>
      <c r="M45" s="307" t="n"/>
      <c r="N45" s="307" t="n"/>
      <c r="O45" s="307" t="n"/>
      <c r="P45" s="307" t="n"/>
      <c r="Q45" s="307" t="n"/>
      <c r="R45" s="307" t="n"/>
      <c r="S45" s="307" t="n"/>
      <c r="T45" s="307" t="n"/>
      <c r="U45" s="307" t="n"/>
      <c r="V45" s="307" t="n"/>
      <c r="W45" s="307" t="n"/>
      <c r="X45" s="307" t="n"/>
      <c r="Y45" s="307" t="n"/>
      <c r="Z45" s="307" t="n"/>
      <c r="AA45" s="307" t="n"/>
      <c r="AB45" s="307" t="n"/>
      <c r="AC45" s="307" t="n"/>
      <c r="AD45" s="307" t="n"/>
      <c r="AE45" s="307" t="n"/>
      <c r="AF45" s="307" t="n"/>
      <c r="AG45" s="307" t="n"/>
      <c r="AH45" s="307" t="n"/>
      <c r="AI45" s="307" t="n"/>
      <c r="AJ45" s="307" t="n"/>
      <c r="AK45" s="307" t="n"/>
      <c r="AL45" s="307" t="n"/>
      <c r="AM45" s="307" t="n"/>
      <c r="AN45" s="307" t="n"/>
      <c r="AO45" s="307" t="n"/>
      <c r="AP45" s="307" t="n"/>
      <c r="AQ45" s="307" t="n"/>
      <c r="AR45" s="307" t="n"/>
    </row>
    <row r="46" ht="15.75" customHeight="1" s="349">
      <c r="A46" s="307" t="n"/>
      <c r="B46" s="307" t="n"/>
      <c r="C46" s="307" t="n"/>
      <c r="D46" s="307" t="n"/>
      <c r="E46" s="307" t="n"/>
      <c r="F46" s="307" t="n"/>
      <c r="G46" s="307" t="n"/>
      <c r="H46" s="307" t="n"/>
      <c r="I46" s="307" t="n"/>
      <c r="J46" s="307" t="n"/>
      <c r="K46" s="307" t="n"/>
      <c r="L46" s="307" t="n"/>
      <c r="M46" s="307" t="n"/>
      <c r="N46" s="307" t="n"/>
      <c r="O46" s="307" t="n"/>
      <c r="P46" s="307" t="n"/>
      <c r="Q46" s="307" t="n"/>
      <c r="R46" s="307" t="n"/>
      <c r="S46" s="307" t="n"/>
      <c r="T46" s="307" t="n"/>
      <c r="U46" s="307" t="n"/>
      <c r="V46" s="307" t="n"/>
      <c r="W46" s="307" t="n"/>
      <c r="X46" s="307" t="n"/>
      <c r="Y46" s="307" t="n"/>
      <c r="Z46" s="307" t="n"/>
      <c r="AA46" s="307" t="n"/>
      <c r="AB46" s="307" t="n"/>
      <c r="AC46" s="307" t="n"/>
      <c r="AD46" s="307" t="n"/>
      <c r="AE46" s="307" t="n"/>
      <c r="AF46" s="307" t="n"/>
      <c r="AG46" s="307" t="n"/>
      <c r="AH46" s="307" t="n"/>
      <c r="AI46" s="307" t="n"/>
      <c r="AJ46" s="307" t="n"/>
      <c r="AK46" s="307" t="n"/>
      <c r="AL46" s="307" t="n"/>
      <c r="AM46" s="307" t="n"/>
      <c r="AN46" s="307" t="n"/>
      <c r="AO46" s="307" t="n"/>
      <c r="AP46" s="307" t="n"/>
      <c r="AQ46" s="307" t="n"/>
      <c r="AR46" s="307" t="n"/>
    </row>
    <row r="47" ht="15.75" customHeight="1" s="349">
      <c r="A47" s="307" t="n"/>
      <c r="B47" s="307" t="n"/>
      <c r="C47" s="307" t="n"/>
      <c r="D47" s="307" t="n"/>
      <c r="E47" s="307" t="n"/>
      <c r="F47" s="307" t="n"/>
      <c r="G47" s="307" t="n"/>
      <c r="H47" s="307" t="n"/>
      <c r="I47" s="307" t="n"/>
      <c r="J47" s="307" t="n"/>
      <c r="K47" s="307" t="n"/>
      <c r="L47" s="307" t="n"/>
      <c r="M47" s="307" t="n"/>
      <c r="N47" s="307" t="n"/>
      <c r="O47" s="307" t="n"/>
      <c r="P47" s="307" t="n"/>
      <c r="Q47" s="307" t="n"/>
      <c r="R47" s="307" t="n"/>
      <c r="S47" s="307" t="n"/>
      <c r="T47" s="307" t="n"/>
      <c r="U47" s="307" t="n"/>
      <c r="V47" s="307" t="n"/>
      <c r="W47" s="307" t="n"/>
      <c r="X47" s="307" t="n"/>
      <c r="Y47" s="307" t="n"/>
      <c r="Z47" s="307" t="n"/>
      <c r="AA47" s="307" t="n"/>
      <c r="AB47" s="307" t="n"/>
      <c r="AC47" s="307" t="n"/>
      <c r="AD47" s="307" t="n"/>
      <c r="AE47" s="307" t="n"/>
      <c r="AF47" s="307" t="n"/>
      <c r="AG47" s="307" t="n"/>
      <c r="AH47" s="307" t="n"/>
      <c r="AI47" s="307" t="n"/>
      <c r="AJ47" s="307" t="n"/>
      <c r="AK47" s="307" t="n"/>
      <c r="AL47" s="307" t="n"/>
      <c r="AM47" s="307" t="n"/>
      <c r="AN47" s="307" t="n"/>
      <c r="AO47" s="307" t="n"/>
      <c r="AP47" s="307" t="n"/>
      <c r="AQ47" s="307" t="n"/>
      <c r="AR47" s="307" t="n"/>
    </row>
    <row r="48" ht="15.75" customHeight="1" s="349">
      <c r="A48" s="307" t="n"/>
      <c r="B48" s="307" t="n"/>
      <c r="C48" s="307" t="n"/>
      <c r="D48" s="307" t="n"/>
      <c r="E48" s="307" t="n"/>
      <c r="F48" s="307" t="n"/>
      <c r="G48" s="307" t="n"/>
      <c r="H48" s="307" t="n"/>
      <c r="I48" s="307" t="n"/>
      <c r="J48" s="307" t="n"/>
      <c r="K48" s="307" t="n"/>
      <c r="L48" s="307" t="n"/>
      <c r="M48" s="307" t="n"/>
      <c r="N48" s="307" t="n"/>
      <c r="O48" s="307" t="n"/>
      <c r="P48" s="307" t="n"/>
      <c r="Q48" s="307" t="n"/>
      <c r="R48" s="307" t="n"/>
      <c r="S48" s="307" t="n"/>
      <c r="T48" s="307" t="n"/>
      <c r="U48" s="307" t="n"/>
      <c r="V48" s="307" t="n"/>
      <c r="W48" s="307" t="n"/>
      <c r="X48" s="307" t="n"/>
      <c r="Y48" s="307" t="n"/>
      <c r="Z48" s="307" t="n"/>
      <c r="AA48" s="307" t="n"/>
      <c r="AB48" s="307" t="n"/>
      <c r="AC48" s="307" t="n"/>
      <c r="AD48" s="307" t="n"/>
      <c r="AE48" s="307" t="n"/>
      <c r="AF48" s="307" t="n"/>
      <c r="AG48" s="307" t="n"/>
      <c r="AH48" s="307" t="n"/>
      <c r="AI48" s="307" t="n"/>
      <c r="AJ48" s="307" t="n"/>
      <c r="AK48" s="307" t="n"/>
      <c r="AL48" s="307" t="n"/>
      <c r="AM48" s="307" t="n"/>
      <c r="AN48" s="307" t="n"/>
      <c r="AO48" s="307" t="n"/>
      <c r="AP48" s="307" t="n"/>
      <c r="AQ48" s="307" t="n"/>
      <c r="AR48" s="307" t="n"/>
    </row>
    <row r="49" ht="15.75" customHeight="1" s="349">
      <c r="A49" s="307" t="n"/>
      <c r="B49" s="307" t="n"/>
      <c r="C49" s="307" t="n"/>
      <c r="D49" s="307" t="n"/>
      <c r="E49" s="307" t="n"/>
      <c r="F49" s="307" t="n"/>
      <c r="G49" s="307" t="n"/>
      <c r="H49" s="307" t="n"/>
      <c r="I49" s="307" t="n"/>
      <c r="J49" s="307" t="n"/>
      <c r="K49" s="307" t="n"/>
      <c r="L49" s="307" t="n"/>
      <c r="M49" s="307" t="n"/>
      <c r="N49" s="307" t="n"/>
      <c r="O49" s="307" t="n"/>
      <c r="P49" s="307" t="n"/>
      <c r="Q49" s="307" t="n"/>
      <c r="R49" s="307" t="n"/>
      <c r="S49" s="307" t="n"/>
      <c r="T49" s="307" t="n"/>
      <c r="U49" s="307" t="n"/>
      <c r="V49" s="307" t="n"/>
      <c r="W49" s="307" t="n"/>
      <c r="X49" s="307" t="n"/>
      <c r="Y49" s="307" t="n"/>
      <c r="Z49" s="307" t="n"/>
      <c r="AA49" s="307" t="n"/>
      <c r="AB49" s="307" t="n"/>
      <c r="AC49" s="307" t="n"/>
      <c r="AD49" s="307" t="n"/>
      <c r="AE49" s="307" t="n"/>
      <c r="AF49" s="307" t="n"/>
      <c r="AG49" s="307" t="n"/>
      <c r="AH49" s="307" t="n"/>
      <c r="AI49" s="307" t="n"/>
      <c r="AJ49" s="307" t="n"/>
      <c r="AK49" s="307" t="n"/>
      <c r="AL49" s="307" t="n"/>
      <c r="AM49" s="307" t="n"/>
      <c r="AN49" s="307" t="n"/>
      <c r="AO49" s="307" t="n"/>
      <c r="AP49" s="307" t="n"/>
      <c r="AQ49" s="307" t="n"/>
      <c r="AR49" s="307" t="n"/>
    </row>
    <row r="50" ht="15.75" customHeight="1" s="349">
      <c r="A50" s="307" t="n"/>
      <c r="B50" s="307" t="n"/>
      <c r="C50" s="307" t="n"/>
      <c r="D50" s="307" t="n"/>
      <c r="E50" s="307" t="n"/>
      <c r="F50" s="307" t="n"/>
      <c r="G50" s="307" t="n"/>
      <c r="H50" s="307" t="n"/>
      <c r="I50" s="307" t="n"/>
      <c r="J50" s="307" t="n"/>
      <c r="K50" s="307" t="n"/>
      <c r="L50" s="307" t="n"/>
      <c r="M50" s="307" t="n"/>
      <c r="N50" s="307" t="n"/>
      <c r="O50" s="307" t="n"/>
      <c r="P50" s="307" t="n"/>
      <c r="Q50" s="307" t="n"/>
      <c r="R50" s="307" t="n"/>
      <c r="S50" s="307" t="n"/>
      <c r="T50" s="307" t="n"/>
      <c r="U50" s="307" t="n"/>
      <c r="V50" s="307" t="n"/>
      <c r="W50" s="307" t="n"/>
      <c r="X50" s="307" t="n"/>
      <c r="Y50" s="307" t="n"/>
      <c r="Z50" s="307" t="n"/>
      <c r="AA50" s="307" t="n"/>
      <c r="AB50" s="307" t="n"/>
      <c r="AC50" s="307" t="n"/>
      <c r="AD50" s="307" t="n"/>
      <c r="AE50" s="307" t="n"/>
      <c r="AF50" s="307" t="n"/>
      <c r="AG50" s="307" t="n"/>
      <c r="AH50" s="307" t="n"/>
      <c r="AI50" s="307" t="n"/>
      <c r="AJ50" s="307" t="n"/>
      <c r="AK50" s="307" t="n"/>
      <c r="AL50" s="307" t="n"/>
      <c r="AM50" s="307" t="n"/>
      <c r="AN50" s="307" t="n"/>
      <c r="AO50" s="307" t="n"/>
      <c r="AP50" s="307" t="n"/>
      <c r="AQ50" s="307" t="n"/>
      <c r="AR50" s="307" t="n"/>
    </row>
    <row r="51" ht="15.75" customHeight="1" s="349">
      <c r="A51" s="307" t="n"/>
      <c r="B51" s="307" t="n"/>
      <c r="C51" s="307" t="n"/>
      <c r="D51" s="307" t="n"/>
      <c r="E51" s="307" t="n"/>
      <c r="F51" s="307" t="n"/>
      <c r="G51" s="307" t="n"/>
      <c r="H51" s="307" t="n"/>
      <c r="I51" s="307" t="n"/>
      <c r="J51" s="307" t="n"/>
      <c r="K51" s="307" t="n"/>
      <c r="L51" s="307" t="n"/>
      <c r="M51" s="307" t="n"/>
      <c r="N51" s="307" t="n"/>
      <c r="O51" s="307" t="n"/>
      <c r="P51" s="307" t="n"/>
      <c r="Q51" s="307" t="n"/>
      <c r="R51" s="307" t="n"/>
      <c r="S51" s="307" t="n"/>
      <c r="T51" s="307" t="n"/>
      <c r="U51" s="307" t="n"/>
      <c r="V51" s="307" t="n"/>
      <c r="W51" s="307" t="n"/>
      <c r="X51" s="307" t="n"/>
      <c r="Y51" s="307" t="n"/>
      <c r="Z51" s="307" t="n"/>
      <c r="AA51" s="307" t="n"/>
      <c r="AB51" s="307" t="n"/>
      <c r="AC51" s="307" t="n"/>
      <c r="AD51" s="307" t="n"/>
      <c r="AE51" s="307" t="n"/>
      <c r="AF51" s="307" t="n"/>
      <c r="AG51" s="307" t="n"/>
      <c r="AH51" s="307" t="n"/>
      <c r="AI51" s="307" t="n"/>
      <c r="AJ51" s="307" t="n"/>
      <c r="AK51" s="307" t="n"/>
      <c r="AL51" s="307" t="n"/>
      <c r="AM51" s="307" t="n"/>
      <c r="AN51" s="307" t="n"/>
      <c r="AO51" s="307" t="n"/>
      <c r="AP51" s="307" t="n"/>
      <c r="AQ51" s="307" t="n"/>
      <c r="AR51" s="307" t="n"/>
    </row>
    <row r="52" ht="15.75" customHeight="1" s="349">
      <c r="A52" s="307" t="n"/>
      <c r="B52" s="307" t="n"/>
      <c r="C52" s="307" t="n"/>
      <c r="D52" s="307" t="n"/>
      <c r="E52" s="307" t="n"/>
      <c r="F52" s="307" t="n"/>
      <c r="G52" s="307" t="n"/>
      <c r="H52" s="307" t="n"/>
      <c r="I52" s="307" t="n"/>
      <c r="J52" s="307" t="n"/>
      <c r="K52" s="307" t="n"/>
      <c r="L52" s="307" t="n"/>
      <c r="M52" s="307" t="n"/>
      <c r="N52" s="307" t="n"/>
      <c r="O52" s="307" t="n"/>
      <c r="P52" s="307" t="n"/>
      <c r="Q52" s="307" t="n"/>
      <c r="R52" s="307" t="n"/>
      <c r="S52" s="307" t="n"/>
      <c r="T52" s="307" t="n"/>
      <c r="U52" s="307" t="n"/>
      <c r="V52" s="307" t="n"/>
      <c r="W52" s="307" t="n"/>
      <c r="X52" s="307" t="n"/>
      <c r="Y52" s="307" t="n"/>
      <c r="Z52" s="307" t="n"/>
      <c r="AA52" s="307" t="n"/>
      <c r="AB52" s="307" t="n"/>
      <c r="AC52" s="307" t="n"/>
      <c r="AD52" s="307" t="n"/>
      <c r="AE52" s="307" t="n"/>
      <c r="AF52" s="307" t="n"/>
      <c r="AG52" s="307" t="n"/>
      <c r="AH52" s="307" t="n"/>
      <c r="AI52" s="307" t="n"/>
      <c r="AJ52" s="307" t="n"/>
      <c r="AK52" s="307" t="n"/>
      <c r="AL52" s="307" t="n"/>
      <c r="AM52" s="307" t="n"/>
      <c r="AN52" s="307" t="n"/>
      <c r="AO52" s="307" t="n"/>
      <c r="AP52" s="307" t="n"/>
      <c r="AQ52" s="307" t="n"/>
      <c r="AR52" s="307" t="n"/>
    </row>
    <row r="53" ht="15.75" customHeight="1" s="349">
      <c r="A53" s="307" t="n"/>
      <c r="B53" s="307" t="n"/>
      <c r="C53" s="307" t="n"/>
      <c r="D53" s="307" t="n"/>
      <c r="E53" s="307" t="n"/>
      <c r="F53" s="307" t="n"/>
      <c r="G53" s="307" t="n"/>
      <c r="H53" s="307" t="n"/>
      <c r="I53" s="307" t="n"/>
      <c r="J53" s="307" t="n"/>
      <c r="K53" s="307" t="n"/>
      <c r="L53" s="307" t="n"/>
      <c r="M53" s="307" t="n"/>
      <c r="N53" s="307" t="n"/>
      <c r="O53" s="307" t="n"/>
      <c r="P53" s="307" t="n"/>
      <c r="Q53" s="307" t="n"/>
      <c r="R53" s="307" t="n"/>
      <c r="S53" s="307" t="n"/>
      <c r="T53" s="307" t="n"/>
      <c r="U53" s="307" t="n"/>
      <c r="V53" s="307" t="n"/>
      <c r="W53" s="307" t="n"/>
      <c r="X53" s="307" t="n"/>
      <c r="Y53" s="307" t="n"/>
      <c r="Z53" s="307" t="n"/>
      <c r="AA53" s="307" t="n"/>
      <c r="AB53" s="307" t="n"/>
      <c r="AC53" s="307" t="n"/>
      <c r="AD53" s="307" t="n"/>
      <c r="AE53" s="307" t="n"/>
      <c r="AF53" s="307" t="n"/>
      <c r="AG53" s="307" t="n"/>
      <c r="AH53" s="307" t="n"/>
      <c r="AI53" s="307" t="n"/>
      <c r="AJ53" s="307" t="n"/>
      <c r="AK53" s="307" t="n"/>
      <c r="AL53" s="307" t="n"/>
      <c r="AM53" s="307" t="n"/>
      <c r="AN53" s="307" t="n"/>
      <c r="AO53" s="307" t="n"/>
      <c r="AP53" s="307" t="n"/>
      <c r="AQ53" s="307" t="n"/>
      <c r="AR53" s="307" t="n"/>
    </row>
    <row r="54" ht="15.75" customHeight="1" s="349">
      <c r="A54" s="307" t="n"/>
      <c r="B54" s="307" t="n"/>
      <c r="C54" s="307" t="n"/>
      <c r="D54" s="307" t="n"/>
      <c r="E54" s="307" t="n"/>
      <c r="F54" s="307" t="n"/>
      <c r="G54" s="307" t="n"/>
      <c r="H54" s="307" t="n"/>
      <c r="I54" s="307" t="n"/>
      <c r="J54" s="307" t="n"/>
      <c r="K54" s="307" t="n"/>
      <c r="L54" s="307" t="n"/>
      <c r="M54" s="307" t="n"/>
      <c r="N54" s="307" t="n"/>
      <c r="O54" s="307" t="n"/>
      <c r="P54" s="307" t="n"/>
      <c r="Q54" s="307" t="n"/>
      <c r="R54" s="307" t="n"/>
      <c r="S54" s="307" t="n"/>
      <c r="T54" s="307" t="n"/>
      <c r="U54" s="307" t="n"/>
      <c r="V54" s="307" t="n"/>
      <c r="W54" s="307" t="n"/>
      <c r="X54" s="307" t="n"/>
      <c r="Y54" s="307" t="n"/>
      <c r="Z54" s="307" t="n"/>
      <c r="AA54" s="307" t="n"/>
      <c r="AB54" s="307" t="n"/>
      <c r="AC54" s="307" t="n"/>
      <c r="AD54" s="307" t="n"/>
      <c r="AE54" s="307" t="n"/>
      <c r="AF54" s="307" t="n"/>
      <c r="AG54" s="307" t="n"/>
      <c r="AH54" s="307" t="n"/>
      <c r="AI54" s="307" t="n"/>
      <c r="AJ54" s="307" t="n"/>
      <c r="AK54" s="307" t="n"/>
      <c r="AL54" s="307" t="n"/>
      <c r="AM54" s="307" t="n"/>
      <c r="AN54" s="307" t="n"/>
      <c r="AO54" s="307" t="n"/>
      <c r="AP54" s="307" t="n"/>
      <c r="AQ54" s="307" t="n"/>
      <c r="AR54" s="307" t="n"/>
    </row>
    <row r="55" ht="15.75" customHeight="1" s="349">
      <c r="A55" s="307" t="n"/>
      <c r="B55" s="307" t="n"/>
      <c r="C55" s="307" t="n"/>
      <c r="D55" s="307" t="n"/>
      <c r="E55" s="307" t="n"/>
      <c r="F55" s="307" t="n"/>
      <c r="G55" s="307" t="n"/>
      <c r="H55" s="307" t="n"/>
      <c r="I55" s="307" t="n"/>
      <c r="J55" s="307" t="n"/>
      <c r="K55" s="307" t="n"/>
      <c r="L55" s="307" t="n"/>
      <c r="M55" s="307" t="n"/>
      <c r="N55" s="307" t="n"/>
      <c r="O55" s="307" t="n"/>
      <c r="P55" s="307" t="n"/>
      <c r="Q55" s="307" t="n"/>
      <c r="R55" s="307" t="n"/>
      <c r="S55" s="307" t="n"/>
      <c r="T55" s="307" t="n"/>
      <c r="U55" s="307" t="n"/>
      <c r="V55" s="307" t="n"/>
      <c r="W55" s="307" t="n"/>
      <c r="X55" s="307" t="n"/>
      <c r="Y55" s="307" t="n"/>
      <c r="Z55" s="307" t="n"/>
      <c r="AA55" s="307" t="n"/>
      <c r="AB55" s="307" t="n"/>
      <c r="AC55" s="307" t="n"/>
      <c r="AD55" s="307" t="n"/>
      <c r="AE55" s="307" t="n"/>
      <c r="AF55" s="307" t="n"/>
      <c r="AG55" s="307" t="n"/>
      <c r="AH55" s="307" t="n"/>
      <c r="AI55" s="307" t="n"/>
      <c r="AJ55" s="307" t="n"/>
      <c r="AK55" s="307" t="n"/>
      <c r="AL55" s="307" t="n"/>
      <c r="AM55" s="307" t="n"/>
      <c r="AN55" s="307" t="n"/>
      <c r="AO55" s="307" t="n"/>
      <c r="AP55" s="307" t="n"/>
      <c r="AQ55" s="307" t="n"/>
      <c r="AR55" s="307" t="n"/>
    </row>
    <row r="56" ht="15.75" customHeight="1" s="349">
      <c r="A56" s="307" t="n"/>
      <c r="B56" s="307" t="n"/>
      <c r="C56" s="307" t="n"/>
      <c r="D56" s="307" t="n"/>
      <c r="E56" s="307" t="n"/>
      <c r="F56" s="307" t="n"/>
      <c r="G56" s="307" t="n"/>
      <c r="H56" s="307" t="n"/>
      <c r="I56" s="307" t="n"/>
      <c r="J56" s="307" t="n"/>
      <c r="K56" s="307" t="n"/>
      <c r="L56" s="307" t="n"/>
      <c r="M56" s="307" t="n"/>
      <c r="N56" s="307" t="n"/>
      <c r="O56" s="307" t="n"/>
      <c r="P56" s="307" t="n"/>
      <c r="Q56" s="307" t="n"/>
      <c r="R56" s="307" t="n"/>
      <c r="S56" s="307" t="n"/>
      <c r="T56" s="307" t="n"/>
      <c r="U56" s="307" t="n"/>
      <c r="V56" s="307" t="n"/>
      <c r="W56" s="307" t="n"/>
      <c r="X56" s="307" t="n"/>
      <c r="Y56" s="307" t="n"/>
      <c r="Z56" s="307" t="n"/>
      <c r="AA56" s="307" t="n"/>
      <c r="AB56" s="307" t="n"/>
      <c r="AC56" s="307" t="n"/>
      <c r="AD56" s="307" t="n"/>
      <c r="AE56" s="307" t="n"/>
      <c r="AF56" s="307" t="n"/>
      <c r="AG56" s="307" t="n"/>
      <c r="AH56" s="307" t="n"/>
      <c r="AI56" s="307" t="n"/>
      <c r="AJ56" s="307" t="n"/>
      <c r="AK56" s="307" t="n"/>
      <c r="AL56" s="307" t="n"/>
      <c r="AM56" s="307" t="n"/>
      <c r="AN56" s="307" t="n"/>
      <c r="AO56" s="307" t="n"/>
      <c r="AP56" s="307" t="n"/>
      <c r="AQ56" s="307" t="n"/>
      <c r="AR56" s="307" t="n"/>
    </row>
    <row r="57" ht="15.75" customHeight="1" s="349">
      <c r="A57" s="307" t="n"/>
      <c r="B57" s="307" t="n"/>
      <c r="C57" s="307" t="n"/>
      <c r="D57" s="307" t="n"/>
      <c r="E57" s="307" t="n"/>
      <c r="F57" s="307" t="n"/>
      <c r="G57" s="307" t="n"/>
      <c r="H57" s="307" t="n"/>
      <c r="I57" s="307" t="n"/>
      <c r="J57" s="307" t="n"/>
      <c r="K57" s="307" t="n"/>
      <c r="L57" s="307" t="n"/>
      <c r="M57" s="307" t="n"/>
      <c r="N57" s="307" t="n"/>
      <c r="O57" s="307" t="n"/>
      <c r="P57" s="307" t="n"/>
      <c r="Q57" s="307" t="n"/>
      <c r="R57" s="307" t="n"/>
      <c r="S57" s="307" t="n"/>
      <c r="T57" s="307" t="n"/>
      <c r="U57" s="307" t="n"/>
      <c r="V57" s="307" t="n"/>
      <c r="W57" s="307" t="n"/>
      <c r="X57" s="307" t="n"/>
      <c r="Y57" s="307" t="n"/>
      <c r="Z57" s="307" t="n"/>
      <c r="AA57" s="307" t="n"/>
      <c r="AB57" s="307" t="n"/>
      <c r="AC57" s="307" t="n"/>
      <c r="AD57" s="307" t="n"/>
      <c r="AE57" s="307" t="n"/>
      <c r="AF57" s="307" t="n"/>
      <c r="AG57" s="307" t="n"/>
      <c r="AH57" s="307" t="n"/>
      <c r="AI57" s="307" t="n"/>
      <c r="AJ57" s="307" t="n"/>
      <c r="AK57" s="307" t="n"/>
      <c r="AL57" s="307" t="n"/>
      <c r="AM57" s="307" t="n"/>
      <c r="AN57" s="307" t="n"/>
      <c r="AO57" s="307" t="n"/>
      <c r="AP57" s="307" t="n"/>
      <c r="AQ57" s="307" t="n"/>
      <c r="AR57" s="307" t="n"/>
    </row>
    <row r="58" ht="15.75" customHeight="1" s="349">
      <c r="A58" s="307" t="n"/>
      <c r="B58" s="307" t="n"/>
      <c r="C58" s="307" t="n"/>
      <c r="D58" s="307" t="n"/>
      <c r="E58" s="307" t="n"/>
      <c r="F58" s="307" t="n"/>
      <c r="G58" s="307" t="n"/>
      <c r="H58" s="307" t="n"/>
      <c r="I58" s="307" t="n"/>
      <c r="J58" s="307" t="n"/>
      <c r="K58" s="307" t="n"/>
      <c r="L58" s="307" t="n"/>
      <c r="M58" s="307" t="n"/>
      <c r="N58" s="307" t="n"/>
      <c r="O58" s="307" t="n"/>
      <c r="P58" s="307" t="n"/>
      <c r="Q58" s="307" t="n"/>
      <c r="R58" s="307" t="n"/>
      <c r="S58" s="307" t="n"/>
      <c r="T58" s="307" t="n"/>
      <c r="U58" s="307" t="n"/>
      <c r="V58" s="307" t="n"/>
      <c r="W58" s="307" t="n"/>
      <c r="X58" s="307" t="n"/>
      <c r="Y58" s="307" t="n"/>
      <c r="Z58" s="307" t="n"/>
      <c r="AA58" s="307" t="n"/>
      <c r="AB58" s="307" t="n"/>
      <c r="AC58" s="307" t="n"/>
      <c r="AD58" s="307" t="n"/>
      <c r="AE58" s="307" t="n"/>
      <c r="AF58" s="307" t="n"/>
      <c r="AG58" s="307" t="n"/>
      <c r="AH58" s="307" t="n"/>
      <c r="AI58" s="307" t="n"/>
      <c r="AJ58" s="307" t="n"/>
      <c r="AK58" s="307" t="n"/>
      <c r="AL58" s="307" t="n"/>
      <c r="AM58" s="307" t="n"/>
      <c r="AN58" s="307" t="n"/>
      <c r="AO58" s="307" t="n"/>
      <c r="AP58" s="307" t="n"/>
      <c r="AQ58" s="307" t="n"/>
      <c r="AR58" s="307" t="n"/>
    </row>
    <row r="59" ht="15.75" customHeight="1" s="349">
      <c r="A59" s="307" t="n"/>
      <c r="B59" s="307" t="n"/>
      <c r="C59" s="307" t="n"/>
      <c r="D59" s="307" t="n"/>
      <c r="E59" s="307" t="n"/>
      <c r="F59" s="307" t="n"/>
      <c r="G59" s="307" t="n"/>
      <c r="H59" s="307" t="n"/>
      <c r="I59" s="307" t="n"/>
      <c r="J59" s="307" t="n"/>
      <c r="K59" s="307" t="n"/>
      <c r="L59" s="307" t="n"/>
      <c r="M59" s="307" t="n"/>
      <c r="N59" s="307" t="n"/>
      <c r="O59" s="307" t="n"/>
      <c r="P59" s="307" t="n"/>
      <c r="Q59" s="307" t="n"/>
      <c r="R59" s="307" t="n"/>
      <c r="S59" s="307" t="n"/>
      <c r="T59" s="307" t="n"/>
      <c r="U59" s="307" t="n"/>
      <c r="V59" s="307" t="n"/>
      <c r="W59" s="307" t="n"/>
      <c r="X59" s="307" t="n"/>
      <c r="Y59" s="307" t="n"/>
      <c r="Z59" s="307" t="n"/>
      <c r="AA59" s="307" t="n"/>
      <c r="AB59" s="307" t="n"/>
      <c r="AC59" s="307" t="n"/>
      <c r="AD59" s="307" t="n"/>
      <c r="AE59" s="307" t="n"/>
      <c r="AF59" s="307" t="n"/>
      <c r="AG59" s="307" t="n"/>
      <c r="AH59" s="307" t="n"/>
      <c r="AI59" s="307" t="n"/>
      <c r="AJ59" s="307" t="n"/>
      <c r="AK59" s="307" t="n"/>
      <c r="AL59" s="307" t="n"/>
      <c r="AM59" s="307" t="n"/>
      <c r="AN59" s="307" t="n"/>
      <c r="AO59" s="307" t="n"/>
      <c r="AP59" s="307" t="n"/>
      <c r="AQ59" s="307" t="n"/>
      <c r="AR59" s="307" t="n"/>
    </row>
    <row r="60" ht="15.75" customHeight="1" s="349">
      <c r="A60" s="307" t="n"/>
      <c r="B60" s="307" t="n"/>
      <c r="C60" s="307" t="n"/>
      <c r="D60" s="307" t="n"/>
      <c r="E60" s="307" t="n"/>
      <c r="F60" s="307" t="n"/>
      <c r="G60" s="307" t="n"/>
      <c r="H60" s="307" t="n"/>
      <c r="I60" s="307" t="n"/>
      <c r="J60" s="307" t="n"/>
      <c r="K60" s="307" t="n"/>
      <c r="L60" s="307" t="n"/>
      <c r="M60" s="307" t="n"/>
      <c r="N60" s="307" t="n"/>
      <c r="O60" s="307" t="n"/>
      <c r="P60" s="307" t="n"/>
      <c r="Q60" s="307" t="n"/>
      <c r="R60" s="307" t="n"/>
      <c r="S60" s="307" t="n"/>
      <c r="T60" s="307" t="n"/>
      <c r="U60" s="307" t="n"/>
      <c r="V60" s="307" t="n"/>
      <c r="W60" s="307" t="n"/>
      <c r="X60" s="307" t="n"/>
      <c r="Y60" s="307" t="n"/>
      <c r="Z60" s="307" t="n"/>
      <c r="AA60" s="307" t="n"/>
      <c r="AB60" s="307" t="n"/>
      <c r="AC60" s="307" t="n"/>
      <c r="AD60" s="307" t="n"/>
      <c r="AE60" s="307" t="n"/>
      <c r="AF60" s="307" t="n"/>
      <c r="AG60" s="307" t="n"/>
      <c r="AH60" s="307" t="n"/>
      <c r="AI60" s="307" t="n"/>
      <c r="AJ60" s="307" t="n"/>
      <c r="AK60" s="307" t="n"/>
      <c r="AL60" s="307" t="n"/>
      <c r="AM60" s="307" t="n"/>
      <c r="AN60" s="307" t="n"/>
      <c r="AO60" s="307" t="n"/>
      <c r="AP60" s="307" t="n"/>
      <c r="AQ60" s="307" t="n"/>
      <c r="AR60" s="307" t="n"/>
    </row>
    <row r="61" ht="15.75" customHeight="1" s="349">
      <c r="A61" s="307" t="n"/>
      <c r="B61" s="307" t="n"/>
      <c r="C61" s="307" t="n"/>
      <c r="D61" s="307" t="n"/>
      <c r="E61" s="307" t="n"/>
      <c r="F61" s="307" t="n"/>
      <c r="G61" s="307" t="n"/>
      <c r="H61" s="307" t="n"/>
      <c r="I61" s="307" t="n"/>
      <c r="J61" s="307" t="n"/>
      <c r="K61" s="307" t="n"/>
      <c r="L61" s="307" t="n"/>
      <c r="M61" s="307" t="n"/>
      <c r="N61" s="307" t="n"/>
      <c r="O61" s="307" t="n"/>
      <c r="P61" s="307" t="n"/>
      <c r="Q61" s="307" t="n"/>
      <c r="R61" s="307" t="n"/>
      <c r="S61" s="307" t="n"/>
      <c r="T61" s="307" t="n"/>
      <c r="U61" s="307" t="n"/>
      <c r="V61" s="307" t="n"/>
      <c r="W61" s="307" t="n"/>
      <c r="X61" s="307" t="n"/>
      <c r="Y61" s="307" t="n"/>
      <c r="Z61" s="307" t="n"/>
      <c r="AA61" s="307" t="n"/>
      <c r="AB61" s="307" t="n"/>
      <c r="AC61" s="307" t="n"/>
      <c r="AD61" s="307" t="n"/>
      <c r="AE61" s="307" t="n"/>
      <c r="AF61" s="307" t="n"/>
      <c r="AG61" s="307" t="n"/>
      <c r="AH61" s="307" t="n"/>
      <c r="AI61" s="307" t="n"/>
      <c r="AJ61" s="307" t="n"/>
      <c r="AK61" s="307" t="n"/>
      <c r="AL61" s="307" t="n"/>
      <c r="AM61" s="307" t="n"/>
      <c r="AN61" s="307" t="n"/>
      <c r="AO61" s="307" t="n"/>
      <c r="AP61" s="307" t="n"/>
      <c r="AQ61" s="307" t="n"/>
      <c r="AR61" s="307" t="n"/>
    </row>
    <row r="62" ht="15.75" customHeight="1" s="349">
      <c r="A62" s="307" t="n"/>
      <c r="B62" s="307" t="n"/>
      <c r="C62" s="307" t="n"/>
      <c r="D62" s="307" t="n"/>
      <c r="E62" s="307" t="n"/>
      <c r="F62" s="307" t="n"/>
      <c r="G62" s="307" t="n"/>
      <c r="H62" s="307" t="n"/>
      <c r="I62" s="307" t="n"/>
      <c r="J62" s="307" t="n"/>
      <c r="K62" s="307" t="n"/>
      <c r="L62" s="307" t="n"/>
      <c r="M62" s="307" t="n"/>
      <c r="N62" s="307" t="n"/>
      <c r="O62" s="307" t="n"/>
      <c r="P62" s="307" t="n"/>
      <c r="Q62" s="307" t="n"/>
      <c r="R62" s="307" t="n"/>
      <c r="S62" s="307" t="n"/>
      <c r="T62" s="307" t="n"/>
      <c r="U62" s="307" t="n"/>
      <c r="V62" s="307" t="n"/>
      <c r="W62" s="307" t="n"/>
      <c r="X62" s="307" t="n"/>
      <c r="Y62" s="307" t="n"/>
      <c r="Z62" s="307" t="n"/>
      <c r="AA62" s="307" t="n"/>
      <c r="AB62" s="307" t="n"/>
      <c r="AC62" s="307" t="n"/>
      <c r="AD62" s="307" t="n"/>
      <c r="AE62" s="307" t="n"/>
      <c r="AF62" s="307" t="n"/>
      <c r="AG62" s="307" t="n"/>
      <c r="AH62" s="307" t="n"/>
      <c r="AI62" s="307" t="n"/>
      <c r="AJ62" s="307" t="n"/>
      <c r="AK62" s="307" t="n"/>
      <c r="AL62" s="307" t="n"/>
      <c r="AM62" s="307" t="n"/>
      <c r="AN62" s="307" t="n"/>
      <c r="AO62" s="307" t="n"/>
      <c r="AP62" s="307" t="n"/>
      <c r="AQ62" s="307" t="n"/>
      <c r="AR62" s="307" t="n"/>
    </row>
    <row r="63" ht="15.75" customHeight="1" s="349">
      <c r="A63" s="307" t="n"/>
      <c r="B63" s="307" t="n"/>
      <c r="C63" s="307" t="n"/>
      <c r="D63" s="307" t="n"/>
      <c r="E63" s="307" t="n"/>
      <c r="F63" s="307" t="n"/>
      <c r="G63" s="307" t="n"/>
      <c r="H63" s="307" t="n"/>
      <c r="I63" s="307" t="n"/>
      <c r="J63" s="307" t="n"/>
      <c r="K63" s="307" t="n"/>
      <c r="L63" s="307" t="n"/>
      <c r="M63" s="307" t="n"/>
      <c r="N63" s="307" t="n"/>
      <c r="O63" s="307" t="n"/>
      <c r="P63" s="307" t="n"/>
      <c r="Q63" s="307" t="n"/>
      <c r="R63" s="307" t="n"/>
      <c r="S63" s="307" t="n"/>
      <c r="T63" s="307" t="n"/>
      <c r="U63" s="307" t="n"/>
      <c r="V63" s="307" t="n"/>
      <c r="W63" s="307" t="n"/>
      <c r="X63" s="307" t="n"/>
      <c r="Y63" s="307" t="n"/>
      <c r="Z63" s="307" t="n"/>
      <c r="AA63" s="307" t="n"/>
      <c r="AB63" s="307" t="n"/>
      <c r="AC63" s="307" t="n"/>
      <c r="AD63" s="307" t="n"/>
      <c r="AE63" s="307" t="n"/>
      <c r="AF63" s="307" t="n"/>
      <c r="AG63" s="307" t="n"/>
      <c r="AH63" s="307" t="n"/>
      <c r="AI63" s="307" t="n"/>
      <c r="AJ63" s="307" t="n"/>
      <c r="AK63" s="307" t="n"/>
      <c r="AL63" s="307" t="n"/>
      <c r="AM63" s="307" t="n"/>
      <c r="AN63" s="307" t="n"/>
      <c r="AO63" s="307" t="n"/>
      <c r="AP63" s="307" t="n"/>
      <c r="AQ63" s="307" t="n"/>
      <c r="AR63" s="307" t="n"/>
    </row>
    <row r="64" ht="15.75" customHeight="1" s="349">
      <c r="A64" s="307" t="n"/>
      <c r="B64" s="307" t="n"/>
      <c r="C64" s="307" t="n"/>
      <c r="D64" s="307" t="n"/>
      <c r="E64" s="307" t="n"/>
      <c r="F64" s="307" t="n"/>
      <c r="G64" s="307" t="n"/>
      <c r="H64" s="307" t="n"/>
      <c r="I64" s="307" t="n"/>
      <c r="J64" s="307" t="n"/>
      <c r="K64" s="307" t="n"/>
      <c r="L64" s="307" t="n"/>
      <c r="M64" s="307" t="n"/>
      <c r="N64" s="307" t="n"/>
      <c r="O64" s="307" t="n"/>
      <c r="P64" s="307" t="n"/>
      <c r="Q64" s="307" t="n"/>
      <c r="R64" s="307" t="n"/>
      <c r="S64" s="307" t="n"/>
      <c r="T64" s="307" t="n"/>
      <c r="U64" s="307" t="n"/>
      <c r="V64" s="307" t="n"/>
      <c r="W64" s="307" t="n"/>
      <c r="X64" s="307" t="n"/>
      <c r="Y64" s="307" t="n"/>
      <c r="Z64" s="307" t="n"/>
      <c r="AA64" s="307" t="n"/>
      <c r="AB64" s="307" t="n"/>
      <c r="AC64" s="307" t="n"/>
      <c r="AD64" s="307" t="n"/>
      <c r="AE64" s="307" t="n"/>
      <c r="AF64" s="307" t="n"/>
      <c r="AG64" s="307" t="n"/>
      <c r="AH64" s="307" t="n"/>
      <c r="AI64" s="307" t="n"/>
      <c r="AJ64" s="307" t="n"/>
      <c r="AK64" s="307" t="n"/>
      <c r="AL64" s="307" t="n"/>
      <c r="AM64" s="307" t="n"/>
      <c r="AN64" s="307" t="n"/>
      <c r="AO64" s="307" t="n"/>
      <c r="AP64" s="307" t="n"/>
      <c r="AQ64" s="307" t="n"/>
      <c r="AR64" s="307" t="n"/>
    </row>
    <row r="65" ht="15.75" customHeight="1" s="349">
      <c r="A65" s="307" t="n"/>
      <c r="B65" s="307" t="n"/>
      <c r="C65" s="307" t="n"/>
      <c r="D65" s="307" t="n"/>
      <c r="E65" s="307" t="n"/>
      <c r="F65" s="307" t="n"/>
      <c r="G65" s="307" t="n"/>
      <c r="H65" s="307" t="n"/>
      <c r="I65" s="307" t="n"/>
      <c r="J65" s="307" t="n"/>
      <c r="K65" s="307" t="n"/>
      <c r="L65" s="307" t="n"/>
      <c r="M65" s="307" t="n"/>
      <c r="N65" s="307" t="n"/>
      <c r="O65" s="307" t="n"/>
      <c r="P65" s="307" t="n"/>
      <c r="Q65" s="307" t="n"/>
      <c r="R65" s="307" t="n"/>
      <c r="S65" s="307" t="n"/>
      <c r="T65" s="307" t="n"/>
      <c r="U65" s="307" t="n"/>
      <c r="V65" s="307" t="n"/>
      <c r="W65" s="307" t="n"/>
      <c r="X65" s="307" t="n"/>
      <c r="Y65" s="307" t="n"/>
      <c r="Z65" s="307" t="n"/>
      <c r="AA65" s="307" t="n"/>
      <c r="AB65" s="307" t="n"/>
      <c r="AC65" s="307" t="n"/>
      <c r="AD65" s="307" t="n"/>
      <c r="AE65" s="307" t="n"/>
      <c r="AF65" s="307" t="n"/>
      <c r="AG65" s="307" t="n"/>
      <c r="AH65" s="307" t="n"/>
      <c r="AI65" s="307" t="n"/>
      <c r="AJ65" s="307" t="n"/>
      <c r="AK65" s="307" t="n"/>
      <c r="AL65" s="307" t="n"/>
      <c r="AM65" s="307" t="n"/>
      <c r="AN65" s="307" t="n"/>
      <c r="AO65" s="307" t="n"/>
      <c r="AP65" s="307" t="n"/>
      <c r="AQ65" s="307" t="n"/>
      <c r="AR65" s="307" t="n"/>
    </row>
    <row r="66" ht="15.75" customHeight="1" s="349">
      <c r="A66" s="307" t="n"/>
      <c r="B66" s="307" t="n"/>
      <c r="C66" s="307" t="n"/>
      <c r="D66" s="307" t="n"/>
      <c r="E66" s="307" t="n"/>
      <c r="F66" s="307" t="n"/>
      <c r="G66" s="307" t="n"/>
      <c r="H66" s="307" t="n"/>
      <c r="I66" s="307" t="n"/>
      <c r="J66" s="307" t="n"/>
      <c r="K66" s="307" t="n"/>
      <c r="L66" s="307" t="n"/>
      <c r="M66" s="307" t="n"/>
      <c r="N66" s="307" t="n"/>
      <c r="O66" s="307" t="n"/>
      <c r="P66" s="307" t="n"/>
      <c r="Q66" s="307" t="n"/>
      <c r="R66" s="307" t="n"/>
      <c r="S66" s="307" t="n"/>
      <c r="T66" s="307" t="n"/>
      <c r="U66" s="307" t="n"/>
      <c r="V66" s="307" t="n"/>
      <c r="W66" s="307" t="n"/>
      <c r="X66" s="307" t="n"/>
      <c r="Y66" s="307" t="n"/>
      <c r="Z66" s="307" t="n"/>
      <c r="AA66" s="307" t="n"/>
      <c r="AB66" s="307" t="n"/>
      <c r="AC66" s="307" t="n"/>
      <c r="AD66" s="307" t="n"/>
      <c r="AE66" s="307" t="n"/>
      <c r="AF66" s="307" t="n"/>
      <c r="AG66" s="307" t="n"/>
      <c r="AH66" s="307" t="n"/>
      <c r="AI66" s="307" t="n"/>
      <c r="AJ66" s="307" t="n"/>
      <c r="AK66" s="307" t="n"/>
      <c r="AL66" s="307" t="n"/>
      <c r="AM66" s="307" t="n"/>
      <c r="AN66" s="307" t="n"/>
      <c r="AO66" s="307" t="n"/>
      <c r="AP66" s="307" t="n"/>
      <c r="AQ66" s="307" t="n"/>
      <c r="AR66" s="307" t="n"/>
    </row>
    <row r="67" ht="15.75" customHeight="1" s="349">
      <c r="A67" s="307" t="n"/>
      <c r="B67" s="307" t="n"/>
      <c r="C67" s="307" t="n"/>
      <c r="D67" s="307" t="n"/>
      <c r="E67" s="307" t="n"/>
      <c r="F67" s="307" t="n"/>
      <c r="G67" s="307" t="n"/>
      <c r="H67" s="307" t="n"/>
      <c r="I67" s="307" t="n"/>
      <c r="J67" s="307" t="n"/>
      <c r="K67" s="307" t="n"/>
      <c r="L67" s="307" t="n"/>
      <c r="M67" s="307" t="n"/>
      <c r="N67" s="307" t="n"/>
      <c r="O67" s="307" t="n"/>
      <c r="P67" s="307" t="n"/>
      <c r="Q67" s="307" t="n"/>
      <c r="R67" s="307" t="n"/>
      <c r="S67" s="307" t="n"/>
      <c r="T67" s="307" t="n"/>
      <c r="U67" s="307" t="n"/>
      <c r="V67" s="307" t="n"/>
      <c r="W67" s="307" t="n"/>
      <c r="X67" s="307" t="n"/>
      <c r="Y67" s="307" t="n"/>
      <c r="Z67" s="307" t="n"/>
      <c r="AA67" s="307" t="n"/>
      <c r="AB67" s="307" t="n"/>
      <c r="AC67" s="307" t="n"/>
      <c r="AD67" s="307" t="n"/>
      <c r="AE67" s="307" t="n"/>
      <c r="AF67" s="307" t="n"/>
      <c r="AG67" s="307" t="n"/>
      <c r="AH67" s="307" t="n"/>
      <c r="AI67" s="307" t="n"/>
      <c r="AJ67" s="307" t="n"/>
      <c r="AK67" s="307" t="n"/>
      <c r="AL67" s="307" t="n"/>
      <c r="AM67" s="307" t="n"/>
      <c r="AN67" s="307" t="n"/>
      <c r="AO67" s="307" t="n"/>
      <c r="AP67" s="307" t="n"/>
      <c r="AQ67" s="307" t="n"/>
      <c r="AR67" s="307" t="n"/>
    </row>
    <row r="68" ht="15.75" customHeight="1" s="349">
      <c r="A68" s="307" t="n"/>
      <c r="B68" s="307" t="n"/>
      <c r="C68" s="307" t="n"/>
      <c r="D68" s="307" t="n"/>
      <c r="E68" s="307" t="n"/>
      <c r="F68" s="307" t="n"/>
      <c r="G68" s="307" t="n"/>
      <c r="H68" s="307" t="n"/>
      <c r="I68" s="307" t="n"/>
      <c r="J68" s="307" t="n"/>
      <c r="K68" s="307" t="n"/>
      <c r="L68" s="307" t="n"/>
      <c r="M68" s="307" t="n"/>
      <c r="N68" s="307" t="n"/>
      <c r="O68" s="307" t="n"/>
      <c r="P68" s="307" t="n"/>
      <c r="Q68" s="307" t="n"/>
      <c r="R68" s="307" t="n"/>
      <c r="S68" s="307" t="n"/>
      <c r="T68" s="307" t="n"/>
      <c r="U68" s="307" t="n"/>
      <c r="V68" s="307" t="n"/>
      <c r="W68" s="307" t="n"/>
      <c r="X68" s="307" t="n"/>
      <c r="Y68" s="307" t="n"/>
      <c r="Z68" s="307" t="n"/>
      <c r="AA68" s="307" t="n"/>
      <c r="AB68" s="307" t="n"/>
      <c r="AC68" s="307" t="n"/>
      <c r="AD68" s="307" t="n"/>
      <c r="AE68" s="307" t="n"/>
      <c r="AF68" s="307" t="n"/>
      <c r="AG68" s="307" t="n"/>
      <c r="AH68" s="307" t="n"/>
      <c r="AI68" s="307" t="n"/>
      <c r="AJ68" s="307" t="n"/>
      <c r="AK68" s="307" t="n"/>
      <c r="AL68" s="307" t="n"/>
      <c r="AM68" s="307" t="n"/>
      <c r="AN68" s="307" t="n"/>
      <c r="AO68" s="307" t="n"/>
      <c r="AP68" s="307" t="n"/>
      <c r="AQ68" s="307" t="n"/>
      <c r="AR68" s="307" t="n"/>
    </row>
    <row r="69" ht="15.75" customHeight="1" s="349">
      <c r="A69" s="307" t="n"/>
      <c r="B69" s="307" t="n"/>
      <c r="C69" s="307" t="n"/>
      <c r="D69" s="307" t="n"/>
      <c r="E69" s="307" t="n"/>
      <c r="F69" s="307" t="n"/>
      <c r="G69" s="307" t="n"/>
      <c r="H69" s="307" t="n"/>
      <c r="I69" s="307" t="n"/>
      <c r="J69" s="307" t="n"/>
      <c r="K69" s="307" t="n"/>
      <c r="L69" s="307" t="n"/>
      <c r="M69" s="307" t="n"/>
      <c r="N69" s="307" t="n"/>
      <c r="O69" s="307" t="n"/>
      <c r="P69" s="307" t="n"/>
      <c r="Q69" s="307" t="n"/>
      <c r="R69" s="307" t="n"/>
      <c r="S69" s="307" t="n"/>
      <c r="T69" s="307" t="n"/>
      <c r="U69" s="307" t="n"/>
      <c r="V69" s="307" t="n"/>
      <c r="W69" s="307" t="n"/>
      <c r="X69" s="307" t="n"/>
      <c r="Y69" s="307" t="n"/>
      <c r="Z69" s="307" t="n"/>
      <c r="AA69" s="307" t="n"/>
      <c r="AB69" s="307" t="n"/>
      <c r="AC69" s="307" t="n"/>
      <c r="AD69" s="307" t="n"/>
      <c r="AE69" s="307" t="n"/>
      <c r="AF69" s="307" t="n"/>
      <c r="AG69" s="307" t="n"/>
      <c r="AH69" s="307" t="n"/>
      <c r="AI69" s="307" t="n"/>
      <c r="AJ69" s="307" t="n"/>
      <c r="AK69" s="307" t="n"/>
      <c r="AL69" s="307" t="n"/>
      <c r="AM69" s="307" t="n"/>
      <c r="AN69" s="307" t="n"/>
      <c r="AO69" s="307" t="n"/>
      <c r="AP69" s="307" t="n"/>
      <c r="AQ69" s="307" t="n"/>
      <c r="AR69" s="307" t="n"/>
    </row>
    <row r="70" ht="15.75" customHeight="1" s="349">
      <c r="A70" s="307" t="n"/>
      <c r="B70" s="307" t="n"/>
      <c r="C70" s="307" t="n"/>
      <c r="D70" s="307" t="n"/>
      <c r="E70" s="307" t="n"/>
      <c r="F70" s="307" t="n"/>
      <c r="G70" s="307" t="n"/>
      <c r="H70" s="307" t="n"/>
      <c r="I70" s="307" t="n"/>
      <c r="J70" s="307" t="n"/>
      <c r="K70" s="307" t="n"/>
      <c r="L70" s="307" t="n"/>
      <c r="M70" s="307" t="n"/>
      <c r="N70" s="307" t="n"/>
      <c r="O70" s="307" t="n"/>
      <c r="P70" s="307" t="n"/>
      <c r="Q70" s="307" t="n"/>
      <c r="R70" s="307" t="n"/>
      <c r="S70" s="307" t="n"/>
      <c r="T70" s="307" t="n"/>
      <c r="U70" s="307" t="n"/>
      <c r="V70" s="307" t="n"/>
      <c r="W70" s="307" t="n"/>
      <c r="X70" s="307" t="n"/>
      <c r="Y70" s="307" t="n"/>
      <c r="Z70" s="307" t="n"/>
      <c r="AA70" s="307" t="n"/>
      <c r="AB70" s="307" t="n"/>
      <c r="AC70" s="307" t="n"/>
      <c r="AD70" s="307" t="n"/>
      <c r="AE70" s="307" t="n"/>
      <c r="AF70" s="307" t="n"/>
      <c r="AG70" s="307" t="n"/>
      <c r="AH70" s="307" t="n"/>
      <c r="AI70" s="307" t="n"/>
      <c r="AJ70" s="307" t="n"/>
      <c r="AK70" s="307" t="n"/>
      <c r="AL70" s="307" t="n"/>
      <c r="AM70" s="307" t="n"/>
      <c r="AN70" s="307" t="n"/>
      <c r="AO70" s="307" t="n"/>
      <c r="AP70" s="307" t="n"/>
      <c r="AQ70" s="307" t="n"/>
      <c r="AR70" s="307" t="n"/>
    </row>
    <row r="71" ht="15.75" customHeight="1" s="349">
      <c r="A71" s="307" t="n"/>
      <c r="B71" s="307" t="n"/>
      <c r="C71" s="307" t="n"/>
      <c r="D71" s="307" t="n"/>
      <c r="E71" s="307" t="n"/>
      <c r="F71" s="307" t="n"/>
      <c r="G71" s="307" t="n"/>
      <c r="H71" s="307" t="n"/>
      <c r="I71" s="307" t="n"/>
      <c r="J71" s="307" t="n"/>
      <c r="K71" s="307" t="n"/>
      <c r="L71" s="307" t="n"/>
      <c r="M71" s="307" t="n"/>
      <c r="N71" s="307" t="n"/>
      <c r="O71" s="307" t="n"/>
      <c r="P71" s="307" t="n"/>
      <c r="Q71" s="307" t="n"/>
      <c r="R71" s="307" t="n"/>
      <c r="S71" s="307" t="n"/>
      <c r="T71" s="307" t="n"/>
      <c r="U71" s="307" t="n"/>
      <c r="V71" s="307" t="n"/>
      <c r="W71" s="307" t="n"/>
      <c r="X71" s="307" t="n"/>
      <c r="Y71" s="307" t="n"/>
      <c r="Z71" s="307" t="n"/>
      <c r="AA71" s="307" t="n"/>
      <c r="AB71" s="307" t="n"/>
      <c r="AC71" s="307" t="n"/>
      <c r="AD71" s="307" t="n"/>
      <c r="AE71" s="307" t="n"/>
      <c r="AF71" s="307" t="n"/>
      <c r="AG71" s="307" t="n"/>
      <c r="AH71" s="307" t="n"/>
      <c r="AI71" s="307" t="n"/>
      <c r="AJ71" s="307" t="n"/>
      <c r="AK71" s="307" t="n"/>
      <c r="AL71" s="307" t="n"/>
      <c r="AM71" s="307" t="n"/>
      <c r="AN71" s="307" t="n"/>
      <c r="AO71" s="307" t="n"/>
      <c r="AP71" s="307" t="n"/>
      <c r="AQ71" s="307" t="n"/>
      <c r="AR71" s="307" t="n"/>
    </row>
    <row r="72" ht="15.75" customHeight="1" s="349">
      <c r="A72" s="307" t="n"/>
      <c r="B72" s="307" t="n"/>
      <c r="C72" s="307" t="n"/>
      <c r="D72" s="307" t="n"/>
      <c r="E72" s="307" t="n"/>
      <c r="F72" s="307" t="n"/>
      <c r="G72" s="307" t="n"/>
      <c r="H72" s="307" t="n"/>
      <c r="I72" s="307" t="n"/>
      <c r="J72" s="307" t="n"/>
      <c r="K72" s="307" t="n"/>
      <c r="L72" s="307" t="n"/>
      <c r="M72" s="307" t="n"/>
      <c r="N72" s="307" t="n"/>
      <c r="O72" s="307" t="n"/>
      <c r="P72" s="307" t="n"/>
      <c r="Q72" s="307" t="n"/>
      <c r="R72" s="307" t="n"/>
      <c r="S72" s="307" t="n"/>
      <c r="T72" s="307" t="n"/>
      <c r="U72" s="307" t="n"/>
      <c r="V72" s="307" t="n"/>
      <c r="W72" s="307" t="n"/>
      <c r="X72" s="307" t="n"/>
      <c r="Y72" s="307" t="n"/>
      <c r="Z72" s="307" t="n"/>
      <c r="AA72" s="307" t="n"/>
      <c r="AB72" s="307" t="n"/>
      <c r="AC72" s="307" t="n"/>
      <c r="AD72" s="307" t="n"/>
      <c r="AE72" s="307" t="n"/>
      <c r="AF72" s="307" t="n"/>
      <c r="AG72" s="307" t="n"/>
      <c r="AH72" s="307" t="n"/>
      <c r="AI72" s="307" t="n"/>
      <c r="AJ72" s="307" t="n"/>
      <c r="AK72" s="307" t="n"/>
      <c r="AL72" s="307" t="n"/>
      <c r="AM72" s="307" t="n"/>
      <c r="AN72" s="307" t="n"/>
      <c r="AO72" s="307" t="n"/>
      <c r="AP72" s="307" t="n"/>
      <c r="AQ72" s="307" t="n"/>
      <c r="AR72" s="307" t="n"/>
    </row>
    <row r="73" ht="15.75" customHeight="1" s="349">
      <c r="A73" s="307" t="n"/>
      <c r="B73" s="307" t="n"/>
      <c r="C73" s="307" t="n"/>
      <c r="D73" s="307" t="n"/>
      <c r="E73" s="307" t="n"/>
      <c r="F73" s="307" t="n"/>
      <c r="G73" s="307" t="n"/>
      <c r="H73" s="307" t="n"/>
      <c r="I73" s="307" t="n"/>
      <c r="J73" s="307" t="n"/>
      <c r="K73" s="307" t="n"/>
      <c r="L73" s="307" t="n"/>
      <c r="M73" s="307" t="n"/>
      <c r="N73" s="307" t="n"/>
      <c r="O73" s="307" t="n"/>
      <c r="P73" s="307" t="n"/>
      <c r="Q73" s="307" t="n"/>
      <c r="R73" s="307" t="n"/>
      <c r="S73" s="307" t="n"/>
      <c r="T73" s="307" t="n"/>
      <c r="U73" s="307" t="n"/>
      <c r="V73" s="307" t="n"/>
      <c r="W73" s="307" t="n"/>
      <c r="X73" s="307" t="n"/>
      <c r="Y73" s="307" t="n"/>
      <c r="Z73" s="307" t="n"/>
      <c r="AA73" s="307" t="n"/>
      <c r="AB73" s="307" t="n"/>
      <c r="AC73" s="307" t="n"/>
      <c r="AD73" s="307" t="n"/>
      <c r="AE73" s="307" t="n"/>
      <c r="AF73" s="307" t="n"/>
      <c r="AG73" s="307" t="n"/>
      <c r="AH73" s="307" t="n"/>
      <c r="AI73" s="307" t="n"/>
      <c r="AJ73" s="307" t="n"/>
      <c r="AK73" s="307" t="n"/>
      <c r="AL73" s="307" t="n"/>
      <c r="AM73" s="307" t="n"/>
      <c r="AN73" s="307" t="n"/>
      <c r="AO73" s="307" t="n"/>
      <c r="AP73" s="307" t="n"/>
      <c r="AQ73" s="307" t="n"/>
      <c r="AR73" s="307" t="n"/>
    </row>
    <row r="74" ht="15.75" customHeight="1" s="349">
      <c r="A74" s="307" t="n"/>
      <c r="B74" s="307" t="n"/>
      <c r="C74" s="307" t="n"/>
      <c r="D74" s="307" t="n"/>
      <c r="E74" s="307" t="n"/>
      <c r="F74" s="307" t="n"/>
      <c r="G74" s="307" t="n"/>
      <c r="H74" s="307" t="n"/>
      <c r="I74" s="307" t="n"/>
      <c r="J74" s="307" t="n"/>
      <c r="K74" s="307" t="n"/>
      <c r="L74" s="307" t="n"/>
      <c r="M74" s="307" t="n"/>
      <c r="N74" s="307" t="n"/>
      <c r="O74" s="307" t="n"/>
      <c r="P74" s="307" t="n"/>
      <c r="Q74" s="307" t="n"/>
      <c r="R74" s="307" t="n"/>
      <c r="S74" s="307" t="n"/>
      <c r="T74" s="307" t="n"/>
      <c r="U74" s="307" t="n"/>
      <c r="V74" s="307" t="n"/>
      <c r="W74" s="307" t="n"/>
      <c r="X74" s="307" t="n"/>
      <c r="Y74" s="307" t="n"/>
      <c r="Z74" s="307" t="n"/>
      <c r="AA74" s="307" t="n"/>
      <c r="AB74" s="307" t="n"/>
      <c r="AC74" s="307" t="n"/>
      <c r="AD74" s="307" t="n"/>
      <c r="AE74" s="307" t="n"/>
      <c r="AF74" s="307" t="n"/>
      <c r="AG74" s="307" t="n"/>
      <c r="AH74" s="307" t="n"/>
      <c r="AI74" s="307" t="n"/>
      <c r="AJ74" s="307" t="n"/>
      <c r="AK74" s="307" t="n"/>
      <c r="AL74" s="307" t="n"/>
      <c r="AM74" s="307" t="n"/>
      <c r="AN74" s="307" t="n"/>
      <c r="AO74" s="307" t="n"/>
      <c r="AP74" s="307" t="n"/>
      <c r="AQ74" s="307" t="n"/>
      <c r="AR74" s="307" t="n"/>
    </row>
    <row r="75" ht="15.75" customHeight="1" s="349">
      <c r="A75" s="307" t="n"/>
      <c r="B75" s="307" t="n"/>
      <c r="C75" s="307" t="n"/>
      <c r="D75" s="307" t="n"/>
      <c r="E75" s="307" t="n"/>
      <c r="F75" s="307" t="n"/>
      <c r="G75" s="307" t="n"/>
      <c r="H75" s="307" t="n"/>
      <c r="I75" s="307" t="n"/>
      <c r="J75" s="307" t="n"/>
      <c r="K75" s="307" t="n"/>
      <c r="L75" s="307" t="n"/>
      <c r="M75" s="307" t="n"/>
      <c r="N75" s="307" t="n"/>
      <c r="O75" s="307" t="n"/>
      <c r="P75" s="307" t="n"/>
      <c r="Q75" s="307" t="n"/>
      <c r="R75" s="307" t="n"/>
      <c r="S75" s="307" t="n"/>
      <c r="T75" s="307" t="n"/>
      <c r="U75" s="307" t="n"/>
      <c r="V75" s="307" t="n"/>
      <c r="W75" s="307" t="n"/>
      <c r="X75" s="307" t="n"/>
      <c r="Y75" s="307" t="n"/>
      <c r="Z75" s="307" t="n"/>
      <c r="AA75" s="307" t="n"/>
      <c r="AB75" s="307" t="n"/>
      <c r="AC75" s="307" t="n"/>
      <c r="AD75" s="307" t="n"/>
      <c r="AE75" s="307" t="n"/>
      <c r="AF75" s="307" t="n"/>
      <c r="AG75" s="307" t="n"/>
      <c r="AH75" s="307" t="n"/>
      <c r="AI75" s="307" t="n"/>
      <c r="AJ75" s="307" t="n"/>
      <c r="AK75" s="307" t="n"/>
      <c r="AL75" s="307" t="n"/>
      <c r="AM75" s="307" t="n"/>
      <c r="AN75" s="307" t="n"/>
      <c r="AO75" s="307" t="n"/>
      <c r="AP75" s="307" t="n"/>
      <c r="AQ75" s="307" t="n"/>
      <c r="AR75" s="307" t="n"/>
    </row>
    <row r="76" ht="15.75" customHeight="1" s="349">
      <c r="A76" s="307" t="n"/>
      <c r="B76" s="307" t="n"/>
      <c r="C76" s="307" t="n"/>
      <c r="D76" s="307" t="n"/>
      <c r="E76" s="307" t="n"/>
      <c r="F76" s="307" t="n"/>
      <c r="G76" s="307" t="n"/>
      <c r="H76" s="307" t="n"/>
      <c r="I76" s="307" t="n"/>
      <c r="J76" s="307" t="n"/>
      <c r="K76" s="307" t="n"/>
      <c r="L76" s="307" t="n"/>
      <c r="M76" s="307" t="n"/>
      <c r="N76" s="307" t="n"/>
      <c r="O76" s="307" t="n"/>
      <c r="P76" s="307" t="n"/>
      <c r="Q76" s="307" t="n"/>
      <c r="R76" s="307" t="n"/>
      <c r="S76" s="307" t="n"/>
      <c r="T76" s="307" t="n"/>
      <c r="U76" s="307" t="n"/>
      <c r="V76" s="307" t="n"/>
      <c r="W76" s="307" t="n"/>
      <c r="X76" s="307" t="n"/>
      <c r="Y76" s="307" t="n"/>
      <c r="Z76" s="307" t="n"/>
      <c r="AA76" s="307" t="n"/>
      <c r="AB76" s="307" t="n"/>
      <c r="AC76" s="307" t="n"/>
      <c r="AD76" s="307" t="n"/>
      <c r="AE76" s="307" t="n"/>
      <c r="AF76" s="307" t="n"/>
      <c r="AG76" s="307" t="n"/>
      <c r="AH76" s="307" t="n"/>
      <c r="AI76" s="307" t="n"/>
      <c r="AJ76" s="307" t="n"/>
      <c r="AK76" s="307" t="n"/>
      <c r="AL76" s="307" t="n"/>
      <c r="AM76" s="307" t="n"/>
      <c r="AN76" s="307" t="n"/>
      <c r="AO76" s="307" t="n"/>
      <c r="AP76" s="307" t="n"/>
      <c r="AQ76" s="307" t="n"/>
      <c r="AR76" s="307" t="n"/>
    </row>
    <row r="77" ht="15.75" customHeight="1" s="349">
      <c r="A77" s="307" t="n"/>
      <c r="B77" s="307" t="n"/>
      <c r="C77" s="307" t="n"/>
      <c r="D77" s="307" t="n"/>
      <c r="E77" s="307" t="n"/>
      <c r="F77" s="307" t="n"/>
      <c r="G77" s="307" t="n"/>
      <c r="H77" s="307" t="n"/>
      <c r="I77" s="307" t="n"/>
      <c r="J77" s="307" t="n"/>
      <c r="K77" s="307" t="n"/>
      <c r="L77" s="307" t="n"/>
      <c r="M77" s="307" t="n"/>
      <c r="N77" s="307" t="n"/>
      <c r="O77" s="307" t="n"/>
      <c r="P77" s="307" t="n"/>
      <c r="Q77" s="307" t="n"/>
      <c r="R77" s="307" t="n"/>
      <c r="S77" s="307" t="n"/>
      <c r="T77" s="307" t="n"/>
      <c r="U77" s="307" t="n"/>
      <c r="V77" s="307" t="n"/>
      <c r="W77" s="307" t="n"/>
      <c r="X77" s="307" t="n"/>
      <c r="Y77" s="307" t="n"/>
      <c r="Z77" s="307" t="n"/>
      <c r="AA77" s="307" t="n"/>
      <c r="AB77" s="307" t="n"/>
      <c r="AC77" s="307" t="n"/>
      <c r="AD77" s="307" t="n"/>
      <c r="AE77" s="307" t="n"/>
      <c r="AF77" s="307" t="n"/>
      <c r="AG77" s="307" t="n"/>
      <c r="AH77" s="307" t="n"/>
      <c r="AI77" s="307" t="n"/>
      <c r="AJ77" s="307" t="n"/>
      <c r="AK77" s="307" t="n"/>
      <c r="AL77" s="307" t="n"/>
      <c r="AM77" s="307" t="n"/>
      <c r="AN77" s="307" t="n"/>
      <c r="AO77" s="307" t="n"/>
      <c r="AP77" s="307" t="n"/>
      <c r="AQ77" s="307" t="n"/>
      <c r="AR77" s="307" t="n"/>
    </row>
    <row r="78" ht="15.75" customHeight="1" s="349">
      <c r="A78" s="307" t="n"/>
      <c r="B78" s="307" t="n"/>
      <c r="C78" s="307" t="n"/>
      <c r="D78" s="307" t="n"/>
      <c r="E78" s="307" t="n"/>
      <c r="F78" s="307" t="n"/>
      <c r="G78" s="307" t="n"/>
      <c r="H78" s="307" t="n"/>
      <c r="I78" s="307" t="n"/>
      <c r="J78" s="307" t="n"/>
      <c r="K78" s="307" t="n"/>
      <c r="L78" s="307" t="n"/>
      <c r="M78" s="307" t="n"/>
      <c r="N78" s="307" t="n"/>
      <c r="O78" s="307" t="n"/>
      <c r="P78" s="307" t="n"/>
      <c r="Q78" s="307" t="n"/>
      <c r="R78" s="307" t="n"/>
      <c r="S78" s="307" t="n"/>
      <c r="T78" s="307" t="n"/>
      <c r="U78" s="307" t="n"/>
      <c r="V78" s="307" t="n"/>
      <c r="W78" s="307" t="n"/>
      <c r="X78" s="307" t="n"/>
      <c r="Y78" s="307" t="n"/>
      <c r="Z78" s="307" t="n"/>
      <c r="AA78" s="307" t="n"/>
      <c r="AB78" s="307" t="n"/>
      <c r="AC78" s="307" t="n"/>
      <c r="AD78" s="307" t="n"/>
      <c r="AE78" s="307" t="n"/>
      <c r="AF78" s="307" t="n"/>
      <c r="AG78" s="307" t="n"/>
      <c r="AH78" s="307" t="n"/>
      <c r="AI78" s="307" t="n"/>
      <c r="AJ78" s="307" t="n"/>
      <c r="AK78" s="307" t="n"/>
      <c r="AL78" s="307" t="n"/>
      <c r="AM78" s="307" t="n"/>
      <c r="AN78" s="307" t="n"/>
      <c r="AO78" s="307" t="n"/>
      <c r="AP78" s="307" t="n"/>
      <c r="AQ78" s="307" t="n"/>
      <c r="AR78" s="307" t="n"/>
    </row>
    <row r="79" ht="15.75" customHeight="1" s="349">
      <c r="A79" s="307" t="n"/>
      <c r="B79" s="307" t="n"/>
      <c r="C79" s="307" t="n"/>
      <c r="D79" s="307" t="n"/>
      <c r="E79" s="307" t="n"/>
      <c r="F79" s="307" t="n"/>
      <c r="G79" s="307" t="n"/>
      <c r="H79" s="307" t="n"/>
      <c r="I79" s="307" t="n"/>
      <c r="J79" s="307" t="n"/>
      <c r="K79" s="307" t="n"/>
      <c r="L79" s="307" t="n"/>
      <c r="M79" s="307" t="n"/>
      <c r="N79" s="307" t="n"/>
      <c r="O79" s="307" t="n"/>
      <c r="P79" s="307" t="n"/>
      <c r="Q79" s="307" t="n"/>
      <c r="R79" s="307" t="n"/>
      <c r="S79" s="307" t="n"/>
      <c r="T79" s="307" t="n"/>
      <c r="U79" s="307" t="n"/>
      <c r="V79" s="307" t="n"/>
      <c r="W79" s="307" t="n"/>
      <c r="X79" s="307" t="n"/>
      <c r="Y79" s="307" t="n"/>
      <c r="Z79" s="307" t="n"/>
      <c r="AA79" s="307" t="n"/>
      <c r="AB79" s="307" t="n"/>
      <c r="AC79" s="307" t="n"/>
      <c r="AD79" s="307" t="n"/>
      <c r="AE79" s="307" t="n"/>
      <c r="AF79" s="307" t="n"/>
      <c r="AG79" s="307" t="n"/>
      <c r="AH79" s="307" t="n"/>
      <c r="AI79" s="307" t="n"/>
      <c r="AJ79" s="307" t="n"/>
      <c r="AK79" s="307" t="n"/>
      <c r="AL79" s="307" t="n"/>
      <c r="AM79" s="307" t="n"/>
      <c r="AN79" s="307" t="n"/>
      <c r="AO79" s="307" t="n"/>
      <c r="AP79" s="307" t="n"/>
      <c r="AQ79" s="307" t="n"/>
      <c r="AR79" s="307" t="n"/>
    </row>
    <row r="80" ht="15.75" customHeight="1" s="349">
      <c r="A80" s="307" t="n"/>
      <c r="B80" s="307" t="n"/>
      <c r="C80" s="307" t="n"/>
      <c r="D80" s="307" t="n"/>
      <c r="E80" s="307" t="n"/>
      <c r="F80" s="307" t="n"/>
      <c r="G80" s="307" t="n"/>
      <c r="H80" s="307" t="n"/>
      <c r="I80" s="307" t="n"/>
      <c r="J80" s="307" t="n"/>
      <c r="K80" s="307" t="n"/>
      <c r="L80" s="307" t="n"/>
      <c r="M80" s="307" t="n"/>
      <c r="N80" s="307" t="n"/>
      <c r="O80" s="307" t="n"/>
      <c r="P80" s="307" t="n"/>
      <c r="Q80" s="307" t="n"/>
      <c r="R80" s="307" t="n"/>
      <c r="S80" s="307" t="n"/>
      <c r="T80" s="307" t="n"/>
      <c r="U80" s="307" t="n"/>
      <c r="V80" s="307" t="n"/>
      <c r="W80" s="307" t="n"/>
      <c r="X80" s="307" t="n"/>
      <c r="Y80" s="307" t="n"/>
      <c r="Z80" s="307" t="n"/>
      <c r="AA80" s="307" t="n"/>
      <c r="AB80" s="307" t="n"/>
      <c r="AC80" s="307" t="n"/>
      <c r="AD80" s="307" t="n"/>
      <c r="AE80" s="307" t="n"/>
      <c r="AF80" s="307" t="n"/>
      <c r="AG80" s="307" t="n"/>
      <c r="AH80" s="307" t="n"/>
      <c r="AI80" s="307" t="n"/>
      <c r="AJ80" s="307" t="n"/>
      <c r="AK80" s="307" t="n"/>
      <c r="AL80" s="307" t="n"/>
      <c r="AM80" s="307" t="n"/>
      <c r="AN80" s="307" t="n"/>
      <c r="AO80" s="307" t="n"/>
      <c r="AP80" s="307" t="n"/>
      <c r="AQ80" s="307" t="n"/>
      <c r="AR80" s="307" t="n"/>
    </row>
    <row r="81" ht="15.75" customHeight="1" s="349">
      <c r="A81" s="307" t="n"/>
      <c r="B81" s="307" t="n"/>
      <c r="C81" s="307" t="n"/>
      <c r="D81" s="307" t="n"/>
      <c r="E81" s="307" t="n"/>
      <c r="F81" s="307" t="n"/>
      <c r="G81" s="307" t="n"/>
      <c r="H81" s="307" t="n"/>
      <c r="I81" s="307" t="n"/>
      <c r="J81" s="307" t="n"/>
      <c r="K81" s="307" t="n"/>
      <c r="L81" s="307" t="n"/>
      <c r="M81" s="307" t="n"/>
      <c r="N81" s="307" t="n"/>
      <c r="O81" s="307" t="n"/>
      <c r="P81" s="307" t="n"/>
      <c r="Q81" s="307" t="n"/>
      <c r="R81" s="307" t="n"/>
      <c r="S81" s="307" t="n"/>
      <c r="T81" s="307" t="n"/>
      <c r="U81" s="307" t="n"/>
      <c r="V81" s="307" t="n"/>
      <c r="W81" s="307" t="n"/>
      <c r="X81" s="307" t="n"/>
      <c r="Y81" s="307" t="n"/>
      <c r="Z81" s="307" t="n"/>
      <c r="AA81" s="307" t="n"/>
      <c r="AB81" s="307" t="n"/>
      <c r="AC81" s="307" t="n"/>
      <c r="AD81" s="307" t="n"/>
      <c r="AE81" s="307" t="n"/>
      <c r="AF81" s="307" t="n"/>
      <c r="AG81" s="307" t="n"/>
      <c r="AH81" s="307" t="n"/>
      <c r="AI81" s="307" t="n"/>
      <c r="AJ81" s="307" t="n"/>
      <c r="AK81" s="307" t="n"/>
      <c r="AL81" s="307" t="n"/>
      <c r="AM81" s="307" t="n"/>
      <c r="AN81" s="307" t="n"/>
      <c r="AO81" s="307" t="n"/>
      <c r="AP81" s="307" t="n"/>
      <c r="AQ81" s="307" t="n"/>
      <c r="AR81" s="307" t="n"/>
    </row>
    <row r="82" ht="15.75" customHeight="1" s="349">
      <c r="A82" s="307" t="n"/>
      <c r="B82" s="307" t="n"/>
      <c r="C82" s="307" t="n"/>
      <c r="D82" s="307" t="n"/>
      <c r="E82" s="307" t="n"/>
      <c r="F82" s="307" t="n"/>
      <c r="G82" s="307" t="n"/>
      <c r="H82" s="307" t="n"/>
      <c r="I82" s="307" t="n"/>
      <c r="J82" s="307" t="n"/>
      <c r="K82" s="307" t="n"/>
      <c r="L82" s="307" t="n"/>
      <c r="M82" s="307" t="n"/>
      <c r="N82" s="307" t="n"/>
      <c r="O82" s="307" t="n"/>
      <c r="P82" s="307" t="n"/>
      <c r="Q82" s="307" t="n"/>
      <c r="R82" s="307" t="n"/>
      <c r="S82" s="307" t="n"/>
      <c r="T82" s="307" t="n"/>
      <c r="U82" s="307" t="n"/>
      <c r="V82" s="307" t="n"/>
      <c r="W82" s="307" t="n"/>
      <c r="X82" s="307" t="n"/>
      <c r="Y82" s="307" t="n"/>
      <c r="Z82" s="307" t="n"/>
      <c r="AA82" s="307" t="n"/>
      <c r="AB82" s="307" t="n"/>
      <c r="AC82" s="307" t="n"/>
      <c r="AD82" s="307" t="n"/>
      <c r="AE82" s="307" t="n"/>
      <c r="AF82" s="307" t="n"/>
      <c r="AG82" s="307" t="n"/>
      <c r="AH82" s="307" t="n"/>
      <c r="AI82" s="307" t="n"/>
      <c r="AJ82" s="307" t="n"/>
      <c r="AK82" s="307" t="n"/>
      <c r="AL82" s="307" t="n"/>
      <c r="AM82" s="307" t="n"/>
      <c r="AN82" s="307" t="n"/>
      <c r="AO82" s="307" t="n"/>
      <c r="AP82" s="307" t="n"/>
      <c r="AQ82" s="307" t="n"/>
      <c r="AR82" s="307" t="n"/>
    </row>
    <row r="83" ht="15.75" customHeight="1" s="349">
      <c r="A83" s="307" t="n"/>
      <c r="B83" s="307" t="n"/>
      <c r="C83" s="307" t="n"/>
      <c r="D83" s="307" t="n"/>
      <c r="E83" s="307" t="n"/>
      <c r="F83" s="307" t="n"/>
      <c r="G83" s="307" t="n"/>
      <c r="H83" s="307" t="n"/>
      <c r="I83" s="307" t="n"/>
      <c r="J83" s="307" t="n"/>
      <c r="K83" s="307" t="n"/>
      <c r="L83" s="307" t="n"/>
      <c r="M83" s="307" t="n"/>
      <c r="N83" s="307" t="n"/>
      <c r="O83" s="307" t="n"/>
      <c r="P83" s="307" t="n"/>
      <c r="Q83" s="307" t="n"/>
      <c r="R83" s="307" t="n"/>
      <c r="S83" s="307" t="n"/>
      <c r="T83" s="307" t="n"/>
      <c r="U83" s="307" t="n"/>
      <c r="V83" s="307" t="n"/>
      <c r="W83" s="307" t="n"/>
      <c r="X83" s="307" t="n"/>
      <c r="Y83" s="307" t="n"/>
      <c r="Z83" s="307" t="n"/>
      <c r="AA83" s="307" t="n"/>
      <c r="AB83" s="307" t="n"/>
      <c r="AC83" s="307" t="n"/>
      <c r="AD83" s="307" t="n"/>
      <c r="AE83" s="307" t="n"/>
      <c r="AF83" s="307" t="n"/>
      <c r="AG83" s="307" t="n"/>
      <c r="AH83" s="307" t="n"/>
      <c r="AI83" s="307" t="n"/>
      <c r="AJ83" s="307" t="n"/>
      <c r="AK83" s="307" t="n"/>
      <c r="AL83" s="307" t="n"/>
      <c r="AM83" s="307" t="n"/>
      <c r="AN83" s="307" t="n"/>
      <c r="AO83" s="307" t="n"/>
      <c r="AP83" s="307" t="n"/>
      <c r="AQ83" s="307" t="n"/>
      <c r="AR83" s="307" t="n"/>
    </row>
    <row r="84" ht="15.75" customHeight="1" s="349">
      <c r="A84" s="307" t="n"/>
      <c r="B84" s="307" t="n"/>
      <c r="C84" s="307" t="n"/>
      <c r="D84" s="307" t="n"/>
      <c r="E84" s="307" t="n"/>
      <c r="F84" s="307" t="n"/>
      <c r="G84" s="307" t="n"/>
      <c r="H84" s="307" t="n"/>
      <c r="I84" s="307" t="n"/>
      <c r="J84" s="307" t="n"/>
      <c r="K84" s="307" t="n"/>
      <c r="L84" s="307" t="n"/>
      <c r="M84" s="307" t="n"/>
      <c r="N84" s="307" t="n"/>
      <c r="O84" s="307" t="n"/>
      <c r="P84" s="307" t="n"/>
      <c r="Q84" s="307" t="n"/>
      <c r="R84" s="307" t="n"/>
      <c r="S84" s="307" t="n"/>
      <c r="T84" s="307" t="n"/>
      <c r="U84" s="307" t="n"/>
      <c r="V84" s="307" t="n"/>
      <c r="W84" s="307" t="n"/>
      <c r="X84" s="307" t="n"/>
      <c r="Y84" s="307" t="n"/>
      <c r="Z84" s="307" t="n"/>
      <c r="AA84" s="307" t="n"/>
      <c r="AB84" s="307" t="n"/>
      <c r="AC84" s="307" t="n"/>
      <c r="AD84" s="307" t="n"/>
      <c r="AE84" s="307" t="n"/>
      <c r="AF84" s="307" t="n"/>
      <c r="AG84" s="307" t="n"/>
      <c r="AH84" s="307" t="n"/>
      <c r="AI84" s="307" t="n"/>
      <c r="AJ84" s="307" t="n"/>
      <c r="AK84" s="307" t="n"/>
      <c r="AL84" s="307" t="n"/>
      <c r="AM84" s="307" t="n"/>
      <c r="AN84" s="307" t="n"/>
      <c r="AO84" s="307" t="n"/>
      <c r="AP84" s="307" t="n"/>
      <c r="AQ84" s="307" t="n"/>
      <c r="AR84" s="307" t="n"/>
    </row>
    <row r="85" ht="15.75" customHeight="1" s="349">
      <c r="A85" s="307" t="n"/>
      <c r="B85" s="307" t="n"/>
      <c r="C85" s="307" t="n"/>
      <c r="D85" s="307" t="n"/>
      <c r="E85" s="307" t="n"/>
      <c r="F85" s="307" t="n"/>
      <c r="G85" s="307" t="n"/>
      <c r="H85" s="307" t="n"/>
      <c r="I85" s="307" t="n"/>
      <c r="J85" s="307" t="n"/>
      <c r="K85" s="307" t="n"/>
      <c r="L85" s="307" t="n"/>
      <c r="M85" s="307" t="n"/>
      <c r="N85" s="307" t="n"/>
      <c r="O85" s="307" t="n"/>
      <c r="P85" s="307" t="n"/>
      <c r="Q85" s="307" t="n"/>
      <c r="R85" s="307" t="n"/>
      <c r="S85" s="307" t="n"/>
      <c r="T85" s="307" t="n"/>
      <c r="U85" s="307" t="n"/>
      <c r="V85" s="307" t="n"/>
      <c r="W85" s="307" t="n"/>
      <c r="X85" s="307" t="n"/>
      <c r="Y85" s="307" t="n"/>
      <c r="Z85" s="307" t="n"/>
      <c r="AA85" s="307" t="n"/>
      <c r="AB85" s="307" t="n"/>
      <c r="AC85" s="307" t="n"/>
      <c r="AD85" s="307" t="n"/>
      <c r="AE85" s="307" t="n"/>
      <c r="AF85" s="307" t="n"/>
      <c r="AG85" s="307" t="n"/>
      <c r="AH85" s="307" t="n"/>
      <c r="AI85" s="307" t="n"/>
      <c r="AJ85" s="307" t="n"/>
      <c r="AK85" s="307" t="n"/>
      <c r="AL85" s="307" t="n"/>
      <c r="AM85" s="307" t="n"/>
      <c r="AN85" s="307" t="n"/>
      <c r="AO85" s="307" t="n"/>
      <c r="AP85" s="307" t="n"/>
      <c r="AQ85" s="307" t="n"/>
      <c r="AR85" s="307" t="n"/>
    </row>
    <row r="86" ht="15.75" customHeight="1" s="349">
      <c r="A86" s="307" t="n"/>
      <c r="B86" s="307" t="n"/>
      <c r="C86" s="307" t="n"/>
      <c r="D86" s="307" t="n"/>
      <c r="E86" s="307" t="n"/>
      <c r="F86" s="307" t="n"/>
      <c r="G86" s="307" t="n"/>
      <c r="H86" s="307" t="n"/>
      <c r="I86" s="307" t="n"/>
      <c r="J86" s="307" t="n"/>
      <c r="K86" s="307" t="n"/>
      <c r="L86" s="307" t="n"/>
      <c r="M86" s="307" t="n"/>
      <c r="N86" s="307" t="n"/>
      <c r="O86" s="307" t="n"/>
      <c r="P86" s="307" t="n"/>
      <c r="Q86" s="307" t="n"/>
      <c r="R86" s="307" t="n"/>
      <c r="S86" s="307" t="n"/>
      <c r="T86" s="307" t="n"/>
      <c r="U86" s="307" t="n"/>
      <c r="V86" s="307" t="n"/>
      <c r="W86" s="307" t="n"/>
      <c r="X86" s="307" t="n"/>
      <c r="Y86" s="307" t="n"/>
      <c r="Z86" s="307" t="n"/>
      <c r="AA86" s="307" t="n"/>
      <c r="AB86" s="307" t="n"/>
      <c r="AC86" s="307" t="n"/>
      <c r="AD86" s="307" t="n"/>
      <c r="AE86" s="307" t="n"/>
      <c r="AF86" s="307" t="n"/>
      <c r="AG86" s="307" t="n"/>
      <c r="AH86" s="307" t="n"/>
      <c r="AI86" s="307" t="n"/>
      <c r="AJ86" s="307" t="n"/>
      <c r="AK86" s="307" t="n"/>
      <c r="AL86" s="307" t="n"/>
      <c r="AM86" s="307" t="n"/>
      <c r="AN86" s="307" t="n"/>
      <c r="AO86" s="307" t="n"/>
      <c r="AP86" s="307" t="n"/>
      <c r="AQ86" s="307" t="n"/>
      <c r="AR86" s="307" t="n"/>
    </row>
    <row r="87" ht="15.75" customHeight="1" s="349">
      <c r="A87" s="307" t="n"/>
      <c r="B87" s="307" t="n"/>
      <c r="C87" s="307" t="n"/>
      <c r="D87" s="307" t="n"/>
      <c r="E87" s="307" t="n"/>
      <c r="F87" s="307" t="n"/>
      <c r="G87" s="307" t="n"/>
      <c r="H87" s="307" t="n"/>
      <c r="I87" s="307" t="n"/>
      <c r="J87" s="307" t="n"/>
      <c r="K87" s="307" t="n"/>
      <c r="L87" s="307" t="n"/>
      <c r="M87" s="307" t="n"/>
      <c r="N87" s="307" t="n"/>
      <c r="O87" s="307" t="n"/>
      <c r="P87" s="307" t="n"/>
      <c r="Q87" s="307" t="n"/>
      <c r="R87" s="307" t="n"/>
      <c r="S87" s="307" t="n"/>
      <c r="T87" s="307" t="n"/>
      <c r="U87" s="307" t="n"/>
      <c r="V87" s="307" t="n"/>
      <c r="W87" s="307" t="n"/>
      <c r="X87" s="307" t="n"/>
      <c r="Y87" s="307" t="n"/>
      <c r="Z87" s="307" t="n"/>
      <c r="AA87" s="307" t="n"/>
      <c r="AB87" s="307" t="n"/>
      <c r="AC87" s="307" t="n"/>
      <c r="AD87" s="307" t="n"/>
      <c r="AE87" s="307" t="n"/>
      <c r="AF87" s="307" t="n"/>
      <c r="AG87" s="307" t="n"/>
      <c r="AH87" s="307" t="n"/>
      <c r="AI87" s="307" t="n"/>
      <c r="AJ87" s="307" t="n"/>
      <c r="AK87" s="307" t="n"/>
      <c r="AL87" s="307" t="n"/>
      <c r="AM87" s="307" t="n"/>
      <c r="AN87" s="307" t="n"/>
      <c r="AO87" s="307" t="n"/>
      <c r="AP87" s="307" t="n"/>
      <c r="AQ87" s="307" t="n"/>
      <c r="AR87" s="307" t="n"/>
    </row>
    <row r="88" ht="15.75" customHeight="1" s="349">
      <c r="A88" s="307" t="n"/>
      <c r="B88" s="307" t="n"/>
      <c r="C88" s="307" t="n"/>
      <c r="D88" s="307" t="n"/>
      <c r="E88" s="307" t="n"/>
      <c r="F88" s="307" t="n"/>
      <c r="G88" s="307" t="n"/>
      <c r="H88" s="307" t="n"/>
      <c r="I88" s="307" t="n"/>
      <c r="J88" s="307" t="n"/>
      <c r="K88" s="307" t="n"/>
      <c r="L88" s="307" t="n"/>
      <c r="M88" s="307" t="n"/>
      <c r="N88" s="307" t="n"/>
      <c r="O88" s="307" t="n"/>
      <c r="P88" s="307" t="n"/>
      <c r="Q88" s="307" t="n"/>
      <c r="R88" s="307" t="n"/>
      <c r="S88" s="307" t="n"/>
      <c r="T88" s="307" t="n"/>
      <c r="U88" s="307" t="n"/>
      <c r="V88" s="307" t="n"/>
      <c r="W88" s="307" t="n"/>
      <c r="X88" s="307" t="n"/>
      <c r="Y88" s="307" t="n"/>
      <c r="Z88" s="307" t="n"/>
      <c r="AA88" s="307" t="n"/>
      <c r="AB88" s="307" t="n"/>
      <c r="AC88" s="307" t="n"/>
      <c r="AD88" s="307" t="n"/>
      <c r="AE88" s="307" t="n"/>
      <c r="AF88" s="307" t="n"/>
      <c r="AG88" s="307" t="n"/>
      <c r="AH88" s="307" t="n"/>
      <c r="AI88" s="307" t="n"/>
      <c r="AJ88" s="307" t="n"/>
      <c r="AK88" s="307" t="n"/>
      <c r="AL88" s="307" t="n"/>
      <c r="AM88" s="307" t="n"/>
      <c r="AN88" s="307" t="n"/>
      <c r="AO88" s="307" t="n"/>
      <c r="AP88" s="307" t="n"/>
      <c r="AQ88" s="307" t="n"/>
      <c r="AR88" s="307" t="n"/>
    </row>
    <row r="89" ht="15.75" customHeight="1" s="349">
      <c r="A89" s="307" t="n"/>
      <c r="B89" s="307" t="n"/>
      <c r="C89" s="307" t="n"/>
      <c r="D89" s="307" t="n"/>
      <c r="E89" s="307" t="n"/>
      <c r="F89" s="307" t="n"/>
      <c r="G89" s="307" t="n"/>
      <c r="H89" s="307" t="n"/>
      <c r="I89" s="307" t="n"/>
      <c r="J89" s="307" t="n"/>
      <c r="K89" s="307" t="n"/>
      <c r="L89" s="307" t="n"/>
      <c r="M89" s="307" t="n"/>
      <c r="N89" s="307" t="n"/>
      <c r="O89" s="307" t="n"/>
      <c r="P89" s="307" t="n"/>
      <c r="Q89" s="307" t="n"/>
      <c r="R89" s="307" t="n"/>
      <c r="S89" s="307" t="n"/>
      <c r="T89" s="307" t="n"/>
      <c r="U89" s="307" t="n"/>
      <c r="V89" s="307" t="n"/>
      <c r="W89" s="307" t="n"/>
      <c r="X89" s="307" t="n"/>
      <c r="Y89" s="307" t="n"/>
      <c r="Z89" s="307" t="n"/>
      <c r="AA89" s="307" t="n"/>
      <c r="AB89" s="307" t="n"/>
      <c r="AC89" s="307" t="n"/>
      <c r="AD89" s="307" t="n"/>
      <c r="AE89" s="307" t="n"/>
      <c r="AF89" s="307" t="n"/>
      <c r="AG89" s="307" t="n"/>
      <c r="AH89" s="307" t="n"/>
      <c r="AI89" s="307" t="n"/>
      <c r="AJ89" s="307" t="n"/>
      <c r="AK89" s="307" t="n"/>
      <c r="AL89" s="307" t="n"/>
      <c r="AM89" s="307" t="n"/>
      <c r="AN89" s="307" t="n"/>
      <c r="AO89" s="307" t="n"/>
      <c r="AP89" s="307" t="n"/>
      <c r="AQ89" s="307" t="n"/>
      <c r="AR89" s="307" t="n"/>
    </row>
    <row r="90" ht="15.75" customHeight="1" s="349">
      <c r="A90" s="307" t="n"/>
      <c r="B90" s="307" t="n"/>
      <c r="C90" s="307" t="n"/>
      <c r="D90" s="307" t="n"/>
      <c r="E90" s="307" t="n"/>
      <c r="F90" s="307" t="n"/>
      <c r="G90" s="307" t="n"/>
      <c r="H90" s="307" t="n"/>
      <c r="I90" s="307" t="n"/>
      <c r="J90" s="307" t="n"/>
      <c r="K90" s="307" t="n"/>
      <c r="L90" s="307" t="n"/>
      <c r="M90" s="307" t="n"/>
      <c r="N90" s="307" t="n"/>
      <c r="O90" s="307" t="n"/>
      <c r="P90" s="307" t="n"/>
      <c r="Q90" s="307" t="n"/>
      <c r="R90" s="307" t="n"/>
      <c r="S90" s="307" t="n"/>
      <c r="T90" s="307" t="n"/>
      <c r="U90" s="307" t="n"/>
      <c r="V90" s="307" t="n"/>
      <c r="W90" s="307" t="n"/>
      <c r="X90" s="307" t="n"/>
      <c r="Y90" s="307" t="n"/>
      <c r="Z90" s="307" t="n"/>
      <c r="AA90" s="307" t="n"/>
      <c r="AB90" s="307" t="n"/>
      <c r="AC90" s="307" t="n"/>
      <c r="AD90" s="307" t="n"/>
      <c r="AE90" s="307" t="n"/>
      <c r="AF90" s="307" t="n"/>
      <c r="AG90" s="307" t="n"/>
      <c r="AH90" s="307" t="n"/>
      <c r="AI90" s="307" t="n"/>
      <c r="AJ90" s="307" t="n"/>
      <c r="AK90" s="307" t="n"/>
      <c r="AL90" s="307" t="n"/>
      <c r="AM90" s="307" t="n"/>
      <c r="AN90" s="307" t="n"/>
      <c r="AO90" s="307" t="n"/>
      <c r="AP90" s="307" t="n"/>
      <c r="AQ90" s="307" t="n"/>
      <c r="AR90" s="307" t="n"/>
    </row>
    <row r="91" ht="15.75" customHeight="1" s="349">
      <c r="A91" s="307" t="n"/>
      <c r="B91" s="307" t="n"/>
      <c r="C91" s="307" t="n"/>
      <c r="D91" s="307" t="n"/>
      <c r="E91" s="307" t="n"/>
      <c r="F91" s="307" t="n"/>
      <c r="G91" s="307" t="n"/>
      <c r="H91" s="307" t="n"/>
      <c r="I91" s="307" t="n"/>
      <c r="J91" s="307" t="n"/>
      <c r="K91" s="307" t="n"/>
      <c r="L91" s="307" t="n"/>
      <c r="M91" s="307" t="n"/>
      <c r="N91" s="307" t="n"/>
      <c r="O91" s="307" t="n"/>
      <c r="P91" s="307" t="n"/>
      <c r="Q91" s="307" t="n"/>
      <c r="R91" s="307" t="n"/>
      <c r="S91" s="307" t="n"/>
      <c r="T91" s="307" t="n"/>
      <c r="U91" s="307" t="n"/>
      <c r="V91" s="307" t="n"/>
      <c r="W91" s="307" t="n"/>
      <c r="X91" s="307" t="n"/>
      <c r="Y91" s="307" t="n"/>
      <c r="Z91" s="307" t="n"/>
      <c r="AA91" s="307" t="n"/>
      <c r="AB91" s="307" t="n"/>
      <c r="AC91" s="307" t="n"/>
      <c r="AD91" s="307" t="n"/>
      <c r="AE91" s="307" t="n"/>
      <c r="AF91" s="307" t="n"/>
      <c r="AG91" s="307" t="n"/>
      <c r="AH91" s="307" t="n"/>
      <c r="AI91" s="307" t="n"/>
      <c r="AJ91" s="307" t="n"/>
      <c r="AK91" s="307" t="n"/>
      <c r="AL91" s="307" t="n"/>
      <c r="AM91" s="307" t="n"/>
      <c r="AN91" s="307" t="n"/>
      <c r="AO91" s="307" t="n"/>
      <c r="AP91" s="307" t="n"/>
      <c r="AQ91" s="307" t="n"/>
      <c r="AR91" s="307" t="n"/>
    </row>
    <row r="92" ht="15.75" customHeight="1" s="349">
      <c r="A92" s="307" t="n"/>
      <c r="B92" s="307" t="n"/>
      <c r="C92" s="307" t="n"/>
      <c r="D92" s="307" t="n"/>
      <c r="E92" s="307" t="n"/>
      <c r="F92" s="307" t="n"/>
      <c r="G92" s="307" t="n"/>
      <c r="H92" s="307" t="n"/>
      <c r="I92" s="307" t="n"/>
      <c r="J92" s="307" t="n"/>
      <c r="K92" s="307" t="n"/>
      <c r="L92" s="307" t="n"/>
      <c r="M92" s="307" t="n"/>
      <c r="N92" s="307" t="n"/>
      <c r="O92" s="307" t="n"/>
      <c r="P92" s="307" t="n"/>
      <c r="Q92" s="307" t="n"/>
      <c r="R92" s="307" t="n"/>
      <c r="S92" s="307" t="n"/>
      <c r="T92" s="307" t="n"/>
      <c r="U92" s="307" t="n"/>
      <c r="V92" s="307" t="n"/>
      <c r="W92" s="307" t="n"/>
      <c r="X92" s="307" t="n"/>
      <c r="Y92" s="307" t="n"/>
      <c r="Z92" s="307" t="n"/>
      <c r="AA92" s="307" t="n"/>
      <c r="AB92" s="307" t="n"/>
      <c r="AC92" s="307" t="n"/>
      <c r="AD92" s="307" t="n"/>
      <c r="AE92" s="307" t="n"/>
      <c r="AF92" s="307" t="n"/>
      <c r="AG92" s="307" t="n"/>
      <c r="AH92" s="307" t="n"/>
      <c r="AI92" s="307" t="n"/>
      <c r="AJ92" s="307" t="n"/>
      <c r="AK92" s="307" t="n"/>
      <c r="AL92" s="307" t="n"/>
      <c r="AM92" s="307" t="n"/>
      <c r="AN92" s="307" t="n"/>
      <c r="AO92" s="307" t="n"/>
      <c r="AP92" s="307" t="n"/>
      <c r="AQ92" s="307" t="n"/>
      <c r="AR92" s="307" t="n"/>
    </row>
    <row r="93" ht="15.75" customHeight="1" s="349">
      <c r="A93" s="307" t="n"/>
      <c r="B93" s="307" t="n"/>
      <c r="C93" s="307" t="n"/>
      <c r="D93" s="307" t="n"/>
      <c r="E93" s="307" t="n"/>
      <c r="F93" s="307" t="n"/>
      <c r="G93" s="307" t="n"/>
      <c r="H93" s="307" t="n"/>
      <c r="I93" s="307" t="n"/>
      <c r="J93" s="307" t="n"/>
      <c r="K93" s="307" t="n"/>
      <c r="L93" s="307" t="n"/>
      <c r="M93" s="307" t="n"/>
      <c r="N93" s="307" t="n"/>
      <c r="O93" s="307" t="n"/>
      <c r="P93" s="307" t="n"/>
      <c r="Q93" s="307" t="n"/>
      <c r="R93" s="307" t="n"/>
      <c r="S93" s="307" t="n"/>
      <c r="T93" s="307" t="n"/>
      <c r="U93" s="307" t="n"/>
      <c r="V93" s="307" t="n"/>
      <c r="W93" s="307" t="n"/>
      <c r="X93" s="307" t="n"/>
      <c r="Y93" s="307" t="n"/>
      <c r="Z93" s="307" t="n"/>
      <c r="AA93" s="307" t="n"/>
      <c r="AB93" s="307" t="n"/>
      <c r="AC93" s="307" t="n"/>
      <c r="AD93" s="307" t="n"/>
      <c r="AE93" s="307" t="n"/>
      <c r="AF93" s="307" t="n"/>
      <c r="AG93" s="307" t="n"/>
      <c r="AH93" s="307" t="n"/>
      <c r="AI93" s="307" t="n"/>
      <c r="AJ93" s="307" t="n"/>
      <c r="AK93" s="307" t="n"/>
      <c r="AL93" s="307" t="n"/>
      <c r="AM93" s="307" t="n"/>
      <c r="AN93" s="307" t="n"/>
      <c r="AO93" s="307" t="n"/>
      <c r="AP93" s="307" t="n"/>
      <c r="AQ93" s="307" t="n"/>
      <c r="AR93" s="307" t="n"/>
    </row>
    <row r="94" ht="15.75" customHeight="1" s="349">
      <c r="A94" s="307" t="n"/>
      <c r="B94" s="307" t="n"/>
      <c r="C94" s="307" t="n"/>
      <c r="D94" s="307" t="n"/>
      <c r="E94" s="307" t="n"/>
      <c r="F94" s="307" t="n"/>
      <c r="G94" s="307" t="n"/>
      <c r="H94" s="307" t="n"/>
      <c r="I94" s="307" t="n"/>
      <c r="J94" s="307" t="n"/>
      <c r="K94" s="307" t="n"/>
      <c r="L94" s="307" t="n"/>
      <c r="M94" s="307" t="n"/>
      <c r="N94" s="307" t="n"/>
      <c r="O94" s="307" t="n"/>
      <c r="P94" s="307" t="n"/>
      <c r="Q94" s="307" t="n"/>
      <c r="R94" s="307" t="n"/>
      <c r="S94" s="307" t="n"/>
      <c r="T94" s="307" t="n"/>
      <c r="U94" s="307" t="n"/>
      <c r="V94" s="307" t="n"/>
      <c r="W94" s="307" t="n"/>
      <c r="X94" s="307" t="n"/>
      <c r="Y94" s="307" t="n"/>
      <c r="Z94" s="307" t="n"/>
      <c r="AA94" s="307" t="n"/>
      <c r="AB94" s="307" t="n"/>
      <c r="AC94" s="307" t="n"/>
      <c r="AD94" s="307" t="n"/>
      <c r="AE94" s="307" t="n"/>
      <c r="AF94" s="307" t="n"/>
      <c r="AG94" s="307" t="n"/>
      <c r="AH94" s="307" t="n"/>
      <c r="AI94" s="307" t="n"/>
      <c r="AJ94" s="307" t="n"/>
      <c r="AK94" s="307" t="n"/>
      <c r="AL94" s="307" t="n"/>
      <c r="AM94" s="307" t="n"/>
      <c r="AN94" s="307" t="n"/>
      <c r="AO94" s="307" t="n"/>
      <c r="AP94" s="307" t="n"/>
      <c r="AQ94" s="307" t="n"/>
      <c r="AR94" s="307" t="n"/>
    </row>
    <row r="95" ht="15.75" customHeight="1" s="349">
      <c r="A95" s="307" t="n"/>
      <c r="B95" s="307" t="n"/>
      <c r="C95" s="307" t="n"/>
      <c r="D95" s="307" t="n"/>
      <c r="E95" s="307" t="n"/>
      <c r="F95" s="307" t="n"/>
      <c r="G95" s="307" t="n"/>
      <c r="H95" s="307" t="n"/>
      <c r="I95" s="307" t="n"/>
      <c r="J95" s="307" t="n"/>
      <c r="K95" s="307" t="n"/>
      <c r="L95" s="307" t="n"/>
      <c r="M95" s="307" t="n"/>
      <c r="N95" s="307" t="n"/>
      <c r="O95" s="307" t="n"/>
      <c r="P95" s="307" t="n"/>
      <c r="Q95" s="307" t="n"/>
      <c r="R95" s="307" t="n"/>
      <c r="S95" s="307" t="n"/>
      <c r="T95" s="307" t="n"/>
      <c r="U95" s="307" t="n"/>
      <c r="V95" s="307" t="n"/>
      <c r="W95" s="307" t="n"/>
      <c r="X95" s="307" t="n"/>
      <c r="Y95" s="307" t="n"/>
      <c r="Z95" s="307" t="n"/>
      <c r="AA95" s="307" t="n"/>
      <c r="AB95" s="307" t="n"/>
      <c r="AC95" s="307" t="n"/>
      <c r="AD95" s="307" t="n"/>
      <c r="AE95" s="307" t="n"/>
      <c r="AF95" s="307" t="n"/>
      <c r="AG95" s="307" t="n"/>
      <c r="AH95" s="307" t="n"/>
      <c r="AI95" s="307" t="n"/>
      <c r="AJ95" s="307" t="n"/>
      <c r="AK95" s="307" t="n"/>
      <c r="AL95" s="307" t="n"/>
      <c r="AM95" s="307" t="n"/>
      <c r="AN95" s="307" t="n"/>
      <c r="AO95" s="307" t="n"/>
      <c r="AP95" s="307" t="n"/>
      <c r="AQ95" s="307" t="n"/>
      <c r="AR95" s="307" t="n"/>
    </row>
    <row r="96" ht="15.75" customHeight="1" s="349">
      <c r="A96" s="307" t="n"/>
      <c r="B96" s="307" t="n"/>
      <c r="C96" s="307" t="n"/>
      <c r="D96" s="307" t="n"/>
      <c r="E96" s="307" t="n"/>
      <c r="F96" s="307" t="n"/>
      <c r="G96" s="307" t="n"/>
      <c r="H96" s="307" t="n"/>
      <c r="I96" s="307" t="n"/>
      <c r="J96" s="307" t="n"/>
      <c r="K96" s="307" t="n"/>
      <c r="L96" s="307" t="n"/>
      <c r="M96" s="307" t="n"/>
      <c r="N96" s="307" t="n"/>
      <c r="O96" s="307" t="n"/>
      <c r="P96" s="307" t="n"/>
      <c r="Q96" s="307" t="n"/>
      <c r="R96" s="307" t="n"/>
      <c r="S96" s="307" t="n"/>
      <c r="T96" s="307" t="n"/>
      <c r="U96" s="307" t="n"/>
      <c r="V96" s="307" t="n"/>
      <c r="W96" s="307" t="n"/>
      <c r="X96" s="307" t="n"/>
      <c r="Y96" s="307" t="n"/>
      <c r="Z96" s="307" t="n"/>
      <c r="AA96" s="307" t="n"/>
      <c r="AB96" s="307" t="n"/>
      <c r="AC96" s="307" t="n"/>
      <c r="AD96" s="307" t="n"/>
      <c r="AE96" s="307" t="n"/>
      <c r="AF96" s="307" t="n"/>
      <c r="AG96" s="307" t="n"/>
      <c r="AH96" s="307" t="n"/>
      <c r="AI96" s="307" t="n"/>
      <c r="AJ96" s="307" t="n"/>
      <c r="AK96" s="307" t="n"/>
      <c r="AL96" s="307" t="n"/>
      <c r="AM96" s="307" t="n"/>
      <c r="AN96" s="307" t="n"/>
      <c r="AO96" s="307" t="n"/>
      <c r="AP96" s="307" t="n"/>
      <c r="AQ96" s="307" t="n"/>
      <c r="AR96" s="307" t="n"/>
    </row>
    <row r="97" ht="15.75" customHeight="1" s="349">
      <c r="A97" s="307" t="n"/>
      <c r="B97" s="307" t="n"/>
      <c r="C97" s="307" t="n"/>
      <c r="D97" s="307" t="n"/>
      <c r="E97" s="307" t="n"/>
      <c r="F97" s="307" t="n"/>
      <c r="G97" s="307" t="n"/>
      <c r="H97" s="307" t="n"/>
      <c r="I97" s="307" t="n"/>
      <c r="J97" s="307" t="n"/>
      <c r="K97" s="307" t="n"/>
      <c r="L97" s="307" t="n"/>
      <c r="M97" s="307" t="n"/>
      <c r="N97" s="307" t="n"/>
      <c r="O97" s="307" t="n"/>
      <c r="P97" s="307" t="n"/>
      <c r="Q97" s="307" t="n"/>
      <c r="R97" s="307" t="n"/>
      <c r="S97" s="307" t="n"/>
      <c r="T97" s="307" t="n"/>
      <c r="U97" s="307" t="n"/>
      <c r="V97" s="307" t="n"/>
      <c r="W97" s="307" t="n"/>
      <c r="X97" s="307" t="n"/>
      <c r="Y97" s="307" t="n"/>
      <c r="Z97" s="307" t="n"/>
      <c r="AA97" s="307" t="n"/>
      <c r="AB97" s="307" t="n"/>
      <c r="AC97" s="307" t="n"/>
      <c r="AD97" s="307" t="n"/>
      <c r="AE97" s="307" t="n"/>
      <c r="AF97" s="307" t="n"/>
      <c r="AG97" s="307" t="n"/>
      <c r="AH97" s="307" t="n"/>
      <c r="AI97" s="307" t="n"/>
      <c r="AJ97" s="307" t="n"/>
      <c r="AK97" s="307" t="n"/>
      <c r="AL97" s="307" t="n"/>
      <c r="AM97" s="307" t="n"/>
      <c r="AN97" s="307" t="n"/>
      <c r="AO97" s="307" t="n"/>
      <c r="AP97" s="307" t="n"/>
      <c r="AQ97" s="307" t="n"/>
      <c r="AR97" s="307" t="n"/>
    </row>
    <row r="98" ht="15.75" customHeight="1" s="349">
      <c r="A98" s="307" t="n"/>
      <c r="B98" s="307" t="n"/>
      <c r="C98" s="307" t="n"/>
      <c r="D98" s="307" t="n"/>
      <c r="E98" s="307" t="n"/>
      <c r="F98" s="307" t="n"/>
      <c r="G98" s="307" t="n"/>
      <c r="H98" s="307" t="n"/>
      <c r="I98" s="307" t="n"/>
      <c r="J98" s="307" t="n"/>
      <c r="K98" s="307" t="n"/>
      <c r="L98" s="307" t="n"/>
      <c r="M98" s="307" t="n"/>
      <c r="N98" s="307" t="n"/>
      <c r="O98" s="307" t="n"/>
      <c r="P98" s="307" t="n"/>
      <c r="Q98" s="307" t="n"/>
      <c r="R98" s="307" t="n"/>
      <c r="S98" s="307" t="n"/>
      <c r="T98" s="307" t="n"/>
      <c r="U98" s="307" t="n"/>
      <c r="V98" s="307" t="n"/>
      <c r="W98" s="307" t="n"/>
      <c r="X98" s="307" t="n"/>
      <c r="Y98" s="307" t="n"/>
      <c r="Z98" s="307" t="n"/>
      <c r="AA98" s="307" t="n"/>
      <c r="AB98" s="307" t="n"/>
      <c r="AC98" s="307" t="n"/>
      <c r="AD98" s="307" t="n"/>
      <c r="AE98" s="307" t="n"/>
      <c r="AF98" s="307" t="n"/>
      <c r="AG98" s="307" t="n"/>
      <c r="AH98" s="307" t="n"/>
      <c r="AI98" s="307" t="n"/>
      <c r="AJ98" s="307" t="n"/>
      <c r="AK98" s="307" t="n"/>
      <c r="AL98" s="307" t="n"/>
      <c r="AM98" s="307" t="n"/>
      <c r="AN98" s="307" t="n"/>
      <c r="AO98" s="307" t="n"/>
      <c r="AP98" s="307" t="n"/>
      <c r="AQ98" s="307" t="n"/>
      <c r="AR98" s="307" t="n"/>
    </row>
    <row r="99" ht="15.75" customHeight="1" s="349">
      <c r="A99" s="307" t="n"/>
      <c r="B99" s="307" t="n"/>
      <c r="C99" s="307" t="n"/>
      <c r="D99" s="307" t="n"/>
      <c r="E99" s="307" t="n"/>
      <c r="F99" s="307" t="n"/>
      <c r="G99" s="307" t="n"/>
      <c r="H99" s="307" t="n"/>
      <c r="I99" s="307" t="n"/>
      <c r="J99" s="307" t="n"/>
      <c r="K99" s="307" t="n"/>
      <c r="L99" s="307" t="n"/>
      <c r="M99" s="307" t="n"/>
      <c r="N99" s="307" t="n"/>
      <c r="O99" s="307" t="n"/>
      <c r="P99" s="307" t="n"/>
      <c r="Q99" s="307" t="n"/>
      <c r="R99" s="307" t="n"/>
      <c r="S99" s="307" t="n"/>
      <c r="T99" s="307" t="n"/>
      <c r="U99" s="307" t="n"/>
      <c r="V99" s="307" t="n"/>
      <c r="W99" s="307" t="n"/>
      <c r="X99" s="307" t="n"/>
      <c r="Y99" s="307" t="n"/>
      <c r="Z99" s="307" t="n"/>
      <c r="AA99" s="307" t="n"/>
      <c r="AB99" s="307" t="n"/>
      <c r="AC99" s="307" t="n"/>
      <c r="AD99" s="307" t="n"/>
      <c r="AE99" s="307" t="n"/>
      <c r="AF99" s="307" t="n"/>
      <c r="AG99" s="307" t="n"/>
      <c r="AH99" s="307" t="n"/>
      <c r="AI99" s="307" t="n"/>
      <c r="AJ99" s="307" t="n"/>
      <c r="AK99" s="307" t="n"/>
      <c r="AL99" s="307" t="n"/>
      <c r="AM99" s="307" t="n"/>
      <c r="AN99" s="307" t="n"/>
      <c r="AO99" s="307" t="n"/>
      <c r="AP99" s="307" t="n"/>
      <c r="AQ99" s="307" t="n"/>
      <c r="AR99" s="307" t="n"/>
    </row>
    <row r="100" ht="15.75" customHeight="1" s="349">
      <c r="A100" s="307" t="n"/>
      <c r="B100" s="307" t="n"/>
      <c r="C100" s="307" t="n"/>
      <c r="D100" s="307" t="n"/>
      <c r="E100" s="307" t="n"/>
      <c r="F100" s="307" t="n"/>
      <c r="G100" s="307" t="n"/>
      <c r="H100" s="307" t="n"/>
      <c r="I100" s="307" t="n"/>
      <c r="J100" s="307" t="n"/>
      <c r="K100" s="307" t="n"/>
      <c r="L100" s="307" t="n"/>
      <c r="M100" s="307" t="n"/>
      <c r="N100" s="307" t="n"/>
      <c r="O100" s="307" t="n"/>
      <c r="P100" s="307" t="n"/>
      <c r="Q100" s="307" t="n"/>
      <c r="R100" s="307" t="n"/>
      <c r="S100" s="307" t="n"/>
      <c r="T100" s="307" t="n"/>
      <c r="U100" s="307" t="n"/>
      <c r="V100" s="307" t="n"/>
      <c r="W100" s="307" t="n"/>
      <c r="X100" s="307" t="n"/>
      <c r="Y100" s="307" t="n"/>
      <c r="Z100" s="307" t="n"/>
      <c r="AA100" s="307" t="n"/>
      <c r="AB100" s="307" t="n"/>
      <c r="AC100" s="307" t="n"/>
      <c r="AD100" s="307" t="n"/>
      <c r="AE100" s="307" t="n"/>
      <c r="AF100" s="307" t="n"/>
      <c r="AG100" s="307" t="n"/>
      <c r="AH100" s="307" t="n"/>
      <c r="AI100" s="307" t="n"/>
      <c r="AJ100" s="307" t="n"/>
      <c r="AK100" s="307" t="n"/>
      <c r="AL100" s="307" t="n"/>
      <c r="AM100" s="307" t="n"/>
      <c r="AN100" s="307" t="n"/>
      <c r="AO100" s="307" t="n"/>
      <c r="AP100" s="307" t="n"/>
      <c r="AQ100" s="307" t="n"/>
      <c r="AR100" s="307" t="n"/>
    </row>
    <row r="101" ht="15.75" customHeight="1" s="349">
      <c r="A101" s="307" t="n"/>
      <c r="B101" s="307" t="n"/>
      <c r="C101" s="307" t="n"/>
      <c r="D101" s="307" t="n"/>
      <c r="E101" s="307" t="n"/>
      <c r="F101" s="307" t="n"/>
      <c r="G101" s="307" t="n"/>
      <c r="H101" s="307" t="n"/>
      <c r="I101" s="307" t="n"/>
      <c r="J101" s="307" t="n"/>
      <c r="K101" s="307" t="n"/>
      <c r="L101" s="307" t="n"/>
      <c r="M101" s="307" t="n"/>
      <c r="N101" s="307" t="n"/>
      <c r="O101" s="307" t="n"/>
      <c r="P101" s="307" t="n"/>
      <c r="Q101" s="307" t="n"/>
      <c r="R101" s="307" t="n"/>
      <c r="S101" s="307" t="n"/>
      <c r="T101" s="307" t="n"/>
      <c r="U101" s="307" t="n"/>
      <c r="V101" s="307" t="n"/>
      <c r="W101" s="307" t="n"/>
      <c r="X101" s="307" t="n"/>
      <c r="Y101" s="307" t="n"/>
      <c r="Z101" s="307" t="n"/>
      <c r="AA101" s="307" t="n"/>
      <c r="AB101" s="307" t="n"/>
      <c r="AC101" s="307" t="n"/>
      <c r="AD101" s="307" t="n"/>
      <c r="AE101" s="307" t="n"/>
      <c r="AF101" s="307" t="n"/>
      <c r="AG101" s="307" t="n"/>
      <c r="AH101" s="307" t="n"/>
      <c r="AI101" s="307" t="n"/>
      <c r="AJ101" s="307" t="n"/>
      <c r="AK101" s="307" t="n"/>
      <c r="AL101" s="307" t="n"/>
      <c r="AM101" s="307" t="n"/>
      <c r="AN101" s="307" t="n"/>
      <c r="AO101" s="307" t="n"/>
      <c r="AP101" s="307" t="n"/>
      <c r="AQ101" s="307" t="n"/>
      <c r="AR101" s="307" t="n"/>
    </row>
    <row r="102" ht="15.75" customHeight="1" s="349">
      <c r="A102" s="307" t="n"/>
      <c r="B102" s="307" t="n"/>
      <c r="C102" s="307" t="n"/>
      <c r="D102" s="307" t="n"/>
      <c r="E102" s="307" t="n"/>
      <c r="F102" s="307" t="n"/>
      <c r="G102" s="307" t="n"/>
      <c r="H102" s="307" t="n"/>
      <c r="I102" s="307" t="n"/>
      <c r="J102" s="307" t="n"/>
      <c r="K102" s="307" t="n"/>
      <c r="L102" s="307" t="n"/>
      <c r="M102" s="307" t="n"/>
      <c r="N102" s="307" t="n"/>
      <c r="O102" s="307" t="n"/>
      <c r="P102" s="307" t="n"/>
      <c r="Q102" s="307" t="n"/>
      <c r="R102" s="307" t="n"/>
      <c r="S102" s="307" t="n"/>
      <c r="T102" s="307" t="n"/>
      <c r="U102" s="307" t="n"/>
      <c r="V102" s="307" t="n"/>
      <c r="W102" s="307" t="n"/>
      <c r="X102" s="307" t="n"/>
      <c r="Y102" s="307" t="n"/>
      <c r="Z102" s="307" t="n"/>
      <c r="AA102" s="307" t="n"/>
      <c r="AB102" s="307" t="n"/>
      <c r="AC102" s="307" t="n"/>
      <c r="AD102" s="307" t="n"/>
      <c r="AE102" s="307" t="n"/>
      <c r="AF102" s="307" t="n"/>
      <c r="AG102" s="307" t="n"/>
      <c r="AH102" s="307" t="n"/>
      <c r="AI102" s="307" t="n"/>
      <c r="AJ102" s="307" t="n"/>
      <c r="AK102" s="307" t="n"/>
      <c r="AL102" s="307" t="n"/>
      <c r="AM102" s="307" t="n"/>
      <c r="AN102" s="307" t="n"/>
      <c r="AO102" s="307" t="n"/>
      <c r="AP102" s="307" t="n"/>
      <c r="AQ102" s="307" t="n"/>
      <c r="AR102" s="307" t="n"/>
    </row>
    <row r="103" ht="15.75" customHeight="1" s="349">
      <c r="A103" s="307" t="n"/>
      <c r="B103" s="307" t="n"/>
      <c r="C103" s="307" t="n"/>
      <c r="D103" s="307" t="n"/>
      <c r="E103" s="307" t="n"/>
      <c r="F103" s="307" t="n"/>
      <c r="G103" s="307" t="n"/>
      <c r="H103" s="307" t="n"/>
      <c r="I103" s="307" t="n"/>
      <c r="J103" s="307" t="n"/>
      <c r="K103" s="307" t="n"/>
      <c r="L103" s="307" t="n"/>
      <c r="M103" s="307" t="n"/>
      <c r="N103" s="307" t="n"/>
      <c r="O103" s="307" t="n"/>
      <c r="P103" s="307" t="n"/>
      <c r="Q103" s="307" t="n"/>
      <c r="R103" s="307" t="n"/>
      <c r="S103" s="307" t="n"/>
      <c r="T103" s="307" t="n"/>
      <c r="U103" s="307" t="n"/>
      <c r="V103" s="307" t="n"/>
      <c r="W103" s="307" t="n"/>
      <c r="X103" s="307" t="n"/>
      <c r="Y103" s="307" t="n"/>
      <c r="Z103" s="307" t="n"/>
      <c r="AA103" s="307" t="n"/>
      <c r="AB103" s="307" t="n"/>
      <c r="AC103" s="307" t="n"/>
      <c r="AD103" s="307" t="n"/>
      <c r="AE103" s="307" t="n"/>
      <c r="AF103" s="307" t="n"/>
      <c r="AG103" s="307" t="n"/>
      <c r="AH103" s="307" t="n"/>
      <c r="AI103" s="307" t="n"/>
      <c r="AJ103" s="307" t="n"/>
      <c r="AK103" s="307" t="n"/>
      <c r="AL103" s="307" t="n"/>
      <c r="AM103" s="307" t="n"/>
      <c r="AN103" s="307" t="n"/>
      <c r="AO103" s="307" t="n"/>
      <c r="AP103" s="307" t="n"/>
      <c r="AQ103" s="307" t="n"/>
      <c r="AR103" s="307" t="n"/>
    </row>
    <row r="104" ht="15.75" customHeight="1" s="349">
      <c r="A104" s="307" t="n"/>
      <c r="B104" s="307" t="n"/>
      <c r="C104" s="307" t="n"/>
      <c r="D104" s="307" t="n"/>
      <c r="E104" s="307" t="n"/>
      <c r="F104" s="307" t="n"/>
      <c r="G104" s="307" t="n"/>
      <c r="H104" s="307" t="n"/>
      <c r="I104" s="307" t="n"/>
      <c r="J104" s="307" t="n"/>
      <c r="K104" s="307" t="n"/>
      <c r="L104" s="307" t="n"/>
      <c r="M104" s="307" t="n"/>
      <c r="N104" s="307" t="n"/>
      <c r="O104" s="307" t="n"/>
      <c r="P104" s="307" t="n"/>
      <c r="Q104" s="307" t="n"/>
      <c r="R104" s="307" t="n"/>
      <c r="S104" s="307" t="n"/>
      <c r="T104" s="307" t="n"/>
      <c r="U104" s="307" t="n"/>
      <c r="V104" s="307" t="n"/>
      <c r="W104" s="307" t="n"/>
      <c r="X104" s="307" t="n"/>
      <c r="Y104" s="307" t="n"/>
      <c r="Z104" s="307" t="n"/>
      <c r="AA104" s="307" t="n"/>
      <c r="AB104" s="307" t="n"/>
      <c r="AC104" s="307" t="n"/>
      <c r="AD104" s="307" t="n"/>
      <c r="AE104" s="307" t="n"/>
      <c r="AF104" s="307" t="n"/>
      <c r="AG104" s="307" t="n"/>
      <c r="AH104" s="307" t="n"/>
      <c r="AI104" s="307" t="n"/>
      <c r="AJ104" s="307" t="n"/>
      <c r="AK104" s="307" t="n"/>
      <c r="AL104" s="307" t="n"/>
      <c r="AM104" s="307" t="n"/>
      <c r="AN104" s="307" t="n"/>
      <c r="AO104" s="307" t="n"/>
      <c r="AP104" s="307" t="n"/>
      <c r="AQ104" s="307" t="n"/>
      <c r="AR104" s="307" t="n"/>
    </row>
    <row r="105" ht="15.75" customHeight="1" s="349">
      <c r="A105" s="307" t="n"/>
      <c r="B105" s="307" t="n"/>
      <c r="C105" s="307" t="n"/>
      <c r="D105" s="307" t="n"/>
      <c r="E105" s="307" t="n"/>
      <c r="F105" s="307" t="n"/>
      <c r="G105" s="307" t="n"/>
      <c r="H105" s="307" t="n"/>
      <c r="I105" s="307" t="n"/>
      <c r="J105" s="307" t="n"/>
      <c r="K105" s="307" t="n"/>
      <c r="L105" s="307" t="n"/>
      <c r="M105" s="307" t="n"/>
      <c r="N105" s="307" t="n"/>
      <c r="O105" s="307" t="n"/>
      <c r="P105" s="307" t="n"/>
      <c r="Q105" s="307" t="n"/>
      <c r="R105" s="307" t="n"/>
      <c r="S105" s="307" t="n"/>
      <c r="T105" s="307" t="n"/>
      <c r="U105" s="307" t="n"/>
      <c r="V105" s="307" t="n"/>
      <c r="W105" s="307" t="n"/>
      <c r="X105" s="307" t="n"/>
      <c r="Y105" s="307" t="n"/>
      <c r="Z105" s="307" t="n"/>
      <c r="AA105" s="307" t="n"/>
      <c r="AB105" s="307" t="n"/>
      <c r="AC105" s="307" t="n"/>
      <c r="AD105" s="307" t="n"/>
      <c r="AE105" s="307" t="n"/>
      <c r="AF105" s="307" t="n"/>
      <c r="AG105" s="307" t="n"/>
      <c r="AH105" s="307" t="n"/>
      <c r="AI105" s="307" t="n"/>
      <c r="AJ105" s="307" t="n"/>
      <c r="AK105" s="307" t="n"/>
      <c r="AL105" s="307" t="n"/>
      <c r="AM105" s="307" t="n"/>
      <c r="AN105" s="307" t="n"/>
      <c r="AO105" s="307" t="n"/>
      <c r="AP105" s="307" t="n"/>
      <c r="AQ105" s="307" t="n"/>
      <c r="AR105" s="307" t="n"/>
    </row>
    <row r="106" ht="15.75" customHeight="1" s="349">
      <c r="A106" s="307" t="n"/>
      <c r="B106" s="307" t="n"/>
      <c r="C106" s="307" t="n"/>
      <c r="D106" s="307" t="n"/>
      <c r="E106" s="307" t="n"/>
      <c r="F106" s="307" t="n"/>
      <c r="G106" s="307" t="n"/>
      <c r="H106" s="307" t="n"/>
      <c r="I106" s="307" t="n"/>
      <c r="J106" s="307" t="n"/>
      <c r="K106" s="307" t="n"/>
      <c r="L106" s="307" t="n"/>
      <c r="M106" s="307" t="n"/>
      <c r="N106" s="307" t="n"/>
      <c r="O106" s="307" t="n"/>
      <c r="P106" s="307" t="n"/>
      <c r="Q106" s="307" t="n"/>
      <c r="R106" s="307" t="n"/>
      <c r="S106" s="307" t="n"/>
      <c r="T106" s="307" t="n"/>
      <c r="U106" s="307" t="n"/>
      <c r="V106" s="307" t="n"/>
      <c r="W106" s="307" t="n"/>
      <c r="X106" s="307" t="n"/>
      <c r="Y106" s="307" t="n"/>
      <c r="Z106" s="307" t="n"/>
      <c r="AA106" s="307" t="n"/>
      <c r="AB106" s="307" t="n"/>
      <c r="AC106" s="307" t="n"/>
      <c r="AD106" s="307" t="n"/>
      <c r="AE106" s="307" t="n"/>
      <c r="AF106" s="307" t="n"/>
      <c r="AG106" s="307" t="n"/>
      <c r="AH106" s="307" t="n"/>
      <c r="AI106" s="307" t="n"/>
      <c r="AJ106" s="307" t="n"/>
      <c r="AK106" s="307" t="n"/>
      <c r="AL106" s="307" t="n"/>
      <c r="AM106" s="307" t="n"/>
      <c r="AN106" s="307" t="n"/>
      <c r="AO106" s="307" t="n"/>
      <c r="AP106" s="307" t="n"/>
      <c r="AQ106" s="307" t="n"/>
      <c r="AR106" s="307" t="n"/>
    </row>
    <row r="107" ht="15.75" customHeight="1" s="349">
      <c r="A107" s="307" t="n"/>
      <c r="B107" s="307" t="n"/>
      <c r="C107" s="307" t="n"/>
      <c r="D107" s="307" t="n"/>
      <c r="E107" s="307" t="n"/>
      <c r="F107" s="307" t="n"/>
      <c r="G107" s="307" t="n"/>
      <c r="H107" s="307" t="n"/>
      <c r="I107" s="307" t="n"/>
      <c r="J107" s="307" t="n"/>
      <c r="K107" s="307" t="n"/>
      <c r="L107" s="307" t="n"/>
      <c r="M107" s="307" t="n"/>
      <c r="N107" s="307" t="n"/>
      <c r="O107" s="307" t="n"/>
      <c r="P107" s="307" t="n"/>
      <c r="Q107" s="307" t="n"/>
      <c r="R107" s="307" t="n"/>
      <c r="S107" s="307" t="n"/>
      <c r="T107" s="307" t="n"/>
      <c r="U107" s="307" t="n"/>
      <c r="V107" s="307" t="n"/>
      <c r="W107" s="307" t="n"/>
      <c r="X107" s="307" t="n"/>
      <c r="Y107" s="307" t="n"/>
      <c r="Z107" s="307" t="n"/>
      <c r="AA107" s="307" t="n"/>
      <c r="AB107" s="307" t="n"/>
      <c r="AC107" s="307" t="n"/>
      <c r="AD107" s="307" t="n"/>
      <c r="AE107" s="307" t="n"/>
      <c r="AF107" s="307" t="n"/>
      <c r="AG107" s="307" t="n"/>
      <c r="AH107" s="307" t="n"/>
      <c r="AI107" s="307" t="n"/>
      <c r="AJ107" s="307" t="n"/>
      <c r="AK107" s="307" t="n"/>
      <c r="AL107" s="307" t="n"/>
      <c r="AM107" s="307" t="n"/>
      <c r="AN107" s="307" t="n"/>
      <c r="AO107" s="307" t="n"/>
      <c r="AP107" s="307" t="n"/>
      <c r="AQ107" s="307" t="n"/>
      <c r="AR107" s="307" t="n"/>
    </row>
    <row r="108" ht="15.75" customHeight="1" s="349">
      <c r="A108" s="307" t="n"/>
      <c r="B108" s="307" t="n"/>
      <c r="C108" s="307" t="n"/>
      <c r="D108" s="307" t="n"/>
      <c r="E108" s="307" t="n"/>
      <c r="F108" s="307" t="n"/>
      <c r="G108" s="307" t="n"/>
      <c r="H108" s="307" t="n"/>
      <c r="I108" s="307" t="n"/>
      <c r="J108" s="307" t="n"/>
      <c r="K108" s="307" t="n"/>
      <c r="L108" s="307" t="n"/>
      <c r="M108" s="307" t="n"/>
      <c r="N108" s="307" t="n"/>
      <c r="O108" s="307" t="n"/>
      <c r="P108" s="307" t="n"/>
      <c r="Q108" s="307" t="n"/>
      <c r="R108" s="307" t="n"/>
      <c r="S108" s="307" t="n"/>
      <c r="T108" s="307" t="n"/>
      <c r="U108" s="307" t="n"/>
      <c r="V108" s="307" t="n"/>
      <c r="W108" s="307" t="n"/>
      <c r="X108" s="307" t="n"/>
      <c r="Y108" s="307" t="n"/>
      <c r="Z108" s="307" t="n"/>
      <c r="AA108" s="307" t="n"/>
      <c r="AB108" s="307" t="n"/>
      <c r="AC108" s="307" t="n"/>
      <c r="AD108" s="307" t="n"/>
      <c r="AE108" s="307" t="n"/>
      <c r="AF108" s="307" t="n"/>
      <c r="AG108" s="307" t="n"/>
      <c r="AH108" s="307" t="n"/>
      <c r="AI108" s="307" t="n"/>
      <c r="AJ108" s="307" t="n"/>
      <c r="AK108" s="307" t="n"/>
      <c r="AL108" s="307" t="n"/>
      <c r="AM108" s="307" t="n"/>
      <c r="AN108" s="307" t="n"/>
      <c r="AO108" s="307" t="n"/>
      <c r="AP108" s="307" t="n"/>
      <c r="AQ108" s="307" t="n"/>
      <c r="AR108" s="307" t="n"/>
    </row>
    <row r="109" ht="15.75" customHeight="1" s="349">
      <c r="A109" s="307" t="n"/>
      <c r="B109" s="307" t="n"/>
      <c r="C109" s="307" t="n"/>
      <c r="D109" s="307" t="n"/>
      <c r="E109" s="307" t="n"/>
      <c r="F109" s="307" t="n"/>
      <c r="G109" s="307" t="n"/>
      <c r="H109" s="307" t="n"/>
      <c r="I109" s="307" t="n"/>
      <c r="J109" s="307" t="n"/>
      <c r="K109" s="307" t="n"/>
      <c r="L109" s="307" t="n"/>
      <c r="M109" s="307" t="n"/>
      <c r="N109" s="307" t="n"/>
      <c r="O109" s="307" t="n"/>
      <c r="P109" s="307" t="n"/>
      <c r="Q109" s="307" t="n"/>
      <c r="R109" s="307" t="n"/>
      <c r="S109" s="307" t="n"/>
      <c r="T109" s="307" t="n"/>
      <c r="U109" s="307" t="n"/>
      <c r="V109" s="307" t="n"/>
      <c r="W109" s="307" t="n"/>
      <c r="X109" s="307" t="n"/>
      <c r="Y109" s="307" t="n"/>
      <c r="Z109" s="307" t="n"/>
      <c r="AA109" s="307" t="n"/>
      <c r="AB109" s="307" t="n"/>
      <c r="AC109" s="307" t="n"/>
      <c r="AD109" s="307" t="n"/>
      <c r="AE109" s="307" t="n"/>
      <c r="AF109" s="307" t="n"/>
      <c r="AG109" s="307" t="n"/>
      <c r="AH109" s="307" t="n"/>
      <c r="AI109" s="307" t="n"/>
      <c r="AJ109" s="307" t="n"/>
      <c r="AK109" s="307" t="n"/>
      <c r="AL109" s="307" t="n"/>
      <c r="AM109" s="307" t="n"/>
      <c r="AN109" s="307" t="n"/>
      <c r="AO109" s="307" t="n"/>
      <c r="AP109" s="307" t="n"/>
      <c r="AQ109" s="307" t="n"/>
      <c r="AR109" s="307" t="n"/>
    </row>
    <row r="110" ht="15.75" customHeight="1" s="349">
      <c r="A110" s="307" t="n"/>
      <c r="B110" s="307" t="n"/>
      <c r="C110" s="307" t="n"/>
      <c r="D110" s="307" t="n"/>
      <c r="E110" s="307" t="n"/>
      <c r="F110" s="307" t="n"/>
      <c r="G110" s="307" t="n"/>
      <c r="H110" s="307" t="n"/>
      <c r="I110" s="307" t="n"/>
      <c r="J110" s="307" t="n"/>
      <c r="K110" s="307" t="n"/>
      <c r="L110" s="307" t="n"/>
      <c r="M110" s="307" t="n"/>
      <c r="N110" s="307" t="n"/>
      <c r="O110" s="307" t="n"/>
      <c r="P110" s="307" t="n"/>
      <c r="Q110" s="307" t="n"/>
      <c r="R110" s="307" t="n"/>
      <c r="S110" s="307" t="n"/>
      <c r="T110" s="307" t="n"/>
      <c r="U110" s="307" t="n"/>
      <c r="V110" s="307" t="n"/>
      <c r="W110" s="307" t="n"/>
      <c r="X110" s="307" t="n"/>
      <c r="Y110" s="307" t="n"/>
      <c r="Z110" s="307" t="n"/>
      <c r="AA110" s="307" t="n"/>
      <c r="AB110" s="307" t="n"/>
      <c r="AC110" s="307" t="n"/>
      <c r="AD110" s="307" t="n"/>
      <c r="AE110" s="307" t="n"/>
      <c r="AF110" s="307" t="n"/>
      <c r="AG110" s="307" t="n"/>
      <c r="AH110" s="307" t="n"/>
      <c r="AI110" s="307" t="n"/>
      <c r="AJ110" s="307" t="n"/>
      <c r="AK110" s="307" t="n"/>
      <c r="AL110" s="307" t="n"/>
      <c r="AM110" s="307" t="n"/>
      <c r="AN110" s="307" t="n"/>
      <c r="AO110" s="307" t="n"/>
      <c r="AP110" s="307" t="n"/>
      <c r="AQ110" s="307" t="n"/>
      <c r="AR110" s="307" t="n"/>
    </row>
    <row r="111" ht="15.75" customHeight="1" s="349">
      <c r="A111" s="307" t="n"/>
      <c r="B111" s="307" t="n"/>
      <c r="C111" s="307" t="n"/>
      <c r="D111" s="307" t="n"/>
      <c r="E111" s="307" t="n"/>
      <c r="F111" s="307" t="n"/>
      <c r="G111" s="307" t="n"/>
      <c r="H111" s="307" t="n"/>
      <c r="I111" s="307" t="n"/>
      <c r="J111" s="307" t="n"/>
      <c r="K111" s="307" t="n"/>
      <c r="L111" s="307" t="n"/>
      <c r="M111" s="307" t="n"/>
      <c r="N111" s="307" t="n"/>
      <c r="O111" s="307" t="n"/>
      <c r="P111" s="307" t="n"/>
      <c r="Q111" s="307" t="n"/>
      <c r="R111" s="307" t="n"/>
      <c r="S111" s="307" t="n"/>
      <c r="T111" s="307" t="n"/>
      <c r="U111" s="307" t="n"/>
      <c r="V111" s="307" t="n"/>
      <c r="W111" s="307" t="n"/>
      <c r="X111" s="307" t="n"/>
      <c r="Y111" s="307" t="n"/>
      <c r="Z111" s="307" t="n"/>
      <c r="AA111" s="307" t="n"/>
      <c r="AB111" s="307" t="n"/>
      <c r="AC111" s="307" t="n"/>
      <c r="AD111" s="307" t="n"/>
      <c r="AE111" s="307" t="n"/>
      <c r="AF111" s="307" t="n"/>
      <c r="AG111" s="307" t="n"/>
      <c r="AH111" s="307" t="n"/>
      <c r="AI111" s="307" t="n"/>
      <c r="AJ111" s="307" t="n"/>
      <c r="AK111" s="307" t="n"/>
      <c r="AL111" s="307" t="n"/>
      <c r="AM111" s="307" t="n"/>
      <c r="AN111" s="307" t="n"/>
      <c r="AO111" s="307" t="n"/>
      <c r="AP111" s="307" t="n"/>
      <c r="AQ111" s="307" t="n"/>
      <c r="AR111" s="307" t="n"/>
    </row>
    <row r="112" ht="15.75" customHeight="1" s="349">
      <c r="A112" s="307" t="n"/>
      <c r="B112" s="307" t="n"/>
      <c r="C112" s="307" t="n"/>
      <c r="D112" s="307" t="n"/>
      <c r="E112" s="307" t="n"/>
      <c r="F112" s="307" t="n"/>
      <c r="G112" s="307" t="n"/>
      <c r="H112" s="307" t="n"/>
      <c r="I112" s="307" t="n"/>
      <c r="J112" s="307" t="n"/>
      <c r="K112" s="307" t="n"/>
      <c r="L112" s="307" t="n"/>
      <c r="M112" s="307" t="n"/>
      <c r="N112" s="307" t="n"/>
      <c r="O112" s="307" t="n"/>
      <c r="P112" s="307" t="n"/>
      <c r="Q112" s="307" t="n"/>
      <c r="R112" s="307" t="n"/>
      <c r="S112" s="307" t="n"/>
      <c r="T112" s="307" t="n"/>
      <c r="U112" s="307" t="n"/>
      <c r="V112" s="307" t="n"/>
      <c r="W112" s="307" t="n"/>
      <c r="X112" s="307" t="n"/>
      <c r="Y112" s="307" t="n"/>
      <c r="Z112" s="307" t="n"/>
      <c r="AA112" s="307" t="n"/>
      <c r="AB112" s="307" t="n"/>
      <c r="AC112" s="307" t="n"/>
      <c r="AD112" s="307" t="n"/>
      <c r="AE112" s="307" t="n"/>
      <c r="AF112" s="307" t="n"/>
      <c r="AG112" s="307" t="n"/>
      <c r="AH112" s="307" t="n"/>
      <c r="AI112" s="307" t="n"/>
      <c r="AJ112" s="307" t="n"/>
      <c r="AK112" s="307" t="n"/>
      <c r="AL112" s="307" t="n"/>
      <c r="AM112" s="307" t="n"/>
      <c r="AN112" s="307" t="n"/>
      <c r="AO112" s="307" t="n"/>
      <c r="AP112" s="307" t="n"/>
      <c r="AQ112" s="307" t="n"/>
      <c r="AR112" s="307" t="n"/>
    </row>
    <row r="113" ht="15.75" customHeight="1" s="349">
      <c r="A113" s="307" t="n"/>
      <c r="B113" s="307" t="n"/>
      <c r="C113" s="307" t="n"/>
      <c r="D113" s="307" t="n"/>
      <c r="E113" s="307" t="n"/>
      <c r="F113" s="307" t="n"/>
      <c r="G113" s="307" t="n"/>
      <c r="H113" s="307" t="n"/>
      <c r="I113" s="307" t="n"/>
      <c r="J113" s="307" t="n"/>
      <c r="K113" s="307" t="n"/>
      <c r="L113" s="307" t="n"/>
      <c r="M113" s="307" t="n"/>
      <c r="N113" s="307" t="n"/>
      <c r="O113" s="307" t="n"/>
      <c r="P113" s="307" t="n"/>
      <c r="Q113" s="307" t="n"/>
      <c r="R113" s="307" t="n"/>
      <c r="S113" s="307" t="n"/>
      <c r="T113" s="307" t="n"/>
      <c r="U113" s="307" t="n"/>
      <c r="V113" s="307" t="n"/>
      <c r="W113" s="307" t="n"/>
      <c r="X113" s="307" t="n"/>
      <c r="Y113" s="307" t="n"/>
      <c r="Z113" s="307" t="n"/>
      <c r="AA113" s="307" t="n"/>
      <c r="AB113" s="307" t="n"/>
      <c r="AC113" s="307" t="n"/>
      <c r="AD113" s="307" t="n"/>
      <c r="AE113" s="307" t="n"/>
      <c r="AF113" s="307" t="n"/>
      <c r="AG113" s="307" t="n"/>
      <c r="AH113" s="307" t="n"/>
      <c r="AI113" s="307" t="n"/>
      <c r="AJ113" s="307" t="n"/>
      <c r="AK113" s="307" t="n"/>
      <c r="AL113" s="307" t="n"/>
      <c r="AM113" s="307" t="n"/>
      <c r="AN113" s="307" t="n"/>
      <c r="AO113" s="307" t="n"/>
      <c r="AP113" s="307" t="n"/>
      <c r="AQ113" s="307" t="n"/>
      <c r="AR113" s="307" t="n"/>
    </row>
    <row r="114" ht="15.75" customHeight="1" s="349">
      <c r="A114" s="307" t="n"/>
      <c r="B114" s="307" t="n"/>
      <c r="C114" s="307" t="n"/>
      <c r="D114" s="307" t="n"/>
      <c r="E114" s="307" t="n"/>
      <c r="F114" s="307" t="n"/>
      <c r="G114" s="307" t="n"/>
      <c r="H114" s="307" t="n"/>
      <c r="I114" s="307" t="n"/>
      <c r="J114" s="307" t="n"/>
      <c r="K114" s="307" t="n"/>
      <c r="L114" s="307" t="n"/>
      <c r="M114" s="307" t="n"/>
      <c r="N114" s="307" t="n"/>
      <c r="O114" s="307" t="n"/>
      <c r="P114" s="307" t="n"/>
      <c r="Q114" s="307" t="n"/>
      <c r="R114" s="307" t="n"/>
      <c r="S114" s="307" t="n"/>
      <c r="T114" s="307" t="n"/>
      <c r="U114" s="307" t="n"/>
      <c r="V114" s="307" t="n"/>
      <c r="W114" s="307" t="n"/>
      <c r="X114" s="307" t="n"/>
      <c r="Y114" s="307" t="n"/>
      <c r="Z114" s="307" t="n"/>
      <c r="AA114" s="307" t="n"/>
      <c r="AB114" s="307" t="n"/>
      <c r="AC114" s="307" t="n"/>
      <c r="AD114" s="307" t="n"/>
      <c r="AE114" s="307" t="n"/>
      <c r="AF114" s="307" t="n"/>
      <c r="AG114" s="307" t="n"/>
      <c r="AH114" s="307" t="n"/>
      <c r="AI114" s="307" t="n"/>
      <c r="AJ114" s="307" t="n"/>
      <c r="AK114" s="307" t="n"/>
      <c r="AL114" s="307" t="n"/>
      <c r="AM114" s="307" t="n"/>
      <c r="AN114" s="307" t="n"/>
      <c r="AO114" s="307" t="n"/>
      <c r="AP114" s="307" t="n"/>
      <c r="AQ114" s="307" t="n"/>
      <c r="AR114" s="307" t="n"/>
    </row>
    <row r="115" ht="15.75" customHeight="1" s="349">
      <c r="A115" s="307" t="n"/>
      <c r="B115" s="307" t="n"/>
      <c r="C115" s="307" t="n"/>
      <c r="D115" s="307" t="n"/>
      <c r="E115" s="307" t="n"/>
      <c r="F115" s="307" t="n"/>
      <c r="G115" s="307" t="n"/>
      <c r="H115" s="307" t="n"/>
      <c r="I115" s="307" t="n"/>
      <c r="J115" s="307" t="n"/>
      <c r="K115" s="307" t="n"/>
      <c r="L115" s="307" t="n"/>
      <c r="M115" s="307" t="n"/>
      <c r="N115" s="307" t="n"/>
      <c r="O115" s="307" t="n"/>
      <c r="P115" s="307" t="n"/>
      <c r="Q115" s="307" t="n"/>
      <c r="R115" s="307" t="n"/>
      <c r="S115" s="307" t="n"/>
      <c r="T115" s="307" t="n"/>
      <c r="U115" s="307" t="n"/>
      <c r="V115" s="307" t="n"/>
      <c r="W115" s="307" t="n"/>
      <c r="X115" s="307" t="n"/>
      <c r="Y115" s="307" t="n"/>
      <c r="Z115" s="307" t="n"/>
      <c r="AA115" s="307" t="n"/>
      <c r="AB115" s="307" t="n"/>
      <c r="AC115" s="307" t="n"/>
      <c r="AD115" s="307" t="n"/>
      <c r="AE115" s="307" t="n"/>
      <c r="AF115" s="307" t="n"/>
      <c r="AG115" s="307" t="n"/>
      <c r="AH115" s="307" t="n"/>
      <c r="AI115" s="307" t="n"/>
      <c r="AJ115" s="307" t="n"/>
      <c r="AK115" s="307" t="n"/>
      <c r="AL115" s="307" t="n"/>
      <c r="AM115" s="307" t="n"/>
      <c r="AN115" s="307" t="n"/>
      <c r="AO115" s="307" t="n"/>
      <c r="AP115" s="307" t="n"/>
      <c r="AQ115" s="307" t="n"/>
      <c r="AR115" s="307" t="n"/>
    </row>
    <row r="116" ht="15.75" customHeight="1" s="349">
      <c r="A116" s="307" t="n"/>
      <c r="B116" s="307" t="n"/>
      <c r="C116" s="307" t="n"/>
      <c r="D116" s="307" t="n"/>
      <c r="E116" s="307" t="n"/>
      <c r="F116" s="307" t="n"/>
      <c r="G116" s="307" t="n"/>
      <c r="H116" s="307" t="n"/>
      <c r="I116" s="307" t="n"/>
      <c r="J116" s="307" t="n"/>
      <c r="K116" s="307" t="n"/>
      <c r="L116" s="307" t="n"/>
      <c r="M116" s="307" t="n"/>
      <c r="N116" s="307" t="n"/>
      <c r="O116" s="307" t="n"/>
      <c r="P116" s="307" t="n"/>
      <c r="Q116" s="307" t="n"/>
      <c r="R116" s="307" t="n"/>
      <c r="S116" s="307" t="n"/>
      <c r="T116" s="307" t="n"/>
      <c r="U116" s="307" t="n"/>
      <c r="V116" s="307" t="n"/>
      <c r="W116" s="307" t="n"/>
      <c r="X116" s="307" t="n"/>
      <c r="Y116" s="307" t="n"/>
      <c r="Z116" s="307" t="n"/>
      <c r="AA116" s="307" t="n"/>
      <c r="AB116" s="307" t="n"/>
      <c r="AC116" s="307" t="n"/>
      <c r="AD116" s="307" t="n"/>
      <c r="AE116" s="307" t="n"/>
      <c r="AF116" s="307" t="n"/>
      <c r="AG116" s="307" t="n"/>
      <c r="AH116" s="307" t="n"/>
      <c r="AI116" s="307" t="n"/>
      <c r="AJ116" s="307" t="n"/>
      <c r="AK116" s="307" t="n"/>
      <c r="AL116" s="307" t="n"/>
      <c r="AM116" s="307" t="n"/>
      <c r="AN116" s="307" t="n"/>
      <c r="AO116" s="307" t="n"/>
      <c r="AP116" s="307" t="n"/>
      <c r="AQ116" s="307" t="n"/>
      <c r="AR116" s="307" t="n"/>
    </row>
    <row r="117" ht="15.75" customHeight="1" s="349">
      <c r="A117" s="307" t="n"/>
      <c r="B117" s="307" t="n"/>
      <c r="C117" s="307" t="n"/>
      <c r="D117" s="307" t="n"/>
      <c r="E117" s="307" t="n"/>
      <c r="F117" s="307" t="n"/>
      <c r="G117" s="307" t="n"/>
      <c r="H117" s="307" t="n"/>
      <c r="I117" s="307" t="n"/>
      <c r="J117" s="307" t="n"/>
      <c r="K117" s="307" t="n"/>
      <c r="L117" s="307" t="n"/>
      <c r="M117" s="307" t="n"/>
      <c r="N117" s="307" t="n"/>
      <c r="O117" s="307" t="n"/>
      <c r="P117" s="307" t="n"/>
      <c r="Q117" s="307" t="n"/>
      <c r="R117" s="307" t="n"/>
      <c r="S117" s="307" t="n"/>
      <c r="T117" s="307" t="n"/>
      <c r="U117" s="307" t="n"/>
      <c r="V117" s="307" t="n"/>
      <c r="W117" s="307" t="n"/>
      <c r="X117" s="307" t="n"/>
      <c r="Y117" s="307" t="n"/>
      <c r="Z117" s="307" t="n"/>
      <c r="AA117" s="307" t="n"/>
      <c r="AB117" s="307" t="n"/>
      <c r="AC117" s="307" t="n"/>
      <c r="AD117" s="307" t="n"/>
      <c r="AE117" s="307" t="n"/>
      <c r="AF117" s="307" t="n"/>
      <c r="AG117" s="307" t="n"/>
      <c r="AH117" s="307" t="n"/>
      <c r="AI117" s="307" t="n"/>
      <c r="AJ117" s="307" t="n"/>
      <c r="AK117" s="307" t="n"/>
      <c r="AL117" s="307" t="n"/>
      <c r="AM117" s="307" t="n"/>
      <c r="AN117" s="307" t="n"/>
      <c r="AO117" s="307" t="n"/>
      <c r="AP117" s="307" t="n"/>
      <c r="AQ117" s="307" t="n"/>
      <c r="AR117" s="307" t="n"/>
    </row>
    <row r="118" ht="15.75" customHeight="1" s="349">
      <c r="A118" s="307" t="n"/>
      <c r="B118" s="307" t="n"/>
      <c r="C118" s="307" t="n"/>
      <c r="D118" s="307" t="n"/>
      <c r="E118" s="307" t="n"/>
      <c r="F118" s="307" t="n"/>
      <c r="G118" s="307" t="n"/>
      <c r="H118" s="307" t="n"/>
      <c r="I118" s="307" t="n"/>
      <c r="J118" s="307" t="n"/>
      <c r="K118" s="307" t="n"/>
      <c r="L118" s="307" t="n"/>
      <c r="M118" s="307" t="n"/>
      <c r="N118" s="307" t="n"/>
      <c r="O118" s="307" t="n"/>
      <c r="P118" s="307" t="n"/>
      <c r="Q118" s="307" t="n"/>
      <c r="R118" s="307" t="n"/>
      <c r="S118" s="307" t="n"/>
      <c r="T118" s="307" t="n"/>
      <c r="U118" s="307" t="n"/>
      <c r="V118" s="307" t="n"/>
      <c r="W118" s="307" t="n"/>
      <c r="X118" s="307" t="n"/>
      <c r="Y118" s="307" t="n"/>
      <c r="Z118" s="307" t="n"/>
      <c r="AA118" s="307" t="n"/>
      <c r="AB118" s="307" t="n"/>
      <c r="AC118" s="307" t="n"/>
      <c r="AD118" s="307" t="n"/>
      <c r="AE118" s="307" t="n"/>
      <c r="AF118" s="307" t="n"/>
      <c r="AG118" s="307" t="n"/>
      <c r="AH118" s="307" t="n"/>
      <c r="AI118" s="307" t="n"/>
      <c r="AJ118" s="307" t="n"/>
      <c r="AK118" s="307" t="n"/>
      <c r="AL118" s="307" t="n"/>
      <c r="AM118" s="307" t="n"/>
      <c r="AN118" s="307" t="n"/>
      <c r="AO118" s="307" t="n"/>
      <c r="AP118" s="307" t="n"/>
      <c r="AQ118" s="307" t="n"/>
      <c r="AR118" s="307" t="n"/>
    </row>
    <row r="119" ht="15.75" customHeight="1" s="349">
      <c r="A119" s="307" t="n"/>
      <c r="B119" s="307" t="n"/>
      <c r="C119" s="307" t="n"/>
      <c r="D119" s="307" t="n"/>
      <c r="E119" s="307" t="n"/>
      <c r="F119" s="307" t="n"/>
      <c r="G119" s="307" t="n"/>
      <c r="H119" s="307" t="n"/>
      <c r="I119" s="307" t="n"/>
      <c r="J119" s="307" t="n"/>
      <c r="K119" s="307" t="n"/>
      <c r="L119" s="307" t="n"/>
      <c r="M119" s="307" t="n"/>
      <c r="N119" s="307" t="n"/>
      <c r="O119" s="307" t="n"/>
      <c r="P119" s="307" t="n"/>
      <c r="Q119" s="307" t="n"/>
      <c r="R119" s="307" t="n"/>
      <c r="S119" s="307" t="n"/>
      <c r="T119" s="307" t="n"/>
      <c r="U119" s="307" t="n"/>
      <c r="V119" s="307" t="n"/>
      <c r="W119" s="307" t="n"/>
      <c r="X119" s="307" t="n"/>
      <c r="Y119" s="307" t="n"/>
      <c r="Z119" s="307" t="n"/>
      <c r="AA119" s="307" t="n"/>
      <c r="AB119" s="307" t="n"/>
      <c r="AC119" s="307" t="n"/>
      <c r="AD119" s="307" t="n"/>
      <c r="AE119" s="307" t="n"/>
      <c r="AF119" s="307" t="n"/>
      <c r="AG119" s="307" t="n"/>
      <c r="AH119" s="307" t="n"/>
      <c r="AI119" s="307" t="n"/>
      <c r="AJ119" s="307" t="n"/>
      <c r="AK119" s="307" t="n"/>
      <c r="AL119" s="307" t="n"/>
      <c r="AM119" s="307" t="n"/>
      <c r="AN119" s="307" t="n"/>
      <c r="AO119" s="307" t="n"/>
      <c r="AP119" s="307" t="n"/>
      <c r="AQ119" s="307" t="n"/>
      <c r="AR119" s="307" t="n"/>
    </row>
    <row r="120" ht="15.75" customHeight="1" s="349">
      <c r="A120" s="307" t="n"/>
      <c r="B120" s="307" t="n"/>
      <c r="C120" s="307" t="n"/>
      <c r="D120" s="307" t="n"/>
      <c r="E120" s="307" t="n"/>
      <c r="F120" s="307" t="n"/>
      <c r="G120" s="307" t="n"/>
      <c r="H120" s="307" t="n"/>
      <c r="I120" s="307" t="n"/>
      <c r="J120" s="307" t="n"/>
      <c r="K120" s="307" t="n"/>
      <c r="L120" s="307" t="n"/>
      <c r="M120" s="307" t="n"/>
      <c r="N120" s="307" t="n"/>
      <c r="O120" s="307" t="n"/>
      <c r="P120" s="307" t="n"/>
      <c r="Q120" s="307" t="n"/>
      <c r="R120" s="307" t="n"/>
      <c r="S120" s="307" t="n"/>
      <c r="T120" s="307" t="n"/>
      <c r="U120" s="307" t="n"/>
      <c r="V120" s="307" t="n"/>
      <c r="W120" s="307" t="n"/>
      <c r="X120" s="307" t="n"/>
      <c r="Y120" s="307" t="n"/>
      <c r="Z120" s="307" t="n"/>
      <c r="AA120" s="307" t="n"/>
      <c r="AB120" s="307" t="n"/>
      <c r="AC120" s="307" t="n"/>
      <c r="AD120" s="307" t="n"/>
      <c r="AE120" s="307" t="n"/>
      <c r="AF120" s="307" t="n"/>
      <c r="AG120" s="307" t="n"/>
      <c r="AH120" s="307" t="n"/>
      <c r="AI120" s="307" t="n"/>
      <c r="AJ120" s="307" t="n"/>
      <c r="AK120" s="307" t="n"/>
      <c r="AL120" s="307" t="n"/>
      <c r="AM120" s="307" t="n"/>
      <c r="AN120" s="307" t="n"/>
      <c r="AO120" s="307" t="n"/>
      <c r="AP120" s="307" t="n"/>
      <c r="AQ120" s="307" t="n"/>
      <c r="AR120" s="307" t="n"/>
    </row>
    <row r="121" ht="15.75" customHeight="1" s="349">
      <c r="A121" s="307" t="n"/>
      <c r="B121" s="307" t="n"/>
      <c r="C121" s="307" t="n"/>
      <c r="D121" s="307" t="n"/>
      <c r="E121" s="307" t="n"/>
      <c r="F121" s="307" t="n"/>
      <c r="G121" s="307" t="n"/>
      <c r="H121" s="307" t="n"/>
      <c r="I121" s="307" t="n"/>
      <c r="J121" s="307" t="n"/>
      <c r="K121" s="307" t="n"/>
      <c r="L121" s="307" t="n"/>
      <c r="M121" s="307" t="n"/>
      <c r="N121" s="307" t="n"/>
      <c r="O121" s="307" t="n"/>
      <c r="P121" s="307" t="n"/>
      <c r="Q121" s="307" t="n"/>
      <c r="R121" s="307" t="n"/>
      <c r="S121" s="307" t="n"/>
      <c r="T121" s="307" t="n"/>
      <c r="U121" s="307" t="n"/>
      <c r="V121" s="307" t="n"/>
      <c r="W121" s="307" t="n"/>
      <c r="X121" s="307" t="n"/>
      <c r="Y121" s="307" t="n"/>
      <c r="Z121" s="307" t="n"/>
      <c r="AA121" s="307" t="n"/>
      <c r="AB121" s="307" t="n"/>
      <c r="AC121" s="307" t="n"/>
      <c r="AD121" s="307" t="n"/>
      <c r="AE121" s="307" t="n"/>
      <c r="AF121" s="307" t="n"/>
      <c r="AG121" s="307" t="n"/>
      <c r="AH121" s="307" t="n"/>
      <c r="AI121" s="307" t="n"/>
      <c r="AJ121" s="307" t="n"/>
      <c r="AK121" s="307" t="n"/>
      <c r="AL121" s="307" t="n"/>
      <c r="AM121" s="307" t="n"/>
      <c r="AN121" s="307" t="n"/>
      <c r="AO121" s="307" t="n"/>
      <c r="AP121" s="307" t="n"/>
      <c r="AQ121" s="307" t="n"/>
      <c r="AR121" s="307" t="n"/>
    </row>
    <row r="122" ht="15.75" customHeight="1" s="349">
      <c r="A122" s="307" t="n"/>
      <c r="B122" s="307" t="n"/>
      <c r="C122" s="307" t="n"/>
      <c r="D122" s="307" t="n"/>
      <c r="E122" s="307" t="n"/>
      <c r="F122" s="307" t="n"/>
      <c r="G122" s="307" t="n"/>
      <c r="H122" s="307" t="n"/>
      <c r="I122" s="307" t="n"/>
      <c r="J122" s="307" t="n"/>
      <c r="K122" s="307" t="n"/>
      <c r="L122" s="307" t="n"/>
      <c r="M122" s="307" t="n"/>
      <c r="N122" s="307" t="n"/>
      <c r="O122" s="307" t="n"/>
      <c r="P122" s="307" t="n"/>
      <c r="Q122" s="307" t="n"/>
      <c r="R122" s="307" t="n"/>
      <c r="S122" s="307" t="n"/>
      <c r="T122" s="307" t="n"/>
      <c r="U122" s="307" t="n"/>
      <c r="V122" s="307" t="n"/>
      <c r="W122" s="307" t="n"/>
      <c r="X122" s="307" t="n"/>
      <c r="Y122" s="307" t="n"/>
      <c r="Z122" s="307" t="n"/>
      <c r="AA122" s="307" t="n"/>
      <c r="AB122" s="307" t="n"/>
      <c r="AC122" s="307" t="n"/>
      <c r="AD122" s="307" t="n"/>
      <c r="AE122" s="307" t="n"/>
      <c r="AF122" s="307" t="n"/>
      <c r="AG122" s="307" t="n"/>
      <c r="AH122" s="307" t="n"/>
      <c r="AI122" s="307" t="n"/>
      <c r="AJ122" s="307" t="n"/>
      <c r="AK122" s="307" t="n"/>
      <c r="AL122" s="307" t="n"/>
      <c r="AM122" s="307" t="n"/>
      <c r="AN122" s="307" t="n"/>
      <c r="AO122" s="307" t="n"/>
      <c r="AP122" s="307" t="n"/>
      <c r="AQ122" s="307" t="n"/>
      <c r="AR122" s="307" t="n"/>
    </row>
    <row r="123" ht="15.75" customHeight="1" s="349">
      <c r="A123" s="307" t="n"/>
      <c r="B123" s="307" t="n"/>
      <c r="C123" s="307" t="n"/>
      <c r="D123" s="307" t="n"/>
      <c r="E123" s="307" t="n"/>
      <c r="F123" s="307" t="n"/>
      <c r="G123" s="307" t="n"/>
      <c r="H123" s="307" t="n"/>
      <c r="I123" s="307" t="n"/>
      <c r="J123" s="307" t="n"/>
      <c r="K123" s="307" t="n"/>
      <c r="L123" s="307" t="n"/>
      <c r="M123" s="307" t="n"/>
      <c r="N123" s="307" t="n"/>
      <c r="O123" s="307" t="n"/>
      <c r="P123" s="307" t="n"/>
      <c r="Q123" s="307" t="n"/>
      <c r="R123" s="307" t="n"/>
      <c r="S123" s="307" t="n"/>
      <c r="T123" s="307" t="n"/>
      <c r="U123" s="307" t="n"/>
      <c r="V123" s="307" t="n"/>
      <c r="W123" s="307" t="n"/>
      <c r="X123" s="307" t="n"/>
      <c r="Y123" s="307" t="n"/>
      <c r="Z123" s="307" t="n"/>
      <c r="AA123" s="307" t="n"/>
      <c r="AB123" s="307" t="n"/>
      <c r="AC123" s="307" t="n"/>
      <c r="AD123" s="307" t="n"/>
      <c r="AE123" s="307" t="n"/>
      <c r="AF123" s="307" t="n"/>
      <c r="AG123" s="307" t="n"/>
      <c r="AH123" s="307" t="n"/>
      <c r="AI123" s="307" t="n"/>
      <c r="AJ123" s="307" t="n"/>
      <c r="AK123" s="307" t="n"/>
      <c r="AL123" s="307" t="n"/>
      <c r="AM123" s="307" t="n"/>
      <c r="AN123" s="307" t="n"/>
      <c r="AO123" s="307" t="n"/>
      <c r="AP123" s="307" t="n"/>
      <c r="AQ123" s="307" t="n"/>
      <c r="AR123" s="307" t="n"/>
    </row>
    <row r="124" ht="15.75" customHeight="1" s="349">
      <c r="A124" s="307" t="n"/>
      <c r="B124" s="307" t="n"/>
      <c r="C124" s="307" t="n"/>
      <c r="D124" s="307" t="n"/>
      <c r="E124" s="307" t="n"/>
      <c r="F124" s="307" t="n"/>
      <c r="G124" s="307" t="n"/>
      <c r="H124" s="307" t="n"/>
      <c r="I124" s="307" t="n"/>
      <c r="J124" s="307" t="n"/>
      <c r="K124" s="307" t="n"/>
      <c r="L124" s="307" t="n"/>
      <c r="M124" s="307" t="n"/>
      <c r="N124" s="307" t="n"/>
      <c r="O124" s="307" t="n"/>
      <c r="P124" s="307" t="n"/>
      <c r="Q124" s="307" t="n"/>
      <c r="R124" s="307" t="n"/>
      <c r="S124" s="307" t="n"/>
      <c r="T124" s="307" t="n"/>
      <c r="U124" s="307" t="n"/>
      <c r="V124" s="307" t="n"/>
      <c r="W124" s="307" t="n"/>
      <c r="X124" s="307" t="n"/>
      <c r="Y124" s="307" t="n"/>
      <c r="Z124" s="307" t="n"/>
      <c r="AA124" s="307" t="n"/>
      <c r="AB124" s="307" t="n"/>
      <c r="AC124" s="307" t="n"/>
      <c r="AD124" s="307" t="n"/>
      <c r="AE124" s="307" t="n"/>
      <c r="AF124" s="307" t="n"/>
      <c r="AG124" s="307" t="n"/>
      <c r="AH124" s="307" t="n"/>
      <c r="AI124" s="307" t="n"/>
      <c r="AJ124" s="307" t="n"/>
      <c r="AK124" s="307" t="n"/>
      <c r="AL124" s="307" t="n"/>
      <c r="AM124" s="307" t="n"/>
      <c r="AN124" s="307" t="n"/>
      <c r="AO124" s="307" t="n"/>
      <c r="AP124" s="307" t="n"/>
      <c r="AQ124" s="307" t="n"/>
      <c r="AR124" s="307" t="n"/>
    </row>
    <row r="125" ht="15.75" customHeight="1" s="349">
      <c r="A125" s="307" t="n"/>
      <c r="B125" s="307" t="n"/>
      <c r="C125" s="307" t="n"/>
      <c r="D125" s="307" t="n"/>
      <c r="E125" s="307" t="n"/>
      <c r="F125" s="307" t="n"/>
      <c r="G125" s="307" t="n"/>
      <c r="H125" s="307" t="n"/>
      <c r="I125" s="307" t="n"/>
      <c r="J125" s="307" t="n"/>
      <c r="K125" s="307" t="n"/>
      <c r="L125" s="307" t="n"/>
      <c r="M125" s="307" t="n"/>
      <c r="N125" s="307" t="n"/>
      <c r="O125" s="307" t="n"/>
      <c r="P125" s="307" t="n"/>
      <c r="Q125" s="307" t="n"/>
      <c r="R125" s="307" t="n"/>
      <c r="S125" s="307" t="n"/>
      <c r="T125" s="307" t="n"/>
      <c r="U125" s="307" t="n"/>
      <c r="V125" s="307" t="n"/>
      <c r="W125" s="307" t="n"/>
      <c r="X125" s="307" t="n"/>
      <c r="Y125" s="307" t="n"/>
      <c r="Z125" s="307" t="n"/>
      <c r="AA125" s="307" t="n"/>
      <c r="AB125" s="307" t="n"/>
      <c r="AC125" s="307" t="n"/>
      <c r="AD125" s="307" t="n"/>
      <c r="AE125" s="307" t="n"/>
      <c r="AF125" s="307" t="n"/>
      <c r="AG125" s="307" t="n"/>
      <c r="AH125" s="307" t="n"/>
      <c r="AI125" s="307" t="n"/>
      <c r="AJ125" s="307" t="n"/>
      <c r="AK125" s="307" t="n"/>
      <c r="AL125" s="307" t="n"/>
      <c r="AM125" s="307" t="n"/>
      <c r="AN125" s="307" t="n"/>
      <c r="AO125" s="307" t="n"/>
      <c r="AP125" s="307" t="n"/>
      <c r="AQ125" s="307" t="n"/>
      <c r="AR125" s="307" t="n"/>
    </row>
    <row r="126" ht="15.75" customHeight="1" s="349">
      <c r="A126" s="307" t="n"/>
      <c r="B126" s="307" t="n"/>
      <c r="C126" s="307" t="n"/>
      <c r="D126" s="307" t="n"/>
      <c r="E126" s="307" t="n"/>
      <c r="F126" s="307" t="n"/>
      <c r="G126" s="307" t="n"/>
      <c r="H126" s="307" t="n"/>
      <c r="I126" s="307" t="n"/>
      <c r="J126" s="307" t="n"/>
      <c r="K126" s="307" t="n"/>
      <c r="L126" s="307" t="n"/>
      <c r="M126" s="307" t="n"/>
      <c r="N126" s="307" t="n"/>
      <c r="O126" s="307" t="n"/>
      <c r="P126" s="307" t="n"/>
      <c r="Q126" s="307" t="n"/>
      <c r="R126" s="307" t="n"/>
      <c r="S126" s="307" t="n"/>
      <c r="T126" s="307" t="n"/>
      <c r="U126" s="307" t="n"/>
      <c r="V126" s="307" t="n"/>
      <c r="W126" s="307" t="n"/>
      <c r="X126" s="307" t="n"/>
      <c r="Y126" s="307" t="n"/>
      <c r="Z126" s="307" t="n"/>
      <c r="AA126" s="307" t="n"/>
      <c r="AB126" s="307" t="n"/>
      <c r="AC126" s="307" t="n"/>
      <c r="AD126" s="307" t="n"/>
      <c r="AE126" s="307" t="n"/>
      <c r="AF126" s="307" t="n"/>
      <c r="AG126" s="307" t="n"/>
      <c r="AH126" s="307" t="n"/>
      <c r="AI126" s="307" t="n"/>
      <c r="AJ126" s="307" t="n"/>
      <c r="AK126" s="307" t="n"/>
      <c r="AL126" s="307" t="n"/>
      <c r="AM126" s="307" t="n"/>
      <c r="AN126" s="307" t="n"/>
      <c r="AO126" s="307" t="n"/>
      <c r="AP126" s="307" t="n"/>
      <c r="AQ126" s="307" t="n"/>
      <c r="AR126" s="307" t="n"/>
    </row>
    <row r="127" ht="15.75" customHeight="1" s="349">
      <c r="A127" s="307" t="n"/>
      <c r="B127" s="307" t="n"/>
      <c r="C127" s="307" t="n"/>
      <c r="D127" s="307" t="n"/>
      <c r="E127" s="307" t="n"/>
      <c r="F127" s="307" t="n"/>
      <c r="G127" s="307" t="n"/>
      <c r="H127" s="307" t="n"/>
      <c r="I127" s="307" t="n"/>
      <c r="J127" s="307" t="n"/>
      <c r="K127" s="307" t="n"/>
      <c r="L127" s="307" t="n"/>
      <c r="M127" s="307" t="n"/>
      <c r="N127" s="307" t="n"/>
      <c r="O127" s="307" t="n"/>
      <c r="P127" s="307" t="n"/>
      <c r="Q127" s="307" t="n"/>
      <c r="R127" s="307" t="n"/>
      <c r="S127" s="307" t="n"/>
      <c r="T127" s="307" t="n"/>
      <c r="U127" s="307" t="n"/>
      <c r="V127" s="307" t="n"/>
      <c r="W127" s="307" t="n"/>
      <c r="X127" s="307" t="n"/>
      <c r="Y127" s="307" t="n"/>
      <c r="Z127" s="307" t="n"/>
      <c r="AA127" s="307" t="n"/>
      <c r="AB127" s="307" t="n"/>
      <c r="AC127" s="307" t="n"/>
      <c r="AD127" s="307" t="n"/>
      <c r="AE127" s="307" t="n"/>
      <c r="AF127" s="307" t="n"/>
      <c r="AG127" s="307" t="n"/>
      <c r="AH127" s="307" t="n"/>
      <c r="AI127" s="307" t="n"/>
      <c r="AJ127" s="307" t="n"/>
      <c r="AK127" s="307" t="n"/>
      <c r="AL127" s="307" t="n"/>
      <c r="AM127" s="307" t="n"/>
      <c r="AN127" s="307" t="n"/>
      <c r="AO127" s="307" t="n"/>
      <c r="AP127" s="307" t="n"/>
      <c r="AQ127" s="307" t="n"/>
      <c r="AR127" s="307" t="n"/>
    </row>
    <row r="128" ht="15.75" customHeight="1" s="349">
      <c r="A128" s="307" t="n"/>
      <c r="B128" s="307" t="n"/>
      <c r="C128" s="307" t="n"/>
      <c r="D128" s="307" t="n"/>
      <c r="E128" s="307" t="n"/>
      <c r="F128" s="307" t="n"/>
      <c r="G128" s="307" t="n"/>
      <c r="H128" s="307" t="n"/>
      <c r="I128" s="307" t="n"/>
      <c r="J128" s="307" t="n"/>
      <c r="K128" s="307" t="n"/>
      <c r="L128" s="307" t="n"/>
      <c r="M128" s="307" t="n"/>
      <c r="N128" s="307" t="n"/>
      <c r="O128" s="307" t="n"/>
      <c r="P128" s="307" t="n"/>
      <c r="Q128" s="307" t="n"/>
      <c r="R128" s="307" t="n"/>
      <c r="S128" s="307" t="n"/>
      <c r="T128" s="307" t="n"/>
      <c r="U128" s="307" t="n"/>
      <c r="V128" s="307" t="n"/>
      <c r="W128" s="307" t="n"/>
      <c r="X128" s="307" t="n"/>
      <c r="Y128" s="307" t="n"/>
      <c r="Z128" s="307" t="n"/>
      <c r="AA128" s="307" t="n"/>
      <c r="AB128" s="307" t="n"/>
      <c r="AC128" s="307" t="n"/>
      <c r="AD128" s="307" t="n"/>
      <c r="AE128" s="307" t="n"/>
      <c r="AF128" s="307" t="n"/>
      <c r="AG128" s="307" t="n"/>
      <c r="AH128" s="307" t="n"/>
      <c r="AI128" s="307" t="n"/>
      <c r="AJ128" s="307" t="n"/>
      <c r="AK128" s="307" t="n"/>
      <c r="AL128" s="307" t="n"/>
      <c r="AM128" s="307" t="n"/>
      <c r="AN128" s="307" t="n"/>
      <c r="AO128" s="307" t="n"/>
      <c r="AP128" s="307" t="n"/>
      <c r="AQ128" s="307" t="n"/>
      <c r="AR128" s="307" t="n"/>
    </row>
    <row r="129" ht="15.75" customHeight="1" s="349">
      <c r="A129" s="307" t="n"/>
      <c r="B129" s="307" t="n"/>
      <c r="C129" s="307" t="n"/>
      <c r="D129" s="307" t="n"/>
      <c r="E129" s="307" t="n"/>
      <c r="F129" s="307" t="n"/>
      <c r="G129" s="307" t="n"/>
      <c r="H129" s="307" t="n"/>
      <c r="I129" s="307" t="n"/>
      <c r="J129" s="307" t="n"/>
      <c r="K129" s="307" t="n"/>
      <c r="L129" s="307" t="n"/>
      <c r="M129" s="307" t="n"/>
      <c r="N129" s="307" t="n"/>
      <c r="O129" s="307" t="n"/>
      <c r="P129" s="307" t="n"/>
      <c r="Q129" s="307" t="n"/>
      <c r="R129" s="307" t="n"/>
      <c r="S129" s="307" t="n"/>
      <c r="T129" s="307" t="n"/>
      <c r="U129" s="307" t="n"/>
      <c r="V129" s="307" t="n"/>
      <c r="W129" s="307" t="n"/>
      <c r="X129" s="307" t="n"/>
      <c r="Y129" s="307" t="n"/>
      <c r="Z129" s="307" t="n"/>
      <c r="AA129" s="307" t="n"/>
      <c r="AB129" s="307" t="n"/>
      <c r="AC129" s="307" t="n"/>
      <c r="AD129" s="307" t="n"/>
      <c r="AE129" s="307" t="n"/>
      <c r="AF129" s="307" t="n"/>
      <c r="AG129" s="307" t="n"/>
      <c r="AH129" s="307" t="n"/>
      <c r="AI129" s="307" t="n"/>
      <c r="AJ129" s="307" t="n"/>
      <c r="AK129" s="307" t="n"/>
      <c r="AL129" s="307" t="n"/>
      <c r="AM129" s="307" t="n"/>
      <c r="AN129" s="307" t="n"/>
      <c r="AO129" s="307" t="n"/>
      <c r="AP129" s="307" t="n"/>
      <c r="AQ129" s="307" t="n"/>
      <c r="AR129" s="307" t="n"/>
    </row>
    <row r="130" ht="15.75" customHeight="1" s="349">
      <c r="A130" s="307" t="n"/>
      <c r="B130" s="307" t="n"/>
      <c r="C130" s="307" t="n"/>
      <c r="D130" s="307" t="n"/>
      <c r="E130" s="307" t="n"/>
      <c r="F130" s="307" t="n"/>
      <c r="G130" s="307" t="n"/>
      <c r="H130" s="307" t="n"/>
      <c r="I130" s="307" t="n"/>
      <c r="J130" s="307" t="n"/>
      <c r="K130" s="307" t="n"/>
      <c r="L130" s="307" t="n"/>
      <c r="M130" s="307" t="n"/>
      <c r="N130" s="307" t="n"/>
      <c r="O130" s="307" t="n"/>
      <c r="P130" s="307" t="n"/>
      <c r="Q130" s="307" t="n"/>
      <c r="R130" s="307" t="n"/>
      <c r="S130" s="307" t="n"/>
      <c r="T130" s="307" t="n"/>
      <c r="U130" s="307" t="n"/>
      <c r="V130" s="307" t="n"/>
      <c r="W130" s="307" t="n"/>
      <c r="X130" s="307" t="n"/>
      <c r="Y130" s="307" t="n"/>
      <c r="Z130" s="307" t="n"/>
      <c r="AA130" s="307" t="n"/>
      <c r="AB130" s="307" t="n"/>
      <c r="AC130" s="307" t="n"/>
      <c r="AD130" s="307" t="n"/>
      <c r="AE130" s="307" t="n"/>
      <c r="AF130" s="307" t="n"/>
      <c r="AG130" s="307" t="n"/>
      <c r="AH130" s="307" t="n"/>
      <c r="AI130" s="307" t="n"/>
      <c r="AJ130" s="307" t="n"/>
      <c r="AK130" s="307" t="n"/>
      <c r="AL130" s="307" t="n"/>
      <c r="AM130" s="307" t="n"/>
      <c r="AN130" s="307" t="n"/>
      <c r="AO130" s="307" t="n"/>
      <c r="AP130" s="307" t="n"/>
      <c r="AQ130" s="307" t="n"/>
      <c r="AR130" s="307" t="n"/>
    </row>
    <row r="131" ht="15.75" customHeight="1" s="349">
      <c r="A131" s="307" t="n"/>
      <c r="B131" s="307" t="n"/>
      <c r="C131" s="307" t="n"/>
      <c r="D131" s="307" t="n"/>
      <c r="E131" s="307" t="n"/>
      <c r="F131" s="307" t="n"/>
      <c r="G131" s="307" t="n"/>
      <c r="H131" s="307" t="n"/>
      <c r="I131" s="307" t="n"/>
      <c r="J131" s="307" t="n"/>
      <c r="K131" s="307" t="n"/>
      <c r="L131" s="307" t="n"/>
      <c r="M131" s="307" t="n"/>
      <c r="N131" s="307" t="n"/>
      <c r="O131" s="307" t="n"/>
      <c r="P131" s="307" t="n"/>
      <c r="Q131" s="307" t="n"/>
      <c r="R131" s="307" t="n"/>
      <c r="S131" s="307" t="n"/>
      <c r="T131" s="307" t="n"/>
      <c r="U131" s="307" t="n"/>
      <c r="V131" s="307" t="n"/>
      <c r="W131" s="307" t="n"/>
      <c r="X131" s="307" t="n"/>
      <c r="Y131" s="307" t="n"/>
      <c r="Z131" s="307" t="n"/>
      <c r="AA131" s="307" t="n"/>
      <c r="AB131" s="307" t="n"/>
      <c r="AC131" s="307" t="n"/>
      <c r="AD131" s="307" t="n"/>
      <c r="AE131" s="307" t="n"/>
      <c r="AF131" s="307" t="n"/>
      <c r="AG131" s="307" t="n"/>
      <c r="AH131" s="307" t="n"/>
      <c r="AI131" s="307" t="n"/>
      <c r="AJ131" s="307" t="n"/>
      <c r="AK131" s="307" t="n"/>
      <c r="AL131" s="307" t="n"/>
      <c r="AM131" s="307" t="n"/>
      <c r="AN131" s="307" t="n"/>
      <c r="AO131" s="307" t="n"/>
      <c r="AP131" s="307" t="n"/>
      <c r="AQ131" s="307" t="n"/>
      <c r="AR131" s="307" t="n"/>
    </row>
    <row r="132" ht="15.75" customHeight="1" s="349">
      <c r="A132" s="307" t="n"/>
      <c r="B132" s="307" t="n"/>
      <c r="C132" s="307" t="n"/>
      <c r="D132" s="307" t="n"/>
      <c r="E132" s="307" t="n"/>
      <c r="F132" s="307" t="n"/>
      <c r="G132" s="307" t="n"/>
      <c r="H132" s="307" t="n"/>
      <c r="I132" s="307" t="n"/>
      <c r="J132" s="307" t="n"/>
      <c r="K132" s="307" t="n"/>
      <c r="L132" s="307" t="n"/>
      <c r="M132" s="307" t="n"/>
      <c r="N132" s="307" t="n"/>
      <c r="O132" s="307" t="n"/>
      <c r="P132" s="307" t="n"/>
      <c r="Q132" s="307" t="n"/>
      <c r="R132" s="307" t="n"/>
      <c r="S132" s="307" t="n"/>
      <c r="T132" s="307" t="n"/>
      <c r="U132" s="307" t="n"/>
      <c r="V132" s="307" t="n"/>
      <c r="W132" s="307" t="n"/>
      <c r="X132" s="307" t="n"/>
      <c r="Y132" s="307" t="n"/>
      <c r="Z132" s="307" t="n"/>
      <c r="AA132" s="307" t="n"/>
      <c r="AB132" s="307" t="n"/>
      <c r="AC132" s="307" t="n"/>
      <c r="AD132" s="307" t="n"/>
      <c r="AE132" s="307" t="n"/>
      <c r="AF132" s="307" t="n"/>
      <c r="AG132" s="307" t="n"/>
      <c r="AH132" s="307" t="n"/>
      <c r="AI132" s="307" t="n"/>
      <c r="AJ132" s="307" t="n"/>
      <c r="AK132" s="307" t="n"/>
      <c r="AL132" s="307" t="n"/>
      <c r="AM132" s="307" t="n"/>
      <c r="AN132" s="307" t="n"/>
      <c r="AO132" s="307" t="n"/>
      <c r="AP132" s="307" t="n"/>
      <c r="AQ132" s="307" t="n"/>
      <c r="AR132" s="307" t="n"/>
    </row>
    <row r="133" ht="15.75" customHeight="1" s="349">
      <c r="A133" s="307" t="n"/>
      <c r="B133" s="307" t="n"/>
      <c r="C133" s="307" t="n"/>
      <c r="D133" s="307" t="n"/>
      <c r="E133" s="307" t="n"/>
      <c r="F133" s="307" t="n"/>
      <c r="G133" s="307" t="n"/>
      <c r="H133" s="307" t="n"/>
      <c r="I133" s="307" t="n"/>
      <c r="J133" s="307" t="n"/>
      <c r="K133" s="307" t="n"/>
      <c r="L133" s="307" t="n"/>
      <c r="M133" s="307" t="n"/>
      <c r="N133" s="307" t="n"/>
      <c r="O133" s="307" t="n"/>
      <c r="P133" s="307" t="n"/>
      <c r="Q133" s="307" t="n"/>
      <c r="R133" s="307" t="n"/>
      <c r="S133" s="307" t="n"/>
      <c r="T133" s="307" t="n"/>
      <c r="U133" s="307" t="n"/>
      <c r="V133" s="307" t="n"/>
      <c r="W133" s="307" t="n"/>
      <c r="X133" s="307" t="n"/>
      <c r="Y133" s="307" t="n"/>
      <c r="Z133" s="307" t="n"/>
      <c r="AA133" s="307" t="n"/>
      <c r="AB133" s="307" t="n"/>
      <c r="AC133" s="307" t="n"/>
      <c r="AD133" s="307" t="n"/>
      <c r="AE133" s="307" t="n"/>
      <c r="AF133" s="307" t="n"/>
      <c r="AG133" s="307" t="n"/>
      <c r="AH133" s="307" t="n"/>
      <c r="AI133" s="307" t="n"/>
      <c r="AJ133" s="307" t="n"/>
      <c r="AK133" s="307" t="n"/>
      <c r="AL133" s="307" t="n"/>
      <c r="AM133" s="307" t="n"/>
      <c r="AN133" s="307" t="n"/>
      <c r="AO133" s="307" t="n"/>
      <c r="AP133" s="307" t="n"/>
      <c r="AQ133" s="307" t="n"/>
      <c r="AR133" s="307" t="n"/>
    </row>
    <row r="134" ht="15.75" customHeight="1" s="349">
      <c r="A134" s="307" t="n"/>
      <c r="B134" s="307" t="n"/>
      <c r="C134" s="307" t="n"/>
      <c r="D134" s="307" t="n"/>
      <c r="E134" s="307" t="n"/>
      <c r="F134" s="307" t="n"/>
      <c r="G134" s="307" t="n"/>
      <c r="H134" s="307" t="n"/>
      <c r="I134" s="307" t="n"/>
      <c r="J134" s="307" t="n"/>
      <c r="K134" s="307" t="n"/>
      <c r="L134" s="307" t="n"/>
      <c r="M134" s="307" t="n"/>
      <c r="N134" s="307" t="n"/>
      <c r="O134" s="307" t="n"/>
      <c r="P134" s="307" t="n"/>
      <c r="Q134" s="307" t="n"/>
      <c r="R134" s="307" t="n"/>
      <c r="S134" s="307" t="n"/>
      <c r="T134" s="307" t="n"/>
      <c r="U134" s="307" t="n"/>
      <c r="V134" s="307" t="n"/>
      <c r="W134" s="307" t="n"/>
      <c r="X134" s="307" t="n"/>
      <c r="Y134" s="307" t="n"/>
      <c r="Z134" s="307" t="n"/>
      <c r="AA134" s="307" t="n"/>
      <c r="AB134" s="307" t="n"/>
      <c r="AC134" s="307" t="n"/>
      <c r="AD134" s="307" t="n"/>
      <c r="AE134" s="307" t="n"/>
      <c r="AF134" s="307" t="n"/>
      <c r="AG134" s="307" t="n"/>
      <c r="AH134" s="307" t="n"/>
      <c r="AI134" s="307" t="n"/>
      <c r="AJ134" s="307" t="n"/>
      <c r="AK134" s="307" t="n"/>
      <c r="AL134" s="307" t="n"/>
      <c r="AM134" s="307" t="n"/>
      <c r="AN134" s="307" t="n"/>
      <c r="AO134" s="307" t="n"/>
      <c r="AP134" s="307" t="n"/>
      <c r="AQ134" s="307" t="n"/>
      <c r="AR134" s="307" t="n"/>
    </row>
    <row r="135" ht="15.75" customHeight="1" s="349">
      <c r="A135" s="307" t="n"/>
      <c r="B135" s="307" t="n"/>
      <c r="C135" s="307" t="n"/>
      <c r="D135" s="307" t="n"/>
      <c r="E135" s="307" t="n"/>
      <c r="F135" s="307" t="n"/>
      <c r="G135" s="307" t="n"/>
      <c r="H135" s="307" t="n"/>
      <c r="I135" s="307" t="n"/>
      <c r="J135" s="307" t="n"/>
      <c r="K135" s="307" t="n"/>
      <c r="L135" s="307" t="n"/>
      <c r="M135" s="307" t="n"/>
      <c r="N135" s="307" t="n"/>
      <c r="O135" s="307" t="n"/>
      <c r="P135" s="307" t="n"/>
      <c r="Q135" s="307" t="n"/>
      <c r="R135" s="307" t="n"/>
      <c r="S135" s="307" t="n"/>
      <c r="T135" s="307" t="n"/>
      <c r="U135" s="307" t="n"/>
      <c r="V135" s="307" t="n"/>
      <c r="W135" s="307" t="n"/>
      <c r="X135" s="307" t="n"/>
      <c r="Y135" s="307" t="n"/>
      <c r="Z135" s="307" t="n"/>
      <c r="AA135" s="307" t="n"/>
      <c r="AB135" s="307" t="n"/>
      <c r="AC135" s="307" t="n"/>
      <c r="AD135" s="307" t="n"/>
      <c r="AE135" s="307" t="n"/>
      <c r="AF135" s="307" t="n"/>
      <c r="AG135" s="307" t="n"/>
      <c r="AH135" s="307" t="n"/>
      <c r="AI135" s="307" t="n"/>
      <c r="AJ135" s="307" t="n"/>
      <c r="AK135" s="307" t="n"/>
      <c r="AL135" s="307" t="n"/>
      <c r="AM135" s="307" t="n"/>
      <c r="AN135" s="307" t="n"/>
      <c r="AO135" s="307" t="n"/>
      <c r="AP135" s="307" t="n"/>
      <c r="AQ135" s="307" t="n"/>
      <c r="AR135" s="307" t="n"/>
    </row>
    <row r="136" ht="15.75" customHeight="1" s="349">
      <c r="A136" s="307" t="n"/>
      <c r="B136" s="307" t="n"/>
      <c r="C136" s="307" t="n"/>
      <c r="D136" s="307" t="n"/>
      <c r="E136" s="307" t="n"/>
      <c r="F136" s="307" t="n"/>
      <c r="G136" s="307" t="n"/>
      <c r="H136" s="307" t="n"/>
      <c r="I136" s="307" t="n"/>
      <c r="J136" s="307" t="n"/>
      <c r="K136" s="307" t="n"/>
      <c r="L136" s="307" t="n"/>
      <c r="M136" s="307" t="n"/>
      <c r="N136" s="307" t="n"/>
      <c r="O136" s="307" t="n"/>
      <c r="P136" s="307" t="n"/>
      <c r="Q136" s="307" t="n"/>
      <c r="R136" s="307" t="n"/>
      <c r="S136" s="307" t="n"/>
      <c r="T136" s="307" t="n"/>
      <c r="U136" s="307" t="n"/>
      <c r="V136" s="307" t="n"/>
      <c r="W136" s="307" t="n"/>
      <c r="X136" s="307" t="n"/>
      <c r="Y136" s="307" t="n"/>
      <c r="Z136" s="307" t="n"/>
      <c r="AA136" s="307" t="n"/>
      <c r="AB136" s="307" t="n"/>
      <c r="AC136" s="307" t="n"/>
      <c r="AD136" s="307" t="n"/>
      <c r="AE136" s="307" t="n"/>
      <c r="AF136" s="307" t="n"/>
      <c r="AG136" s="307" t="n"/>
      <c r="AH136" s="307" t="n"/>
      <c r="AI136" s="307" t="n"/>
      <c r="AJ136" s="307" t="n"/>
      <c r="AK136" s="307" t="n"/>
      <c r="AL136" s="307" t="n"/>
      <c r="AM136" s="307" t="n"/>
      <c r="AN136" s="307" t="n"/>
      <c r="AO136" s="307" t="n"/>
      <c r="AP136" s="307" t="n"/>
      <c r="AQ136" s="307" t="n"/>
      <c r="AR136" s="307" t="n"/>
    </row>
    <row r="137" ht="15.75" customHeight="1" s="349">
      <c r="A137" s="307" t="n"/>
      <c r="B137" s="307" t="n"/>
      <c r="C137" s="307" t="n"/>
      <c r="D137" s="307" t="n"/>
      <c r="E137" s="307" t="n"/>
      <c r="F137" s="307" t="n"/>
      <c r="G137" s="307" t="n"/>
      <c r="H137" s="307" t="n"/>
      <c r="I137" s="307" t="n"/>
      <c r="J137" s="307" t="n"/>
      <c r="K137" s="307" t="n"/>
      <c r="L137" s="307" t="n"/>
      <c r="M137" s="307" t="n"/>
      <c r="N137" s="307" t="n"/>
      <c r="O137" s="307" t="n"/>
      <c r="P137" s="307" t="n"/>
      <c r="Q137" s="307" t="n"/>
      <c r="R137" s="307" t="n"/>
      <c r="S137" s="307" t="n"/>
      <c r="T137" s="307" t="n"/>
      <c r="U137" s="307" t="n"/>
      <c r="V137" s="307" t="n"/>
      <c r="W137" s="307" t="n"/>
      <c r="X137" s="307" t="n"/>
      <c r="Y137" s="307" t="n"/>
      <c r="Z137" s="307" t="n"/>
      <c r="AA137" s="307" t="n"/>
      <c r="AB137" s="307" t="n"/>
      <c r="AC137" s="307" t="n"/>
      <c r="AD137" s="307" t="n"/>
      <c r="AE137" s="307" t="n"/>
      <c r="AF137" s="307" t="n"/>
      <c r="AG137" s="307" t="n"/>
      <c r="AH137" s="307" t="n"/>
      <c r="AI137" s="307" t="n"/>
      <c r="AJ137" s="307" t="n"/>
      <c r="AK137" s="307" t="n"/>
      <c r="AL137" s="307" t="n"/>
      <c r="AM137" s="307" t="n"/>
      <c r="AN137" s="307" t="n"/>
      <c r="AO137" s="307" t="n"/>
      <c r="AP137" s="307" t="n"/>
      <c r="AQ137" s="307" t="n"/>
      <c r="AR137" s="307" t="n"/>
    </row>
    <row r="138" ht="15.75" customHeight="1" s="349">
      <c r="A138" s="307" t="n"/>
      <c r="B138" s="307" t="n"/>
      <c r="C138" s="307" t="n"/>
      <c r="D138" s="307" t="n"/>
      <c r="E138" s="307" t="n"/>
      <c r="F138" s="307" t="n"/>
      <c r="G138" s="307" t="n"/>
      <c r="H138" s="307" t="n"/>
      <c r="I138" s="307" t="n"/>
      <c r="J138" s="307" t="n"/>
      <c r="K138" s="307" t="n"/>
      <c r="L138" s="307" t="n"/>
      <c r="M138" s="307" t="n"/>
      <c r="N138" s="307" t="n"/>
      <c r="O138" s="307" t="n"/>
      <c r="P138" s="307" t="n"/>
      <c r="Q138" s="307" t="n"/>
      <c r="R138" s="307" t="n"/>
      <c r="S138" s="307" t="n"/>
      <c r="T138" s="307" t="n"/>
      <c r="U138" s="307" t="n"/>
      <c r="V138" s="307" t="n"/>
      <c r="W138" s="307" t="n"/>
      <c r="X138" s="307" t="n"/>
      <c r="Y138" s="307" t="n"/>
      <c r="Z138" s="307" t="n"/>
      <c r="AA138" s="307" t="n"/>
      <c r="AB138" s="307" t="n"/>
      <c r="AC138" s="307" t="n"/>
      <c r="AD138" s="307" t="n"/>
      <c r="AE138" s="307" t="n"/>
      <c r="AF138" s="307" t="n"/>
      <c r="AG138" s="307" t="n"/>
      <c r="AH138" s="307" t="n"/>
      <c r="AI138" s="307" t="n"/>
      <c r="AJ138" s="307" t="n"/>
      <c r="AK138" s="307" t="n"/>
      <c r="AL138" s="307" t="n"/>
      <c r="AM138" s="307" t="n"/>
      <c r="AN138" s="307" t="n"/>
      <c r="AO138" s="307" t="n"/>
      <c r="AP138" s="307" t="n"/>
      <c r="AQ138" s="307" t="n"/>
      <c r="AR138" s="307" t="n"/>
    </row>
    <row r="139" ht="15.75" customHeight="1" s="349">
      <c r="A139" s="307" t="n"/>
      <c r="B139" s="307" t="n"/>
      <c r="C139" s="307" t="n"/>
      <c r="D139" s="307" t="n"/>
      <c r="E139" s="307" t="n"/>
      <c r="F139" s="307" t="n"/>
      <c r="G139" s="307" t="n"/>
      <c r="H139" s="307" t="n"/>
      <c r="I139" s="307" t="n"/>
      <c r="J139" s="307" t="n"/>
      <c r="K139" s="307" t="n"/>
      <c r="L139" s="307" t="n"/>
      <c r="M139" s="307" t="n"/>
      <c r="N139" s="307" t="n"/>
      <c r="O139" s="307" t="n"/>
      <c r="P139" s="307" t="n"/>
      <c r="Q139" s="307" t="n"/>
      <c r="R139" s="307" t="n"/>
      <c r="S139" s="307" t="n"/>
      <c r="T139" s="307" t="n"/>
      <c r="U139" s="307" t="n"/>
      <c r="V139" s="307" t="n"/>
      <c r="W139" s="307" t="n"/>
      <c r="X139" s="307" t="n"/>
      <c r="Y139" s="307" t="n"/>
      <c r="Z139" s="307" t="n"/>
      <c r="AA139" s="307" t="n"/>
      <c r="AB139" s="307" t="n"/>
      <c r="AC139" s="307" t="n"/>
      <c r="AD139" s="307" t="n"/>
      <c r="AE139" s="307" t="n"/>
      <c r="AF139" s="307" t="n"/>
      <c r="AG139" s="307" t="n"/>
      <c r="AH139" s="307" t="n"/>
      <c r="AI139" s="307" t="n"/>
      <c r="AJ139" s="307" t="n"/>
      <c r="AK139" s="307" t="n"/>
      <c r="AL139" s="307" t="n"/>
      <c r="AM139" s="307" t="n"/>
      <c r="AN139" s="307" t="n"/>
      <c r="AO139" s="307" t="n"/>
      <c r="AP139" s="307" t="n"/>
      <c r="AQ139" s="307" t="n"/>
      <c r="AR139" s="307" t="n"/>
    </row>
    <row r="140" ht="15.75" customHeight="1" s="349">
      <c r="A140" s="307" t="n"/>
      <c r="B140" s="307" t="n"/>
      <c r="C140" s="307" t="n"/>
      <c r="D140" s="307" t="n"/>
      <c r="E140" s="307" t="n"/>
      <c r="F140" s="307" t="n"/>
      <c r="G140" s="307" t="n"/>
      <c r="H140" s="307" t="n"/>
      <c r="I140" s="307" t="n"/>
      <c r="J140" s="307" t="n"/>
      <c r="K140" s="307" t="n"/>
      <c r="L140" s="307" t="n"/>
      <c r="M140" s="307" t="n"/>
      <c r="N140" s="307" t="n"/>
      <c r="O140" s="307" t="n"/>
      <c r="P140" s="307" t="n"/>
      <c r="Q140" s="307" t="n"/>
      <c r="R140" s="307" t="n"/>
      <c r="S140" s="307" t="n"/>
      <c r="T140" s="307" t="n"/>
      <c r="U140" s="307" t="n"/>
      <c r="V140" s="307" t="n"/>
      <c r="W140" s="307" t="n"/>
      <c r="X140" s="307" t="n"/>
      <c r="Y140" s="307" t="n"/>
      <c r="Z140" s="307" t="n"/>
      <c r="AA140" s="307" t="n"/>
      <c r="AB140" s="307" t="n"/>
      <c r="AC140" s="307" t="n"/>
      <c r="AD140" s="307" t="n"/>
      <c r="AE140" s="307" t="n"/>
      <c r="AF140" s="307" t="n"/>
      <c r="AG140" s="307" t="n"/>
      <c r="AH140" s="307" t="n"/>
      <c r="AI140" s="307" t="n"/>
      <c r="AJ140" s="307" t="n"/>
      <c r="AK140" s="307" t="n"/>
      <c r="AL140" s="307" t="n"/>
      <c r="AM140" s="307" t="n"/>
      <c r="AN140" s="307" t="n"/>
      <c r="AO140" s="307" t="n"/>
      <c r="AP140" s="307" t="n"/>
      <c r="AQ140" s="307" t="n"/>
      <c r="AR140" s="307" t="n"/>
    </row>
    <row r="141" ht="15.75" customHeight="1" s="349">
      <c r="A141" s="307" t="n"/>
      <c r="B141" s="307" t="n"/>
      <c r="C141" s="307" t="n"/>
      <c r="D141" s="307" t="n"/>
      <c r="E141" s="307" t="n"/>
      <c r="F141" s="307" t="n"/>
      <c r="G141" s="307" t="n"/>
      <c r="H141" s="307" t="n"/>
      <c r="I141" s="307" t="n"/>
      <c r="J141" s="307" t="n"/>
      <c r="K141" s="307" t="n"/>
      <c r="L141" s="307" t="n"/>
      <c r="M141" s="307" t="n"/>
      <c r="N141" s="307" t="n"/>
      <c r="O141" s="307" t="n"/>
      <c r="P141" s="307" t="n"/>
      <c r="Q141" s="307" t="n"/>
      <c r="R141" s="307" t="n"/>
      <c r="S141" s="307" t="n"/>
      <c r="T141" s="307" t="n"/>
      <c r="U141" s="307" t="n"/>
      <c r="V141" s="307" t="n"/>
      <c r="W141" s="307" t="n"/>
      <c r="X141" s="307" t="n"/>
      <c r="Y141" s="307" t="n"/>
      <c r="Z141" s="307" t="n"/>
      <c r="AA141" s="307" t="n"/>
      <c r="AB141" s="307" t="n"/>
      <c r="AC141" s="307" t="n"/>
      <c r="AD141" s="307" t="n"/>
      <c r="AE141" s="307" t="n"/>
      <c r="AF141" s="307" t="n"/>
      <c r="AG141" s="307" t="n"/>
      <c r="AH141" s="307" t="n"/>
      <c r="AI141" s="307" t="n"/>
      <c r="AJ141" s="307" t="n"/>
      <c r="AK141" s="307" t="n"/>
      <c r="AL141" s="307" t="n"/>
      <c r="AM141" s="307" t="n"/>
      <c r="AN141" s="307" t="n"/>
      <c r="AO141" s="307" t="n"/>
      <c r="AP141" s="307" t="n"/>
      <c r="AQ141" s="307" t="n"/>
      <c r="AR141" s="307" t="n"/>
    </row>
    <row r="142" ht="15.75" customHeight="1" s="349">
      <c r="A142" s="307" t="n"/>
      <c r="B142" s="307" t="n"/>
      <c r="C142" s="307" t="n"/>
      <c r="D142" s="307" t="n"/>
      <c r="E142" s="307" t="n"/>
      <c r="F142" s="307" t="n"/>
      <c r="G142" s="307" t="n"/>
      <c r="H142" s="307" t="n"/>
      <c r="I142" s="307" t="n"/>
      <c r="J142" s="307" t="n"/>
      <c r="K142" s="307" t="n"/>
      <c r="L142" s="307" t="n"/>
      <c r="M142" s="307" t="n"/>
      <c r="N142" s="307" t="n"/>
      <c r="O142" s="307" t="n"/>
      <c r="P142" s="307" t="n"/>
      <c r="Q142" s="307" t="n"/>
      <c r="R142" s="307" t="n"/>
      <c r="S142" s="307" t="n"/>
      <c r="T142" s="307" t="n"/>
      <c r="U142" s="307" t="n"/>
      <c r="V142" s="307" t="n"/>
      <c r="W142" s="307" t="n"/>
      <c r="X142" s="307" t="n"/>
      <c r="Y142" s="307" t="n"/>
      <c r="Z142" s="307" t="n"/>
      <c r="AA142" s="307" t="n"/>
      <c r="AB142" s="307" t="n"/>
      <c r="AC142" s="307" t="n"/>
      <c r="AD142" s="307" t="n"/>
      <c r="AE142" s="307" t="n"/>
      <c r="AF142" s="307" t="n"/>
      <c r="AG142" s="307" t="n"/>
      <c r="AH142" s="307" t="n"/>
      <c r="AI142" s="307" t="n"/>
      <c r="AJ142" s="307" t="n"/>
      <c r="AK142" s="307" t="n"/>
      <c r="AL142" s="307" t="n"/>
      <c r="AM142" s="307" t="n"/>
      <c r="AN142" s="307" t="n"/>
      <c r="AO142" s="307" t="n"/>
      <c r="AP142" s="307" t="n"/>
      <c r="AQ142" s="307" t="n"/>
      <c r="AR142" s="307" t="n"/>
    </row>
    <row r="143" ht="15.75" customHeight="1" s="349">
      <c r="A143" s="307" t="n"/>
      <c r="B143" s="307" t="n"/>
      <c r="C143" s="307" t="n"/>
      <c r="D143" s="307" t="n"/>
      <c r="E143" s="307" t="n"/>
      <c r="F143" s="307" t="n"/>
      <c r="G143" s="307" t="n"/>
      <c r="H143" s="307" t="n"/>
      <c r="I143" s="307" t="n"/>
      <c r="J143" s="307" t="n"/>
      <c r="K143" s="307" t="n"/>
      <c r="L143" s="307" t="n"/>
      <c r="M143" s="307" t="n"/>
      <c r="N143" s="307" t="n"/>
      <c r="O143" s="307" t="n"/>
      <c r="P143" s="307" t="n"/>
      <c r="Q143" s="307" t="n"/>
      <c r="R143" s="307" t="n"/>
      <c r="S143" s="307" t="n"/>
      <c r="T143" s="307" t="n"/>
      <c r="U143" s="307" t="n"/>
      <c r="V143" s="307" t="n"/>
      <c r="W143" s="307" t="n"/>
      <c r="X143" s="307" t="n"/>
      <c r="Y143" s="307" t="n"/>
      <c r="Z143" s="307" t="n"/>
      <c r="AA143" s="307" t="n"/>
      <c r="AB143" s="307" t="n"/>
      <c r="AC143" s="307" t="n"/>
      <c r="AD143" s="307" t="n"/>
      <c r="AE143" s="307" t="n"/>
      <c r="AF143" s="307" t="n"/>
      <c r="AG143" s="307" t="n"/>
      <c r="AH143" s="307" t="n"/>
      <c r="AI143" s="307" t="n"/>
      <c r="AJ143" s="307" t="n"/>
      <c r="AK143" s="307" t="n"/>
      <c r="AL143" s="307" t="n"/>
      <c r="AM143" s="307" t="n"/>
      <c r="AN143" s="307" t="n"/>
      <c r="AO143" s="307" t="n"/>
      <c r="AP143" s="307" t="n"/>
      <c r="AQ143" s="307" t="n"/>
      <c r="AR143" s="307" t="n"/>
    </row>
    <row r="144" ht="15.75" customHeight="1" s="349">
      <c r="A144" s="307" t="n"/>
      <c r="B144" s="307" t="n"/>
      <c r="C144" s="307" t="n"/>
      <c r="D144" s="307" t="n"/>
      <c r="E144" s="307" t="n"/>
      <c r="F144" s="307" t="n"/>
      <c r="G144" s="307" t="n"/>
      <c r="H144" s="307" t="n"/>
      <c r="I144" s="307" t="n"/>
      <c r="J144" s="307" t="n"/>
      <c r="K144" s="307" t="n"/>
      <c r="L144" s="307" t="n"/>
      <c r="M144" s="307" t="n"/>
      <c r="N144" s="307" t="n"/>
      <c r="O144" s="307" t="n"/>
      <c r="P144" s="307" t="n"/>
      <c r="Q144" s="307" t="n"/>
      <c r="R144" s="307" t="n"/>
      <c r="S144" s="307" t="n"/>
      <c r="T144" s="307" t="n"/>
      <c r="U144" s="307" t="n"/>
      <c r="V144" s="307" t="n"/>
      <c r="W144" s="307" t="n"/>
      <c r="X144" s="307" t="n"/>
      <c r="Y144" s="307" t="n"/>
      <c r="Z144" s="307" t="n"/>
      <c r="AA144" s="307" t="n"/>
      <c r="AB144" s="307" t="n"/>
      <c r="AC144" s="307" t="n"/>
      <c r="AD144" s="307" t="n"/>
      <c r="AE144" s="307" t="n"/>
      <c r="AF144" s="307" t="n"/>
      <c r="AG144" s="307" t="n"/>
      <c r="AH144" s="307" t="n"/>
      <c r="AI144" s="307" t="n"/>
      <c r="AJ144" s="307" t="n"/>
      <c r="AK144" s="307" t="n"/>
      <c r="AL144" s="307" t="n"/>
      <c r="AM144" s="307" t="n"/>
      <c r="AN144" s="307" t="n"/>
      <c r="AO144" s="307" t="n"/>
      <c r="AP144" s="307" t="n"/>
      <c r="AQ144" s="307" t="n"/>
      <c r="AR144" s="307" t="n"/>
    </row>
    <row r="145" ht="15.75" customHeight="1" s="349">
      <c r="A145" s="307" t="n"/>
      <c r="B145" s="307" t="n"/>
      <c r="C145" s="307" t="n"/>
      <c r="D145" s="307" t="n"/>
      <c r="E145" s="307" t="n"/>
      <c r="F145" s="307" t="n"/>
      <c r="G145" s="307" t="n"/>
      <c r="H145" s="307" t="n"/>
      <c r="I145" s="307" t="n"/>
      <c r="J145" s="307" t="n"/>
      <c r="K145" s="307" t="n"/>
      <c r="L145" s="307" t="n"/>
      <c r="M145" s="307" t="n"/>
      <c r="N145" s="307" t="n"/>
      <c r="O145" s="307" t="n"/>
      <c r="P145" s="307" t="n"/>
      <c r="Q145" s="307" t="n"/>
      <c r="R145" s="307" t="n"/>
      <c r="S145" s="307" t="n"/>
      <c r="T145" s="307" t="n"/>
      <c r="U145" s="307" t="n"/>
      <c r="V145" s="307" t="n"/>
      <c r="W145" s="307" t="n"/>
      <c r="X145" s="307" t="n"/>
      <c r="Y145" s="307" t="n"/>
      <c r="Z145" s="307" t="n"/>
      <c r="AA145" s="307" t="n"/>
      <c r="AB145" s="307" t="n"/>
      <c r="AC145" s="307" t="n"/>
      <c r="AD145" s="307" t="n"/>
      <c r="AE145" s="307" t="n"/>
      <c r="AF145" s="307" t="n"/>
      <c r="AG145" s="307" t="n"/>
      <c r="AH145" s="307" t="n"/>
      <c r="AI145" s="307" t="n"/>
      <c r="AJ145" s="307" t="n"/>
      <c r="AK145" s="307" t="n"/>
      <c r="AL145" s="307" t="n"/>
      <c r="AM145" s="307" t="n"/>
      <c r="AN145" s="307" t="n"/>
      <c r="AO145" s="307" t="n"/>
      <c r="AP145" s="307" t="n"/>
      <c r="AQ145" s="307" t="n"/>
      <c r="AR145" s="307" t="n"/>
    </row>
    <row r="146" ht="15.75" customHeight="1" s="349">
      <c r="A146" s="307" t="n"/>
      <c r="B146" s="307" t="n"/>
      <c r="C146" s="307" t="n"/>
      <c r="D146" s="307" t="n"/>
      <c r="E146" s="307" t="n"/>
      <c r="F146" s="307" t="n"/>
      <c r="G146" s="307" t="n"/>
      <c r="H146" s="307" t="n"/>
      <c r="I146" s="307" t="n"/>
      <c r="J146" s="307" t="n"/>
      <c r="K146" s="307" t="n"/>
      <c r="L146" s="307" t="n"/>
      <c r="M146" s="307" t="n"/>
      <c r="N146" s="307" t="n"/>
      <c r="O146" s="307" t="n"/>
      <c r="P146" s="307" t="n"/>
      <c r="Q146" s="307" t="n"/>
      <c r="R146" s="307" t="n"/>
      <c r="S146" s="307" t="n"/>
      <c r="T146" s="307" t="n"/>
      <c r="U146" s="307" t="n"/>
      <c r="V146" s="307" t="n"/>
      <c r="W146" s="307" t="n"/>
      <c r="X146" s="307" t="n"/>
      <c r="Y146" s="307" t="n"/>
      <c r="Z146" s="307" t="n"/>
      <c r="AA146" s="307" t="n"/>
      <c r="AB146" s="307" t="n"/>
      <c r="AC146" s="307" t="n"/>
      <c r="AD146" s="307" t="n"/>
      <c r="AE146" s="307" t="n"/>
      <c r="AF146" s="307" t="n"/>
      <c r="AG146" s="307" t="n"/>
      <c r="AH146" s="307" t="n"/>
      <c r="AI146" s="307" t="n"/>
      <c r="AJ146" s="307" t="n"/>
      <c r="AK146" s="307" t="n"/>
      <c r="AL146" s="307" t="n"/>
      <c r="AM146" s="307" t="n"/>
      <c r="AN146" s="307" t="n"/>
      <c r="AO146" s="307" t="n"/>
      <c r="AP146" s="307" t="n"/>
      <c r="AQ146" s="307" t="n"/>
      <c r="AR146" s="307" t="n"/>
    </row>
    <row r="147" ht="15.75" customHeight="1" s="349">
      <c r="A147" s="307" t="n"/>
      <c r="B147" s="307" t="n"/>
      <c r="C147" s="307" t="n"/>
      <c r="D147" s="307" t="n"/>
      <c r="E147" s="307" t="n"/>
      <c r="F147" s="307" t="n"/>
      <c r="G147" s="307" t="n"/>
      <c r="H147" s="307" t="n"/>
      <c r="I147" s="307" t="n"/>
      <c r="J147" s="307" t="n"/>
      <c r="K147" s="307" t="n"/>
      <c r="L147" s="307" t="n"/>
      <c r="M147" s="307" t="n"/>
      <c r="N147" s="307" t="n"/>
      <c r="O147" s="307" t="n"/>
      <c r="P147" s="307" t="n"/>
      <c r="Q147" s="307" t="n"/>
      <c r="R147" s="307" t="n"/>
      <c r="S147" s="307" t="n"/>
      <c r="T147" s="307" t="n"/>
      <c r="U147" s="307" t="n"/>
      <c r="V147" s="307" t="n"/>
      <c r="W147" s="307" t="n"/>
      <c r="X147" s="307" t="n"/>
      <c r="Y147" s="307" t="n"/>
      <c r="Z147" s="307" t="n"/>
      <c r="AA147" s="307" t="n"/>
      <c r="AB147" s="307" t="n"/>
      <c r="AC147" s="307" t="n"/>
      <c r="AD147" s="307" t="n"/>
      <c r="AE147" s="307" t="n"/>
      <c r="AF147" s="307" t="n"/>
      <c r="AG147" s="307" t="n"/>
      <c r="AH147" s="307" t="n"/>
      <c r="AI147" s="307" t="n"/>
      <c r="AJ147" s="307" t="n"/>
      <c r="AK147" s="307" t="n"/>
      <c r="AL147" s="307" t="n"/>
      <c r="AM147" s="307" t="n"/>
      <c r="AN147" s="307" t="n"/>
      <c r="AO147" s="307" t="n"/>
      <c r="AP147" s="307" t="n"/>
      <c r="AQ147" s="307" t="n"/>
      <c r="AR147" s="307" t="n"/>
    </row>
    <row r="148" ht="15.75" customHeight="1" s="349">
      <c r="A148" s="307" t="n"/>
      <c r="B148" s="307" t="n"/>
      <c r="C148" s="307" t="n"/>
      <c r="D148" s="307" t="n"/>
      <c r="E148" s="307" t="n"/>
      <c r="F148" s="307" t="n"/>
      <c r="G148" s="307" t="n"/>
      <c r="H148" s="307" t="n"/>
      <c r="I148" s="307" t="n"/>
      <c r="J148" s="307" t="n"/>
      <c r="K148" s="307" t="n"/>
      <c r="L148" s="307" t="n"/>
      <c r="M148" s="307" t="n"/>
      <c r="N148" s="307" t="n"/>
      <c r="O148" s="307" t="n"/>
      <c r="P148" s="307" t="n"/>
      <c r="Q148" s="307" t="n"/>
      <c r="R148" s="307" t="n"/>
      <c r="S148" s="307" t="n"/>
      <c r="T148" s="307" t="n"/>
      <c r="U148" s="307" t="n"/>
      <c r="V148" s="307" t="n"/>
      <c r="W148" s="307" t="n"/>
      <c r="X148" s="307" t="n"/>
      <c r="Y148" s="307" t="n"/>
      <c r="Z148" s="307" t="n"/>
      <c r="AA148" s="307" t="n"/>
      <c r="AB148" s="307" t="n"/>
      <c r="AC148" s="307" t="n"/>
      <c r="AD148" s="307" t="n"/>
      <c r="AE148" s="307" t="n"/>
      <c r="AF148" s="307" t="n"/>
      <c r="AG148" s="307" t="n"/>
      <c r="AH148" s="307" t="n"/>
      <c r="AI148" s="307" t="n"/>
      <c r="AJ148" s="307" t="n"/>
      <c r="AK148" s="307" t="n"/>
      <c r="AL148" s="307" t="n"/>
      <c r="AM148" s="307" t="n"/>
      <c r="AN148" s="307" t="n"/>
      <c r="AO148" s="307" t="n"/>
      <c r="AP148" s="307" t="n"/>
      <c r="AQ148" s="307" t="n"/>
      <c r="AR148" s="307" t="n"/>
    </row>
    <row r="149" ht="15.75" customHeight="1" s="349">
      <c r="A149" s="307" t="n"/>
      <c r="B149" s="307" t="n"/>
      <c r="C149" s="307" t="n"/>
      <c r="D149" s="307" t="n"/>
      <c r="E149" s="307" t="n"/>
      <c r="F149" s="307" t="n"/>
      <c r="G149" s="307" t="n"/>
      <c r="H149" s="307" t="n"/>
      <c r="I149" s="307" t="n"/>
      <c r="J149" s="307" t="n"/>
      <c r="K149" s="307" t="n"/>
      <c r="L149" s="307" t="n"/>
      <c r="M149" s="307" t="n"/>
      <c r="N149" s="307" t="n"/>
      <c r="O149" s="307" t="n"/>
      <c r="P149" s="307" t="n"/>
      <c r="Q149" s="307" t="n"/>
      <c r="R149" s="307" t="n"/>
      <c r="S149" s="307" t="n"/>
      <c r="T149" s="307" t="n"/>
      <c r="U149" s="307" t="n"/>
      <c r="V149" s="307" t="n"/>
      <c r="W149" s="307" t="n"/>
      <c r="X149" s="307" t="n"/>
      <c r="Y149" s="307" t="n"/>
      <c r="Z149" s="307" t="n"/>
      <c r="AA149" s="307" t="n"/>
      <c r="AB149" s="307" t="n"/>
      <c r="AC149" s="307" t="n"/>
      <c r="AD149" s="307" t="n"/>
      <c r="AE149" s="307" t="n"/>
      <c r="AF149" s="307" t="n"/>
      <c r="AG149" s="307" t="n"/>
      <c r="AH149" s="307" t="n"/>
      <c r="AI149" s="307" t="n"/>
      <c r="AJ149" s="307" t="n"/>
      <c r="AK149" s="307" t="n"/>
      <c r="AL149" s="307" t="n"/>
      <c r="AM149" s="307" t="n"/>
      <c r="AN149" s="307" t="n"/>
      <c r="AO149" s="307" t="n"/>
      <c r="AP149" s="307" t="n"/>
      <c r="AQ149" s="307" t="n"/>
      <c r="AR149" s="307" t="n"/>
    </row>
    <row r="150" ht="15.75" customHeight="1" s="349">
      <c r="A150" s="307" t="n"/>
      <c r="B150" s="307" t="n"/>
      <c r="C150" s="307" t="n"/>
      <c r="D150" s="307" t="n"/>
      <c r="E150" s="307" t="n"/>
      <c r="F150" s="307" t="n"/>
      <c r="G150" s="307" t="n"/>
      <c r="H150" s="307" t="n"/>
      <c r="I150" s="307" t="n"/>
      <c r="J150" s="307" t="n"/>
      <c r="K150" s="307" t="n"/>
      <c r="L150" s="307" t="n"/>
      <c r="M150" s="307" t="n"/>
      <c r="N150" s="307" t="n"/>
      <c r="O150" s="307" t="n"/>
      <c r="P150" s="307" t="n"/>
      <c r="Q150" s="307" t="n"/>
      <c r="R150" s="307" t="n"/>
      <c r="S150" s="307" t="n"/>
      <c r="T150" s="307" t="n"/>
      <c r="U150" s="307" t="n"/>
      <c r="V150" s="307" t="n"/>
      <c r="W150" s="307" t="n"/>
      <c r="X150" s="307" t="n"/>
      <c r="Y150" s="307" t="n"/>
      <c r="Z150" s="307" t="n"/>
      <c r="AA150" s="307" t="n"/>
      <c r="AB150" s="307" t="n"/>
      <c r="AC150" s="307" t="n"/>
      <c r="AD150" s="307" t="n"/>
      <c r="AE150" s="307" t="n"/>
      <c r="AF150" s="307" t="n"/>
      <c r="AG150" s="307" t="n"/>
      <c r="AH150" s="307" t="n"/>
      <c r="AI150" s="307" t="n"/>
      <c r="AJ150" s="307" t="n"/>
      <c r="AK150" s="307" t="n"/>
      <c r="AL150" s="307" t="n"/>
      <c r="AM150" s="307" t="n"/>
      <c r="AN150" s="307" t="n"/>
      <c r="AO150" s="307" t="n"/>
      <c r="AP150" s="307" t="n"/>
      <c r="AQ150" s="307" t="n"/>
      <c r="AR150" s="307" t="n"/>
    </row>
    <row r="151" ht="15.75" customHeight="1" s="349">
      <c r="A151" s="307" t="n"/>
      <c r="B151" s="307" t="n"/>
      <c r="C151" s="307" t="n"/>
      <c r="D151" s="307" t="n"/>
      <c r="E151" s="307" t="n"/>
      <c r="F151" s="307" t="n"/>
      <c r="G151" s="307" t="n"/>
      <c r="H151" s="307" t="n"/>
      <c r="I151" s="307" t="n"/>
      <c r="J151" s="307" t="n"/>
      <c r="K151" s="307" t="n"/>
      <c r="L151" s="307" t="n"/>
      <c r="M151" s="307" t="n"/>
      <c r="N151" s="307" t="n"/>
      <c r="O151" s="307" t="n"/>
      <c r="P151" s="307" t="n"/>
      <c r="Q151" s="307" t="n"/>
      <c r="R151" s="307" t="n"/>
      <c r="S151" s="307" t="n"/>
      <c r="T151" s="307" t="n"/>
      <c r="U151" s="307" t="n"/>
      <c r="V151" s="307" t="n"/>
      <c r="W151" s="307" t="n"/>
      <c r="X151" s="307" t="n"/>
      <c r="Y151" s="307" t="n"/>
      <c r="Z151" s="307" t="n"/>
      <c r="AA151" s="307" t="n"/>
      <c r="AB151" s="307" t="n"/>
      <c r="AC151" s="307" t="n"/>
      <c r="AD151" s="307" t="n"/>
      <c r="AE151" s="307" t="n"/>
      <c r="AF151" s="307" t="n"/>
      <c r="AG151" s="307" t="n"/>
      <c r="AH151" s="307" t="n"/>
      <c r="AI151" s="307" t="n"/>
      <c r="AJ151" s="307" t="n"/>
      <c r="AK151" s="307" t="n"/>
      <c r="AL151" s="307" t="n"/>
      <c r="AM151" s="307" t="n"/>
      <c r="AN151" s="307" t="n"/>
      <c r="AO151" s="307" t="n"/>
      <c r="AP151" s="307" t="n"/>
      <c r="AQ151" s="307" t="n"/>
      <c r="AR151" s="307" t="n"/>
    </row>
    <row r="152" ht="15.75" customHeight="1" s="349">
      <c r="A152" s="307" t="n"/>
      <c r="B152" s="307" t="n"/>
      <c r="C152" s="307" t="n"/>
      <c r="D152" s="307" t="n"/>
      <c r="E152" s="307" t="n"/>
      <c r="F152" s="307" t="n"/>
      <c r="G152" s="307" t="n"/>
      <c r="H152" s="307" t="n"/>
      <c r="I152" s="307" t="n"/>
      <c r="J152" s="307" t="n"/>
      <c r="K152" s="307" t="n"/>
      <c r="L152" s="307" t="n"/>
      <c r="M152" s="307" t="n"/>
      <c r="N152" s="307" t="n"/>
      <c r="O152" s="307" t="n"/>
      <c r="P152" s="307" t="n"/>
      <c r="Q152" s="307" t="n"/>
      <c r="R152" s="307" t="n"/>
      <c r="S152" s="307" t="n"/>
      <c r="T152" s="307" t="n"/>
      <c r="U152" s="307" t="n"/>
      <c r="V152" s="307" t="n"/>
      <c r="W152" s="307" t="n"/>
      <c r="X152" s="307" t="n"/>
      <c r="Y152" s="307" t="n"/>
      <c r="Z152" s="307" t="n"/>
      <c r="AA152" s="307" t="n"/>
      <c r="AB152" s="307" t="n"/>
      <c r="AC152" s="307" t="n"/>
      <c r="AD152" s="307" t="n"/>
      <c r="AE152" s="307" t="n"/>
      <c r="AF152" s="307" t="n"/>
      <c r="AG152" s="307" t="n"/>
      <c r="AH152" s="307" t="n"/>
      <c r="AI152" s="307" t="n"/>
      <c r="AJ152" s="307" t="n"/>
      <c r="AK152" s="307" t="n"/>
      <c r="AL152" s="307" t="n"/>
      <c r="AM152" s="307" t="n"/>
      <c r="AN152" s="307" t="n"/>
      <c r="AO152" s="307" t="n"/>
      <c r="AP152" s="307" t="n"/>
      <c r="AQ152" s="307" t="n"/>
      <c r="AR152" s="307" t="n"/>
    </row>
    <row r="153" ht="15.75" customHeight="1" s="349">
      <c r="A153" s="307" t="n"/>
      <c r="B153" s="307" t="n"/>
      <c r="C153" s="307" t="n"/>
      <c r="D153" s="307" t="n"/>
      <c r="E153" s="307" t="n"/>
      <c r="F153" s="307" t="n"/>
      <c r="G153" s="307" t="n"/>
      <c r="H153" s="307" t="n"/>
      <c r="I153" s="307" t="n"/>
      <c r="J153" s="307" t="n"/>
      <c r="K153" s="307" t="n"/>
      <c r="L153" s="307" t="n"/>
      <c r="M153" s="307" t="n"/>
      <c r="N153" s="307" t="n"/>
      <c r="O153" s="307" t="n"/>
      <c r="P153" s="307" t="n"/>
      <c r="Q153" s="307" t="n"/>
      <c r="R153" s="307" t="n"/>
      <c r="S153" s="307" t="n"/>
      <c r="T153" s="307" t="n"/>
      <c r="U153" s="307" t="n"/>
      <c r="V153" s="307" t="n"/>
      <c r="W153" s="307" t="n"/>
      <c r="X153" s="307" t="n"/>
      <c r="Y153" s="307" t="n"/>
      <c r="Z153" s="307" t="n"/>
      <c r="AA153" s="307" t="n"/>
      <c r="AB153" s="307" t="n"/>
      <c r="AC153" s="307" t="n"/>
      <c r="AD153" s="307" t="n"/>
      <c r="AE153" s="307" t="n"/>
      <c r="AF153" s="307" t="n"/>
      <c r="AG153" s="307" t="n"/>
      <c r="AH153" s="307" t="n"/>
      <c r="AI153" s="307" t="n"/>
      <c r="AJ153" s="307" t="n"/>
      <c r="AK153" s="307" t="n"/>
      <c r="AL153" s="307" t="n"/>
      <c r="AM153" s="307" t="n"/>
      <c r="AN153" s="307" t="n"/>
      <c r="AO153" s="307" t="n"/>
      <c r="AP153" s="307" t="n"/>
      <c r="AQ153" s="307" t="n"/>
      <c r="AR153" s="307" t="n"/>
    </row>
    <row r="154" ht="15.75" customHeight="1" s="349">
      <c r="A154" s="307" t="n"/>
      <c r="B154" s="307" t="n"/>
      <c r="C154" s="307" t="n"/>
      <c r="D154" s="307" t="n"/>
      <c r="E154" s="307" t="n"/>
      <c r="F154" s="307" t="n"/>
      <c r="G154" s="307" t="n"/>
      <c r="H154" s="307" t="n"/>
      <c r="I154" s="307" t="n"/>
      <c r="J154" s="307" t="n"/>
      <c r="K154" s="307" t="n"/>
      <c r="L154" s="307" t="n"/>
      <c r="M154" s="307" t="n"/>
      <c r="N154" s="307" t="n"/>
      <c r="O154" s="307" t="n"/>
      <c r="P154" s="307" t="n"/>
      <c r="Q154" s="307" t="n"/>
      <c r="R154" s="307" t="n"/>
      <c r="S154" s="307" t="n"/>
      <c r="T154" s="307" t="n"/>
      <c r="U154" s="307" t="n"/>
      <c r="V154" s="307" t="n"/>
      <c r="W154" s="307" t="n"/>
      <c r="X154" s="307" t="n"/>
      <c r="Y154" s="307" t="n"/>
      <c r="Z154" s="307" t="n"/>
      <c r="AA154" s="307" t="n"/>
      <c r="AB154" s="307" t="n"/>
      <c r="AC154" s="307" t="n"/>
      <c r="AD154" s="307" t="n"/>
      <c r="AE154" s="307" t="n"/>
      <c r="AF154" s="307" t="n"/>
      <c r="AG154" s="307" t="n"/>
      <c r="AH154" s="307" t="n"/>
      <c r="AI154" s="307" t="n"/>
      <c r="AJ154" s="307" t="n"/>
      <c r="AK154" s="307" t="n"/>
      <c r="AL154" s="307" t="n"/>
      <c r="AM154" s="307" t="n"/>
      <c r="AN154" s="307" t="n"/>
      <c r="AO154" s="307" t="n"/>
      <c r="AP154" s="307" t="n"/>
      <c r="AQ154" s="307" t="n"/>
      <c r="AR154" s="307" t="n"/>
    </row>
    <row r="155" ht="15.75" customHeight="1" s="349">
      <c r="A155" s="307" t="n"/>
      <c r="B155" s="307" t="n"/>
      <c r="C155" s="307" t="n"/>
      <c r="D155" s="307" t="n"/>
      <c r="E155" s="307" t="n"/>
      <c r="F155" s="307" t="n"/>
      <c r="G155" s="307" t="n"/>
      <c r="H155" s="307" t="n"/>
      <c r="I155" s="307" t="n"/>
      <c r="J155" s="307" t="n"/>
      <c r="K155" s="307" t="n"/>
      <c r="L155" s="307" t="n"/>
      <c r="M155" s="307" t="n"/>
      <c r="N155" s="307" t="n"/>
      <c r="O155" s="307" t="n"/>
      <c r="P155" s="307" t="n"/>
      <c r="Q155" s="307" t="n"/>
      <c r="R155" s="307" t="n"/>
      <c r="S155" s="307" t="n"/>
      <c r="T155" s="307" t="n"/>
      <c r="U155" s="307" t="n"/>
      <c r="V155" s="307" t="n"/>
      <c r="W155" s="307" t="n"/>
      <c r="X155" s="307" t="n"/>
      <c r="Y155" s="307" t="n"/>
      <c r="Z155" s="307" t="n"/>
      <c r="AA155" s="307" t="n"/>
      <c r="AB155" s="307" t="n"/>
      <c r="AC155" s="307" t="n"/>
      <c r="AD155" s="307" t="n"/>
      <c r="AE155" s="307" t="n"/>
      <c r="AF155" s="307" t="n"/>
      <c r="AG155" s="307" t="n"/>
      <c r="AH155" s="307" t="n"/>
      <c r="AI155" s="307" t="n"/>
      <c r="AJ155" s="307" t="n"/>
      <c r="AK155" s="307" t="n"/>
      <c r="AL155" s="307" t="n"/>
      <c r="AM155" s="307" t="n"/>
      <c r="AN155" s="307" t="n"/>
      <c r="AO155" s="307" t="n"/>
      <c r="AP155" s="307" t="n"/>
      <c r="AQ155" s="307" t="n"/>
      <c r="AR155" s="307" t="n"/>
    </row>
    <row r="156" ht="15.75" customHeight="1" s="349">
      <c r="A156" s="307" t="n"/>
      <c r="B156" s="307" t="n"/>
      <c r="C156" s="307" t="n"/>
      <c r="D156" s="307" t="n"/>
      <c r="E156" s="307" t="n"/>
      <c r="F156" s="307" t="n"/>
      <c r="G156" s="307" t="n"/>
      <c r="H156" s="307" t="n"/>
      <c r="I156" s="307" t="n"/>
      <c r="J156" s="307" t="n"/>
      <c r="K156" s="307" t="n"/>
      <c r="L156" s="307" t="n"/>
      <c r="M156" s="307" t="n"/>
      <c r="N156" s="307" t="n"/>
      <c r="O156" s="307" t="n"/>
      <c r="P156" s="307" t="n"/>
      <c r="Q156" s="307" t="n"/>
      <c r="R156" s="307" t="n"/>
      <c r="S156" s="307" t="n"/>
      <c r="T156" s="307" t="n"/>
      <c r="U156" s="307" t="n"/>
      <c r="V156" s="307" t="n"/>
      <c r="W156" s="307" t="n"/>
      <c r="X156" s="307" t="n"/>
      <c r="Y156" s="307" t="n"/>
      <c r="Z156" s="307" t="n"/>
      <c r="AA156" s="307" t="n"/>
      <c r="AB156" s="307" t="n"/>
      <c r="AC156" s="307" t="n"/>
      <c r="AD156" s="307" t="n"/>
      <c r="AE156" s="307" t="n"/>
      <c r="AF156" s="307" t="n"/>
      <c r="AG156" s="307" t="n"/>
      <c r="AH156" s="307" t="n"/>
      <c r="AI156" s="307" t="n"/>
      <c r="AJ156" s="307" t="n"/>
      <c r="AK156" s="307" t="n"/>
      <c r="AL156" s="307" t="n"/>
      <c r="AM156" s="307" t="n"/>
      <c r="AN156" s="307" t="n"/>
      <c r="AO156" s="307" t="n"/>
      <c r="AP156" s="307" t="n"/>
      <c r="AQ156" s="307" t="n"/>
      <c r="AR156" s="307" t="n"/>
    </row>
    <row r="157" ht="15.75" customHeight="1" s="349">
      <c r="A157" s="307" t="n"/>
      <c r="B157" s="307" t="n"/>
      <c r="C157" s="307" t="n"/>
      <c r="D157" s="307" t="n"/>
      <c r="E157" s="307" t="n"/>
      <c r="F157" s="307" t="n"/>
      <c r="G157" s="307" t="n"/>
      <c r="H157" s="307" t="n"/>
      <c r="I157" s="307" t="n"/>
      <c r="J157" s="307" t="n"/>
      <c r="K157" s="307" t="n"/>
      <c r="L157" s="307" t="n"/>
      <c r="M157" s="307" t="n"/>
      <c r="N157" s="307" t="n"/>
      <c r="O157" s="307" t="n"/>
      <c r="P157" s="307" t="n"/>
      <c r="Q157" s="307" t="n"/>
      <c r="R157" s="307" t="n"/>
      <c r="S157" s="307" t="n"/>
      <c r="T157" s="307" t="n"/>
      <c r="U157" s="307" t="n"/>
      <c r="V157" s="307" t="n"/>
      <c r="W157" s="307" t="n"/>
      <c r="X157" s="307" t="n"/>
      <c r="Y157" s="307" t="n"/>
      <c r="Z157" s="307" t="n"/>
      <c r="AA157" s="307" t="n"/>
      <c r="AB157" s="307" t="n"/>
      <c r="AC157" s="307" t="n"/>
      <c r="AD157" s="307" t="n"/>
      <c r="AE157" s="307" t="n"/>
      <c r="AF157" s="307" t="n"/>
      <c r="AG157" s="307" t="n"/>
      <c r="AH157" s="307" t="n"/>
      <c r="AI157" s="307" t="n"/>
      <c r="AJ157" s="307" t="n"/>
      <c r="AK157" s="307" t="n"/>
      <c r="AL157" s="307" t="n"/>
      <c r="AM157" s="307" t="n"/>
      <c r="AN157" s="307" t="n"/>
      <c r="AO157" s="307" t="n"/>
      <c r="AP157" s="307" t="n"/>
      <c r="AQ157" s="307" t="n"/>
      <c r="AR157" s="307" t="n"/>
    </row>
    <row r="158" ht="15.75" customHeight="1" s="349">
      <c r="A158" s="307" t="n"/>
      <c r="B158" s="307" t="n"/>
      <c r="C158" s="307" t="n"/>
      <c r="D158" s="307" t="n"/>
      <c r="E158" s="307" t="n"/>
      <c r="F158" s="307" t="n"/>
      <c r="G158" s="307" t="n"/>
      <c r="H158" s="307" t="n"/>
      <c r="I158" s="307" t="n"/>
      <c r="J158" s="307" t="n"/>
      <c r="K158" s="307" t="n"/>
      <c r="L158" s="307" t="n"/>
      <c r="M158" s="307" t="n"/>
      <c r="N158" s="307" t="n"/>
      <c r="O158" s="307" t="n"/>
      <c r="P158" s="307" t="n"/>
      <c r="Q158" s="307" t="n"/>
      <c r="R158" s="307" t="n"/>
      <c r="S158" s="307" t="n"/>
      <c r="T158" s="307" t="n"/>
      <c r="U158" s="307" t="n"/>
      <c r="V158" s="307" t="n"/>
      <c r="W158" s="307" t="n"/>
      <c r="X158" s="307" t="n"/>
      <c r="Y158" s="307" t="n"/>
      <c r="Z158" s="307" t="n"/>
      <c r="AA158" s="307" t="n"/>
      <c r="AB158" s="307" t="n"/>
      <c r="AC158" s="307" t="n"/>
      <c r="AD158" s="307" t="n"/>
      <c r="AE158" s="307" t="n"/>
      <c r="AF158" s="307" t="n"/>
      <c r="AG158" s="307" t="n"/>
      <c r="AH158" s="307" t="n"/>
      <c r="AI158" s="307" t="n"/>
      <c r="AJ158" s="307" t="n"/>
      <c r="AK158" s="307" t="n"/>
      <c r="AL158" s="307" t="n"/>
      <c r="AM158" s="307" t="n"/>
      <c r="AN158" s="307" t="n"/>
      <c r="AO158" s="307" t="n"/>
      <c r="AP158" s="307" t="n"/>
      <c r="AQ158" s="307" t="n"/>
      <c r="AR158" s="307" t="n"/>
    </row>
    <row r="159" ht="15.75" customHeight="1" s="349">
      <c r="A159" s="307" t="n"/>
      <c r="B159" s="307" t="n"/>
      <c r="C159" s="307" t="n"/>
      <c r="D159" s="307" t="n"/>
      <c r="E159" s="307" t="n"/>
      <c r="F159" s="307" t="n"/>
      <c r="G159" s="307" t="n"/>
      <c r="H159" s="307" t="n"/>
      <c r="I159" s="307" t="n"/>
      <c r="J159" s="307" t="n"/>
      <c r="K159" s="307" t="n"/>
      <c r="L159" s="307" t="n"/>
      <c r="M159" s="307" t="n"/>
      <c r="N159" s="307" t="n"/>
      <c r="O159" s="307" t="n"/>
      <c r="P159" s="307" t="n"/>
      <c r="Q159" s="307" t="n"/>
      <c r="R159" s="307" t="n"/>
      <c r="S159" s="307" t="n"/>
      <c r="T159" s="307" t="n"/>
      <c r="U159" s="307" t="n"/>
      <c r="V159" s="307" t="n"/>
      <c r="W159" s="307" t="n"/>
      <c r="X159" s="307" t="n"/>
      <c r="Y159" s="307" t="n"/>
      <c r="Z159" s="307" t="n"/>
      <c r="AA159" s="307" t="n"/>
      <c r="AB159" s="307" t="n"/>
      <c r="AC159" s="307" t="n"/>
      <c r="AD159" s="307" t="n"/>
      <c r="AE159" s="307" t="n"/>
      <c r="AF159" s="307" t="n"/>
      <c r="AG159" s="307" t="n"/>
      <c r="AH159" s="307" t="n"/>
      <c r="AI159" s="307" t="n"/>
      <c r="AJ159" s="307" t="n"/>
      <c r="AK159" s="307" t="n"/>
      <c r="AL159" s="307" t="n"/>
      <c r="AM159" s="307" t="n"/>
      <c r="AN159" s="307" t="n"/>
      <c r="AO159" s="307" t="n"/>
      <c r="AP159" s="307" t="n"/>
      <c r="AQ159" s="307" t="n"/>
      <c r="AR159" s="307" t="n"/>
    </row>
    <row r="160" ht="15.75" customHeight="1" s="349">
      <c r="A160" s="307" t="n"/>
      <c r="B160" s="307" t="n"/>
      <c r="C160" s="307" t="n"/>
      <c r="D160" s="307" t="n"/>
      <c r="E160" s="307" t="n"/>
      <c r="F160" s="307" t="n"/>
      <c r="G160" s="307" t="n"/>
      <c r="H160" s="307" t="n"/>
      <c r="I160" s="307" t="n"/>
      <c r="J160" s="307" t="n"/>
      <c r="K160" s="307" t="n"/>
      <c r="L160" s="307" t="n"/>
      <c r="M160" s="307" t="n"/>
      <c r="N160" s="307" t="n"/>
      <c r="O160" s="307" t="n"/>
      <c r="P160" s="307" t="n"/>
      <c r="Q160" s="307" t="n"/>
      <c r="R160" s="307" t="n"/>
      <c r="S160" s="307" t="n"/>
      <c r="T160" s="307" t="n"/>
      <c r="U160" s="307" t="n"/>
      <c r="V160" s="307" t="n"/>
      <c r="W160" s="307" t="n"/>
      <c r="X160" s="307" t="n"/>
      <c r="Y160" s="307" t="n"/>
      <c r="Z160" s="307" t="n"/>
      <c r="AA160" s="307" t="n"/>
      <c r="AB160" s="307" t="n"/>
      <c r="AC160" s="307" t="n"/>
      <c r="AD160" s="307" t="n"/>
      <c r="AE160" s="307" t="n"/>
      <c r="AF160" s="307" t="n"/>
      <c r="AG160" s="307" t="n"/>
      <c r="AH160" s="307" t="n"/>
      <c r="AI160" s="307" t="n"/>
      <c r="AJ160" s="307" t="n"/>
      <c r="AK160" s="307" t="n"/>
      <c r="AL160" s="307" t="n"/>
      <c r="AM160" s="307" t="n"/>
      <c r="AN160" s="307" t="n"/>
      <c r="AO160" s="307" t="n"/>
      <c r="AP160" s="307" t="n"/>
      <c r="AQ160" s="307" t="n"/>
      <c r="AR160" s="307" t="n"/>
    </row>
    <row r="161" ht="15.75" customHeight="1" s="349">
      <c r="A161" s="307" t="n"/>
      <c r="B161" s="307" t="n"/>
      <c r="C161" s="307" t="n"/>
      <c r="D161" s="307" t="n"/>
      <c r="E161" s="307" t="n"/>
      <c r="F161" s="307" t="n"/>
      <c r="G161" s="307" t="n"/>
      <c r="H161" s="307" t="n"/>
      <c r="I161" s="307" t="n"/>
      <c r="J161" s="307" t="n"/>
      <c r="K161" s="307" t="n"/>
      <c r="L161" s="307" t="n"/>
      <c r="M161" s="307" t="n"/>
      <c r="N161" s="307" t="n"/>
      <c r="O161" s="307" t="n"/>
      <c r="P161" s="307" t="n"/>
      <c r="Q161" s="307" t="n"/>
      <c r="R161" s="307" t="n"/>
      <c r="S161" s="307" t="n"/>
      <c r="T161" s="307" t="n"/>
      <c r="U161" s="307" t="n"/>
      <c r="V161" s="307" t="n"/>
      <c r="W161" s="307" t="n"/>
      <c r="X161" s="307" t="n"/>
      <c r="Y161" s="307" t="n"/>
      <c r="Z161" s="307" t="n"/>
      <c r="AA161" s="307" t="n"/>
      <c r="AB161" s="307" t="n"/>
      <c r="AC161" s="307" t="n"/>
      <c r="AD161" s="307" t="n"/>
      <c r="AE161" s="307" t="n"/>
      <c r="AF161" s="307" t="n"/>
      <c r="AG161" s="307" t="n"/>
      <c r="AH161" s="307" t="n"/>
      <c r="AI161" s="307" t="n"/>
      <c r="AJ161" s="307" t="n"/>
      <c r="AK161" s="307" t="n"/>
      <c r="AL161" s="307" t="n"/>
      <c r="AM161" s="307" t="n"/>
      <c r="AN161" s="307" t="n"/>
      <c r="AO161" s="307" t="n"/>
      <c r="AP161" s="307" t="n"/>
      <c r="AQ161" s="307" t="n"/>
      <c r="AR161" s="307" t="n"/>
    </row>
    <row r="162" ht="15.75" customHeight="1" s="349">
      <c r="A162" s="307" t="n"/>
      <c r="B162" s="307" t="n"/>
      <c r="C162" s="307" t="n"/>
      <c r="D162" s="307" t="n"/>
      <c r="E162" s="307" t="n"/>
      <c r="F162" s="307" t="n"/>
      <c r="G162" s="307" t="n"/>
      <c r="H162" s="307" t="n"/>
      <c r="I162" s="307" t="n"/>
      <c r="J162" s="307" t="n"/>
      <c r="K162" s="307" t="n"/>
      <c r="L162" s="307" t="n"/>
      <c r="M162" s="307" t="n"/>
      <c r="N162" s="307" t="n"/>
      <c r="O162" s="307" t="n"/>
      <c r="P162" s="307" t="n"/>
      <c r="Q162" s="307" t="n"/>
      <c r="R162" s="307" t="n"/>
      <c r="S162" s="307" t="n"/>
      <c r="T162" s="307" t="n"/>
      <c r="U162" s="307" t="n"/>
      <c r="V162" s="307" t="n"/>
      <c r="W162" s="307" t="n"/>
      <c r="X162" s="307" t="n"/>
      <c r="Y162" s="307" t="n"/>
      <c r="Z162" s="307" t="n"/>
      <c r="AA162" s="307" t="n"/>
      <c r="AB162" s="307" t="n"/>
      <c r="AC162" s="307" t="n"/>
      <c r="AD162" s="307" t="n"/>
      <c r="AE162" s="307" t="n"/>
      <c r="AF162" s="307" t="n"/>
      <c r="AG162" s="307" t="n"/>
      <c r="AH162" s="307" t="n"/>
      <c r="AI162" s="307" t="n"/>
      <c r="AJ162" s="307" t="n"/>
      <c r="AK162" s="307" t="n"/>
      <c r="AL162" s="307" t="n"/>
      <c r="AM162" s="307" t="n"/>
      <c r="AN162" s="307" t="n"/>
      <c r="AO162" s="307" t="n"/>
      <c r="AP162" s="307" t="n"/>
      <c r="AQ162" s="307" t="n"/>
      <c r="AR162" s="307" t="n"/>
    </row>
    <row r="163" ht="15.75" customHeight="1" s="349">
      <c r="A163" s="307" t="n"/>
      <c r="B163" s="307" t="n"/>
      <c r="C163" s="307" t="n"/>
      <c r="D163" s="307" t="n"/>
      <c r="E163" s="307" t="n"/>
      <c r="F163" s="307" t="n"/>
      <c r="G163" s="307" t="n"/>
      <c r="H163" s="307" t="n"/>
      <c r="I163" s="307" t="n"/>
      <c r="J163" s="307" t="n"/>
      <c r="K163" s="307" t="n"/>
      <c r="L163" s="307" t="n"/>
      <c r="M163" s="307" t="n"/>
      <c r="N163" s="307" t="n"/>
      <c r="O163" s="307" t="n"/>
      <c r="P163" s="307" t="n"/>
      <c r="Q163" s="307" t="n"/>
      <c r="R163" s="307" t="n"/>
      <c r="S163" s="307" t="n"/>
      <c r="T163" s="307" t="n"/>
      <c r="U163" s="307" t="n"/>
      <c r="V163" s="307" t="n"/>
      <c r="W163" s="307" t="n"/>
      <c r="X163" s="307" t="n"/>
      <c r="Y163" s="307" t="n"/>
      <c r="Z163" s="307" t="n"/>
      <c r="AA163" s="307" t="n"/>
      <c r="AB163" s="307" t="n"/>
      <c r="AC163" s="307" t="n"/>
      <c r="AD163" s="307" t="n"/>
      <c r="AE163" s="307" t="n"/>
      <c r="AF163" s="307" t="n"/>
      <c r="AG163" s="307" t="n"/>
      <c r="AH163" s="307" t="n"/>
      <c r="AI163" s="307" t="n"/>
      <c r="AJ163" s="307" t="n"/>
      <c r="AK163" s="307" t="n"/>
      <c r="AL163" s="307" t="n"/>
      <c r="AM163" s="307" t="n"/>
      <c r="AN163" s="307" t="n"/>
      <c r="AO163" s="307" t="n"/>
      <c r="AP163" s="307" t="n"/>
      <c r="AQ163" s="307" t="n"/>
      <c r="AR163" s="307" t="n"/>
    </row>
    <row r="164" ht="15.75" customHeight="1" s="349">
      <c r="A164" s="307" t="n"/>
      <c r="B164" s="307" t="n"/>
      <c r="C164" s="307" t="n"/>
      <c r="D164" s="307" t="n"/>
      <c r="E164" s="307" t="n"/>
      <c r="F164" s="307" t="n"/>
      <c r="G164" s="307" t="n"/>
      <c r="H164" s="307" t="n"/>
      <c r="I164" s="307" t="n"/>
      <c r="J164" s="307" t="n"/>
      <c r="K164" s="307" t="n"/>
      <c r="L164" s="307" t="n"/>
      <c r="M164" s="307" t="n"/>
      <c r="N164" s="307" t="n"/>
      <c r="O164" s="307" t="n"/>
      <c r="P164" s="307" t="n"/>
      <c r="Q164" s="307" t="n"/>
      <c r="R164" s="307" t="n"/>
      <c r="S164" s="307" t="n"/>
      <c r="T164" s="307" t="n"/>
      <c r="U164" s="307" t="n"/>
      <c r="V164" s="307" t="n"/>
      <c r="W164" s="307" t="n"/>
      <c r="X164" s="307" t="n"/>
      <c r="Y164" s="307" t="n"/>
      <c r="Z164" s="307" t="n"/>
      <c r="AA164" s="307" t="n"/>
      <c r="AB164" s="307" t="n"/>
      <c r="AC164" s="307" t="n"/>
      <c r="AD164" s="307" t="n"/>
      <c r="AE164" s="307" t="n"/>
      <c r="AF164" s="307" t="n"/>
      <c r="AG164" s="307" t="n"/>
      <c r="AH164" s="307" t="n"/>
      <c r="AI164" s="307" t="n"/>
      <c r="AJ164" s="307" t="n"/>
      <c r="AK164" s="307" t="n"/>
      <c r="AL164" s="307" t="n"/>
      <c r="AM164" s="307" t="n"/>
      <c r="AN164" s="307" t="n"/>
      <c r="AO164" s="307" t="n"/>
      <c r="AP164" s="307" t="n"/>
      <c r="AQ164" s="307" t="n"/>
      <c r="AR164" s="307" t="n"/>
    </row>
    <row r="165" ht="15.75" customHeight="1" s="349">
      <c r="A165" s="307" t="n"/>
      <c r="B165" s="307" t="n"/>
      <c r="C165" s="307" t="n"/>
      <c r="D165" s="307" t="n"/>
      <c r="E165" s="307" t="n"/>
      <c r="F165" s="307" t="n"/>
      <c r="G165" s="307" t="n"/>
      <c r="H165" s="307" t="n"/>
      <c r="I165" s="307" t="n"/>
      <c r="J165" s="307" t="n"/>
      <c r="K165" s="307" t="n"/>
      <c r="L165" s="307" t="n"/>
      <c r="M165" s="307" t="n"/>
      <c r="N165" s="307" t="n"/>
      <c r="O165" s="307" t="n"/>
      <c r="P165" s="307" t="n"/>
      <c r="Q165" s="307" t="n"/>
      <c r="R165" s="307" t="n"/>
      <c r="S165" s="307" t="n"/>
      <c r="T165" s="307" t="n"/>
      <c r="U165" s="307" t="n"/>
      <c r="V165" s="307" t="n"/>
      <c r="W165" s="307" t="n"/>
      <c r="X165" s="307" t="n"/>
      <c r="Y165" s="307" t="n"/>
      <c r="Z165" s="307" t="n"/>
      <c r="AA165" s="307" t="n"/>
      <c r="AB165" s="307" t="n"/>
      <c r="AC165" s="307" t="n"/>
      <c r="AD165" s="307" t="n"/>
      <c r="AE165" s="307" t="n"/>
      <c r="AF165" s="307" t="n"/>
      <c r="AG165" s="307" t="n"/>
      <c r="AH165" s="307" t="n"/>
      <c r="AI165" s="307" t="n"/>
      <c r="AJ165" s="307" t="n"/>
      <c r="AK165" s="307" t="n"/>
      <c r="AL165" s="307" t="n"/>
      <c r="AM165" s="307" t="n"/>
      <c r="AN165" s="307" t="n"/>
      <c r="AO165" s="307" t="n"/>
      <c r="AP165" s="307" t="n"/>
      <c r="AQ165" s="307" t="n"/>
      <c r="AR165" s="307" t="n"/>
    </row>
    <row r="166" ht="15.75" customHeight="1" s="349">
      <c r="A166" s="307" t="n"/>
      <c r="B166" s="307" t="n"/>
      <c r="C166" s="307" t="n"/>
      <c r="D166" s="307" t="n"/>
      <c r="E166" s="307" t="n"/>
      <c r="F166" s="307" t="n"/>
      <c r="G166" s="307" t="n"/>
      <c r="H166" s="307" t="n"/>
      <c r="I166" s="307" t="n"/>
      <c r="J166" s="307" t="n"/>
      <c r="K166" s="307" t="n"/>
      <c r="L166" s="307" t="n"/>
      <c r="M166" s="307" t="n"/>
      <c r="N166" s="307" t="n"/>
      <c r="O166" s="307" t="n"/>
      <c r="P166" s="307" t="n"/>
      <c r="Q166" s="307" t="n"/>
      <c r="R166" s="307" t="n"/>
      <c r="S166" s="307" t="n"/>
      <c r="T166" s="307" t="n"/>
      <c r="U166" s="307" t="n"/>
      <c r="V166" s="307" t="n"/>
      <c r="W166" s="307" t="n"/>
      <c r="X166" s="307" t="n"/>
      <c r="Y166" s="307" t="n"/>
      <c r="Z166" s="307" t="n"/>
      <c r="AA166" s="307" t="n"/>
      <c r="AB166" s="307" t="n"/>
      <c r="AC166" s="307" t="n"/>
      <c r="AD166" s="307" t="n"/>
      <c r="AE166" s="307" t="n"/>
      <c r="AF166" s="307" t="n"/>
      <c r="AG166" s="307" t="n"/>
      <c r="AH166" s="307" t="n"/>
      <c r="AI166" s="307" t="n"/>
      <c r="AJ166" s="307" t="n"/>
      <c r="AK166" s="307" t="n"/>
      <c r="AL166" s="307" t="n"/>
      <c r="AM166" s="307" t="n"/>
      <c r="AN166" s="307" t="n"/>
      <c r="AO166" s="307" t="n"/>
      <c r="AP166" s="307" t="n"/>
      <c r="AQ166" s="307" t="n"/>
      <c r="AR166" s="307" t="n"/>
    </row>
    <row r="167" ht="15.75" customHeight="1" s="349">
      <c r="A167" s="307" t="n"/>
      <c r="B167" s="307" t="n"/>
      <c r="C167" s="307" t="n"/>
      <c r="D167" s="307" t="n"/>
      <c r="E167" s="307" t="n"/>
      <c r="F167" s="307" t="n"/>
      <c r="G167" s="307" t="n"/>
      <c r="H167" s="307" t="n"/>
      <c r="I167" s="307" t="n"/>
      <c r="J167" s="307" t="n"/>
      <c r="K167" s="307" t="n"/>
      <c r="L167" s="307" t="n"/>
      <c r="M167" s="307" t="n"/>
      <c r="N167" s="307" t="n"/>
      <c r="O167" s="307" t="n"/>
      <c r="P167" s="307" t="n"/>
      <c r="Q167" s="307" t="n"/>
      <c r="R167" s="307" t="n"/>
      <c r="S167" s="307" t="n"/>
      <c r="T167" s="307" t="n"/>
      <c r="U167" s="307" t="n"/>
      <c r="V167" s="307" t="n"/>
      <c r="W167" s="307" t="n"/>
      <c r="X167" s="307" t="n"/>
      <c r="Y167" s="307" t="n"/>
      <c r="Z167" s="307" t="n"/>
      <c r="AA167" s="307" t="n"/>
      <c r="AB167" s="307" t="n"/>
      <c r="AC167" s="307" t="n"/>
      <c r="AD167" s="307" t="n"/>
      <c r="AE167" s="307" t="n"/>
      <c r="AF167" s="307" t="n"/>
      <c r="AG167" s="307" t="n"/>
      <c r="AH167" s="307" t="n"/>
      <c r="AI167" s="307" t="n"/>
      <c r="AJ167" s="307" t="n"/>
      <c r="AK167" s="307" t="n"/>
      <c r="AL167" s="307" t="n"/>
      <c r="AM167" s="307" t="n"/>
      <c r="AN167" s="307" t="n"/>
      <c r="AO167" s="307" t="n"/>
      <c r="AP167" s="307" t="n"/>
      <c r="AQ167" s="307" t="n"/>
      <c r="AR167" s="307" t="n"/>
    </row>
    <row r="168" ht="15.75" customHeight="1" s="349">
      <c r="A168" s="307" t="n"/>
      <c r="B168" s="307" t="n"/>
      <c r="C168" s="307" t="n"/>
      <c r="D168" s="307" t="n"/>
      <c r="E168" s="307" t="n"/>
      <c r="F168" s="307" t="n"/>
      <c r="G168" s="307" t="n"/>
      <c r="H168" s="307" t="n"/>
      <c r="I168" s="307" t="n"/>
      <c r="J168" s="307" t="n"/>
      <c r="K168" s="307" t="n"/>
      <c r="L168" s="307" t="n"/>
      <c r="M168" s="307" t="n"/>
      <c r="N168" s="307" t="n"/>
      <c r="O168" s="307" t="n"/>
      <c r="P168" s="307" t="n"/>
      <c r="Q168" s="307" t="n"/>
      <c r="R168" s="307" t="n"/>
      <c r="S168" s="307" t="n"/>
      <c r="T168" s="307" t="n"/>
      <c r="U168" s="307" t="n"/>
      <c r="V168" s="307" t="n"/>
      <c r="W168" s="307" t="n"/>
      <c r="X168" s="307" t="n"/>
      <c r="Y168" s="307" t="n"/>
      <c r="Z168" s="307" t="n"/>
      <c r="AA168" s="307" t="n"/>
      <c r="AB168" s="307" t="n"/>
      <c r="AC168" s="307" t="n"/>
      <c r="AD168" s="307" t="n"/>
      <c r="AE168" s="307" t="n"/>
      <c r="AF168" s="307" t="n"/>
      <c r="AG168" s="307" t="n"/>
      <c r="AH168" s="307" t="n"/>
      <c r="AI168" s="307" t="n"/>
      <c r="AJ168" s="307" t="n"/>
      <c r="AK168" s="307" t="n"/>
      <c r="AL168" s="307" t="n"/>
      <c r="AM168" s="307" t="n"/>
      <c r="AN168" s="307" t="n"/>
      <c r="AO168" s="307" t="n"/>
      <c r="AP168" s="307" t="n"/>
      <c r="AQ168" s="307" t="n"/>
      <c r="AR168" s="307" t="n"/>
    </row>
    <row r="169" ht="15.75" customHeight="1" s="349">
      <c r="A169" s="307" t="n"/>
      <c r="B169" s="307" t="n"/>
      <c r="C169" s="307" t="n"/>
      <c r="D169" s="307" t="n"/>
      <c r="E169" s="307" t="n"/>
      <c r="F169" s="307" t="n"/>
      <c r="G169" s="307" t="n"/>
      <c r="H169" s="307" t="n"/>
      <c r="I169" s="307" t="n"/>
      <c r="J169" s="307" t="n"/>
      <c r="K169" s="307" t="n"/>
      <c r="L169" s="307" t="n"/>
      <c r="M169" s="307" t="n"/>
      <c r="N169" s="307" t="n"/>
      <c r="O169" s="307" t="n"/>
      <c r="P169" s="307" t="n"/>
      <c r="Q169" s="307" t="n"/>
      <c r="R169" s="307" t="n"/>
      <c r="S169" s="307" t="n"/>
      <c r="T169" s="307" t="n"/>
      <c r="U169" s="307" t="n"/>
      <c r="V169" s="307" t="n"/>
      <c r="W169" s="307" t="n"/>
      <c r="X169" s="307" t="n"/>
      <c r="Y169" s="307" t="n"/>
      <c r="Z169" s="307" t="n"/>
      <c r="AA169" s="307" t="n"/>
      <c r="AB169" s="307" t="n"/>
      <c r="AC169" s="307" t="n"/>
      <c r="AD169" s="307" t="n"/>
      <c r="AE169" s="307" t="n"/>
      <c r="AF169" s="307" t="n"/>
      <c r="AG169" s="307" t="n"/>
      <c r="AH169" s="307" t="n"/>
      <c r="AI169" s="307" t="n"/>
      <c r="AJ169" s="307" t="n"/>
      <c r="AK169" s="307" t="n"/>
      <c r="AL169" s="307" t="n"/>
      <c r="AM169" s="307" t="n"/>
      <c r="AN169" s="307" t="n"/>
      <c r="AO169" s="307" t="n"/>
      <c r="AP169" s="307" t="n"/>
      <c r="AQ169" s="307" t="n"/>
      <c r="AR169" s="307" t="n"/>
    </row>
    <row r="170" ht="15.75" customHeight="1" s="349">
      <c r="A170" s="307" t="n"/>
      <c r="B170" s="307" t="n"/>
      <c r="C170" s="307" t="n"/>
      <c r="D170" s="307" t="n"/>
      <c r="E170" s="307" t="n"/>
      <c r="F170" s="307" t="n"/>
      <c r="G170" s="307" t="n"/>
      <c r="H170" s="307" t="n"/>
      <c r="I170" s="307" t="n"/>
      <c r="J170" s="307" t="n"/>
      <c r="K170" s="307" t="n"/>
      <c r="L170" s="307" t="n"/>
      <c r="M170" s="307" t="n"/>
      <c r="N170" s="307" t="n"/>
      <c r="O170" s="307" t="n"/>
      <c r="P170" s="307" t="n"/>
      <c r="Q170" s="307" t="n"/>
      <c r="R170" s="307" t="n"/>
      <c r="S170" s="307" t="n"/>
      <c r="T170" s="307" t="n"/>
      <c r="U170" s="307" t="n"/>
      <c r="V170" s="307" t="n"/>
      <c r="W170" s="307" t="n"/>
      <c r="X170" s="307" t="n"/>
      <c r="Y170" s="307" t="n"/>
      <c r="Z170" s="307" t="n"/>
      <c r="AA170" s="307" t="n"/>
      <c r="AB170" s="307" t="n"/>
      <c r="AC170" s="307" t="n"/>
      <c r="AD170" s="307" t="n"/>
      <c r="AE170" s="307" t="n"/>
      <c r="AF170" s="307" t="n"/>
      <c r="AG170" s="307" t="n"/>
      <c r="AH170" s="307" t="n"/>
      <c r="AI170" s="307" t="n"/>
      <c r="AJ170" s="307" t="n"/>
      <c r="AK170" s="307" t="n"/>
      <c r="AL170" s="307" t="n"/>
      <c r="AM170" s="307" t="n"/>
      <c r="AN170" s="307" t="n"/>
      <c r="AO170" s="307" t="n"/>
      <c r="AP170" s="307" t="n"/>
      <c r="AQ170" s="307" t="n"/>
      <c r="AR170" s="307" t="n"/>
    </row>
    <row r="171" ht="15.75" customHeight="1" s="349">
      <c r="A171" s="307" t="n"/>
      <c r="B171" s="307" t="n"/>
      <c r="C171" s="307" t="n"/>
      <c r="D171" s="307" t="n"/>
      <c r="E171" s="307" t="n"/>
      <c r="F171" s="307" t="n"/>
      <c r="G171" s="307" t="n"/>
      <c r="H171" s="307" t="n"/>
      <c r="I171" s="307" t="n"/>
      <c r="J171" s="307" t="n"/>
      <c r="K171" s="307" t="n"/>
      <c r="L171" s="307" t="n"/>
      <c r="M171" s="307" t="n"/>
      <c r="N171" s="307" t="n"/>
      <c r="O171" s="307" t="n"/>
      <c r="P171" s="307" t="n"/>
      <c r="Q171" s="307" t="n"/>
      <c r="R171" s="307" t="n"/>
      <c r="S171" s="307" t="n"/>
      <c r="T171" s="307" t="n"/>
      <c r="U171" s="307" t="n"/>
      <c r="V171" s="307" t="n"/>
      <c r="W171" s="307" t="n"/>
      <c r="X171" s="307" t="n"/>
      <c r="Y171" s="307" t="n"/>
      <c r="Z171" s="307" t="n"/>
      <c r="AA171" s="307" t="n"/>
      <c r="AB171" s="307" t="n"/>
      <c r="AC171" s="307" t="n"/>
      <c r="AD171" s="307" t="n"/>
      <c r="AE171" s="307" t="n"/>
      <c r="AF171" s="307" t="n"/>
      <c r="AG171" s="307" t="n"/>
      <c r="AH171" s="307" t="n"/>
      <c r="AI171" s="307" t="n"/>
      <c r="AJ171" s="307" t="n"/>
      <c r="AK171" s="307" t="n"/>
      <c r="AL171" s="307" t="n"/>
      <c r="AM171" s="307" t="n"/>
      <c r="AN171" s="307" t="n"/>
      <c r="AO171" s="307" t="n"/>
      <c r="AP171" s="307" t="n"/>
      <c r="AQ171" s="307" t="n"/>
      <c r="AR171" s="307" t="n"/>
    </row>
    <row r="172" ht="15.75" customHeight="1" s="349">
      <c r="A172" s="307" t="n"/>
      <c r="B172" s="307" t="n"/>
      <c r="C172" s="307" t="n"/>
      <c r="D172" s="307" t="n"/>
      <c r="E172" s="307" t="n"/>
      <c r="F172" s="307" t="n"/>
      <c r="G172" s="307" t="n"/>
      <c r="H172" s="307" t="n"/>
      <c r="I172" s="307" t="n"/>
      <c r="J172" s="307" t="n"/>
      <c r="K172" s="307" t="n"/>
      <c r="L172" s="307" t="n"/>
      <c r="M172" s="307" t="n"/>
      <c r="N172" s="307" t="n"/>
      <c r="O172" s="307" t="n"/>
      <c r="P172" s="307" t="n"/>
      <c r="Q172" s="307" t="n"/>
      <c r="R172" s="307" t="n"/>
      <c r="S172" s="307" t="n"/>
      <c r="T172" s="307" t="n"/>
      <c r="U172" s="307" t="n"/>
      <c r="V172" s="307" t="n"/>
      <c r="W172" s="307" t="n"/>
      <c r="X172" s="307" t="n"/>
      <c r="Y172" s="307" t="n"/>
      <c r="Z172" s="307" t="n"/>
      <c r="AA172" s="307" t="n"/>
      <c r="AB172" s="307" t="n"/>
      <c r="AC172" s="307" t="n"/>
      <c r="AD172" s="307" t="n"/>
      <c r="AE172" s="307" t="n"/>
      <c r="AF172" s="307" t="n"/>
      <c r="AG172" s="307" t="n"/>
      <c r="AH172" s="307" t="n"/>
      <c r="AI172" s="307" t="n"/>
      <c r="AJ172" s="307" t="n"/>
      <c r="AK172" s="307" t="n"/>
      <c r="AL172" s="307" t="n"/>
      <c r="AM172" s="307" t="n"/>
      <c r="AN172" s="307" t="n"/>
      <c r="AO172" s="307" t="n"/>
      <c r="AP172" s="307" t="n"/>
      <c r="AQ172" s="307" t="n"/>
      <c r="AR172" s="307" t="n"/>
    </row>
    <row r="173" ht="15.75" customHeight="1" s="349">
      <c r="A173" s="307" t="n"/>
      <c r="B173" s="307" t="n"/>
      <c r="C173" s="307" t="n"/>
      <c r="D173" s="307" t="n"/>
      <c r="E173" s="307" t="n"/>
      <c r="F173" s="307" t="n"/>
      <c r="G173" s="307" t="n"/>
      <c r="H173" s="307" t="n"/>
      <c r="I173" s="307" t="n"/>
      <c r="J173" s="307" t="n"/>
      <c r="K173" s="307" t="n"/>
      <c r="L173" s="307" t="n"/>
      <c r="M173" s="307" t="n"/>
      <c r="N173" s="307" t="n"/>
      <c r="O173" s="307" t="n"/>
      <c r="P173" s="307" t="n"/>
      <c r="Q173" s="307" t="n"/>
      <c r="R173" s="307" t="n"/>
      <c r="S173" s="307" t="n"/>
      <c r="T173" s="307" t="n"/>
      <c r="U173" s="307" t="n"/>
      <c r="V173" s="307" t="n"/>
      <c r="W173" s="307" t="n"/>
      <c r="X173" s="307" t="n"/>
      <c r="Y173" s="307" t="n"/>
      <c r="Z173" s="307" t="n"/>
      <c r="AA173" s="307" t="n"/>
      <c r="AB173" s="307" t="n"/>
      <c r="AC173" s="307" t="n"/>
      <c r="AD173" s="307" t="n"/>
      <c r="AE173" s="307" t="n"/>
      <c r="AF173" s="307" t="n"/>
      <c r="AG173" s="307" t="n"/>
      <c r="AH173" s="307" t="n"/>
      <c r="AI173" s="307" t="n"/>
      <c r="AJ173" s="307" t="n"/>
      <c r="AK173" s="307" t="n"/>
      <c r="AL173" s="307" t="n"/>
      <c r="AM173" s="307" t="n"/>
      <c r="AN173" s="307" t="n"/>
      <c r="AO173" s="307" t="n"/>
      <c r="AP173" s="307" t="n"/>
      <c r="AQ173" s="307" t="n"/>
      <c r="AR173" s="307" t="n"/>
    </row>
    <row r="174" ht="15.75" customHeight="1" s="349">
      <c r="A174" s="307" t="n"/>
      <c r="B174" s="307" t="n"/>
      <c r="C174" s="307" t="n"/>
      <c r="D174" s="307" t="n"/>
      <c r="E174" s="307" t="n"/>
      <c r="F174" s="307" t="n"/>
      <c r="G174" s="307" t="n"/>
      <c r="H174" s="307" t="n"/>
      <c r="I174" s="307" t="n"/>
      <c r="J174" s="307" t="n"/>
      <c r="K174" s="307" t="n"/>
      <c r="L174" s="307" t="n"/>
      <c r="M174" s="307" t="n"/>
      <c r="N174" s="307" t="n"/>
      <c r="O174" s="307" t="n"/>
      <c r="P174" s="307" t="n"/>
      <c r="Q174" s="307" t="n"/>
      <c r="R174" s="307" t="n"/>
      <c r="S174" s="307" t="n"/>
      <c r="T174" s="307" t="n"/>
      <c r="U174" s="307" t="n"/>
      <c r="V174" s="307" t="n"/>
      <c r="W174" s="307" t="n"/>
      <c r="X174" s="307" t="n"/>
      <c r="Y174" s="307" t="n"/>
      <c r="Z174" s="307" t="n"/>
      <c r="AA174" s="307" t="n"/>
      <c r="AB174" s="307" t="n"/>
      <c r="AC174" s="307" t="n"/>
      <c r="AD174" s="307" t="n"/>
      <c r="AE174" s="307" t="n"/>
      <c r="AF174" s="307" t="n"/>
      <c r="AG174" s="307" t="n"/>
      <c r="AH174" s="307" t="n"/>
      <c r="AI174" s="307" t="n"/>
      <c r="AJ174" s="307" t="n"/>
      <c r="AK174" s="307" t="n"/>
      <c r="AL174" s="307" t="n"/>
      <c r="AM174" s="307" t="n"/>
      <c r="AN174" s="307" t="n"/>
      <c r="AO174" s="307" t="n"/>
      <c r="AP174" s="307" t="n"/>
      <c r="AQ174" s="307" t="n"/>
      <c r="AR174" s="307" t="n"/>
    </row>
    <row r="175" ht="15.75" customHeight="1" s="349">
      <c r="A175" s="307" t="n"/>
      <c r="B175" s="307" t="n"/>
      <c r="C175" s="307" t="n"/>
      <c r="D175" s="307" t="n"/>
      <c r="E175" s="307" t="n"/>
      <c r="F175" s="307" t="n"/>
      <c r="G175" s="307" t="n"/>
      <c r="H175" s="307" t="n"/>
      <c r="I175" s="307" t="n"/>
      <c r="J175" s="307" t="n"/>
      <c r="K175" s="307" t="n"/>
      <c r="L175" s="307" t="n"/>
      <c r="M175" s="307" t="n"/>
      <c r="N175" s="307" t="n"/>
      <c r="O175" s="307" t="n"/>
      <c r="P175" s="307" t="n"/>
      <c r="Q175" s="307" t="n"/>
      <c r="R175" s="307" t="n"/>
      <c r="S175" s="307" t="n"/>
      <c r="T175" s="307" t="n"/>
      <c r="U175" s="307" t="n"/>
      <c r="V175" s="307" t="n"/>
      <c r="W175" s="307" t="n"/>
      <c r="X175" s="307" t="n"/>
      <c r="Y175" s="307" t="n"/>
      <c r="Z175" s="307" t="n"/>
      <c r="AA175" s="307" t="n"/>
      <c r="AB175" s="307" t="n"/>
      <c r="AC175" s="307" t="n"/>
      <c r="AD175" s="307" t="n"/>
      <c r="AE175" s="307" t="n"/>
      <c r="AF175" s="307" t="n"/>
      <c r="AG175" s="307" t="n"/>
      <c r="AH175" s="307" t="n"/>
      <c r="AI175" s="307" t="n"/>
      <c r="AJ175" s="307" t="n"/>
      <c r="AK175" s="307" t="n"/>
      <c r="AL175" s="307" t="n"/>
      <c r="AM175" s="307" t="n"/>
      <c r="AN175" s="307" t="n"/>
      <c r="AO175" s="307" t="n"/>
      <c r="AP175" s="307" t="n"/>
      <c r="AQ175" s="307" t="n"/>
      <c r="AR175" s="307" t="n"/>
    </row>
    <row r="176" ht="15.75" customHeight="1" s="349">
      <c r="A176" s="307" t="n"/>
      <c r="B176" s="307" t="n"/>
      <c r="C176" s="307" t="n"/>
      <c r="D176" s="307" t="n"/>
      <c r="E176" s="307" t="n"/>
      <c r="F176" s="307" t="n"/>
      <c r="G176" s="307" t="n"/>
      <c r="H176" s="307" t="n"/>
      <c r="I176" s="307" t="n"/>
      <c r="J176" s="307" t="n"/>
      <c r="K176" s="307" t="n"/>
      <c r="L176" s="307" t="n"/>
      <c r="M176" s="307" t="n"/>
      <c r="N176" s="307" t="n"/>
      <c r="O176" s="307" t="n"/>
      <c r="P176" s="307" t="n"/>
      <c r="Q176" s="307" t="n"/>
      <c r="R176" s="307" t="n"/>
      <c r="S176" s="307" t="n"/>
      <c r="T176" s="307" t="n"/>
      <c r="U176" s="307" t="n"/>
      <c r="V176" s="307" t="n"/>
      <c r="W176" s="307" t="n"/>
      <c r="X176" s="307" t="n"/>
      <c r="Y176" s="307" t="n"/>
      <c r="Z176" s="307" t="n"/>
      <c r="AA176" s="307" t="n"/>
      <c r="AB176" s="307" t="n"/>
      <c r="AC176" s="307" t="n"/>
      <c r="AD176" s="307" t="n"/>
      <c r="AE176" s="307" t="n"/>
      <c r="AF176" s="307" t="n"/>
      <c r="AG176" s="307" t="n"/>
      <c r="AH176" s="307" t="n"/>
      <c r="AI176" s="307" t="n"/>
      <c r="AJ176" s="307" t="n"/>
      <c r="AK176" s="307" t="n"/>
      <c r="AL176" s="307" t="n"/>
      <c r="AM176" s="307" t="n"/>
      <c r="AN176" s="307" t="n"/>
      <c r="AO176" s="307" t="n"/>
      <c r="AP176" s="307" t="n"/>
      <c r="AQ176" s="307" t="n"/>
      <c r="AR176" s="307" t="n"/>
    </row>
    <row r="177" ht="15.75" customHeight="1" s="349">
      <c r="A177" s="307" t="n"/>
      <c r="B177" s="307" t="n"/>
      <c r="C177" s="307" t="n"/>
      <c r="D177" s="307" t="n"/>
      <c r="E177" s="307" t="n"/>
      <c r="F177" s="307" t="n"/>
      <c r="G177" s="307" t="n"/>
      <c r="H177" s="307" t="n"/>
      <c r="I177" s="307" t="n"/>
      <c r="J177" s="307" t="n"/>
      <c r="K177" s="307" t="n"/>
      <c r="L177" s="307" t="n"/>
      <c r="M177" s="307" t="n"/>
      <c r="N177" s="307" t="n"/>
      <c r="O177" s="307" t="n"/>
      <c r="P177" s="307" t="n"/>
      <c r="Q177" s="307" t="n"/>
      <c r="R177" s="307" t="n"/>
      <c r="S177" s="307" t="n"/>
      <c r="T177" s="307" t="n"/>
      <c r="U177" s="307" t="n"/>
      <c r="V177" s="307" t="n"/>
      <c r="W177" s="307" t="n"/>
      <c r="X177" s="307" t="n"/>
      <c r="Y177" s="307" t="n"/>
      <c r="Z177" s="307" t="n"/>
      <c r="AA177" s="307" t="n"/>
      <c r="AB177" s="307" t="n"/>
      <c r="AC177" s="307" t="n"/>
      <c r="AD177" s="307" t="n"/>
      <c r="AE177" s="307" t="n"/>
      <c r="AF177" s="307" t="n"/>
      <c r="AG177" s="307" t="n"/>
      <c r="AH177" s="307" t="n"/>
      <c r="AI177" s="307" t="n"/>
      <c r="AJ177" s="307" t="n"/>
      <c r="AK177" s="307" t="n"/>
      <c r="AL177" s="307" t="n"/>
      <c r="AM177" s="307" t="n"/>
      <c r="AN177" s="307" t="n"/>
      <c r="AO177" s="307" t="n"/>
      <c r="AP177" s="307" t="n"/>
      <c r="AQ177" s="307" t="n"/>
      <c r="AR177" s="307" t="n"/>
    </row>
    <row r="178" ht="15.75" customHeight="1" s="349">
      <c r="A178" s="307" t="n"/>
      <c r="B178" s="307" t="n"/>
      <c r="C178" s="307" t="n"/>
      <c r="D178" s="307" t="n"/>
      <c r="E178" s="307" t="n"/>
      <c r="F178" s="307" t="n"/>
      <c r="G178" s="307" t="n"/>
      <c r="H178" s="307" t="n"/>
      <c r="I178" s="307" t="n"/>
      <c r="J178" s="307" t="n"/>
      <c r="K178" s="307" t="n"/>
      <c r="L178" s="307" t="n"/>
      <c r="M178" s="307" t="n"/>
      <c r="N178" s="307" t="n"/>
      <c r="O178" s="307" t="n"/>
      <c r="P178" s="307" t="n"/>
      <c r="Q178" s="307" t="n"/>
      <c r="R178" s="307" t="n"/>
      <c r="S178" s="307" t="n"/>
      <c r="T178" s="307" t="n"/>
      <c r="U178" s="307" t="n"/>
      <c r="V178" s="307" t="n"/>
      <c r="W178" s="307" t="n"/>
      <c r="X178" s="307" t="n"/>
      <c r="Y178" s="307" t="n"/>
      <c r="Z178" s="307" t="n"/>
      <c r="AA178" s="307" t="n"/>
      <c r="AB178" s="307" t="n"/>
      <c r="AC178" s="307" t="n"/>
      <c r="AD178" s="307" t="n"/>
      <c r="AE178" s="307" t="n"/>
      <c r="AF178" s="307" t="n"/>
      <c r="AG178" s="307" t="n"/>
      <c r="AH178" s="307" t="n"/>
      <c r="AI178" s="307" t="n"/>
      <c r="AJ178" s="307" t="n"/>
      <c r="AK178" s="307" t="n"/>
      <c r="AL178" s="307" t="n"/>
      <c r="AM178" s="307" t="n"/>
      <c r="AN178" s="307" t="n"/>
      <c r="AO178" s="307" t="n"/>
      <c r="AP178" s="307" t="n"/>
      <c r="AQ178" s="307" t="n"/>
      <c r="AR178" s="307" t="n"/>
    </row>
    <row r="179" ht="15.75" customHeight="1" s="349">
      <c r="A179" s="307" t="n"/>
      <c r="B179" s="307" t="n"/>
      <c r="C179" s="307" t="n"/>
      <c r="D179" s="307" t="n"/>
      <c r="E179" s="307" t="n"/>
      <c r="F179" s="307" t="n"/>
      <c r="G179" s="307" t="n"/>
      <c r="H179" s="307" t="n"/>
      <c r="I179" s="307" t="n"/>
      <c r="J179" s="307" t="n"/>
      <c r="K179" s="307" t="n"/>
      <c r="L179" s="307" t="n"/>
      <c r="M179" s="307" t="n"/>
      <c r="N179" s="307" t="n"/>
      <c r="O179" s="307" t="n"/>
      <c r="P179" s="307" t="n"/>
      <c r="Q179" s="307" t="n"/>
      <c r="R179" s="307" t="n"/>
      <c r="S179" s="307" t="n"/>
      <c r="T179" s="307" t="n"/>
      <c r="U179" s="307" t="n"/>
      <c r="V179" s="307" t="n"/>
      <c r="W179" s="307" t="n"/>
      <c r="X179" s="307" t="n"/>
      <c r="Y179" s="307" t="n"/>
      <c r="Z179" s="307" t="n"/>
      <c r="AA179" s="307" t="n"/>
      <c r="AB179" s="307" t="n"/>
      <c r="AC179" s="307" t="n"/>
      <c r="AD179" s="307" t="n"/>
      <c r="AE179" s="307" t="n"/>
      <c r="AF179" s="307" t="n"/>
      <c r="AG179" s="307" t="n"/>
      <c r="AH179" s="307" t="n"/>
      <c r="AI179" s="307" t="n"/>
      <c r="AJ179" s="307" t="n"/>
      <c r="AK179" s="307" t="n"/>
      <c r="AL179" s="307" t="n"/>
      <c r="AM179" s="307" t="n"/>
      <c r="AN179" s="307" t="n"/>
      <c r="AO179" s="307" t="n"/>
      <c r="AP179" s="307" t="n"/>
      <c r="AQ179" s="307" t="n"/>
      <c r="AR179" s="307" t="n"/>
    </row>
    <row r="180" ht="15.75" customHeight="1" s="349">
      <c r="A180" s="307" t="n"/>
      <c r="B180" s="307" t="n"/>
      <c r="C180" s="307" t="n"/>
      <c r="D180" s="307" t="n"/>
      <c r="E180" s="307" t="n"/>
      <c r="F180" s="307" t="n"/>
      <c r="G180" s="307" t="n"/>
      <c r="H180" s="307" t="n"/>
      <c r="I180" s="307" t="n"/>
      <c r="J180" s="307" t="n"/>
      <c r="K180" s="307" t="n"/>
      <c r="L180" s="307" t="n"/>
      <c r="M180" s="307" t="n"/>
      <c r="N180" s="307" t="n"/>
      <c r="O180" s="307" t="n"/>
      <c r="P180" s="307" t="n"/>
      <c r="Q180" s="307" t="n"/>
      <c r="R180" s="307" t="n"/>
      <c r="S180" s="307" t="n"/>
      <c r="T180" s="307" t="n"/>
      <c r="U180" s="307" t="n"/>
      <c r="V180" s="307" t="n"/>
      <c r="W180" s="307" t="n"/>
      <c r="X180" s="307" t="n"/>
      <c r="Y180" s="307" t="n"/>
      <c r="Z180" s="307" t="n"/>
      <c r="AA180" s="307" t="n"/>
      <c r="AB180" s="307" t="n"/>
      <c r="AC180" s="307" t="n"/>
      <c r="AD180" s="307" t="n"/>
      <c r="AE180" s="307" t="n"/>
      <c r="AF180" s="307" t="n"/>
      <c r="AG180" s="307" t="n"/>
      <c r="AH180" s="307" t="n"/>
      <c r="AI180" s="307" t="n"/>
      <c r="AJ180" s="307" t="n"/>
      <c r="AK180" s="307" t="n"/>
      <c r="AL180" s="307" t="n"/>
      <c r="AM180" s="307" t="n"/>
      <c r="AN180" s="307" t="n"/>
      <c r="AO180" s="307" t="n"/>
      <c r="AP180" s="307" t="n"/>
      <c r="AQ180" s="307" t="n"/>
      <c r="AR180" s="307" t="n"/>
    </row>
    <row r="181" ht="15.75" customHeight="1" s="349">
      <c r="A181" s="307" t="n"/>
      <c r="B181" s="307" t="n"/>
      <c r="C181" s="307" t="n"/>
      <c r="D181" s="307" t="n"/>
      <c r="E181" s="307" t="n"/>
      <c r="F181" s="307" t="n"/>
      <c r="G181" s="307" t="n"/>
      <c r="H181" s="307" t="n"/>
      <c r="I181" s="307" t="n"/>
      <c r="J181" s="307" t="n"/>
      <c r="K181" s="307" t="n"/>
      <c r="L181" s="307" t="n"/>
      <c r="M181" s="307" t="n"/>
      <c r="N181" s="307" t="n"/>
      <c r="O181" s="307" t="n"/>
      <c r="P181" s="307" t="n"/>
      <c r="Q181" s="307" t="n"/>
      <c r="R181" s="307" t="n"/>
      <c r="S181" s="307" t="n"/>
      <c r="T181" s="307" t="n"/>
      <c r="U181" s="307" t="n"/>
      <c r="V181" s="307" t="n"/>
      <c r="W181" s="307" t="n"/>
      <c r="X181" s="307" t="n"/>
      <c r="Y181" s="307" t="n"/>
      <c r="Z181" s="307" t="n"/>
      <c r="AA181" s="307" t="n"/>
      <c r="AB181" s="307" t="n"/>
      <c r="AC181" s="307" t="n"/>
      <c r="AD181" s="307" t="n"/>
      <c r="AE181" s="307" t="n"/>
      <c r="AF181" s="307" t="n"/>
      <c r="AG181" s="307" t="n"/>
      <c r="AH181" s="307" t="n"/>
      <c r="AI181" s="307" t="n"/>
      <c r="AJ181" s="307" t="n"/>
      <c r="AK181" s="307" t="n"/>
      <c r="AL181" s="307" t="n"/>
      <c r="AM181" s="307" t="n"/>
      <c r="AN181" s="307" t="n"/>
      <c r="AO181" s="307" t="n"/>
      <c r="AP181" s="307" t="n"/>
      <c r="AQ181" s="307" t="n"/>
      <c r="AR181" s="307" t="n"/>
    </row>
    <row r="182" ht="15.75" customHeight="1" s="349">
      <c r="A182" s="307" t="n"/>
      <c r="B182" s="307" t="n"/>
      <c r="C182" s="307" t="n"/>
      <c r="D182" s="307" t="n"/>
      <c r="E182" s="307" t="n"/>
      <c r="F182" s="307" t="n"/>
      <c r="G182" s="307" t="n"/>
      <c r="H182" s="307" t="n"/>
      <c r="I182" s="307" t="n"/>
      <c r="J182" s="307" t="n"/>
      <c r="K182" s="307" t="n"/>
      <c r="L182" s="307" t="n"/>
      <c r="M182" s="307" t="n"/>
      <c r="N182" s="307" t="n"/>
      <c r="O182" s="307" t="n"/>
      <c r="P182" s="307" t="n"/>
      <c r="Q182" s="307" t="n"/>
      <c r="R182" s="307" t="n"/>
      <c r="S182" s="307" t="n"/>
      <c r="T182" s="307" t="n"/>
      <c r="U182" s="307" t="n"/>
      <c r="V182" s="307" t="n"/>
      <c r="W182" s="307" t="n"/>
      <c r="X182" s="307" t="n"/>
      <c r="Y182" s="307" t="n"/>
      <c r="Z182" s="307" t="n"/>
      <c r="AA182" s="307" t="n"/>
      <c r="AB182" s="307" t="n"/>
      <c r="AC182" s="307" t="n"/>
      <c r="AD182" s="307" t="n"/>
      <c r="AE182" s="307" t="n"/>
      <c r="AF182" s="307" t="n"/>
      <c r="AG182" s="307" t="n"/>
      <c r="AH182" s="307" t="n"/>
      <c r="AI182" s="307" t="n"/>
      <c r="AJ182" s="307" t="n"/>
      <c r="AK182" s="307" t="n"/>
      <c r="AL182" s="307" t="n"/>
      <c r="AM182" s="307" t="n"/>
      <c r="AN182" s="307" t="n"/>
      <c r="AO182" s="307" t="n"/>
      <c r="AP182" s="307" t="n"/>
      <c r="AQ182" s="307" t="n"/>
      <c r="AR182" s="307" t="n"/>
    </row>
    <row r="183" ht="15.75" customHeight="1" s="349">
      <c r="A183" s="307" t="n"/>
      <c r="B183" s="307" t="n"/>
      <c r="C183" s="307" t="n"/>
      <c r="D183" s="307" t="n"/>
      <c r="E183" s="307" t="n"/>
      <c r="F183" s="307" t="n"/>
      <c r="G183" s="307" t="n"/>
      <c r="H183" s="307" t="n"/>
      <c r="I183" s="307" t="n"/>
      <c r="J183" s="307" t="n"/>
      <c r="K183" s="307" t="n"/>
      <c r="L183" s="307" t="n"/>
      <c r="M183" s="307" t="n"/>
      <c r="N183" s="307" t="n"/>
      <c r="O183" s="307" t="n"/>
      <c r="P183" s="307" t="n"/>
      <c r="Q183" s="307" t="n"/>
      <c r="R183" s="307" t="n"/>
      <c r="S183" s="307" t="n"/>
      <c r="T183" s="307" t="n"/>
      <c r="U183" s="307" t="n"/>
      <c r="V183" s="307" t="n"/>
      <c r="W183" s="307" t="n"/>
      <c r="X183" s="307" t="n"/>
      <c r="Y183" s="307" t="n"/>
      <c r="Z183" s="307" t="n"/>
      <c r="AA183" s="307" t="n"/>
      <c r="AB183" s="307" t="n"/>
      <c r="AC183" s="307" t="n"/>
      <c r="AD183" s="307" t="n"/>
      <c r="AE183" s="307" t="n"/>
      <c r="AF183" s="307" t="n"/>
      <c r="AG183" s="307" t="n"/>
      <c r="AH183" s="307" t="n"/>
      <c r="AI183" s="307" t="n"/>
      <c r="AJ183" s="307" t="n"/>
      <c r="AK183" s="307" t="n"/>
      <c r="AL183" s="307" t="n"/>
      <c r="AM183" s="307" t="n"/>
      <c r="AN183" s="307" t="n"/>
      <c r="AO183" s="307" t="n"/>
      <c r="AP183" s="307" t="n"/>
      <c r="AQ183" s="307" t="n"/>
      <c r="AR183" s="307" t="n"/>
    </row>
    <row r="184" ht="15.75" customHeight="1" s="349">
      <c r="A184" s="307" t="n"/>
      <c r="B184" s="307" t="n"/>
      <c r="C184" s="307" t="n"/>
      <c r="D184" s="307" t="n"/>
      <c r="E184" s="307" t="n"/>
      <c r="F184" s="307" t="n"/>
      <c r="G184" s="307" t="n"/>
      <c r="H184" s="307" t="n"/>
      <c r="I184" s="307" t="n"/>
      <c r="J184" s="307" t="n"/>
      <c r="K184" s="307" t="n"/>
      <c r="L184" s="307" t="n"/>
      <c r="M184" s="307" t="n"/>
      <c r="N184" s="307" t="n"/>
      <c r="O184" s="307" t="n"/>
      <c r="P184" s="307" t="n"/>
      <c r="Q184" s="307" t="n"/>
      <c r="R184" s="307" t="n"/>
      <c r="S184" s="307" t="n"/>
      <c r="T184" s="307" t="n"/>
      <c r="U184" s="307" t="n"/>
      <c r="V184" s="307" t="n"/>
      <c r="W184" s="307" t="n"/>
      <c r="X184" s="307" t="n"/>
      <c r="Y184" s="307" t="n"/>
      <c r="Z184" s="307" t="n"/>
      <c r="AA184" s="307" t="n"/>
      <c r="AB184" s="307" t="n"/>
      <c r="AC184" s="307" t="n"/>
      <c r="AD184" s="307" t="n"/>
      <c r="AE184" s="307" t="n"/>
      <c r="AF184" s="307" t="n"/>
      <c r="AG184" s="307" t="n"/>
      <c r="AH184" s="307" t="n"/>
      <c r="AI184" s="307" t="n"/>
      <c r="AJ184" s="307" t="n"/>
      <c r="AK184" s="307" t="n"/>
      <c r="AL184" s="307" t="n"/>
      <c r="AM184" s="307" t="n"/>
      <c r="AN184" s="307" t="n"/>
      <c r="AO184" s="307" t="n"/>
      <c r="AP184" s="307" t="n"/>
      <c r="AQ184" s="307" t="n"/>
      <c r="AR184" s="307" t="n"/>
    </row>
    <row r="185" ht="15.75" customHeight="1" s="349">
      <c r="A185" s="307" t="n"/>
      <c r="B185" s="307" t="n"/>
      <c r="C185" s="307" t="n"/>
      <c r="D185" s="307" t="n"/>
      <c r="E185" s="307" t="n"/>
      <c r="F185" s="307" t="n"/>
      <c r="G185" s="307" t="n"/>
      <c r="H185" s="307" t="n"/>
      <c r="I185" s="307" t="n"/>
      <c r="J185" s="307" t="n"/>
      <c r="K185" s="307" t="n"/>
      <c r="L185" s="307" t="n"/>
      <c r="M185" s="307" t="n"/>
      <c r="N185" s="307" t="n"/>
      <c r="O185" s="307" t="n"/>
      <c r="P185" s="307" t="n"/>
      <c r="Q185" s="307" t="n"/>
      <c r="R185" s="307" t="n"/>
      <c r="S185" s="307" t="n"/>
      <c r="T185" s="307" t="n"/>
      <c r="U185" s="307" t="n"/>
      <c r="V185" s="307" t="n"/>
      <c r="W185" s="307" t="n"/>
      <c r="X185" s="307" t="n"/>
      <c r="Y185" s="307" t="n"/>
      <c r="Z185" s="307" t="n"/>
      <c r="AA185" s="307" t="n"/>
      <c r="AB185" s="307" t="n"/>
      <c r="AC185" s="307" t="n"/>
      <c r="AD185" s="307" t="n"/>
      <c r="AE185" s="307" t="n"/>
      <c r="AF185" s="307" t="n"/>
      <c r="AG185" s="307" t="n"/>
      <c r="AH185" s="307" t="n"/>
      <c r="AI185" s="307" t="n"/>
      <c r="AJ185" s="307" t="n"/>
      <c r="AK185" s="307" t="n"/>
      <c r="AL185" s="307" t="n"/>
      <c r="AM185" s="307" t="n"/>
      <c r="AN185" s="307" t="n"/>
      <c r="AO185" s="307" t="n"/>
      <c r="AP185" s="307" t="n"/>
      <c r="AQ185" s="307" t="n"/>
      <c r="AR185" s="307" t="n"/>
    </row>
    <row r="186" ht="15.75" customHeight="1" s="349">
      <c r="A186" s="307" t="n"/>
      <c r="B186" s="307" t="n"/>
      <c r="C186" s="307" t="n"/>
      <c r="D186" s="307" t="n"/>
      <c r="E186" s="307" t="n"/>
      <c r="F186" s="307" t="n"/>
      <c r="G186" s="307" t="n"/>
      <c r="H186" s="307" t="n"/>
      <c r="I186" s="307" t="n"/>
      <c r="J186" s="307" t="n"/>
      <c r="K186" s="307" t="n"/>
      <c r="L186" s="307" t="n"/>
      <c r="M186" s="307" t="n"/>
      <c r="N186" s="307" t="n"/>
      <c r="O186" s="307" t="n"/>
      <c r="P186" s="307" t="n"/>
      <c r="Q186" s="307" t="n"/>
      <c r="R186" s="307" t="n"/>
      <c r="S186" s="307" t="n"/>
      <c r="T186" s="307" t="n"/>
      <c r="U186" s="307" t="n"/>
      <c r="V186" s="307" t="n"/>
      <c r="W186" s="307" t="n"/>
      <c r="X186" s="307" t="n"/>
      <c r="Y186" s="307" t="n"/>
      <c r="Z186" s="307" t="n"/>
      <c r="AA186" s="307" t="n"/>
      <c r="AB186" s="307" t="n"/>
      <c r="AC186" s="307" t="n"/>
      <c r="AD186" s="307" t="n"/>
      <c r="AE186" s="307" t="n"/>
      <c r="AF186" s="307" t="n"/>
      <c r="AG186" s="307" t="n"/>
      <c r="AH186" s="307" t="n"/>
      <c r="AI186" s="307" t="n"/>
      <c r="AJ186" s="307" t="n"/>
      <c r="AK186" s="307" t="n"/>
      <c r="AL186" s="307" t="n"/>
      <c r="AM186" s="307" t="n"/>
      <c r="AN186" s="307" t="n"/>
      <c r="AO186" s="307" t="n"/>
      <c r="AP186" s="307" t="n"/>
      <c r="AQ186" s="307" t="n"/>
      <c r="AR186" s="307" t="n"/>
    </row>
    <row r="187" ht="15.75" customHeight="1" s="349">
      <c r="A187" s="307" t="n"/>
      <c r="B187" s="307" t="n"/>
      <c r="C187" s="307" t="n"/>
      <c r="D187" s="307" t="n"/>
      <c r="E187" s="307" t="n"/>
      <c r="F187" s="307" t="n"/>
      <c r="G187" s="307" t="n"/>
      <c r="H187" s="307" t="n"/>
      <c r="I187" s="307" t="n"/>
      <c r="J187" s="307" t="n"/>
      <c r="K187" s="307" t="n"/>
      <c r="L187" s="307" t="n"/>
      <c r="M187" s="307" t="n"/>
      <c r="N187" s="307" t="n"/>
      <c r="O187" s="307" t="n"/>
      <c r="P187" s="307" t="n"/>
      <c r="Q187" s="307" t="n"/>
      <c r="R187" s="307" t="n"/>
      <c r="S187" s="307" t="n"/>
      <c r="T187" s="307" t="n"/>
      <c r="U187" s="307" t="n"/>
      <c r="V187" s="307" t="n"/>
      <c r="W187" s="307" t="n"/>
      <c r="X187" s="307" t="n"/>
      <c r="Y187" s="307" t="n"/>
      <c r="Z187" s="307" t="n"/>
      <c r="AA187" s="307" t="n"/>
      <c r="AB187" s="307" t="n"/>
      <c r="AC187" s="307" t="n"/>
      <c r="AD187" s="307" t="n"/>
      <c r="AE187" s="307" t="n"/>
      <c r="AF187" s="307" t="n"/>
      <c r="AG187" s="307" t="n"/>
      <c r="AH187" s="307" t="n"/>
      <c r="AI187" s="307" t="n"/>
      <c r="AJ187" s="307" t="n"/>
      <c r="AK187" s="307" t="n"/>
      <c r="AL187" s="307" t="n"/>
      <c r="AM187" s="307" t="n"/>
      <c r="AN187" s="307" t="n"/>
      <c r="AO187" s="307" t="n"/>
      <c r="AP187" s="307" t="n"/>
      <c r="AQ187" s="307" t="n"/>
      <c r="AR187" s="307" t="n"/>
    </row>
    <row r="188" ht="15.75" customHeight="1" s="349">
      <c r="A188" s="307" t="n"/>
      <c r="B188" s="307" t="n"/>
      <c r="C188" s="307" t="n"/>
      <c r="D188" s="307" t="n"/>
      <c r="E188" s="307" t="n"/>
      <c r="F188" s="307" t="n"/>
      <c r="G188" s="307" t="n"/>
      <c r="H188" s="307" t="n"/>
      <c r="I188" s="307" t="n"/>
      <c r="J188" s="307" t="n"/>
      <c r="K188" s="307" t="n"/>
      <c r="L188" s="307" t="n"/>
      <c r="M188" s="307" t="n"/>
      <c r="N188" s="307" t="n"/>
      <c r="O188" s="307" t="n"/>
      <c r="P188" s="307" t="n"/>
      <c r="Q188" s="307" t="n"/>
      <c r="R188" s="307" t="n"/>
      <c r="S188" s="307" t="n"/>
      <c r="T188" s="307" t="n"/>
      <c r="U188" s="307" t="n"/>
      <c r="V188" s="307" t="n"/>
      <c r="W188" s="307" t="n"/>
      <c r="X188" s="307" t="n"/>
      <c r="Y188" s="307" t="n"/>
      <c r="Z188" s="307" t="n"/>
      <c r="AA188" s="307" t="n"/>
      <c r="AB188" s="307" t="n"/>
      <c r="AC188" s="307" t="n"/>
      <c r="AD188" s="307" t="n"/>
      <c r="AE188" s="307" t="n"/>
      <c r="AF188" s="307" t="n"/>
      <c r="AG188" s="307" t="n"/>
      <c r="AH188" s="307" t="n"/>
      <c r="AI188" s="307" t="n"/>
      <c r="AJ188" s="307" t="n"/>
      <c r="AK188" s="307" t="n"/>
      <c r="AL188" s="307" t="n"/>
      <c r="AM188" s="307" t="n"/>
      <c r="AN188" s="307" t="n"/>
      <c r="AO188" s="307" t="n"/>
      <c r="AP188" s="307" t="n"/>
      <c r="AQ188" s="307" t="n"/>
      <c r="AR188" s="307" t="n"/>
    </row>
    <row r="189" ht="15.75" customHeight="1" s="349">
      <c r="A189" s="307" t="n"/>
      <c r="B189" s="307" t="n"/>
      <c r="C189" s="307" t="n"/>
      <c r="D189" s="307" t="n"/>
      <c r="E189" s="307" t="n"/>
      <c r="F189" s="307" t="n"/>
      <c r="G189" s="307" t="n"/>
      <c r="H189" s="307" t="n"/>
      <c r="I189" s="307" t="n"/>
      <c r="J189" s="307" t="n"/>
      <c r="K189" s="307" t="n"/>
      <c r="L189" s="307" t="n"/>
      <c r="M189" s="307" t="n"/>
      <c r="N189" s="307" t="n"/>
      <c r="O189" s="307" t="n"/>
      <c r="P189" s="307" t="n"/>
      <c r="Q189" s="307" t="n"/>
      <c r="R189" s="307" t="n"/>
      <c r="S189" s="307" t="n"/>
      <c r="T189" s="307" t="n"/>
      <c r="U189" s="307" t="n"/>
      <c r="V189" s="307" t="n"/>
      <c r="W189" s="307" t="n"/>
      <c r="X189" s="307" t="n"/>
      <c r="Y189" s="307" t="n"/>
      <c r="Z189" s="307" t="n"/>
      <c r="AA189" s="307" t="n"/>
      <c r="AB189" s="307" t="n"/>
      <c r="AC189" s="307" t="n"/>
      <c r="AD189" s="307" t="n"/>
      <c r="AE189" s="307" t="n"/>
      <c r="AF189" s="307" t="n"/>
      <c r="AG189" s="307" t="n"/>
      <c r="AH189" s="307" t="n"/>
      <c r="AI189" s="307" t="n"/>
      <c r="AJ189" s="307" t="n"/>
      <c r="AK189" s="307" t="n"/>
      <c r="AL189" s="307" t="n"/>
      <c r="AM189" s="307" t="n"/>
      <c r="AN189" s="307" t="n"/>
      <c r="AO189" s="307" t="n"/>
      <c r="AP189" s="307" t="n"/>
      <c r="AQ189" s="307" t="n"/>
      <c r="AR189" s="307" t="n"/>
    </row>
    <row r="190" ht="15.75" customHeight="1" s="349">
      <c r="A190" s="307" t="n"/>
      <c r="B190" s="307" t="n"/>
      <c r="C190" s="307" t="n"/>
      <c r="D190" s="307" t="n"/>
      <c r="E190" s="307" t="n"/>
      <c r="F190" s="307" t="n"/>
      <c r="G190" s="307" t="n"/>
      <c r="H190" s="307" t="n"/>
      <c r="I190" s="307" t="n"/>
      <c r="J190" s="307" t="n"/>
      <c r="K190" s="307" t="n"/>
      <c r="L190" s="307" t="n"/>
      <c r="M190" s="307" t="n"/>
      <c r="N190" s="307" t="n"/>
      <c r="O190" s="307" t="n"/>
      <c r="P190" s="307" t="n"/>
      <c r="Q190" s="307" t="n"/>
      <c r="R190" s="307" t="n"/>
      <c r="S190" s="307" t="n"/>
      <c r="T190" s="307" t="n"/>
      <c r="U190" s="307" t="n"/>
      <c r="V190" s="307" t="n"/>
      <c r="W190" s="307" t="n"/>
      <c r="X190" s="307" t="n"/>
      <c r="Y190" s="307" t="n"/>
      <c r="Z190" s="307" t="n"/>
      <c r="AA190" s="307" t="n"/>
      <c r="AB190" s="307" t="n"/>
      <c r="AC190" s="307" t="n"/>
      <c r="AD190" s="307" t="n"/>
      <c r="AE190" s="307" t="n"/>
      <c r="AF190" s="307" t="n"/>
      <c r="AG190" s="307" t="n"/>
      <c r="AH190" s="307" t="n"/>
      <c r="AI190" s="307" t="n"/>
      <c r="AJ190" s="307" t="n"/>
      <c r="AK190" s="307" t="n"/>
      <c r="AL190" s="307" t="n"/>
      <c r="AM190" s="307" t="n"/>
      <c r="AN190" s="307" t="n"/>
      <c r="AO190" s="307" t="n"/>
      <c r="AP190" s="307" t="n"/>
      <c r="AQ190" s="307" t="n"/>
      <c r="AR190" s="307" t="n"/>
    </row>
    <row r="191" ht="15.75" customHeight="1" s="349">
      <c r="A191" s="307" t="n"/>
      <c r="B191" s="307" t="n"/>
      <c r="C191" s="307" t="n"/>
      <c r="D191" s="307" t="n"/>
      <c r="E191" s="307" t="n"/>
      <c r="F191" s="307" t="n"/>
      <c r="G191" s="307" t="n"/>
      <c r="H191" s="307" t="n"/>
      <c r="I191" s="307" t="n"/>
      <c r="J191" s="307" t="n"/>
      <c r="K191" s="307" t="n"/>
      <c r="L191" s="307" t="n"/>
      <c r="M191" s="307" t="n"/>
      <c r="N191" s="307" t="n"/>
      <c r="O191" s="307" t="n"/>
      <c r="P191" s="307" t="n"/>
      <c r="Q191" s="307" t="n"/>
      <c r="R191" s="307" t="n"/>
      <c r="S191" s="307" t="n"/>
      <c r="T191" s="307" t="n"/>
      <c r="U191" s="307" t="n"/>
      <c r="V191" s="307" t="n"/>
      <c r="W191" s="307" t="n"/>
      <c r="X191" s="307" t="n"/>
      <c r="Y191" s="307" t="n"/>
      <c r="Z191" s="307" t="n"/>
      <c r="AA191" s="307" t="n"/>
      <c r="AB191" s="307" t="n"/>
      <c r="AC191" s="307" t="n"/>
      <c r="AD191" s="307" t="n"/>
      <c r="AE191" s="307" t="n"/>
      <c r="AF191" s="307" t="n"/>
      <c r="AG191" s="307" t="n"/>
      <c r="AH191" s="307" t="n"/>
      <c r="AI191" s="307" t="n"/>
      <c r="AJ191" s="307" t="n"/>
      <c r="AK191" s="307" t="n"/>
      <c r="AL191" s="307" t="n"/>
      <c r="AM191" s="307" t="n"/>
      <c r="AN191" s="307" t="n"/>
      <c r="AO191" s="307" t="n"/>
      <c r="AP191" s="307" t="n"/>
      <c r="AQ191" s="307" t="n"/>
      <c r="AR191" s="307" t="n"/>
    </row>
    <row r="192" ht="15.75" customHeight="1" s="349">
      <c r="A192" s="307" t="n"/>
      <c r="B192" s="307" t="n"/>
      <c r="C192" s="307" t="n"/>
      <c r="D192" s="307" t="n"/>
      <c r="E192" s="307" t="n"/>
      <c r="F192" s="307" t="n"/>
      <c r="G192" s="307" t="n"/>
      <c r="H192" s="307" t="n"/>
      <c r="I192" s="307" t="n"/>
      <c r="J192" s="307" t="n"/>
      <c r="K192" s="307" t="n"/>
      <c r="L192" s="307" t="n"/>
      <c r="M192" s="307" t="n"/>
      <c r="N192" s="307" t="n"/>
      <c r="O192" s="307" t="n"/>
      <c r="P192" s="307" t="n"/>
      <c r="Q192" s="307" t="n"/>
      <c r="R192" s="307" t="n"/>
      <c r="S192" s="307" t="n"/>
      <c r="T192" s="307" t="n"/>
      <c r="U192" s="307" t="n"/>
      <c r="V192" s="307" t="n"/>
      <c r="W192" s="307" t="n"/>
      <c r="X192" s="307" t="n"/>
      <c r="Y192" s="307" t="n"/>
      <c r="Z192" s="307" t="n"/>
      <c r="AA192" s="307" t="n"/>
      <c r="AB192" s="307" t="n"/>
      <c r="AC192" s="307" t="n"/>
      <c r="AD192" s="307" t="n"/>
      <c r="AE192" s="307" t="n"/>
      <c r="AF192" s="307" t="n"/>
      <c r="AG192" s="307" t="n"/>
      <c r="AH192" s="307" t="n"/>
      <c r="AI192" s="307" t="n"/>
      <c r="AJ192" s="307" t="n"/>
      <c r="AK192" s="307" t="n"/>
      <c r="AL192" s="307" t="n"/>
      <c r="AM192" s="307" t="n"/>
      <c r="AN192" s="307" t="n"/>
      <c r="AO192" s="307" t="n"/>
      <c r="AP192" s="307" t="n"/>
      <c r="AQ192" s="307" t="n"/>
      <c r="AR192" s="307" t="n"/>
    </row>
    <row r="193" ht="15.75" customHeight="1" s="349">
      <c r="A193" s="307" t="n"/>
      <c r="B193" s="307" t="n"/>
      <c r="C193" s="307" t="n"/>
      <c r="D193" s="307" t="n"/>
      <c r="E193" s="307" t="n"/>
      <c r="F193" s="307" t="n"/>
      <c r="G193" s="307" t="n"/>
      <c r="H193" s="307" t="n"/>
      <c r="I193" s="307" t="n"/>
      <c r="J193" s="307" t="n"/>
      <c r="K193" s="307" t="n"/>
      <c r="L193" s="307" t="n"/>
      <c r="M193" s="307" t="n"/>
      <c r="N193" s="307" t="n"/>
      <c r="O193" s="307" t="n"/>
      <c r="P193" s="307" t="n"/>
      <c r="Q193" s="307" t="n"/>
      <c r="R193" s="307" t="n"/>
      <c r="S193" s="307" t="n"/>
      <c r="T193" s="307" t="n"/>
      <c r="U193" s="307" t="n"/>
      <c r="V193" s="307" t="n"/>
      <c r="W193" s="307" t="n"/>
      <c r="X193" s="307" t="n"/>
      <c r="Y193" s="307" t="n"/>
      <c r="Z193" s="307" t="n"/>
      <c r="AA193" s="307" t="n"/>
      <c r="AB193" s="307" t="n"/>
      <c r="AC193" s="307" t="n"/>
      <c r="AD193" s="307" t="n"/>
      <c r="AE193" s="307" t="n"/>
      <c r="AF193" s="307" t="n"/>
      <c r="AG193" s="307" t="n"/>
      <c r="AH193" s="307" t="n"/>
      <c r="AI193" s="307" t="n"/>
      <c r="AJ193" s="307" t="n"/>
      <c r="AK193" s="307" t="n"/>
      <c r="AL193" s="307" t="n"/>
      <c r="AM193" s="307" t="n"/>
      <c r="AN193" s="307" t="n"/>
      <c r="AO193" s="307" t="n"/>
      <c r="AP193" s="307" t="n"/>
      <c r="AQ193" s="307" t="n"/>
      <c r="AR193" s="307" t="n"/>
    </row>
    <row r="194" ht="15.75" customHeight="1" s="349">
      <c r="A194" s="307" t="n"/>
      <c r="B194" s="307" t="n"/>
      <c r="C194" s="307" t="n"/>
      <c r="D194" s="307" t="n"/>
      <c r="E194" s="307" t="n"/>
      <c r="F194" s="307" t="n"/>
      <c r="G194" s="307" t="n"/>
      <c r="H194" s="307" t="n"/>
      <c r="I194" s="307" t="n"/>
      <c r="J194" s="307" t="n"/>
      <c r="K194" s="307" t="n"/>
      <c r="L194" s="307" t="n"/>
      <c r="M194" s="307" t="n"/>
      <c r="N194" s="307" t="n"/>
      <c r="O194" s="307" t="n"/>
      <c r="P194" s="307" t="n"/>
      <c r="Q194" s="307" t="n"/>
      <c r="R194" s="307" t="n"/>
      <c r="S194" s="307" t="n"/>
      <c r="T194" s="307" t="n"/>
      <c r="U194" s="307" t="n"/>
      <c r="V194" s="307" t="n"/>
      <c r="W194" s="307" t="n"/>
      <c r="X194" s="307" t="n"/>
      <c r="Y194" s="307" t="n"/>
      <c r="Z194" s="307" t="n"/>
      <c r="AA194" s="307" t="n"/>
      <c r="AB194" s="307" t="n"/>
      <c r="AC194" s="307" t="n"/>
      <c r="AD194" s="307" t="n"/>
      <c r="AE194" s="307" t="n"/>
      <c r="AF194" s="307" t="n"/>
      <c r="AG194" s="307" t="n"/>
      <c r="AH194" s="307" t="n"/>
      <c r="AI194" s="307" t="n"/>
      <c r="AJ194" s="307" t="n"/>
      <c r="AK194" s="307" t="n"/>
      <c r="AL194" s="307" t="n"/>
      <c r="AM194" s="307" t="n"/>
      <c r="AN194" s="307" t="n"/>
      <c r="AO194" s="307" t="n"/>
      <c r="AP194" s="307" t="n"/>
      <c r="AQ194" s="307" t="n"/>
      <c r="AR194" s="307" t="n"/>
    </row>
    <row r="195" ht="15.75" customHeight="1" s="349">
      <c r="A195" s="307" t="n"/>
      <c r="B195" s="307" t="n"/>
      <c r="C195" s="307" t="n"/>
      <c r="D195" s="307" t="n"/>
      <c r="E195" s="307" t="n"/>
      <c r="F195" s="307" t="n"/>
      <c r="G195" s="307" t="n"/>
      <c r="H195" s="307" t="n"/>
      <c r="I195" s="307" t="n"/>
      <c r="J195" s="307" t="n"/>
      <c r="K195" s="307" t="n"/>
      <c r="L195" s="307" t="n"/>
      <c r="M195" s="307" t="n"/>
      <c r="N195" s="307" t="n"/>
      <c r="O195" s="307" t="n"/>
      <c r="P195" s="307" t="n"/>
      <c r="Q195" s="307" t="n"/>
      <c r="R195" s="307" t="n"/>
      <c r="S195" s="307" t="n"/>
      <c r="T195" s="307" t="n"/>
      <c r="U195" s="307" t="n"/>
      <c r="V195" s="307" t="n"/>
      <c r="W195" s="307" t="n"/>
      <c r="X195" s="307" t="n"/>
      <c r="Y195" s="307" t="n"/>
      <c r="Z195" s="307" t="n"/>
      <c r="AA195" s="307" t="n"/>
      <c r="AB195" s="307" t="n"/>
      <c r="AC195" s="307" t="n"/>
      <c r="AD195" s="307" t="n"/>
      <c r="AE195" s="307" t="n"/>
      <c r="AF195" s="307" t="n"/>
      <c r="AG195" s="307" t="n"/>
      <c r="AH195" s="307" t="n"/>
      <c r="AI195" s="307" t="n"/>
      <c r="AJ195" s="307" t="n"/>
      <c r="AK195" s="307" t="n"/>
      <c r="AL195" s="307" t="n"/>
      <c r="AM195" s="307" t="n"/>
      <c r="AN195" s="307" t="n"/>
      <c r="AO195" s="307" t="n"/>
      <c r="AP195" s="307" t="n"/>
      <c r="AQ195" s="307" t="n"/>
      <c r="AR195" s="307" t="n"/>
    </row>
    <row r="196" ht="15.75" customHeight="1" s="349">
      <c r="A196" s="307" t="n"/>
      <c r="B196" s="307" t="n"/>
      <c r="C196" s="307" t="n"/>
      <c r="D196" s="307" t="n"/>
      <c r="E196" s="307" t="n"/>
      <c r="F196" s="307" t="n"/>
      <c r="G196" s="307" t="n"/>
      <c r="H196" s="307" t="n"/>
      <c r="I196" s="307" t="n"/>
      <c r="J196" s="307" t="n"/>
      <c r="K196" s="307" t="n"/>
      <c r="L196" s="307" t="n"/>
      <c r="M196" s="307" t="n"/>
      <c r="N196" s="307" t="n"/>
      <c r="O196" s="307" t="n"/>
      <c r="P196" s="307" t="n"/>
      <c r="Q196" s="307" t="n"/>
      <c r="R196" s="307" t="n"/>
      <c r="S196" s="307" t="n"/>
      <c r="T196" s="307" t="n"/>
      <c r="U196" s="307" t="n"/>
      <c r="V196" s="307" t="n"/>
      <c r="W196" s="307" t="n"/>
      <c r="X196" s="307" t="n"/>
      <c r="Y196" s="307" t="n"/>
      <c r="Z196" s="307" t="n"/>
      <c r="AA196" s="307" t="n"/>
      <c r="AB196" s="307" t="n"/>
      <c r="AC196" s="307" t="n"/>
      <c r="AD196" s="307" t="n"/>
      <c r="AE196" s="307" t="n"/>
      <c r="AF196" s="307" t="n"/>
      <c r="AG196" s="307" t="n"/>
      <c r="AH196" s="307" t="n"/>
      <c r="AI196" s="307" t="n"/>
      <c r="AJ196" s="307" t="n"/>
      <c r="AK196" s="307" t="n"/>
      <c r="AL196" s="307" t="n"/>
      <c r="AM196" s="307" t="n"/>
      <c r="AN196" s="307" t="n"/>
      <c r="AO196" s="307" t="n"/>
      <c r="AP196" s="307" t="n"/>
      <c r="AQ196" s="307" t="n"/>
      <c r="AR196" s="307" t="n"/>
    </row>
    <row r="197" ht="15.75" customHeight="1" s="349">
      <c r="A197" s="307" t="n"/>
      <c r="B197" s="307" t="n"/>
      <c r="C197" s="307" t="n"/>
      <c r="D197" s="307" t="n"/>
      <c r="E197" s="307" t="n"/>
      <c r="F197" s="307" t="n"/>
      <c r="G197" s="307" t="n"/>
      <c r="H197" s="307" t="n"/>
      <c r="I197" s="307" t="n"/>
      <c r="J197" s="307" t="n"/>
      <c r="K197" s="307" t="n"/>
      <c r="L197" s="307" t="n"/>
      <c r="M197" s="307" t="n"/>
      <c r="N197" s="307" t="n"/>
      <c r="O197" s="307" t="n"/>
      <c r="P197" s="307" t="n"/>
      <c r="Q197" s="307" t="n"/>
      <c r="R197" s="307" t="n"/>
      <c r="S197" s="307" t="n"/>
      <c r="T197" s="307" t="n"/>
      <c r="U197" s="307" t="n"/>
      <c r="V197" s="307" t="n"/>
      <c r="W197" s="307" t="n"/>
      <c r="X197" s="307" t="n"/>
      <c r="Y197" s="307" t="n"/>
      <c r="Z197" s="307" t="n"/>
      <c r="AA197" s="307" t="n"/>
      <c r="AB197" s="307" t="n"/>
      <c r="AC197" s="307" t="n"/>
      <c r="AD197" s="307" t="n"/>
      <c r="AE197" s="307" t="n"/>
      <c r="AF197" s="307" t="n"/>
      <c r="AG197" s="307" t="n"/>
      <c r="AH197" s="307" t="n"/>
      <c r="AI197" s="307" t="n"/>
      <c r="AJ197" s="307" t="n"/>
      <c r="AK197" s="307" t="n"/>
      <c r="AL197" s="307" t="n"/>
      <c r="AM197" s="307" t="n"/>
      <c r="AN197" s="307" t="n"/>
      <c r="AO197" s="307" t="n"/>
      <c r="AP197" s="307" t="n"/>
      <c r="AQ197" s="307" t="n"/>
      <c r="AR197" s="307" t="n"/>
    </row>
    <row r="198" ht="15.75" customHeight="1" s="349">
      <c r="A198" s="307" t="n"/>
      <c r="B198" s="307" t="n"/>
      <c r="C198" s="307" t="n"/>
      <c r="D198" s="307" t="n"/>
      <c r="E198" s="307" t="n"/>
      <c r="F198" s="307" t="n"/>
      <c r="G198" s="307" t="n"/>
      <c r="H198" s="307" t="n"/>
      <c r="I198" s="307" t="n"/>
      <c r="J198" s="307" t="n"/>
      <c r="K198" s="307" t="n"/>
      <c r="L198" s="307" t="n"/>
      <c r="M198" s="307" t="n"/>
      <c r="N198" s="307" t="n"/>
      <c r="O198" s="307" t="n"/>
      <c r="P198" s="307" t="n"/>
      <c r="Q198" s="307" t="n"/>
      <c r="R198" s="307" t="n"/>
      <c r="S198" s="307" t="n"/>
      <c r="T198" s="307" t="n"/>
      <c r="U198" s="307" t="n"/>
      <c r="V198" s="307" t="n"/>
      <c r="W198" s="307" t="n"/>
      <c r="X198" s="307" t="n"/>
      <c r="Y198" s="307" t="n"/>
      <c r="Z198" s="307" t="n"/>
      <c r="AA198" s="307" t="n"/>
      <c r="AB198" s="307" t="n"/>
      <c r="AC198" s="307" t="n"/>
      <c r="AD198" s="307" t="n"/>
      <c r="AE198" s="307" t="n"/>
      <c r="AF198" s="307" t="n"/>
      <c r="AG198" s="307" t="n"/>
      <c r="AH198" s="307" t="n"/>
      <c r="AI198" s="307" t="n"/>
      <c r="AJ198" s="307" t="n"/>
      <c r="AK198" s="307" t="n"/>
      <c r="AL198" s="307" t="n"/>
      <c r="AM198" s="307" t="n"/>
      <c r="AN198" s="307" t="n"/>
      <c r="AO198" s="307" t="n"/>
      <c r="AP198" s="307" t="n"/>
      <c r="AQ198" s="307" t="n"/>
      <c r="AR198" s="307" t="n"/>
    </row>
    <row r="199" ht="15.75" customHeight="1" s="349">
      <c r="A199" s="307" t="n"/>
      <c r="B199" s="307" t="n"/>
      <c r="C199" s="307" t="n"/>
      <c r="D199" s="307" t="n"/>
      <c r="E199" s="307" t="n"/>
      <c r="F199" s="307" t="n"/>
      <c r="G199" s="307" t="n"/>
      <c r="H199" s="307" t="n"/>
      <c r="I199" s="307" t="n"/>
      <c r="J199" s="307" t="n"/>
      <c r="K199" s="307" t="n"/>
      <c r="L199" s="307" t="n"/>
      <c r="M199" s="307" t="n"/>
      <c r="N199" s="307" t="n"/>
      <c r="O199" s="307" t="n"/>
      <c r="P199" s="307" t="n"/>
      <c r="Q199" s="307" t="n"/>
      <c r="R199" s="307" t="n"/>
      <c r="S199" s="307" t="n"/>
      <c r="T199" s="307" t="n"/>
      <c r="U199" s="307" t="n"/>
      <c r="V199" s="307" t="n"/>
      <c r="W199" s="307" t="n"/>
      <c r="X199" s="307" t="n"/>
      <c r="Y199" s="307" t="n"/>
      <c r="Z199" s="307" t="n"/>
      <c r="AA199" s="307" t="n"/>
      <c r="AB199" s="307" t="n"/>
      <c r="AC199" s="307" t="n"/>
      <c r="AD199" s="307" t="n"/>
      <c r="AE199" s="307" t="n"/>
      <c r="AF199" s="307" t="n"/>
      <c r="AG199" s="307" t="n"/>
      <c r="AH199" s="307" t="n"/>
      <c r="AI199" s="307" t="n"/>
      <c r="AJ199" s="307" t="n"/>
      <c r="AK199" s="307" t="n"/>
      <c r="AL199" s="307" t="n"/>
      <c r="AM199" s="307" t="n"/>
      <c r="AN199" s="307" t="n"/>
      <c r="AO199" s="307" t="n"/>
      <c r="AP199" s="307" t="n"/>
      <c r="AQ199" s="307" t="n"/>
      <c r="AR199" s="307" t="n"/>
    </row>
    <row r="200" ht="15.75" customHeight="1" s="349">
      <c r="A200" s="307" t="n"/>
      <c r="B200" s="307" t="n"/>
      <c r="C200" s="307" t="n"/>
      <c r="D200" s="307" t="n"/>
      <c r="E200" s="307" t="n"/>
      <c r="F200" s="307" t="n"/>
      <c r="G200" s="307" t="n"/>
      <c r="H200" s="307" t="n"/>
      <c r="I200" s="307" t="n"/>
      <c r="J200" s="307" t="n"/>
      <c r="K200" s="307" t="n"/>
      <c r="L200" s="307" t="n"/>
      <c r="M200" s="307" t="n"/>
      <c r="N200" s="307" t="n"/>
      <c r="O200" s="307" t="n"/>
      <c r="P200" s="307" t="n"/>
      <c r="Q200" s="307" t="n"/>
      <c r="R200" s="307" t="n"/>
      <c r="S200" s="307" t="n"/>
      <c r="T200" s="307" t="n"/>
      <c r="U200" s="307" t="n"/>
      <c r="V200" s="307" t="n"/>
      <c r="W200" s="307" t="n"/>
      <c r="X200" s="307" t="n"/>
      <c r="Y200" s="307" t="n"/>
      <c r="Z200" s="307" t="n"/>
      <c r="AA200" s="307" t="n"/>
      <c r="AB200" s="307" t="n"/>
      <c r="AC200" s="307" t="n"/>
      <c r="AD200" s="307" t="n"/>
      <c r="AE200" s="307" t="n"/>
      <c r="AF200" s="307" t="n"/>
      <c r="AG200" s="307" t="n"/>
      <c r="AH200" s="307" t="n"/>
      <c r="AI200" s="307" t="n"/>
      <c r="AJ200" s="307" t="n"/>
      <c r="AK200" s="307" t="n"/>
      <c r="AL200" s="307" t="n"/>
      <c r="AM200" s="307" t="n"/>
      <c r="AN200" s="307" t="n"/>
      <c r="AO200" s="307" t="n"/>
      <c r="AP200" s="307" t="n"/>
      <c r="AQ200" s="307" t="n"/>
      <c r="AR200" s="307" t="n"/>
    </row>
    <row r="201" ht="15.75" customHeight="1" s="349">
      <c r="A201" s="307" t="n"/>
      <c r="B201" s="307" t="n"/>
      <c r="C201" s="307" t="n"/>
      <c r="D201" s="307" t="n"/>
      <c r="E201" s="307" t="n"/>
      <c r="F201" s="307" t="n"/>
      <c r="G201" s="307" t="n"/>
      <c r="H201" s="307" t="n"/>
      <c r="I201" s="307" t="n"/>
      <c r="J201" s="307" t="n"/>
      <c r="K201" s="307" t="n"/>
      <c r="L201" s="307" t="n"/>
      <c r="M201" s="307" t="n"/>
      <c r="N201" s="307" t="n"/>
      <c r="O201" s="307" t="n"/>
      <c r="P201" s="307" t="n"/>
      <c r="Q201" s="307" t="n"/>
      <c r="R201" s="307" t="n"/>
      <c r="S201" s="307" t="n"/>
      <c r="T201" s="307" t="n"/>
      <c r="U201" s="307" t="n"/>
      <c r="V201" s="307" t="n"/>
      <c r="W201" s="307" t="n"/>
      <c r="X201" s="307" t="n"/>
      <c r="Y201" s="307" t="n"/>
      <c r="Z201" s="307" t="n"/>
      <c r="AA201" s="307" t="n"/>
      <c r="AB201" s="307" t="n"/>
      <c r="AC201" s="307" t="n"/>
      <c r="AD201" s="307" t="n"/>
      <c r="AE201" s="307" t="n"/>
      <c r="AF201" s="307" t="n"/>
      <c r="AG201" s="307" t="n"/>
      <c r="AH201" s="307" t="n"/>
      <c r="AI201" s="307" t="n"/>
      <c r="AJ201" s="307" t="n"/>
      <c r="AK201" s="307" t="n"/>
      <c r="AL201" s="307" t="n"/>
      <c r="AM201" s="307" t="n"/>
      <c r="AN201" s="307" t="n"/>
      <c r="AO201" s="307" t="n"/>
      <c r="AP201" s="307" t="n"/>
      <c r="AQ201" s="307" t="n"/>
      <c r="AR201" s="307" t="n"/>
    </row>
    <row r="202" ht="15.75" customHeight="1" s="349">
      <c r="A202" s="307" t="n"/>
      <c r="B202" s="307" t="n"/>
      <c r="C202" s="307" t="n"/>
      <c r="D202" s="307" t="n"/>
      <c r="E202" s="307" t="n"/>
      <c r="F202" s="307" t="n"/>
      <c r="G202" s="307" t="n"/>
      <c r="H202" s="307" t="n"/>
      <c r="I202" s="307" t="n"/>
      <c r="J202" s="307" t="n"/>
      <c r="K202" s="307" t="n"/>
      <c r="L202" s="307" t="n"/>
      <c r="M202" s="307" t="n"/>
      <c r="N202" s="307" t="n"/>
      <c r="O202" s="307" t="n"/>
      <c r="P202" s="307" t="n"/>
      <c r="Q202" s="307" t="n"/>
      <c r="R202" s="307" t="n"/>
      <c r="S202" s="307" t="n"/>
      <c r="T202" s="307" t="n"/>
      <c r="U202" s="307" t="n"/>
      <c r="V202" s="307" t="n"/>
      <c r="W202" s="307" t="n"/>
      <c r="X202" s="307" t="n"/>
      <c r="Y202" s="307" t="n"/>
      <c r="Z202" s="307" t="n"/>
      <c r="AA202" s="307" t="n"/>
      <c r="AB202" s="307" t="n"/>
      <c r="AC202" s="307" t="n"/>
      <c r="AD202" s="307" t="n"/>
      <c r="AE202" s="307" t="n"/>
      <c r="AF202" s="307" t="n"/>
      <c r="AG202" s="307" t="n"/>
      <c r="AH202" s="307" t="n"/>
      <c r="AI202" s="307" t="n"/>
      <c r="AJ202" s="307" t="n"/>
      <c r="AK202" s="307" t="n"/>
      <c r="AL202" s="307" t="n"/>
      <c r="AM202" s="307" t="n"/>
      <c r="AN202" s="307" t="n"/>
      <c r="AO202" s="307" t="n"/>
      <c r="AP202" s="307" t="n"/>
      <c r="AQ202" s="307" t="n"/>
      <c r="AR202" s="307" t="n"/>
    </row>
    <row r="203" ht="15.75" customHeight="1" s="349">
      <c r="A203" s="307" t="n"/>
      <c r="B203" s="307" t="n"/>
      <c r="C203" s="307" t="n"/>
      <c r="D203" s="307" t="n"/>
      <c r="E203" s="307" t="n"/>
      <c r="F203" s="307" t="n"/>
      <c r="G203" s="307" t="n"/>
      <c r="H203" s="307" t="n"/>
      <c r="I203" s="307" t="n"/>
      <c r="J203" s="307" t="n"/>
      <c r="K203" s="307" t="n"/>
      <c r="L203" s="307" t="n"/>
      <c r="M203" s="307" t="n"/>
      <c r="N203" s="307" t="n"/>
      <c r="O203" s="307" t="n"/>
      <c r="P203" s="307" t="n"/>
      <c r="Q203" s="307" t="n"/>
      <c r="R203" s="307" t="n"/>
      <c r="S203" s="307" t="n"/>
      <c r="T203" s="307" t="n"/>
      <c r="U203" s="307" t="n"/>
      <c r="V203" s="307" t="n"/>
      <c r="W203" s="307" t="n"/>
      <c r="X203" s="307" t="n"/>
      <c r="Y203" s="307" t="n"/>
      <c r="Z203" s="307" t="n"/>
      <c r="AA203" s="307" t="n"/>
      <c r="AB203" s="307" t="n"/>
      <c r="AC203" s="307" t="n"/>
      <c r="AD203" s="307" t="n"/>
      <c r="AE203" s="307" t="n"/>
      <c r="AF203" s="307" t="n"/>
      <c r="AG203" s="307" t="n"/>
      <c r="AH203" s="307" t="n"/>
      <c r="AI203" s="307" t="n"/>
      <c r="AJ203" s="307" t="n"/>
      <c r="AK203" s="307" t="n"/>
      <c r="AL203" s="307" t="n"/>
      <c r="AM203" s="307" t="n"/>
      <c r="AN203" s="307" t="n"/>
      <c r="AO203" s="307" t="n"/>
      <c r="AP203" s="307" t="n"/>
      <c r="AQ203" s="307" t="n"/>
      <c r="AR203" s="307" t="n"/>
    </row>
    <row r="204" ht="15.75" customHeight="1" s="349">
      <c r="A204" s="307" t="n"/>
      <c r="B204" s="307" t="n"/>
      <c r="C204" s="307" t="n"/>
      <c r="D204" s="307" t="n"/>
      <c r="E204" s="307" t="n"/>
      <c r="F204" s="307" t="n"/>
      <c r="G204" s="307" t="n"/>
      <c r="H204" s="307" t="n"/>
      <c r="I204" s="307" t="n"/>
      <c r="J204" s="307" t="n"/>
      <c r="K204" s="307" t="n"/>
      <c r="L204" s="307" t="n"/>
      <c r="M204" s="307" t="n"/>
      <c r="N204" s="307" t="n"/>
      <c r="O204" s="307" t="n"/>
      <c r="P204" s="307" t="n"/>
      <c r="Q204" s="307" t="n"/>
      <c r="R204" s="307" t="n"/>
      <c r="S204" s="307" t="n"/>
      <c r="T204" s="307" t="n"/>
      <c r="U204" s="307" t="n"/>
      <c r="V204" s="307" t="n"/>
      <c r="W204" s="307" t="n"/>
      <c r="X204" s="307" t="n"/>
      <c r="Y204" s="307" t="n"/>
      <c r="Z204" s="307" t="n"/>
      <c r="AA204" s="307" t="n"/>
      <c r="AB204" s="307" t="n"/>
      <c r="AC204" s="307" t="n"/>
      <c r="AD204" s="307" t="n"/>
      <c r="AE204" s="307" t="n"/>
      <c r="AF204" s="307" t="n"/>
      <c r="AG204" s="307" t="n"/>
      <c r="AH204" s="307" t="n"/>
      <c r="AI204" s="307" t="n"/>
      <c r="AJ204" s="307" t="n"/>
      <c r="AK204" s="307" t="n"/>
      <c r="AL204" s="307" t="n"/>
      <c r="AM204" s="307" t="n"/>
      <c r="AN204" s="307" t="n"/>
      <c r="AO204" s="307" t="n"/>
      <c r="AP204" s="307" t="n"/>
      <c r="AQ204" s="307" t="n"/>
      <c r="AR204" s="307" t="n"/>
    </row>
    <row r="205" ht="15.75" customHeight="1" s="349">
      <c r="A205" s="307" t="n"/>
      <c r="B205" s="307" t="n"/>
      <c r="C205" s="307" t="n"/>
      <c r="D205" s="307" t="n"/>
      <c r="E205" s="307" t="n"/>
      <c r="F205" s="307" t="n"/>
      <c r="G205" s="307" t="n"/>
      <c r="H205" s="307" t="n"/>
      <c r="I205" s="307" t="n"/>
      <c r="J205" s="307" t="n"/>
      <c r="K205" s="307" t="n"/>
      <c r="L205" s="307" t="n"/>
      <c r="M205" s="307" t="n"/>
      <c r="N205" s="307" t="n"/>
      <c r="O205" s="307" t="n"/>
      <c r="P205" s="307" t="n"/>
      <c r="Q205" s="307" t="n"/>
      <c r="R205" s="307" t="n"/>
      <c r="S205" s="307" t="n"/>
      <c r="T205" s="307" t="n"/>
      <c r="U205" s="307" t="n"/>
      <c r="V205" s="307" t="n"/>
      <c r="W205" s="307" t="n"/>
      <c r="X205" s="307" t="n"/>
      <c r="Y205" s="307" t="n"/>
      <c r="Z205" s="307" t="n"/>
      <c r="AA205" s="307" t="n"/>
      <c r="AB205" s="307" t="n"/>
      <c r="AC205" s="307" t="n"/>
      <c r="AD205" s="307" t="n"/>
      <c r="AE205" s="307" t="n"/>
      <c r="AF205" s="307" t="n"/>
      <c r="AG205" s="307" t="n"/>
      <c r="AH205" s="307" t="n"/>
      <c r="AI205" s="307" t="n"/>
      <c r="AJ205" s="307" t="n"/>
      <c r="AK205" s="307" t="n"/>
      <c r="AL205" s="307" t="n"/>
      <c r="AM205" s="307" t="n"/>
      <c r="AN205" s="307" t="n"/>
      <c r="AO205" s="307" t="n"/>
      <c r="AP205" s="307" t="n"/>
      <c r="AQ205" s="307" t="n"/>
      <c r="AR205" s="307" t="n"/>
    </row>
    <row r="206" ht="15.75" customHeight="1" s="349">
      <c r="A206" s="307" t="n"/>
      <c r="B206" s="307" t="n"/>
      <c r="C206" s="307" t="n"/>
      <c r="D206" s="307" t="n"/>
      <c r="E206" s="307" t="n"/>
      <c r="F206" s="307" t="n"/>
      <c r="G206" s="307" t="n"/>
      <c r="H206" s="307" t="n"/>
      <c r="I206" s="307" t="n"/>
      <c r="J206" s="307" t="n"/>
      <c r="K206" s="307" t="n"/>
      <c r="L206" s="307" t="n"/>
      <c r="M206" s="307" t="n"/>
      <c r="N206" s="307" t="n"/>
      <c r="O206" s="307" t="n"/>
      <c r="P206" s="307" t="n"/>
      <c r="Q206" s="307" t="n"/>
      <c r="R206" s="307" t="n"/>
      <c r="S206" s="307" t="n"/>
      <c r="T206" s="307" t="n"/>
      <c r="U206" s="307" t="n"/>
      <c r="V206" s="307" t="n"/>
      <c r="W206" s="307" t="n"/>
      <c r="X206" s="307" t="n"/>
      <c r="Y206" s="307" t="n"/>
      <c r="Z206" s="307" t="n"/>
      <c r="AA206" s="307" t="n"/>
      <c r="AB206" s="307" t="n"/>
      <c r="AC206" s="307" t="n"/>
      <c r="AD206" s="307" t="n"/>
      <c r="AE206" s="307" t="n"/>
      <c r="AF206" s="307" t="n"/>
      <c r="AG206" s="307" t="n"/>
      <c r="AH206" s="307" t="n"/>
      <c r="AI206" s="307" t="n"/>
      <c r="AJ206" s="307" t="n"/>
      <c r="AK206" s="307" t="n"/>
      <c r="AL206" s="307" t="n"/>
      <c r="AM206" s="307" t="n"/>
      <c r="AN206" s="307" t="n"/>
      <c r="AO206" s="307" t="n"/>
      <c r="AP206" s="307" t="n"/>
      <c r="AQ206" s="307" t="n"/>
      <c r="AR206" s="307" t="n"/>
    </row>
    <row r="207" ht="15.75" customHeight="1" s="349">
      <c r="A207" s="307" t="n"/>
      <c r="B207" s="307" t="n"/>
      <c r="C207" s="307" t="n"/>
      <c r="D207" s="307" t="n"/>
      <c r="E207" s="307" t="n"/>
      <c r="F207" s="307" t="n"/>
      <c r="G207" s="307" t="n"/>
      <c r="H207" s="307" t="n"/>
      <c r="I207" s="307" t="n"/>
      <c r="J207" s="307" t="n"/>
      <c r="K207" s="307" t="n"/>
      <c r="L207" s="307" t="n"/>
      <c r="M207" s="307" t="n"/>
      <c r="N207" s="307" t="n"/>
      <c r="O207" s="307" t="n"/>
      <c r="P207" s="307" t="n"/>
      <c r="Q207" s="307" t="n"/>
      <c r="R207" s="307" t="n"/>
      <c r="S207" s="307" t="n"/>
      <c r="T207" s="307" t="n"/>
      <c r="U207" s="307" t="n"/>
      <c r="V207" s="307" t="n"/>
      <c r="W207" s="307" t="n"/>
      <c r="X207" s="307" t="n"/>
      <c r="Y207" s="307" t="n"/>
      <c r="Z207" s="307" t="n"/>
      <c r="AA207" s="307" t="n"/>
      <c r="AB207" s="307" t="n"/>
      <c r="AC207" s="307" t="n"/>
      <c r="AD207" s="307" t="n"/>
      <c r="AE207" s="307" t="n"/>
      <c r="AF207" s="307" t="n"/>
      <c r="AG207" s="307" t="n"/>
      <c r="AH207" s="307" t="n"/>
      <c r="AI207" s="307" t="n"/>
      <c r="AJ207" s="307" t="n"/>
      <c r="AK207" s="307" t="n"/>
      <c r="AL207" s="307" t="n"/>
      <c r="AM207" s="307" t="n"/>
      <c r="AN207" s="307" t="n"/>
      <c r="AO207" s="307" t="n"/>
      <c r="AP207" s="307" t="n"/>
      <c r="AQ207" s="307" t="n"/>
      <c r="AR207" s="307" t="n"/>
    </row>
    <row r="208" ht="15.75" customHeight="1" s="349">
      <c r="A208" s="307" t="n"/>
      <c r="B208" s="307" t="n"/>
      <c r="C208" s="307" t="n"/>
      <c r="D208" s="307" t="n"/>
      <c r="E208" s="307" t="n"/>
      <c r="F208" s="307" t="n"/>
      <c r="G208" s="307" t="n"/>
      <c r="H208" s="307" t="n"/>
      <c r="I208" s="307" t="n"/>
      <c r="J208" s="307" t="n"/>
      <c r="K208" s="307" t="n"/>
      <c r="L208" s="307" t="n"/>
      <c r="M208" s="307" t="n"/>
      <c r="N208" s="307" t="n"/>
      <c r="O208" s="307" t="n"/>
      <c r="P208" s="307" t="n"/>
      <c r="Q208" s="307" t="n"/>
      <c r="R208" s="307" t="n"/>
      <c r="S208" s="307" t="n"/>
      <c r="T208" s="307" t="n"/>
      <c r="U208" s="307" t="n"/>
      <c r="V208" s="307" t="n"/>
      <c r="W208" s="307" t="n"/>
      <c r="X208" s="307" t="n"/>
      <c r="Y208" s="307" t="n"/>
      <c r="Z208" s="307" t="n"/>
      <c r="AA208" s="307" t="n"/>
      <c r="AB208" s="307" t="n"/>
      <c r="AC208" s="307" t="n"/>
      <c r="AD208" s="307" t="n"/>
      <c r="AE208" s="307" t="n"/>
      <c r="AF208" s="307" t="n"/>
      <c r="AG208" s="307" t="n"/>
      <c r="AH208" s="307" t="n"/>
      <c r="AI208" s="307" t="n"/>
      <c r="AJ208" s="307" t="n"/>
      <c r="AK208" s="307" t="n"/>
      <c r="AL208" s="307" t="n"/>
      <c r="AM208" s="307" t="n"/>
      <c r="AN208" s="307" t="n"/>
      <c r="AO208" s="307" t="n"/>
      <c r="AP208" s="307" t="n"/>
      <c r="AQ208" s="307" t="n"/>
      <c r="AR208" s="307" t="n"/>
    </row>
    <row r="209" ht="15.75" customHeight="1" s="349">
      <c r="A209" s="307" t="n"/>
      <c r="B209" s="307" t="n"/>
      <c r="C209" s="307" t="n"/>
      <c r="D209" s="307" t="n"/>
      <c r="E209" s="307" t="n"/>
      <c r="F209" s="307" t="n"/>
      <c r="G209" s="307" t="n"/>
      <c r="H209" s="307" t="n"/>
      <c r="I209" s="307" t="n"/>
      <c r="J209" s="307" t="n"/>
      <c r="K209" s="307" t="n"/>
      <c r="L209" s="307" t="n"/>
      <c r="M209" s="307" t="n"/>
      <c r="N209" s="307" t="n"/>
      <c r="O209" s="307" t="n"/>
      <c r="P209" s="307" t="n"/>
      <c r="Q209" s="307" t="n"/>
      <c r="R209" s="307" t="n"/>
      <c r="S209" s="307" t="n"/>
      <c r="T209" s="307" t="n"/>
      <c r="U209" s="307" t="n"/>
      <c r="V209" s="307" t="n"/>
      <c r="W209" s="307" t="n"/>
      <c r="X209" s="307" t="n"/>
      <c r="Y209" s="307" t="n"/>
      <c r="Z209" s="307" t="n"/>
      <c r="AA209" s="307" t="n"/>
      <c r="AB209" s="307" t="n"/>
      <c r="AC209" s="307" t="n"/>
      <c r="AD209" s="307" t="n"/>
      <c r="AE209" s="307" t="n"/>
      <c r="AF209" s="307" t="n"/>
      <c r="AG209" s="307" t="n"/>
      <c r="AH209" s="307" t="n"/>
      <c r="AI209" s="307" t="n"/>
      <c r="AJ209" s="307" t="n"/>
      <c r="AK209" s="307" t="n"/>
      <c r="AL209" s="307" t="n"/>
      <c r="AM209" s="307" t="n"/>
      <c r="AN209" s="307" t="n"/>
      <c r="AO209" s="307" t="n"/>
      <c r="AP209" s="307" t="n"/>
      <c r="AQ209" s="307" t="n"/>
      <c r="AR209" s="307" t="n"/>
    </row>
    <row r="210" ht="15.75" customHeight="1" s="349">
      <c r="A210" s="307" t="n"/>
      <c r="B210" s="307" t="n"/>
      <c r="C210" s="307" t="n"/>
      <c r="D210" s="307" t="n"/>
      <c r="E210" s="307" t="n"/>
      <c r="F210" s="307" t="n"/>
      <c r="G210" s="307" t="n"/>
      <c r="H210" s="307" t="n"/>
      <c r="I210" s="307" t="n"/>
      <c r="J210" s="307" t="n"/>
      <c r="K210" s="307" t="n"/>
      <c r="L210" s="307" t="n"/>
      <c r="M210" s="307" t="n"/>
      <c r="N210" s="307" t="n"/>
      <c r="O210" s="307" t="n"/>
      <c r="P210" s="307" t="n"/>
      <c r="Q210" s="307" t="n"/>
      <c r="R210" s="307" t="n"/>
      <c r="S210" s="307" t="n"/>
      <c r="T210" s="307" t="n"/>
      <c r="U210" s="307" t="n"/>
      <c r="V210" s="307" t="n"/>
      <c r="W210" s="307" t="n"/>
      <c r="X210" s="307" t="n"/>
      <c r="Y210" s="307" t="n"/>
      <c r="Z210" s="307" t="n"/>
      <c r="AA210" s="307" t="n"/>
      <c r="AB210" s="307" t="n"/>
      <c r="AC210" s="307" t="n"/>
      <c r="AD210" s="307" t="n"/>
      <c r="AE210" s="307" t="n"/>
      <c r="AF210" s="307" t="n"/>
      <c r="AG210" s="307" t="n"/>
      <c r="AH210" s="307" t="n"/>
      <c r="AI210" s="307" t="n"/>
      <c r="AJ210" s="307" t="n"/>
      <c r="AK210" s="307" t="n"/>
      <c r="AL210" s="307" t="n"/>
      <c r="AM210" s="307" t="n"/>
      <c r="AN210" s="307" t="n"/>
      <c r="AO210" s="307" t="n"/>
      <c r="AP210" s="307" t="n"/>
      <c r="AQ210" s="307" t="n"/>
      <c r="AR210" s="307" t="n"/>
    </row>
    <row r="211" ht="15.75" customHeight="1" s="349">
      <c r="A211" s="307" t="n"/>
      <c r="B211" s="307" t="n"/>
      <c r="C211" s="307" t="n"/>
      <c r="D211" s="307" t="n"/>
      <c r="E211" s="307" t="n"/>
      <c r="F211" s="307" t="n"/>
      <c r="G211" s="307" t="n"/>
      <c r="H211" s="307" t="n"/>
      <c r="I211" s="307" t="n"/>
      <c r="J211" s="307" t="n"/>
      <c r="K211" s="307" t="n"/>
      <c r="L211" s="307" t="n"/>
      <c r="M211" s="307" t="n"/>
      <c r="N211" s="307" t="n"/>
      <c r="O211" s="307" t="n"/>
      <c r="P211" s="307" t="n"/>
      <c r="Q211" s="307" t="n"/>
      <c r="R211" s="307" t="n"/>
      <c r="S211" s="307" t="n"/>
      <c r="T211" s="307" t="n"/>
      <c r="U211" s="307" t="n"/>
      <c r="V211" s="307" t="n"/>
      <c r="W211" s="307" t="n"/>
      <c r="X211" s="307" t="n"/>
      <c r="Y211" s="307" t="n"/>
      <c r="Z211" s="307" t="n"/>
      <c r="AA211" s="307" t="n"/>
      <c r="AB211" s="307" t="n"/>
      <c r="AC211" s="307" t="n"/>
      <c r="AD211" s="307" t="n"/>
      <c r="AE211" s="307" t="n"/>
      <c r="AF211" s="307" t="n"/>
      <c r="AG211" s="307" t="n"/>
      <c r="AH211" s="307" t="n"/>
      <c r="AI211" s="307" t="n"/>
      <c r="AJ211" s="307" t="n"/>
      <c r="AK211" s="307" t="n"/>
      <c r="AL211" s="307" t="n"/>
      <c r="AM211" s="307" t="n"/>
      <c r="AN211" s="307" t="n"/>
      <c r="AO211" s="307" t="n"/>
      <c r="AP211" s="307" t="n"/>
      <c r="AQ211" s="307" t="n"/>
      <c r="AR211" s="307" t="n"/>
    </row>
    <row r="212" ht="15.75" customHeight="1" s="349">
      <c r="A212" s="307" t="n"/>
      <c r="B212" s="307" t="n"/>
      <c r="C212" s="307" t="n"/>
      <c r="D212" s="307" t="n"/>
      <c r="E212" s="307" t="n"/>
      <c r="F212" s="307" t="n"/>
      <c r="G212" s="307" t="n"/>
      <c r="H212" s="307" t="n"/>
      <c r="I212" s="307" t="n"/>
      <c r="J212" s="307" t="n"/>
      <c r="K212" s="307" t="n"/>
      <c r="L212" s="307" t="n"/>
      <c r="M212" s="307" t="n"/>
      <c r="N212" s="307" t="n"/>
      <c r="O212" s="307" t="n"/>
      <c r="P212" s="307" t="n"/>
      <c r="Q212" s="307" t="n"/>
      <c r="R212" s="307" t="n"/>
      <c r="S212" s="307" t="n"/>
      <c r="T212" s="307" t="n"/>
      <c r="U212" s="307" t="n"/>
      <c r="V212" s="307" t="n"/>
      <c r="W212" s="307" t="n"/>
      <c r="X212" s="307" t="n"/>
      <c r="Y212" s="307" t="n"/>
      <c r="Z212" s="307" t="n"/>
      <c r="AA212" s="307" t="n"/>
      <c r="AB212" s="307" t="n"/>
      <c r="AC212" s="307" t="n"/>
      <c r="AD212" s="307" t="n"/>
      <c r="AE212" s="307" t="n"/>
      <c r="AF212" s="307" t="n"/>
      <c r="AG212" s="307" t="n"/>
      <c r="AH212" s="307" t="n"/>
      <c r="AI212" s="307" t="n"/>
      <c r="AJ212" s="307" t="n"/>
      <c r="AK212" s="307" t="n"/>
      <c r="AL212" s="307" t="n"/>
      <c r="AM212" s="307" t="n"/>
      <c r="AN212" s="307" t="n"/>
      <c r="AO212" s="307" t="n"/>
      <c r="AP212" s="307" t="n"/>
      <c r="AQ212" s="307" t="n"/>
      <c r="AR212" s="307" t="n"/>
    </row>
    <row r="213" ht="15.75" customHeight="1" s="349">
      <c r="A213" s="307" t="n"/>
      <c r="B213" s="307" t="n"/>
      <c r="C213" s="307" t="n"/>
      <c r="D213" s="307" t="n"/>
      <c r="E213" s="307" t="n"/>
      <c r="F213" s="307" t="n"/>
      <c r="G213" s="307" t="n"/>
      <c r="H213" s="307" t="n"/>
      <c r="I213" s="307" t="n"/>
      <c r="J213" s="307" t="n"/>
      <c r="K213" s="307" t="n"/>
      <c r="L213" s="307" t="n"/>
      <c r="M213" s="307" t="n"/>
      <c r="N213" s="307" t="n"/>
      <c r="O213" s="307" t="n"/>
      <c r="P213" s="307" t="n"/>
      <c r="Q213" s="307" t="n"/>
      <c r="R213" s="307" t="n"/>
      <c r="S213" s="307" t="n"/>
      <c r="T213" s="307" t="n"/>
      <c r="U213" s="307" t="n"/>
      <c r="V213" s="307" t="n"/>
      <c r="W213" s="307" t="n"/>
      <c r="X213" s="307" t="n"/>
      <c r="Y213" s="307" t="n"/>
      <c r="Z213" s="307" t="n"/>
      <c r="AA213" s="307" t="n"/>
      <c r="AB213" s="307" t="n"/>
      <c r="AC213" s="307" t="n"/>
      <c r="AD213" s="307" t="n"/>
      <c r="AE213" s="307" t="n"/>
      <c r="AF213" s="307" t="n"/>
      <c r="AG213" s="307" t="n"/>
      <c r="AH213" s="307" t="n"/>
      <c r="AI213" s="307" t="n"/>
      <c r="AJ213" s="307" t="n"/>
      <c r="AK213" s="307" t="n"/>
      <c r="AL213" s="307" t="n"/>
      <c r="AM213" s="307" t="n"/>
      <c r="AN213" s="307" t="n"/>
      <c r="AO213" s="307" t="n"/>
      <c r="AP213" s="307" t="n"/>
      <c r="AQ213" s="307" t="n"/>
      <c r="AR213" s="307" t="n"/>
    </row>
    <row r="214" ht="15.75" customHeight="1" s="349">
      <c r="A214" s="307" t="n"/>
      <c r="B214" s="307" t="n"/>
      <c r="C214" s="307" t="n"/>
      <c r="D214" s="307" t="n"/>
      <c r="E214" s="307" t="n"/>
      <c r="F214" s="307" t="n"/>
      <c r="G214" s="307" t="n"/>
      <c r="H214" s="307" t="n"/>
      <c r="I214" s="307" t="n"/>
      <c r="J214" s="307" t="n"/>
      <c r="K214" s="307" t="n"/>
      <c r="L214" s="307" t="n"/>
      <c r="M214" s="307" t="n"/>
      <c r="N214" s="307" t="n"/>
      <c r="O214" s="307" t="n"/>
      <c r="P214" s="307" t="n"/>
      <c r="Q214" s="307" t="n"/>
      <c r="R214" s="307" t="n"/>
      <c r="S214" s="307" t="n"/>
      <c r="T214" s="307" t="n"/>
      <c r="U214" s="307" t="n"/>
      <c r="V214" s="307" t="n"/>
      <c r="W214" s="307" t="n"/>
      <c r="X214" s="307" t="n"/>
      <c r="Y214" s="307" t="n"/>
      <c r="Z214" s="307" t="n"/>
      <c r="AA214" s="307" t="n"/>
      <c r="AB214" s="307" t="n"/>
      <c r="AC214" s="307" t="n"/>
      <c r="AD214" s="307" t="n"/>
      <c r="AE214" s="307" t="n"/>
      <c r="AF214" s="307" t="n"/>
      <c r="AG214" s="307" t="n"/>
      <c r="AH214" s="307" t="n"/>
      <c r="AI214" s="307" t="n"/>
      <c r="AJ214" s="307" t="n"/>
      <c r="AK214" s="307" t="n"/>
      <c r="AL214" s="307" t="n"/>
      <c r="AM214" s="307" t="n"/>
      <c r="AN214" s="307" t="n"/>
      <c r="AO214" s="307" t="n"/>
      <c r="AP214" s="307" t="n"/>
      <c r="AQ214" s="307" t="n"/>
      <c r="AR214" s="307" t="n"/>
    </row>
    <row r="215" ht="15.75" customHeight="1" s="349">
      <c r="A215" s="307" t="n"/>
      <c r="B215" s="307" t="n"/>
      <c r="C215" s="307" t="n"/>
      <c r="D215" s="307" t="n"/>
      <c r="E215" s="307" t="n"/>
      <c r="F215" s="307" t="n"/>
      <c r="G215" s="307" t="n"/>
      <c r="H215" s="307" t="n"/>
      <c r="I215" s="307" t="n"/>
      <c r="J215" s="307" t="n"/>
      <c r="K215" s="307" t="n"/>
      <c r="L215" s="307" t="n"/>
      <c r="M215" s="307" t="n"/>
      <c r="N215" s="307" t="n"/>
      <c r="O215" s="307" t="n"/>
      <c r="P215" s="307" t="n"/>
      <c r="Q215" s="307" t="n"/>
      <c r="R215" s="307" t="n"/>
      <c r="S215" s="307" t="n"/>
      <c r="T215" s="307" t="n"/>
      <c r="U215" s="307" t="n"/>
      <c r="V215" s="307" t="n"/>
      <c r="W215" s="307" t="n"/>
      <c r="X215" s="307" t="n"/>
      <c r="Y215" s="307" t="n"/>
      <c r="Z215" s="307" t="n"/>
      <c r="AA215" s="307" t="n"/>
      <c r="AB215" s="307" t="n"/>
      <c r="AC215" s="307" t="n"/>
      <c r="AD215" s="307" t="n"/>
      <c r="AE215" s="307" t="n"/>
      <c r="AF215" s="307" t="n"/>
      <c r="AG215" s="307" t="n"/>
      <c r="AH215" s="307" t="n"/>
      <c r="AI215" s="307" t="n"/>
      <c r="AJ215" s="307" t="n"/>
      <c r="AK215" s="307" t="n"/>
      <c r="AL215" s="307" t="n"/>
      <c r="AM215" s="307" t="n"/>
      <c r="AN215" s="307" t="n"/>
      <c r="AO215" s="307" t="n"/>
      <c r="AP215" s="307" t="n"/>
      <c r="AQ215" s="307" t="n"/>
      <c r="AR215" s="307" t="n"/>
    </row>
    <row r="216" ht="15.75" customHeight="1" s="349">
      <c r="A216" s="307" t="n"/>
      <c r="B216" s="307" t="n"/>
      <c r="C216" s="307" t="n"/>
      <c r="D216" s="307" t="n"/>
      <c r="E216" s="307" t="n"/>
      <c r="F216" s="307" t="n"/>
      <c r="G216" s="307" t="n"/>
      <c r="H216" s="307" t="n"/>
      <c r="I216" s="307" t="n"/>
      <c r="J216" s="307" t="n"/>
      <c r="K216" s="307" t="n"/>
      <c r="L216" s="307" t="n"/>
      <c r="M216" s="307" t="n"/>
      <c r="N216" s="307" t="n"/>
      <c r="O216" s="307" t="n"/>
      <c r="P216" s="307" t="n"/>
      <c r="Q216" s="307" t="n"/>
      <c r="R216" s="307" t="n"/>
      <c r="S216" s="307" t="n"/>
      <c r="T216" s="307" t="n"/>
      <c r="U216" s="307" t="n"/>
      <c r="V216" s="307" t="n"/>
      <c r="W216" s="307" t="n"/>
      <c r="X216" s="307" t="n"/>
      <c r="Y216" s="307" t="n"/>
      <c r="Z216" s="307" t="n"/>
      <c r="AA216" s="307" t="n"/>
      <c r="AB216" s="307" t="n"/>
      <c r="AC216" s="307" t="n"/>
      <c r="AD216" s="307" t="n"/>
      <c r="AE216" s="307" t="n"/>
      <c r="AF216" s="307" t="n"/>
      <c r="AG216" s="307" t="n"/>
      <c r="AH216" s="307" t="n"/>
      <c r="AI216" s="307" t="n"/>
      <c r="AJ216" s="307" t="n"/>
      <c r="AK216" s="307" t="n"/>
      <c r="AL216" s="307" t="n"/>
      <c r="AM216" s="307" t="n"/>
      <c r="AN216" s="307" t="n"/>
      <c r="AO216" s="307" t="n"/>
      <c r="AP216" s="307" t="n"/>
      <c r="AQ216" s="307" t="n"/>
      <c r="AR216" s="307" t="n"/>
    </row>
    <row r="217" ht="15.75" customHeight="1" s="349">
      <c r="A217" s="307" t="n"/>
      <c r="B217" s="307" t="n"/>
      <c r="C217" s="307" t="n"/>
      <c r="D217" s="307" t="n"/>
      <c r="E217" s="307" t="n"/>
      <c r="F217" s="307" t="n"/>
      <c r="G217" s="307" t="n"/>
      <c r="H217" s="307" t="n"/>
      <c r="I217" s="307" t="n"/>
      <c r="J217" s="307" t="n"/>
      <c r="K217" s="307" t="n"/>
      <c r="L217" s="307" t="n"/>
      <c r="M217" s="307" t="n"/>
      <c r="N217" s="307" t="n"/>
      <c r="O217" s="307" t="n"/>
      <c r="P217" s="307" t="n"/>
      <c r="Q217" s="307" t="n"/>
      <c r="R217" s="307" t="n"/>
      <c r="S217" s="307" t="n"/>
      <c r="T217" s="307" t="n"/>
      <c r="U217" s="307" t="n"/>
      <c r="V217" s="307" t="n"/>
      <c r="W217" s="307" t="n"/>
      <c r="X217" s="307" t="n"/>
      <c r="Y217" s="307" t="n"/>
      <c r="Z217" s="307" t="n"/>
      <c r="AA217" s="307" t="n"/>
      <c r="AB217" s="307" t="n"/>
      <c r="AC217" s="307" t="n"/>
      <c r="AD217" s="307" t="n"/>
      <c r="AE217" s="307" t="n"/>
      <c r="AF217" s="307" t="n"/>
      <c r="AG217" s="307" t="n"/>
      <c r="AH217" s="307" t="n"/>
      <c r="AI217" s="307" t="n"/>
      <c r="AJ217" s="307" t="n"/>
      <c r="AK217" s="307" t="n"/>
      <c r="AL217" s="307" t="n"/>
      <c r="AM217" s="307" t="n"/>
      <c r="AN217" s="307" t="n"/>
      <c r="AO217" s="307" t="n"/>
      <c r="AP217" s="307" t="n"/>
      <c r="AQ217" s="307" t="n"/>
      <c r="AR217" s="307" t="n"/>
    </row>
    <row r="218" ht="15.75" customHeight="1" s="349">
      <c r="A218" s="307" t="n"/>
      <c r="B218" s="307" t="n"/>
      <c r="C218" s="307" t="n"/>
      <c r="D218" s="307" t="n"/>
      <c r="E218" s="307" t="n"/>
      <c r="F218" s="307" t="n"/>
      <c r="G218" s="307" t="n"/>
      <c r="H218" s="307" t="n"/>
      <c r="I218" s="307" t="n"/>
      <c r="J218" s="307" t="n"/>
      <c r="K218" s="307" t="n"/>
      <c r="L218" s="307" t="n"/>
      <c r="M218" s="307" t="n"/>
      <c r="N218" s="307" t="n"/>
      <c r="O218" s="307" t="n"/>
      <c r="P218" s="307" t="n"/>
      <c r="Q218" s="307" t="n"/>
      <c r="R218" s="307" t="n"/>
      <c r="S218" s="307" t="n"/>
      <c r="T218" s="307" t="n"/>
      <c r="U218" s="307" t="n"/>
      <c r="V218" s="307" t="n"/>
      <c r="W218" s="307" t="n"/>
      <c r="X218" s="307" t="n"/>
      <c r="Y218" s="307" t="n"/>
      <c r="Z218" s="307" t="n"/>
      <c r="AA218" s="307" t="n"/>
      <c r="AB218" s="307" t="n"/>
      <c r="AC218" s="307" t="n"/>
      <c r="AD218" s="307" t="n"/>
      <c r="AE218" s="307" t="n"/>
      <c r="AF218" s="307" t="n"/>
      <c r="AG218" s="307" t="n"/>
      <c r="AH218" s="307" t="n"/>
      <c r="AI218" s="307" t="n"/>
      <c r="AJ218" s="307" t="n"/>
      <c r="AK218" s="307" t="n"/>
      <c r="AL218" s="307" t="n"/>
      <c r="AM218" s="307" t="n"/>
      <c r="AN218" s="307" t="n"/>
      <c r="AO218" s="307" t="n"/>
      <c r="AP218" s="307" t="n"/>
      <c r="AQ218" s="307" t="n"/>
      <c r="AR218" s="307" t="n"/>
    </row>
    <row r="219" ht="15.75" customHeight="1" s="349">
      <c r="A219" s="307" t="n"/>
      <c r="B219" s="307" t="n"/>
      <c r="C219" s="307" t="n"/>
      <c r="D219" s="307" t="n"/>
      <c r="E219" s="307" t="n"/>
      <c r="F219" s="307" t="n"/>
      <c r="G219" s="307" t="n"/>
      <c r="H219" s="307" t="n"/>
      <c r="I219" s="307" t="n"/>
      <c r="J219" s="307" t="n"/>
      <c r="K219" s="307" t="n"/>
      <c r="L219" s="307" t="n"/>
      <c r="M219" s="307" t="n"/>
      <c r="N219" s="307" t="n"/>
      <c r="O219" s="307" t="n"/>
      <c r="P219" s="307" t="n"/>
      <c r="Q219" s="307" t="n"/>
      <c r="R219" s="307" t="n"/>
      <c r="S219" s="307" t="n"/>
      <c r="T219" s="307" t="n"/>
      <c r="U219" s="307" t="n"/>
      <c r="V219" s="307" t="n"/>
      <c r="W219" s="307" t="n"/>
      <c r="X219" s="307" t="n"/>
      <c r="Y219" s="307" t="n"/>
      <c r="Z219" s="307" t="n"/>
      <c r="AA219" s="307" t="n"/>
      <c r="AB219" s="307" t="n"/>
      <c r="AC219" s="307" t="n"/>
      <c r="AD219" s="307" t="n"/>
      <c r="AE219" s="307" t="n"/>
      <c r="AF219" s="307" t="n"/>
      <c r="AG219" s="307" t="n"/>
      <c r="AH219" s="307" t="n"/>
      <c r="AI219" s="307" t="n"/>
      <c r="AJ219" s="307" t="n"/>
      <c r="AK219" s="307" t="n"/>
      <c r="AL219" s="307" t="n"/>
      <c r="AM219" s="307" t="n"/>
      <c r="AN219" s="307" t="n"/>
      <c r="AO219" s="307" t="n"/>
      <c r="AP219" s="307" t="n"/>
      <c r="AQ219" s="307" t="n"/>
      <c r="AR219" s="307" t="n"/>
    </row>
    <row r="220" ht="15.75" customHeight="1" s="349">
      <c r="A220" s="307" t="n"/>
      <c r="B220" s="307" t="n"/>
      <c r="C220" s="307" t="n"/>
      <c r="D220" s="307" t="n"/>
      <c r="E220" s="307" t="n"/>
      <c r="F220" s="307" t="n"/>
      <c r="G220" s="307" t="n"/>
      <c r="H220" s="307" t="n"/>
      <c r="I220" s="307" t="n"/>
      <c r="J220" s="307" t="n"/>
      <c r="K220" s="307" t="n"/>
      <c r="L220" s="307" t="n"/>
      <c r="M220" s="307" t="n"/>
      <c r="N220" s="307" t="n"/>
      <c r="O220" s="307" t="n"/>
      <c r="P220" s="307" t="n"/>
      <c r="Q220" s="307" t="n"/>
      <c r="R220" s="307" t="n"/>
      <c r="S220" s="307" t="n"/>
      <c r="T220" s="307" t="n"/>
      <c r="U220" s="307" t="n"/>
      <c r="V220" s="307" t="n"/>
      <c r="W220" s="307" t="n"/>
      <c r="X220" s="307" t="n"/>
      <c r="Y220" s="307" t="n"/>
      <c r="Z220" s="307" t="n"/>
      <c r="AA220" s="307" t="n"/>
      <c r="AB220" s="307" t="n"/>
      <c r="AC220" s="307" t="n"/>
      <c r="AD220" s="307" t="n"/>
      <c r="AE220" s="307" t="n"/>
      <c r="AF220" s="307" t="n"/>
      <c r="AG220" s="307" t="n"/>
      <c r="AH220" s="307" t="n"/>
      <c r="AI220" s="307" t="n"/>
      <c r="AJ220" s="307" t="n"/>
      <c r="AK220" s="307" t="n"/>
      <c r="AL220" s="307" t="n"/>
      <c r="AM220" s="307" t="n"/>
      <c r="AN220" s="307" t="n"/>
      <c r="AO220" s="307" t="n"/>
      <c r="AP220" s="307" t="n"/>
      <c r="AQ220" s="307" t="n"/>
      <c r="AR220" s="307" t="n"/>
    </row>
    <row r="221" ht="15.75" customHeight="1" s="349"/>
    <row r="222" ht="15.75" customHeight="1" s="349"/>
    <row r="223" ht="15.75" customHeight="1" s="349"/>
    <row r="224" ht="15.75" customHeight="1" s="349"/>
    <row r="225" ht="15.75" customHeight="1" s="349"/>
    <row r="226" ht="15.75" customHeight="1" s="349"/>
    <row r="227" ht="15.75" customHeight="1" s="349"/>
    <row r="228" ht="15.75" customHeight="1" s="349"/>
    <row r="229" ht="15.75" customHeight="1" s="349"/>
    <row r="230" ht="15.75" customHeight="1" s="349"/>
    <row r="231" ht="15.75" customHeight="1" s="349"/>
    <row r="232" ht="15.75" customHeight="1" s="349"/>
    <row r="233" ht="15.75" customHeight="1" s="349"/>
    <row r="234" ht="15.75" customHeight="1" s="349"/>
    <row r="235" ht="15.75" customHeight="1" s="349"/>
    <row r="236" ht="15.75" customHeight="1" s="349"/>
    <row r="237" ht="15.75" customHeight="1" s="349"/>
    <row r="238" ht="15.75" customHeight="1" s="349"/>
    <row r="239" ht="15.75" customHeight="1" s="349"/>
    <row r="240" ht="15.75" customHeight="1" s="349"/>
    <row r="241" ht="15.75" customHeight="1" s="349"/>
    <row r="242" ht="15.75" customHeight="1" s="349"/>
    <row r="243" ht="15.75" customHeight="1" s="349"/>
    <row r="244" ht="15.75" customHeight="1" s="349"/>
    <row r="245" ht="15.75" customHeight="1" s="349"/>
    <row r="246" ht="15.75" customHeight="1" s="349"/>
    <row r="247" ht="15.75" customHeight="1" s="349"/>
    <row r="248" ht="15.75" customHeight="1" s="349"/>
    <row r="249" ht="15.75" customHeight="1" s="349"/>
    <row r="250" ht="15.75" customHeight="1" s="349"/>
    <row r="251" ht="15.75" customHeight="1" s="349"/>
    <row r="252" ht="15.75" customHeight="1" s="349"/>
    <row r="253" ht="15.75" customHeight="1" s="349"/>
    <row r="254" ht="15.75" customHeight="1" s="349"/>
    <row r="255" ht="15.75" customHeight="1" s="349"/>
    <row r="256" ht="15.75" customHeight="1" s="349"/>
    <row r="257" ht="15.75" customHeight="1" s="349"/>
    <row r="258" ht="15.75" customHeight="1" s="349"/>
    <row r="259" ht="15.75" customHeight="1" s="349"/>
    <row r="260" ht="15.75" customHeight="1" s="349"/>
    <row r="261" ht="15.75" customHeight="1" s="349"/>
    <row r="262" ht="15.75" customHeight="1" s="349"/>
    <row r="263" ht="15.75" customHeight="1" s="349"/>
    <row r="264" ht="15.75" customHeight="1" s="349"/>
    <row r="265" ht="15.75" customHeight="1" s="349"/>
    <row r="266" ht="15.75" customHeight="1" s="349"/>
    <row r="267" ht="15.75" customHeight="1" s="349"/>
    <row r="268" ht="15.75" customHeight="1" s="349"/>
    <row r="269" ht="15.75" customHeight="1" s="349"/>
    <row r="270" ht="15.75" customHeight="1" s="349"/>
    <row r="271" ht="15.75" customHeight="1" s="349"/>
    <row r="272" ht="15.75" customHeight="1" s="349"/>
    <row r="273" ht="15.75" customHeight="1" s="349"/>
    <row r="274" ht="15.75" customHeight="1" s="349"/>
    <row r="275" ht="15.75" customHeight="1" s="349"/>
    <row r="276" ht="15.75" customHeight="1" s="349"/>
    <row r="277" ht="15.75" customHeight="1" s="349"/>
    <row r="278" ht="15.75" customHeight="1" s="349"/>
    <row r="279" ht="15.75" customHeight="1" s="349"/>
    <row r="280" ht="15.75" customHeight="1" s="349"/>
    <row r="281" ht="15.75" customHeight="1" s="349"/>
    <row r="282" ht="15.75" customHeight="1" s="349"/>
    <row r="283" ht="15.75" customHeight="1" s="349"/>
    <row r="284" ht="15.75" customHeight="1" s="349"/>
    <row r="285" ht="15.75" customHeight="1" s="349"/>
    <row r="286" ht="15.75" customHeight="1" s="349"/>
    <row r="287" ht="15.75" customHeight="1" s="349"/>
    <row r="288" ht="15.75" customHeight="1" s="349"/>
    <row r="289" ht="15.75" customHeight="1" s="349"/>
    <row r="290" ht="15.75" customHeight="1" s="349"/>
    <row r="291" ht="15.75" customHeight="1" s="349"/>
    <row r="292" ht="15.75" customHeight="1" s="349"/>
    <row r="293" ht="15.75" customHeight="1" s="349"/>
    <row r="294" ht="15.75" customHeight="1" s="349"/>
    <row r="295" ht="15.75" customHeight="1" s="349"/>
    <row r="296" ht="15.75" customHeight="1" s="349"/>
    <row r="297" ht="15.75" customHeight="1" s="349"/>
    <row r="298" ht="15.75" customHeight="1" s="349"/>
    <row r="299" ht="15.75" customHeight="1" s="349"/>
    <row r="300" ht="15.75" customHeight="1" s="349"/>
    <row r="301" ht="15.75" customHeight="1" s="349"/>
    <row r="302" ht="15.75" customHeight="1" s="349"/>
    <row r="303" ht="15.75" customHeight="1" s="349"/>
    <row r="304" ht="15.75" customHeight="1" s="349"/>
    <row r="305" ht="15.75" customHeight="1" s="349"/>
    <row r="306" ht="15.75" customHeight="1" s="349"/>
    <row r="307" ht="15.75" customHeight="1" s="349"/>
    <row r="308" ht="15.75" customHeight="1" s="349"/>
    <row r="309" ht="15.75" customHeight="1" s="349"/>
    <row r="310" ht="15.75" customHeight="1" s="349"/>
    <row r="311" ht="15.75" customHeight="1" s="349"/>
    <row r="312" ht="15.75" customHeight="1" s="349"/>
    <row r="313" ht="15.75" customHeight="1" s="349"/>
    <row r="314" ht="15.75" customHeight="1" s="349"/>
    <row r="315" ht="15.75" customHeight="1" s="349"/>
    <row r="316" ht="15.75" customHeight="1" s="349"/>
    <row r="317" ht="15.75" customHeight="1" s="349"/>
    <row r="318" ht="15.75" customHeight="1" s="349"/>
    <row r="319" ht="15.75" customHeight="1" s="349"/>
    <row r="320" ht="15.75" customHeight="1" s="349"/>
    <row r="321" ht="15.75" customHeight="1" s="349"/>
    <row r="322" ht="15.75" customHeight="1" s="349"/>
    <row r="323" ht="15.75" customHeight="1" s="349"/>
    <row r="324" ht="15.75" customHeight="1" s="349"/>
    <row r="325" ht="15.75" customHeight="1" s="349"/>
    <row r="326" ht="15.75" customHeight="1" s="349"/>
    <row r="327" ht="15.75" customHeight="1" s="349"/>
    <row r="328" ht="15.75" customHeight="1" s="349"/>
    <row r="329" ht="15.75" customHeight="1" s="349"/>
    <row r="330" ht="15.75" customHeight="1" s="349"/>
    <row r="331" ht="15.75" customHeight="1" s="349"/>
    <row r="332" ht="15.75" customHeight="1" s="349"/>
    <row r="333" ht="15.75" customHeight="1" s="349"/>
    <row r="334" ht="15.75" customHeight="1" s="349"/>
    <row r="335" ht="15.75" customHeight="1" s="349"/>
    <row r="336" ht="15.75" customHeight="1" s="349"/>
    <row r="337" ht="15.75" customHeight="1" s="349"/>
    <row r="338" ht="15.75" customHeight="1" s="349"/>
    <row r="339" ht="15.75" customHeight="1" s="349"/>
    <row r="340" ht="15.75" customHeight="1" s="349"/>
    <row r="341" ht="15.75" customHeight="1" s="349"/>
    <row r="342" ht="15.75" customHeight="1" s="349"/>
    <row r="343" ht="15.75" customHeight="1" s="349"/>
    <row r="344" ht="15.75" customHeight="1" s="349"/>
    <row r="345" ht="15.75" customHeight="1" s="349"/>
    <row r="346" ht="15.75" customHeight="1" s="349"/>
    <row r="347" ht="15.75" customHeight="1" s="349"/>
    <row r="348" ht="15.75" customHeight="1" s="349"/>
    <row r="349" ht="15.75" customHeight="1" s="349"/>
    <row r="350" ht="15.75" customHeight="1" s="349"/>
    <row r="351" ht="15.75" customHeight="1" s="349"/>
    <row r="352" ht="15.75" customHeight="1" s="349"/>
    <row r="353" ht="15.75" customHeight="1" s="349"/>
    <row r="354" ht="15.75" customHeight="1" s="349"/>
    <row r="355" ht="15.75" customHeight="1" s="349"/>
    <row r="356" ht="15.75" customHeight="1" s="349"/>
    <row r="357" ht="15.75" customHeight="1" s="349"/>
    <row r="358" ht="15.75" customHeight="1" s="349"/>
    <row r="359" ht="15.75" customHeight="1" s="349"/>
    <row r="360" ht="15.75" customHeight="1" s="349"/>
    <row r="361" ht="15.75" customHeight="1" s="349"/>
    <row r="362" ht="15.75" customHeight="1" s="349"/>
    <row r="363" ht="15.75" customHeight="1" s="349"/>
    <row r="364" ht="15.75" customHeight="1" s="349"/>
    <row r="365" ht="15.75" customHeight="1" s="349"/>
    <row r="366" ht="15.75" customHeight="1" s="349"/>
    <row r="367" ht="15.75" customHeight="1" s="349"/>
    <row r="368" ht="15.75" customHeight="1" s="349"/>
    <row r="369" ht="15.75" customHeight="1" s="349"/>
    <row r="370" ht="15.75" customHeight="1" s="349"/>
    <row r="371" ht="15.75" customHeight="1" s="349"/>
    <row r="372" ht="15.75" customHeight="1" s="349"/>
    <row r="373" ht="15.75" customHeight="1" s="349"/>
    <row r="374" ht="15.75" customHeight="1" s="349"/>
    <row r="375" ht="15.75" customHeight="1" s="349"/>
    <row r="376" ht="15.75" customHeight="1" s="349"/>
    <row r="377" ht="15.75" customHeight="1" s="349"/>
    <row r="378" ht="15.75" customHeight="1" s="349"/>
    <row r="379" ht="15.75" customHeight="1" s="349"/>
    <row r="380" ht="15.75" customHeight="1" s="349"/>
    <row r="381" ht="15.75" customHeight="1" s="349"/>
    <row r="382" ht="15.75" customHeight="1" s="349"/>
    <row r="383" ht="15.75" customHeight="1" s="349"/>
    <row r="384" ht="15.75" customHeight="1" s="349"/>
    <row r="385" ht="15.75" customHeight="1" s="349"/>
    <row r="386" ht="15.75" customHeight="1" s="349"/>
    <row r="387" ht="15.75" customHeight="1" s="349"/>
    <row r="388" ht="15.75" customHeight="1" s="349"/>
    <row r="389" ht="15.75" customHeight="1" s="349"/>
    <row r="390" ht="15.75" customHeight="1" s="349"/>
    <row r="391" ht="15.75" customHeight="1" s="349"/>
    <row r="392" ht="15.75" customHeight="1" s="349"/>
    <row r="393" ht="15.75" customHeight="1" s="349"/>
    <row r="394" ht="15.75" customHeight="1" s="349"/>
    <row r="395" ht="15.75" customHeight="1" s="349"/>
    <row r="396" ht="15.75" customHeight="1" s="349"/>
    <row r="397" ht="15.75" customHeight="1" s="349"/>
    <row r="398" ht="15.75" customHeight="1" s="349"/>
    <row r="399" ht="15.75" customHeight="1" s="349"/>
    <row r="400" ht="15.75" customHeight="1" s="349"/>
    <row r="401" ht="15.75" customHeight="1" s="349"/>
    <row r="402" ht="15.75" customHeight="1" s="349"/>
    <row r="403" ht="15.75" customHeight="1" s="349"/>
    <row r="404" ht="15.75" customHeight="1" s="349"/>
    <row r="405" ht="15.75" customHeight="1" s="349"/>
    <row r="406" ht="15.75" customHeight="1" s="349"/>
    <row r="407" ht="15.75" customHeight="1" s="349"/>
    <row r="408" ht="15.75" customHeight="1" s="349"/>
    <row r="409" ht="15.75" customHeight="1" s="349"/>
    <row r="410" ht="15.75" customHeight="1" s="349"/>
    <row r="411" ht="15.75" customHeight="1" s="349"/>
    <row r="412" ht="15.75" customHeight="1" s="349"/>
    <row r="413" ht="15.75" customHeight="1" s="349"/>
    <row r="414" ht="15.75" customHeight="1" s="349"/>
    <row r="415" ht="15.75" customHeight="1" s="349"/>
    <row r="416" ht="15.75" customHeight="1" s="349"/>
    <row r="417" ht="15.75" customHeight="1" s="349"/>
    <row r="418" ht="15.75" customHeight="1" s="349"/>
    <row r="419" ht="15.75" customHeight="1" s="349"/>
    <row r="420" ht="15.75" customHeight="1" s="349"/>
    <row r="421" ht="15.75" customHeight="1" s="349"/>
    <row r="422" ht="15.75" customHeight="1" s="349"/>
    <row r="423" ht="15.75" customHeight="1" s="349"/>
    <row r="424" ht="15.75" customHeight="1" s="349"/>
    <row r="425" ht="15.75" customHeight="1" s="349"/>
    <row r="426" ht="15.75" customHeight="1" s="349"/>
    <row r="427" ht="15.75" customHeight="1" s="349"/>
    <row r="428" ht="15.75" customHeight="1" s="349"/>
    <row r="429" ht="15.75" customHeight="1" s="349"/>
    <row r="430" ht="15.75" customHeight="1" s="349"/>
    <row r="431" ht="15.75" customHeight="1" s="349"/>
    <row r="432" ht="15.75" customHeight="1" s="349"/>
    <row r="433" ht="15.75" customHeight="1" s="349"/>
    <row r="434" ht="15.75" customHeight="1" s="349"/>
    <row r="435" ht="15.75" customHeight="1" s="349"/>
    <row r="436" ht="15.75" customHeight="1" s="349"/>
    <row r="437" ht="15.75" customHeight="1" s="349"/>
    <row r="438" ht="15.75" customHeight="1" s="349"/>
    <row r="439" ht="15.75" customHeight="1" s="349"/>
    <row r="440" ht="15.75" customHeight="1" s="349"/>
    <row r="441" ht="15.75" customHeight="1" s="349"/>
    <row r="442" ht="15.75" customHeight="1" s="349"/>
    <row r="443" ht="15.75" customHeight="1" s="349"/>
    <row r="444" ht="15.75" customHeight="1" s="349"/>
    <row r="445" ht="15.75" customHeight="1" s="349"/>
    <row r="446" ht="15.75" customHeight="1" s="349"/>
    <row r="447" ht="15.75" customHeight="1" s="349"/>
    <row r="448" ht="15.75" customHeight="1" s="349"/>
    <row r="449" ht="15.75" customHeight="1" s="349"/>
    <row r="450" ht="15.75" customHeight="1" s="349"/>
    <row r="451" ht="15.75" customHeight="1" s="349"/>
    <row r="452" ht="15.75" customHeight="1" s="349"/>
    <row r="453" ht="15.75" customHeight="1" s="349"/>
    <row r="454" ht="15.75" customHeight="1" s="349"/>
    <row r="455" ht="15.75" customHeight="1" s="349"/>
    <row r="456" ht="15.75" customHeight="1" s="349"/>
    <row r="457" ht="15.75" customHeight="1" s="349"/>
    <row r="458" ht="15.75" customHeight="1" s="349"/>
    <row r="459" ht="15.75" customHeight="1" s="349"/>
    <row r="460" ht="15.75" customHeight="1" s="349"/>
    <row r="461" ht="15.75" customHeight="1" s="349"/>
    <row r="462" ht="15.75" customHeight="1" s="349"/>
    <row r="463" ht="15.75" customHeight="1" s="349"/>
    <row r="464" ht="15.75" customHeight="1" s="349"/>
    <row r="465" ht="15.75" customHeight="1" s="349"/>
    <row r="466" ht="15.75" customHeight="1" s="349"/>
    <row r="467" ht="15.75" customHeight="1" s="349"/>
    <row r="468" ht="15.75" customHeight="1" s="349"/>
    <row r="469" ht="15.75" customHeight="1" s="349"/>
    <row r="470" ht="15.75" customHeight="1" s="349"/>
    <row r="471" ht="15.75" customHeight="1" s="349"/>
    <row r="472" ht="15.75" customHeight="1" s="349"/>
    <row r="473" ht="15.75" customHeight="1" s="349"/>
    <row r="474" ht="15.75" customHeight="1" s="349"/>
    <row r="475" ht="15.75" customHeight="1" s="349"/>
    <row r="476" ht="15.75" customHeight="1" s="349"/>
    <row r="477" ht="15.75" customHeight="1" s="349"/>
    <row r="478" ht="15.75" customHeight="1" s="349"/>
    <row r="479" ht="15.75" customHeight="1" s="349"/>
    <row r="480" ht="15.75" customHeight="1" s="349"/>
    <row r="481" ht="15.75" customHeight="1" s="349"/>
    <row r="482" ht="15.75" customHeight="1" s="349"/>
    <row r="483" ht="15.75" customHeight="1" s="349"/>
    <row r="484" ht="15.75" customHeight="1" s="349"/>
    <row r="485" ht="15.75" customHeight="1" s="349"/>
    <row r="486" ht="15.75" customHeight="1" s="349"/>
    <row r="487" ht="15.75" customHeight="1" s="349"/>
    <row r="488" ht="15.75" customHeight="1" s="349"/>
    <row r="489" ht="15.75" customHeight="1" s="349"/>
    <row r="490" ht="15.75" customHeight="1" s="349"/>
    <row r="491" ht="15.75" customHeight="1" s="349"/>
    <row r="492" ht="15.75" customHeight="1" s="349"/>
    <row r="493" ht="15.75" customHeight="1" s="349"/>
    <row r="494" ht="15.75" customHeight="1" s="349"/>
    <row r="495" ht="15.75" customHeight="1" s="349"/>
    <row r="496" ht="15.75" customHeight="1" s="349"/>
    <row r="497" ht="15.75" customHeight="1" s="349"/>
    <row r="498" ht="15.75" customHeight="1" s="349"/>
    <row r="499" ht="15.75" customHeight="1" s="349"/>
    <row r="500" ht="15.75" customHeight="1" s="349"/>
    <row r="501" ht="15.75" customHeight="1" s="349"/>
    <row r="502" ht="15.75" customHeight="1" s="349"/>
    <row r="503" ht="15.75" customHeight="1" s="349"/>
    <row r="504" ht="15.75" customHeight="1" s="349"/>
    <row r="505" ht="15.75" customHeight="1" s="349"/>
    <row r="506" ht="15.75" customHeight="1" s="349"/>
    <row r="507" ht="15.75" customHeight="1" s="349"/>
    <row r="508" ht="15.75" customHeight="1" s="349"/>
    <row r="509" ht="15.75" customHeight="1" s="349"/>
    <row r="510" ht="15.75" customHeight="1" s="349"/>
    <row r="511" ht="15.75" customHeight="1" s="349"/>
    <row r="512" ht="15.75" customHeight="1" s="349"/>
    <row r="513" ht="15.75" customHeight="1" s="349"/>
    <row r="514" ht="15.75" customHeight="1" s="349"/>
    <row r="515" ht="15.75" customHeight="1" s="349"/>
    <row r="516" ht="15.75" customHeight="1" s="349"/>
    <row r="517" ht="15.75" customHeight="1" s="349"/>
    <row r="518" ht="15.75" customHeight="1" s="349"/>
    <row r="519" ht="15.75" customHeight="1" s="349"/>
    <row r="520" ht="15.75" customHeight="1" s="349"/>
    <row r="521" ht="15.75" customHeight="1" s="349"/>
    <row r="522" ht="15.75" customHeight="1" s="349"/>
    <row r="523" ht="15.75" customHeight="1" s="349"/>
    <row r="524" ht="15.75" customHeight="1" s="349"/>
    <row r="525" ht="15.75" customHeight="1" s="349"/>
    <row r="526" ht="15.75" customHeight="1" s="349"/>
    <row r="527" ht="15.75" customHeight="1" s="349"/>
    <row r="528" ht="15.75" customHeight="1" s="349"/>
    <row r="529" ht="15.75" customHeight="1" s="349"/>
    <row r="530" ht="15.75" customHeight="1" s="349"/>
    <row r="531" ht="15.75" customHeight="1" s="349"/>
    <row r="532" ht="15.75" customHeight="1" s="349"/>
    <row r="533" ht="15.75" customHeight="1" s="349"/>
    <row r="534" ht="15.75" customHeight="1" s="349"/>
    <row r="535" ht="15.75" customHeight="1" s="349"/>
    <row r="536" ht="15.75" customHeight="1" s="349"/>
    <row r="537" ht="15.75" customHeight="1" s="349"/>
    <row r="538" ht="15.75" customHeight="1" s="349"/>
    <row r="539" ht="15.75" customHeight="1" s="349"/>
    <row r="540" ht="15.75" customHeight="1" s="349"/>
    <row r="541" ht="15.75" customHeight="1" s="349"/>
    <row r="542" ht="15.75" customHeight="1" s="349"/>
    <row r="543" ht="15.75" customHeight="1" s="349"/>
    <row r="544" ht="15.75" customHeight="1" s="349"/>
    <row r="545" ht="15.75" customHeight="1" s="349"/>
    <row r="546" ht="15.75" customHeight="1" s="349"/>
    <row r="547" ht="15.75" customHeight="1" s="349"/>
    <row r="548" ht="15.75" customHeight="1" s="349"/>
    <row r="549" ht="15.75" customHeight="1" s="349"/>
    <row r="550" ht="15.75" customHeight="1" s="349"/>
    <row r="551" ht="15.75" customHeight="1" s="349"/>
    <row r="552" ht="15.75" customHeight="1" s="349"/>
    <row r="553" ht="15.75" customHeight="1" s="349"/>
    <row r="554" ht="15.75" customHeight="1" s="349"/>
    <row r="555" ht="15.75" customHeight="1" s="349"/>
    <row r="556" ht="15.75" customHeight="1" s="349"/>
    <row r="557" ht="15.75" customHeight="1" s="349"/>
    <row r="558" ht="15.75" customHeight="1" s="349"/>
    <row r="559" ht="15.75" customHeight="1" s="349"/>
    <row r="560" ht="15.75" customHeight="1" s="349"/>
    <row r="561" ht="15.75" customHeight="1" s="349"/>
    <row r="562" ht="15.75" customHeight="1" s="349"/>
    <row r="563" ht="15.75" customHeight="1" s="349"/>
    <row r="564" ht="15.75" customHeight="1" s="349"/>
    <row r="565" ht="15.75" customHeight="1" s="349"/>
    <row r="566" ht="15.75" customHeight="1" s="349"/>
    <row r="567" ht="15.75" customHeight="1" s="349"/>
    <row r="568" ht="15.75" customHeight="1" s="349"/>
    <row r="569" ht="15.75" customHeight="1" s="349"/>
    <row r="570" ht="15.75" customHeight="1" s="349"/>
    <row r="571" ht="15.75" customHeight="1" s="349"/>
    <row r="572" ht="15.75" customHeight="1" s="349"/>
    <row r="573" ht="15.75" customHeight="1" s="349"/>
    <row r="574" ht="15.75" customHeight="1" s="349"/>
    <row r="575" ht="15.75" customHeight="1" s="349"/>
    <row r="576" ht="15.75" customHeight="1" s="349"/>
    <row r="577" ht="15.75" customHeight="1" s="349"/>
    <row r="578" ht="15.75" customHeight="1" s="349"/>
    <row r="579" ht="15.75" customHeight="1" s="349"/>
    <row r="580" ht="15.75" customHeight="1" s="349"/>
    <row r="581" ht="15.75" customHeight="1" s="349"/>
    <row r="582" ht="15.75" customHeight="1" s="349"/>
    <row r="583" ht="15.75" customHeight="1" s="349"/>
    <row r="584" ht="15.75" customHeight="1" s="349"/>
    <row r="585" ht="15.75" customHeight="1" s="349"/>
    <row r="586" ht="15.75" customHeight="1" s="349"/>
    <row r="587" ht="15.75" customHeight="1" s="349"/>
    <row r="588" ht="15.75" customHeight="1" s="349"/>
    <row r="589" ht="15.75" customHeight="1" s="349"/>
    <row r="590" ht="15.75" customHeight="1" s="349"/>
    <row r="591" ht="15.75" customHeight="1" s="349"/>
    <row r="592" ht="15.75" customHeight="1" s="349"/>
    <row r="593" ht="15.75" customHeight="1" s="349"/>
    <row r="594" ht="15.75" customHeight="1" s="349"/>
    <row r="595" ht="15.75" customHeight="1" s="349"/>
    <row r="596" ht="15.75" customHeight="1" s="349"/>
    <row r="597" ht="15.75" customHeight="1" s="349"/>
    <row r="598" ht="15.75" customHeight="1" s="349"/>
    <row r="599" ht="15.75" customHeight="1" s="349"/>
    <row r="600" ht="15.75" customHeight="1" s="349"/>
    <row r="601" ht="15.75" customHeight="1" s="349"/>
    <row r="602" ht="15.75" customHeight="1" s="349"/>
    <row r="603" ht="15.75" customHeight="1" s="349"/>
    <row r="604" ht="15.75" customHeight="1" s="349"/>
    <row r="605" ht="15.75" customHeight="1" s="349"/>
    <row r="606" ht="15.75" customHeight="1" s="349"/>
    <row r="607" ht="15.75" customHeight="1" s="349"/>
    <row r="608" ht="15.75" customHeight="1" s="349"/>
    <row r="609" ht="15.75" customHeight="1" s="349"/>
    <row r="610" ht="15.75" customHeight="1" s="349"/>
    <row r="611" ht="15.75" customHeight="1" s="349"/>
    <row r="612" ht="15.75" customHeight="1" s="349"/>
    <row r="613" ht="15.75" customHeight="1" s="349"/>
    <row r="614" ht="15.75" customHeight="1" s="349"/>
    <row r="615" ht="15.75" customHeight="1" s="349"/>
    <row r="616" ht="15.75" customHeight="1" s="349"/>
    <row r="617" ht="15.75" customHeight="1" s="349"/>
    <row r="618" ht="15.75" customHeight="1" s="349"/>
    <row r="619" ht="15.75" customHeight="1" s="349"/>
    <row r="620" ht="15.75" customHeight="1" s="349"/>
    <row r="621" ht="15.75" customHeight="1" s="349"/>
    <row r="622" ht="15.75" customHeight="1" s="349"/>
    <row r="623" ht="15.75" customHeight="1" s="349"/>
    <row r="624" ht="15.75" customHeight="1" s="349"/>
    <row r="625" ht="15.75" customHeight="1" s="349"/>
    <row r="626" ht="15.75" customHeight="1" s="349"/>
    <row r="627" ht="15.75" customHeight="1" s="349"/>
    <row r="628" ht="15.75" customHeight="1" s="349"/>
    <row r="629" ht="15.75" customHeight="1" s="349"/>
    <row r="630" ht="15.75" customHeight="1" s="349"/>
    <row r="631" ht="15.75" customHeight="1" s="349"/>
    <row r="632" ht="15.75" customHeight="1" s="349"/>
    <row r="633" ht="15.75" customHeight="1" s="349"/>
    <row r="634" ht="15.75" customHeight="1" s="349"/>
    <row r="635" ht="15.75" customHeight="1" s="349"/>
    <row r="636" ht="15.75" customHeight="1" s="349"/>
    <row r="637" ht="15.75" customHeight="1" s="349"/>
    <row r="638" ht="15.75" customHeight="1" s="349"/>
    <row r="639" ht="15.75" customHeight="1" s="349"/>
    <row r="640" ht="15.75" customHeight="1" s="349"/>
    <row r="641" ht="15.75" customHeight="1" s="349"/>
    <row r="642" ht="15.75" customHeight="1" s="349"/>
    <row r="643" ht="15.75" customHeight="1" s="349"/>
    <row r="644" ht="15.75" customHeight="1" s="349"/>
    <row r="645" ht="15.75" customHeight="1" s="349"/>
    <row r="646" ht="15.75" customHeight="1" s="349"/>
    <row r="647" ht="15.75" customHeight="1" s="349"/>
    <row r="648" ht="15.75" customHeight="1" s="349"/>
    <row r="649" ht="15.75" customHeight="1" s="349"/>
    <row r="650" ht="15.75" customHeight="1" s="349"/>
    <row r="651" ht="15.75" customHeight="1" s="349"/>
    <row r="652" ht="15.75" customHeight="1" s="349"/>
    <row r="653" ht="15.75" customHeight="1" s="349"/>
    <row r="654" ht="15.75" customHeight="1" s="349"/>
    <row r="655" ht="15.75" customHeight="1" s="349"/>
    <row r="656" ht="15.75" customHeight="1" s="349"/>
    <row r="657" ht="15.75" customHeight="1" s="349"/>
    <row r="658" ht="15.75" customHeight="1" s="349"/>
    <row r="659" ht="15.75" customHeight="1" s="349"/>
    <row r="660" ht="15.75" customHeight="1" s="349"/>
    <row r="661" ht="15.75" customHeight="1" s="349"/>
    <row r="662" ht="15.75" customHeight="1" s="349"/>
    <row r="663" ht="15.75" customHeight="1" s="349"/>
    <row r="664" ht="15.75" customHeight="1" s="349"/>
    <row r="665" ht="15.75" customHeight="1" s="349"/>
    <row r="666" ht="15.75" customHeight="1" s="349"/>
    <row r="667" ht="15.75" customHeight="1" s="349"/>
    <row r="668" ht="15.75" customHeight="1" s="349"/>
    <row r="669" ht="15.75" customHeight="1" s="349"/>
    <row r="670" ht="15.75" customHeight="1" s="349"/>
    <row r="671" ht="15.75" customHeight="1" s="349"/>
    <row r="672" ht="15.75" customHeight="1" s="349"/>
    <row r="673" ht="15.75" customHeight="1" s="349"/>
    <row r="674" ht="15.75" customHeight="1" s="349"/>
    <row r="675" ht="15.75" customHeight="1" s="349"/>
    <row r="676" ht="15.75" customHeight="1" s="349"/>
    <row r="677" ht="15.75" customHeight="1" s="349"/>
    <row r="678" ht="15.75" customHeight="1" s="349"/>
    <row r="679" ht="15.75" customHeight="1" s="349"/>
    <row r="680" ht="15.75" customHeight="1" s="349"/>
    <row r="681" ht="15.75" customHeight="1" s="349"/>
    <row r="682" ht="15.75" customHeight="1" s="349"/>
    <row r="683" ht="15.75" customHeight="1" s="349"/>
    <row r="684" ht="15.75" customHeight="1" s="349"/>
    <row r="685" ht="15.75" customHeight="1" s="349"/>
    <row r="686" ht="15.75" customHeight="1" s="349"/>
    <row r="687" ht="15.75" customHeight="1" s="349"/>
    <row r="688" ht="15.75" customHeight="1" s="349"/>
    <row r="689" ht="15.75" customHeight="1" s="349"/>
    <row r="690" ht="15.75" customHeight="1" s="349"/>
    <row r="691" ht="15.75" customHeight="1" s="349"/>
    <row r="692" ht="15.75" customHeight="1" s="349"/>
    <row r="693" ht="15.75" customHeight="1" s="349"/>
    <row r="694" ht="15.75" customHeight="1" s="349"/>
    <row r="695" ht="15.75" customHeight="1" s="349"/>
    <row r="696" ht="15.75" customHeight="1" s="349"/>
    <row r="697" ht="15.75" customHeight="1" s="349"/>
    <row r="698" ht="15.75" customHeight="1" s="349"/>
    <row r="699" ht="15.75" customHeight="1" s="349"/>
    <row r="700" ht="15.75" customHeight="1" s="349"/>
    <row r="701" ht="15.75" customHeight="1" s="349"/>
    <row r="702" ht="15.75" customHeight="1" s="349"/>
    <row r="703" ht="15.75" customHeight="1" s="349"/>
    <row r="704" ht="15.75" customHeight="1" s="349"/>
    <row r="705" ht="15.75" customHeight="1" s="349"/>
    <row r="706" ht="15.75" customHeight="1" s="349"/>
    <row r="707" ht="15.75" customHeight="1" s="349"/>
    <row r="708" ht="15.75" customHeight="1" s="349"/>
    <row r="709" ht="15.75" customHeight="1" s="349"/>
    <row r="710" ht="15.75" customHeight="1" s="349"/>
    <row r="711" ht="15.75" customHeight="1" s="349"/>
    <row r="712" ht="15.75" customHeight="1" s="349"/>
    <row r="713" ht="15.75" customHeight="1" s="349"/>
    <row r="714" ht="15.75" customHeight="1" s="349"/>
    <row r="715" ht="15.75" customHeight="1" s="349"/>
    <row r="716" ht="15.75" customHeight="1" s="349"/>
    <row r="717" ht="15.75" customHeight="1" s="349"/>
    <row r="718" ht="15.75" customHeight="1" s="349"/>
    <row r="719" ht="15.75" customHeight="1" s="349"/>
    <row r="720" ht="15.75" customHeight="1" s="349"/>
    <row r="721" ht="15.75" customHeight="1" s="349"/>
    <row r="722" ht="15.75" customHeight="1" s="349"/>
    <row r="723" ht="15.75" customHeight="1" s="349"/>
    <row r="724" ht="15.75" customHeight="1" s="349"/>
    <row r="725" ht="15.75" customHeight="1" s="349"/>
    <row r="726" ht="15.75" customHeight="1" s="349"/>
    <row r="727" ht="15.75" customHeight="1" s="349"/>
    <row r="728" ht="15.75" customHeight="1" s="349"/>
    <row r="729" ht="15.75" customHeight="1" s="349"/>
    <row r="730" ht="15.75" customHeight="1" s="349"/>
    <row r="731" ht="15.75" customHeight="1" s="349"/>
    <row r="732" ht="15.75" customHeight="1" s="349"/>
    <row r="733" ht="15.75" customHeight="1" s="349"/>
    <row r="734" ht="15.75" customHeight="1" s="349"/>
    <row r="735" ht="15.75" customHeight="1" s="349"/>
    <row r="736" ht="15.75" customHeight="1" s="349"/>
    <row r="737" ht="15.75" customHeight="1" s="349"/>
    <row r="738" ht="15.75" customHeight="1" s="349"/>
    <row r="739" ht="15.75" customHeight="1" s="349"/>
    <row r="740" ht="15.75" customHeight="1" s="349"/>
    <row r="741" ht="15.75" customHeight="1" s="349"/>
    <row r="742" ht="15.75" customHeight="1" s="349"/>
    <row r="743" ht="15.75" customHeight="1" s="349"/>
    <row r="744" ht="15.75" customHeight="1" s="349"/>
    <row r="745" ht="15.75" customHeight="1" s="349"/>
    <row r="746" ht="15.75" customHeight="1" s="349"/>
    <row r="747" ht="15.75" customHeight="1" s="349"/>
    <row r="748" ht="15.75" customHeight="1" s="349"/>
    <row r="749" ht="15.75" customHeight="1" s="349"/>
    <row r="750" ht="15.75" customHeight="1" s="349"/>
    <row r="751" ht="15.75" customHeight="1" s="349"/>
    <row r="752" ht="15.75" customHeight="1" s="349"/>
    <row r="753" ht="15.75" customHeight="1" s="349"/>
    <row r="754" ht="15.75" customHeight="1" s="349"/>
    <row r="755" ht="15.75" customHeight="1" s="349"/>
    <row r="756" ht="15.75" customHeight="1" s="349"/>
    <row r="757" ht="15.75" customHeight="1" s="349"/>
    <row r="758" ht="15.75" customHeight="1" s="349"/>
    <row r="759" ht="15.75" customHeight="1" s="349"/>
    <row r="760" ht="15.75" customHeight="1" s="349"/>
    <row r="761" ht="15.75" customHeight="1" s="349"/>
    <row r="762" ht="15.75" customHeight="1" s="349"/>
    <row r="763" ht="15.75" customHeight="1" s="349"/>
    <row r="764" ht="15.75" customHeight="1" s="349"/>
    <row r="765" ht="15.75" customHeight="1" s="349"/>
    <row r="766" ht="15.75" customHeight="1" s="349"/>
    <row r="767" ht="15.75" customHeight="1" s="349"/>
    <row r="768" ht="15.75" customHeight="1" s="349"/>
    <row r="769" ht="15.75" customHeight="1" s="349"/>
    <row r="770" ht="15.75" customHeight="1" s="349"/>
    <row r="771" ht="15.75" customHeight="1" s="349"/>
    <row r="772" ht="15.75" customHeight="1" s="349"/>
    <row r="773" ht="15.75" customHeight="1" s="349"/>
    <row r="774" ht="15.75" customHeight="1" s="349"/>
    <row r="775" ht="15.75" customHeight="1" s="349"/>
    <row r="776" ht="15.75" customHeight="1" s="349"/>
    <row r="777" ht="15.75" customHeight="1" s="349"/>
    <row r="778" ht="15.75" customHeight="1" s="349"/>
    <row r="779" ht="15.75" customHeight="1" s="349"/>
    <row r="780" ht="15.75" customHeight="1" s="349"/>
    <row r="781" ht="15.75" customHeight="1" s="349"/>
    <row r="782" ht="15.75" customHeight="1" s="349"/>
    <row r="783" ht="15.75" customHeight="1" s="349"/>
    <row r="784" ht="15.75" customHeight="1" s="349"/>
    <row r="785" ht="15.75" customHeight="1" s="349"/>
    <row r="786" ht="15.75" customHeight="1" s="349"/>
    <row r="787" ht="15.75" customHeight="1" s="349"/>
    <row r="788" ht="15.75" customHeight="1" s="349"/>
    <row r="789" ht="15.75" customHeight="1" s="349"/>
    <row r="790" ht="15.75" customHeight="1" s="349"/>
    <row r="791" ht="15.75" customHeight="1" s="349"/>
    <row r="792" ht="15.75" customHeight="1" s="349"/>
    <row r="793" ht="15.75" customHeight="1" s="349"/>
    <row r="794" ht="15.75" customHeight="1" s="349"/>
    <row r="795" ht="15.75" customHeight="1" s="349"/>
    <row r="796" ht="15.75" customHeight="1" s="349"/>
    <row r="797" ht="15.75" customHeight="1" s="349"/>
    <row r="798" ht="15.75" customHeight="1" s="349"/>
    <row r="799" ht="15.75" customHeight="1" s="349"/>
    <row r="800" ht="15.75" customHeight="1" s="349"/>
    <row r="801" ht="15.75" customHeight="1" s="349"/>
    <row r="802" ht="15.75" customHeight="1" s="349"/>
    <row r="803" ht="15.75" customHeight="1" s="349"/>
    <row r="804" ht="15.75" customHeight="1" s="349"/>
    <row r="805" ht="15.75" customHeight="1" s="349"/>
    <row r="806" ht="15.75" customHeight="1" s="349"/>
    <row r="807" ht="15.75" customHeight="1" s="349"/>
    <row r="808" ht="15.75" customHeight="1" s="349"/>
    <row r="809" ht="15.75" customHeight="1" s="349"/>
    <row r="810" ht="15.75" customHeight="1" s="349"/>
    <row r="811" ht="15.75" customHeight="1" s="349"/>
    <row r="812" ht="15.75" customHeight="1" s="349"/>
    <row r="813" ht="15.75" customHeight="1" s="349"/>
    <row r="814" ht="15.75" customHeight="1" s="349"/>
    <row r="815" ht="15.75" customHeight="1" s="349"/>
    <row r="816" ht="15.75" customHeight="1" s="349"/>
    <row r="817" ht="15.75" customHeight="1" s="349"/>
    <row r="818" ht="15.75" customHeight="1" s="349"/>
    <row r="819" ht="15.75" customHeight="1" s="349"/>
    <row r="820" ht="15.75" customHeight="1" s="349"/>
    <row r="821" ht="15.75" customHeight="1" s="349"/>
    <row r="822" ht="15.75" customHeight="1" s="349"/>
    <row r="823" ht="15.75" customHeight="1" s="349"/>
    <row r="824" ht="15.75" customHeight="1" s="349"/>
    <row r="825" ht="15.75" customHeight="1" s="349"/>
    <row r="826" ht="15.75" customHeight="1" s="349"/>
    <row r="827" ht="15.75" customHeight="1" s="349"/>
    <row r="828" ht="15.75" customHeight="1" s="349"/>
    <row r="829" ht="15.75" customHeight="1" s="349"/>
    <row r="830" ht="15.75" customHeight="1" s="349"/>
    <row r="831" ht="15.75" customHeight="1" s="349"/>
    <row r="832" ht="15.75" customHeight="1" s="349"/>
    <row r="833" ht="15.75" customHeight="1" s="349"/>
    <row r="834" ht="15.75" customHeight="1" s="349"/>
    <row r="835" ht="15.75" customHeight="1" s="349"/>
    <row r="836" ht="15.75" customHeight="1" s="349"/>
    <row r="837" ht="15.75" customHeight="1" s="349"/>
    <row r="838" ht="15.75" customHeight="1" s="349"/>
    <row r="839" ht="15.75" customHeight="1" s="349"/>
    <row r="840" ht="15.75" customHeight="1" s="349"/>
    <row r="841" ht="15.75" customHeight="1" s="349"/>
    <row r="842" ht="15.75" customHeight="1" s="349"/>
    <row r="843" ht="15.75" customHeight="1" s="349"/>
    <row r="844" ht="15.75" customHeight="1" s="349"/>
    <row r="845" ht="15.75" customHeight="1" s="349"/>
    <row r="846" ht="15.75" customHeight="1" s="349"/>
    <row r="847" ht="15.75" customHeight="1" s="349"/>
    <row r="848" ht="15.75" customHeight="1" s="349"/>
    <row r="849" ht="15.75" customHeight="1" s="349"/>
    <row r="850" ht="15.75" customHeight="1" s="349"/>
    <row r="851" ht="15.75" customHeight="1" s="349"/>
    <row r="852" ht="15.75" customHeight="1" s="349"/>
    <row r="853" ht="15.75" customHeight="1" s="349"/>
    <row r="854" ht="15.75" customHeight="1" s="349"/>
    <row r="855" ht="15.75" customHeight="1" s="349"/>
    <row r="856" ht="15.75" customHeight="1" s="349"/>
    <row r="857" ht="15.75" customHeight="1" s="349"/>
    <row r="858" ht="15.75" customHeight="1" s="349"/>
    <row r="859" ht="15.75" customHeight="1" s="349"/>
    <row r="860" ht="15.75" customHeight="1" s="349"/>
    <row r="861" ht="15.75" customHeight="1" s="349"/>
    <row r="862" ht="15.75" customHeight="1" s="349"/>
    <row r="863" ht="15.75" customHeight="1" s="349"/>
    <row r="864" ht="15.75" customHeight="1" s="349"/>
    <row r="865" ht="15.75" customHeight="1" s="349"/>
    <row r="866" ht="15.75" customHeight="1" s="349"/>
    <row r="867" ht="15.75" customHeight="1" s="349"/>
    <row r="868" ht="15.75" customHeight="1" s="349"/>
    <row r="869" ht="15.75" customHeight="1" s="349"/>
    <row r="870" ht="15.75" customHeight="1" s="349"/>
    <row r="871" ht="15.75" customHeight="1" s="349"/>
    <row r="872" ht="15.75" customHeight="1" s="349"/>
    <row r="873" ht="15.75" customHeight="1" s="349"/>
    <row r="874" ht="15.75" customHeight="1" s="349"/>
    <row r="875" ht="15.75" customHeight="1" s="349"/>
    <row r="876" ht="15.75" customHeight="1" s="349"/>
    <row r="877" ht="15.75" customHeight="1" s="349"/>
    <row r="878" ht="15.75" customHeight="1" s="349"/>
    <row r="879" ht="15.75" customHeight="1" s="349"/>
    <row r="880" ht="15.75" customHeight="1" s="349"/>
    <row r="881" ht="15.75" customHeight="1" s="349"/>
    <row r="882" ht="15.75" customHeight="1" s="349"/>
    <row r="883" ht="15.75" customHeight="1" s="349"/>
    <row r="884" ht="15.75" customHeight="1" s="349"/>
    <row r="885" ht="15.75" customHeight="1" s="349"/>
    <row r="886" ht="15.75" customHeight="1" s="349"/>
    <row r="887" ht="15.75" customHeight="1" s="349"/>
    <row r="888" ht="15.75" customHeight="1" s="349"/>
    <row r="889" ht="15.75" customHeight="1" s="349"/>
    <row r="890" ht="15.75" customHeight="1" s="349"/>
    <row r="891" ht="15.75" customHeight="1" s="349"/>
    <row r="892" ht="15.75" customHeight="1" s="349"/>
    <row r="893" ht="15.75" customHeight="1" s="349"/>
    <row r="894" ht="15.75" customHeight="1" s="349"/>
    <row r="895" ht="15.75" customHeight="1" s="349"/>
    <row r="896" ht="15.75" customHeight="1" s="349"/>
    <row r="897" ht="15.75" customHeight="1" s="349"/>
    <row r="898" ht="15.75" customHeight="1" s="349"/>
    <row r="899" ht="15.75" customHeight="1" s="349"/>
    <row r="900" ht="15.75" customHeight="1" s="349"/>
    <row r="901" ht="15.75" customHeight="1" s="349"/>
    <row r="902" ht="15.75" customHeight="1" s="349"/>
    <row r="903" ht="15.75" customHeight="1" s="349"/>
    <row r="904" ht="15.75" customHeight="1" s="349"/>
    <row r="905" ht="15.75" customHeight="1" s="349"/>
    <row r="906" ht="15.75" customHeight="1" s="349"/>
    <row r="907" ht="15.75" customHeight="1" s="349"/>
    <row r="908" ht="15.75" customHeight="1" s="349"/>
    <row r="909" ht="15.75" customHeight="1" s="349"/>
    <row r="910" ht="15.75" customHeight="1" s="349"/>
    <row r="911" ht="15.75" customHeight="1" s="349"/>
    <row r="912" ht="15.75" customHeight="1" s="349"/>
    <row r="913" ht="15.75" customHeight="1" s="349"/>
    <row r="914" ht="15.75" customHeight="1" s="349"/>
    <row r="915" ht="15.75" customHeight="1" s="349"/>
    <row r="916" ht="15.75" customHeight="1" s="349"/>
    <row r="917" ht="15.75" customHeight="1" s="349"/>
    <row r="918" ht="15.75" customHeight="1" s="349"/>
    <row r="919" ht="15.75" customHeight="1" s="349"/>
    <row r="920" ht="15.75" customHeight="1" s="349"/>
    <row r="921" ht="15.75" customHeight="1" s="349"/>
    <row r="922" ht="15.75" customHeight="1" s="349"/>
    <row r="923" ht="15.75" customHeight="1" s="349"/>
    <row r="924" ht="15.75" customHeight="1" s="349"/>
    <row r="925" ht="15.75" customHeight="1" s="349"/>
    <row r="926" ht="15.75" customHeight="1" s="349"/>
    <row r="927" ht="15.75" customHeight="1" s="349"/>
    <row r="928" ht="15.75" customHeight="1" s="349"/>
    <row r="929" ht="15.75" customHeight="1" s="349"/>
    <row r="930" ht="15.75" customHeight="1" s="349"/>
    <row r="931" ht="15.75" customHeight="1" s="349"/>
    <row r="932" ht="15.75" customHeight="1" s="349"/>
    <row r="933" ht="15.75" customHeight="1" s="349"/>
    <row r="934" ht="15.75" customHeight="1" s="349"/>
    <row r="935" ht="15.75" customHeight="1" s="349"/>
    <row r="936" ht="15.75" customHeight="1" s="349"/>
    <row r="937" ht="15.75" customHeight="1" s="349"/>
    <row r="938" ht="15.75" customHeight="1" s="349"/>
    <row r="939" ht="15.75" customHeight="1" s="349"/>
    <row r="940" ht="15.75" customHeight="1" s="349"/>
    <row r="941" ht="15.75" customHeight="1" s="349"/>
    <row r="942" ht="15.75" customHeight="1" s="349"/>
    <row r="943" ht="15.75" customHeight="1" s="349"/>
    <row r="944" ht="15.75" customHeight="1" s="349"/>
    <row r="945" ht="15.75" customHeight="1" s="349"/>
    <row r="946" ht="15.75" customHeight="1" s="349"/>
    <row r="947" ht="15.75" customHeight="1" s="349"/>
    <row r="948" ht="15.75" customHeight="1" s="349"/>
    <row r="949" ht="15.75" customHeight="1" s="349"/>
    <row r="950" ht="15.75" customHeight="1" s="349"/>
    <row r="951" ht="15.75" customHeight="1" s="349"/>
    <row r="952" ht="15.75" customHeight="1" s="349"/>
    <row r="953" ht="15.75" customHeight="1" s="349"/>
    <row r="954" ht="15.75" customHeight="1" s="349"/>
    <row r="955" ht="15.75" customHeight="1" s="349"/>
    <row r="956" ht="15.75" customHeight="1" s="349"/>
    <row r="957" ht="15.75" customHeight="1" s="349"/>
    <row r="958" ht="15.75" customHeight="1" s="349"/>
    <row r="959" ht="15.75" customHeight="1" s="349"/>
    <row r="960" ht="15.75" customHeight="1" s="349"/>
    <row r="961" ht="15.75" customHeight="1" s="349"/>
    <row r="962" ht="15.75" customHeight="1" s="349"/>
    <row r="963" ht="15.75" customHeight="1" s="349"/>
    <row r="964" ht="15.75" customHeight="1" s="349"/>
    <row r="965" ht="15.75" customHeight="1" s="349"/>
    <row r="966" ht="15.75" customHeight="1" s="349"/>
    <row r="967" ht="15.75" customHeight="1" s="349"/>
    <row r="968" ht="15.75" customHeight="1" s="349"/>
    <row r="969" ht="15.75" customHeight="1" s="349"/>
    <row r="970" ht="15.75" customHeight="1" s="349"/>
    <row r="971" ht="15.75" customHeight="1" s="349"/>
    <row r="972" ht="15.75" customHeight="1" s="349"/>
    <row r="973" ht="15.75" customHeight="1" s="349"/>
    <row r="974" ht="15.75" customHeight="1" s="349"/>
    <row r="975" ht="15.75" customHeight="1" s="349"/>
    <row r="976" ht="15.75" customHeight="1" s="349"/>
    <row r="977" ht="15.75" customHeight="1" s="349"/>
    <row r="978" ht="15.75" customHeight="1" s="349"/>
    <row r="979" ht="15.75" customHeight="1" s="349"/>
    <row r="980" ht="15.75" customHeight="1" s="349"/>
    <row r="981" ht="15.75" customHeight="1" s="349"/>
    <row r="982" ht="15.75" customHeight="1" s="349"/>
    <row r="983" ht="15.75" customHeight="1" s="349"/>
    <row r="984" ht="15.75" customHeight="1" s="349"/>
    <row r="985" ht="15.75" customHeight="1" s="349"/>
    <row r="986" ht="15.75" customHeight="1" s="349"/>
    <row r="987" ht="15.75" customHeight="1" s="349"/>
    <row r="988" ht="15.75" customHeight="1" s="349"/>
    <row r="989" ht="15.75" customHeight="1" s="349"/>
    <row r="990" ht="15.75" customHeight="1" s="349"/>
    <row r="991" ht="15.75" customHeight="1" s="349"/>
    <row r="992" ht="15.75" customHeight="1" s="349"/>
    <row r="993" ht="15.75" customHeight="1" s="349"/>
    <row r="994" ht="15.75" customHeight="1" s="349"/>
    <row r="995" ht="15.75" customHeight="1" s="349"/>
    <row r="996" ht="15.75" customHeight="1" s="349"/>
    <row r="997" ht="15.75" customHeight="1" s="349"/>
    <row r="998" ht="15.75" customHeight="1" s="349"/>
    <row r="999" ht="15.75" customHeight="1" s="349"/>
    <row r="1000" ht="15.75" customHeight="1" s="349"/>
  </sheetData>
  <pageMargins left="0.75" right="0.75" top="1" bottom="1" header="0" footer="0"/>
  <pageSetup orientation="landscape"/>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T220"/>
  <sheetViews>
    <sheetView showGridLines="0" workbookViewId="0">
      <selection activeCell="A1" sqref="A1"/>
    </sheetView>
  </sheetViews>
  <sheetFormatPr baseColWidth="8" defaultColWidth="14.43" defaultRowHeight="15" customHeight="1"/>
  <cols>
    <col width="2" customWidth="1" style="349" min="1" max="1"/>
    <col width="30" customWidth="1" style="349" min="2" max="2"/>
    <col width="7" customWidth="1" style="349" min="3" max="3"/>
    <col width="10" customWidth="1" style="349" min="4" max="4"/>
    <col width="10.43" customWidth="1" style="349" min="5" max="5"/>
    <col width="11.29" customWidth="1" style="349" min="6" max="6"/>
    <col width="12.14" customWidth="1" style="349" min="7" max="7"/>
    <col width="10.71" customWidth="1" style="349" min="8" max="8"/>
    <col width="9" customWidth="1" style="349" min="9" max="9"/>
    <col width="15.71" customWidth="1" style="349" min="10" max="10"/>
    <col width="5" customWidth="1" style="349" min="11" max="12"/>
    <col width="9.57" customWidth="1" style="349" min="13" max="13"/>
    <col width="10.71" customWidth="1" style="349" min="14" max="14"/>
    <col width="11.57" customWidth="1" style="349" min="15" max="15"/>
    <col width="10.71" customWidth="1" style="349" min="16" max="16"/>
    <col width="9" customWidth="1" style="349" min="17" max="18"/>
    <col width="13.29" customWidth="1" style="349" min="19" max="19"/>
    <col width="9.57" customWidth="1" style="349" min="20" max="22"/>
    <col width="10.71" customWidth="1" style="349" min="23" max="23"/>
    <col width="19.57" customWidth="1" style="349" min="24" max="24"/>
    <col width="19.71" customWidth="1" style="349" min="25" max="25"/>
    <col width="16.57" customWidth="1" style="349" min="26" max="26"/>
    <col width="9" customWidth="1" style="349" min="27" max="33"/>
    <col width="8" customWidth="1" style="349" min="34" max="42"/>
  </cols>
  <sheetData>
    <row r="1">
      <c r="A1" s="307" t="n"/>
      <c r="B1" s="307" t="n"/>
      <c r="C1" s="307" t="n"/>
      <c r="D1" s="307" t="n"/>
      <c r="E1" s="307" t="n"/>
      <c r="F1" s="307" t="n"/>
      <c r="G1" s="307" t="n"/>
      <c r="H1" s="307" t="n"/>
      <c r="I1" s="307" t="n"/>
      <c r="J1" s="307" t="n"/>
      <c r="K1" s="307" t="n"/>
      <c r="L1" s="307" t="n"/>
      <c r="M1" s="307" t="n"/>
      <c r="N1" s="307" t="n"/>
      <c r="O1" s="307" t="n"/>
      <c r="P1" s="307" t="n"/>
      <c r="Q1" s="307" t="n"/>
      <c r="R1" s="307" t="n"/>
      <c r="S1" s="307" t="n"/>
      <c r="T1" s="307" t="n"/>
      <c r="U1" s="307" t="n"/>
      <c r="V1" s="307" t="n"/>
      <c r="W1" s="307" t="n"/>
      <c r="X1" s="307" t="n"/>
      <c r="Y1" s="307" t="n"/>
      <c r="Z1" s="307" t="n"/>
      <c r="AA1" s="307" t="n"/>
      <c r="AB1" s="307" t="n"/>
      <c r="AC1" s="307" t="n"/>
      <c r="AD1" s="307" t="n"/>
      <c r="AE1" s="307" t="n"/>
      <c r="AF1" s="307" t="n"/>
      <c r="AG1" s="307" t="n"/>
      <c r="AH1" s="307" t="n"/>
      <c r="AI1" s="307" t="n"/>
      <c r="AJ1" s="307" t="n"/>
      <c r="AK1" s="307" t="n"/>
      <c r="AL1" s="307" t="n"/>
      <c r="AM1" s="307" t="n"/>
      <c r="AN1" s="307" t="n"/>
      <c r="AO1" s="307" t="n"/>
      <c r="AP1" s="307" t="n"/>
      <c r="AQ1" s="307" t="n"/>
      <c r="AR1" s="307" t="n"/>
      <c r="AS1" s="307" t="n"/>
      <c r="AT1" s="307" t="n"/>
    </row>
    <row r="2" ht="13.5" customHeight="1" s="349">
      <c r="A2" s="300" t="n"/>
      <c r="B2" s="301" t="inlineStr">
        <is>
          <t>Financials</t>
        </is>
      </c>
      <c r="C2" s="302" t="n">
        <v>2025</v>
      </c>
      <c r="D2" s="302" t="n">
        <v>2026</v>
      </c>
      <c r="E2" s="302" t="n">
        <v>2027</v>
      </c>
      <c r="F2" s="302" t="n">
        <v>2028</v>
      </c>
      <c r="G2" s="302" t="n">
        <v>2029</v>
      </c>
      <c r="H2" s="302" t="n"/>
      <c r="I2" s="302" t="n"/>
      <c r="J2" s="301" t="inlineStr">
        <is>
          <t>Units &amp; Revenues</t>
        </is>
      </c>
      <c r="K2" s="302" t="n"/>
      <c r="L2" s="302" t="n">
        <v>2026</v>
      </c>
      <c r="M2" s="302" t="n">
        <v>2027</v>
      </c>
      <c r="N2" s="302" t="n">
        <v>2028</v>
      </c>
      <c r="O2" s="302" t="n">
        <v>2029</v>
      </c>
      <c r="P2" s="302" t="n"/>
      <c r="Q2" s="302" t="n"/>
      <c r="R2" s="302" t="n"/>
      <c r="S2" s="302" t="n"/>
      <c r="T2" s="302" t="n"/>
      <c r="U2" s="302" t="n">
        <v>2026</v>
      </c>
      <c r="V2" s="302" t="n">
        <v>2027</v>
      </c>
      <c r="W2" s="302" t="n">
        <v>2028</v>
      </c>
      <c r="X2" s="302" t="n">
        <v>2029</v>
      </c>
      <c r="Y2" s="302" t="n"/>
      <c r="Z2" s="302" t="n"/>
      <c r="AA2" s="302" t="n"/>
      <c r="AB2" s="302" t="n"/>
      <c r="AC2" s="302" t="n"/>
      <c r="AD2" s="302" t="n"/>
      <c r="AE2" s="305" t="n"/>
      <c r="AF2" s="305" t="n"/>
      <c r="AG2" s="305" t="n"/>
      <c r="AH2" s="305" t="n"/>
      <c r="AI2" s="305" t="n"/>
      <c r="AJ2" s="305" t="n"/>
      <c r="AK2" s="305" t="n"/>
      <c r="AL2" s="305" t="n"/>
      <c r="AM2" s="305" t="n"/>
      <c r="AN2" s="305" t="n"/>
      <c r="AO2" s="305" t="n"/>
      <c r="AP2" s="305" t="n"/>
      <c r="AQ2" s="305" t="n"/>
      <c r="AR2" s="305" t="n"/>
      <c r="AS2" s="306" t="n"/>
      <c r="AT2" s="300" t="n"/>
    </row>
    <row r="3" ht="15.75" customHeight="1" s="349">
      <c r="A3" s="307" t="n"/>
      <c r="B3" s="307" t="inlineStr">
        <is>
          <t>REVENUES (€)</t>
        </is>
      </c>
      <c r="C3" s="233">
        <f>'Financial Statements'!BB11</f>
        <v/>
      </c>
      <c r="D3" s="233">
        <f>'Financial Statements'!BC11</f>
        <v/>
      </c>
      <c r="E3" s="233">
        <f>'Financial Statements'!BD11</f>
        <v/>
      </c>
      <c r="F3" s="233">
        <f>'Financial Statements'!BE11</f>
        <v/>
      </c>
      <c r="G3" s="233">
        <f>'Financial Statements'!BF11</f>
        <v/>
      </c>
      <c r="H3" s="307" t="n"/>
      <c r="I3" s="307" t="n"/>
      <c r="J3" s="307" t="inlineStr">
        <is>
          <t>TTK units sold</t>
        </is>
      </c>
      <c r="K3" s="233" t="n"/>
      <c r="L3" s="233">
        <f>'Revenue Forecast'!BC6</f>
        <v/>
      </c>
      <c r="M3" s="233">
        <f>'Revenue Forecast'!BD6</f>
        <v/>
      </c>
      <c r="N3" s="233">
        <f>'Revenue Forecast'!BE6</f>
        <v/>
      </c>
      <c r="O3" s="233">
        <f>'Revenue Forecast'!BF6</f>
        <v/>
      </c>
      <c r="P3" s="307" t="n"/>
      <c r="Q3" s="307" t="n"/>
      <c r="R3" s="307" t="n"/>
      <c r="S3" s="307" t="inlineStr">
        <is>
          <t>Headcount</t>
        </is>
      </c>
      <c r="T3" s="233" t="n"/>
      <c r="U3" s="233">
        <f>COUNTIFS(Personnel!$F$3:$F$56,"&lt;="&amp;DATE(U$2,12,1),Personnel!$G$3:$G$56,"&gt;="&amp;DATE(U$2,12,1))+COUNTIFS(Personnel!$F$3:$F$56,"&lt;="&amp;DATE(U$2,12,1),Personnel!$G$3:$G$56,"")</f>
        <v/>
      </c>
      <c r="V3" s="233">
        <f>COUNTIFS(Personnel!$F$3:$F$56,"&lt;="&amp;DATE(V$2,12,1),Personnel!$G$3:$G$56,"&gt;="&amp;DATE(V$2,12,1))+COUNTIFS(Personnel!$F$3:$F$56,"&lt;="&amp;DATE(V$2,12,1),Personnel!$G$3:$G$56,"")</f>
        <v/>
      </c>
      <c r="W3" s="233">
        <f>COUNTIFS(Personnel!$F$3:$F$56,"&lt;="&amp;DATE(W$2,12,1),Personnel!$G$3:$G$56,"&gt;="&amp;DATE(W$2,12,1))+COUNTIFS(Personnel!$F$3:$F$56,"&lt;="&amp;DATE(W$2,12,1),Personnel!$G$3:$G$56,"")</f>
        <v/>
      </c>
      <c r="X3" s="233">
        <f>COUNTIFS(Personnel!$F$3:$F$56,"&lt;="&amp;DATE(X$2,12,1),Personnel!$G$3:$G$56,"&gt;="&amp;DATE(X$2,12,1))+COUNTIFS(Personnel!$F$3:$F$56,"&lt;="&amp;DATE(X$2,12,1),Personnel!$G$3:$G$56,"")</f>
        <v/>
      </c>
      <c r="Y3" s="233" t="n"/>
      <c r="Z3" s="307" t="n"/>
      <c r="AA3" s="307" t="n"/>
      <c r="AB3" s="307" t="n"/>
      <c r="AC3" s="307" t="n"/>
      <c r="AD3" s="307" t="n"/>
      <c r="AE3" s="307" t="n"/>
      <c r="AF3" s="307" t="n"/>
      <c r="AG3" s="307" t="n"/>
      <c r="AH3" s="307" t="n"/>
      <c r="AI3" s="307" t="n"/>
      <c r="AJ3" s="307" t="n"/>
      <c r="AK3" s="307" t="n"/>
      <c r="AL3" s="307" t="n"/>
      <c r="AM3" s="307" t="n"/>
      <c r="AN3" s="307" t="n"/>
      <c r="AO3" s="307" t="n"/>
      <c r="AP3" s="307" t="n"/>
      <c r="AQ3" s="307" t="n"/>
      <c r="AR3" s="307" t="n"/>
      <c r="AS3" s="307" t="n"/>
      <c r="AT3" s="307" t="n"/>
    </row>
    <row r="4" ht="15.75" customHeight="1" s="349">
      <c r="A4" s="307" t="n"/>
      <c r="B4" s="307" t="inlineStr">
        <is>
          <t>COGS (€)</t>
        </is>
      </c>
      <c r="C4" s="307" t="n"/>
      <c r="D4" s="233">
        <f>'Financial Statements'!BC17</f>
        <v/>
      </c>
      <c r="E4" s="233">
        <f>'Financial Statements'!BD17</f>
        <v/>
      </c>
      <c r="F4" s="233">
        <f>'Financial Statements'!BE17</f>
        <v/>
      </c>
      <c r="G4" s="233">
        <f>'Financial Statements'!BF17</f>
        <v/>
      </c>
      <c r="H4" s="307" t="n"/>
      <c r="I4" s="307" t="n"/>
      <c r="J4" s="307" t="inlineStr">
        <is>
          <t>Combi+ units sold</t>
        </is>
      </c>
      <c r="K4" s="233" t="n"/>
      <c r="L4" s="233">
        <f>'Revenue Forecast'!BC12</f>
        <v/>
      </c>
      <c r="M4" s="233">
        <f>'Revenue Forecast'!BD12</f>
        <v/>
      </c>
      <c r="N4" s="233">
        <f>'Revenue Forecast'!BE12</f>
        <v/>
      </c>
      <c r="O4" s="233">
        <f>'Revenue Forecast'!BF12</f>
        <v/>
      </c>
      <c r="P4" s="307" t="n"/>
      <c r="Q4" s="307" t="n"/>
      <c r="R4" s="307" t="n"/>
      <c r="S4" s="307" t="inlineStr">
        <is>
          <t>Revenue/FTE</t>
        </is>
      </c>
      <c r="T4" s="233" t="n"/>
      <c r="U4" s="233">
        <f>D3/U3</f>
        <v/>
      </c>
      <c r="V4" s="233">
        <f>E3/V3</f>
        <v/>
      </c>
      <c r="W4" s="233">
        <f>F3/W3</f>
        <v/>
      </c>
      <c r="X4" s="233">
        <f>G3/X3</f>
        <v/>
      </c>
      <c r="Y4" s="233" t="n"/>
      <c r="Z4" s="307" t="n"/>
      <c r="AA4" s="307" t="n"/>
      <c r="AB4" s="307" t="n"/>
      <c r="AC4" s="307" t="n"/>
      <c r="AD4" s="307" t="n"/>
      <c r="AE4" s="307" t="n"/>
      <c r="AF4" s="307" t="n"/>
      <c r="AG4" s="307" t="n"/>
      <c r="AH4" s="307" t="n"/>
      <c r="AI4" s="307" t="n"/>
      <c r="AJ4" s="307" t="n"/>
      <c r="AK4" s="307" t="n"/>
      <c r="AL4" s="307" t="n"/>
      <c r="AM4" s="307" t="n"/>
      <c r="AN4" s="307" t="n"/>
      <c r="AO4" s="307" t="n"/>
      <c r="AP4" s="307" t="n"/>
      <c r="AQ4" s="307" t="n"/>
      <c r="AR4" s="307" t="n"/>
      <c r="AS4" s="307" t="n"/>
      <c r="AT4" s="307" t="n"/>
    </row>
    <row r="5" ht="15.75" customHeight="1" s="349">
      <c r="A5" s="307" t="n"/>
      <c r="B5" s="307" t="inlineStr">
        <is>
          <t>OPEX (€)</t>
        </is>
      </c>
      <c r="C5" s="307" t="n"/>
      <c r="D5" s="233">
        <f>'Financial Statements'!BC30</f>
        <v/>
      </c>
      <c r="E5" s="233">
        <f>'Financial Statements'!BD30</f>
        <v/>
      </c>
      <c r="F5" s="233">
        <f>'Financial Statements'!BE30</f>
        <v/>
      </c>
      <c r="G5" s="233">
        <f>'Financial Statements'!BF30</f>
        <v/>
      </c>
      <c r="H5" s="307" t="n"/>
      <c r="I5" s="307" t="n"/>
      <c r="J5" s="307" t="inlineStr">
        <is>
          <t>TTK revenues</t>
        </is>
      </c>
      <c r="K5" s="233" t="n"/>
      <c r="L5" s="233">
        <f>'Revenue Forecast'!BC9</f>
        <v/>
      </c>
      <c r="M5" s="233">
        <f>'Revenue Forecast'!BD9</f>
        <v/>
      </c>
      <c r="N5" s="233">
        <f>'Revenue Forecast'!BE9</f>
        <v/>
      </c>
      <c r="O5" s="233">
        <f>'Revenue Forecast'!BF9</f>
        <v/>
      </c>
      <c r="P5" s="307" t="n"/>
      <c r="Q5" s="307" t="n"/>
      <c r="R5" s="307" t="n"/>
      <c r="S5" s="307" t="inlineStr">
        <is>
          <t>EBITDA/FTE</t>
        </is>
      </c>
      <c r="T5" s="307" t="n"/>
      <c r="U5" s="233">
        <f>D6/U3</f>
        <v/>
      </c>
      <c r="V5" s="233">
        <f>E6/V3</f>
        <v/>
      </c>
      <c r="W5" s="233">
        <f>F6/W3</f>
        <v/>
      </c>
      <c r="X5" s="233">
        <f>G6/X3</f>
        <v/>
      </c>
      <c r="Y5" s="233" t="n"/>
      <c r="Z5" s="307" t="n"/>
      <c r="AA5" s="307" t="n"/>
      <c r="AB5" s="307" t="n"/>
      <c r="AC5" s="307" t="n"/>
      <c r="AD5" s="307" t="n"/>
      <c r="AE5" s="307" t="n"/>
      <c r="AF5" s="307" t="n"/>
      <c r="AG5" s="307" t="n"/>
      <c r="AH5" s="307" t="n"/>
      <c r="AI5" s="307" t="n"/>
      <c r="AJ5" s="307" t="n"/>
      <c r="AK5" s="307" t="n"/>
      <c r="AL5" s="307" t="n"/>
      <c r="AM5" s="307" t="n"/>
      <c r="AN5" s="307" t="n"/>
      <c r="AO5" s="307" t="n"/>
      <c r="AP5" s="307" t="n"/>
      <c r="AQ5" s="307" t="n"/>
      <c r="AR5" s="307" t="n"/>
      <c r="AS5" s="307" t="n"/>
      <c r="AT5" s="307" t="n"/>
    </row>
    <row r="6" ht="15.75" customHeight="1" s="349">
      <c r="A6" s="307" t="n"/>
      <c r="B6" s="307" t="inlineStr">
        <is>
          <t>EBITDA (€)</t>
        </is>
      </c>
      <c r="C6" s="307" t="n"/>
      <c r="D6" s="233">
        <f>'Financial Statements'!BC32</f>
        <v/>
      </c>
      <c r="E6" s="233">
        <f>'Financial Statements'!BD32</f>
        <v/>
      </c>
      <c r="F6" s="233">
        <f>'Financial Statements'!BE32</f>
        <v/>
      </c>
      <c r="G6" s="233">
        <f>'Financial Statements'!BF32</f>
        <v/>
      </c>
      <c r="H6" s="307" t="n"/>
      <c r="I6" s="307" t="n"/>
      <c r="J6" s="307" t="inlineStr">
        <is>
          <t>Combi+ revenues</t>
        </is>
      </c>
      <c r="K6" s="233" t="n"/>
      <c r="L6" s="233">
        <f>'Revenue Forecast'!BC15</f>
        <v/>
      </c>
      <c r="M6" s="233">
        <f>'Revenue Forecast'!BD15</f>
        <v/>
      </c>
      <c r="N6" s="233">
        <f>'Revenue Forecast'!BE15</f>
        <v/>
      </c>
      <c r="O6" s="233">
        <f>'Revenue Forecast'!BF15</f>
        <v/>
      </c>
      <c r="P6" s="307" t="n"/>
      <c r="Q6" s="307" t="n"/>
      <c r="R6" s="307" t="n"/>
      <c r="S6" s="307" t="inlineStr">
        <is>
          <t>Seed Distribution of funds</t>
        </is>
      </c>
      <c r="T6" s="307" t="n"/>
      <c r="U6" s="307" t="n"/>
      <c r="V6" s="307" t="n"/>
      <c r="W6" s="307" t="n"/>
      <c r="X6" s="307" t="inlineStr">
        <is>
          <t>Production/Aasembly</t>
        </is>
      </c>
      <c r="Y6" s="307" t="inlineStr">
        <is>
          <t>Product development</t>
        </is>
      </c>
      <c r="Z6" s="307" t="inlineStr">
        <is>
          <t>Sales &amp; Marketing</t>
        </is>
      </c>
      <c r="AA6" s="307" t="n"/>
      <c r="AB6" s="307" t="n"/>
      <c r="AC6" s="307" t="n"/>
      <c r="AD6" s="307" t="n"/>
      <c r="AE6" s="307" t="n"/>
      <c r="AF6" s="307" t="n"/>
      <c r="AG6" s="307" t="n"/>
      <c r="AH6" s="307" t="n"/>
      <c r="AI6" s="307" t="n"/>
      <c r="AJ6" s="307" t="n"/>
      <c r="AK6" s="307" t="n"/>
      <c r="AL6" s="307" t="n"/>
      <c r="AM6" s="307" t="n"/>
      <c r="AN6" s="307" t="n"/>
      <c r="AO6" s="307" t="n"/>
      <c r="AP6" s="307" t="n"/>
      <c r="AQ6" s="307" t="n"/>
      <c r="AR6" s="307" t="n"/>
      <c r="AS6" s="307" t="n"/>
      <c r="AT6" s="307" t="n"/>
    </row>
    <row r="7" ht="15.75" customHeight="1" s="349">
      <c r="A7" s="307" t="n"/>
      <c r="B7" s="307" t="inlineStr">
        <is>
          <t>EBT (€)</t>
        </is>
      </c>
      <c r="C7" s="307" t="n"/>
      <c r="D7" s="233">
        <f>'Financial Statements'!BC37</f>
        <v/>
      </c>
      <c r="E7" s="233">
        <f>'Financial Statements'!BD37</f>
        <v/>
      </c>
      <c r="F7" s="233">
        <f>'Financial Statements'!BE37</f>
        <v/>
      </c>
      <c r="G7" s="233">
        <f>'Financial Statements'!BF37</f>
        <v/>
      </c>
      <c r="H7" s="307" t="n"/>
      <c r="I7" s="307" t="n"/>
      <c r="J7" s="307" t="n"/>
      <c r="K7" s="307" t="n"/>
      <c r="L7" s="233" t="n"/>
      <c r="M7" s="233" t="n"/>
      <c r="N7" s="233" t="n"/>
      <c r="O7" s="233" t="n"/>
      <c r="P7" s="307" t="n"/>
      <c r="Q7" s="307" t="n"/>
      <c r="R7" s="307" t="n"/>
      <c r="S7" s="307" t="n"/>
      <c r="T7" s="307" t="n"/>
      <c r="U7" s="307" t="n"/>
      <c r="V7" s="307" t="n"/>
      <c r="W7" s="307" t="n"/>
      <c r="X7" s="217" t="n">
        <v>0.6</v>
      </c>
      <c r="Y7" s="217" t="n">
        <v>0.15</v>
      </c>
      <c r="Z7" s="217" t="n">
        <v>0.25</v>
      </c>
      <c r="AA7" s="307" t="n"/>
      <c r="AB7" s="307" t="n"/>
      <c r="AC7" s="307" t="n"/>
      <c r="AD7" s="307" t="n"/>
      <c r="AE7" s="307" t="n"/>
      <c r="AF7" s="307" t="n"/>
      <c r="AG7" s="307" t="n"/>
      <c r="AH7" s="307" t="n"/>
      <c r="AI7" s="307" t="n"/>
      <c r="AJ7" s="307" t="n"/>
      <c r="AK7" s="307" t="n"/>
      <c r="AL7" s="307" t="n"/>
      <c r="AM7" s="307" t="n"/>
      <c r="AN7" s="307" t="n"/>
      <c r="AO7" s="307" t="n"/>
      <c r="AP7" s="307" t="n"/>
      <c r="AQ7" s="307" t="n"/>
      <c r="AR7" s="307" t="n"/>
      <c r="AS7" s="307" t="n"/>
      <c r="AT7" s="307" t="n"/>
    </row>
    <row r="8" ht="15.75" customHeight="1" s="349">
      <c r="A8" s="307" t="n"/>
      <c r="B8" s="307" t="inlineStr">
        <is>
          <t>NET INCOME (€)</t>
        </is>
      </c>
      <c r="C8" s="307" t="n"/>
      <c r="D8" s="233">
        <f>'Financial Statements'!BC41</f>
        <v/>
      </c>
      <c r="E8" s="233">
        <f>'Financial Statements'!BD41</f>
        <v/>
      </c>
      <c r="F8" s="233">
        <f>'Financial Statements'!BE41</f>
        <v/>
      </c>
      <c r="G8" s="233">
        <f>'Financial Statements'!BF41</f>
        <v/>
      </c>
      <c r="H8" s="307" t="n"/>
      <c r="I8" s="307" t="n"/>
      <c r="J8" s="307" t="n"/>
      <c r="K8" s="307" t="n"/>
      <c r="L8" s="233" t="n"/>
      <c r="M8" s="233" t="n"/>
      <c r="N8" s="233" t="n"/>
      <c r="O8" s="233" t="n"/>
      <c r="P8" s="307" t="n"/>
      <c r="Q8" s="307" t="n"/>
      <c r="R8" s="307" t="n"/>
      <c r="S8" s="307" t="n"/>
      <c r="T8" s="307" t="n"/>
      <c r="U8" s="307" t="n"/>
      <c r="V8" s="307" t="n"/>
      <c r="W8" s="307" t="n"/>
      <c r="X8" s="307" t="n"/>
      <c r="Y8" s="307" t="n"/>
      <c r="Z8" s="307" t="n"/>
      <c r="AA8" s="307" t="n"/>
      <c r="AB8" s="307" t="n"/>
      <c r="AC8" s="307" t="n"/>
      <c r="AD8" s="307" t="n"/>
      <c r="AE8" s="307" t="n"/>
      <c r="AF8" s="307" t="n"/>
      <c r="AG8" s="307" t="n"/>
      <c r="AH8" s="307" t="n"/>
      <c r="AI8" s="307" t="n"/>
      <c r="AJ8" s="307" t="n"/>
      <c r="AK8" s="307" t="n"/>
      <c r="AL8" s="307" t="n"/>
      <c r="AM8" s="307" t="n"/>
      <c r="AN8" s="307" t="n"/>
      <c r="AO8" s="307" t="n"/>
      <c r="AP8" s="307" t="n"/>
      <c r="AQ8" s="307" t="n"/>
      <c r="AR8" s="307" t="n"/>
      <c r="AS8" s="307" t="n"/>
      <c r="AT8" s="307" t="n"/>
    </row>
    <row r="9" ht="15.75" customHeight="1" s="349">
      <c r="A9" s="307" t="n"/>
      <c r="B9" s="307" t="n"/>
      <c r="C9" s="307" t="n"/>
      <c r="D9" s="307" t="n"/>
      <c r="E9" s="307" t="n"/>
      <c r="F9" s="307" t="n"/>
      <c r="G9" s="307" t="n"/>
      <c r="H9" s="307" t="n"/>
      <c r="I9" s="307" t="n"/>
      <c r="J9" s="307" t="n"/>
      <c r="K9" s="307" t="n"/>
      <c r="L9" s="307" t="n"/>
      <c r="M9" s="307" t="n"/>
      <c r="N9" s="307" t="n"/>
      <c r="O9" s="307" t="n"/>
      <c r="P9" s="307" t="n"/>
      <c r="Q9" s="307" t="n"/>
      <c r="R9" s="307" t="n"/>
      <c r="S9" s="307" t="n"/>
      <c r="T9" s="307" t="n"/>
      <c r="U9" s="307" t="n"/>
      <c r="V9" s="307" t="n"/>
      <c r="W9" s="307" t="n"/>
      <c r="X9" s="307" t="n"/>
      <c r="Y9" s="307" t="n"/>
      <c r="Z9" s="307" t="n"/>
      <c r="AA9" s="307" t="n"/>
      <c r="AB9" s="307" t="n"/>
      <c r="AC9" s="307" t="n"/>
      <c r="AD9" s="307" t="n"/>
      <c r="AE9" s="307" t="n"/>
      <c r="AF9" s="307" t="n"/>
      <c r="AG9" s="307" t="n"/>
      <c r="AH9" s="307" t="n"/>
      <c r="AI9" s="307" t="n"/>
      <c r="AJ9" s="307" t="n"/>
      <c r="AK9" s="307" t="n"/>
      <c r="AL9" s="307" t="n"/>
      <c r="AM9" s="307" t="n"/>
      <c r="AN9" s="307" t="n"/>
      <c r="AO9" s="307" t="n"/>
      <c r="AP9" s="307" t="n"/>
      <c r="AQ9" s="307" t="n"/>
      <c r="AR9" s="307" t="n"/>
      <c r="AS9" s="307" t="n"/>
      <c r="AT9" s="307" t="n"/>
    </row>
    <row r="10" ht="15.75" customHeight="1" s="349">
      <c r="A10" s="307" t="n"/>
      <c r="B10" s="307" t="n"/>
      <c r="C10" s="307" t="n"/>
      <c r="D10" s="307" t="n"/>
      <c r="E10" s="307" t="n"/>
      <c r="F10" s="307" t="n"/>
      <c r="G10" s="307" t="n"/>
      <c r="H10" s="307" t="n"/>
      <c r="I10" s="307" t="n"/>
      <c r="J10" s="307" t="n"/>
      <c r="K10" s="307" t="n"/>
      <c r="L10" s="307" t="n"/>
      <c r="M10" s="307" t="n"/>
      <c r="N10" s="307" t="n"/>
      <c r="O10" s="307" t="n"/>
      <c r="P10" s="307" t="n"/>
      <c r="Q10" s="307" t="n"/>
      <c r="R10" s="307" t="n"/>
      <c r="S10" s="307" t="n"/>
      <c r="T10" s="307" t="n"/>
      <c r="U10" s="307" t="n"/>
      <c r="V10" s="307" t="n"/>
      <c r="W10" s="307" t="n"/>
      <c r="X10" s="307" t="n"/>
      <c r="Y10" s="307" t="n"/>
      <c r="Z10" s="307" t="n"/>
      <c r="AA10" s="307" t="n"/>
      <c r="AB10" s="307" t="n"/>
      <c r="AC10" s="307" t="n"/>
      <c r="AD10" s="307" t="n"/>
      <c r="AE10" s="307" t="n"/>
      <c r="AF10" s="307" t="n"/>
      <c r="AG10" s="307" t="n"/>
      <c r="AH10" s="307" t="n"/>
      <c r="AI10" s="307" t="n"/>
      <c r="AJ10" s="307" t="n"/>
      <c r="AK10" s="307" t="n"/>
      <c r="AL10" s="307" t="n"/>
      <c r="AM10" s="307" t="n"/>
      <c r="AN10" s="307" t="n"/>
      <c r="AO10" s="307" t="n"/>
      <c r="AP10" s="307" t="n"/>
      <c r="AQ10" s="307" t="n"/>
      <c r="AR10" s="307" t="n"/>
      <c r="AS10" s="307" t="n"/>
      <c r="AT10" s="307" t="n"/>
    </row>
    <row r="11" ht="15.75" customHeight="1" s="349">
      <c r="A11" s="307" t="n"/>
      <c r="B11" s="307" t="n"/>
      <c r="C11" s="307" t="n"/>
      <c r="D11" s="307" t="n"/>
      <c r="E11" s="307" t="n"/>
      <c r="F11" s="307" t="n"/>
      <c r="G11" s="307" t="n"/>
      <c r="H11" s="307" t="n"/>
      <c r="I11" s="307" t="n"/>
      <c r="J11" s="307" t="n"/>
      <c r="K11" s="307" t="n"/>
      <c r="L11" s="307" t="n"/>
      <c r="M11" s="307" t="n"/>
      <c r="N11" s="307" t="n"/>
      <c r="O11" s="307" t="n"/>
      <c r="P11" s="307" t="n"/>
      <c r="Q11" s="307" t="n"/>
      <c r="R11" s="307" t="n"/>
      <c r="S11" s="307" t="n"/>
      <c r="T11" s="307" t="n"/>
      <c r="U11" s="307" t="n"/>
      <c r="V11" s="307" t="n"/>
      <c r="W11" s="307" t="n"/>
      <c r="X11" s="307" t="n"/>
      <c r="Y11" s="307" t="n"/>
      <c r="Z11" s="307" t="n"/>
      <c r="AA11" s="307" t="n"/>
      <c r="AB11" s="307" t="n"/>
      <c r="AC11" s="307" t="n"/>
      <c r="AD11" s="307" t="n"/>
      <c r="AE11" s="307" t="n"/>
      <c r="AF11" s="307" t="n"/>
      <c r="AG11" s="307" t="n"/>
      <c r="AH11" s="307" t="n"/>
      <c r="AI11" s="307" t="n"/>
      <c r="AJ11" s="307" t="n"/>
      <c r="AK11" s="307" t="n"/>
      <c r="AL11" s="307" t="n"/>
      <c r="AM11" s="307" t="n"/>
      <c r="AN11" s="307" t="n"/>
      <c r="AO11" s="307" t="n"/>
      <c r="AP11" s="307" t="n"/>
      <c r="AQ11" s="307" t="n"/>
      <c r="AR11" s="307" t="n"/>
      <c r="AS11" s="307" t="n"/>
      <c r="AT11" s="307" t="n"/>
    </row>
    <row r="12" ht="15.75" customHeight="1" s="349">
      <c r="A12" s="307" t="n"/>
      <c r="B12" s="307" t="n"/>
      <c r="C12" s="307" t="n"/>
      <c r="D12" s="307" t="n"/>
      <c r="E12" s="307" t="n"/>
      <c r="F12" s="307" t="n"/>
      <c r="G12" s="307" t="n"/>
      <c r="H12" s="307" t="n"/>
      <c r="I12" s="307" t="n"/>
      <c r="J12" s="307" t="n"/>
      <c r="K12" s="307" t="n"/>
      <c r="L12" s="307" t="n"/>
      <c r="M12" s="307" t="n"/>
      <c r="N12" s="307" t="n"/>
      <c r="O12" s="307" t="n"/>
      <c r="P12" s="307" t="n"/>
      <c r="Q12" s="307" t="n"/>
      <c r="R12" s="307" t="n"/>
      <c r="S12" s="307" t="n"/>
      <c r="T12" s="307" t="n"/>
      <c r="U12" s="307" t="n"/>
      <c r="V12" s="307" t="n"/>
      <c r="W12" s="307" t="n"/>
      <c r="X12" s="307" t="n"/>
      <c r="Y12" s="307" t="n"/>
      <c r="Z12" s="307" t="n"/>
      <c r="AA12" s="307" t="n"/>
      <c r="AB12" s="307" t="n"/>
      <c r="AC12" s="307" t="n"/>
      <c r="AD12" s="307" t="n"/>
      <c r="AE12" s="307" t="n"/>
      <c r="AF12" s="307" t="n"/>
      <c r="AG12" s="307" t="n"/>
      <c r="AH12" s="307" t="n"/>
      <c r="AI12" s="307" t="n"/>
      <c r="AJ12" s="307" t="n"/>
      <c r="AK12" s="307" t="n"/>
      <c r="AL12" s="307" t="n"/>
      <c r="AM12" s="307" t="n"/>
      <c r="AN12" s="307" t="n"/>
      <c r="AO12" s="307" t="n"/>
      <c r="AP12" s="307" t="n"/>
      <c r="AQ12" s="307" t="n"/>
      <c r="AR12" s="307" t="n"/>
      <c r="AS12" s="307" t="n"/>
      <c r="AT12" s="307" t="n"/>
    </row>
    <row r="13" ht="15.75" customHeight="1" s="349">
      <c r="A13" s="307" t="n"/>
      <c r="B13" s="307" t="n"/>
      <c r="C13" s="307" t="n"/>
      <c r="D13" s="307" t="n"/>
      <c r="E13" s="307" t="n"/>
      <c r="F13" s="307" t="n"/>
      <c r="G13" s="307" t="n"/>
      <c r="H13" s="307" t="n"/>
      <c r="I13" s="307" t="n"/>
      <c r="J13" s="307" t="n"/>
      <c r="K13" s="307" t="n"/>
      <c r="L13" s="307" t="n"/>
      <c r="M13" s="307" t="n"/>
      <c r="N13" s="307" t="n"/>
      <c r="O13" s="307" t="n"/>
      <c r="P13" s="307" t="n"/>
      <c r="Q13" s="307" t="n"/>
      <c r="R13" s="307" t="n"/>
      <c r="S13" s="307" t="n"/>
      <c r="T13" s="307" t="n"/>
      <c r="U13" s="307" t="n"/>
      <c r="V13" s="307" t="n"/>
      <c r="W13" s="307" t="n"/>
      <c r="X13" s="307" t="n"/>
      <c r="Y13" s="307" t="n"/>
      <c r="Z13" s="307" t="n"/>
      <c r="AA13" s="307" t="n"/>
      <c r="AB13" s="307" t="n"/>
      <c r="AC13" s="307" t="n"/>
      <c r="AD13" s="307" t="n"/>
      <c r="AE13" s="307" t="n"/>
      <c r="AF13" s="307" t="n"/>
      <c r="AG13" s="307" t="n"/>
      <c r="AH13" s="307" t="n"/>
      <c r="AI13" s="307" t="n"/>
      <c r="AJ13" s="307" t="n"/>
      <c r="AK13" s="307" t="n"/>
      <c r="AL13" s="307" t="n"/>
      <c r="AM13" s="307" t="n"/>
      <c r="AN13" s="307" t="n"/>
      <c r="AO13" s="307" t="n"/>
      <c r="AP13" s="307" t="n"/>
      <c r="AQ13" s="307" t="n"/>
      <c r="AR13" s="307" t="n"/>
      <c r="AS13" s="307" t="n"/>
      <c r="AT13" s="307" t="n"/>
    </row>
    <row r="14" ht="15.75" customHeight="1" s="349">
      <c r="A14" s="307" t="n"/>
      <c r="B14" s="307" t="n"/>
      <c r="C14" s="307" t="n"/>
      <c r="D14" s="307" t="n"/>
      <c r="E14" s="307" t="n"/>
      <c r="F14" s="307" t="n"/>
      <c r="G14" s="307" t="n"/>
      <c r="H14" s="307" t="n"/>
      <c r="I14" s="307" t="n"/>
      <c r="J14" s="307" t="n"/>
      <c r="K14" s="307" t="n"/>
      <c r="L14" s="307" t="n"/>
      <c r="M14" s="307" t="n"/>
      <c r="N14" s="307" t="n"/>
      <c r="O14" s="307" t="n"/>
      <c r="P14" s="307" t="n"/>
      <c r="Q14" s="307" t="n"/>
      <c r="R14" s="307" t="n"/>
      <c r="S14" s="307" t="n"/>
      <c r="T14" s="307" t="n"/>
      <c r="U14" s="307" t="n"/>
      <c r="V14" s="307" t="n"/>
      <c r="W14" s="307" t="n"/>
      <c r="X14" s="307" t="n"/>
      <c r="Y14" s="307" t="n"/>
      <c r="Z14" s="307" t="n"/>
      <c r="AA14" s="307" t="n"/>
      <c r="AB14" s="307" t="n"/>
      <c r="AC14" s="307" t="n"/>
      <c r="AD14" s="307" t="n"/>
      <c r="AE14" s="307" t="n"/>
      <c r="AF14" s="307" t="n"/>
      <c r="AG14" s="307" t="n"/>
      <c r="AH14" s="307" t="n"/>
      <c r="AI14" s="307" t="n"/>
      <c r="AJ14" s="307" t="n"/>
      <c r="AK14" s="307" t="n"/>
      <c r="AL14" s="307" t="n"/>
      <c r="AM14" s="307" t="n"/>
      <c r="AN14" s="307" t="n"/>
      <c r="AO14" s="307" t="n"/>
      <c r="AP14" s="307" t="n"/>
      <c r="AQ14" s="307" t="n"/>
      <c r="AR14" s="307" t="n"/>
      <c r="AS14" s="307" t="n"/>
      <c r="AT14" s="307" t="n"/>
    </row>
    <row r="15" ht="15.75" customHeight="1" s="349">
      <c r="A15" s="307" t="n"/>
      <c r="B15" s="307" t="n"/>
      <c r="C15" s="307" t="n"/>
      <c r="D15" s="307" t="n"/>
      <c r="E15" s="307" t="n"/>
      <c r="F15" s="307" t="n"/>
      <c r="G15" s="307" t="n"/>
      <c r="H15" s="307" t="n"/>
      <c r="I15" s="307" t="n"/>
      <c r="J15" s="307" t="n"/>
      <c r="K15" s="307" t="n"/>
      <c r="L15" s="307" t="n"/>
      <c r="M15" s="307" t="n"/>
      <c r="N15" s="307" t="n"/>
      <c r="O15" s="307" t="n"/>
      <c r="P15" s="307" t="n"/>
      <c r="Q15" s="307" t="n"/>
      <c r="R15" s="307" t="n"/>
      <c r="S15" s="307" t="n"/>
      <c r="T15" s="307" t="n"/>
      <c r="U15" s="307" t="n"/>
      <c r="V15" s="307" t="n"/>
      <c r="W15" s="307" t="n"/>
      <c r="X15" s="307" t="n"/>
      <c r="Y15" s="307" t="n"/>
      <c r="Z15" s="307" t="n"/>
      <c r="AA15" s="307" t="n"/>
      <c r="AB15" s="307" t="n"/>
      <c r="AC15" s="307" t="n"/>
      <c r="AD15" s="307" t="n"/>
      <c r="AE15" s="307" t="n"/>
      <c r="AF15" s="307" t="n"/>
      <c r="AG15" s="307" t="n"/>
      <c r="AH15" s="307" t="n"/>
      <c r="AI15" s="307" t="n"/>
      <c r="AJ15" s="307" t="n"/>
      <c r="AK15" s="307" t="n"/>
      <c r="AL15" s="307" t="n"/>
      <c r="AM15" s="307" t="n"/>
      <c r="AN15" s="307" t="n"/>
      <c r="AO15" s="307" t="n"/>
      <c r="AP15" s="307" t="n"/>
      <c r="AQ15" s="307" t="n"/>
      <c r="AR15" s="307" t="n"/>
      <c r="AS15" s="307" t="n"/>
      <c r="AT15" s="307" t="n"/>
    </row>
    <row r="16" ht="15.75" customHeight="1" s="349">
      <c r="A16" s="307" t="n"/>
      <c r="B16" s="233" t="n"/>
      <c r="C16" s="307" t="n"/>
      <c r="D16" s="307" t="n"/>
      <c r="E16" s="307" t="n"/>
      <c r="F16" s="307" t="n"/>
      <c r="G16" s="307" t="n"/>
      <c r="H16" s="307" t="n"/>
      <c r="I16" s="307" t="n"/>
      <c r="J16" s="307" t="n"/>
      <c r="K16" s="307" t="n"/>
      <c r="L16" s="307" t="n"/>
      <c r="M16" s="307" t="n"/>
      <c r="N16" s="307" t="n"/>
      <c r="O16" s="307" t="n"/>
      <c r="P16" s="307" t="n"/>
      <c r="Q16" s="307" t="n"/>
      <c r="R16" s="307" t="n"/>
      <c r="S16" s="307" t="n"/>
      <c r="T16" s="307" t="n"/>
      <c r="U16" s="307" t="n"/>
      <c r="V16" s="307" t="n"/>
      <c r="W16" s="307" t="n"/>
      <c r="X16" s="307" t="n"/>
      <c r="Y16" s="307" t="n"/>
      <c r="Z16" s="307" t="n"/>
      <c r="AA16" s="307" t="n"/>
      <c r="AB16" s="307" t="n"/>
      <c r="AC16" s="307" t="n"/>
      <c r="AD16" s="307" t="n"/>
      <c r="AE16" s="307" t="n"/>
      <c r="AF16" s="307" t="n"/>
      <c r="AG16" s="307" t="n"/>
      <c r="AH16" s="307" t="n"/>
      <c r="AI16" s="307" t="n"/>
      <c r="AJ16" s="307" t="n"/>
      <c r="AK16" s="307" t="n"/>
      <c r="AL16" s="307" t="n"/>
      <c r="AM16" s="307" t="n"/>
      <c r="AN16" s="307" t="n"/>
      <c r="AO16" s="307" t="n"/>
      <c r="AP16" s="307" t="n"/>
      <c r="AQ16" s="307" t="n"/>
      <c r="AR16" s="307" t="n"/>
      <c r="AS16" s="307" t="n"/>
      <c r="AT16" s="307" t="n"/>
    </row>
    <row r="17" ht="15.75" customHeight="1" s="349">
      <c r="A17" s="307" t="n"/>
      <c r="B17" s="307" t="n"/>
      <c r="C17" s="307" t="n"/>
      <c r="D17" s="307" t="n"/>
      <c r="E17" s="307" t="n"/>
      <c r="F17" s="307" t="n"/>
      <c r="G17" s="307" t="n"/>
      <c r="H17" s="307" t="n"/>
      <c r="I17" s="307" t="n"/>
      <c r="J17" s="307" t="n"/>
      <c r="K17" s="307" t="n"/>
      <c r="L17" s="307" t="n"/>
      <c r="M17" s="307" t="n"/>
      <c r="N17" s="307" t="n"/>
      <c r="O17" s="307" t="n"/>
      <c r="P17" s="307" t="n"/>
      <c r="Q17" s="307" t="n"/>
      <c r="R17" s="307" t="n"/>
      <c r="S17" s="307" t="n"/>
      <c r="T17" s="307" t="n"/>
      <c r="U17" s="307" t="n"/>
      <c r="V17" s="307" t="n"/>
      <c r="W17" s="307" t="n"/>
      <c r="X17" s="307" t="n"/>
      <c r="Y17" s="307" t="n"/>
      <c r="Z17" s="307" t="n"/>
      <c r="AA17" s="307" t="n"/>
      <c r="AB17" s="307" t="n"/>
      <c r="AC17" s="307" t="n"/>
      <c r="AD17" s="307" t="n"/>
      <c r="AE17" s="307" t="n"/>
      <c r="AF17" s="307" t="n"/>
      <c r="AG17" s="307" t="n"/>
      <c r="AH17" s="307" t="n"/>
      <c r="AI17" s="307" t="n"/>
      <c r="AJ17" s="307" t="n"/>
      <c r="AK17" s="307" t="n"/>
      <c r="AL17" s="307" t="n"/>
      <c r="AM17" s="307" t="n"/>
      <c r="AN17" s="307" t="n"/>
      <c r="AO17" s="307" t="n"/>
      <c r="AP17" s="307" t="n"/>
      <c r="AQ17" s="307" t="n"/>
      <c r="AR17" s="307" t="n"/>
      <c r="AS17" s="307" t="n"/>
      <c r="AT17" s="307" t="n"/>
    </row>
    <row r="18" ht="15.75" customHeight="1" s="349">
      <c r="A18" s="307" t="n"/>
      <c r="B18" s="307" t="n"/>
      <c r="C18" s="307" t="n"/>
      <c r="D18" s="307" t="n"/>
      <c r="E18" s="307" t="n"/>
      <c r="F18" s="307" t="n"/>
      <c r="G18" s="307" t="n"/>
      <c r="H18" s="307" t="n"/>
      <c r="I18" s="307" t="n"/>
      <c r="J18" s="307" t="n"/>
      <c r="K18" s="307" t="n"/>
      <c r="L18" s="307" t="n"/>
      <c r="M18" s="307" t="n"/>
      <c r="N18" s="307" t="n"/>
      <c r="O18" s="307" t="n"/>
      <c r="P18" s="307" t="n"/>
      <c r="Q18" s="307" t="n"/>
      <c r="R18" s="307" t="n"/>
      <c r="S18" s="307" t="n"/>
      <c r="T18" s="307" t="n"/>
      <c r="U18" s="307" t="n"/>
      <c r="V18" s="307" t="n"/>
      <c r="W18" s="307" t="n"/>
      <c r="X18" s="307" t="n"/>
      <c r="Y18" s="307" t="n"/>
      <c r="Z18" s="307" t="n"/>
      <c r="AA18" s="307" t="n"/>
      <c r="AB18" s="307" t="n"/>
      <c r="AC18" s="307" t="n"/>
      <c r="AD18" s="307" t="n"/>
      <c r="AE18" s="307" t="n"/>
      <c r="AF18" s="307" t="n"/>
      <c r="AG18" s="307" t="n"/>
      <c r="AH18" s="307" t="n"/>
      <c r="AI18" s="307" t="n"/>
      <c r="AJ18" s="307" t="n"/>
      <c r="AK18" s="307" t="n"/>
      <c r="AL18" s="307" t="n"/>
      <c r="AM18" s="307" t="n"/>
      <c r="AN18" s="307" t="n"/>
      <c r="AO18" s="307" t="n"/>
      <c r="AP18" s="307" t="n"/>
      <c r="AQ18" s="307" t="n"/>
      <c r="AR18" s="307" t="n"/>
      <c r="AS18" s="307" t="n"/>
      <c r="AT18" s="307" t="n"/>
    </row>
    <row r="19" ht="15.75" customHeight="1" s="349">
      <c r="A19" s="307" t="n"/>
      <c r="B19" s="307" t="n"/>
      <c r="C19" s="307" t="n"/>
      <c r="D19" s="307" t="n"/>
      <c r="E19" s="307" t="n"/>
      <c r="F19" s="307" t="n"/>
      <c r="G19" s="307" t="n"/>
      <c r="H19" s="307" t="n"/>
      <c r="I19" s="307" t="n"/>
      <c r="J19" s="307" t="n"/>
      <c r="K19" s="307" t="n"/>
      <c r="L19" s="307" t="n"/>
      <c r="M19" s="307" t="n"/>
      <c r="N19" s="307" t="n"/>
      <c r="O19" s="307" t="n"/>
      <c r="P19" s="307" t="n"/>
      <c r="Q19" s="307" t="n"/>
      <c r="R19" s="307" t="n"/>
      <c r="S19" s="307" t="n"/>
      <c r="T19" s="307" t="n"/>
      <c r="U19" s="307" t="n"/>
      <c r="V19" s="307" t="n"/>
      <c r="W19" s="307" t="n"/>
      <c r="X19" s="307" t="n"/>
      <c r="Y19" s="307" t="n"/>
      <c r="Z19" s="307" t="n"/>
      <c r="AA19" s="307" t="n"/>
      <c r="AB19" s="307" t="n"/>
      <c r="AC19" s="307" t="n"/>
      <c r="AD19" s="307" t="n"/>
      <c r="AE19" s="307" t="n"/>
      <c r="AF19" s="307" t="n"/>
      <c r="AG19" s="307" t="n"/>
      <c r="AH19" s="307" t="n"/>
      <c r="AI19" s="307" t="n"/>
      <c r="AJ19" s="307" t="n"/>
      <c r="AK19" s="307" t="n"/>
      <c r="AL19" s="307" t="n"/>
      <c r="AM19" s="307" t="n"/>
      <c r="AN19" s="307" t="n"/>
      <c r="AO19" s="307" t="n"/>
      <c r="AP19" s="307" t="n"/>
      <c r="AQ19" s="307" t="n"/>
      <c r="AR19" s="307" t="n"/>
      <c r="AS19" s="307" t="n"/>
      <c r="AT19" s="307" t="n"/>
    </row>
    <row r="20" ht="15.75" customHeight="1" s="349">
      <c r="A20" s="307" t="n"/>
      <c r="B20" s="307" t="n"/>
      <c r="C20" s="307" t="n"/>
      <c r="D20" s="307" t="n"/>
      <c r="E20" s="307" t="n"/>
      <c r="F20" s="307" t="n"/>
      <c r="G20" s="307" t="n"/>
      <c r="H20" s="307" t="n"/>
      <c r="I20" s="307" t="n"/>
      <c r="J20" s="307" t="n"/>
      <c r="K20" s="307" t="n"/>
      <c r="L20" s="307" t="n"/>
      <c r="M20" s="307" t="n"/>
      <c r="N20" s="307" t="n"/>
      <c r="O20" s="307" t="n"/>
      <c r="P20" s="307" t="n"/>
      <c r="Q20" s="307" t="n"/>
      <c r="R20" s="307" t="n"/>
      <c r="S20" s="307" t="n"/>
      <c r="T20" s="307" t="n"/>
      <c r="U20" s="307" t="n"/>
      <c r="V20" s="307" t="n"/>
      <c r="W20" s="307" t="n"/>
      <c r="X20" s="307" t="n"/>
      <c r="Y20" s="307" t="n"/>
      <c r="Z20" s="307" t="n"/>
      <c r="AA20" s="307" t="n"/>
      <c r="AB20" s="307" t="n"/>
      <c r="AC20" s="307" t="n"/>
      <c r="AD20" s="307" t="n"/>
      <c r="AE20" s="307" t="n"/>
      <c r="AF20" s="307" t="n"/>
      <c r="AG20" s="307" t="n"/>
      <c r="AH20" s="307" t="n"/>
      <c r="AI20" s="307" t="n"/>
      <c r="AJ20" s="307" t="n"/>
      <c r="AK20" s="307" t="n"/>
      <c r="AL20" s="307" t="n"/>
      <c r="AM20" s="307" t="n"/>
      <c r="AN20" s="307" t="n"/>
      <c r="AO20" s="307" t="n"/>
      <c r="AP20" s="307" t="n"/>
      <c r="AQ20" s="307" t="n"/>
      <c r="AR20" s="307" t="n"/>
      <c r="AS20" s="307" t="n"/>
      <c r="AT20" s="307" t="n"/>
    </row>
    <row r="21" ht="15.75" customHeight="1" s="349">
      <c r="A21" s="307" t="n"/>
      <c r="B21" s="307" t="n"/>
      <c r="C21" s="307" t="n"/>
      <c r="D21" s="307" t="n"/>
      <c r="E21" s="307" t="n"/>
      <c r="F21" s="307" t="n"/>
      <c r="G21" s="307" t="n"/>
      <c r="H21" s="307" t="n"/>
      <c r="I21" s="307" t="n"/>
      <c r="J21" s="307" t="n"/>
      <c r="K21" s="307" t="n"/>
      <c r="L21" s="307" t="n"/>
      <c r="M21" s="307" t="n"/>
      <c r="N21" s="307" t="n"/>
      <c r="O21" s="307" t="n"/>
      <c r="P21" s="307" t="n"/>
      <c r="Q21" s="307" t="n"/>
      <c r="R21" s="307" t="n"/>
      <c r="S21" s="307" t="n"/>
      <c r="T21" s="307" t="n"/>
      <c r="U21" s="307" t="n"/>
      <c r="V21" s="307" t="n"/>
      <c r="W21" s="307" t="n"/>
      <c r="X21" s="307" t="n"/>
      <c r="Y21" s="307" t="n"/>
      <c r="Z21" s="307" t="n"/>
      <c r="AA21" s="307" t="n"/>
      <c r="AB21" s="307" t="n"/>
      <c r="AC21" s="307" t="n"/>
      <c r="AD21" s="307" t="n"/>
      <c r="AE21" s="307" t="n"/>
      <c r="AF21" s="307" t="n"/>
      <c r="AG21" s="307" t="n"/>
      <c r="AH21" s="307" t="n"/>
      <c r="AI21" s="307" t="n"/>
      <c r="AJ21" s="307" t="n"/>
      <c r="AK21" s="307" t="n"/>
      <c r="AL21" s="307" t="n"/>
      <c r="AM21" s="307" t="n"/>
      <c r="AN21" s="307" t="n"/>
      <c r="AO21" s="307" t="n"/>
      <c r="AP21" s="307" t="n"/>
      <c r="AQ21" s="307" t="n"/>
      <c r="AR21" s="307" t="n"/>
      <c r="AS21" s="307" t="n"/>
      <c r="AT21" s="307" t="n"/>
    </row>
    <row r="22" ht="15.75" customHeight="1" s="349">
      <c r="A22" s="307" t="n"/>
      <c r="B22" s="307" t="n"/>
      <c r="C22" s="307" t="n"/>
      <c r="D22" s="307" t="n"/>
      <c r="E22" s="307" t="n"/>
      <c r="F22" s="307" t="n"/>
      <c r="G22" s="307" t="n"/>
      <c r="H22" s="307" t="n"/>
      <c r="I22" s="307" t="n"/>
      <c r="J22" s="307" t="n"/>
      <c r="K22" s="307" t="n"/>
      <c r="L22" s="307" t="n"/>
      <c r="M22" s="307" t="n"/>
      <c r="N22" s="307" t="n"/>
      <c r="O22" s="307" t="n"/>
      <c r="P22" s="307" t="n"/>
      <c r="Q22" s="307" t="n"/>
      <c r="R22" s="307" t="n"/>
      <c r="S22" s="307" t="n"/>
      <c r="T22" s="307" t="n"/>
      <c r="U22" s="307" t="n"/>
      <c r="V22" s="307" t="n"/>
      <c r="W22" s="307" t="n"/>
      <c r="X22" s="307" t="n"/>
      <c r="Y22" s="233" t="n"/>
      <c r="Z22" s="307" t="n"/>
      <c r="AA22" s="307" t="n"/>
      <c r="AB22" s="307" t="n"/>
      <c r="AC22" s="307" t="n"/>
      <c r="AD22" s="307" t="n"/>
      <c r="AE22" s="307" t="n"/>
      <c r="AF22" s="307" t="n"/>
      <c r="AG22" s="307" t="n"/>
      <c r="AH22" s="307" t="n"/>
      <c r="AI22" s="307" t="n"/>
      <c r="AJ22" s="307" t="n"/>
      <c r="AK22" s="307" t="n"/>
      <c r="AL22" s="307" t="n"/>
      <c r="AM22" s="307" t="n"/>
      <c r="AN22" s="307" t="n"/>
      <c r="AO22" s="307" t="n"/>
      <c r="AP22" s="307" t="n"/>
      <c r="AQ22" s="307" t="n"/>
      <c r="AR22" s="307" t="n"/>
      <c r="AS22" s="307" t="n"/>
      <c r="AT22" s="307" t="n"/>
    </row>
    <row r="23" ht="15.75" customHeight="1" s="349">
      <c r="A23" s="307" t="n"/>
      <c r="B23" s="307" t="n"/>
      <c r="C23" s="307" t="n"/>
      <c r="D23" s="307" t="n"/>
      <c r="E23" s="307" t="n"/>
      <c r="F23" s="307" t="n"/>
      <c r="G23" s="307" t="n"/>
      <c r="H23" s="307" t="n"/>
      <c r="I23" s="307" t="n"/>
      <c r="J23" s="307" t="n"/>
      <c r="K23" s="307" t="n"/>
      <c r="L23" s="307" t="n"/>
      <c r="M23" s="307" t="n"/>
      <c r="N23" s="307" t="n"/>
      <c r="O23" s="307" t="n"/>
      <c r="P23" s="307" t="n"/>
      <c r="Q23" s="307" t="n"/>
      <c r="R23" s="307" t="n"/>
      <c r="S23" s="307" t="n"/>
      <c r="T23" s="307" t="n"/>
      <c r="U23" s="307" t="n"/>
      <c r="V23" s="307" t="n"/>
      <c r="W23" s="307" t="n"/>
      <c r="X23" s="307" t="n"/>
      <c r="Y23" s="307" t="n"/>
      <c r="Z23" s="307" t="n"/>
      <c r="AA23" s="307" t="n"/>
      <c r="AB23" s="307" t="n"/>
      <c r="AC23" s="307" t="n"/>
      <c r="AD23" s="307" t="n"/>
      <c r="AE23" s="307" t="n"/>
      <c r="AF23" s="307" t="n"/>
      <c r="AG23" s="307" t="n"/>
      <c r="AH23" s="307" t="n"/>
      <c r="AI23" s="307" t="n"/>
      <c r="AJ23" s="307" t="n"/>
      <c r="AK23" s="307" t="n"/>
      <c r="AL23" s="307" t="n"/>
      <c r="AM23" s="307" t="n"/>
      <c r="AN23" s="307" t="n"/>
      <c r="AO23" s="307" t="n"/>
      <c r="AP23" s="307" t="n"/>
      <c r="AQ23" s="307" t="n"/>
      <c r="AR23" s="307" t="n"/>
      <c r="AS23" s="307" t="n"/>
      <c r="AT23" s="307" t="n"/>
    </row>
    <row r="24" ht="15.75" customHeight="1" s="349">
      <c r="A24" s="307" t="n"/>
      <c r="B24" s="307" t="n"/>
      <c r="C24" s="307" t="n"/>
      <c r="D24" s="307" t="n"/>
      <c r="E24" s="307" t="n"/>
      <c r="F24" s="307" t="n"/>
      <c r="G24" s="307" t="n"/>
      <c r="H24" s="307" t="n"/>
      <c r="I24" s="307" t="n"/>
      <c r="J24" s="307" t="n"/>
      <c r="K24" s="307" t="n"/>
      <c r="L24" s="307" t="n"/>
      <c r="M24" s="307" t="n"/>
      <c r="N24" s="307" t="n"/>
      <c r="O24" s="307" t="n"/>
      <c r="P24" s="307" t="n"/>
      <c r="Q24" s="307" t="n"/>
      <c r="R24" s="307" t="n"/>
      <c r="S24" s="307" t="n"/>
      <c r="T24" s="307" t="n"/>
      <c r="U24" s="307" t="n"/>
      <c r="V24" s="307" t="n"/>
      <c r="W24" s="307" t="n"/>
      <c r="X24" s="307" t="n"/>
      <c r="Y24" s="307" t="n"/>
      <c r="Z24" s="307" t="n"/>
      <c r="AA24" s="307" t="n"/>
      <c r="AB24" s="307" t="n"/>
      <c r="AC24" s="307" t="n"/>
      <c r="AD24" s="307" t="n"/>
      <c r="AE24" s="307" t="n"/>
      <c r="AF24" s="307" t="n"/>
      <c r="AG24" s="307" t="n"/>
      <c r="AH24" s="307" t="n"/>
      <c r="AI24" s="307" t="n"/>
      <c r="AJ24" s="307" t="n"/>
      <c r="AK24" s="307" t="n"/>
      <c r="AL24" s="307" t="n"/>
      <c r="AM24" s="307" t="n"/>
      <c r="AN24" s="307" t="n"/>
      <c r="AO24" s="307" t="n"/>
      <c r="AP24" s="307" t="n"/>
      <c r="AQ24" s="307" t="n"/>
      <c r="AR24" s="307" t="n"/>
      <c r="AS24" s="307" t="n"/>
      <c r="AT24" s="307" t="n"/>
    </row>
    <row r="25" ht="15.75" customHeight="1" s="349">
      <c r="A25" s="307" t="n"/>
      <c r="B25" s="307" t="n"/>
      <c r="C25" s="307" t="n"/>
      <c r="D25" s="307" t="n"/>
      <c r="E25" s="307" t="n"/>
      <c r="F25" s="307" t="n"/>
      <c r="G25" s="307" t="n"/>
      <c r="H25" s="307" t="n"/>
      <c r="I25" s="307" t="n"/>
      <c r="J25" s="307" t="n"/>
      <c r="K25" s="307" t="n"/>
      <c r="L25" s="307" t="n"/>
      <c r="M25" s="307" t="n"/>
      <c r="N25" s="307" t="n"/>
      <c r="O25" s="307" t="n"/>
      <c r="P25" s="307" t="n"/>
      <c r="Q25" s="307" t="n"/>
      <c r="R25" s="307" t="n"/>
      <c r="S25" s="307" t="n"/>
      <c r="T25" s="307" t="n"/>
      <c r="U25" s="307" t="n"/>
      <c r="V25" s="307" t="n"/>
      <c r="W25" s="307" t="n"/>
      <c r="X25" s="307" t="n"/>
      <c r="Y25" s="307" t="n"/>
      <c r="Z25" s="307" t="n"/>
      <c r="AA25" s="307" t="n"/>
      <c r="AB25" s="307" t="n"/>
      <c r="AC25" s="307" t="n"/>
      <c r="AD25" s="307" t="n"/>
      <c r="AE25" s="307" t="n"/>
      <c r="AF25" s="307" t="n"/>
      <c r="AG25" s="307" t="n"/>
      <c r="AH25" s="307" t="n"/>
      <c r="AI25" s="307" t="n"/>
      <c r="AJ25" s="307" t="n"/>
      <c r="AK25" s="307" t="n"/>
      <c r="AL25" s="307" t="n"/>
      <c r="AM25" s="307" t="n"/>
      <c r="AN25" s="307" t="n"/>
      <c r="AO25" s="307" t="n"/>
      <c r="AP25" s="307" t="n"/>
      <c r="AQ25" s="307" t="n"/>
      <c r="AR25" s="307" t="n"/>
      <c r="AS25" s="307" t="n"/>
      <c r="AT25" s="307" t="n"/>
    </row>
    <row r="26" ht="15.75" customHeight="1" s="349">
      <c r="A26" s="307" t="n"/>
      <c r="B26" s="307" t="n"/>
      <c r="C26" s="307" t="n"/>
      <c r="D26" s="307" t="n"/>
      <c r="E26" s="307" t="n"/>
      <c r="F26" s="307" t="n"/>
      <c r="G26" s="307" t="n"/>
      <c r="H26" s="307" t="n"/>
      <c r="I26" s="307" t="n"/>
      <c r="J26" s="307" t="n"/>
      <c r="K26" s="307" t="n"/>
      <c r="L26" s="307" t="n"/>
      <c r="M26" s="307" t="n"/>
      <c r="N26" s="307" t="n"/>
      <c r="O26" s="307" t="n"/>
      <c r="P26" s="307" t="n"/>
      <c r="Q26" s="307" t="n"/>
      <c r="R26" s="307" t="n"/>
      <c r="S26" s="307" t="n"/>
      <c r="T26" s="307" t="n"/>
      <c r="U26" s="307" t="n"/>
      <c r="V26" s="307" t="n"/>
      <c r="W26" s="307" t="n"/>
      <c r="X26" s="307" t="n"/>
      <c r="Y26" s="307" t="n"/>
      <c r="Z26" s="307" t="n"/>
      <c r="AA26" s="307" t="n"/>
      <c r="AB26" s="307" t="n"/>
      <c r="AC26" s="307" t="n"/>
      <c r="AD26" s="307" t="n"/>
      <c r="AE26" s="307" t="n"/>
      <c r="AF26" s="307" t="n"/>
      <c r="AG26" s="307" t="n"/>
      <c r="AH26" s="307" t="n"/>
      <c r="AI26" s="307" t="n"/>
      <c r="AJ26" s="307" t="n"/>
      <c r="AK26" s="307" t="n"/>
      <c r="AL26" s="307" t="n"/>
      <c r="AM26" s="307" t="n"/>
      <c r="AN26" s="307" t="n"/>
      <c r="AO26" s="307" t="n"/>
      <c r="AP26" s="307" t="n"/>
      <c r="AQ26" s="307" t="n"/>
      <c r="AR26" s="307" t="n"/>
      <c r="AS26" s="307" t="n"/>
      <c r="AT26" s="307" t="n"/>
    </row>
    <row r="27" ht="15.75" customHeight="1" s="349">
      <c r="A27" s="307" t="n"/>
      <c r="B27" s="307" t="n"/>
      <c r="C27" s="307" t="n"/>
      <c r="D27" s="307" t="n"/>
      <c r="E27" s="307" t="n"/>
      <c r="F27" s="307" t="n"/>
      <c r="G27" s="307" t="n"/>
      <c r="H27" s="307" t="n"/>
      <c r="I27" s="307" t="n"/>
      <c r="J27" s="307" t="n"/>
      <c r="K27" s="307" t="n"/>
      <c r="L27" s="307" t="n"/>
      <c r="M27" s="307" t="n"/>
      <c r="N27" s="307" t="n"/>
      <c r="O27" s="307" t="n"/>
      <c r="P27" s="307" t="n"/>
      <c r="Q27" s="307" t="n"/>
      <c r="R27" s="307" t="n"/>
      <c r="S27" s="307" t="n"/>
      <c r="T27" s="307" t="n"/>
      <c r="U27" s="307" t="n"/>
      <c r="V27" s="307" t="n"/>
      <c r="W27" s="307" t="n"/>
      <c r="X27" s="307" t="n"/>
      <c r="Y27" s="307" t="n"/>
      <c r="Z27" s="307" t="n"/>
      <c r="AA27" s="307" t="n"/>
      <c r="AB27" s="237" t="n"/>
      <c r="AC27" s="307" t="n"/>
      <c r="AD27" s="307" t="n"/>
      <c r="AE27" s="307" t="n"/>
      <c r="AF27" s="307" t="n"/>
      <c r="AG27" s="307" t="n"/>
      <c r="AH27" s="307" t="n"/>
      <c r="AI27" s="307" t="n"/>
      <c r="AJ27" s="307" t="n"/>
      <c r="AK27" s="307" t="n"/>
      <c r="AL27" s="307" t="n"/>
      <c r="AM27" s="307" t="n"/>
      <c r="AN27" s="307" t="n"/>
      <c r="AO27" s="307" t="n"/>
      <c r="AP27" s="307" t="n"/>
      <c r="AQ27" s="307" t="n"/>
      <c r="AR27" s="307" t="n"/>
      <c r="AS27" s="307" t="n"/>
      <c r="AT27" s="307" t="n"/>
    </row>
    <row r="28" ht="15.75" customHeight="1" s="349">
      <c r="A28" s="307" t="n"/>
      <c r="B28" s="307" t="n"/>
      <c r="C28" s="307" t="n"/>
      <c r="D28" s="307" t="n"/>
      <c r="E28" s="307" t="n"/>
      <c r="F28" s="307" t="n"/>
      <c r="G28" s="307" t="n"/>
      <c r="H28" s="307" t="n"/>
      <c r="I28" s="307" t="n"/>
      <c r="J28" s="307" t="n"/>
      <c r="K28" s="307" t="n"/>
      <c r="L28" s="307" t="n"/>
      <c r="M28" s="307" t="n"/>
      <c r="N28" s="307" t="n"/>
      <c r="O28" s="307" t="n"/>
      <c r="P28" s="307" t="n"/>
      <c r="Q28" s="307" t="n"/>
      <c r="R28" s="307" t="n"/>
      <c r="S28" s="307" t="n"/>
      <c r="T28" s="307" t="n"/>
      <c r="U28" s="307" t="n"/>
      <c r="V28" s="307" t="n"/>
      <c r="W28" s="307" t="n"/>
      <c r="X28" s="307" t="n"/>
      <c r="Y28" s="307" t="n"/>
      <c r="Z28" s="307" t="n"/>
      <c r="AA28" s="307" t="n"/>
      <c r="AB28" s="307" t="n"/>
      <c r="AC28" s="307" t="n"/>
      <c r="AD28" s="307" t="n"/>
      <c r="AE28" s="307" t="n"/>
      <c r="AF28" s="307" t="n"/>
      <c r="AG28" s="307" t="n"/>
      <c r="AH28" s="307" t="n"/>
      <c r="AI28" s="307" t="n"/>
      <c r="AJ28" s="307" t="n"/>
      <c r="AK28" s="307" t="n"/>
      <c r="AL28" s="307" t="n"/>
      <c r="AM28" s="307" t="n"/>
      <c r="AN28" s="307" t="n"/>
      <c r="AO28" s="307" t="n"/>
      <c r="AP28" s="307" t="n"/>
      <c r="AQ28" s="307" t="n"/>
      <c r="AR28" s="307" t="n"/>
      <c r="AS28" s="307" t="n"/>
      <c r="AT28" s="307" t="n"/>
    </row>
    <row r="29" ht="15.75" customHeight="1" s="349">
      <c r="A29" s="307" t="n"/>
      <c r="B29" s="307" t="n"/>
      <c r="C29" s="307" t="n"/>
      <c r="D29" s="307" t="n"/>
      <c r="E29" s="307" t="n"/>
      <c r="F29" s="307" t="n"/>
      <c r="G29" s="307" t="n"/>
      <c r="H29" s="307" t="n"/>
      <c r="I29" s="307" t="n"/>
      <c r="J29" s="307" t="n"/>
      <c r="K29" s="307" t="n"/>
      <c r="L29" s="307" t="n"/>
      <c r="M29" s="307" t="n"/>
      <c r="N29" s="307" t="n"/>
      <c r="O29" s="307" t="n"/>
      <c r="P29" s="307" t="n"/>
      <c r="Q29" s="307" t="n"/>
      <c r="R29" s="307" t="n"/>
      <c r="S29" s="307" t="n"/>
      <c r="T29" s="307" t="n"/>
      <c r="U29" s="307" t="n"/>
      <c r="V29" s="307" t="n"/>
      <c r="W29" s="307" t="n"/>
      <c r="X29" s="307" t="n"/>
      <c r="Y29" s="307" t="n"/>
      <c r="Z29" s="307" t="n"/>
      <c r="AA29" s="307" t="n"/>
      <c r="AB29" s="307" t="n"/>
      <c r="AC29" s="307" t="n"/>
      <c r="AD29" s="307" t="n"/>
      <c r="AE29" s="307" t="n"/>
      <c r="AF29" s="307" t="n"/>
      <c r="AG29" s="307" t="n"/>
      <c r="AH29" s="307" t="n"/>
      <c r="AI29" s="307" t="n"/>
      <c r="AJ29" s="307" t="n"/>
      <c r="AK29" s="307" t="n"/>
      <c r="AL29" s="307" t="n"/>
      <c r="AM29" s="307" t="n"/>
      <c r="AN29" s="307" t="n"/>
      <c r="AO29" s="307" t="n"/>
      <c r="AP29" s="307" t="n"/>
      <c r="AQ29" s="307" t="n"/>
      <c r="AR29" s="307" t="n"/>
      <c r="AS29" s="307" t="n"/>
      <c r="AT29" s="307" t="n"/>
    </row>
    <row r="30" ht="15.75" customHeight="1" s="349">
      <c r="A30" s="307" t="n"/>
      <c r="B30" s="307" t="n"/>
      <c r="C30" s="307" t="n"/>
      <c r="D30" s="307" t="n"/>
      <c r="E30" s="307" t="n"/>
      <c r="F30" s="307" t="n"/>
      <c r="G30" s="307" t="n"/>
      <c r="H30" s="307" t="n"/>
      <c r="I30" s="307" t="n"/>
      <c r="J30" s="307" t="n"/>
      <c r="K30" s="307" t="n"/>
      <c r="L30" s="307" t="n"/>
      <c r="M30" s="307" t="n"/>
      <c r="N30" s="307" t="n"/>
      <c r="O30" s="307" t="n"/>
      <c r="P30" s="307" t="n"/>
      <c r="Q30" s="307" t="n"/>
      <c r="R30" s="307" t="n"/>
      <c r="S30" s="307" t="n"/>
      <c r="T30" s="307" t="n"/>
      <c r="U30" s="307" t="n"/>
      <c r="V30" s="307" t="n"/>
      <c r="W30" s="307" t="n"/>
      <c r="X30" s="307" t="n"/>
      <c r="Y30" s="307" t="n"/>
      <c r="Z30" s="307" t="n"/>
      <c r="AA30" s="307" t="n"/>
      <c r="AB30" s="307" t="n"/>
      <c r="AC30" s="307" t="n"/>
      <c r="AD30" s="307" t="n"/>
      <c r="AE30" s="307" t="n"/>
      <c r="AF30" s="307" t="n"/>
      <c r="AG30" s="307" t="n"/>
      <c r="AH30" s="307" t="n"/>
      <c r="AI30" s="307" t="n"/>
      <c r="AJ30" s="307" t="n"/>
      <c r="AK30" s="307" t="n"/>
      <c r="AL30" s="307" t="n"/>
      <c r="AM30" s="307" t="n"/>
      <c r="AN30" s="307" t="n"/>
      <c r="AO30" s="307" t="n"/>
      <c r="AP30" s="307" t="n"/>
      <c r="AQ30" s="307" t="n"/>
      <c r="AR30" s="307" t="n"/>
      <c r="AS30" s="307" t="n"/>
      <c r="AT30" s="307" t="n"/>
    </row>
    <row r="31" ht="15.75" customHeight="1" s="349">
      <c r="A31" s="307" t="n"/>
      <c r="B31" s="307" t="n"/>
      <c r="C31" s="307" t="n"/>
      <c r="D31" s="307" t="n"/>
      <c r="E31" s="307" t="n"/>
      <c r="F31" s="307" t="n"/>
      <c r="G31" s="307" t="n"/>
      <c r="H31" s="307" t="n"/>
      <c r="I31" s="307" t="n"/>
      <c r="J31" s="307" t="n"/>
      <c r="K31" s="307" t="n"/>
      <c r="L31" s="307" t="n"/>
      <c r="M31" s="307" t="n"/>
      <c r="N31" s="307" t="n"/>
      <c r="O31" s="307" t="n"/>
      <c r="P31" s="307" t="n"/>
      <c r="Q31" s="307" t="n"/>
      <c r="R31" s="307" t="n"/>
      <c r="S31" s="307" t="n"/>
      <c r="T31" s="307" t="n"/>
      <c r="U31" s="307" t="n"/>
      <c r="V31" s="307" t="n"/>
      <c r="W31" s="307" t="n"/>
      <c r="X31" s="307" t="n"/>
      <c r="Y31" s="307" t="n"/>
      <c r="Z31" s="307" t="n"/>
      <c r="AA31" s="307" t="n"/>
      <c r="AB31" s="307" t="n"/>
      <c r="AC31" s="307" t="n"/>
      <c r="AD31" s="307" t="n"/>
      <c r="AE31" s="307" t="n"/>
      <c r="AF31" s="307" t="n"/>
      <c r="AG31" s="307" t="n"/>
      <c r="AH31" s="307" t="n"/>
      <c r="AI31" s="307" t="n"/>
      <c r="AJ31" s="307" t="n"/>
      <c r="AK31" s="307" t="n"/>
      <c r="AL31" s="307" t="n"/>
      <c r="AM31" s="307" t="n"/>
      <c r="AN31" s="307" t="n"/>
      <c r="AO31" s="307" t="n"/>
      <c r="AP31" s="307" t="n"/>
      <c r="AQ31" s="307" t="n"/>
      <c r="AR31" s="307" t="n"/>
      <c r="AS31" s="307" t="n"/>
      <c r="AT31" s="307" t="n"/>
    </row>
    <row r="32" ht="15.75" customHeight="1" s="349">
      <c r="A32" s="307" t="n"/>
      <c r="B32" s="307" t="n"/>
      <c r="C32" s="307" t="n"/>
      <c r="D32" s="307" t="n"/>
      <c r="E32" s="307" t="n"/>
      <c r="F32" s="307" t="n"/>
      <c r="G32" s="307" t="n"/>
      <c r="H32" s="307" t="n"/>
      <c r="I32" s="307" t="n"/>
      <c r="J32" s="307" t="n"/>
      <c r="K32" s="307" t="n"/>
      <c r="L32" s="307" t="n"/>
      <c r="M32" s="307" t="n"/>
      <c r="N32" s="307" t="n"/>
      <c r="O32" s="307" t="n"/>
      <c r="P32" s="307" t="n"/>
      <c r="Q32" s="307" t="n"/>
      <c r="R32" s="307" t="n"/>
      <c r="S32" s="307" t="n"/>
      <c r="T32" s="307" t="n"/>
      <c r="U32" s="307" t="n"/>
      <c r="V32" s="307" t="n"/>
      <c r="W32" s="307" t="n"/>
      <c r="X32" s="307" t="n"/>
      <c r="Y32" s="307" t="n"/>
      <c r="Z32" s="307" t="n"/>
      <c r="AA32" s="307" t="n"/>
      <c r="AB32" s="307" t="n"/>
      <c r="AC32" s="307" t="n"/>
      <c r="AD32" s="307" t="n"/>
      <c r="AE32" s="307" t="n"/>
      <c r="AF32" s="307" t="n"/>
      <c r="AG32" s="307" t="n"/>
      <c r="AH32" s="307" t="n"/>
      <c r="AI32" s="307" t="n"/>
      <c r="AJ32" s="307" t="n"/>
      <c r="AK32" s="307" t="n"/>
      <c r="AL32" s="307" t="n"/>
      <c r="AM32" s="307" t="n"/>
      <c r="AN32" s="307" t="n"/>
      <c r="AO32" s="307" t="n"/>
      <c r="AP32" s="307" t="n"/>
      <c r="AQ32" s="307" t="n"/>
      <c r="AR32" s="307" t="n"/>
      <c r="AS32" s="307" t="n"/>
      <c r="AT32" s="307" t="n"/>
    </row>
    <row r="33" ht="15.75" customHeight="1" s="349">
      <c r="A33" s="307" t="n"/>
      <c r="B33" s="307" t="n"/>
      <c r="C33" s="307" t="n"/>
      <c r="D33" s="307" t="n"/>
      <c r="E33" s="307" t="n"/>
      <c r="F33" s="307" t="n"/>
      <c r="G33" s="307" t="n"/>
      <c r="H33" s="307" t="n"/>
      <c r="I33" s="307" t="n"/>
      <c r="J33" s="307" t="n"/>
      <c r="K33" s="307" t="n"/>
      <c r="L33" s="307" t="n"/>
      <c r="M33" s="307" t="n"/>
      <c r="N33" s="307" t="n"/>
      <c r="O33" s="307" t="n"/>
      <c r="P33" s="307" t="n"/>
      <c r="Q33" s="307" t="n"/>
      <c r="R33" s="307" t="n"/>
      <c r="S33" s="307" t="n"/>
      <c r="T33" s="307" t="n"/>
      <c r="U33" s="307" t="n"/>
      <c r="V33" s="307" t="n"/>
      <c r="W33" s="307" t="n"/>
      <c r="X33" s="307" t="n"/>
      <c r="Y33" s="307" t="n"/>
      <c r="Z33" s="307" t="n"/>
      <c r="AA33" s="307" t="n"/>
      <c r="AB33" s="307" t="n"/>
      <c r="AC33" s="307" t="n"/>
      <c r="AD33" s="307" t="n"/>
      <c r="AE33" s="307" t="n"/>
      <c r="AF33" s="307" t="n"/>
      <c r="AG33" s="307" t="n"/>
      <c r="AH33" s="307" t="n"/>
      <c r="AI33" s="307" t="n"/>
      <c r="AJ33" s="307" t="n"/>
      <c r="AK33" s="307" t="n"/>
      <c r="AL33" s="307" t="n"/>
      <c r="AM33" s="307" t="n"/>
      <c r="AN33" s="307" t="n"/>
      <c r="AO33" s="307" t="n"/>
      <c r="AP33" s="307" t="n"/>
      <c r="AQ33" s="307" t="n"/>
      <c r="AR33" s="307" t="n"/>
      <c r="AS33" s="307" t="n"/>
      <c r="AT33" s="307" t="n"/>
    </row>
    <row r="34" ht="15.75" customHeight="1" s="349">
      <c r="A34" s="307" t="n"/>
      <c r="B34" s="307" t="n"/>
      <c r="C34" s="307" t="n"/>
      <c r="D34" s="307" t="n"/>
      <c r="E34" s="307" t="n"/>
      <c r="F34" s="307" t="n"/>
      <c r="G34" s="307" t="n"/>
      <c r="H34" s="307" t="n"/>
      <c r="I34" s="307" t="n"/>
      <c r="J34" s="307" t="n"/>
      <c r="K34" s="307" t="n"/>
      <c r="L34" s="307" t="n"/>
      <c r="M34" s="307" t="n"/>
      <c r="N34" s="307" t="n"/>
      <c r="O34" s="307" t="n"/>
      <c r="P34" s="307" t="n"/>
      <c r="Q34" s="307" t="n"/>
      <c r="R34" s="307" t="n"/>
      <c r="S34" s="307" t="n"/>
      <c r="T34" s="307" t="n"/>
      <c r="U34" s="307" t="n"/>
      <c r="V34" s="307" t="n"/>
      <c r="W34" s="307" t="n"/>
      <c r="X34" s="307" t="n"/>
      <c r="Y34" s="307" t="n"/>
      <c r="Z34" s="307" t="n"/>
      <c r="AA34" s="307" t="n"/>
      <c r="AB34" s="307" t="n"/>
      <c r="AC34" s="307" t="n"/>
      <c r="AD34" s="307" t="n"/>
      <c r="AE34" s="307" t="n"/>
      <c r="AF34" s="307" t="n"/>
      <c r="AG34" s="307" t="n"/>
      <c r="AH34" s="307" t="n"/>
      <c r="AI34" s="307" t="n"/>
      <c r="AJ34" s="307" t="n"/>
      <c r="AK34" s="307" t="n"/>
      <c r="AL34" s="307" t="n"/>
      <c r="AM34" s="307" t="n"/>
      <c r="AN34" s="307" t="n"/>
      <c r="AO34" s="307" t="n"/>
      <c r="AP34" s="307" t="n"/>
      <c r="AQ34" s="307" t="n"/>
      <c r="AR34" s="307" t="n"/>
      <c r="AS34" s="307" t="n"/>
      <c r="AT34" s="307" t="n"/>
    </row>
    <row r="35" ht="15.75" customHeight="1" s="349">
      <c r="A35" s="307" t="n"/>
      <c r="B35" s="307" t="n"/>
      <c r="C35" s="307" t="n"/>
      <c r="D35" s="307" t="n"/>
      <c r="E35" s="307" t="n"/>
      <c r="F35" s="307" t="n"/>
      <c r="G35" s="307" t="n"/>
      <c r="H35" s="307" t="n"/>
      <c r="I35" s="307" t="n"/>
      <c r="J35" s="307" t="n"/>
      <c r="K35" s="307" t="n"/>
      <c r="L35" s="307" t="n"/>
      <c r="M35" s="307" t="n"/>
      <c r="N35" s="307" t="n"/>
      <c r="O35" s="307" t="n"/>
      <c r="P35" s="307" t="n"/>
      <c r="Q35" s="307" t="n"/>
      <c r="R35" s="307" t="n"/>
      <c r="S35" s="307" t="n"/>
      <c r="T35" s="307" t="n"/>
      <c r="U35" s="307" t="n"/>
      <c r="V35" s="307" t="n"/>
      <c r="W35" s="307" t="n"/>
      <c r="X35" s="307" t="n"/>
      <c r="Y35" s="307" t="n"/>
      <c r="Z35" s="307" t="n"/>
      <c r="AA35" s="307" t="n"/>
      <c r="AB35" s="307" t="n"/>
      <c r="AC35" s="307" t="n"/>
      <c r="AD35" s="307" t="n"/>
      <c r="AE35" s="307" t="n"/>
      <c r="AF35" s="307" t="n"/>
      <c r="AG35" s="307" t="n"/>
      <c r="AH35" s="307" t="n"/>
      <c r="AI35" s="307" t="n"/>
      <c r="AJ35" s="307" t="n"/>
      <c r="AK35" s="307" t="n"/>
      <c r="AL35" s="307" t="n"/>
      <c r="AM35" s="307" t="n"/>
      <c r="AN35" s="307" t="n"/>
      <c r="AO35" s="307" t="n"/>
      <c r="AP35" s="307" t="n"/>
      <c r="AQ35" s="307" t="n"/>
      <c r="AR35" s="307" t="n"/>
      <c r="AS35" s="307" t="n"/>
      <c r="AT35" s="307" t="n"/>
    </row>
    <row r="36" ht="15.75" customHeight="1" s="349">
      <c r="A36" s="307" t="n"/>
      <c r="B36" s="307" t="n"/>
      <c r="C36" s="307" t="n"/>
      <c r="D36" s="307" t="n"/>
      <c r="E36" s="307" t="n"/>
      <c r="F36" s="307" t="n"/>
      <c r="G36" s="307" t="n"/>
      <c r="H36" s="307" t="n"/>
      <c r="I36" s="307" t="n"/>
      <c r="J36" s="307" t="n"/>
      <c r="K36" s="307" t="n"/>
      <c r="L36" s="307" t="n"/>
      <c r="M36" s="307" t="n"/>
      <c r="N36" s="307" t="n"/>
      <c r="O36" s="307" t="n"/>
      <c r="P36" s="307" t="n"/>
      <c r="Q36" s="307" t="n"/>
      <c r="R36" s="307" t="n"/>
      <c r="S36" s="307" t="n"/>
      <c r="T36" s="307" t="n"/>
      <c r="U36" s="307" t="n"/>
      <c r="V36" s="307" t="n"/>
      <c r="W36" s="307" t="n"/>
      <c r="X36" s="307" t="n"/>
      <c r="Y36" s="307" t="n"/>
      <c r="Z36" s="307" t="n"/>
      <c r="AA36" s="307" t="n"/>
      <c r="AB36" s="307" t="n"/>
      <c r="AC36" s="307" t="n"/>
      <c r="AD36" s="307" t="n"/>
      <c r="AE36" s="307" t="n"/>
      <c r="AF36" s="307" t="n"/>
      <c r="AG36" s="307" t="n"/>
      <c r="AH36" s="307" t="n"/>
      <c r="AI36" s="307" t="n"/>
      <c r="AJ36" s="307" t="n"/>
      <c r="AK36" s="307" t="n"/>
      <c r="AL36" s="307" t="n"/>
      <c r="AM36" s="307" t="n"/>
      <c r="AN36" s="307" t="n"/>
      <c r="AO36" s="307" t="n"/>
      <c r="AP36" s="307" t="n"/>
      <c r="AQ36" s="307" t="n"/>
      <c r="AR36" s="307" t="n"/>
      <c r="AS36" s="307" t="n"/>
      <c r="AT36" s="307" t="n"/>
    </row>
    <row r="37" ht="15.75" customHeight="1" s="349">
      <c r="A37" s="307" t="n"/>
      <c r="B37" s="307" t="n"/>
      <c r="C37" s="307" t="n"/>
      <c r="D37" s="307" t="n"/>
      <c r="E37" s="307" t="n"/>
      <c r="F37" s="307" t="n"/>
      <c r="G37" s="307" t="n"/>
      <c r="H37" s="307" t="n"/>
      <c r="I37" s="307" t="n"/>
      <c r="J37" s="307" t="n"/>
      <c r="K37" s="307" t="n"/>
      <c r="L37" s="307" t="n"/>
      <c r="M37" s="307" t="n"/>
      <c r="N37" s="307" t="n"/>
      <c r="O37" s="307" t="n"/>
      <c r="P37" s="307" t="n"/>
      <c r="Q37" s="307" t="n"/>
      <c r="R37" s="307" t="n"/>
      <c r="S37" s="307" t="n"/>
      <c r="T37" s="307" t="n"/>
      <c r="U37" s="307" t="n"/>
      <c r="V37" s="307" t="n"/>
      <c r="W37" s="307" t="n"/>
      <c r="X37" s="107" t="n"/>
      <c r="Y37" s="307" t="n"/>
      <c r="Z37" s="307" t="n"/>
      <c r="AA37" s="307" t="n"/>
      <c r="AB37" s="307" t="n"/>
      <c r="AC37" s="307" t="n"/>
      <c r="AD37" s="307" t="n"/>
      <c r="AE37" s="307" t="n"/>
      <c r="AF37" s="307" t="n"/>
      <c r="AG37" s="307" t="n"/>
      <c r="AH37" s="307" t="n"/>
      <c r="AI37" s="307" t="n"/>
      <c r="AJ37" s="307" t="n"/>
      <c r="AK37" s="307" t="n"/>
      <c r="AL37" s="307" t="n"/>
      <c r="AM37" s="307" t="n"/>
      <c r="AN37" s="307" t="n"/>
      <c r="AO37" s="307" t="n"/>
      <c r="AP37" s="307" t="n"/>
      <c r="AQ37" s="307" t="n"/>
      <c r="AR37" s="307" t="n"/>
      <c r="AS37" s="307" t="n"/>
      <c r="AT37" s="307" t="n"/>
    </row>
    <row r="38" ht="15.75" customHeight="1" s="349">
      <c r="A38" s="307" t="n"/>
      <c r="B38" s="307" t="n"/>
      <c r="C38" s="307" t="n"/>
      <c r="D38" s="307" t="n"/>
      <c r="E38" s="307" t="n"/>
      <c r="F38" s="307" t="n"/>
      <c r="G38" s="307" t="n"/>
      <c r="H38" s="307" t="n"/>
      <c r="I38" s="307" t="n"/>
      <c r="J38" s="307" t="n"/>
      <c r="K38" s="307" t="n"/>
      <c r="L38" s="307" t="n"/>
      <c r="M38" s="307" t="n"/>
      <c r="N38" s="307" t="n"/>
      <c r="O38" s="307" t="n"/>
      <c r="P38" s="307" t="n"/>
      <c r="Q38" s="307" t="n"/>
      <c r="R38" s="307" t="n"/>
      <c r="S38" s="307" t="n"/>
      <c r="T38" s="307" t="n"/>
      <c r="U38" s="307" t="n"/>
      <c r="V38" s="307" t="n"/>
      <c r="W38" s="307" t="n"/>
      <c r="X38" s="307" t="n"/>
      <c r="Y38" s="307" t="n"/>
      <c r="Z38" s="307" t="n"/>
      <c r="AA38" s="307" t="n"/>
      <c r="AB38" s="307" t="n"/>
      <c r="AC38" s="307" t="n"/>
      <c r="AD38" s="307" t="n"/>
      <c r="AE38" s="307" t="n"/>
      <c r="AF38" s="307" t="n"/>
      <c r="AG38" s="307" t="n"/>
      <c r="AH38" s="307" t="n"/>
      <c r="AI38" s="307" t="n"/>
      <c r="AJ38" s="307" t="n"/>
      <c r="AK38" s="307" t="n"/>
      <c r="AL38" s="307" t="n"/>
      <c r="AM38" s="307" t="n"/>
      <c r="AN38" s="307" t="n"/>
      <c r="AO38" s="307" t="n"/>
      <c r="AP38" s="307" t="n"/>
      <c r="AQ38" s="307" t="n"/>
      <c r="AR38" s="307" t="n"/>
      <c r="AS38" s="307" t="n"/>
      <c r="AT38" s="307" t="n"/>
    </row>
    <row r="39" ht="15.75" customHeight="1" s="349">
      <c r="A39" s="307" t="n"/>
      <c r="B39" s="307" t="n"/>
      <c r="C39" s="307" t="n"/>
      <c r="D39" s="307" t="n"/>
      <c r="E39" s="307" t="n"/>
      <c r="F39" s="307" t="n"/>
      <c r="G39" s="307" t="n"/>
      <c r="H39" s="307" t="n"/>
      <c r="I39" s="307" t="n"/>
      <c r="J39" s="307" t="n"/>
      <c r="K39" s="307" t="n"/>
      <c r="L39" s="307" t="n"/>
      <c r="M39" s="307" t="n"/>
      <c r="N39" s="307" t="n"/>
      <c r="O39" s="307" t="n"/>
      <c r="P39" s="307" t="n"/>
      <c r="Q39" s="307" t="n"/>
      <c r="R39" s="307" t="n"/>
      <c r="S39" s="307" t="n"/>
      <c r="T39" s="307" t="n"/>
      <c r="U39" s="307" t="n"/>
      <c r="V39" s="307" t="n"/>
      <c r="W39" s="307" t="n"/>
      <c r="X39" s="307" t="n"/>
      <c r="Y39" s="307" t="n"/>
      <c r="Z39" s="307" t="n"/>
      <c r="AA39" s="307" t="n"/>
      <c r="AB39" s="307" t="n"/>
      <c r="AC39" s="307" t="n"/>
      <c r="AD39" s="307" t="n"/>
      <c r="AE39" s="307" t="n"/>
      <c r="AF39" s="307" t="n"/>
      <c r="AG39" s="307" t="n"/>
      <c r="AH39" s="307" t="n"/>
      <c r="AI39" s="307" t="n"/>
      <c r="AJ39" s="307" t="n"/>
      <c r="AK39" s="307" t="n"/>
      <c r="AL39" s="307" t="n"/>
      <c r="AM39" s="307" t="n"/>
      <c r="AN39" s="307" t="n"/>
      <c r="AO39" s="307" t="n"/>
      <c r="AP39" s="307" t="n"/>
      <c r="AQ39" s="307" t="n"/>
      <c r="AR39" s="307" t="n"/>
      <c r="AS39" s="307" t="n"/>
      <c r="AT39" s="307" t="n"/>
    </row>
    <row r="40" ht="15.75" customHeight="1" s="349">
      <c r="A40" s="307" t="n"/>
      <c r="B40" s="307" t="n"/>
      <c r="C40" s="307" t="n"/>
      <c r="D40" s="307" t="n"/>
      <c r="E40" s="307" t="n"/>
      <c r="F40" s="307" t="n"/>
      <c r="G40" s="307" t="n"/>
      <c r="H40" s="307" t="n"/>
      <c r="I40" s="307" t="n"/>
      <c r="J40" s="307" t="n"/>
      <c r="K40" s="307" t="n"/>
      <c r="L40" s="307" t="n"/>
      <c r="M40" s="307" t="n"/>
      <c r="N40" s="307" t="n"/>
      <c r="O40" s="307" t="n"/>
      <c r="P40" s="307" t="n"/>
      <c r="Q40" s="307" t="n"/>
      <c r="R40" s="307" t="n"/>
      <c r="S40" s="307" t="n"/>
      <c r="T40" s="307" t="n"/>
      <c r="U40" s="307" t="n"/>
      <c r="V40" s="307" t="n"/>
      <c r="W40" s="307" t="n"/>
      <c r="Y40" s="307" t="n"/>
      <c r="Z40" s="307" t="n"/>
      <c r="AA40" s="307" t="n"/>
      <c r="AB40" s="307" t="n"/>
      <c r="AC40" s="307" t="n"/>
      <c r="AD40" s="307" t="n"/>
      <c r="AE40" s="307" t="n"/>
      <c r="AF40" s="307" t="n"/>
      <c r="AG40" s="307" t="n"/>
      <c r="AH40" s="307" t="n"/>
      <c r="AI40" s="307" t="n"/>
      <c r="AJ40" s="307" t="n"/>
      <c r="AK40" s="307" t="n"/>
      <c r="AL40" s="307" t="n"/>
      <c r="AM40" s="307" t="n"/>
      <c r="AN40" s="307" t="n"/>
      <c r="AO40" s="307" t="n"/>
      <c r="AP40" s="307" t="n"/>
      <c r="AQ40" s="307" t="n"/>
      <c r="AR40" s="307" t="n"/>
      <c r="AS40" s="307" t="n"/>
      <c r="AT40" s="307" t="n"/>
    </row>
    <row r="41" ht="15.75" customHeight="1" s="349">
      <c r="A41" s="307" t="n"/>
      <c r="B41" s="307" t="n"/>
      <c r="C41" s="307" t="n"/>
      <c r="D41" s="307" t="n"/>
      <c r="E41" s="307" t="n"/>
      <c r="F41" s="307" t="n"/>
      <c r="G41" s="307" t="n"/>
      <c r="H41" s="307" t="n"/>
      <c r="I41" s="307" t="n"/>
      <c r="J41" s="307" t="n"/>
      <c r="K41" s="307" t="n"/>
      <c r="L41" s="307" t="n"/>
      <c r="M41" s="307" t="n"/>
      <c r="N41" s="307" t="n"/>
      <c r="O41" s="307" t="n"/>
      <c r="P41" s="307" t="n"/>
      <c r="Q41" s="307" t="n"/>
      <c r="R41" s="307" t="n"/>
      <c r="S41" s="307" t="n"/>
      <c r="T41" s="307" t="n"/>
      <c r="U41" s="307" t="n"/>
      <c r="V41" s="307" t="n"/>
      <c r="W41" s="307" t="n"/>
      <c r="X41" s="307" t="n"/>
      <c r="Y41" s="307" t="n"/>
      <c r="Z41" s="307" t="n"/>
      <c r="AA41" s="307" t="n"/>
      <c r="AB41" s="307" t="n"/>
      <c r="AC41" s="307" t="n"/>
      <c r="AD41" s="307" t="n"/>
      <c r="AE41" s="307" t="n"/>
      <c r="AF41" s="307" t="n"/>
      <c r="AG41" s="307" t="n"/>
      <c r="AH41" s="307" t="n"/>
      <c r="AI41" s="307" t="n"/>
      <c r="AJ41" s="307" t="n"/>
      <c r="AK41" s="307" t="n"/>
      <c r="AL41" s="307" t="n"/>
      <c r="AM41" s="307" t="n"/>
      <c r="AN41" s="307" t="n"/>
      <c r="AO41" s="307" t="n"/>
      <c r="AP41" s="307" t="n"/>
      <c r="AQ41" s="307" t="n"/>
      <c r="AR41" s="307" t="n"/>
      <c r="AS41" s="307" t="n"/>
      <c r="AT41" s="307" t="n"/>
    </row>
    <row r="42" ht="15.75" customHeight="1" s="349">
      <c r="A42" s="307" t="n"/>
      <c r="B42" s="307" t="n"/>
      <c r="C42" s="307" t="n"/>
      <c r="D42" s="307" t="n"/>
      <c r="E42" s="307" t="n"/>
      <c r="F42" s="307" t="n"/>
      <c r="G42" s="307" t="n"/>
      <c r="H42" s="307" t="n"/>
      <c r="I42" s="307" t="n"/>
      <c r="J42" s="307" t="n"/>
      <c r="K42" s="307" t="n"/>
      <c r="L42" s="307" t="n"/>
      <c r="M42" s="307" t="n"/>
      <c r="N42" s="307" t="n"/>
      <c r="O42" s="307" t="n"/>
      <c r="P42" s="307" t="n"/>
      <c r="Q42" s="307" t="n"/>
      <c r="R42" s="307" t="n"/>
      <c r="S42" s="307" t="n"/>
      <c r="T42" s="307" t="n"/>
      <c r="U42" s="307" t="n"/>
      <c r="V42" s="307" t="n"/>
      <c r="W42" s="307" t="n"/>
      <c r="X42" s="307" t="n"/>
      <c r="Y42" s="307" t="n"/>
      <c r="Z42" s="307" t="n"/>
      <c r="AA42" s="307" t="n"/>
      <c r="AB42" s="307" t="n"/>
      <c r="AC42" s="307" t="n"/>
      <c r="AD42" s="307" t="n"/>
      <c r="AE42" s="307" t="n"/>
      <c r="AF42" s="307" t="n"/>
      <c r="AG42" s="307" t="n"/>
      <c r="AH42" s="307" t="n"/>
      <c r="AI42" s="307" t="n"/>
      <c r="AJ42" s="307" t="n"/>
      <c r="AK42" s="307" t="n"/>
      <c r="AL42" s="307" t="n"/>
      <c r="AM42" s="307" t="n"/>
      <c r="AN42" s="307" t="n"/>
      <c r="AO42" s="307" t="n"/>
      <c r="AP42" s="307" t="n"/>
      <c r="AQ42" s="307" t="n"/>
      <c r="AR42" s="307" t="n"/>
      <c r="AS42" s="307" t="n"/>
      <c r="AT42" s="307" t="n"/>
    </row>
    <row r="43" ht="15.75" customHeight="1" s="349">
      <c r="A43" s="307" t="n"/>
      <c r="B43" s="307" t="n"/>
      <c r="C43" s="307" t="n"/>
      <c r="D43" s="307" t="n"/>
      <c r="E43" s="307" t="n"/>
      <c r="F43" s="307" t="n"/>
      <c r="G43" s="307" t="n"/>
      <c r="H43" s="307" t="n"/>
      <c r="I43" s="307" t="n"/>
      <c r="J43" s="307" t="n"/>
      <c r="K43" s="307" t="n"/>
      <c r="L43" s="307" t="n"/>
      <c r="M43" s="307" t="n"/>
      <c r="N43" s="307" t="n"/>
      <c r="O43" s="307" t="n"/>
      <c r="P43" s="307" t="n"/>
      <c r="Q43" s="307" t="n"/>
      <c r="R43" s="307" t="n"/>
      <c r="S43" s="307" t="n"/>
      <c r="T43" s="307" t="n"/>
      <c r="U43" s="307" t="n"/>
      <c r="V43" s="307" t="n"/>
      <c r="W43" s="307" t="n"/>
      <c r="X43" s="307" t="n"/>
      <c r="Y43" s="307" t="n"/>
      <c r="Z43" s="307" t="n"/>
      <c r="AA43" s="307" t="n"/>
      <c r="AB43" s="307" t="n"/>
      <c r="AC43" s="307" t="n"/>
      <c r="AD43" s="307" t="n"/>
      <c r="AE43" s="307" t="n"/>
      <c r="AF43" s="307" t="n"/>
      <c r="AG43" s="307" t="n"/>
      <c r="AH43" s="307" t="n"/>
      <c r="AI43" s="307" t="n"/>
      <c r="AJ43" s="307" t="n"/>
      <c r="AK43" s="307" t="n"/>
      <c r="AL43" s="307" t="n"/>
      <c r="AM43" s="307" t="n"/>
      <c r="AN43" s="307" t="n"/>
      <c r="AO43" s="307" t="n"/>
      <c r="AP43" s="307" t="n"/>
      <c r="AQ43" s="307" t="n"/>
      <c r="AR43" s="307" t="n"/>
      <c r="AS43" s="307" t="n"/>
      <c r="AT43" s="307" t="n"/>
    </row>
    <row r="44" ht="15.75" customHeight="1" s="349">
      <c r="A44" s="307" t="n"/>
      <c r="B44" s="307" t="n"/>
      <c r="C44" s="307" t="n"/>
      <c r="D44" s="307" t="n"/>
      <c r="E44" s="307" t="n"/>
      <c r="F44" s="307" t="n"/>
      <c r="G44" s="307" t="n"/>
      <c r="H44" s="307" t="n"/>
      <c r="I44" s="307" t="n"/>
      <c r="J44" s="307" t="n"/>
      <c r="K44" s="307" t="n"/>
      <c r="L44" s="307" t="n"/>
      <c r="M44" s="307" t="n"/>
      <c r="N44" s="307" t="n"/>
      <c r="O44" s="307" t="n"/>
      <c r="P44" s="307" t="n"/>
      <c r="Q44" s="307" t="n"/>
      <c r="R44" s="307" t="n"/>
      <c r="S44" s="307" t="n"/>
      <c r="T44" s="307" t="n"/>
      <c r="U44" s="307" t="n"/>
      <c r="V44" s="307" t="n"/>
      <c r="W44" s="307" t="n"/>
      <c r="X44" s="307" t="n"/>
      <c r="Y44" s="307" t="n"/>
      <c r="Z44" s="307" t="n"/>
      <c r="AA44" s="307" t="n"/>
      <c r="AB44" s="307" t="n"/>
      <c r="AC44" s="307" t="n"/>
      <c r="AD44" s="307" t="n"/>
      <c r="AE44" s="307" t="n"/>
      <c r="AF44" s="307" t="n"/>
      <c r="AG44" s="307" t="n"/>
      <c r="AH44" s="307" t="n"/>
      <c r="AI44" s="307" t="n"/>
      <c r="AJ44" s="307" t="n"/>
      <c r="AK44" s="307" t="n"/>
      <c r="AL44" s="307" t="n"/>
      <c r="AM44" s="307" t="n"/>
      <c r="AN44" s="307" t="n"/>
      <c r="AO44" s="307" t="n"/>
      <c r="AP44" s="307" t="n"/>
      <c r="AQ44" s="307" t="n"/>
      <c r="AR44" s="307" t="n"/>
      <c r="AS44" s="307" t="n"/>
      <c r="AT44" s="307" t="n"/>
    </row>
    <row r="45" ht="15.75" customHeight="1" s="349">
      <c r="A45" s="307" t="n"/>
      <c r="B45" s="307" t="n"/>
      <c r="C45" s="307" t="n"/>
      <c r="D45" s="307" t="n"/>
      <c r="E45" s="307" t="n"/>
      <c r="F45" s="307" t="n"/>
      <c r="G45" s="307" t="n"/>
      <c r="H45" s="307" t="n"/>
      <c r="I45" s="307" t="n"/>
      <c r="J45" s="307" t="n"/>
      <c r="K45" s="307" t="n"/>
      <c r="L45" s="307" t="n"/>
      <c r="M45" s="307" t="n"/>
      <c r="N45" s="307" t="n"/>
      <c r="O45" s="307" t="n"/>
      <c r="P45" s="307" t="n"/>
      <c r="Q45" s="307" t="n"/>
      <c r="R45" s="307" t="n"/>
      <c r="S45" s="307" t="n"/>
      <c r="T45" s="307" t="n"/>
      <c r="U45" s="307" t="n"/>
      <c r="V45" s="307" t="n"/>
      <c r="W45" s="307" t="n"/>
      <c r="X45" s="307" t="n"/>
      <c r="Y45" s="307" t="n"/>
      <c r="Z45" s="307" t="n"/>
      <c r="AA45" s="307" t="n"/>
      <c r="AB45" s="307" t="n"/>
      <c r="AC45" s="307" t="n"/>
      <c r="AD45" s="307" t="n"/>
      <c r="AE45" s="307" t="n"/>
      <c r="AF45" s="307" t="n"/>
      <c r="AG45" s="307" t="n"/>
      <c r="AH45" s="307" t="n"/>
      <c r="AI45" s="307" t="n"/>
      <c r="AJ45" s="307" t="n"/>
      <c r="AK45" s="307" t="n"/>
      <c r="AL45" s="307" t="n"/>
      <c r="AM45" s="307" t="n"/>
      <c r="AN45" s="307" t="n"/>
      <c r="AO45" s="307" t="n"/>
      <c r="AP45" s="307" t="n"/>
      <c r="AQ45" s="307" t="n"/>
      <c r="AR45" s="307" t="n"/>
      <c r="AS45" s="307" t="n"/>
      <c r="AT45" s="307" t="n"/>
    </row>
    <row r="46" ht="15.75" customHeight="1" s="349">
      <c r="A46" s="307" t="n"/>
      <c r="B46" s="307" t="n"/>
      <c r="C46" s="307" t="n"/>
      <c r="D46" s="307" t="n"/>
      <c r="E46" s="307" t="n"/>
      <c r="F46" s="307" t="n"/>
      <c r="G46" s="307" t="n"/>
      <c r="H46" s="307" t="n"/>
      <c r="I46" s="307" t="n"/>
      <c r="J46" s="307" t="n"/>
      <c r="K46" s="307" t="n"/>
      <c r="L46" s="307" t="n"/>
      <c r="M46" s="307" t="n"/>
      <c r="N46" s="307" t="n"/>
      <c r="O46" s="307" t="n"/>
      <c r="P46" s="307" t="n"/>
      <c r="Q46" s="307" t="n"/>
      <c r="R46" s="307" t="n"/>
      <c r="S46" s="307" t="n"/>
      <c r="T46" s="307" t="n"/>
      <c r="U46" s="307" t="n"/>
      <c r="V46" s="307" t="n"/>
      <c r="W46" s="307" t="n"/>
      <c r="X46" s="307" t="n"/>
      <c r="Y46" s="307" t="n"/>
      <c r="Z46" s="307" t="n"/>
      <c r="AA46" s="307" t="n"/>
      <c r="AB46" s="307" t="n"/>
      <c r="AC46" s="307" t="n"/>
      <c r="AD46" s="307" t="n"/>
      <c r="AE46" s="307" t="n"/>
      <c r="AF46" s="307" t="n"/>
      <c r="AG46" s="307" t="n"/>
      <c r="AH46" s="307" t="n"/>
      <c r="AI46" s="307" t="n"/>
      <c r="AJ46" s="307" t="n"/>
      <c r="AK46" s="307" t="n"/>
      <c r="AL46" s="307" t="n"/>
      <c r="AM46" s="307" t="n"/>
      <c r="AN46" s="307" t="n"/>
      <c r="AO46" s="307" t="n"/>
      <c r="AP46" s="307" t="n"/>
      <c r="AQ46" s="307" t="n"/>
      <c r="AR46" s="307" t="n"/>
      <c r="AS46" s="307" t="n"/>
      <c r="AT46" s="307" t="n"/>
    </row>
    <row r="47" ht="15.75" customHeight="1" s="349">
      <c r="A47" s="307" t="n"/>
      <c r="B47" s="307" t="n"/>
      <c r="C47" s="307" t="n"/>
      <c r="D47" s="307" t="n"/>
      <c r="E47" s="307" t="n"/>
      <c r="F47" s="307" t="n"/>
      <c r="G47" s="307" t="n"/>
      <c r="H47" s="307" t="n"/>
      <c r="I47" s="307" t="n"/>
      <c r="J47" s="307" t="n"/>
      <c r="K47" s="307" t="n"/>
      <c r="L47" s="307" t="n"/>
      <c r="M47" s="307" t="n"/>
      <c r="N47" s="307" t="n"/>
      <c r="O47" s="307" t="n"/>
      <c r="P47" s="307" t="n"/>
      <c r="Q47" s="307" t="n"/>
      <c r="R47" s="307" t="n"/>
      <c r="S47" s="307" t="n"/>
      <c r="T47" s="307" t="n"/>
      <c r="U47" s="307" t="n"/>
      <c r="V47" s="307" t="n"/>
      <c r="W47" s="307" t="n"/>
      <c r="X47" s="307" t="n"/>
      <c r="Y47" s="307" t="n"/>
      <c r="Z47" s="307" t="n"/>
      <c r="AA47" s="307" t="n"/>
      <c r="AB47" s="307" t="n"/>
      <c r="AC47" s="307" t="n"/>
      <c r="AD47" s="307" t="n"/>
      <c r="AE47" s="307" t="n"/>
      <c r="AF47" s="307" t="n"/>
      <c r="AG47" s="307" t="n"/>
      <c r="AH47" s="307" t="n"/>
      <c r="AI47" s="307" t="n"/>
      <c r="AJ47" s="307" t="n"/>
      <c r="AK47" s="307" t="n"/>
      <c r="AL47" s="307" t="n"/>
      <c r="AM47" s="307" t="n"/>
      <c r="AN47" s="307" t="n"/>
      <c r="AO47" s="307" t="n"/>
      <c r="AP47" s="307" t="n"/>
      <c r="AQ47" s="307" t="n"/>
      <c r="AR47" s="307" t="n"/>
      <c r="AS47" s="307" t="n"/>
      <c r="AT47" s="307" t="n"/>
    </row>
    <row r="48" ht="15.75" customHeight="1" s="349">
      <c r="A48" s="307" t="n"/>
      <c r="B48" s="307" t="n"/>
      <c r="C48" s="307" t="n"/>
      <c r="D48" s="307" t="n"/>
      <c r="E48" s="307" t="n"/>
      <c r="F48" s="307" t="n"/>
      <c r="G48" s="307" t="n"/>
      <c r="H48" s="307" t="n"/>
      <c r="I48" s="307" t="n"/>
      <c r="J48" s="307" t="n"/>
      <c r="K48" s="307" t="n"/>
      <c r="L48" s="307" t="n"/>
      <c r="M48" s="307" t="n"/>
      <c r="N48" s="307" t="n"/>
      <c r="O48" s="307" t="n"/>
      <c r="P48" s="307" t="n"/>
      <c r="Q48" s="307" t="n"/>
      <c r="R48" s="307" t="n"/>
      <c r="S48" s="307" t="n"/>
      <c r="T48" s="307" t="n"/>
      <c r="U48" s="307" t="n"/>
      <c r="V48" s="307" t="n"/>
      <c r="W48" s="307" t="n"/>
      <c r="X48" s="307" t="n"/>
      <c r="Y48" s="307" t="n"/>
      <c r="Z48" s="307" t="n"/>
      <c r="AA48" s="307" t="n"/>
      <c r="AB48" s="307" t="n"/>
      <c r="AC48" s="307" t="n"/>
      <c r="AD48" s="307" t="n"/>
      <c r="AE48" s="307" t="n"/>
      <c r="AF48" s="307" t="n"/>
      <c r="AG48" s="307" t="n"/>
      <c r="AH48" s="307" t="n"/>
      <c r="AI48" s="307" t="n"/>
      <c r="AJ48" s="307" t="n"/>
      <c r="AK48" s="307" t="n"/>
      <c r="AL48" s="307" t="n"/>
      <c r="AM48" s="307" t="n"/>
      <c r="AN48" s="307" t="n"/>
      <c r="AO48" s="307" t="n"/>
      <c r="AP48" s="307" t="n"/>
      <c r="AQ48" s="307" t="n"/>
      <c r="AR48" s="307" t="n"/>
      <c r="AS48" s="307" t="n"/>
      <c r="AT48" s="307" t="n"/>
    </row>
    <row r="49" ht="15.75" customHeight="1" s="349">
      <c r="A49" s="307" t="n"/>
      <c r="B49" s="307" t="n"/>
      <c r="C49" s="307" t="n"/>
      <c r="D49" s="307" t="n"/>
      <c r="E49" s="307" t="n"/>
      <c r="F49" s="307" t="n"/>
      <c r="G49" s="307" t="n"/>
      <c r="H49" s="307" t="n"/>
      <c r="I49" s="307" t="n"/>
      <c r="J49" s="307" t="n"/>
      <c r="K49" s="307" t="n"/>
      <c r="L49" s="307" t="n"/>
      <c r="M49" s="307" t="n"/>
      <c r="N49" s="307" t="n"/>
      <c r="O49" s="307" t="n"/>
      <c r="P49" s="307" t="n"/>
      <c r="Q49" s="307" t="n"/>
      <c r="R49" s="307" t="n"/>
      <c r="S49" s="307" t="n"/>
      <c r="T49" s="307" t="n"/>
      <c r="U49" s="307" t="n"/>
      <c r="V49" s="307" t="n"/>
      <c r="W49" s="307" t="n"/>
      <c r="X49" s="307" t="n"/>
      <c r="Y49" s="307" t="n"/>
      <c r="Z49" s="307" t="n"/>
      <c r="AA49" s="307" t="n"/>
      <c r="AB49" s="307" t="n"/>
      <c r="AC49" s="307" t="n"/>
      <c r="AD49" s="307" t="n"/>
      <c r="AE49" s="307" t="n"/>
      <c r="AF49" s="307" t="n"/>
      <c r="AG49" s="307" t="n"/>
      <c r="AH49" s="307" t="n"/>
      <c r="AI49" s="307" t="n"/>
      <c r="AJ49" s="307" t="n"/>
      <c r="AK49" s="307" t="n"/>
      <c r="AL49" s="307" t="n"/>
      <c r="AM49" s="307" t="n"/>
      <c r="AN49" s="307" t="n"/>
      <c r="AO49" s="307" t="n"/>
      <c r="AP49" s="307" t="n"/>
      <c r="AQ49" s="307" t="n"/>
      <c r="AR49" s="307" t="n"/>
      <c r="AS49" s="307" t="n"/>
      <c r="AT49" s="307" t="n"/>
    </row>
    <row r="50" ht="15.75" customHeight="1" s="349">
      <c r="A50" s="307" t="n"/>
      <c r="B50" s="307" t="n"/>
      <c r="C50" s="307" t="n"/>
      <c r="D50" s="307" t="n"/>
      <c r="E50" s="307" t="n"/>
      <c r="F50" s="307" t="n"/>
      <c r="G50" s="307" t="n"/>
      <c r="H50" s="307" t="n"/>
      <c r="I50" s="307" t="n"/>
      <c r="J50" s="307" t="n"/>
      <c r="K50" s="307" t="n"/>
      <c r="L50" s="307" t="n"/>
      <c r="M50" s="307" t="n"/>
      <c r="N50" s="307" t="n"/>
      <c r="O50" s="307" t="n"/>
      <c r="P50" s="307" t="n"/>
      <c r="Q50" s="307" t="n"/>
      <c r="R50" s="307" t="n"/>
      <c r="S50" s="307" t="n"/>
      <c r="T50" s="307" t="n"/>
      <c r="U50" s="307" t="n"/>
      <c r="V50" s="307" t="n"/>
      <c r="W50" s="307" t="n"/>
      <c r="X50" s="307" t="n"/>
      <c r="Y50" s="307" t="n"/>
      <c r="Z50" s="307" t="n"/>
      <c r="AA50" s="307" t="n"/>
      <c r="AB50" s="307" t="n"/>
      <c r="AC50" s="307" t="n"/>
      <c r="AD50" s="307" t="n"/>
      <c r="AE50" s="307" t="n"/>
      <c r="AF50" s="307" t="n"/>
      <c r="AG50" s="307" t="n"/>
      <c r="AH50" s="307" t="n"/>
      <c r="AI50" s="307" t="n"/>
      <c r="AJ50" s="307" t="n"/>
      <c r="AK50" s="307" t="n"/>
      <c r="AL50" s="307" t="n"/>
      <c r="AM50" s="307" t="n"/>
      <c r="AN50" s="307" t="n"/>
      <c r="AO50" s="307" t="n"/>
      <c r="AP50" s="307" t="n"/>
      <c r="AQ50" s="307" t="n"/>
      <c r="AR50" s="307" t="n"/>
      <c r="AS50" s="307" t="n"/>
      <c r="AT50" s="307" t="n"/>
    </row>
    <row r="51" ht="15.75" customHeight="1" s="349">
      <c r="A51" s="307" t="n"/>
      <c r="B51" s="307" t="n"/>
      <c r="C51" s="307" t="n"/>
      <c r="D51" s="307" t="n"/>
      <c r="E51" s="307" t="n"/>
      <c r="F51" s="307" t="n"/>
      <c r="G51" s="307" t="n"/>
      <c r="H51" s="307" t="n"/>
      <c r="I51" s="307" t="n"/>
      <c r="J51" s="307" t="n"/>
      <c r="K51" s="307" t="n"/>
      <c r="L51" s="307" t="n"/>
      <c r="M51" s="307" t="n"/>
      <c r="N51" s="307" t="n"/>
      <c r="O51" s="307" t="n"/>
      <c r="P51" s="307" t="n"/>
      <c r="Q51" s="307" t="n"/>
      <c r="R51" s="307" t="n"/>
      <c r="S51" s="307" t="n"/>
      <c r="T51" s="307" t="n"/>
      <c r="U51" s="307" t="n"/>
      <c r="V51" s="307" t="n"/>
      <c r="W51" s="307" t="n"/>
      <c r="X51" s="307" t="n"/>
      <c r="Y51" s="307" t="n"/>
      <c r="Z51" s="307" t="n"/>
      <c r="AA51" s="307" t="n"/>
      <c r="AB51" s="307" t="n"/>
      <c r="AC51" s="307" t="n"/>
      <c r="AD51" s="307" t="n"/>
      <c r="AE51" s="307" t="n"/>
      <c r="AF51" s="307" t="n"/>
      <c r="AG51" s="307" t="n"/>
      <c r="AH51" s="307" t="n"/>
      <c r="AI51" s="307" t="n"/>
      <c r="AJ51" s="307" t="n"/>
      <c r="AK51" s="307" t="n"/>
      <c r="AL51" s="307" t="n"/>
      <c r="AM51" s="307" t="n"/>
      <c r="AN51" s="307" t="n"/>
      <c r="AO51" s="307" t="n"/>
      <c r="AP51" s="307" t="n"/>
      <c r="AQ51" s="307" t="n"/>
      <c r="AR51" s="307" t="n"/>
      <c r="AS51" s="307" t="n"/>
      <c r="AT51" s="307" t="n"/>
    </row>
    <row r="52" ht="15.75" customHeight="1" s="349">
      <c r="A52" s="307" t="n"/>
      <c r="B52" s="307" t="n"/>
      <c r="C52" s="307" t="n"/>
      <c r="D52" s="307" t="n"/>
      <c r="E52" s="307" t="n"/>
      <c r="F52" s="307" t="n"/>
      <c r="G52" s="307" t="n"/>
      <c r="H52" s="307" t="n"/>
      <c r="I52" s="307" t="n"/>
      <c r="J52" s="307" t="n"/>
      <c r="K52" s="307" t="n"/>
      <c r="L52" s="307" t="n"/>
      <c r="M52" s="307" t="n"/>
      <c r="N52" s="307" t="n"/>
      <c r="O52" s="307" t="n"/>
      <c r="P52" s="307" t="n"/>
      <c r="Q52" s="307" t="n"/>
      <c r="R52" s="307" t="n"/>
      <c r="S52" s="307" t="n"/>
      <c r="T52" s="307" t="n"/>
      <c r="U52" s="307" t="n"/>
      <c r="V52" s="307" t="n"/>
      <c r="W52" s="307" t="n"/>
      <c r="X52" s="307" t="n"/>
      <c r="Y52" s="307" t="n"/>
      <c r="Z52" s="307" t="n"/>
      <c r="AA52" s="307" t="n"/>
      <c r="AB52" s="307" t="n"/>
      <c r="AC52" s="307" t="n"/>
      <c r="AD52" s="307" t="n"/>
      <c r="AE52" s="307" t="n"/>
      <c r="AF52" s="307" t="n"/>
      <c r="AG52" s="307" t="n"/>
      <c r="AH52" s="307" t="n"/>
      <c r="AI52" s="307" t="n"/>
      <c r="AJ52" s="307" t="n"/>
      <c r="AK52" s="307" t="n"/>
      <c r="AL52" s="307" t="n"/>
      <c r="AM52" s="307" t="n"/>
      <c r="AN52" s="307" t="n"/>
      <c r="AO52" s="307" t="n"/>
      <c r="AP52" s="307" t="n"/>
      <c r="AQ52" s="307" t="n"/>
      <c r="AR52" s="307" t="n"/>
      <c r="AS52" s="307" t="n"/>
      <c r="AT52" s="307" t="n"/>
    </row>
    <row r="53" ht="15.75" customHeight="1" s="349">
      <c r="A53" s="307" t="n"/>
      <c r="B53" s="307" t="n"/>
      <c r="C53" s="307" t="n"/>
      <c r="D53" s="307" t="n"/>
      <c r="E53" s="307" t="n"/>
      <c r="F53" s="307" t="n"/>
      <c r="G53" s="307" t="n"/>
      <c r="H53" s="307" t="n"/>
      <c r="I53" s="307" t="n"/>
      <c r="J53" s="307" t="n"/>
      <c r="K53" s="307" t="n"/>
      <c r="L53" s="307" t="n"/>
      <c r="M53" s="307" t="n"/>
      <c r="N53" s="307" t="n"/>
      <c r="O53" s="307" t="n"/>
      <c r="P53" s="307" t="n"/>
      <c r="Q53" s="307" t="n"/>
      <c r="R53" s="307" t="n"/>
      <c r="S53" s="307" t="n"/>
      <c r="T53" s="307" t="n"/>
      <c r="U53" s="307" t="n"/>
      <c r="V53" s="307" t="n"/>
      <c r="W53" s="307" t="n"/>
      <c r="X53" s="307" t="n"/>
      <c r="Y53" s="307" t="n"/>
      <c r="Z53" s="307" t="n"/>
      <c r="AA53" s="307" t="n"/>
      <c r="AB53" s="307" t="n"/>
      <c r="AC53" s="307" t="n"/>
      <c r="AD53" s="307" t="n"/>
      <c r="AE53" s="307" t="n"/>
      <c r="AF53" s="307" t="n"/>
      <c r="AG53" s="307" t="n"/>
      <c r="AH53" s="307" t="n"/>
      <c r="AI53" s="307" t="n"/>
      <c r="AJ53" s="307" t="n"/>
      <c r="AK53" s="307" t="n"/>
      <c r="AL53" s="307" t="n"/>
      <c r="AM53" s="307" t="n"/>
      <c r="AN53" s="307" t="n"/>
      <c r="AO53" s="307" t="n"/>
      <c r="AP53" s="307" t="n"/>
      <c r="AQ53" s="307" t="n"/>
      <c r="AR53" s="307" t="n"/>
      <c r="AS53" s="307" t="n"/>
      <c r="AT53" s="307" t="n"/>
    </row>
    <row r="54" ht="15.75" customHeight="1" s="349">
      <c r="A54" s="307" t="n"/>
      <c r="B54" s="307" t="n"/>
      <c r="C54" s="307" t="n"/>
      <c r="D54" s="307" t="n"/>
      <c r="E54" s="307" t="n"/>
      <c r="F54" s="307" t="n"/>
      <c r="G54" s="307" t="n"/>
      <c r="H54" s="307" t="n"/>
      <c r="I54" s="307" t="n"/>
      <c r="J54" s="307" t="n"/>
      <c r="K54" s="307" t="n"/>
      <c r="L54" s="307" t="n"/>
      <c r="M54" s="307" t="n"/>
      <c r="N54" s="307" t="n"/>
      <c r="O54" s="307" t="n"/>
      <c r="P54" s="307" t="n"/>
      <c r="Q54" s="307" t="n"/>
      <c r="R54" s="307" t="n"/>
      <c r="S54" s="307" t="n"/>
      <c r="T54" s="307" t="n"/>
      <c r="U54" s="307" t="n"/>
      <c r="V54" s="307" t="n"/>
      <c r="W54" s="307" t="n"/>
      <c r="X54" s="307" t="n"/>
      <c r="Y54" s="307" t="n"/>
      <c r="Z54" s="307" t="n"/>
      <c r="AA54" s="307" t="n"/>
      <c r="AB54" s="307" t="n"/>
      <c r="AC54" s="307" t="n"/>
      <c r="AD54" s="307" t="n"/>
      <c r="AE54" s="307" t="n"/>
      <c r="AF54" s="307" t="n"/>
      <c r="AG54" s="307" t="n"/>
      <c r="AH54" s="307" t="n"/>
      <c r="AI54" s="307" t="n"/>
      <c r="AJ54" s="307" t="n"/>
      <c r="AK54" s="307" t="n"/>
      <c r="AL54" s="307" t="n"/>
      <c r="AM54" s="307" t="n"/>
      <c r="AN54" s="307" t="n"/>
      <c r="AO54" s="307" t="n"/>
      <c r="AP54" s="307" t="n"/>
      <c r="AQ54" s="307" t="n"/>
      <c r="AR54" s="307" t="n"/>
      <c r="AS54" s="307" t="n"/>
      <c r="AT54" s="307" t="n"/>
    </row>
    <row r="55" ht="15.75" customHeight="1" s="349">
      <c r="A55" s="307" t="n"/>
      <c r="B55" s="307" t="n"/>
      <c r="C55" s="307" t="n"/>
      <c r="D55" s="307" t="n"/>
      <c r="E55" s="307" t="n"/>
      <c r="F55" s="307" t="n"/>
      <c r="G55" s="307" t="n"/>
      <c r="H55" s="307" t="n"/>
      <c r="I55" s="307" t="n"/>
      <c r="J55" s="307" t="n"/>
      <c r="K55" s="307" t="n"/>
      <c r="L55" s="307" t="n"/>
      <c r="M55" s="307" t="n"/>
      <c r="N55" s="307" t="n"/>
      <c r="O55" s="307" t="n"/>
      <c r="P55" s="307" t="n"/>
      <c r="Q55" s="307" t="n"/>
      <c r="R55" s="307" t="n"/>
      <c r="S55" s="307" t="n"/>
      <c r="T55" s="307" t="n"/>
      <c r="U55" s="307" t="n"/>
      <c r="V55" s="307" t="n"/>
      <c r="W55" s="307" t="n"/>
      <c r="X55" s="307" t="n"/>
      <c r="Y55" s="307" t="n"/>
      <c r="Z55" s="307" t="n"/>
      <c r="AA55" s="307" t="n"/>
      <c r="AB55" s="307" t="n"/>
      <c r="AC55" s="307" t="n"/>
      <c r="AD55" s="307" t="n"/>
      <c r="AE55" s="307" t="n"/>
      <c r="AF55" s="307" t="n"/>
      <c r="AG55" s="307" t="n"/>
      <c r="AH55" s="307" t="n"/>
      <c r="AI55" s="307" t="n"/>
      <c r="AJ55" s="307" t="n"/>
      <c r="AK55" s="307" t="n"/>
      <c r="AL55" s="307" t="n"/>
      <c r="AM55" s="307" t="n"/>
      <c r="AN55" s="307" t="n"/>
      <c r="AO55" s="307" t="n"/>
      <c r="AP55" s="307" t="n"/>
      <c r="AQ55" s="307" t="n"/>
      <c r="AR55" s="307" t="n"/>
      <c r="AS55" s="307" t="n"/>
      <c r="AT55" s="307" t="n"/>
    </row>
    <row r="56" ht="15.75" customHeight="1" s="349">
      <c r="A56" s="307" t="n"/>
      <c r="B56" s="307" t="n"/>
      <c r="C56" s="307" t="n"/>
      <c r="D56" s="307" t="n"/>
      <c r="E56" s="307" t="n"/>
      <c r="F56" s="307" t="n"/>
      <c r="G56" s="307" t="n"/>
      <c r="H56" s="307" t="n"/>
      <c r="I56" s="307" t="n"/>
      <c r="J56" s="307" t="n"/>
      <c r="K56" s="307" t="n"/>
      <c r="L56" s="307" t="n"/>
      <c r="M56" s="307" t="n"/>
      <c r="N56" s="307" t="n"/>
      <c r="O56" s="307" t="n"/>
      <c r="P56" s="307" t="n"/>
      <c r="Q56" s="307" t="n"/>
      <c r="R56" s="307" t="n"/>
      <c r="S56" s="307" t="n"/>
      <c r="T56" s="307" t="n"/>
      <c r="U56" s="307" t="n"/>
      <c r="V56" s="307" t="n"/>
      <c r="W56" s="307" t="n"/>
      <c r="X56" s="307" t="n"/>
      <c r="Y56" s="307" t="n"/>
      <c r="Z56" s="307" t="n"/>
      <c r="AA56" s="307" t="n"/>
      <c r="AB56" s="307" t="n"/>
      <c r="AC56" s="307" t="n"/>
      <c r="AD56" s="307" t="n"/>
      <c r="AE56" s="307" t="n"/>
      <c r="AF56" s="307" t="n"/>
      <c r="AG56" s="307" t="n"/>
      <c r="AH56" s="307" t="n"/>
      <c r="AI56" s="307" t="n"/>
      <c r="AJ56" s="307" t="n"/>
      <c r="AK56" s="307" t="n"/>
      <c r="AL56" s="307" t="n"/>
      <c r="AM56" s="307" t="n"/>
      <c r="AN56" s="307" t="n"/>
      <c r="AO56" s="307" t="n"/>
      <c r="AP56" s="307" t="n"/>
      <c r="AQ56" s="307" t="n"/>
      <c r="AR56" s="307" t="n"/>
      <c r="AS56" s="307" t="n"/>
      <c r="AT56" s="307" t="n"/>
    </row>
    <row r="57" ht="15.75" customHeight="1" s="349">
      <c r="A57" s="307" t="n"/>
      <c r="B57" s="307" t="n"/>
      <c r="C57" s="307" t="n"/>
      <c r="D57" s="307" t="n"/>
      <c r="E57" s="307" t="n"/>
      <c r="F57" s="307" t="n"/>
      <c r="G57" s="307" t="n"/>
      <c r="H57" s="307" t="n"/>
      <c r="I57" s="307" t="n"/>
      <c r="J57" s="307" t="n"/>
      <c r="K57" s="307" t="n"/>
      <c r="L57" s="307" t="n"/>
      <c r="M57" s="307" t="n"/>
      <c r="N57" s="307" t="n"/>
      <c r="O57" s="307" t="n"/>
      <c r="P57" s="307" t="n"/>
      <c r="Q57" s="307" t="n"/>
      <c r="R57" s="307" t="n"/>
      <c r="S57" s="307" t="n"/>
      <c r="T57" s="307" t="n"/>
      <c r="U57" s="307" t="n"/>
      <c r="V57" s="307" t="n"/>
      <c r="W57" s="307" t="n"/>
      <c r="X57" s="307" t="n"/>
      <c r="Y57" s="307" t="n"/>
      <c r="Z57" s="307" t="n"/>
      <c r="AA57" s="307" t="n"/>
      <c r="AB57" s="307" t="n"/>
      <c r="AC57" s="307" t="n"/>
      <c r="AD57" s="307" t="n"/>
      <c r="AE57" s="307" t="n"/>
      <c r="AF57" s="307" t="n"/>
      <c r="AG57" s="307" t="n"/>
      <c r="AH57" s="307" t="n"/>
      <c r="AI57" s="307" t="n"/>
      <c r="AJ57" s="307" t="n"/>
      <c r="AK57" s="307" t="n"/>
      <c r="AL57" s="307" t="n"/>
      <c r="AM57" s="307" t="n"/>
      <c r="AN57" s="307" t="n"/>
      <c r="AO57" s="307" t="n"/>
      <c r="AP57" s="307" t="n"/>
      <c r="AQ57" s="307" t="n"/>
      <c r="AR57" s="307" t="n"/>
      <c r="AS57" s="307" t="n"/>
      <c r="AT57" s="307" t="n"/>
    </row>
    <row r="58" ht="15.75" customHeight="1" s="349">
      <c r="A58" s="307" t="n"/>
      <c r="B58" s="307" t="n"/>
      <c r="C58" s="307" t="n"/>
      <c r="D58" s="307" t="n"/>
      <c r="E58" s="307" t="n"/>
      <c r="F58" s="307" t="n"/>
      <c r="G58" s="307" t="n"/>
      <c r="H58" s="307" t="n"/>
      <c r="I58" s="307" t="n"/>
      <c r="J58" s="307" t="n"/>
      <c r="K58" s="307" t="n"/>
      <c r="L58" s="307" t="n"/>
      <c r="M58" s="307" t="n"/>
      <c r="N58" s="307" t="n"/>
      <c r="O58" s="307" t="n"/>
      <c r="P58" s="307" t="n"/>
      <c r="Q58" s="307" t="n"/>
      <c r="R58" s="307" t="n"/>
      <c r="S58" s="307" t="n"/>
      <c r="T58" s="307" t="n"/>
      <c r="U58" s="307" t="n"/>
      <c r="V58" s="307" t="n"/>
      <c r="W58" s="307" t="n"/>
      <c r="X58" s="307" t="n"/>
      <c r="Y58" s="307" t="n"/>
      <c r="Z58" s="307" t="n"/>
      <c r="AA58" s="307" t="n"/>
      <c r="AB58" s="307" t="n"/>
      <c r="AC58" s="307" t="n"/>
      <c r="AD58" s="307" t="n"/>
      <c r="AE58" s="307" t="n"/>
      <c r="AF58" s="307" t="n"/>
      <c r="AG58" s="307" t="n"/>
      <c r="AH58" s="307" t="n"/>
      <c r="AI58" s="307" t="n"/>
      <c r="AJ58" s="307" t="n"/>
      <c r="AK58" s="307" t="n"/>
      <c r="AL58" s="307" t="n"/>
      <c r="AM58" s="307" t="n"/>
      <c r="AN58" s="307" t="n"/>
      <c r="AO58" s="307" t="n"/>
      <c r="AP58" s="307" t="n"/>
      <c r="AQ58" s="307" t="n"/>
      <c r="AR58" s="307" t="n"/>
      <c r="AS58" s="307" t="n"/>
      <c r="AT58" s="307" t="n"/>
    </row>
    <row r="59" ht="15.75" customHeight="1" s="349">
      <c r="A59" s="307" t="n"/>
      <c r="B59" s="307" t="n"/>
      <c r="C59" s="307" t="n"/>
      <c r="D59" s="307" t="n"/>
      <c r="E59" s="307" t="n"/>
      <c r="F59" s="307" t="n"/>
      <c r="G59" s="307" t="n"/>
      <c r="H59" s="307" t="n"/>
      <c r="I59" s="307" t="n"/>
      <c r="J59" s="307" t="n"/>
      <c r="K59" s="307" t="n"/>
      <c r="L59" s="307" t="n"/>
      <c r="M59" s="307" t="n"/>
      <c r="N59" s="307" t="n"/>
      <c r="O59" s="307" t="n"/>
      <c r="P59" s="307" t="n"/>
      <c r="Q59" s="307" t="n"/>
      <c r="R59" s="307" t="n"/>
      <c r="S59" s="307" t="n"/>
      <c r="T59" s="307" t="n"/>
      <c r="U59" s="307" t="n"/>
      <c r="V59" s="307" t="n"/>
      <c r="W59" s="307" t="n"/>
      <c r="X59" s="307" t="n"/>
      <c r="Y59" s="307" t="n"/>
      <c r="Z59" s="307" t="n"/>
      <c r="AA59" s="307" t="n"/>
      <c r="AB59" s="307" t="n"/>
      <c r="AC59" s="307" t="n"/>
      <c r="AD59" s="307" t="n"/>
      <c r="AE59" s="307" t="n"/>
      <c r="AF59" s="307" t="n"/>
      <c r="AG59" s="307" t="n"/>
      <c r="AH59" s="307" t="n"/>
      <c r="AI59" s="307" t="n"/>
      <c r="AJ59" s="307" t="n"/>
      <c r="AK59" s="307" t="n"/>
      <c r="AL59" s="307" t="n"/>
      <c r="AM59" s="307" t="n"/>
      <c r="AN59" s="307" t="n"/>
      <c r="AO59" s="307" t="n"/>
      <c r="AP59" s="307" t="n"/>
      <c r="AQ59" s="307" t="n"/>
      <c r="AR59" s="307" t="n"/>
      <c r="AS59" s="307" t="n"/>
      <c r="AT59" s="307" t="n"/>
    </row>
    <row r="60" ht="15.75" customHeight="1" s="349">
      <c r="A60" s="307" t="n"/>
      <c r="B60" s="307" t="n"/>
      <c r="C60" s="307" t="n"/>
      <c r="D60" s="307" t="n"/>
      <c r="E60" s="307" t="n"/>
      <c r="F60" s="307" t="n"/>
      <c r="G60" s="307" t="n"/>
      <c r="H60" s="307" t="n"/>
      <c r="I60" s="307" t="n"/>
      <c r="J60" s="307" t="n"/>
      <c r="K60" s="307" t="n"/>
      <c r="L60" s="307" t="n"/>
      <c r="M60" s="307" t="n"/>
      <c r="N60" s="307" t="n"/>
      <c r="O60" s="307" t="n"/>
      <c r="P60" s="307" t="n"/>
      <c r="Q60" s="307" t="n"/>
      <c r="R60" s="307" t="n"/>
      <c r="S60" s="307" t="n"/>
      <c r="T60" s="307" t="n"/>
      <c r="U60" s="307" t="n"/>
      <c r="V60" s="307" t="n"/>
      <c r="W60" s="307" t="n"/>
      <c r="X60" s="307" t="n"/>
      <c r="Y60" s="307" t="n"/>
      <c r="Z60" s="307" t="n"/>
      <c r="AA60" s="307" t="n"/>
      <c r="AB60" s="307" t="n"/>
      <c r="AC60" s="307" t="n"/>
      <c r="AD60" s="307" t="n"/>
      <c r="AE60" s="307" t="n"/>
      <c r="AF60" s="307" t="n"/>
      <c r="AG60" s="307" t="n"/>
      <c r="AH60" s="307" t="n"/>
      <c r="AI60" s="307" t="n"/>
      <c r="AJ60" s="307" t="n"/>
      <c r="AK60" s="307" t="n"/>
      <c r="AL60" s="307" t="n"/>
      <c r="AM60" s="307" t="n"/>
      <c r="AN60" s="307" t="n"/>
      <c r="AO60" s="307" t="n"/>
      <c r="AP60" s="307" t="n"/>
      <c r="AQ60" s="307" t="n"/>
      <c r="AR60" s="307" t="n"/>
      <c r="AS60" s="307" t="n"/>
      <c r="AT60" s="307" t="n"/>
    </row>
    <row r="61" ht="15.75" customHeight="1" s="349">
      <c r="A61" s="307" t="n"/>
      <c r="B61" s="307" t="n"/>
      <c r="C61" s="307" t="n"/>
      <c r="D61" s="307" t="n"/>
      <c r="E61" s="307" t="n"/>
      <c r="F61" s="307" t="n"/>
      <c r="G61" s="307" t="n"/>
      <c r="H61" s="307" t="n"/>
      <c r="I61" s="307" t="n"/>
      <c r="J61" s="307" t="n"/>
      <c r="K61" s="307" t="n"/>
      <c r="L61" s="307" t="n"/>
      <c r="M61" s="307" t="n"/>
      <c r="N61" s="307" t="n"/>
      <c r="O61" s="307" t="n"/>
      <c r="P61" s="307" t="n"/>
      <c r="Q61" s="307" t="n"/>
      <c r="R61" s="307" t="n"/>
      <c r="S61" s="307" t="n"/>
      <c r="T61" s="307" t="n"/>
      <c r="U61" s="307" t="n"/>
      <c r="V61" s="307" t="n"/>
      <c r="W61" s="307" t="n"/>
      <c r="X61" s="307" t="n"/>
      <c r="Y61" s="307" t="n"/>
      <c r="Z61" s="307" t="n"/>
      <c r="AA61" s="307" t="n"/>
      <c r="AB61" s="307" t="n"/>
      <c r="AC61" s="307" t="n"/>
      <c r="AD61" s="307" t="n"/>
      <c r="AE61" s="307" t="n"/>
      <c r="AF61" s="307" t="n"/>
      <c r="AG61" s="307" t="n"/>
      <c r="AH61" s="307" t="n"/>
      <c r="AI61" s="307" t="n"/>
      <c r="AJ61" s="307" t="n"/>
      <c r="AK61" s="307" t="n"/>
      <c r="AL61" s="307" t="n"/>
      <c r="AM61" s="307" t="n"/>
      <c r="AN61" s="307" t="n"/>
      <c r="AO61" s="307" t="n"/>
      <c r="AP61" s="307" t="n"/>
      <c r="AQ61" s="307" t="n"/>
      <c r="AR61" s="307" t="n"/>
      <c r="AS61" s="307" t="n"/>
      <c r="AT61" s="307" t="n"/>
    </row>
    <row r="62" ht="15.75" customHeight="1" s="349">
      <c r="A62" s="307" t="n"/>
      <c r="B62" s="307" t="n"/>
      <c r="C62" s="307" t="n"/>
      <c r="D62" s="307" t="n"/>
      <c r="E62" s="307" t="n"/>
      <c r="F62" s="307" t="n"/>
      <c r="G62" s="307" t="n"/>
      <c r="H62" s="307" t="n"/>
      <c r="I62" s="307" t="n"/>
      <c r="J62" s="307" t="n"/>
      <c r="K62" s="307" t="n"/>
      <c r="L62" s="307" t="n"/>
      <c r="M62" s="307" t="n"/>
      <c r="N62" s="307" t="n"/>
      <c r="O62" s="307" t="n"/>
      <c r="P62" s="307" t="n"/>
      <c r="Q62" s="307" t="n"/>
      <c r="R62" s="307" t="n"/>
      <c r="S62" s="307" t="n"/>
      <c r="T62" s="307" t="n"/>
      <c r="U62" s="307" t="n"/>
      <c r="V62" s="307" t="n"/>
      <c r="W62" s="307" t="n"/>
      <c r="X62" s="307" t="n"/>
      <c r="Y62" s="307" t="n"/>
      <c r="Z62" s="307" t="n"/>
      <c r="AA62" s="307" t="n"/>
      <c r="AB62" s="307" t="n"/>
      <c r="AC62" s="307" t="n"/>
      <c r="AD62" s="307" t="n"/>
      <c r="AE62" s="307" t="n"/>
      <c r="AF62" s="307" t="n"/>
      <c r="AG62" s="307" t="n"/>
      <c r="AH62" s="307" t="n"/>
      <c r="AI62" s="307" t="n"/>
      <c r="AJ62" s="307" t="n"/>
      <c r="AK62" s="307" t="n"/>
      <c r="AL62" s="307" t="n"/>
      <c r="AM62" s="307" t="n"/>
      <c r="AN62" s="307" t="n"/>
      <c r="AO62" s="307" t="n"/>
      <c r="AP62" s="307" t="n"/>
      <c r="AQ62" s="307" t="n"/>
      <c r="AR62" s="307" t="n"/>
      <c r="AS62" s="307" t="n"/>
      <c r="AT62" s="307" t="n"/>
    </row>
    <row r="63" ht="15.75" customHeight="1" s="349">
      <c r="A63" s="307" t="n"/>
      <c r="B63" s="307" t="n"/>
      <c r="C63" s="307" t="n"/>
      <c r="D63" s="307" t="n"/>
      <c r="E63" s="307" t="n"/>
      <c r="F63" s="307" t="n"/>
      <c r="G63" s="307" t="n"/>
      <c r="H63" s="307" t="n"/>
      <c r="I63" s="307" t="n"/>
      <c r="J63" s="307" t="n"/>
      <c r="K63" s="307" t="n"/>
      <c r="L63" s="307" t="n"/>
      <c r="M63" s="307" t="n"/>
      <c r="N63" s="307" t="n"/>
      <c r="O63" s="307" t="n"/>
      <c r="P63" s="307" t="n"/>
      <c r="Q63" s="307" t="n"/>
      <c r="R63" s="307" t="n"/>
      <c r="S63" s="307" t="n"/>
      <c r="T63" s="307" t="n"/>
      <c r="U63" s="307" t="n"/>
      <c r="V63" s="307" t="n"/>
      <c r="W63" s="307" t="n"/>
      <c r="X63" s="307" t="n"/>
      <c r="Y63" s="307" t="n"/>
      <c r="Z63" s="307" t="n"/>
      <c r="AA63" s="307" t="n"/>
      <c r="AB63" s="307" t="n"/>
      <c r="AC63" s="307" t="n"/>
      <c r="AD63" s="307" t="n"/>
      <c r="AE63" s="307" t="n"/>
      <c r="AF63" s="307" t="n"/>
      <c r="AG63" s="307" t="n"/>
      <c r="AH63" s="307" t="n"/>
      <c r="AI63" s="307" t="n"/>
      <c r="AJ63" s="307" t="n"/>
      <c r="AK63" s="307" t="n"/>
      <c r="AL63" s="307" t="n"/>
      <c r="AM63" s="307" t="n"/>
      <c r="AN63" s="307" t="n"/>
      <c r="AO63" s="307" t="n"/>
      <c r="AP63" s="307" t="n"/>
      <c r="AQ63" s="307" t="n"/>
      <c r="AR63" s="307" t="n"/>
      <c r="AS63" s="307" t="n"/>
      <c r="AT63" s="307" t="n"/>
    </row>
    <row r="64" ht="15.75" customHeight="1" s="349">
      <c r="A64" s="307" t="n"/>
      <c r="B64" s="307" t="n"/>
      <c r="C64" s="307" t="n"/>
      <c r="D64" s="307" t="n"/>
      <c r="E64" s="307" t="n"/>
      <c r="F64" s="307" t="n"/>
      <c r="G64" s="307" t="n"/>
      <c r="H64" s="307" t="n"/>
      <c r="I64" s="307" t="n"/>
      <c r="J64" s="307" t="n"/>
      <c r="K64" s="307" t="n"/>
      <c r="L64" s="307" t="n"/>
      <c r="M64" s="307" t="n"/>
      <c r="N64" s="307" t="n"/>
      <c r="O64" s="307" t="n"/>
      <c r="P64" s="307" t="n"/>
      <c r="Q64" s="307" t="n"/>
      <c r="R64" s="307" t="n"/>
      <c r="S64" s="307" t="n"/>
      <c r="T64" s="307" t="n"/>
      <c r="U64" s="307" t="n"/>
      <c r="V64" s="307" t="n"/>
      <c r="W64" s="307" t="n"/>
      <c r="X64" s="307" t="n"/>
      <c r="Y64" s="307" t="n"/>
      <c r="Z64" s="307" t="n"/>
      <c r="AA64" s="307" t="n"/>
      <c r="AB64" s="307" t="n"/>
      <c r="AC64" s="307" t="n"/>
      <c r="AD64" s="307" t="n"/>
      <c r="AE64" s="307" t="n"/>
      <c r="AF64" s="307" t="n"/>
      <c r="AG64" s="307" t="n"/>
      <c r="AH64" s="307" t="n"/>
      <c r="AI64" s="307" t="n"/>
      <c r="AJ64" s="307" t="n"/>
      <c r="AK64" s="307" t="n"/>
      <c r="AL64" s="307" t="n"/>
      <c r="AM64" s="307" t="n"/>
      <c r="AN64" s="307" t="n"/>
      <c r="AO64" s="307" t="n"/>
      <c r="AP64" s="307" t="n"/>
      <c r="AQ64" s="307" t="n"/>
      <c r="AR64" s="307" t="n"/>
      <c r="AS64" s="307" t="n"/>
      <c r="AT64" s="307" t="n"/>
    </row>
    <row r="65" ht="15.75" customHeight="1" s="349">
      <c r="A65" s="307" t="n"/>
      <c r="B65" s="307" t="n"/>
      <c r="C65" s="307" t="n"/>
      <c r="D65" s="307" t="n"/>
      <c r="E65" s="307" t="n"/>
      <c r="F65" s="307" t="n"/>
      <c r="G65" s="307" t="n"/>
      <c r="H65" s="307" t="n"/>
      <c r="I65" s="307" t="n"/>
      <c r="J65" s="307" t="n"/>
      <c r="K65" s="307" t="n"/>
      <c r="L65" s="307" t="n"/>
      <c r="M65" s="307" t="n"/>
      <c r="N65" s="307" t="n"/>
      <c r="O65" s="307" t="n"/>
      <c r="P65" s="307" t="n"/>
      <c r="Q65" s="307" t="n"/>
      <c r="R65" s="307" t="n"/>
      <c r="S65" s="307" t="n"/>
      <c r="T65" s="307" t="n"/>
      <c r="U65" s="307" t="n"/>
      <c r="V65" s="307" t="n"/>
      <c r="W65" s="307" t="n"/>
      <c r="X65" s="307" t="n"/>
      <c r="Y65" s="307" t="n"/>
      <c r="Z65" s="307" t="n"/>
      <c r="AA65" s="307" t="n"/>
      <c r="AB65" s="307" t="n"/>
      <c r="AC65" s="307" t="n"/>
      <c r="AD65" s="307" t="n"/>
      <c r="AE65" s="307" t="n"/>
      <c r="AF65" s="307" t="n"/>
      <c r="AG65" s="307" t="n"/>
      <c r="AH65" s="307" t="n"/>
      <c r="AI65" s="307" t="n"/>
      <c r="AJ65" s="307" t="n"/>
      <c r="AK65" s="307" t="n"/>
      <c r="AL65" s="307" t="n"/>
      <c r="AM65" s="307" t="n"/>
      <c r="AN65" s="307" t="n"/>
      <c r="AO65" s="307" t="n"/>
      <c r="AP65" s="307" t="n"/>
      <c r="AQ65" s="307" t="n"/>
      <c r="AR65" s="307" t="n"/>
      <c r="AS65" s="307" t="n"/>
      <c r="AT65" s="307" t="n"/>
    </row>
    <row r="66" ht="15.75" customHeight="1" s="349">
      <c r="A66" s="307" t="n"/>
      <c r="B66" s="307" t="n"/>
      <c r="C66" s="307" t="n"/>
      <c r="D66" s="307" t="n"/>
      <c r="E66" s="307" t="n"/>
      <c r="F66" s="307" t="n"/>
      <c r="G66" s="307" t="n"/>
      <c r="H66" s="307" t="n"/>
      <c r="I66" s="307" t="n"/>
      <c r="J66" s="307" t="n"/>
      <c r="K66" s="307" t="n"/>
      <c r="L66" s="307" t="n"/>
      <c r="M66" s="307" t="n"/>
      <c r="N66" s="307" t="n"/>
      <c r="O66" s="307" t="n"/>
      <c r="P66" s="307" t="n"/>
      <c r="Q66" s="307" t="n"/>
      <c r="R66" s="307" t="n"/>
      <c r="S66" s="307" t="n"/>
      <c r="T66" s="307" t="n"/>
      <c r="U66" s="307" t="n"/>
      <c r="V66" s="307" t="n"/>
      <c r="W66" s="307" t="n"/>
      <c r="X66" s="307" t="n"/>
      <c r="Y66" s="307" t="n"/>
      <c r="Z66" s="307" t="n"/>
      <c r="AA66" s="307" t="n"/>
      <c r="AB66" s="307" t="n"/>
      <c r="AC66" s="307" t="n"/>
      <c r="AD66" s="307" t="n"/>
      <c r="AE66" s="307" t="n"/>
      <c r="AF66" s="307" t="n"/>
      <c r="AG66" s="307" t="n"/>
      <c r="AH66" s="307" t="n"/>
      <c r="AI66" s="307" t="n"/>
      <c r="AJ66" s="307" t="n"/>
      <c r="AK66" s="307" t="n"/>
      <c r="AL66" s="307" t="n"/>
      <c r="AM66" s="307" t="n"/>
      <c r="AN66" s="307" t="n"/>
      <c r="AO66" s="307" t="n"/>
      <c r="AP66" s="307" t="n"/>
      <c r="AQ66" s="307" t="n"/>
      <c r="AR66" s="307" t="n"/>
      <c r="AS66" s="307" t="n"/>
      <c r="AT66" s="307" t="n"/>
    </row>
    <row r="67" ht="15.75" customHeight="1" s="349">
      <c r="A67" s="307" t="n"/>
      <c r="B67" s="307" t="n"/>
      <c r="C67" s="307" t="n"/>
      <c r="D67" s="307" t="n"/>
      <c r="E67" s="307" t="n"/>
      <c r="F67" s="307" t="n"/>
      <c r="G67" s="307" t="n"/>
      <c r="H67" s="307" t="n"/>
      <c r="I67" s="307" t="n"/>
      <c r="J67" s="307" t="n"/>
      <c r="K67" s="307" t="n"/>
      <c r="L67" s="307" t="n"/>
      <c r="M67" s="307" t="n"/>
      <c r="N67" s="307" t="n"/>
      <c r="O67" s="307" t="n"/>
      <c r="P67" s="307" t="n"/>
      <c r="Q67" s="307" t="n"/>
      <c r="R67" s="307" t="n"/>
      <c r="S67" s="307" t="n"/>
      <c r="T67" s="307" t="n"/>
      <c r="U67" s="307" t="n"/>
      <c r="V67" s="307" t="n"/>
      <c r="W67" s="307" t="n"/>
      <c r="X67" s="307" t="n"/>
      <c r="Y67" s="307" t="n"/>
      <c r="Z67" s="307" t="n"/>
      <c r="AA67" s="307" t="n"/>
      <c r="AB67" s="307" t="n"/>
      <c r="AC67" s="307" t="n"/>
      <c r="AD67" s="307" t="n"/>
      <c r="AE67" s="307" t="n"/>
      <c r="AF67" s="307" t="n"/>
      <c r="AG67" s="307" t="n"/>
      <c r="AH67" s="307" t="n"/>
      <c r="AI67" s="307" t="n"/>
      <c r="AJ67" s="307" t="n"/>
      <c r="AK67" s="307" t="n"/>
      <c r="AL67" s="307" t="n"/>
      <c r="AM67" s="307" t="n"/>
      <c r="AN67" s="307" t="n"/>
      <c r="AO67" s="307" t="n"/>
      <c r="AP67" s="307" t="n"/>
      <c r="AQ67" s="307" t="n"/>
      <c r="AR67" s="307" t="n"/>
      <c r="AS67" s="307" t="n"/>
      <c r="AT67" s="307" t="n"/>
    </row>
    <row r="68" ht="15.75" customHeight="1" s="349">
      <c r="A68" s="307" t="n"/>
      <c r="B68" s="307" t="n"/>
      <c r="C68" s="307" t="n"/>
      <c r="D68" s="307" t="n"/>
      <c r="E68" s="307" t="n"/>
      <c r="F68" s="307" t="n"/>
      <c r="G68" s="307" t="n"/>
      <c r="H68" s="307" t="n"/>
      <c r="I68" s="307" t="n"/>
      <c r="J68" s="307" t="n"/>
      <c r="K68" s="307" t="n"/>
      <c r="L68" s="307" t="n"/>
      <c r="M68" s="307" t="n"/>
      <c r="N68" s="307" t="n"/>
      <c r="O68" s="307" t="n"/>
      <c r="P68" s="307" t="n"/>
      <c r="Q68" s="307" t="n"/>
      <c r="R68" s="307" t="n"/>
      <c r="S68" s="307" t="n"/>
      <c r="T68" s="307" t="n"/>
      <c r="U68" s="307" t="n"/>
      <c r="V68" s="307" t="n"/>
      <c r="W68" s="307" t="n"/>
      <c r="X68" s="307" t="n"/>
      <c r="Y68" s="307" t="n"/>
      <c r="Z68" s="307" t="n"/>
      <c r="AA68" s="307" t="n"/>
      <c r="AB68" s="307" t="n"/>
      <c r="AC68" s="307" t="n"/>
      <c r="AD68" s="307" t="n"/>
      <c r="AE68" s="307" t="n"/>
      <c r="AF68" s="307" t="n"/>
      <c r="AG68" s="307" t="n"/>
      <c r="AH68" s="307" t="n"/>
      <c r="AI68" s="307" t="n"/>
      <c r="AJ68" s="307" t="n"/>
      <c r="AK68" s="307" t="n"/>
      <c r="AL68" s="307" t="n"/>
      <c r="AM68" s="307" t="n"/>
      <c r="AN68" s="307" t="n"/>
      <c r="AO68" s="307" t="n"/>
      <c r="AP68" s="307" t="n"/>
      <c r="AQ68" s="307" t="n"/>
      <c r="AR68" s="307" t="n"/>
      <c r="AS68" s="307" t="n"/>
      <c r="AT68" s="307" t="n"/>
    </row>
    <row r="69" ht="15.75" customHeight="1" s="349">
      <c r="A69" s="307" t="n"/>
      <c r="B69" s="307" t="n"/>
      <c r="C69" s="307" t="n"/>
      <c r="D69" s="307" t="n"/>
      <c r="E69" s="307" t="n"/>
      <c r="F69" s="307" t="n"/>
      <c r="G69" s="307" t="n"/>
      <c r="H69" s="307" t="n"/>
      <c r="I69" s="307" t="n"/>
      <c r="J69" s="307" t="n"/>
      <c r="K69" s="307" t="n"/>
      <c r="L69" s="307" t="n"/>
      <c r="M69" s="307" t="n"/>
      <c r="N69" s="307" t="n"/>
      <c r="O69" s="307" t="n"/>
      <c r="P69" s="307" t="n"/>
      <c r="Q69" s="307" t="n"/>
      <c r="R69" s="307" t="n"/>
      <c r="S69" s="307" t="n"/>
      <c r="T69" s="307" t="n"/>
      <c r="U69" s="307" t="n"/>
      <c r="V69" s="307" t="n"/>
      <c r="W69" s="307" t="n"/>
      <c r="X69" s="307" t="n"/>
      <c r="Y69" s="307" t="n"/>
      <c r="Z69" s="307" t="n"/>
      <c r="AA69" s="307" t="n"/>
      <c r="AB69" s="307" t="n"/>
      <c r="AC69" s="307" t="n"/>
      <c r="AD69" s="307" t="n"/>
      <c r="AE69" s="307" t="n"/>
      <c r="AF69" s="307" t="n"/>
      <c r="AG69" s="307" t="n"/>
      <c r="AH69" s="307" t="n"/>
      <c r="AI69" s="307" t="n"/>
      <c r="AJ69" s="307" t="n"/>
      <c r="AK69" s="307" t="n"/>
      <c r="AL69" s="307" t="n"/>
      <c r="AM69" s="307" t="n"/>
      <c r="AN69" s="307" t="n"/>
      <c r="AO69" s="307" t="n"/>
      <c r="AP69" s="307" t="n"/>
      <c r="AQ69" s="307" t="n"/>
      <c r="AR69" s="307" t="n"/>
      <c r="AS69" s="307" t="n"/>
      <c r="AT69" s="307" t="n"/>
    </row>
    <row r="70" ht="15.75" customHeight="1" s="349">
      <c r="A70" s="307" t="n"/>
      <c r="B70" s="307" t="n"/>
      <c r="C70" s="307" t="n"/>
      <c r="D70" s="307" t="n"/>
      <c r="E70" s="307" t="n"/>
      <c r="F70" s="307" t="n"/>
      <c r="G70" s="307" t="n"/>
      <c r="H70" s="307" t="n"/>
      <c r="I70" s="307" t="n"/>
      <c r="J70" s="307" t="n"/>
      <c r="K70" s="307" t="n"/>
      <c r="L70" s="307" t="n"/>
      <c r="M70" s="307" t="n"/>
      <c r="N70" s="307" t="n"/>
      <c r="O70" s="307" t="n"/>
      <c r="P70" s="307" t="n"/>
      <c r="Q70" s="307" t="n"/>
      <c r="R70" s="307" t="n"/>
      <c r="S70" s="307" t="n"/>
      <c r="T70" s="307" t="n"/>
      <c r="U70" s="307" t="n"/>
      <c r="V70" s="307" t="n"/>
      <c r="W70" s="307" t="n"/>
      <c r="X70" s="307" t="n"/>
      <c r="Y70" s="307" t="n"/>
      <c r="Z70" s="307" t="n"/>
      <c r="AA70" s="307" t="n"/>
      <c r="AB70" s="307" t="n"/>
      <c r="AC70" s="307" t="n"/>
      <c r="AD70" s="307" t="n"/>
      <c r="AE70" s="307" t="n"/>
      <c r="AF70" s="307" t="n"/>
      <c r="AG70" s="307" t="n"/>
      <c r="AH70" s="307" t="n"/>
      <c r="AI70" s="307" t="n"/>
      <c r="AJ70" s="307" t="n"/>
      <c r="AK70" s="307" t="n"/>
      <c r="AL70" s="307" t="n"/>
      <c r="AM70" s="307" t="n"/>
      <c r="AN70" s="307" t="n"/>
      <c r="AO70" s="307" t="n"/>
      <c r="AP70" s="307" t="n"/>
      <c r="AQ70" s="307" t="n"/>
      <c r="AR70" s="307" t="n"/>
      <c r="AS70" s="307" t="n"/>
      <c r="AT70" s="307" t="n"/>
    </row>
    <row r="71" ht="15.75" customHeight="1" s="349">
      <c r="A71" s="307" t="n"/>
      <c r="B71" s="307" t="n"/>
      <c r="C71" s="307" t="n"/>
      <c r="D71" s="307" t="n"/>
      <c r="E71" s="307" t="n"/>
      <c r="F71" s="307" t="n"/>
      <c r="G71" s="307" t="n"/>
      <c r="H71" s="307" t="n"/>
      <c r="I71" s="307" t="n"/>
      <c r="J71" s="307" t="n"/>
      <c r="K71" s="307" t="n"/>
      <c r="L71" s="307" t="n"/>
      <c r="M71" s="307" t="n"/>
      <c r="N71" s="307" t="n"/>
      <c r="O71" s="307" t="n"/>
      <c r="P71" s="307" t="n"/>
      <c r="Q71" s="307" t="n"/>
      <c r="R71" s="307" t="n"/>
      <c r="S71" s="307" t="n"/>
      <c r="T71" s="307" t="n"/>
      <c r="U71" s="307" t="n"/>
      <c r="V71" s="307" t="n"/>
      <c r="W71" s="307" t="n"/>
      <c r="X71" s="307" t="n"/>
      <c r="Y71" s="307" t="n"/>
      <c r="Z71" s="307" t="n"/>
      <c r="AA71" s="307" t="n"/>
      <c r="AB71" s="307" t="n"/>
      <c r="AC71" s="307" t="n"/>
      <c r="AD71" s="307" t="n"/>
      <c r="AE71" s="307" t="n"/>
      <c r="AF71" s="307" t="n"/>
      <c r="AG71" s="307" t="n"/>
      <c r="AH71" s="307" t="n"/>
      <c r="AI71" s="307" t="n"/>
      <c r="AJ71" s="307" t="n"/>
      <c r="AK71" s="307" t="n"/>
      <c r="AL71" s="307" t="n"/>
      <c r="AM71" s="307" t="n"/>
      <c r="AN71" s="307" t="n"/>
      <c r="AO71" s="307" t="n"/>
      <c r="AP71" s="307" t="n"/>
      <c r="AQ71" s="307" t="n"/>
      <c r="AR71" s="307" t="n"/>
      <c r="AS71" s="307" t="n"/>
      <c r="AT71" s="307" t="n"/>
    </row>
    <row r="72" ht="15.75" customHeight="1" s="349">
      <c r="A72" s="307" t="n"/>
      <c r="B72" s="307" t="n"/>
      <c r="C72" s="307" t="n"/>
      <c r="D72" s="307" t="n"/>
      <c r="E72" s="307" t="n"/>
      <c r="F72" s="307" t="n"/>
      <c r="G72" s="307" t="n"/>
      <c r="H72" s="307" t="n"/>
      <c r="I72" s="307" t="n"/>
      <c r="J72" s="307" t="n"/>
      <c r="K72" s="307" t="n"/>
      <c r="L72" s="307" t="n"/>
      <c r="M72" s="307" t="n"/>
      <c r="N72" s="307" t="n"/>
      <c r="O72" s="307" t="n"/>
      <c r="P72" s="307" t="n"/>
      <c r="Q72" s="307" t="n"/>
      <c r="R72" s="307" t="n"/>
      <c r="S72" s="307" t="n"/>
      <c r="T72" s="307" t="n"/>
      <c r="U72" s="307" t="n"/>
      <c r="V72" s="307" t="n"/>
      <c r="W72" s="307" t="n"/>
      <c r="X72" s="307" t="n"/>
      <c r="Y72" s="307" t="n"/>
      <c r="Z72" s="307" t="n"/>
      <c r="AA72" s="307" t="n"/>
      <c r="AB72" s="307" t="n"/>
      <c r="AC72" s="307" t="n"/>
      <c r="AD72" s="307" t="n"/>
      <c r="AE72" s="307" t="n"/>
      <c r="AF72" s="307" t="n"/>
      <c r="AG72" s="307" t="n"/>
      <c r="AH72" s="307" t="n"/>
      <c r="AI72" s="307" t="n"/>
      <c r="AJ72" s="307" t="n"/>
      <c r="AK72" s="307" t="n"/>
      <c r="AL72" s="307" t="n"/>
      <c r="AM72" s="307" t="n"/>
      <c r="AN72" s="307" t="n"/>
      <c r="AO72" s="307" t="n"/>
      <c r="AP72" s="307" t="n"/>
      <c r="AQ72" s="307" t="n"/>
      <c r="AR72" s="307" t="n"/>
      <c r="AS72" s="307" t="n"/>
      <c r="AT72" s="307" t="n"/>
    </row>
    <row r="73" ht="15.75" customHeight="1" s="349">
      <c r="A73" s="307" t="n"/>
      <c r="B73" s="307" t="n"/>
      <c r="C73" s="307" t="n"/>
      <c r="D73" s="307" t="n"/>
      <c r="E73" s="307" t="n"/>
      <c r="F73" s="307" t="n"/>
      <c r="G73" s="307" t="n"/>
      <c r="H73" s="307" t="n"/>
      <c r="I73" s="307" t="n"/>
      <c r="J73" s="307" t="n"/>
      <c r="K73" s="307" t="n"/>
      <c r="L73" s="307" t="n"/>
      <c r="M73" s="307" t="n"/>
      <c r="N73" s="307" t="n"/>
      <c r="O73" s="307" t="n"/>
      <c r="P73" s="307" t="n"/>
      <c r="Q73" s="307" t="n"/>
      <c r="R73" s="307" t="n"/>
      <c r="S73" s="307" t="n"/>
      <c r="T73" s="307" t="n"/>
      <c r="U73" s="307" t="n"/>
      <c r="V73" s="307" t="n"/>
      <c r="W73" s="307" t="n"/>
      <c r="X73" s="307" t="n"/>
      <c r="Y73" s="307" t="n"/>
      <c r="Z73" s="307" t="n"/>
      <c r="AA73" s="307" t="n"/>
      <c r="AB73" s="307" t="n"/>
      <c r="AC73" s="307" t="n"/>
      <c r="AD73" s="307" t="n"/>
      <c r="AE73" s="307" t="n"/>
      <c r="AF73" s="307" t="n"/>
      <c r="AG73" s="307" t="n"/>
      <c r="AH73" s="307" t="n"/>
      <c r="AI73" s="307" t="n"/>
      <c r="AJ73" s="307" t="n"/>
      <c r="AK73" s="307" t="n"/>
      <c r="AL73" s="307" t="n"/>
      <c r="AM73" s="307" t="n"/>
      <c r="AN73" s="307" t="n"/>
      <c r="AO73" s="307" t="n"/>
      <c r="AP73" s="307" t="n"/>
      <c r="AQ73" s="307" t="n"/>
      <c r="AR73" s="307" t="n"/>
      <c r="AS73" s="307" t="n"/>
      <c r="AT73" s="307" t="n"/>
    </row>
    <row r="74" ht="15.75" customHeight="1" s="349">
      <c r="A74" s="307" t="n"/>
      <c r="B74" s="307" t="n"/>
      <c r="C74" s="307" t="n"/>
      <c r="D74" s="307" t="n"/>
      <c r="E74" s="307" t="n"/>
      <c r="F74" s="307" t="n"/>
      <c r="G74" s="307" t="n"/>
      <c r="H74" s="307" t="n"/>
      <c r="I74" s="307" t="n"/>
      <c r="J74" s="307" t="n"/>
      <c r="K74" s="307" t="n"/>
      <c r="L74" s="307" t="n"/>
      <c r="M74" s="307" t="n"/>
      <c r="N74" s="307" t="n"/>
      <c r="O74" s="307" t="n"/>
      <c r="P74" s="307" t="n"/>
      <c r="Q74" s="307" t="n"/>
      <c r="R74" s="307" t="n"/>
      <c r="S74" s="307" t="n"/>
      <c r="T74" s="307" t="n"/>
      <c r="U74" s="307" t="n"/>
      <c r="V74" s="307" t="n"/>
      <c r="W74" s="307" t="n"/>
      <c r="X74" s="307" t="n"/>
      <c r="Y74" s="307" t="n"/>
      <c r="Z74" s="307" t="n"/>
      <c r="AA74" s="307" t="n"/>
      <c r="AB74" s="307" t="n"/>
      <c r="AC74" s="307" t="n"/>
      <c r="AD74" s="307" t="n"/>
      <c r="AE74" s="307" t="n"/>
      <c r="AF74" s="307" t="n"/>
      <c r="AG74" s="307" t="n"/>
      <c r="AH74" s="307" t="n"/>
      <c r="AI74" s="307" t="n"/>
      <c r="AJ74" s="307" t="n"/>
      <c r="AK74" s="307" t="n"/>
      <c r="AL74" s="307" t="n"/>
      <c r="AM74" s="307" t="n"/>
      <c r="AN74" s="307" t="n"/>
      <c r="AO74" s="307" t="n"/>
      <c r="AP74" s="307" t="n"/>
      <c r="AQ74" s="307" t="n"/>
      <c r="AR74" s="307" t="n"/>
      <c r="AS74" s="307" t="n"/>
      <c r="AT74" s="307" t="n"/>
    </row>
    <row r="75" ht="15.75" customHeight="1" s="349">
      <c r="A75" s="307" t="n"/>
      <c r="B75" s="307" t="n"/>
      <c r="C75" s="307" t="n"/>
      <c r="D75" s="307" t="n"/>
      <c r="E75" s="307" t="n"/>
      <c r="F75" s="307" t="n"/>
      <c r="G75" s="307" t="n"/>
      <c r="H75" s="307" t="n"/>
      <c r="I75" s="307" t="n"/>
      <c r="J75" s="307" t="n"/>
      <c r="K75" s="307" t="n"/>
      <c r="L75" s="307" t="n"/>
      <c r="M75" s="307" t="n"/>
      <c r="N75" s="307" t="n"/>
      <c r="O75" s="307" t="n"/>
      <c r="P75" s="307" t="n"/>
      <c r="Q75" s="307" t="n"/>
      <c r="R75" s="307" t="n"/>
      <c r="S75" s="307" t="n"/>
      <c r="T75" s="307" t="n"/>
      <c r="U75" s="307" t="n"/>
      <c r="V75" s="307" t="n"/>
      <c r="W75" s="307" t="n"/>
      <c r="X75" s="307" t="n"/>
      <c r="Y75" s="307" t="n"/>
      <c r="Z75" s="307" t="n"/>
      <c r="AA75" s="307" t="n"/>
      <c r="AB75" s="307" t="n"/>
      <c r="AC75" s="307" t="n"/>
      <c r="AD75" s="307" t="n"/>
      <c r="AE75" s="307" t="n"/>
      <c r="AF75" s="307" t="n"/>
      <c r="AG75" s="307" t="n"/>
      <c r="AH75" s="307" t="n"/>
      <c r="AI75" s="307" t="n"/>
      <c r="AJ75" s="307" t="n"/>
      <c r="AK75" s="307" t="n"/>
      <c r="AL75" s="307" t="n"/>
      <c r="AM75" s="307" t="n"/>
      <c r="AN75" s="307" t="n"/>
      <c r="AO75" s="307" t="n"/>
      <c r="AP75" s="307" t="n"/>
      <c r="AQ75" s="307" t="n"/>
      <c r="AR75" s="307" t="n"/>
      <c r="AS75" s="307" t="n"/>
      <c r="AT75" s="307" t="n"/>
    </row>
    <row r="76" ht="15.75" customHeight="1" s="349">
      <c r="A76" s="307" t="n"/>
      <c r="B76" s="307" t="n"/>
      <c r="C76" s="307" t="n"/>
      <c r="D76" s="307" t="n"/>
      <c r="E76" s="307" t="n"/>
      <c r="F76" s="307" t="n"/>
      <c r="G76" s="307" t="n"/>
      <c r="H76" s="307" t="n"/>
      <c r="I76" s="307" t="n"/>
      <c r="J76" s="307" t="n"/>
      <c r="K76" s="307" t="n"/>
      <c r="L76" s="307" t="n"/>
      <c r="M76" s="307" t="n"/>
      <c r="N76" s="307" t="n"/>
      <c r="O76" s="307" t="n"/>
      <c r="P76" s="307" t="n"/>
      <c r="Q76" s="307" t="n"/>
      <c r="R76" s="307" t="n"/>
      <c r="S76" s="307" t="n"/>
      <c r="T76" s="307" t="n"/>
      <c r="U76" s="307" t="n"/>
      <c r="V76" s="307" t="n"/>
      <c r="W76" s="307" t="n"/>
      <c r="X76" s="307" t="n"/>
      <c r="Y76" s="307" t="n"/>
      <c r="Z76" s="307" t="n"/>
      <c r="AA76" s="307" t="n"/>
      <c r="AB76" s="307" t="n"/>
      <c r="AC76" s="307" t="n"/>
      <c r="AD76" s="307" t="n"/>
      <c r="AE76" s="307" t="n"/>
      <c r="AF76" s="307" t="n"/>
      <c r="AG76" s="307" t="n"/>
      <c r="AH76" s="307" t="n"/>
      <c r="AI76" s="307" t="n"/>
      <c r="AJ76" s="307" t="n"/>
      <c r="AK76" s="307" t="n"/>
      <c r="AL76" s="307" t="n"/>
      <c r="AM76" s="307" t="n"/>
      <c r="AN76" s="307" t="n"/>
      <c r="AO76" s="307" t="n"/>
      <c r="AP76" s="307" t="n"/>
      <c r="AQ76" s="307" t="n"/>
      <c r="AR76" s="307" t="n"/>
      <c r="AS76" s="307" t="n"/>
      <c r="AT76" s="307" t="n"/>
    </row>
    <row r="77" ht="15.75" customHeight="1" s="349">
      <c r="A77" s="307" t="n"/>
      <c r="B77" s="307" t="n"/>
      <c r="C77" s="307" t="n"/>
      <c r="D77" s="307" t="n"/>
      <c r="E77" s="307" t="n"/>
      <c r="F77" s="307" t="n"/>
      <c r="G77" s="307" t="n"/>
      <c r="H77" s="307" t="n"/>
      <c r="I77" s="307" t="n"/>
      <c r="J77" s="307" t="n"/>
      <c r="K77" s="307" t="n"/>
      <c r="L77" s="307" t="n"/>
      <c r="M77" s="307" t="n"/>
      <c r="N77" s="307" t="n"/>
      <c r="O77" s="307" t="n"/>
      <c r="P77" s="307" t="n"/>
      <c r="Q77" s="307" t="n"/>
      <c r="R77" s="307" t="n"/>
      <c r="S77" s="307" t="n"/>
      <c r="T77" s="307" t="n"/>
      <c r="U77" s="307" t="n"/>
      <c r="V77" s="307" t="n"/>
      <c r="W77" s="307" t="n"/>
      <c r="X77" s="307" t="n"/>
      <c r="Y77" s="307" t="n"/>
      <c r="Z77" s="307" t="n"/>
      <c r="AA77" s="307" t="n"/>
      <c r="AB77" s="307" t="n"/>
      <c r="AC77" s="307" t="n"/>
      <c r="AD77" s="307" t="n"/>
      <c r="AE77" s="307" t="n"/>
      <c r="AF77" s="307" t="n"/>
      <c r="AG77" s="307" t="n"/>
      <c r="AH77" s="307" t="n"/>
      <c r="AI77" s="307" t="n"/>
      <c r="AJ77" s="307" t="n"/>
      <c r="AK77" s="307" t="n"/>
      <c r="AL77" s="307" t="n"/>
      <c r="AM77" s="307" t="n"/>
      <c r="AN77" s="307" t="n"/>
      <c r="AO77" s="307" t="n"/>
      <c r="AP77" s="307" t="n"/>
      <c r="AQ77" s="307" t="n"/>
      <c r="AR77" s="307" t="n"/>
      <c r="AS77" s="307" t="n"/>
      <c r="AT77" s="307" t="n"/>
    </row>
    <row r="78" ht="15.75" customHeight="1" s="349">
      <c r="A78" s="307" t="n"/>
      <c r="B78" s="307" t="n"/>
      <c r="C78" s="307" t="n"/>
      <c r="D78" s="307" t="n"/>
      <c r="E78" s="307" t="n"/>
      <c r="F78" s="307" t="n"/>
      <c r="G78" s="307" t="n"/>
      <c r="H78" s="307" t="n"/>
      <c r="I78" s="307" t="n"/>
      <c r="J78" s="307" t="n"/>
      <c r="K78" s="307" t="n"/>
      <c r="L78" s="307" t="n"/>
      <c r="M78" s="307" t="n"/>
      <c r="N78" s="307" t="n"/>
      <c r="O78" s="307" t="n"/>
      <c r="P78" s="307" t="n"/>
      <c r="Q78" s="307" t="n"/>
      <c r="R78" s="307" t="n"/>
      <c r="S78" s="307" t="n"/>
      <c r="T78" s="307" t="n"/>
      <c r="U78" s="307" t="n"/>
      <c r="V78" s="307" t="n"/>
      <c r="W78" s="307" t="n"/>
      <c r="X78" s="307" t="n"/>
      <c r="Y78" s="307" t="n"/>
      <c r="Z78" s="307" t="n"/>
      <c r="AA78" s="307" t="n"/>
      <c r="AB78" s="307" t="n"/>
      <c r="AC78" s="307" t="n"/>
      <c r="AD78" s="307" t="n"/>
      <c r="AE78" s="307" t="n"/>
      <c r="AF78" s="307" t="n"/>
      <c r="AG78" s="307" t="n"/>
      <c r="AH78" s="307" t="n"/>
      <c r="AI78" s="307" t="n"/>
      <c r="AJ78" s="307" t="n"/>
      <c r="AK78" s="307" t="n"/>
      <c r="AL78" s="307" t="n"/>
      <c r="AM78" s="307" t="n"/>
      <c r="AN78" s="307" t="n"/>
      <c r="AO78" s="307" t="n"/>
      <c r="AP78" s="307" t="n"/>
      <c r="AQ78" s="307" t="n"/>
      <c r="AR78" s="307" t="n"/>
      <c r="AS78" s="307" t="n"/>
      <c r="AT78" s="307" t="n"/>
    </row>
    <row r="79" ht="15.75" customHeight="1" s="349">
      <c r="A79" s="307" t="n"/>
      <c r="B79" s="307" t="n"/>
      <c r="C79" s="307" t="n"/>
      <c r="D79" s="307" t="n"/>
      <c r="E79" s="307" t="n"/>
      <c r="F79" s="307" t="n"/>
      <c r="G79" s="307" t="n"/>
      <c r="H79" s="307" t="n"/>
      <c r="I79" s="307" t="n"/>
      <c r="J79" s="307" t="n"/>
      <c r="K79" s="307" t="n"/>
      <c r="L79" s="307" t="n"/>
      <c r="M79" s="307" t="n"/>
      <c r="N79" s="307" t="n"/>
      <c r="O79" s="307" t="n"/>
      <c r="P79" s="307" t="n"/>
      <c r="Q79" s="307" t="n"/>
      <c r="R79" s="307" t="n"/>
      <c r="S79" s="307" t="n"/>
      <c r="T79" s="307" t="n"/>
      <c r="U79" s="307" t="n"/>
      <c r="V79" s="307" t="n"/>
      <c r="W79" s="307" t="n"/>
      <c r="X79" s="307" t="n"/>
      <c r="Y79" s="307" t="n"/>
      <c r="Z79" s="307" t="n"/>
      <c r="AA79" s="307" t="n"/>
      <c r="AB79" s="307" t="n"/>
      <c r="AC79" s="307" t="n"/>
      <c r="AD79" s="307" t="n"/>
      <c r="AE79" s="307" t="n"/>
      <c r="AF79" s="307" t="n"/>
      <c r="AG79" s="307" t="n"/>
      <c r="AH79" s="307" t="n"/>
      <c r="AI79" s="307" t="n"/>
      <c r="AJ79" s="307" t="n"/>
      <c r="AK79" s="307" t="n"/>
      <c r="AL79" s="307" t="n"/>
      <c r="AM79" s="307" t="n"/>
      <c r="AN79" s="307" t="n"/>
      <c r="AO79" s="307" t="n"/>
      <c r="AP79" s="307" t="n"/>
      <c r="AQ79" s="307" t="n"/>
      <c r="AR79" s="307" t="n"/>
      <c r="AS79" s="307" t="n"/>
      <c r="AT79" s="307" t="n"/>
    </row>
    <row r="80" ht="15.75" customHeight="1" s="349">
      <c r="A80" s="307" t="n"/>
      <c r="B80" s="307" t="n"/>
      <c r="C80" s="307" t="n"/>
      <c r="D80" s="307" t="n"/>
      <c r="E80" s="307" t="n"/>
      <c r="F80" s="307" t="n"/>
      <c r="G80" s="307" t="n"/>
      <c r="H80" s="307" t="n"/>
      <c r="I80" s="307" t="n"/>
      <c r="J80" s="307" t="n"/>
      <c r="K80" s="307" t="n"/>
      <c r="L80" s="307" t="n"/>
      <c r="M80" s="307" t="n"/>
      <c r="N80" s="307" t="n"/>
      <c r="O80" s="307" t="n"/>
      <c r="P80" s="307" t="n"/>
      <c r="Q80" s="307" t="n"/>
      <c r="R80" s="307" t="n"/>
      <c r="S80" s="307" t="n"/>
      <c r="T80" s="307" t="n"/>
      <c r="U80" s="307" t="n"/>
      <c r="V80" s="307" t="n"/>
      <c r="W80" s="307" t="n"/>
      <c r="X80" s="307" t="n"/>
      <c r="Y80" s="307" t="n"/>
      <c r="Z80" s="307" t="n"/>
      <c r="AA80" s="307" t="n"/>
      <c r="AB80" s="307" t="n"/>
      <c r="AC80" s="307" t="n"/>
      <c r="AD80" s="307" t="n"/>
      <c r="AE80" s="307" t="n"/>
      <c r="AF80" s="307" t="n"/>
      <c r="AG80" s="307" t="n"/>
      <c r="AH80" s="307" t="n"/>
      <c r="AI80" s="307" t="n"/>
      <c r="AJ80" s="307" t="n"/>
      <c r="AK80" s="307" t="n"/>
      <c r="AL80" s="307" t="n"/>
      <c r="AM80" s="307" t="n"/>
      <c r="AN80" s="307" t="n"/>
      <c r="AO80" s="307" t="n"/>
      <c r="AP80" s="307" t="n"/>
      <c r="AQ80" s="307" t="n"/>
      <c r="AR80" s="307" t="n"/>
      <c r="AS80" s="307" t="n"/>
      <c r="AT80" s="307" t="n"/>
    </row>
    <row r="81" ht="15.75" customHeight="1" s="349">
      <c r="A81" s="307" t="n"/>
      <c r="B81" s="307" t="n"/>
      <c r="C81" s="307" t="n"/>
      <c r="D81" s="307" t="n"/>
      <c r="E81" s="307" t="n"/>
      <c r="F81" s="307" t="n"/>
      <c r="G81" s="307" t="n"/>
      <c r="H81" s="307" t="n"/>
      <c r="I81" s="307" t="n"/>
      <c r="J81" s="307" t="n"/>
      <c r="K81" s="307" t="n"/>
      <c r="L81" s="307" t="n"/>
      <c r="M81" s="307" t="n"/>
      <c r="N81" s="307" t="n"/>
      <c r="O81" s="307" t="n"/>
      <c r="P81" s="307" t="n"/>
      <c r="Q81" s="307" t="n"/>
      <c r="R81" s="307" t="n"/>
      <c r="S81" s="307" t="n"/>
      <c r="T81" s="307" t="n"/>
      <c r="U81" s="307" t="n"/>
      <c r="V81" s="307" t="n"/>
      <c r="W81" s="307" t="n"/>
      <c r="X81" s="307" t="n"/>
      <c r="Y81" s="307" t="n"/>
      <c r="Z81" s="307" t="n"/>
      <c r="AA81" s="307" t="n"/>
      <c r="AB81" s="307" t="n"/>
      <c r="AC81" s="307" t="n"/>
      <c r="AD81" s="307" t="n"/>
      <c r="AE81" s="307" t="n"/>
      <c r="AF81" s="307" t="n"/>
      <c r="AG81" s="307" t="n"/>
      <c r="AH81" s="307" t="n"/>
      <c r="AI81" s="307" t="n"/>
      <c r="AJ81" s="307" t="n"/>
      <c r="AK81" s="307" t="n"/>
      <c r="AL81" s="307" t="n"/>
      <c r="AM81" s="307" t="n"/>
      <c r="AN81" s="307" t="n"/>
      <c r="AO81" s="307" t="n"/>
      <c r="AP81" s="307" t="n"/>
      <c r="AQ81" s="307" t="n"/>
      <c r="AR81" s="307" t="n"/>
      <c r="AS81" s="307" t="n"/>
      <c r="AT81" s="307" t="n"/>
    </row>
    <row r="82" ht="15.75" customHeight="1" s="349">
      <c r="A82" s="307" t="n"/>
      <c r="B82" s="307" t="n"/>
      <c r="C82" s="307" t="n"/>
      <c r="D82" s="307" t="n"/>
      <c r="E82" s="307" t="n"/>
      <c r="F82" s="307" t="n"/>
      <c r="G82" s="307" t="n"/>
      <c r="H82" s="307" t="n"/>
      <c r="I82" s="307" t="n"/>
      <c r="J82" s="307" t="n"/>
      <c r="K82" s="307" t="n"/>
      <c r="L82" s="307" t="n"/>
      <c r="M82" s="307" t="n"/>
      <c r="N82" s="307" t="n"/>
      <c r="O82" s="307" t="n"/>
      <c r="P82" s="307" t="n"/>
      <c r="Q82" s="307" t="n"/>
      <c r="R82" s="307" t="n"/>
      <c r="S82" s="307" t="n"/>
      <c r="T82" s="307" t="n"/>
      <c r="U82" s="307" t="n"/>
      <c r="V82" s="307" t="n"/>
      <c r="W82" s="307" t="n"/>
      <c r="X82" s="307" t="n"/>
      <c r="Y82" s="307" t="n"/>
      <c r="Z82" s="307" t="n"/>
      <c r="AA82" s="307" t="n"/>
      <c r="AB82" s="307" t="n"/>
      <c r="AC82" s="307" t="n"/>
      <c r="AD82" s="307" t="n"/>
      <c r="AE82" s="307" t="n"/>
      <c r="AF82" s="307" t="n"/>
      <c r="AG82" s="307" t="n"/>
      <c r="AH82" s="307" t="n"/>
      <c r="AI82" s="307" t="n"/>
      <c r="AJ82" s="307" t="n"/>
      <c r="AK82" s="307" t="n"/>
      <c r="AL82" s="307" t="n"/>
      <c r="AM82" s="307" t="n"/>
      <c r="AN82" s="307" t="n"/>
      <c r="AO82" s="307" t="n"/>
      <c r="AP82" s="307" t="n"/>
      <c r="AQ82" s="307" t="n"/>
      <c r="AR82" s="307" t="n"/>
      <c r="AS82" s="307" t="n"/>
      <c r="AT82" s="307" t="n"/>
    </row>
    <row r="83" ht="15.75" customHeight="1" s="349">
      <c r="A83" s="307" t="n"/>
      <c r="B83" s="307" t="n"/>
      <c r="C83" s="307" t="n"/>
      <c r="D83" s="307" t="n"/>
      <c r="E83" s="307" t="n"/>
      <c r="F83" s="307" t="n"/>
      <c r="G83" s="307" t="n"/>
      <c r="H83" s="307" t="n"/>
      <c r="I83" s="307" t="n"/>
      <c r="J83" s="307" t="n"/>
      <c r="K83" s="307" t="n"/>
      <c r="L83" s="307" t="n"/>
      <c r="M83" s="307" t="n"/>
      <c r="N83" s="307" t="n"/>
      <c r="O83" s="307" t="n"/>
      <c r="P83" s="307" t="n"/>
      <c r="Q83" s="307" t="n"/>
      <c r="R83" s="307" t="n"/>
      <c r="S83" s="307" t="n"/>
      <c r="T83" s="307" t="n"/>
      <c r="U83" s="307" t="n"/>
      <c r="V83" s="307" t="n"/>
      <c r="W83" s="307" t="n"/>
      <c r="X83" s="307" t="n"/>
      <c r="Y83" s="307" t="n"/>
      <c r="Z83" s="307" t="n"/>
      <c r="AA83" s="307" t="n"/>
      <c r="AB83" s="307" t="n"/>
      <c r="AC83" s="307" t="n"/>
      <c r="AD83" s="307" t="n"/>
      <c r="AE83" s="307" t="n"/>
      <c r="AF83" s="307" t="n"/>
      <c r="AG83" s="307" t="n"/>
      <c r="AH83" s="307" t="n"/>
      <c r="AI83" s="307" t="n"/>
      <c r="AJ83" s="307" t="n"/>
      <c r="AK83" s="307" t="n"/>
      <c r="AL83" s="307" t="n"/>
      <c r="AM83" s="307" t="n"/>
      <c r="AN83" s="307" t="n"/>
      <c r="AO83" s="307" t="n"/>
      <c r="AP83" s="307" t="n"/>
      <c r="AQ83" s="307" t="n"/>
      <c r="AR83" s="307" t="n"/>
      <c r="AS83" s="307" t="n"/>
      <c r="AT83" s="307" t="n"/>
    </row>
    <row r="84" ht="15.75" customHeight="1" s="349">
      <c r="A84" s="307" t="n"/>
      <c r="B84" s="307" t="n"/>
      <c r="C84" s="307" t="n"/>
      <c r="D84" s="307" t="n"/>
      <c r="E84" s="307" t="n"/>
      <c r="F84" s="307" t="n"/>
      <c r="G84" s="307" t="n"/>
      <c r="H84" s="307" t="n"/>
      <c r="I84" s="307" t="n"/>
      <c r="J84" s="307" t="n"/>
      <c r="K84" s="307" t="n"/>
      <c r="L84" s="307" t="n"/>
      <c r="M84" s="307" t="n"/>
      <c r="N84" s="307" t="n"/>
      <c r="O84" s="307" t="n"/>
      <c r="P84" s="307" t="n"/>
      <c r="Q84" s="307" t="n"/>
      <c r="R84" s="307" t="n"/>
      <c r="S84" s="307" t="n"/>
      <c r="T84" s="307" t="n"/>
      <c r="U84" s="307" t="n"/>
      <c r="V84" s="307" t="n"/>
      <c r="W84" s="307" t="n"/>
      <c r="X84" s="307" t="n"/>
      <c r="Y84" s="307" t="n"/>
      <c r="Z84" s="307" t="n"/>
      <c r="AA84" s="307" t="n"/>
      <c r="AB84" s="307" t="n"/>
      <c r="AC84" s="307" t="n"/>
      <c r="AD84" s="307" t="n"/>
      <c r="AE84" s="307" t="n"/>
      <c r="AF84" s="307" t="n"/>
      <c r="AG84" s="307" t="n"/>
      <c r="AH84" s="307" t="n"/>
      <c r="AI84" s="307" t="n"/>
      <c r="AJ84" s="307" t="n"/>
      <c r="AK84" s="307" t="n"/>
      <c r="AL84" s="307" t="n"/>
      <c r="AM84" s="307" t="n"/>
      <c r="AN84" s="307" t="n"/>
      <c r="AO84" s="307" t="n"/>
      <c r="AP84" s="307" t="n"/>
      <c r="AQ84" s="307" t="n"/>
      <c r="AR84" s="307" t="n"/>
      <c r="AS84" s="307" t="n"/>
      <c r="AT84" s="307" t="n"/>
    </row>
    <row r="85" ht="15.75" customHeight="1" s="349">
      <c r="A85" s="307" t="n"/>
      <c r="B85" s="307" t="n"/>
      <c r="C85" s="307" t="n"/>
      <c r="D85" s="307" t="n"/>
      <c r="E85" s="307" t="n"/>
      <c r="F85" s="307" t="n"/>
      <c r="G85" s="307" t="n"/>
      <c r="H85" s="307" t="n"/>
      <c r="I85" s="307" t="n"/>
      <c r="J85" s="307" t="n"/>
      <c r="K85" s="307" t="n"/>
      <c r="L85" s="307" t="n"/>
      <c r="M85" s="307" t="n"/>
      <c r="N85" s="307" t="n"/>
      <c r="O85" s="307" t="n"/>
      <c r="P85" s="307" t="n"/>
      <c r="Q85" s="307" t="n"/>
      <c r="R85" s="307" t="n"/>
      <c r="S85" s="307" t="n"/>
      <c r="T85" s="307" t="n"/>
      <c r="U85" s="307" t="n"/>
      <c r="V85" s="307" t="n"/>
      <c r="W85" s="307" t="n"/>
      <c r="X85" s="307" t="n"/>
      <c r="Y85" s="307" t="n"/>
      <c r="Z85" s="307" t="n"/>
      <c r="AA85" s="307" t="n"/>
      <c r="AB85" s="307" t="n"/>
      <c r="AC85" s="307" t="n"/>
      <c r="AD85" s="307" t="n"/>
      <c r="AE85" s="307" t="n"/>
      <c r="AF85" s="307" t="n"/>
      <c r="AG85" s="307" t="n"/>
      <c r="AH85" s="307" t="n"/>
      <c r="AI85" s="307" t="n"/>
      <c r="AJ85" s="307" t="n"/>
      <c r="AK85" s="307" t="n"/>
      <c r="AL85" s="307" t="n"/>
      <c r="AM85" s="307" t="n"/>
      <c r="AN85" s="307" t="n"/>
      <c r="AO85" s="307" t="n"/>
      <c r="AP85" s="307" t="n"/>
      <c r="AQ85" s="307" t="n"/>
      <c r="AR85" s="307" t="n"/>
      <c r="AS85" s="307" t="n"/>
      <c r="AT85" s="307" t="n"/>
    </row>
    <row r="86" ht="15.75" customHeight="1" s="349">
      <c r="A86" s="307" t="n"/>
      <c r="B86" s="307" t="n"/>
      <c r="C86" s="307" t="n"/>
      <c r="D86" s="307" t="n"/>
      <c r="E86" s="307" t="n"/>
      <c r="F86" s="307" t="n"/>
      <c r="G86" s="307" t="n"/>
      <c r="H86" s="307" t="n"/>
      <c r="I86" s="307" t="n"/>
      <c r="J86" s="307" t="n"/>
      <c r="K86" s="307" t="n"/>
      <c r="L86" s="307" t="n"/>
      <c r="M86" s="307" t="n"/>
      <c r="N86" s="307" t="n"/>
      <c r="O86" s="307" t="n"/>
      <c r="P86" s="307" t="n"/>
      <c r="Q86" s="307" t="n"/>
      <c r="R86" s="307" t="n"/>
      <c r="S86" s="307" t="n"/>
      <c r="T86" s="307" t="n"/>
      <c r="U86" s="307" t="n"/>
      <c r="V86" s="307" t="n"/>
      <c r="W86" s="307" t="n"/>
      <c r="X86" s="307" t="n"/>
      <c r="Y86" s="307" t="n"/>
      <c r="Z86" s="307" t="n"/>
      <c r="AA86" s="307" t="n"/>
      <c r="AB86" s="307" t="n"/>
      <c r="AC86" s="307" t="n"/>
      <c r="AD86" s="307" t="n"/>
      <c r="AE86" s="307" t="n"/>
      <c r="AF86" s="307" t="n"/>
      <c r="AG86" s="307" t="n"/>
      <c r="AH86" s="307" t="n"/>
      <c r="AI86" s="307" t="n"/>
      <c r="AJ86" s="307" t="n"/>
      <c r="AK86" s="307" t="n"/>
      <c r="AL86" s="307" t="n"/>
      <c r="AM86" s="307" t="n"/>
      <c r="AN86" s="307" t="n"/>
      <c r="AO86" s="307" t="n"/>
      <c r="AP86" s="307" t="n"/>
      <c r="AQ86" s="307" t="n"/>
      <c r="AR86" s="307" t="n"/>
      <c r="AS86" s="307" t="n"/>
      <c r="AT86" s="307" t="n"/>
    </row>
    <row r="87" ht="15.75" customHeight="1" s="349">
      <c r="A87" s="307" t="n"/>
      <c r="B87" s="307" t="n"/>
      <c r="C87" s="307" t="n"/>
      <c r="D87" s="307" t="n"/>
      <c r="E87" s="307" t="n"/>
      <c r="F87" s="307" t="n"/>
      <c r="G87" s="307" t="n"/>
      <c r="H87" s="307" t="n"/>
      <c r="I87" s="307" t="n"/>
      <c r="J87" s="307" t="n"/>
      <c r="K87" s="307" t="n"/>
      <c r="L87" s="307" t="n"/>
      <c r="M87" s="307" t="n"/>
      <c r="N87" s="307" t="n"/>
      <c r="O87" s="307" t="n"/>
      <c r="P87" s="307" t="n"/>
      <c r="Q87" s="307" t="n"/>
      <c r="R87" s="307" t="n"/>
      <c r="S87" s="307" t="n"/>
      <c r="T87" s="307" t="n"/>
      <c r="U87" s="307" t="n"/>
      <c r="V87" s="307" t="n"/>
      <c r="W87" s="307" t="n"/>
      <c r="X87" s="307" t="n"/>
      <c r="Y87" s="307" t="n"/>
      <c r="Z87" s="307" t="n"/>
      <c r="AA87" s="307" t="n"/>
      <c r="AB87" s="307" t="n"/>
      <c r="AC87" s="307" t="n"/>
      <c r="AD87" s="307" t="n"/>
      <c r="AE87" s="307" t="n"/>
      <c r="AF87" s="307" t="n"/>
      <c r="AG87" s="307" t="n"/>
      <c r="AH87" s="307" t="n"/>
      <c r="AI87" s="307" t="n"/>
      <c r="AJ87" s="307" t="n"/>
      <c r="AK87" s="307" t="n"/>
      <c r="AL87" s="307" t="n"/>
      <c r="AM87" s="307" t="n"/>
      <c r="AN87" s="307" t="n"/>
      <c r="AO87" s="307" t="n"/>
      <c r="AP87" s="307" t="n"/>
      <c r="AQ87" s="307" t="n"/>
      <c r="AR87" s="307" t="n"/>
      <c r="AS87" s="307" t="n"/>
      <c r="AT87" s="307" t="n"/>
    </row>
    <row r="88" ht="15.75" customHeight="1" s="349">
      <c r="A88" s="307" t="n"/>
      <c r="B88" s="307" t="n"/>
      <c r="C88" s="307" t="n"/>
      <c r="D88" s="307" t="n"/>
      <c r="E88" s="307" t="n"/>
      <c r="F88" s="307" t="n"/>
      <c r="G88" s="307" t="n"/>
      <c r="H88" s="307" t="n"/>
      <c r="I88" s="307" t="n"/>
      <c r="J88" s="307" t="n"/>
      <c r="K88" s="307" t="n"/>
      <c r="L88" s="307" t="n"/>
      <c r="M88" s="307" t="n"/>
      <c r="N88" s="307" t="n"/>
      <c r="O88" s="307" t="n"/>
      <c r="P88" s="307" t="n"/>
      <c r="Q88" s="307" t="n"/>
      <c r="R88" s="307" t="n"/>
      <c r="S88" s="307" t="n"/>
      <c r="T88" s="307" t="n"/>
      <c r="U88" s="307" t="n"/>
      <c r="V88" s="307" t="n"/>
      <c r="W88" s="307" t="n"/>
      <c r="X88" s="307" t="n"/>
      <c r="Y88" s="307" t="n"/>
      <c r="Z88" s="307" t="n"/>
      <c r="AA88" s="307" t="n"/>
      <c r="AB88" s="307" t="n"/>
      <c r="AC88" s="307" t="n"/>
      <c r="AD88" s="307" t="n"/>
      <c r="AE88" s="307" t="n"/>
      <c r="AF88" s="307" t="n"/>
      <c r="AG88" s="307" t="n"/>
      <c r="AH88" s="307" t="n"/>
      <c r="AI88" s="307" t="n"/>
      <c r="AJ88" s="307" t="n"/>
      <c r="AK88" s="307" t="n"/>
      <c r="AL88" s="307" t="n"/>
      <c r="AM88" s="307" t="n"/>
      <c r="AN88" s="307" t="n"/>
      <c r="AO88" s="307" t="n"/>
      <c r="AP88" s="307" t="n"/>
      <c r="AQ88" s="307" t="n"/>
      <c r="AR88" s="307" t="n"/>
      <c r="AS88" s="307" t="n"/>
      <c r="AT88" s="307" t="n"/>
    </row>
    <row r="89" ht="15.75" customHeight="1" s="349">
      <c r="A89" s="307" t="n"/>
      <c r="B89" s="307" t="n"/>
      <c r="C89" s="307" t="n"/>
      <c r="D89" s="307" t="n"/>
      <c r="E89" s="307" t="n"/>
      <c r="F89" s="307" t="n"/>
      <c r="G89" s="307" t="n"/>
      <c r="H89" s="307" t="n"/>
      <c r="I89" s="307" t="n"/>
      <c r="J89" s="307" t="n"/>
      <c r="K89" s="307" t="n"/>
      <c r="L89" s="307" t="n"/>
      <c r="M89" s="307" t="n"/>
      <c r="N89" s="307" t="n"/>
      <c r="O89" s="307" t="n"/>
      <c r="P89" s="307" t="n"/>
      <c r="Q89" s="307" t="n"/>
      <c r="R89" s="307" t="n"/>
      <c r="S89" s="307" t="n"/>
      <c r="T89" s="307" t="n"/>
      <c r="U89" s="307" t="n"/>
      <c r="V89" s="307" t="n"/>
      <c r="W89" s="307" t="n"/>
      <c r="X89" s="307" t="n"/>
      <c r="Y89" s="307" t="n"/>
      <c r="Z89" s="307" t="n"/>
      <c r="AA89" s="307" t="n"/>
      <c r="AB89" s="307" t="n"/>
      <c r="AC89" s="307" t="n"/>
      <c r="AD89" s="307" t="n"/>
      <c r="AE89" s="307" t="n"/>
      <c r="AF89" s="307" t="n"/>
      <c r="AG89" s="307" t="n"/>
      <c r="AH89" s="307" t="n"/>
      <c r="AI89" s="307" t="n"/>
      <c r="AJ89" s="307" t="n"/>
      <c r="AK89" s="307" t="n"/>
      <c r="AL89" s="307" t="n"/>
      <c r="AM89" s="307" t="n"/>
      <c r="AN89" s="307" t="n"/>
      <c r="AO89" s="307" t="n"/>
      <c r="AP89" s="307" t="n"/>
      <c r="AQ89" s="307" t="n"/>
      <c r="AR89" s="307" t="n"/>
      <c r="AS89" s="307" t="n"/>
      <c r="AT89" s="307" t="n"/>
    </row>
    <row r="90" ht="15.75" customHeight="1" s="349">
      <c r="A90" s="307" t="n"/>
      <c r="B90" s="307" t="n"/>
      <c r="C90" s="307" t="n"/>
      <c r="D90" s="307" t="n"/>
      <c r="E90" s="307" t="n"/>
      <c r="F90" s="307" t="n"/>
      <c r="G90" s="307" t="n"/>
      <c r="H90" s="307" t="n"/>
      <c r="I90" s="307" t="n"/>
      <c r="J90" s="307" t="n"/>
      <c r="K90" s="307" t="n"/>
      <c r="L90" s="307" t="n"/>
      <c r="M90" s="307" t="n"/>
      <c r="N90" s="307" t="n"/>
      <c r="O90" s="307" t="n"/>
      <c r="P90" s="307" t="n"/>
      <c r="Q90" s="307" t="n"/>
      <c r="R90" s="307" t="n"/>
      <c r="S90" s="307" t="n"/>
      <c r="T90" s="307" t="n"/>
      <c r="U90" s="307" t="n"/>
      <c r="V90" s="307" t="n"/>
      <c r="W90" s="307" t="n"/>
      <c r="X90" s="307" t="n"/>
      <c r="Y90" s="307" t="n"/>
      <c r="Z90" s="307" t="n"/>
      <c r="AA90" s="307" t="n"/>
      <c r="AB90" s="307" t="n"/>
      <c r="AC90" s="307" t="n"/>
      <c r="AD90" s="307" t="n"/>
      <c r="AE90" s="307" t="n"/>
      <c r="AF90" s="307" t="n"/>
      <c r="AG90" s="307" t="n"/>
      <c r="AH90" s="307" t="n"/>
      <c r="AI90" s="307" t="n"/>
      <c r="AJ90" s="307" t="n"/>
      <c r="AK90" s="307" t="n"/>
      <c r="AL90" s="307" t="n"/>
      <c r="AM90" s="307" t="n"/>
      <c r="AN90" s="307" t="n"/>
      <c r="AO90" s="307" t="n"/>
      <c r="AP90" s="307" t="n"/>
      <c r="AQ90" s="307" t="n"/>
      <c r="AR90" s="307" t="n"/>
      <c r="AS90" s="307" t="n"/>
      <c r="AT90" s="307" t="n"/>
    </row>
    <row r="91" ht="15.75" customHeight="1" s="349">
      <c r="A91" s="307" t="n"/>
      <c r="B91" s="307" t="n"/>
      <c r="C91" s="307" t="n"/>
      <c r="D91" s="307" t="n"/>
      <c r="E91" s="307" t="n"/>
      <c r="F91" s="307" t="n"/>
      <c r="G91" s="307" t="n"/>
      <c r="H91" s="307" t="n"/>
      <c r="I91" s="307" t="n"/>
      <c r="J91" s="307" t="n"/>
      <c r="K91" s="307" t="n"/>
      <c r="L91" s="307" t="n"/>
      <c r="M91" s="307" t="n"/>
      <c r="N91" s="307" t="n"/>
      <c r="O91" s="307" t="n"/>
      <c r="P91" s="307" t="n"/>
      <c r="Q91" s="307" t="n"/>
      <c r="R91" s="307" t="n"/>
      <c r="S91" s="307" t="n"/>
      <c r="T91" s="307" t="n"/>
      <c r="U91" s="307" t="n"/>
      <c r="V91" s="307" t="n"/>
      <c r="W91" s="307" t="n"/>
      <c r="X91" s="307" t="n"/>
      <c r="Y91" s="307" t="n"/>
      <c r="Z91" s="307" t="n"/>
      <c r="AA91" s="307" t="n"/>
      <c r="AB91" s="307" t="n"/>
      <c r="AC91" s="307" t="n"/>
      <c r="AD91" s="307" t="n"/>
      <c r="AE91" s="307" t="n"/>
      <c r="AF91" s="307" t="n"/>
      <c r="AG91" s="307" t="n"/>
      <c r="AH91" s="307" t="n"/>
      <c r="AI91" s="307" t="n"/>
      <c r="AJ91" s="307" t="n"/>
      <c r="AK91" s="307" t="n"/>
      <c r="AL91" s="307" t="n"/>
      <c r="AM91" s="307" t="n"/>
      <c r="AN91" s="307" t="n"/>
      <c r="AO91" s="307" t="n"/>
      <c r="AP91" s="307" t="n"/>
      <c r="AQ91" s="307" t="n"/>
      <c r="AR91" s="307" t="n"/>
      <c r="AS91" s="307" t="n"/>
      <c r="AT91" s="307" t="n"/>
    </row>
    <row r="92" ht="15.75" customHeight="1" s="349">
      <c r="A92" s="307" t="n"/>
      <c r="B92" s="307" t="n"/>
      <c r="C92" s="307" t="n"/>
      <c r="D92" s="307" t="n"/>
      <c r="E92" s="307" t="n"/>
      <c r="F92" s="307" t="n"/>
      <c r="G92" s="307" t="n"/>
      <c r="H92" s="307" t="n"/>
      <c r="I92" s="307" t="n"/>
      <c r="J92" s="307" t="n"/>
      <c r="K92" s="307" t="n"/>
      <c r="L92" s="307" t="n"/>
      <c r="M92" s="307" t="n"/>
      <c r="N92" s="307" t="n"/>
      <c r="O92" s="307" t="n"/>
      <c r="P92" s="307" t="n"/>
      <c r="Q92" s="307" t="n"/>
      <c r="R92" s="307" t="n"/>
      <c r="S92" s="307" t="n"/>
      <c r="T92" s="307" t="n"/>
      <c r="U92" s="307" t="n"/>
      <c r="V92" s="307" t="n"/>
      <c r="W92" s="307" t="n"/>
      <c r="X92" s="307" t="n"/>
      <c r="Y92" s="307" t="n"/>
      <c r="Z92" s="307" t="n"/>
      <c r="AA92" s="307" t="n"/>
      <c r="AB92" s="307" t="n"/>
      <c r="AC92" s="307" t="n"/>
      <c r="AD92" s="307" t="n"/>
      <c r="AE92" s="307" t="n"/>
      <c r="AF92" s="307" t="n"/>
      <c r="AG92" s="307" t="n"/>
      <c r="AH92" s="307" t="n"/>
      <c r="AI92" s="307" t="n"/>
      <c r="AJ92" s="307" t="n"/>
      <c r="AK92" s="307" t="n"/>
      <c r="AL92" s="307" t="n"/>
      <c r="AM92" s="307" t="n"/>
      <c r="AN92" s="307" t="n"/>
      <c r="AO92" s="307" t="n"/>
      <c r="AP92" s="307" t="n"/>
      <c r="AQ92" s="307" t="n"/>
      <c r="AR92" s="307" t="n"/>
      <c r="AS92" s="307" t="n"/>
      <c r="AT92" s="307" t="n"/>
    </row>
    <row r="93" ht="15.75" customHeight="1" s="349">
      <c r="A93" s="307" t="n"/>
      <c r="B93" s="307" t="n"/>
      <c r="C93" s="307" t="n"/>
      <c r="D93" s="307" t="n"/>
      <c r="E93" s="307" t="n"/>
      <c r="F93" s="307" t="n"/>
      <c r="G93" s="307" t="n"/>
      <c r="H93" s="307" t="n"/>
      <c r="I93" s="307" t="n"/>
      <c r="J93" s="307" t="n"/>
      <c r="K93" s="307" t="n"/>
      <c r="L93" s="307" t="n"/>
      <c r="M93" s="307" t="n"/>
      <c r="N93" s="307" t="n"/>
      <c r="O93" s="307" t="n"/>
      <c r="P93" s="307" t="n"/>
      <c r="Q93" s="307" t="n"/>
      <c r="R93" s="307" t="n"/>
      <c r="S93" s="307" t="n"/>
      <c r="T93" s="307" t="n"/>
      <c r="U93" s="307" t="n"/>
      <c r="V93" s="307" t="n"/>
      <c r="W93" s="307" t="n"/>
      <c r="X93" s="307" t="n"/>
      <c r="Y93" s="307" t="n"/>
      <c r="Z93" s="307" t="n"/>
      <c r="AA93" s="307" t="n"/>
      <c r="AB93" s="307" t="n"/>
      <c r="AC93" s="307" t="n"/>
      <c r="AD93" s="307" t="n"/>
      <c r="AE93" s="307" t="n"/>
      <c r="AF93" s="307" t="n"/>
      <c r="AG93" s="307" t="n"/>
      <c r="AH93" s="307" t="n"/>
      <c r="AI93" s="307" t="n"/>
      <c r="AJ93" s="307" t="n"/>
      <c r="AK93" s="307" t="n"/>
      <c r="AL93" s="307" t="n"/>
      <c r="AM93" s="307" t="n"/>
      <c r="AN93" s="307" t="n"/>
      <c r="AO93" s="307" t="n"/>
      <c r="AP93" s="307" t="n"/>
      <c r="AQ93" s="307" t="n"/>
      <c r="AR93" s="307" t="n"/>
      <c r="AS93" s="307" t="n"/>
      <c r="AT93" s="307" t="n"/>
    </row>
    <row r="94" ht="15.75" customHeight="1" s="349">
      <c r="A94" s="307" t="n"/>
      <c r="B94" s="307" t="n"/>
      <c r="C94" s="307" t="n"/>
      <c r="D94" s="307" t="n"/>
      <c r="E94" s="307" t="n"/>
      <c r="F94" s="307" t="n"/>
      <c r="G94" s="307" t="n"/>
      <c r="H94" s="307" t="n"/>
      <c r="I94" s="307" t="n"/>
      <c r="J94" s="307" t="n"/>
      <c r="K94" s="307" t="n"/>
      <c r="L94" s="307" t="n"/>
      <c r="M94" s="307" t="n"/>
      <c r="N94" s="307" t="n"/>
      <c r="O94" s="307" t="n"/>
      <c r="P94" s="307" t="n"/>
      <c r="Q94" s="307" t="n"/>
      <c r="R94" s="307" t="n"/>
      <c r="S94" s="307" t="n"/>
      <c r="T94" s="307" t="n"/>
      <c r="U94" s="307" t="n"/>
      <c r="V94" s="307" t="n"/>
      <c r="W94" s="307" t="n"/>
      <c r="X94" s="307" t="n"/>
      <c r="Y94" s="307" t="n"/>
      <c r="Z94" s="307" t="n"/>
      <c r="AA94" s="307" t="n"/>
      <c r="AB94" s="307" t="n"/>
      <c r="AC94" s="307" t="n"/>
      <c r="AD94" s="307" t="n"/>
      <c r="AE94" s="307" t="n"/>
      <c r="AF94" s="307" t="n"/>
      <c r="AG94" s="307" t="n"/>
      <c r="AH94" s="307" t="n"/>
      <c r="AI94" s="307" t="n"/>
      <c r="AJ94" s="307" t="n"/>
      <c r="AK94" s="307" t="n"/>
      <c r="AL94" s="307" t="n"/>
      <c r="AM94" s="307" t="n"/>
      <c r="AN94" s="307" t="n"/>
      <c r="AO94" s="307" t="n"/>
      <c r="AP94" s="307" t="n"/>
      <c r="AQ94" s="307" t="n"/>
      <c r="AR94" s="307" t="n"/>
      <c r="AS94" s="307" t="n"/>
      <c r="AT94" s="307" t="n"/>
    </row>
    <row r="95" ht="15.75" customHeight="1" s="349">
      <c r="A95" s="307" t="n"/>
      <c r="B95" s="307" t="n"/>
      <c r="C95" s="307" t="n"/>
      <c r="D95" s="307" t="n"/>
      <c r="E95" s="307" t="n"/>
      <c r="F95" s="307" t="n"/>
      <c r="G95" s="307" t="n"/>
      <c r="H95" s="307" t="n"/>
      <c r="I95" s="307" t="n"/>
      <c r="J95" s="307" t="n"/>
      <c r="K95" s="307" t="n"/>
      <c r="L95" s="307" t="n"/>
      <c r="M95" s="307" t="n"/>
      <c r="N95" s="307" t="n"/>
      <c r="O95" s="307" t="n"/>
      <c r="P95" s="307" t="n"/>
      <c r="Q95" s="307" t="n"/>
      <c r="R95" s="307" t="n"/>
      <c r="S95" s="307" t="n"/>
      <c r="T95" s="307" t="n"/>
      <c r="U95" s="307" t="n"/>
      <c r="V95" s="307" t="n"/>
      <c r="W95" s="307" t="n"/>
      <c r="X95" s="307" t="n"/>
      <c r="Y95" s="307" t="n"/>
      <c r="Z95" s="307" t="n"/>
      <c r="AA95" s="307" t="n"/>
      <c r="AB95" s="307" t="n"/>
      <c r="AC95" s="307" t="n"/>
      <c r="AD95" s="307" t="n"/>
      <c r="AE95" s="307" t="n"/>
      <c r="AF95" s="307" t="n"/>
      <c r="AG95" s="307" t="n"/>
      <c r="AH95" s="307" t="n"/>
      <c r="AI95" s="307" t="n"/>
      <c r="AJ95" s="307" t="n"/>
      <c r="AK95" s="307" t="n"/>
      <c r="AL95" s="307" t="n"/>
      <c r="AM95" s="307" t="n"/>
      <c r="AN95" s="307" t="n"/>
      <c r="AO95" s="307" t="n"/>
      <c r="AP95" s="307" t="n"/>
      <c r="AQ95" s="307" t="n"/>
      <c r="AR95" s="307" t="n"/>
      <c r="AS95" s="307" t="n"/>
      <c r="AT95" s="307" t="n"/>
    </row>
    <row r="96" ht="15.75" customHeight="1" s="349">
      <c r="A96" s="307" t="n"/>
      <c r="B96" s="307" t="n"/>
      <c r="C96" s="307" t="n"/>
      <c r="D96" s="307" t="n"/>
      <c r="E96" s="307" t="n"/>
      <c r="F96" s="307" t="n"/>
      <c r="G96" s="307" t="n"/>
      <c r="H96" s="307" t="n"/>
      <c r="I96" s="307" t="n"/>
      <c r="J96" s="307" t="n"/>
      <c r="K96" s="307" t="n"/>
      <c r="L96" s="307" t="n"/>
      <c r="M96" s="307" t="n"/>
      <c r="N96" s="307" t="n"/>
      <c r="O96" s="307" t="n"/>
      <c r="P96" s="307" t="n"/>
      <c r="Q96" s="307" t="n"/>
      <c r="R96" s="307" t="n"/>
      <c r="S96" s="307" t="n"/>
      <c r="T96" s="307" t="n"/>
      <c r="U96" s="307" t="n"/>
      <c r="V96" s="307" t="n"/>
      <c r="W96" s="307" t="n"/>
      <c r="X96" s="307" t="n"/>
      <c r="Y96" s="307" t="n"/>
      <c r="Z96" s="307" t="n"/>
      <c r="AA96" s="307" t="n"/>
      <c r="AB96" s="307" t="n"/>
      <c r="AC96" s="307" t="n"/>
      <c r="AD96" s="307" t="n"/>
      <c r="AE96" s="307" t="n"/>
      <c r="AF96" s="307" t="n"/>
      <c r="AG96" s="307" t="n"/>
      <c r="AH96" s="307" t="n"/>
      <c r="AI96" s="307" t="n"/>
      <c r="AJ96" s="307" t="n"/>
      <c r="AK96" s="307" t="n"/>
      <c r="AL96" s="307" t="n"/>
      <c r="AM96" s="307" t="n"/>
      <c r="AN96" s="307" t="n"/>
      <c r="AO96" s="307" t="n"/>
      <c r="AP96" s="307" t="n"/>
      <c r="AQ96" s="307" t="n"/>
      <c r="AR96" s="307" t="n"/>
      <c r="AS96" s="307" t="n"/>
      <c r="AT96" s="307" t="n"/>
    </row>
    <row r="97" ht="15.75" customHeight="1" s="349">
      <c r="A97" s="307" t="n"/>
      <c r="B97" s="307" t="n"/>
      <c r="C97" s="307" t="n"/>
      <c r="D97" s="307" t="n"/>
      <c r="E97" s="307" t="n"/>
      <c r="F97" s="307" t="n"/>
      <c r="G97" s="307" t="n"/>
      <c r="H97" s="307" t="n"/>
      <c r="I97" s="307" t="n"/>
      <c r="J97" s="307" t="n"/>
      <c r="K97" s="307" t="n"/>
      <c r="L97" s="307" t="n"/>
      <c r="M97" s="307" t="n"/>
      <c r="N97" s="307" t="n"/>
      <c r="O97" s="307" t="n"/>
      <c r="P97" s="307" t="n"/>
      <c r="Q97" s="307" t="n"/>
      <c r="R97" s="307" t="n"/>
      <c r="S97" s="307" t="n"/>
      <c r="T97" s="307" t="n"/>
      <c r="U97" s="307" t="n"/>
      <c r="V97" s="307" t="n"/>
      <c r="W97" s="307" t="n"/>
      <c r="X97" s="307" t="n"/>
      <c r="Y97" s="307" t="n"/>
      <c r="Z97" s="307" t="n"/>
      <c r="AA97" s="307" t="n"/>
      <c r="AB97" s="307" t="n"/>
      <c r="AC97" s="307" t="n"/>
      <c r="AD97" s="307" t="n"/>
      <c r="AE97" s="307" t="n"/>
      <c r="AF97" s="307" t="n"/>
      <c r="AG97" s="307" t="n"/>
      <c r="AH97" s="307" t="n"/>
      <c r="AI97" s="307" t="n"/>
      <c r="AJ97" s="307" t="n"/>
      <c r="AK97" s="307" t="n"/>
      <c r="AL97" s="307" t="n"/>
      <c r="AM97" s="307" t="n"/>
      <c r="AN97" s="307" t="n"/>
      <c r="AO97" s="307" t="n"/>
      <c r="AP97" s="307" t="n"/>
      <c r="AQ97" s="307" t="n"/>
      <c r="AR97" s="307" t="n"/>
      <c r="AS97" s="307" t="n"/>
      <c r="AT97" s="307" t="n"/>
    </row>
    <row r="98" ht="15.75" customHeight="1" s="349">
      <c r="A98" s="307" t="n"/>
      <c r="B98" s="307" t="n"/>
      <c r="C98" s="307" t="n"/>
      <c r="D98" s="307" t="n"/>
      <c r="E98" s="307" t="n"/>
      <c r="F98" s="307" t="n"/>
      <c r="G98" s="307" t="n"/>
      <c r="H98" s="307" t="n"/>
      <c r="I98" s="307" t="n"/>
      <c r="J98" s="307" t="n"/>
      <c r="K98" s="307" t="n"/>
      <c r="L98" s="307" t="n"/>
      <c r="M98" s="307" t="n"/>
      <c r="N98" s="307" t="n"/>
      <c r="O98" s="307" t="n"/>
      <c r="P98" s="307" t="n"/>
      <c r="Q98" s="307" t="n"/>
      <c r="R98" s="307" t="n"/>
      <c r="S98" s="307" t="n"/>
      <c r="T98" s="307" t="n"/>
      <c r="U98" s="307" t="n"/>
      <c r="V98" s="307" t="n"/>
      <c r="W98" s="307" t="n"/>
      <c r="X98" s="307" t="n"/>
      <c r="Y98" s="307" t="n"/>
      <c r="Z98" s="307" t="n"/>
      <c r="AA98" s="307" t="n"/>
      <c r="AB98" s="307" t="n"/>
      <c r="AC98" s="307" t="n"/>
      <c r="AD98" s="307" t="n"/>
      <c r="AE98" s="307" t="n"/>
      <c r="AF98" s="307" t="n"/>
      <c r="AG98" s="307" t="n"/>
      <c r="AH98" s="307" t="n"/>
      <c r="AI98" s="307" t="n"/>
      <c r="AJ98" s="307" t="n"/>
      <c r="AK98" s="307" t="n"/>
      <c r="AL98" s="307" t="n"/>
      <c r="AM98" s="307" t="n"/>
      <c r="AN98" s="307" t="n"/>
      <c r="AO98" s="307" t="n"/>
      <c r="AP98" s="307" t="n"/>
      <c r="AQ98" s="307" t="n"/>
      <c r="AR98" s="307" t="n"/>
      <c r="AS98" s="307" t="n"/>
      <c r="AT98" s="307" t="n"/>
    </row>
    <row r="99" ht="15.75" customHeight="1" s="349">
      <c r="A99" s="307" t="n"/>
      <c r="B99" s="307" t="n"/>
      <c r="C99" s="307" t="n"/>
      <c r="D99" s="307" t="n"/>
      <c r="E99" s="307" t="n"/>
      <c r="F99" s="307" t="n"/>
      <c r="G99" s="307" t="n"/>
      <c r="H99" s="307" t="n"/>
      <c r="I99" s="307" t="n"/>
      <c r="J99" s="307" t="n"/>
      <c r="K99" s="307" t="n"/>
      <c r="L99" s="307" t="n"/>
      <c r="M99" s="307" t="n"/>
      <c r="N99" s="307" t="n"/>
      <c r="O99" s="307" t="n"/>
      <c r="P99" s="307" t="n"/>
      <c r="Q99" s="307" t="n"/>
      <c r="R99" s="307" t="n"/>
      <c r="S99" s="307" t="n"/>
      <c r="T99" s="307" t="n"/>
      <c r="U99" s="307" t="n"/>
      <c r="V99" s="307" t="n"/>
      <c r="W99" s="307" t="n"/>
      <c r="X99" s="307" t="n"/>
      <c r="Y99" s="307" t="n"/>
      <c r="Z99" s="307" t="n"/>
      <c r="AA99" s="307" t="n"/>
      <c r="AB99" s="307" t="n"/>
      <c r="AC99" s="307" t="n"/>
      <c r="AD99" s="307" t="n"/>
      <c r="AE99" s="307" t="n"/>
      <c r="AF99" s="307" t="n"/>
      <c r="AG99" s="307" t="n"/>
      <c r="AH99" s="307" t="n"/>
      <c r="AI99" s="307" t="n"/>
      <c r="AJ99" s="307" t="n"/>
      <c r="AK99" s="307" t="n"/>
      <c r="AL99" s="307" t="n"/>
      <c r="AM99" s="307" t="n"/>
      <c r="AN99" s="307" t="n"/>
      <c r="AO99" s="307" t="n"/>
      <c r="AP99" s="307" t="n"/>
      <c r="AQ99" s="307" t="n"/>
      <c r="AR99" s="307" t="n"/>
      <c r="AS99" s="307" t="n"/>
      <c r="AT99" s="307" t="n"/>
    </row>
    <row r="100" ht="15.75" customHeight="1" s="349">
      <c r="A100" s="307" t="n"/>
      <c r="B100" s="307" t="n"/>
      <c r="C100" s="307" t="n"/>
      <c r="D100" s="307" t="n"/>
      <c r="E100" s="307" t="n"/>
      <c r="F100" s="307" t="n"/>
      <c r="G100" s="307" t="n"/>
      <c r="H100" s="307" t="n"/>
      <c r="I100" s="307" t="n"/>
      <c r="J100" s="307" t="n"/>
      <c r="K100" s="307" t="n"/>
      <c r="L100" s="307" t="n"/>
      <c r="M100" s="307" t="n"/>
      <c r="N100" s="307" t="n"/>
      <c r="O100" s="307" t="n"/>
      <c r="P100" s="307" t="n"/>
      <c r="Q100" s="307" t="n"/>
      <c r="R100" s="307" t="n"/>
      <c r="S100" s="307" t="n"/>
      <c r="T100" s="307" t="n"/>
      <c r="U100" s="307" t="n"/>
      <c r="V100" s="307" t="n"/>
      <c r="W100" s="307" t="n"/>
      <c r="X100" s="307" t="n"/>
      <c r="Y100" s="307" t="n"/>
      <c r="Z100" s="307" t="n"/>
      <c r="AA100" s="307" t="n"/>
      <c r="AB100" s="307" t="n"/>
      <c r="AC100" s="307" t="n"/>
      <c r="AD100" s="307" t="n"/>
      <c r="AE100" s="307" t="n"/>
      <c r="AF100" s="307" t="n"/>
      <c r="AG100" s="307" t="n"/>
      <c r="AH100" s="307" t="n"/>
      <c r="AI100" s="307" t="n"/>
      <c r="AJ100" s="307" t="n"/>
      <c r="AK100" s="307" t="n"/>
      <c r="AL100" s="307" t="n"/>
      <c r="AM100" s="307" t="n"/>
      <c r="AN100" s="307" t="n"/>
      <c r="AO100" s="307" t="n"/>
      <c r="AP100" s="307" t="n"/>
      <c r="AQ100" s="307" t="n"/>
      <c r="AR100" s="307" t="n"/>
      <c r="AS100" s="307" t="n"/>
      <c r="AT100" s="307" t="n"/>
    </row>
    <row r="101" ht="15.75" customHeight="1" s="349">
      <c r="A101" s="307" t="n"/>
      <c r="B101" s="307" t="n"/>
      <c r="C101" s="307" t="n"/>
      <c r="D101" s="307" t="n"/>
      <c r="E101" s="307" t="n"/>
      <c r="F101" s="307" t="n"/>
      <c r="G101" s="307" t="n"/>
      <c r="H101" s="307" t="n"/>
      <c r="I101" s="307" t="n"/>
      <c r="J101" s="307" t="n"/>
      <c r="K101" s="307" t="n"/>
      <c r="L101" s="307" t="n"/>
      <c r="M101" s="307" t="n"/>
      <c r="N101" s="307" t="n"/>
      <c r="O101" s="307" t="n"/>
      <c r="P101" s="307" t="n"/>
      <c r="Q101" s="307" t="n"/>
      <c r="R101" s="307" t="n"/>
      <c r="S101" s="307" t="n"/>
      <c r="T101" s="307" t="n"/>
      <c r="U101" s="307" t="n"/>
      <c r="V101" s="307" t="n"/>
      <c r="W101" s="307" t="n"/>
      <c r="X101" s="307" t="n"/>
      <c r="Y101" s="307" t="n"/>
      <c r="Z101" s="307" t="n"/>
      <c r="AA101" s="307" t="n"/>
      <c r="AB101" s="307" t="n"/>
      <c r="AC101" s="307" t="n"/>
      <c r="AD101" s="307" t="n"/>
      <c r="AE101" s="307" t="n"/>
      <c r="AF101" s="307" t="n"/>
      <c r="AG101" s="307" t="n"/>
      <c r="AH101" s="307" t="n"/>
      <c r="AI101" s="307" t="n"/>
      <c r="AJ101" s="307" t="n"/>
      <c r="AK101" s="307" t="n"/>
      <c r="AL101" s="307" t="n"/>
      <c r="AM101" s="307" t="n"/>
      <c r="AN101" s="307" t="n"/>
      <c r="AO101" s="307" t="n"/>
      <c r="AP101" s="307" t="n"/>
      <c r="AQ101" s="307" t="n"/>
      <c r="AR101" s="307" t="n"/>
      <c r="AS101" s="307" t="n"/>
      <c r="AT101" s="307" t="n"/>
    </row>
    <row r="102" ht="15.75" customHeight="1" s="349">
      <c r="A102" s="307" t="n"/>
      <c r="B102" s="307" t="n"/>
      <c r="C102" s="307" t="n"/>
      <c r="D102" s="307" t="n"/>
      <c r="E102" s="307" t="n"/>
      <c r="F102" s="307" t="n"/>
      <c r="G102" s="307" t="n"/>
      <c r="H102" s="307" t="n"/>
      <c r="I102" s="307" t="n"/>
      <c r="J102" s="307" t="n"/>
      <c r="K102" s="307" t="n"/>
      <c r="L102" s="307" t="n"/>
      <c r="M102" s="307" t="n"/>
      <c r="N102" s="307" t="n"/>
      <c r="O102" s="307" t="n"/>
      <c r="P102" s="307" t="n"/>
      <c r="Q102" s="307" t="n"/>
      <c r="R102" s="307" t="n"/>
      <c r="S102" s="307" t="n"/>
      <c r="T102" s="307" t="n"/>
      <c r="U102" s="307" t="n"/>
      <c r="V102" s="307" t="n"/>
      <c r="W102" s="307" t="n"/>
      <c r="X102" s="307" t="n"/>
      <c r="Y102" s="307" t="n"/>
      <c r="Z102" s="307" t="n"/>
      <c r="AA102" s="307" t="n"/>
      <c r="AB102" s="307" t="n"/>
      <c r="AC102" s="307" t="n"/>
      <c r="AD102" s="307" t="n"/>
      <c r="AE102" s="307" t="n"/>
      <c r="AF102" s="307" t="n"/>
      <c r="AG102" s="307" t="n"/>
      <c r="AH102" s="307" t="n"/>
      <c r="AI102" s="307" t="n"/>
      <c r="AJ102" s="307" t="n"/>
      <c r="AK102" s="307" t="n"/>
      <c r="AL102" s="307" t="n"/>
      <c r="AM102" s="307" t="n"/>
      <c r="AN102" s="307" t="n"/>
      <c r="AO102" s="307" t="n"/>
      <c r="AP102" s="307" t="n"/>
      <c r="AQ102" s="307" t="n"/>
      <c r="AR102" s="307" t="n"/>
      <c r="AS102" s="307" t="n"/>
      <c r="AT102" s="307" t="n"/>
    </row>
    <row r="103" ht="15.75" customHeight="1" s="349">
      <c r="A103" s="307" t="n"/>
      <c r="B103" s="307" t="n"/>
      <c r="C103" s="307" t="n"/>
      <c r="D103" s="307" t="n"/>
      <c r="E103" s="307" t="n"/>
      <c r="F103" s="307" t="n"/>
      <c r="G103" s="307" t="n"/>
      <c r="H103" s="307" t="n"/>
      <c r="I103" s="307" t="n"/>
      <c r="J103" s="307" t="n"/>
      <c r="K103" s="307" t="n"/>
      <c r="L103" s="307" t="n"/>
      <c r="M103" s="307" t="n"/>
      <c r="N103" s="307" t="n"/>
      <c r="O103" s="307" t="n"/>
      <c r="P103" s="307" t="n"/>
      <c r="Q103" s="307" t="n"/>
      <c r="R103" s="307" t="n"/>
      <c r="S103" s="307" t="n"/>
      <c r="T103" s="307" t="n"/>
      <c r="U103" s="307" t="n"/>
      <c r="V103" s="307" t="n"/>
      <c r="W103" s="307" t="n"/>
      <c r="X103" s="307" t="n"/>
      <c r="Y103" s="307" t="n"/>
      <c r="Z103" s="307" t="n"/>
      <c r="AA103" s="307" t="n"/>
      <c r="AB103" s="307" t="n"/>
      <c r="AC103" s="307" t="n"/>
      <c r="AD103" s="307" t="n"/>
      <c r="AE103" s="307" t="n"/>
      <c r="AF103" s="307" t="n"/>
      <c r="AG103" s="307" t="n"/>
      <c r="AH103" s="307" t="n"/>
      <c r="AI103" s="307" t="n"/>
      <c r="AJ103" s="307" t="n"/>
      <c r="AK103" s="307" t="n"/>
      <c r="AL103" s="307" t="n"/>
      <c r="AM103" s="307" t="n"/>
      <c r="AN103" s="307" t="n"/>
      <c r="AO103" s="307" t="n"/>
      <c r="AP103" s="307" t="n"/>
      <c r="AQ103" s="307" t="n"/>
      <c r="AR103" s="307" t="n"/>
      <c r="AS103" s="307" t="n"/>
      <c r="AT103" s="307" t="n"/>
    </row>
    <row r="104" ht="15.75" customHeight="1" s="349">
      <c r="A104" s="307" t="n"/>
      <c r="B104" s="307" t="n"/>
      <c r="C104" s="307" t="n"/>
      <c r="D104" s="307" t="n"/>
      <c r="E104" s="307" t="n"/>
      <c r="F104" s="307" t="n"/>
      <c r="G104" s="307" t="n"/>
      <c r="H104" s="307" t="n"/>
      <c r="I104" s="307" t="n"/>
      <c r="J104" s="307" t="n"/>
      <c r="K104" s="307" t="n"/>
      <c r="L104" s="307" t="n"/>
      <c r="M104" s="307" t="n"/>
      <c r="N104" s="307" t="n"/>
      <c r="O104" s="307" t="n"/>
      <c r="P104" s="307" t="n"/>
      <c r="Q104" s="307" t="n"/>
      <c r="R104" s="307" t="n"/>
      <c r="S104" s="307" t="n"/>
      <c r="T104" s="307" t="n"/>
      <c r="U104" s="307" t="n"/>
      <c r="V104" s="307" t="n"/>
      <c r="W104" s="307" t="n"/>
      <c r="X104" s="307" t="n"/>
      <c r="Y104" s="307" t="n"/>
      <c r="Z104" s="307" t="n"/>
      <c r="AA104" s="307" t="n"/>
      <c r="AB104" s="307" t="n"/>
      <c r="AC104" s="307" t="n"/>
      <c r="AD104" s="307" t="n"/>
      <c r="AE104" s="307" t="n"/>
      <c r="AF104" s="307" t="n"/>
      <c r="AG104" s="307" t="n"/>
      <c r="AH104" s="307" t="n"/>
      <c r="AI104" s="307" t="n"/>
      <c r="AJ104" s="307" t="n"/>
      <c r="AK104" s="307" t="n"/>
      <c r="AL104" s="307" t="n"/>
      <c r="AM104" s="307" t="n"/>
      <c r="AN104" s="307" t="n"/>
      <c r="AO104" s="307" t="n"/>
      <c r="AP104" s="307" t="n"/>
      <c r="AQ104" s="307" t="n"/>
      <c r="AR104" s="307" t="n"/>
      <c r="AS104" s="307" t="n"/>
      <c r="AT104" s="307" t="n"/>
    </row>
    <row r="105" ht="15.75" customHeight="1" s="349">
      <c r="A105" s="307" t="n"/>
      <c r="B105" s="307" t="n"/>
      <c r="C105" s="307" t="n"/>
      <c r="D105" s="307" t="n"/>
      <c r="E105" s="307" t="n"/>
      <c r="F105" s="307" t="n"/>
      <c r="G105" s="307" t="n"/>
      <c r="H105" s="307" t="n"/>
      <c r="I105" s="307" t="n"/>
      <c r="J105" s="307" t="n"/>
      <c r="K105" s="307" t="n"/>
      <c r="L105" s="307" t="n"/>
      <c r="M105" s="307" t="n"/>
      <c r="N105" s="307" t="n"/>
      <c r="O105" s="307" t="n"/>
      <c r="P105" s="307" t="n"/>
      <c r="Q105" s="307" t="n"/>
      <c r="R105" s="307" t="n"/>
      <c r="S105" s="307" t="n"/>
      <c r="T105" s="307" t="n"/>
      <c r="U105" s="307" t="n"/>
      <c r="V105" s="307" t="n"/>
      <c r="W105" s="307" t="n"/>
      <c r="X105" s="307" t="n"/>
      <c r="Y105" s="307" t="n"/>
      <c r="Z105" s="307" t="n"/>
      <c r="AA105" s="307" t="n"/>
      <c r="AB105" s="307" t="n"/>
      <c r="AC105" s="307" t="n"/>
      <c r="AD105" s="307" t="n"/>
      <c r="AE105" s="307" t="n"/>
      <c r="AF105" s="307" t="n"/>
      <c r="AG105" s="307" t="n"/>
      <c r="AH105" s="307" t="n"/>
      <c r="AI105" s="307" t="n"/>
      <c r="AJ105" s="307" t="n"/>
      <c r="AK105" s="307" t="n"/>
      <c r="AL105" s="307" t="n"/>
      <c r="AM105" s="307" t="n"/>
      <c r="AN105" s="307" t="n"/>
      <c r="AO105" s="307" t="n"/>
      <c r="AP105" s="307" t="n"/>
      <c r="AQ105" s="307" t="n"/>
      <c r="AR105" s="307" t="n"/>
      <c r="AS105" s="307" t="n"/>
      <c r="AT105" s="307" t="n"/>
    </row>
    <row r="106" ht="15.75" customHeight="1" s="349">
      <c r="A106" s="307" t="n"/>
      <c r="B106" s="307" t="n"/>
      <c r="C106" s="307" t="n"/>
      <c r="D106" s="307" t="n"/>
      <c r="E106" s="307" t="n"/>
      <c r="F106" s="307" t="n"/>
      <c r="G106" s="307" t="n"/>
      <c r="H106" s="307" t="n"/>
      <c r="I106" s="307" t="n"/>
      <c r="J106" s="307" t="n"/>
      <c r="K106" s="307" t="n"/>
      <c r="L106" s="307" t="n"/>
      <c r="M106" s="307" t="n"/>
      <c r="N106" s="307" t="n"/>
      <c r="O106" s="307" t="n"/>
      <c r="P106" s="307" t="n"/>
      <c r="Q106" s="307" t="n"/>
      <c r="R106" s="307" t="n"/>
      <c r="S106" s="307" t="n"/>
      <c r="T106" s="307" t="n"/>
      <c r="U106" s="307" t="n"/>
      <c r="V106" s="307" t="n"/>
      <c r="W106" s="307" t="n"/>
      <c r="X106" s="307" t="n"/>
      <c r="Y106" s="307" t="n"/>
      <c r="Z106" s="307" t="n"/>
      <c r="AA106" s="307" t="n"/>
      <c r="AB106" s="307" t="n"/>
      <c r="AC106" s="307" t="n"/>
      <c r="AD106" s="307" t="n"/>
      <c r="AE106" s="307" t="n"/>
      <c r="AF106" s="307" t="n"/>
      <c r="AG106" s="307" t="n"/>
      <c r="AH106" s="307" t="n"/>
      <c r="AI106" s="307" t="n"/>
      <c r="AJ106" s="307" t="n"/>
      <c r="AK106" s="307" t="n"/>
      <c r="AL106" s="307" t="n"/>
      <c r="AM106" s="307" t="n"/>
      <c r="AN106" s="307" t="n"/>
      <c r="AO106" s="307" t="n"/>
      <c r="AP106" s="307" t="n"/>
      <c r="AQ106" s="307" t="n"/>
      <c r="AR106" s="307" t="n"/>
      <c r="AS106" s="307" t="n"/>
      <c r="AT106" s="307" t="n"/>
    </row>
    <row r="107" ht="15.75" customHeight="1" s="349">
      <c r="A107" s="307" t="n"/>
      <c r="B107" s="307" t="n"/>
      <c r="C107" s="307" t="n"/>
      <c r="D107" s="307" t="n"/>
      <c r="E107" s="307" t="n"/>
      <c r="F107" s="307" t="n"/>
      <c r="G107" s="307" t="n"/>
      <c r="H107" s="307" t="n"/>
      <c r="I107" s="307" t="n"/>
      <c r="J107" s="307" t="n"/>
      <c r="K107" s="307" t="n"/>
      <c r="L107" s="307" t="n"/>
      <c r="M107" s="307" t="n"/>
      <c r="N107" s="307" t="n"/>
      <c r="O107" s="307" t="n"/>
      <c r="P107" s="307" t="n"/>
      <c r="Q107" s="307" t="n"/>
      <c r="R107" s="307" t="n"/>
      <c r="S107" s="307" t="n"/>
      <c r="T107" s="307" t="n"/>
      <c r="U107" s="307" t="n"/>
      <c r="V107" s="307" t="n"/>
      <c r="W107" s="307" t="n"/>
      <c r="X107" s="307" t="n"/>
      <c r="Y107" s="307" t="n"/>
      <c r="Z107" s="307" t="n"/>
      <c r="AA107" s="307" t="n"/>
      <c r="AB107" s="307" t="n"/>
      <c r="AC107" s="307" t="n"/>
      <c r="AD107" s="307" t="n"/>
      <c r="AE107" s="307" t="n"/>
      <c r="AF107" s="307" t="n"/>
      <c r="AG107" s="307" t="n"/>
      <c r="AH107" s="307" t="n"/>
      <c r="AI107" s="307" t="n"/>
      <c r="AJ107" s="307" t="n"/>
      <c r="AK107" s="307" t="n"/>
      <c r="AL107" s="307" t="n"/>
      <c r="AM107" s="307" t="n"/>
      <c r="AN107" s="307" t="n"/>
      <c r="AO107" s="307" t="n"/>
      <c r="AP107" s="307" t="n"/>
      <c r="AQ107" s="307" t="n"/>
      <c r="AR107" s="307" t="n"/>
      <c r="AS107" s="307" t="n"/>
      <c r="AT107" s="307" t="n"/>
    </row>
    <row r="108" ht="15.75" customHeight="1" s="349">
      <c r="A108" s="307" t="n"/>
      <c r="B108" s="307" t="n"/>
      <c r="C108" s="307" t="n"/>
      <c r="D108" s="307" t="n"/>
      <c r="E108" s="307" t="n"/>
      <c r="F108" s="307" t="n"/>
      <c r="G108" s="307" t="n"/>
      <c r="H108" s="307" t="n"/>
      <c r="I108" s="307" t="n"/>
      <c r="J108" s="307" t="n"/>
      <c r="K108" s="307" t="n"/>
      <c r="L108" s="307" t="n"/>
      <c r="M108" s="307" t="n"/>
      <c r="N108" s="307" t="n"/>
      <c r="O108" s="307" t="n"/>
      <c r="P108" s="307" t="n"/>
      <c r="Q108" s="307" t="n"/>
      <c r="R108" s="307" t="n"/>
      <c r="S108" s="307" t="n"/>
      <c r="T108" s="307" t="n"/>
      <c r="U108" s="307" t="n"/>
      <c r="V108" s="307" t="n"/>
      <c r="W108" s="307" t="n"/>
      <c r="X108" s="307" t="n"/>
      <c r="Y108" s="307" t="n"/>
      <c r="Z108" s="307" t="n"/>
      <c r="AA108" s="307" t="n"/>
      <c r="AB108" s="307" t="n"/>
      <c r="AC108" s="307" t="n"/>
      <c r="AD108" s="307" t="n"/>
      <c r="AE108" s="307" t="n"/>
      <c r="AF108" s="307" t="n"/>
      <c r="AG108" s="307" t="n"/>
      <c r="AH108" s="307" t="n"/>
      <c r="AI108" s="307" t="n"/>
      <c r="AJ108" s="307" t="n"/>
      <c r="AK108" s="307" t="n"/>
      <c r="AL108" s="307" t="n"/>
      <c r="AM108" s="307" t="n"/>
      <c r="AN108" s="307" t="n"/>
      <c r="AO108" s="307" t="n"/>
      <c r="AP108" s="307" t="n"/>
      <c r="AQ108" s="307" t="n"/>
      <c r="AR108" s="307" t="n"/>
      <c r="AS108" s="307" t="n"/>
      <c r="AT108" s="307" t="n"/>
    </row>
    <row r="109" ht="15.75" customHeight="1" s="349">
      <c r="A109" s="307" t="n"/>
      <c r="B109" s="307" t="n"/>
      <c r="C109" s="307" t="n"/>
      <c r="D109" s="307" t="n"/>
      <c r="E109" s="307" t="n"/>
      <c r="F109" s="307" t="n"/>
      <c r="G109" s="307" t="n"/>
      <c r="H109" s="307" t="n"/>
      <c r="I109" s="307" t="n"/>
      <c r="J109" s="307" t="n"/>
      <c r="K109" s="307" t="n"/>
      <c r="L109" s="307" t="n"/>
      <c r="M109" s="307" t="n"/>
      <c r="N109" s="307" t="n"/>
      <c r="O109" s="307" t="n"/>
      <c r="P109" s="307" t="n"/>
      <c r="Q109" s="307" t="n"/>
      <c r="R109" s="307" t="n"/>
      <c r="S109" s="307" t="n"/>
      <c r="T109" s="307" t="n"/>
      <c r="U109" s="307" t="n"/>
      <c r="V109" s="307" t="n"/>
      <c r="W109" s="307" t="n"/>
      <c r="X109" s="307" t="n"/>
      <c r="Y109" s="307" t="n"/>
      <c r="Z109" s="307" t="n"/>
      <c r="AA109" s="307" t="n"/>
      <c r="AB109" s="307" t="n"/>
      <c r="AC109" s="307" t="n"/>
      <c r="AD109" s="307" t="n"/>
      <c r="AE109" s="307" t="n"/>
      <c r="AF109" s="307" t="n"/>
      <c r="AG109" s="307" t="n"/>
      <c r="AH109" s="307" t="n"/>
      <c r="AI109" s="307" t="n"/>
      <c r="AJ109" s="307" t="n"/>
      <c r="AK109" s="307" t="n"/>
      <c r="AL109" s="307" t="n"/>
      <c r="AM109" s="307" t="n"/>
      <c r="AN109" s="307" t="n"/>
      <c r="AO109" s="307" t="n"/>
      <c r="AP109" s="307" t="n"/>
      <c r="AQ109" s="307" t="n"/>
      <c r="AR109" s="307" t="n"/>
      <c r="AS109" s="307" t="n"/>
      <c r="AT109" s="307" t="n"/>
    </row>
    <row r="110" ht="15.75" customHeight="1" s="349">
      <c r="A110" s="307" t="n"/>
      <c r="B110" s="307" t="n"/>
      <c r="C110" s="307" t="n"/>
      <c r="D110" s="307" t="n"/>
      <c r="E110" s="307" t="n"/>
      <c r="F110" s="307" t="n"/>
      <c r="G110" s="307" t="n"/>
      <c r="H110" s="307" t="n"/>
      <c r="I110" s="307" t="n"/>
      <c r="J110" s="307" t="n"/>
      <c r="K110" s="307" t="n"/>
      <c r="L110" s="307" t="n"/>
      <c r="M110" s="307" t="n"/>
      <c r="N110" s="307" t="n"/>
      <c r="O110" s="307" t="n"/>
      <c r="P110" s="307" t="n"/>
      <c r="Q110" s="307" t="n"/>
      <c r="R110" s="307" t="n"/>
      <c r="S110" s="307" t="n"/>
      <c r="T110" s="307" t="n"/>
      <c r="U110" s="307" t="n"/>
      <c r="V110" s="307" t="n"/>
      <c r="W110" s="307" t="n"/>
      <c r="X110" s="307" t="n"/>
      <c r="Y110" s="307" t="n"/>
      <c r="Z110" s="307" t="n"/>
      <c r="AA110" s="307" t="n"/>
      <c r="AB110" s="307" t="n"/>
      <c r="AC110" s="307" t="n"/>
      <c r="AD110" s="307" t="n"/>
      <c r="AE110" s="307" t="n"/>
      <c r="AF110" s="307" t="n"/>
      <c r="AG110" s="307" t="n"/>
      <c r="AH110" s="307" t="n"/>
      <c r="AI110" s="307" t="n"/>
      <c r="AJ110" s="307" t="n"/>
      <c r="AK110" s="307" t="n"/>
      <c r="AL110" s="307" t="n"/>
      <c r="AM110" s="307" t="n"/>
      <c r="AN110" s="307" t="n"/>
      <c r="AO110" s="307" t="n"/>
      <c r="AP110" s="307" t="n"/>
      <c r="AQ110" s="307" t="n"/>
      <c r="AR110" s="307" t="n"/>
      <c r="AS110" s="307" t="n"/>
      <c r="AT110" s="307" t="n"/>
    </row>
    <row r="111" ht="15.75" customHeight="1" s="349">
      <c r="A111" s="307" t="n"/>
      <c r="B111" s="307" t="n"/>
      <c r="C111" s="307" t="n"/>
      <c r="D111" s="307" t="n"/>
      <c r="E111" s="307" t="n"/>
      <c r="F111" s="307" t="n"/>
      <c r="G111" s="307" t="n"/>
      <c r="H111" s="307" t="n"/>
      <c r="I111" s="307" t="n"/>
      <c r="J111" s="307" t="n"/>
      <c r="K111" s="307" t="n"/>
      <c r="L111" s="307" t="n"/>
      <c r="M111" s="307" t="n"/>
      <c r="N111" s="307" t="n"/>
      <c r="O111" s="307" t="n"/>
      <c r="P111" s="307" t="n"/>
      <c r="Q111" s="307" t="n"/>
      <c r="R111" s="307" t="n"/>
      <c r="S111" s="307" t="n"/>
      <c r="T111" s="307" t="n"/>
      <c r="U111" s="307" t="n"/>
      <c r="V111" s="307" t="n"/>
      <c r="W111" s="307" t="n"/>
      <c r="X111" s="307" t="n"/>
      <c r="Y111" s="307" t="n"/>
      <c r="Z111" s="307" t="n"/>
      <c r="AA111" s="307" t="n"/>
      <c r="AB111" s="307" t="n"/>
      <c r="AC111" s="307" t="n"/>
      <c r="AD111" s="307" t="n"/>
      <c r="AE111" s="307" t="n"/>
      <c r="AF111" s="307" t="n"/>
      <c r="AG111" s="307" t="n"/>
      <c r="AH111" s="307" t="n"/>
      <c r="AI111" s="307" t="n"/>
      <c r="AJ111" s="307" t="n"/>
      <c r="AK111" s="307" t="n"/>
      <c r="AL111" s="307" t="n"/>
      <c r="AM111" s="307" t="n"/>
      <c r="AN111" s="307" t="n"/>
      <c r="AO111" s="307" t="n"/>
      <c r="AP111" s="307" t="n"/>
      <c r="AQ111" s="307" t="n"/>
      <c r="AR111" s="307" t="n"/>
      <c r="AS111" s="307" t="n"/>
      <c r="AT111" s="307" t="n"/>
    </row>
    <row r="112" ht="15.75" customHeight="1" s="349">
      <c r="A112" s="307" t="n"/>
      <c r="B112" s="307" t="n"/>
      <c r="C112" s="307" t="n"/>
      <c r="D112" s="307" t="n"/>
      <c r="E112" s="307" t="n"/>
      <c r="F112" s="307" t="n"/>
      <c r="G112" s="307" t="n"/>
      <c r="H112" s="307" t="n"/>
      <c r="I112" s="307" t="n"/>
      <c r="J112" s="307" t="n"/>
      <c r="K112" s="307" t="n"/>
      <c r="L112" s="307" t="n"/>
      <c r="M112" s="307" t="n"/>
      <c r="N112" s="307" t="n"/>
      <c r="O112" s="307" t="n"/>
      <c r="P112" s="307" t="n"/>
      <c r="Q112" s="307" t="n"/>
      <c r="R112" s="307" t="n"/>
      <c r="S112" s="307" t="n"/>
      <c r="T112" s="307" t="n"/>
      <c r="U112" s="307" t="n"/>
      <c r="V112" s="307" t="n"/>
      <c r="W112" s="307" t="n"/>
      <c r="X112" s="307" t="n"/>
      <c r="Y112" s="307" t="n"/>
      <c r="Z112" s="307" t="n"/>
      <c r="AA112" s="307" t="n"/>
      <c r="AB112" s="307" t="n"/>
      <c r="AC112" s="307" t="n"/>
      <c r="AD112" s="307" t="n"/>
      <c r="AE112" s="307" t="n"/>
      <c r="AF112" s="307" t="n"/>
      <c r="AG112" s="307" t="n"/>
      <c r="AH112" s="307" t="n"/>
      <c r="AI112" s="307" t="n"/>
      <c r="AJ112" s="307" t="n"/>
      <c r="AK112" s="307" t="n"/>
      <c r="AL112" s="307" t="n"/>
      <c r="AM112" s="307" t="n"/>
      <c r="AN112" s="307" t="n"/>
      <c r="AO112" s="307" t="n"/>
      <c r="AP112" s="307" t="n"/>
      <c r="AQ112" s="307" t="n"/>
      <c r="AR112" s="307" t="n"/>
      <c r="AS112" s="307" t="n"/>
      <c r="AT112" s="307" t="n"/>
    </row>
    <row r="113" ht="15.75" customHeight="1" s="349">
      <c r="A113" s="307" t="n"/>
      <c r="B113" s="307" t="n"/>
      <c r="C113" s="307" t="n"/>
      <c r="D113" s="307" t="n"/>
      <c r="E113" s="307" t="n"/>
      <c r="F113" s="307" t="n"/>
      <c r="G113" s="307" t="n"/>
      <c r="H113" s="307" t="n"/>
      <c r="I113" s="307" t="n"/>
      <c r="J113" s="307" t="n"/>
      <c r="K113" s="307" t="n"/>
      <c r="L113" s="307" t="n"/>
      <c r="M113" s="307" t="n"/>
      <c r="N113" s="307" t="n"/>
      <c r="O113" s="307" t="n"/>
      <c r="P113" s="307" t="n"/>
      <c r="Q113" s="307" t="n"/>
      <c r="R113" s="307" t="n"/>
      <c r="S113" s="307" t="n"/>
      <c r="T113" s="307" t="n"/>
      <c r="U113" s="307" t="n"/>
      <c r="V113" s="307" t="n"/>
      <c r="W113" s="307" t="n"/>
      <c r="X113" s="307" t="n"/>
      <c r="Y113" s="307" t="n"/>
      <c r="Z113" s="307" t="n"/>
      <c r="AA113" s="307" t="n"/>
      <c r="AB113" s="307" t="n"/>
      <c r="AC113" s="307" t="n"/>
      <c r="AD113" s="307" t="n"/>
      <c r="AE113" s="307" t="n"/>
      <c r="AF113" s="307" t="n"/>
      <c r="AG113" s="307" t="n"/>
      <c r="AH113" s="307" t="n"/>
      <c r="AI113" s="307" t="n"/>
      <c r="AJ113" s="307" t="n"/>
      <c r="AK113" s="307" t="n"/>
      <c r="AL113" s="307" t="n"/>
      <c r="AM113" s="307" t="n"/>
      <c r="AN113" s="307" t="n"/>
      <c r="AO113" s="307" t="n"/>
      <c r="AP113" s="307" t="n"/>
      <c r="AQ113" s="307" t="n"/>
      <c r="AR113" s="307" t="n"/>
      <c r="AS113" s="307" t="n"/>
      <c r="AT113" s="307" t="n"/>
    </row>
    <row r="114" ht="15.75" customHeight="1" s="349">
      <c r="A114" s="307" t="n"/>
      <c r="B114" s="307" t="n"/>
      <c r="C114" s="307" t="n"/>
      <c r="D114" s="307" t="n"/>
      <c r="E114" s="307" t="n"/>
      <c r="F114" s="307" t="n"/>
      <c r="G114" s="307" t="n"/>
      <c r="H114" s="307" t="n"/>
      <c r="I114" s="307" t="n"/>
      <c r="J114" s="307" t="n"/>
      <c r="K114" s="307" t="n"/>
      <c r="L114" s="307" t="n"/>
      <c r="M114" s="307" t="n"/>
      <c r="N114" s="307" t="n"/>
      <c r="O114" s="307" t="n"/>
      <c r="P114" s="307" t="n"/>
      <c r="Q114" s="307" t="n"/>
      <c r="R114" s="307" t="n"/>
      <c r="S114" s="307" t="n"/>
      <c r="T114" s="307" t="n"/>
      <c r="U114" s="307" t="n"/>
      <c r="V114" s="307" t="n"/>
      <c r="W114" s="307" t="n"/>
      <c r="X114" s="307" t="n"/>
      <c r="Y114" s="307" t="n"/>
      <c r="Z114" s="307" t="n"/>
      <c r="AA114" s="307" t="n"/>
      <c r="AB114" s="307" t="n"/>
      <c r="AC114" s="307" t="n"/>
      <c r="AD114" s="307" t="n"/>
      <c r="AE114" s="307" t="n"/>
      <c r="AF114" s="307" t="n"/>
      <c r="AG114" s="307" t="n"/>
      <c r="AH114" s="307" t="n"/>
      <c r="AI114" s="307" t="n"/>
      <c r="AJ114" s="307" t="n"/>
      <c r="AK114" s="307" t="n"/>
      <c r="AL114" s="307" t="n"/>
      <c r="AM114" s="307" t="n"/>
      <c r="AN114" s="307" t="n"/>
      <c r="AO114" s="307" t="n"/>
      <c r="AP114" s="307" t="n"/>
      <c r="AQ114" s="307" t="n"/>
      <c r="AR114" s="307" t="n"/>
      <c r="AS114" s="307" t="n"/>
      <c r="AT114" s="307" t="n"/>
    </row>
    <row r="115" ht="15.75" customHeight="1" s="349">
      <c r="A115" s="307" t="n"/>
      <c r="B115" s="307" t="n"/>
      <c r="C115" s="307" t="n"/>
      <c r="D115" s="307" t="n"/>
      <c r="E115" s="307" t="n"/>
      <c r="F115" s="307" t="n"/>
      <c r="G115" s="307" t="n"/>
      <c r="H115" s="307" t="n"/>
      <c r="I115" s="307" t="n"/>
      <c r="J115" s="307" t="n"/>
      <c r="K115" s="307" t="n"/>
      <c r="L115" s="307" t="n"/>
      <c r="M115" s="307" t="n"/>
      <c r="N115" s="307" t="n"/>
      <c r="O115" s="307" t="n"/>
      <c r="P115" s="307" t="n"/>
      <c r="Q115" s="307" t="n"/>
      <c r="R115" s="307" t="n"/>
      <c r="S115" s="307" t="n"/>
      <c r="T115" s="307" t="n"/>
      <c r="U115" s="307" t="n"/>
      <c r="V115" s="307" t="n"/>
      <c r="W115" s="307" t="n"/>
      <c r="X115" s="307" t="n"/>
      <c r="Y115" s="307" t="n"/>
      <c r="Z115" s="307" t="n"/>
      <c r="AA115" s="307" t="n"/>
      <c r="AB115" s="307" t="n"/>
      <c r="AC115" s="307" t="n"/>
      <c r="AD115" s="307" t="n"/>
      <c r="AE115" s="307" t="n"/>
      <c r="AF115" s="307" t="n"/>
      <c r="AG115" s="307" t="n"/>
      <c r="AH115" s="307" t="n"/>
      <c r="AI115" s="307" t="n"/>
      <c r="AJ115" s="307" t="n"/>
      <c r="AK115" s="307" t="n"/>
      <c r="AL115" s="307" t="n"/>
      <c r="AM115" s="307" t="n"/>
      <c r="AN115" s="307" t="n"/>
      <c r="AO115" s="307" t="n"/>
      <c r="AP115" s="307" t="n"/>
      <c r="AQ115" s="307" t="n"/>
      <c r="AR115" s="307" t="n"/>
      <c r="AS115" s="307" t="n"/>
      <c r="AT115" s="307" t="n"/>
    </row>
    <row r="116" ht="15.75" customHeight="1" s="349">
      <c r="A116" s="307" t="n"/>
      <c r="B116" s="307" t="n"/>
      <c r="C116" s="307" t="n"/>
      <c r="D116" s="307" t="n"/>
      <c r="E116" s="307" t="n"/>
      <c r="F116" s="307" t="n"/>
      <c r="G116" s="307" t="n"/>
      <c r="H116" s="307" t="n"/>
      <c r="I116" s="307" t="n"/>
      <c r="J116" s="307" t="n"/>
      <c r="K116" s="307" t="n"/>
      <c r="L116" s="307" t="n"/>
      <c r="M116" s="307" t="n"/>
      <c r="N116" s="307" t="n"/>
      <c r="O116" s="307" t="n"/>
      <c r="P116" s="307" t="n"/>
      <c r="Q116" s="307" t="n"/>
      <c r="R116" s="307" t="n"/>
      <c r="S116" s="307" t="n"/>
      <c r="T116" s="307" t="n"/>
      <c r="U116" s="307" t="n"/>
      <c r="V116" s="307" t="n"/>
      <c r="W116" s="307" t="n"/>
      <c r="X116" s="307" t="n"/>
      <c r="Y116" s="307" t="n"/>
      <c r="Z116" s="307" t="n"/>
      <c r="AA116" s="307" t="n"/>
      <c r="AB116" s="307" t="n"/>
      <c r="AC116" s="307" t="n"/>
      <c r="AD116" s="307" t="n"/>
      <c r="AE116" s="307" t="n"/>
      <c r="AF116" s="307" t="n"/>
      <c r="AG116" s="307" t="n"/>
      <c r="AH116" s="307" t="n"/>
      <c r="AI116" s="307" t="n"/>
      <c r="AJ116" s="307" t="n"/>
      <c r="AK116" s="307" t="n"/>
      <c r="AL116" s="307" t="n"/>
      <c r="AM116" s="307" t="n"/>
      <c r="AN116" s="307" t="n"/>
      <c r="AO116" s="307" t="n"/>
      <c r="AP116" s="307" t="n"/>
      <c r="AQ116" s="307" t="n"/>
      <c r="AR116" s="307" t="n"/>
      <c r="AS116" s="307" t="n"/>
      <c r="AT116" s="307" t="n"/>
    </row>
    <row r="117" ht="15.75" customHeight="1" s="349">
      <c r="A117" s="307" t="n"/>
      <c r="B117" s="307" t="n"/>
      <c r="C117" s="307" t="n"/>
      <c r="D117" s="307" t="n"/>
      <c r="E117" s="307" t="n"/>
      <c r="F117" s="307" t="n"/>
      <c r="G117" s="307" t="n"/>
      <c r="H117" s="307" t="n"/>
      <c r="I117" s="307" t="n"/>
      <c r="J117" s="307" t="n"/>
      <c r="K117" s="307" t="n"/>
      <c r="L117" s="307" t="n"/>
      <c r="M117" s="307" t="n"/>
      <c r="N117" s="307" t="n"/>
      <c r="O117" s="307" t="n"/>
      <c r="P117" s="307" t="n"/>
      <c r="Q117" s="307" t="n"/>
      <c r="R117" s="307" t="n"/>
      <c r="S117" s="307" t="n"/>
      <c r="T117" s="307" t="n"/>
      <c r="U117" s="307" t="n"/>
      <c r="V117" s="307" t="n"/>
      <c r="W117" s="307" t="n"/>
      <c r="X117" s="307" t="n"/>
      <c r="Y117" s="307" t="n"/>
      <c r="Z117" s="307" t="n"/>
      <c r="AA117" s="307" t="n"/>
      <c r="AB117" s="307" t="n"/>
      <c r="AC117" s="307" t="n"/>
      <c r="AD117" s="307" t="n"/>
      <c r="AE117" s="307" t="n"/>
      <c r="AF117" s="307" t="n"/>
      <c r="AG117" s="307" t="n"/>
      <c r="AH117" s="307" t="n"/>
      <c r="AI117" s="307" t="n"/>
      <c r="AJ117" s="307" t="n"/>
      <c r="AK117" s="307" t="n"/>
      <c r="AL117" s="307" t="n"/>
      <c r="AM117" s="307" t="n"/>
      <c r="AN117" s="307" t="n"/>
      <c r="AO117" s="307" t="n"/>
      <c r="AP117" s="307" t="n"/>
      <c r="AQ117" s="307" t="n"/>
      <c r="AR117" s="307" t="n"/>
      <c r="AS117" s="307" t="n"/>
      <c r="AT117" s="307" t="n"/>
    </row>
    <row r="118" ht="15.75" customHeight="1" s="349">
      <c r="A118" s="307" t="n"/>
      <c r="B118" s="307" t="n"/>
      <c r="C118" s="307" t="n"/>
      <c r="D118" s="307" t="n"/>
      <c r="E118" s="307" t="n"/>
      <c r="F118" s="307" t="n"/>
      <c r="G118" s="307" t="n"/>
      <c r="H118" s="307" t="n"/>
      <c r="I118" s="307" t="n"/>
      <c r="J118" s="307" t="n"/>
      <c r="K118" s="307" t="n"/>
      <c r="L118" s="307" t="n"/>
      <c r="M118" s="307" t="n"/>
      <c r="N118" s="307" t="n"/>
      <c r="O118" s="307" t="n"/>
      <c r="P118" s="307" t="n"/>
      <c r="Q118" s="307" t="n"/>
      <c r="R118" s="307" t="n"/>
      <c r="S118" s="307" t="n"/>
      <c r="T118" s="307" t="n"/>
      <c r="U118" s="307" t="n"/>
      <c r="V118" s="307" t="n"/>
      <c r="W118" s="307" t="n"/>
      <c r="X118" s="307" t="n"/>
      <c r="Y118" s="307" t="n"/>
      <c r="Z118" s="307" t="n"/>
      <c r="AA118" s="307" t="n"/>
      <c r="AB118" s="307" t="n"/>
      <c r="AC118" s="307" t="n"/>
      <c r="AD118" s="307" t="n"/>
      <c r="AE118" s="307" t="n"/>
      <c r="AF118" s="307" t="n"/>
      <c r="AG118" s="307" t="n"/>
      <c r="AH118" s="307" t="n"/>
      <c r="AI118" s="307" t="n"/>
      <c r="AJ118" s="307" t="n"/>
      <c r="AK118" s="307" t="n"/>
      <c r="AL118" s="307" t="n"/>
      <c r="AM118" s="307" t="n"/>
      <c r="AN118" s="307" t="n"/>
      <c r="AO118" s="307" t="n"/>
      <c r="AP118" s="307" t="n"/>
      <c r="AQ118" s="307" t="n"/>
      <c r="AR118" s="307" t="n"/>
      <c r="AS118" s="307" t="n"/>
      <c r="AT118" s="307" t="n"/>
    </row>
    <row r="119" ht="15.75" customHeight="1" s="349">
      <c r="A119" s="307" t="n"/>
      <c r="B119" s="307" t="n"/>
      <c r="C119" s="307" t="n"/>
      <c r="D119" s="307" t="n"/>
      <c r="E119" s="307" t="n"/>
      <c r="F119" s="307" t="n"/>
      <c r="G119" s="307" t="n"/>
      <c r="H119" s="307" t="n"/>
      <c r="I119" s="307" t="n"/>
      <c r="J119" s="307" t="n"/>
      <c r="K119" s="307" t="n"/>
      <c r="L119" s="307" t="n"/>
      <c r="M119" s="307" t="n"/>
      <c r="N119" s="307" t="n"/>
      <c r="O119" s="307" t="n"/>
      <c r="P119" s="307" t="n"/>
      <c r="Q119" s="307" t="n"/>
      <c r="R119" s="307" t="n"/>
      <c r="S119" s="307" t="n"/>
      <c r="T119" s="307" t="n"/>
      <c r="U119" s="307" t="n"/>
      <c r="V119" s="307" t="n"/>
      <c r="W119" s="307" t="n"/>
      <c r="X119" s="307" t="n"/>
      <c r="Y119" s="307" t="n"/>
      <c r="Z119" s="307" t="n"/>
      <c r="AA119" s="307" t="n"/>
      <c r="AB119" s="307" t="n"/>
      <c r="AC119" s="307" t="n"/>
      <c r="AD119" s="307" t="n"/>
      <c r="AE119" s="307" t="n"/>
      <c r="AF119" s="307" t="n"/>
      <c r="AG119" s="307" t="n"/>
      <c r="AH119" s="307" t="n"/>
      <c r="AI119" s="307" t="n"/>
      <c r="AJ119" s="307" t="n"/>
      <c r="AK119" s="307" t="n"/>
      <c r="AL119" s="307" t="n"/>
      <c r="AM119" s="307" t="n"/>
      <c r="AN119" s="307" t="n"/>
      <c r="AO119" s="307" t="n"/>
      <c r="AP119" s="307" t="n"/>
      <c r="AQ119" s="307" t="n"/>
      <c r="AR119" s="307" t="n"/>
      <c r="AS119" s="307" t="n"/>
      <c r="AT119" s="307" t="n"/>
    </row>
    <row r="120" ht="15.75" customHeight="1" s="349">
      <c r="A120" s="307" t="n"/>
      <c r="B120" s="307" t="n"/>
      <c r="C120" s="307" t="n"/>
      <c r="D120" s="307" t="n"/>
      <c r="E120" s="307" t="n"/>
      <c r="F120" s="307" t="n"/>
      <c r="G120" s="307" t="n"/>
      <c r="H120" s="307" t="n"/>
      <c r="I120" s="307" t="n"/>
      <c r="J120" s="307" t="n"/>
      <c r="K120" s="307" t="n"/>
      <c r="L120" s="307" t="n"/>
      <c r="M120" s="307" t="n"/>
      <c r="N120" s="307" t="n"/>
      <c r="O120" s="307" t="n"/>
      <c r="P120" s="307" t="n"/>
      <c r="Q120" s="307" t="n"/>
      <c r="R120" s="307" t="n"/>
      <c r="S120" s="307" t="n"/>
      <c r="T120" s="307" t="n"/>
      <c r="U120" s="307" t="n"/>
      <c r="V120" s="307" t="n"/>
      <c r="W120" s="307" t="n"/>
      <c r="X120" s="307" t="n"/>
      <c r="Y120" s="307" t="n"/>
      <c r="Z120" s="307" t="n"/>
      <c r="AA120" s="307" t="n"/>
      <c r="AB120" s="307" t="n"/>
      <c r="AC120" s="307" t="n"/>
      <c r="AD120" s="307" t="n"/>
      <c r="AE120" s="307" t="n"/>
      <c r="AF120" s="307" t="n"/>
      <c r="AG120" s="307" t="n"/>
      <c r="AH120" s="307" t="n"/>
      <c r="AI120" s="307" t="n"/>
      <c r="AJ120" s="307" t="n"/>
      <c r="AK120" s="307" t="n"/>
      <c r="AL120" s="307" t="n"/>
      <c r="AM120" s="307" t="n"/>
      <c r="AN120" s="307" t="n"/>
      <c r="AO120" s="307" t="n"/>
      <c r="AP120" s="307" t="n"/>
      <c r="AQ120" s="307" t="n"/>
      <c r="AR120" s="307" t="n"/>
      <c r="AS120" s="307" t="n"/>
      <c r="AT120" s="307" t="n"/>
    </row>
    <row r="121" ht="15.75" customHeight="1" s="349">
      <c r="A121" s="307" t="n"/>
      <c r="B121" s="307" t="n"/>
      <c r="C121" s="307" t="n"/>
      <c r="D121" s="307" t="n"/>
      <c r="E121" s="307" t="n"/>
      <c r="F121" s="307" t="n"/>
      <c r="G121" s="307" t="n"/>
      <c r="H121" s="307" t="n"/>
      <c r="I121" s="307" t="n"/>
      <c r="J121" s="307" t="n"/>
      <c r="K121" s="307" t="n"/>
      <c r="L121" s="307" t="n"/>
      <c r="M121" s="307" t="n"/>
      <c r="N121" s="307" t="n"/>
      <c r="O121" s="307" t="n"/>
      <c r="P121" s="307" t="n"/>
      <c r="Q121" s="307" t="n"/>
      <c r="R121" s="307" t="n"/>
      <c r="S121" s="307" t="n"/>
      <c r="T121" s="307" t="n"/>
      <c r="U121" s="307" t="n"/>
      <c r="V121" s="307" t="n"/>
      <c r="W121" s="307" t="n"/>
      <c r="X121" s="307" t="n"/>
      <c r="Y121" s="307" t="n"/>
      <c r="Z121" s="307" t="n"/>
      <c r="AA121" s="307" t="n"/>
      <c r="AB121" s="307" t="n"/>
      <c r="AC121" s="307" t="n"/>
      <c r="AD121" s="307" t="n"/>
      <c r="AE121" s="307" t="n"/>
      <c r="AF121" s="307" t="n"/>
      <c r="AG121" s="307" t="n"/>
      <c r="AH121" s="307" t="n"/>
      <c r="AI121" s="307" t="n"/>
      <c r="AJ121" s="307" t="n"/>
      <c r="AK121" s="307" t="n"/>
      <c r="AL121" s="307" t="n"/>
      <c r="AM121" s="307" t="n"/>
      <c r="AN121" s="307" t="n"/>
      <c r="AO121" s="307" t="n"/>
      <c r="AP121" s="307" t="n"/>
      <c r="AQ121" s="307" t="n"/>
      <c r="AR121" s="307" t="n"/>
      <c r="AS121" s="307" t="n"/>
      <c r="AT121" s="307" t="n"/>
    </row>
    <row r="122" ht="15.75" customHeight="1" s="349">
      <c r="A122" s="307" t="n"/>
      <c r="B122" s="307" t="n"/>
      <c r="C122" s="307" t="n"/>
      <c r="D122" s="307" t="n"/>
      <c r="E122" s="307" t="n"/>
      <c r="F122" s="307" t="n"/>
      <c r="G122" s="307" t="n"/>
      <c r="H122" s="307" t="n"/>
      <c r="I122" s="307" t="n"/>
      <c r="J122" s="307" t="n"/>
      <c r="K122" s="307" t="n"/>
      <c r="L122" s="307" t="n"/>
      <c r="M122" s="307" t="n"/>
      <c r="N122" s="307" t="n"/>
      <c r="O122" s="307" t="n"/>
      <c r="P122" s="307" t="n"/>
      <c r="Q122" s="307" t="n"/>
      <c r="R122" s="307" t="n"/>
      <c r="S122" s="307" t="n"/>
      <c r="T122" s="307" t="n"/>
      <c r="U122" s="307" t="n"/>
      <c r="V122" s="307" t="n"/>
      <c r="W122" s="307" t="n"/>
      <c r="X122" s="307" t="n"/>
      <c r="Y122" s="307" t="n"/>
      <c r="Z122" s="307" t="n"/>
      <c r="AA122" s="307" t="n"/>
      <c r="AB122" s="307" t="n"/>
      <c r="AC122" s="307" t="n"/>
      <c r="AD122" s="307" t="n"/>
      <c r="AE122" s="307" t="n"/>
      <c r="AF122" s="307" t="n"/>
      <c r="AG122" s="307" t="n"/>
      <c r="AH122" s="307" t="n"/>
      <c r="AI122" s="307" t="n"/>
      <c r="AJ122" s="307" t="n"/>
      <c r="AK122" s="307" t="n"/>
      <c r="AL122" s="307" t="n"/>
      <c r="AM122" s="307" t="n"/>
      <c r="AN122" s="307" t="n"/>
      <c r="AO122" s="307" t="n"/>
      <c r="AP122" s="307" t="n"/>
      <c r="AQ122" s="307" t="n"/>
      <c r="AR122" s="307" t="n"/>
      <c r="AS122" s="307" t="n"/>
      <c r="AT122" s="307" t="n"/>
    </row>
    <row r="123" ht="15.75" customHeight="1" s="349">
      <c r="A123" s="307" t="n"/>
      <c r="B123" s="307" t="n"/>
      <c r="C123" s="307" t="n"/>
      <c r="D123" s="307" t="n"/>
      <c r="E123" s="307" t="n"/>
      <c r="F123" s="307" t="n"/>
      <c r="G123" s="307" t="n"/>
      <c r="H123" s="307" t="n"/>
      <c r="I123" s="307" t="n"/>
      <c r="J123" s="307" t="n"/>
      <c r="K123" s="307" t="n"/>
      <c r="L123" s="307" t="n"/>
      <c r="M123" s="307" t="n"/>
      <c r="N123" s="307" t="n"/>
      <c r="O123" s="307" t="n"/>
      <c r="P123" s="307" t="n"/>
      <c r="Q123" s="307" t="n"/>
      <c r="R123" s="307" t="n"/>
      <c r="S123" s="307" t="n"/>
      <c r="T123" s="307" t="n"/>
      <c r="U123" s="307" t="n"/>
      <c r="V123" s="307" t="n"/>
      <c r="W123" s="307" t="n"/>
      <c r="X123" s="307" t="n"/>
      <c r="Y123" s="307" t="n"/>
      <c r="Z123" s="307" t="n"/>
      <c r="AA123" s="307" t="n"/>
      <c r="AB123" s="307" t="n"/>
      <c r="AC123" s="307" t="n"/>
      <c r="AD123" s="307" t="n"/>
      <c r="AE123" s="307" t="n"/>
      <c r="AF123" s="307" t="n"/>
      <c r="AG123" s="307" t="n"/>
      <c r="AH123" s="307" t="n"/>
      <c r="AI123" s="307" t="n"/>
      <c r="AJ123" s="307" t="n"/>
      <c r="AK123" s="307" t="n"/>
      <c r="AL123" s="307" t="n"/>
      <c r="AM123" s="307" t="n"/>
      <c r="AN123" s="307" t="n"/>
      <c r="AO123" s="307" t="n"/>
      <c r="AP123" s="307" t="n"/>
      <c r="AQ123" s="307" t="n"/>
      <c r="AR123" s="307" t="n"/>
      <c r="AS123" s="307" t="n"/>
      <c r="AT123" s="307" t="n"/>
    </row>
    <row r="124" ht="15.75" customHeight="1" s="349">
      <c r="A124" s="307" t="n"/>
      <c r="B124" s="307" t="n"/>
      <c r="C124" s="307" t="n"/>
      <c r="D124" s="307" t="n"/>
      <c r="E124" s="307" t="n"/>
      <c r="F124" s="307" t="n"/>
      <c r="G124" s="307" t="n"/>
      <c r="H124" s="307" t="n"/>
      <c r="I124" s="307" t="n"/>
      <c r="J124" s="307" t="n"/>
      <c r="K124" s="307" t="n"/>
      <c r="L124" s="307" t="n"/>
      <c r="M124" s="307" t="n"/>
      <c r="N124" s="307" t="n"/>
      <c r="O124" s="307" t="n"/>
      <c r="P124" s="307" t="n"/>
      <c r="Q124" s="307" t="n"/>
      <c r="R124" s="307" t="n"/>
      <c r="S124" s="307" t="n"/>
      <c r="T124" s="307" t="n"/>
      <c r="U124" s="307" t="n"/>
      <c r="V124" s="307" t="n"/>
      <c r="W124" s="307" t="n"/>
      <c r="X124" s="307" t="n"/>
      <c r="Y124" s="307" t="n"/>
      <c r="Z124" s="307" t="n"/>
      <c r="AA124" s="307" t="n"/>
      <c r="AB124" s="307" t="n"/>
      <c r="AC124" s="307" t="n"/>
      <c r="AD124" s="307" t="n"/>
      <c r="AE124" s="307" t="n"/>
      <c r="AF124" s="307" t="n"/>
      <c r="AG124" s="307" t="n"/>
      <c r="AH124" s="307" t="n"/>
      <c r="AI124" s="307" t="n"/>
      <c r="AJ124" s="307" t="n"/>
      <c r="AK124" s="307" t="n"/>
      <c r="AL124" s="307" t="n"/>
      <c r="AM124" s="307" t="n"/>
      <c r="AN124" s="307" t="n"/>
      <c r="AO124" s="307" t="n"/>
      <c r="AP124" s="307" t="n"/>
      <c r="AQ124" s="307" t="n"/>
      <c r="AR124" s="307" t="n"/>
      <c r="AS124" s="307" t="n"/>
      <c r="AT124" s="307" t="n"/>
    </row>
    <row r="125" ht="15.75" customHeight="1" s="349">
      <c r="A125" s="307" t="n"/>
      <c r="B125" s="307" t="n"/>
      <c r="C125" s="307" t="n"/>
      <c r="D125" s="307" t="n"/>
      <c r="E125" s="307" t="n"/>
      <c r="F125" s="307" t="n"/>
      <c r="G125" s="307" t="n"/>
      <c r="H125" s="307" t="n"/>
      <c r="I125" s="307" t="n"/>
      <c r="J125" s="307" t="n"/>
      <c r="K125" s="307" t="n"/>
      <c r="L125" s="307" t="n"/>
      <c r="M125" s="307" t="n"/>
      <c r="N125" s="307" t="n"/>
      <c r="O125" s="307" t="n"/>
      <c r="P125" s="307" t="n"/>
      <c r="Q125" s="307" t="n"/>
      <c r="R125" s="307" t="n"/>
      <c r="S125" s="307" t="n"/>
      <c r="T125" s="307" t="n"/>
      <c r="U125" s="307" t="n"/>
      <c r="V125" s="307" t="n"/>
      <c r="W125" s="307" t="n"/>
      <c r="X125" s="307" t="n"/>
      <c r="Y125" s="307" t="n"/>
      <c r="Z125" s="307" t="n"/>
      <c r="AA125" s="307" t="n"/>
      <c r="AB125" s="307" t="n"/>
      <c r="AC125" s="307" t="n"/>
      <c r="AD125" s="307" t="n"/>
      <c r="AE125" s="307" t="n"/>
      <c r="AF125" s="307" t="n"/>
      <c r="AG125" s="307" t="n"/>
      <c r="AH125" s="307" t="n"/>
      <c r="AI125" s="307" t="n"/>
      <c r="AJ125" s="307" t="n"/>
      <c r="AK125" s="307" t="n"/>
      <c r="AL125" s="307" t="n"/>
      <c r="AM125" s="307" t="n"/>
      <c r="AN125" s="307" t="n"/>
      <c r="AO125" s="307" t="n"/>
      <c r="AP125" s="307" t="n"/>
      <c r="AQ125" s="307" t="n"/>
      <c r="AR125" s="307" t="n"/>
      <c r="AS125" s="307" t="n"/>
      <c r="AT125" s="307" t="n"/>
    </row>
    <row r="126" ht="15.75" customHeight="1" s="349">
      <c r="A126" s="307" t="n"/>
      <c r="B126" s="307" t="n"/>
      <c r="C126" s="307" t="n"/>
      <c r="D126" s="307" t="n"/>
      <c r="E126" s="307" t="n"/>
      <c r="F126" s="307" t="n"/>
      <c r="G126" s="307" t="n"/>
      <c r="H126" s="307" t="n"/>
      <c r="I126" s="307" t="n"/>
      <c r="J126" s="307" t="n"/>
      <c r="K126" s="307" t="n"/>
      <c r="L126" s="307" t="n"/>
      <c r="M126" s="307" t="n"/>
      <c r="N126" s="307" t="n"/>
      <c r="O126" s="307" t="n"/>
      <c r="P126" s="307" t="n"/>
      <c r="Q126" s="307" t="n"/>
      <c r="R126" s="307" t="n"/>
      <c r="S126" s="307" t="n"/>
      <c r="T126" s="307" t="n"/>
      <c r="U126" s="307" t="n"/>
      <c r="V126" s="307" t="n"/>
      <c r="W126" s="307" t="n"/>
      <c r="X126" s="307" t="n"/>
      <c r="Y126" s="307" t="n"/>
      <c r="Z126" s="307" t="n"/>
      <c r="AA126" s="307" t="n"/>
      <c r="AB126" s="307" t="n"/>
      <c r="AC126" s="307" t="n"/>
      <c r="AD126" s="307" t="n"/>
      <c r="AE126" s="307" t="n"/>
      <c r="AF126" s="307" t="n"/>
      <c r="AG126" s="307" t="n"/>
      <c r="AH126" s="307" t="n"/>
      <c r="AI126" s="307" t="n"/>
      <c r="AJ126" s="307" t="n"/>
      <c r="AK126" s="307" t="n"/>
      <c r="AL126" s="307" t="n"/>
      <c r="AM126" s="307" t="n"/>
      <c r="AN126" s="307" t="n"/>
      <c r="AO126" s="307" t="n"/>
      <c r="AP126" s="307" t="n"/>
      <c r="AQ126" s="307" t="n"/>
      <c r="AR126" s="307" t="n"/>
      <c r="AS126" s="307" t="n"/>
      <c r="AT126" s="307" t="n"/>
    </row>
    <row r="127" ht="15.75" customHeight="1" s="349">
      <c r="A127" s="307" t="n"/>
      <c r="B127" s="307" t="n"/>
      <c r="C127" s="307" t="n"/>
      <c r="D127" s="307" t="n"/>
      <c r="E127" s="307" t="n"/>
      <c r="F127" s="307" t="n"/>
      <c r="G127" s="307" t="n"/>
      <c r="H127" s="307" t="n"/>
      <c r="I127" s="307" t="n"/>
      <c r="J127" s="307" t="n"/>
      <c r="K127" s="307" t="n"/>
      <c r="L127" s="307" t="n"/>
      <c r="M127" s="307" t="n"/>
      <c r="N127" s="307" t="n"/>
      <c r="O127" s="307" t="n"/>
      <c r="P127" s="307" t="n"/>
      <c r="Q127" s="307" t="n"/>
      <c r="R127" s="307" t="n"/>
      <c r="S127" s="307" t="n"/>
      <c r="T127" s="307" t="n"/>
      <c r="U127" s="307" t="n"/>
      <c r="V127" s="307" t="n"/>
      <c r="W127" s="307" t="n"/>
      <c r="X127" s="307" t="n"/>
      <c r="Y127" s="307" t="n"/>
      <c r="Z127" s="307" t="n"/>
      <c r="AA127" s="307" t="n"/>
      <c r="AB127" s="307" t="n"/>
      <c r="AC127" s="307" t="n"/>
      <c r="AD127" s="307" t="n"/>
      <c r="AE127" s="307" t="n"/>
      <c r="AF127" s="307" t="n"/>
      <c r="AG127" s="307" t="n"/>
      <c r="AH127" s="307" t="n"/>
      <c r="AI127" s="307" t="n"/>
      <c r="AJ127" s="307" t="n"/>
      <c r="AK127" s="307" t="n"/>
      <c r="AL127" s="307" t="n"/>
      <c r="AM127" s="307" t="n"/>
      <c r="AN127" s="307" t="n"/>
      <c r="AO127" s="307" t="n"/>
      <c r="AP127" s="307" t="n"/>
      <c r="AQ127" s="307" t="n"/>
      <c r="AR127" s="307" t="n"/>
      <c r="AS127" s="307" t="n"/>
      <c r="AT127" s="307" t="n"/>
    </row>
    <row r="128" ht="15.75" customHeight="1" s="349">
      <c r="A128" s="307" t="n"/>
      <c r="B128" s="307" t="n"/>
      <c r="C128" s="307" t="n"/>
      <c r="D128" s="307" t="n"/>
      <c r="E128" s="307" t="n"/>
      <c r="F128" s="307" t="n"/>
      <c r="G128" s="307" t="n"/>
      <c r="H128" s="307" t="n"/>
      <c r="I128" s="307" t="n"/>
      <c r="J128" s="307" t="n"/>
      <c r="K128" s="307" t="n"/>
      <c r="L128" s="307" t="n"/>
      <c r="M128" s="307" t="n"/>
      <c r="N128" s="307" t="n"/>
      <c r="O128" s="307" t="n"/>
      <c r="P128" s="307" t="n"/>
      <c r="Q128" s="307" t="n"/>
      <c r="R128" s="307" t="n"/>
      <c r="S128" s="307" t="n"/>
      <c r="T128" s="307" t="n"/>
      <c r="U128" s="307" t="n"/>
      <c r="V128" s="307" t="n"/>
      <c r="W128" s="307" t="n"/>
      <c r="X128" s="307" t="n"/>
      <c r="Y128" s="307" t="n"/>
      <c r="Z128" s="307" t="n"/>
      <c r="AA128" s="307" t="n"/>
      <c r="AB128" s="307" t="n"/>
      <c r="AC128" s="307" t="n"/>
      <c r="AD128" s="307" t="n"/>
      <c r="AE128" s="307" t="n"/>
      <c r="AF128" s="307" t="n"/>
      <c r="AG128" s="307" t="n"/>
      <c r="AH128" s="307" t="n"/>
      <c r="AI128" s="307" t="n"/>
      <c r="AJ128" s="307" t="n"/>
      <c r="AK128" s="307" t="n"/>
      <c r="AL128" s="307" t="n"/>
      <c r="AM128" s="307" t="n"/>
      <c r="AN128" s="307" t="n"/>
      <c r="AO128" s="307" t="n"/>
      <c r="AP128" s="307" t="n"/>
      <c r="AQ128" s="307" t="n"/>
      <c r="AR128" s="307" t="n"/>
      <c r="AS128" s="307" t="n"/>
      <c r="AT128" s="307" t="n"/>
    </row>
    <row r="129" ht="15.75" customHeight="1" s="349">
      <c r="A129" s="307" t="n"/>
      <c r="B129" s="307" t="n"/>
      <c r="C129" s="307" t="n"/>
      <c r="D129" s="307" t="n"/>
      <c r="E129" s="307" t="n"/>
      <c r="F129" s="307" t="n"/>
      <c r="G129" s="307" t="n"/>
      <c r="H129" s="307" t="n"/>
      <c r="I129" s="307" t="n"/>
      <c r="J129" s="307" t="n"/>
      <c r="K129" s="307" t="n"/>
      <c r="L129" s="307" t="n"/>
      <c r="M129" s="307" t="n"/>
      <c r="N129" s="307" t="n"/>
      <c r="O129" s="307" t="n"/>
      <c r="P129" s="307" t="n"/>
      <c r="Q129" s="307" t="n"/>
      <c r="R129" s="307" t="n"/>
      <c r="S129" s="307" t="n"/>
      <c r="T129" s="307" t="n"/>
      <c r="U129" s="307" t="n"/>
      <c r="V129" s="307" t="n"/>
      <c r="W129" s="307" t="n"/>
      <c r="X129" s="307" t="n"/>
      <c r="Y129" s="307" t="n"/>
      <c r="Z129" s="307" t="n"/>
      <c r="AA129" s="307" t="n"/>
      <c r="AB129" s="307" t="n"/>
      <c r="AC129" s="307" t="n"/>
      <c r="AD129" s="307" t="n"/>
      <c r="AE129" s="307" t="n"/>
      <c r="AF129" s="307" t="n"/>
      <c r="AG129" s="307" t="n"/>
      <c r="AH129" s="307" t="n"/>
      <c r="AI129" s="307" t="n"/>
      <c r="AJ129" s="307" t="n"/>
      <c r="AK129" s="307" t="n"/>
      <c r="AL129" s="307" t="n"/>
      <c r="AM129" s="307" t="n"/>
      <c r="AN129" s="307" t="n"/>
      <c r="AO129" s="307" t="n"/>
      <c r="AP129" s="307" t="n"/>
      <c r="AQ129" s="307" t="n"/>
      <c r="AR129" s="307" t="n"/>
      <c r="AS129" s="307" t="n"/>
      <c r="AT129" s="307" t="n"/>
    </row>
    <row r="130" ht="15.75" customHeight="1" s="349">
      <c r="A130" s="307" t="n"/>
      <c r="B130" s="307" t="n"/>
      <c r="C130" s="307" t="n"/>
      <c r="D130" s="307" t="n"/>
      <c r="E130" s="307" t="n"/>
      <c r="F130" s="307" t="n"/>
      <c r="G130" s="307" t="n"/>
      <c r="H130" s="307" t="n"/>
      <c r="I130" s="307" t="n"/>
      <c r="J130" s="307" t="n"/>
      <c r="K130" s="307" t="n"/>
      <c r="L130" s="307" t="n"/>
      <c r="M130" s="307" t="n"/>
      <c r="N130" s="307" t="n"/>
      <c r="O130" s="307" t="n"/>
      <c r="P130" s="307" t="n"/>
      <c r="Q130" s="307" t="n"/>
      <c r="R130" s="307" t="n"/>
      <c r="S130" s="307" t="n"/>
      <c r="T130" s="307" t="n"/>
      <c r="U130" s="307" t="n"/>
      <c r="V130" s="307" t="n"/>
      <c r="W130" s="307" t="n"/>
      <c r="X130" s="307" t="n"/>
      <c r="Y130" s="307" t="n"/>
      <c r="Z130" s="307" t="n"/>
      <c r="AA130" s="307" t="n"/>
      <c r="AB130" s="307" t="n"/>
      <c r="AC130" s="307" t="n"/>
      <c r="AD130" s="307" t="n"/>
      <c r="AE130" s="307" t="n"/>
      <c r="AF130" s="307" t="n"/>
      <c r="AG130" s="307" t="n"/>
      <c r="AH130" s="307" t="n"/>
      <c r="AI130" s="307" t="n"/>
      <c r="AJ130" s="307" t="n"/>
      <c r="AK130" s="307" t="n"/>
      <c r="AL130" s="307" t="n"/>
      <c r="AM130" s="307" t="n"/>
      <c r="AN130" s="307" t="n"/>
      <c r="AO130" s="307" t="n"/>
      <c r="AP130" s="307" t="n"/>
      <c r="AQ130" s="307" t="n"/>
      <c r="AR130" s="307" t="n"/>
      <c r="AS130" s="307" t="n"/>
      <c r="AT130" s="307" t="n"/>
    </row>
    <row r="131" ht="15.75" customHeight="1" s="349">
      <c r="A131" s="307" t="n"/>
      <c r="B131" s="307" t="n"/>
      <c r="C131" s="307" t="n"/>
      <c r="D131" s="307" t="n"/>
      <c r="E131" s="307" t="n"/>
      <c r="F131" s="307" t="n"/>
      <c r="G131" s="307" t="n"/>
      <c r="H131" s="307" t="n"/>
      <c r="I131" s="307" t="n"/>
      <c r="J131" s="307" t="n"/>
      <c r="K131" s="307" t="n"/>
      <c r="L131" s="307" t="n"/>
      <c r="M131" s="307" t="n"/>
      <c r="N131" s="307" t="n"/>
      <c r="O131" s="307" t="n"/>
      <c r="P131" s="307" t="n"/>
      <c r="Q131" s="307" t="n"/>
      <c r="R131" s="307" t="n"/>
      <c r="S131" s="307" t="n"/>
      <c r="T131" s="307" t="n"/>
      <c r="U131" s="307" t="n"/>
      <c r="V131" s="307" t="n"/>
      <c r="W131" s="307" t="n"/>
      <c r="X131" s="307" t="n"/>
      <c r="Y131" s="307" t="n"/>
      <c r="Z131" s="307" t="n"/>
      <c r="AA131" s="307" t="n"/>
      <c r="AB131" s="307" t="n"/>
      <c r="AC131" s="307" t="n"/>
      <c r="AD131" s="307" t="n"/>
      <c r="AE131" s="307" t="n"/>
      <c r="AF131" s="307" t="n"/>
      <c r="AG131" s="307" t="n"/>
      <c r="AH131" s="307" t="n"/>
      <c r="AI131" s="307" t="n"/>
      <c r="AJ131" s="307" t="n"/>
      <c r="AK131" s="307" t="n"/>
      <c r="AL131" s="307" t="n"/>
      <c r="AM131" s="307" t="n"/>
      <c r="AN131" s="307" t="n"/>
      <c r="AO131" s="307" t="n"/>
      <c r="AP131" s="307" t="n"/>
      <c r="AQ131" s="307" t="n"/>
      <c r="AR131" s="307" t="n"/>
      <c r="AS131" s="307" t="n"/>
      <c r="AT131" s="307" t="n"/>
    </row>
    <row r="132" ht="15.75" customHeight="1" s="349">
      <c r="A132" s="307" t="n"/>
      <c r="B132" s="307" t="n"/>
      <c r="C132" s="307" t="n"/>
      <c r="D132" s="307" t="n"/>
      <c r="E132" s="307" t="n"/>
      <c r="F132" s="307" t="n"/>
      <c r="G132" s="307" t="n"/>
      <c r="H132" s="307" t="n"/>
      <c r="I132" s="307" t="n"/>
      <c r="J132" s="307" t="n"/>
      <c r="K132" s="307" t="n"/>
      <c r="L132" s="307" t="n"/>
      <c r="M132" s="307" t="n"/>
      <c r="N132" s="307" t="n"/>
      <c r="O132" s="307" t="n"/>
      <c r="P132" s="307" t="n"/>
      <c r="Q132" s="307" t="n"/>
      <c r="R132" s="307" t="n"/>
      <c r="S132" s="307" t="n"/>
      <c r="T132" s="307" t="n"/>
      <c r="U132" s="307" t="n"/>
      <c r="V132" s="307" t="n"/>
      <c r="W132" s="307" t="n"/>
      <c r="X132" s="307" t="n"/>
      <c r="Y132" s="307" t="n"/>
      <c r="Z132" s="307" t="n"/>
      <c r="AA132" s="307" t="n"/>
      <c r="AB132" s="307" t="n"/>
      <c r="AC132" s="307" t="n"/>
      <c r="AD132" s="307" t="n"/>
      <c r="AE132" s="307" t="n"/>
      <c r="AF132" s="307" t="n"/>
      <c r="AG132" s="307" t="n"/>
      <c r="AH132" s="307" t="n"/>
      <c r="AI132" s="307" t="n"/>
      <c r="AJ132" s="307" t="n"/>
      <c r="AK132" s="307" t="n"/>
      <c r="AL132" s="307" t="n"/>
      <c r="AM132" s="307" t="n"/>
      <c r="AN132" s="307" t="n"/>
      <c r="AO132" s="307" t="n"/>
      <c r="AP132" s="307" t="n"/>
      <c r="AQ132" s="307" t="n"/>
      <c r="AR132" s="307" t="n"/>
      <c r="AS132" s="307" t="n"/>
      <c r="AT132" s="307" t="n"/>
    </row>
    <row r="133" ht="15.75" customHeight="1" s="349">
      <c r="A133" s="307" t="n"/>
      <c r="B133" s="307" t="n"/>
      <c r="C133" s="307" t="n"/>
      <c r="D133" s="307" t="n"/>
      <c r="E133" s="307" t="n"/>
      <c r="F133" s="307" t="n"/>
      <c r="G133" s="307" t="n"/>
      <c r="H133" s="307" t="n"/>
      <c r="I133" s="307" t="n"/>
      <c r="J133" s="307" t="n"/>
      <c r="K133" s="307" t="n"/>
      <c r="L133" s="307" t="n"/>
      <c r="M133" s="307" t="n"/>
      <c r="N133" s="307" t="n"/>
      <c r="O133" s="307" t="n"/>
      <c r="P133" s="307" t="n"/>
      <c r="Q133" s="307" t="n"/>
      <c r="R133" s="307" t="n"/>
      <c r="S133" s="307" t="n"/>
      <c r="T133" s="307" t="n"/>
      <c r="U133" s="307" t="n"/>
      <c r="V133" s="307" t="n"/>
      <c r="W133" s="307" t="n"/>
      <c r="X133" s="307" t="n"/>
      <c r="Y133" s="307" t="n"/>
      <c r="Z133" s="307" t="n"/>
      <c r="AA133" s="307" t="n"/>
      <c r="AB133" s="307" t="n"/>
      <c r="AC133" s="307" t="n"/>
      <c r="AD133" s="307" t="n"/>
      <c r="AE133" s="307" t="n"/>
      <c r="AF133" s="307" t="n"/>
      <c r="AG133" s="307" t="n"/>
      <c r="AH133" s="307" t="n"/>
      <c r="AI133" s="307" t="n"/>
      <c r="AJ133" s="307" t="n"/>
      <c r="AK133" s="307" t="n"/>
      <c r="AL133" s="307" t="n"/>
      <c r="AM133" s="307" t="n"/>
      <c r="AN133" s="307" t="n"/>
      <c r="AO133" s="307" t="n"/>
      <c r="AP133" s="307" t="n"/>
      <c r="AQ133" s="307" t="n"/>
      <c r="AR133" s="307" t="n"/>
      <c r="AS133" s="307" t="n"/>
      <c r="AT133" s="307" t="n"/>
    </row>
    <row r="134" ht="15.75" customHeight="1" s="349">
      <c r="A134" s="307" t="n"/>
      <c r="B134" s="307" t="n"/>
      <c r="C134" s="307" t="n"/>
      <c r="D134" s="307" t="n"/>
      <c r="E134" s="307" t="n"/>
      <c r="F134" s="307" t="n"/>
      <c r="G134" s="307" t="n"/>
      <c r="H134" s="307" t="n"/>
      <c r="I134" s="307" t="n"/>
      <c r="J134" s="307" t="n"/>
      <c r="K134" s="307" t="n"/>
      <c r="L134" s="307" t="n"/>
      <c r="M134" s="307" t="n"/>
      <c r="N134" s="307" t="n"/>
      <c r="O134" s="307" t="n"/>
      <c r="P134" s="307" t="n"/>
      <c r="Q134" s="307" t="n"/>
      <c r="R134" s="307" t="n"/>
      <c r="S134" s="307" t="n"/>
      <c r="T134" s="307" t="n"/>
      <c r="U134" s="307" t="n"/>
      <c r="V134" s="307" t="n"/>
      <c r="W134" s="307" t="n"/>
      <c r="X134" s="307" t="n"/>
      <c r="Y134" s="307" t="n"/>
      <c r="Z134" s="307" t="n"/>
      <c r="AA134" s="307" t="n"/>
      <c r="AB134" s="307" t="n"/>
      <c r="AC134" s="307" t="n"/>
      <c r="AD134" s="307" t="n"/>
      <c r="AE134" s="307" t="n"/>
      <c r="AF134" s="307" t="n"/>
      <c r="AG134" s="307" t="n"/>
      <c r="AH134" s="307" t="n"/>
      <c r="AI134" s="307" t="n"/>
      <c r="AJ134" s="307" t="n"/>
      <c r="AK134" s="307" t="n"/>
      <c r="AL134" s="307" t="n"/>
      <c r="AM134" s="307" t="n"/>
      <c r="AN134" s="307" t="n"/>
      <c r="AO134" s="307" t="n"/>
      <c r="AP134" s="307" t="n"/>
      <c r="AQ134" s="307" t="n"/>
      <c r="AR134" s="307" t="n"/>
      <c r="AS134" s="307" t="n"/>
      <c r="AT134" s="307" t="n"/>
    </row>
    <row r="135" ht="15.75" customHeight="1" s="349">
      <c r="A135" s="307" t="n"/>
      <c r="B135" s="307" t="n"/>
      <c r="C135" s="307" t="n"/>
      <c r="D135" s="307" t="n"/>
      <c r="E135" s="307" t="n"/>
      <c r="F135" s="307" t="n"/>
      <c r="G135" s="307" t="n"/>
      <c r="H135" s="307" t="n"/>
      <c r="I135" s="307" t="n"/>
      <c r="J135" s="307" t="n"/>
      <c r="K135" s="307" t="n"/>
      <c r="L135" s="307" t="n"/>
      <c r="M135" s="307" t="n"/>
      <c r="N135" s="307" t="n"/>
      <c r="O135" s="307" t="n"/>
      <c r="P135" s="307" t="n"/>
      <c r="Q135" s="307" t="n"/>
      <c r="R135" s="307" t="n"/>
      <c r="S135" s="307" t="n"/>
      <c r="T135" s="307" t="n"/>
      <c r="U135" s="307" t="n"/>
      <c r="V135" s="307" t="n"/>
      <c r="W135" s="307" t="n"/>
      <c r="X135" s="307" t="n"/>
      <c r="Y135" s="307" t="n"/>
      <c r="Z135" s="307" t="n"/>
      <c r="AA135" s="307" t="n"/>
      <c r="AB135" s="307" t="n"/>
      <c r="AC135" s="307" t="n"/>
      <c r="AD135" s="307" t="n"/>
      <c r="AE135" s="307" t="n"/>
      <c r="AF135" s="307" t="n"/>
      <c r="AG135" s="307" t="n"/>
      <c r="AH135" s="307" t="n"/>
      <c r="AI135" s="307" t="n"/>
      <c r="AJ135" s="307" t="n"/>
      <c r="AK135" s="307" t="n"/>
      <c r="AL135" s="307" t="n"/>
      <c r="AM135" s="307" t="n"/>
      <c r="AN135" s="307" t="n"/>
      <c r="AO135" s="307" t="n"/>
      <c r="AP135" s="307" t="n"/>
      <c r="AQ135" s="307" t="n"/>
      <c r="AR135" s="307" t="n"/>
      <c r="AS135" s="307" t="n"/>
      <c r="AT135" s="307" t="n"/>
    </row>
    <row r="136" ht="15.75" customHeight="1" s="349">
      <c r="A136" s="307" t="n"/>
      <c r="B136" s="307" t="n"/>
      <c r="C136" s="307" t="n"/>
      <c r="D136" s="307" t="n"/>
      <c r="E136" s="307" t="n"/>
      <c r="F136" s="307" t="n"/>
      <c r="G136" s="307" t="n"/>
      <c r="H136" s="307" t="n"/>
      <c r="I136" s="307" t="n"/>
      <c r="J136" s="307" t="n"/>
      <c r="K136" s="307" t="n"/>
      <c r="L136" s="307" t="n"/>
      <c r="M136" s="307" t="n"/>
      <c r="N136" s="307" t="n"/>
      <c r="O136" s="307" t="n"/>
      <c r="P136" s="307" t="n"/>
      <c r="Q136" s="307" t="n"/>
      <c r="R136" s="307" t="n"/>
      <c r="S136" s="307" t="n"/>
      <c r="T136" s="307" t="n"/>
      <c r="U136" s="307" t="n"/>
      <c r="V136" s="307" t="n"/>
      <c r="W136" s="307" t="n"/>
      <c r="X136" s="307" t="n"/>
      <c r="Y136" s="307" t="n"/>
      <c r="Z136" s="307" t="n"/>
      <c r="AA136" s="307" t="n"/>
      <c r="AB136" s="307" t="n"/>
      <c r="AC136" s="307" t="n"/>
      <c r="AD136" s="307" t="n"/>
      <c r="AE136" s="307" t="n"/>
      <c r="AF136" s="307" t="n"/>
      <c r="AG136" s="307" t="n"/>
      <c r="AH136" s="307" t="n"/>
      <c r="AI136" s="307" t="n"/>
      <c r="AJ136" s="307" t="n"/>
      <c r="AK136" s="307" t="n"/>
      <c r="AL136" s="307" t="n"/>
      <c r="AM136" s="307" t="n"/>
      <c r="AN136" s="307" t="n"/>
      <c r="AO136" s="307" t="n"/>
      <c r="AP136" s="307" t="n"/>
      <c r="AQ136" s="307" t="n"/>
      <c r="AR136" s="307" t="n"/>
      <c r="AS136" s="307" t="n"/>
      <c r="AT136" s="307" t="n"/>
    </row>
    <row r="137" ht="15.75" customHeight="1" s="349">
      <c r="A137" s="307" t="n"/>
      <c r="B137" s="307" t="n"/>
      <c r="C137" s="307" t="n"/>
      <c r="D137" s="307" t="n"/>
      <c r="E137" s="307" t="n"/>
      <c r="F137" s="307" t="n"/>
      <c r="G137" s="307" t="n"/>
      <c r="H137" s="307" t="n"/>
      <c r="I137" s="307" t="n"/>
      <c r="J137" s="307" t="n"/>
      <c r="K137" s="307" t="n"/>
      <c r="L137" s="307" t="n"/>
      <c r="M137" s="307" t="n"/>
      <c r="N137" s="307" t="n"/>
      <c r="O137" s="307" t="n"/>
      <c r="P137" s="307" t="n"/>
      <c r="Q137" s="307" t="n"/>
      <c r="R137" s="307" t="n"/>
      <c r="S137" s="307" t="n"/>
      <c r="T137" s="307" t="n"/>
      <c r="U137" s="307" t="n"/>
      <c r="V137" s="307" t="n"/>
      <c r="W137" s="307" t="n"/>
      <c r="X137" s="307" t="n"/>
      <c r="Y137" s="307" t="n"/>
      <c r="Z137" s="307" t="n"/>
      <c r="AA137" s="307" t="n"/>
      <c r="AB137" s="307" t="n"/>
      <c r="AC137" s="307" t="n"/>
      <c r="AD137" s="307" t="n"/>
      <c r="AE137" s="307" t="n"/>
      <c r="AF137" s="307" t="n"/>
      <c r="AG137" s="307" t="n"/>
      <c r="AH137" s="307" t="n"/>
      <c r="AI137" s="307" t="n"/>
      <c r="AJ137" s="307" t="n"/>
      <c r="AK137" s="307" t="n"/>
      <c r="AL137" s="307" t="n"/>
      <c r="AM137" s="307" t="n"/>
      <c r="AN137" s="307" t="n"/>
      <c r="AO137" s="307" t="n"/>
      <c r="AP137" s="307" t="n"/>
      <c r="AQ137" s="307" t="n"/>
      <c r="AR137" s="307" t="n"/>
      <c r="AS137" s="307" t="n"/>
      <c r="AT137" s="307" t="n"/>
    </row>
    <row r="138" ht="15.75" customHeight="1" s="349">
      <c r="A138" s="307" t="n"/>
      <c r="B138" s="307" t="n"/>
      <c r="C138" s="307" t="n"/>
      <c r="D138" s="307" t="n"/>
      <c r="E138" s="307" t="n"/>
      <c r="F138" s="307" t="n"/>
      <c r="G138" s="307" t="n"/>
      <c r="H138" s="307" t="n"/>
      <c r="I138" s="307" t="n"/>
      <c r="J138" s="307" t="n"/>
      <c r="K138" s="307" t="n"/>
      <c r="L138" s="307" t="n"/>
      <c r="M138" s="307" t="n"/>
      <c r="N138" s="307" t="n"/>
      <c r="O138" s="307" t="n"/>
      <c r="P138" s="307" t="n"/>
      <c r="Q138" s="307" t="n"/>
      <c r="R138" s="307" t="n"/>
      <c r="S138" s="307" t="n"/>
      <c r="T138" s="307" t="n"/>
      <c r="U138" s="307" t="n"/>
      <c r="V138" s="307" t="n"/>
      <c r="W138" s="307" t="n"/>
      <c r="X138" s="307" t="n"/>
      <c r="Y138" s="307" t="n"/>
      <c r="Z138" s="307" t="n"/>
      <c r="AA138" s="307" t="n"/>
      <c r="AB138" s="307" t="n"/>
      <c r="AC138" s="307" t="n"/>
      <c r="AD138" s="307" t="n"/>
      <c r="AE138" s="307" t="n"/>
      <c r="AF138" s="307" t="n"/>
      <c r="AG138" s="307" t="n"/>
      <c r="AH138" s="307" t="n"/>
      <c r="AI138" s="307" t="n"/>
      <c r="AJ138" s="307" t="n"/>
      <c r="AK138" s="307" t="n"/>
      <c r="AL138" s="307" t="n"/>
      <c r="AM138" s="307" t="n"/>
      <c r="AN138" s="307" t="n"/>
      <c r="AO138" s="307" t="n"/>
      <c r="AP138" s="307" t="n"/>
      <c r="AQ138" s="307" t="n"/>
      <c r="AR138" s="307" t="n"/>
      <c r="AS138" s="307" t="n"/>
      <c r="AT138" s="307" t="n"/>
    </row>
    <row r="139" ht="15.75" customHeight="1" s="349">
      <c r="A139" s="307" t="n"/>
      <c r="B139" s="307" t="n"/>
      <c r="C139" s="307" t="n"/>
      <c r="D139" s="307" t="n"/>
      <c r="E139" s="307" t="n"/>
      <c r="F139" s="307" t="n"/>
      <c r="G139" s="307" t="n"/>
      <c r="H139" s="307" t="n"/>
      <c r="I139" s="307" t="n"/>
      <c r="J139" s="307" t="n"/>
      <c r="K139" s="307" t="n"/>
      <c r="L139" s="307" t="n"/>
      <c r="M139" s="307" t="n"/>
      <c r="N139" s="307" t="n"/>
      <c r="O139" s="307" t="n"/>
      <c r="P139" s="307" t="n"/>
      <c r="Q139" s="307" t="n"/>
      <c r="R139" s="307" t="n"/>
      <c r="S139" s="307" t="n"/>
      <c r="T139" s="307" t="n"/>
      <c r="U139" s="307" t="n"/>
      <c r="V139" s="307" t="n"/>
      <c r="W139" s="307" t="n"/>
      <c r="X139" s="307" t="n"/>
      <c r="Y139" s="307" t="n"/>
      <c r="Z139" s="307" t="n"/>
      <c r="AA139" s="307" t="n"/>
      <c r="AB139" s="307" t="n"/>
      <c r="AC139" s="307" t="n"/>
      <c r="AD139" s="307" t="n"/>
      <c r="AE139" s="307" t="n"/>
      <c r="AF139" s="307" t="n"/>
      <c r="AG139" s="307" t="n"/>
      <c r="AH139" s="307" t="n"/>
      <c r="AI139" s="307" t="n"/>
      <c r="AJ139" s="307" t="n"/>
      <c r="AK139" s="307" t="n"/>
      <c r="AL139" s="307" t="n"/>
      <c r="AM139" s="307" t="n"/>
      <c r="AN139" s="307" t="n"/>
      <c r="AO139" s="307" t="n"/>
      <c r="AP139" s="307" t="n"/>
      <c r="AQ139" s="307" t="n"/>
      <c r="AR139" s="307" t="n"/>
      <c r="AS139" s="307" t="n"/>
      <c r="AT139" s="307" t="n"/>
    </row>
    <row r="140" ht="15.75" customHeight="1" s="349">
      <c r="A140" s="307" t="n"/>
      <c r="B140" s="307" t="n"/>
      <c r="C140" s="307" t="n"/>
      <c r="D140" s="307" t="n"/>
      <c r="E140" s="307" t="n"/>
      <c r="F140" s="307" t="n"/>
      <c r="G140" s="307" t="n"/>
      <c r="H140" s="307" t="n"/>
      <c r="I140" s="307" t="n"/>
      <c r="J140" s="307" t="n"/>
      <c r="K140" s="307" t="n"/>
      <c r="L140" s="307" t="n"/>
      <c r="M140" s="307" t="n"/>
      <c r="N140" s="307" t="n"/>
      <c r="O140" s="307" t="n"/>
      <c r="P140" s="307" t="n"/>
      <c r="Q140" s="307" t="n"/>
      <c r="R140" s="307" t="n"/>
      <c r="S140" s="307" t="n"/>
      <c r="T140" s="307" t="n"/>
      <c r="U140" s="307" t="n"/>
      <c r="V140" s="307" t="n"/>
      <c r="W140" s="307" t="n"/>
      <c r="X140" s="307" t="n"/>
      <c r="Y140" s="307" t="n"/>
      <c r="Z140" s="307" t="n"/>
      <c r="AA140" s="307" t="n"/>
      <c r="AB140" s="307" t="n"/>
      <c r="AC140" s="307" t="n"/>
      <c r="AD140" s="307" t="n"/>
      <c r="AE140" s="307" t="n"/>
      <c r="AF140" s="307" t="n"/>
      <c r="AG140" s="307" t="n"/>
      <c r="AH140" s="307" t="n"/>
      <c r="AI140" s="307" t="n"/>
      <c r="AJ140" s="307" t="n"/>
      <c r="AK140" s="307" t="n"/>
      <c r="AL140" s="307" t="n"/>
      <c r="AM140" s="307" t="n"/>
      <c r="AN140" s="307" t="n"/>
      <c r="AO140" s="307" t="n"/>
      <c r="AP140" s="307" t="n"/>
      <c r="AQ140" s="307" t="n"/>
      <c r="AR140" s="307" t="n"/>
      <c r="AS140" s="307" t="n"/>
      <c r="AT140" s="307" t="n"/>
    </row>
    <row r="141" ht="15.75" customHeight="1" s="349">
      <c r="A141" s="307" t="n"/>
      <c r="B141" s="307" t="n"/>
      <c r="C141" s="307" t="n"/>
      <c r="D141" s="307" t="n"/>
      <c r="E141" s="307" t="n"/>
      <c r="F141" s="307" t="n"/>
      <c r="G141" s="307" t="n"/>
      <c r="H141" s="307" t="n"/>
      <c r="I141" s="307" t="n"/>
      <c r="J141" s="307" t="n"/>
      <c r="K141" s="307" t="n"/>
      <c r="L141" s="307" t="n"/>
      <c r="M141" s="307" t="n"/>
      <c r="N141" s="307" t="n"/>
      <c r="O141" s="307" t="n"/>
      <c r="P141" s="307" t="n"/>
      <c r="Q141" s="307" t="n"/>
      <c r="R141" s="307" t="n"/>
      <c r="S141" s="307" t="n"/>
      <c r="T141" s="307" t="n"/>
      <c r="U141" s="307" t="n"/>
      <c r="V141" s="307" t="n"/>
      <c r="W141" s="307" t="n"/>
      <c r="X141" s="307" t="n"/>
      <c r="Y141" s="307" t="n"/>
      <c r="Z141" s="307" t="n"/>
      <c r="AA141" s="307" t="n"/>
      <c r="AB141" s="307" t="n"/>
      <c r="AC141" s="307" t="n"/>
      <c r="AD141" s="307" t="n"/>
      <c r="AE141" s="307" t="n"/>
      <c r="AF141" s="307" t="n"/>
      <c r="AG141" s="307" t="n"/>
      <c r="AH141" s="307" t="n"/>
      <c r="AI141" s="307" t="n"/>
      <c r="AJ141" s="307" t="n"/>
      <c r="AK141" s="307" t="n"/>
      <c r="AL141" s="307" t="n"/>
      <c r="AM141" s="307" t="n"/>
      <c r="AN141" s="307" t="n"/>
      <c r="AO141" s="307" t="n"/>
      <c r="AP141" s="307" t="n"/>
      <c r="AQ141" s="307" t="n"/>
      <c r="AR141" s="307" t="n"/>
      <c r="AS141" s="307" t="n"/>
      <c r="AT141" s="307" t="n"/>
    </row>
    <row r="142" ht="15.75" customHeight="1" s="349">
      <c r="A142" s="307" t="n"/>
      <c r="B142" s="307" t="n"/>
      <c r="C142" s="307" t="n"/>
      <c r="D142" s="307" t="n"/>
      <c r="E142" s="307" t="n"/>
      <c r="F142" s="307" t="n"/>
      <c r="G142" s="307" t="n"/>
      <c r="H142" s="307" t="n"/>
      <c r="I142" s="307" t="n"/>
      <c r="J142" s="307" t="n"/>
      <c r="K142" s="307" t="n"/>
      <c r="L142" s="307" t="n"/>
      <c r="M142" s="307" t="n"/>
      <c r="N142" s="307" t="n"/>
      <c r="O142" s="307" t="n"/>
      <c r="P142" s="307" t="n"/>
      <c r="Q142" s="307" t="n"/>
      <c r="R142" s="307" t="n"/>
      <c r="S142" s="307" t="n"/>
      <c r="T142" s="307" t="n"/>
      <c r="U142" s="307" t="n"/>
      <c r="V142" s="307" t="n"/>
      <c r="W142" s="307" t="n"/>
      <c r="X142" s="307" t="n"/>
      <c r="Y142" s="307" t="n"/>
      <c r="Z142" s="307" t="n"/>
      <c r="AA142" s="307" t="n"/>
      <c r="AB142" s="307" t="n"/>
      <c r="AC142" s="307" t="n"/>
      <c r="AD142" s="307" t="n"/>
      <c r="AE142" s="307" t="n"/>
      <c r="AF142" s="307" t="n"/>
      <c r="AG142" s="307" t="n"/>
      <c r="AH142" s="307" t="n"/>
      <c r="AI142" s="307" t="n"/>
      <c r="AJ142" s="307" t="n"/>
      <c r="AK142" s="307" t="n"/>
      <c r="AL142" s="307" t="n"/>
      <c r="AM142" s="307" t="n"/>
      <c r="AN142" s="307" t="n"/>
      <c r="AO142" s="307" t="n"/>
      <c r="AP142" s="307" t="n"/>
      <c r="AQ142" s="307" t="n"/>
      <c r="AR142" s="307" t="n"/>
      <c r="AS142" s="307" t="n"/>
      <c r="AT142" s="307" t="n"/>
    </row>
    <row r="143" ht="15.75" customHeight="1" s="349">
      <c r="A143" s="307" t="n"/>
      <c r="B143" s="307" t="n"/>
      <c r="C143" s="307" t="n"/>
      <c r="D143" s="307" t="n"/>
      <c r="E143" s="307" t="n"/>
      <c r="F143" s="307" t="n"/>
      <c r="G143" s="307" t="n"/>
      <c r="H143" s="307" t="n"/>
      <c r="I143" s="307" t="n"/>
      <c r="J143" s="307" t="n"/>
      <c r="K143" s="307" t="n"/>
      <c r="L143" s="307" t="n"/>
      <c r="M143" s="307" t="n"/>
      <c r="N143" s="307" t="n"/>
      <c r="O143" s="307" t="n"/>
      <c r="P143" s="307" t="n"/>
      <c r="Q143" s="307" t="n"/>
      <c r="R143" s="307" t="n"/>
      <c r="S143" s="307" t="n"/>
      <c r="T143" s="307" t="n"/>
      <c r="U143" s="307" t="n"/>
      <c r="V143" s="307" t="n"/>
      <c r="W143" s="307" t="n"/>
      <c r="X143" s="307" t="n"/>
      <c r="Y143" s="307" t="n"/>
      <c r="Z143" s="307" t="n"/>
      <c r="AA143" s="307" t="n"/>
      <c r="AB143" s="307" t="n"/>
      <c r="AC143" s="307" t="n"/>
      <c r="AD143" s="307" t="n"/>
      <c r="AE143" s="307" t="n"/>
      <c r="AF143" s="307" t="n"/>
      <c r="AG143" s="307" t="n"/>
      <c r="AH143" s="307" t="n"/>
      <c r="AI143" s="307" t="n"/>
      <c r="AJ143" s="307" t="n"/>
      <c r="AK143" s="307" t="n"/>
      <c r="AL143" s="307" t="n"/>
      <c r="AM143" s="307" t="n"/>
      <c r="AN143" s="307" t="n"/>
      <c r="AO143" s="307" t="n"/>
      <c r="AP143" s="307" t="n"/>
      <c r="AQ143" s="307" t="n"/>
      <c r="AR143" s="307" t="n"/>
      <c r="AS143" s="307" t="n"/>
      <c r="AT143" s="307" t="n"/>
    </row>
    <row r="144" ht="15.75" customHeight="1" s="349">
      <c r="A144" s="307" t="n"/>
      <c r="B144" s="307" t="n"/>
      <c r="C144" s="307" t="n"/>
      <c r="D144" s="307" t="n"/>
      <c r="E144" s="307" t="n"/>
      <c r="F144" s="307" t="n"/>
      <c r="G144" s="307" t="n"/>
      <c r="H144" s="307" t="n"/>
      <c r="I144" s="307" t="n"/>
      <c r="J144" s="307" t="n"/>
      <c r="K144" s="307" t="n"/>
      <c r="L144" s="307" t="n"/>
      <c r="M144" s="307" t="n"/>
      <c r="N144" s="307" t="n"/>
      <c r="O144" s="307" t="n"/>
      <c r="P144" s="307" t="n"/>
      <c r="Q144" s="307" t="n"/>
      <c r="R144" s="307" t="n"/>
      <c r="S144" s="307" t="n"/>
      <c r="T144" s="307" t="n"/>
      <c r="U144" s="307" t="n"/>
      <c r="V144" s="307" t="n"/>
      <c r="W144" s="307" t="n"/>
      <c r="X144" s="307" t="n"/>
      <c r="Y144" s="307" t="n"/>
      <c r="Z144" s="307" t="n"/>
      <c r="AA144" s="307" t="n"/>
      <c r="AB144" s="307" t="n"/>
      <c r="AC144" s="307" t="n"/>
      <c r="AD144" s="307" t="n"/>
      <c r="AE144" s="307" t="n"/>
      <c r="AF144" s="307" t="n"/>
      <c r="AG144" s="307" t="n"/>
      <c r="AH144" s="307" t="n"/>
      <c r="AI144" s="307" t="n"/>
      <c r="AJ144" s="307" t="n"/>
      <c r="AK144" s="307" t="n"/>
      <c r="AL144" s="307" t="n"/>
      <c r="AM144" s="307" t="n"/>
      <c r="AN144" s="307" t="n"/>
      <c r="AO144" s="307" t="n"/>
      <c r="AP144" s="307" t="n"/>
      <c r="AQ144" s="307" t="n"/>
      <c r="AR144" s="307" t="n"/>
      <c r="AS144" s="307" t="n"/>
      <c r="AT144" s="307" t="n"/>
    </row>
    <row r="145" ht="15.75" customHeight="1" s="349">
      <c r="A145" s="307" t="n"/>
      <c r="B145" s="307" t="n"/>
      <c r="C145" s="307" t="n"/>
      <c r="D145" s="307" t="n"/>
      <c r="E145" s="307" t="n"/>
      <c r="F145" s="307" t="n"/>
      <c r="G145" s="307" t="n"/>
      <c r="H145" s="307" t="n"/>
      <c r="I145" s="307" t="n"/>
      <c r="J145" s="307" t="n"/>
      <c r="K145" s="307" t="n"/>
      <c r="L145" s="307" t="n"/>
      <c r="M145" s="307" t="n"/>
      <c r="N145" s="307" t="n"/>
      <c r="O145" s="307" t="n"/>
      <c r="P145" s="307" t="n"/>
      <c r="Q145" s="307" t="n"/>
      <c r="R145" s="307" t="n"/>
      <c r="S145" s="307" t="n"/>
      <c r="T145" s="307" t="n"/>
      <c r="U145" s="307" t="n"/>
      <c r="V145" s="307" t="n"/>
      <c r="W145" s="307" t="n"/>
      <c r="X145" s="307" t="n"/>
      <c r="Y145" s="307" t="n"/>
      <c r="Z145" s="307" t="n"/>
      <c r="AA145" s="307" t="n"/>
      <c r="AB145" s="307" t="n"/>
      <c r="AC145" s="307" t="n"/>
      <c r="AD145" s="307" t="n"/>
      <c r="AE145" s="307" t="n"/>
      <c r="AF145" s="307" t="n"/>
      <c r="AG145" s="307" t="n"/>
      <c r="AH145" s="307" t="n"/>
      <c r="AI145" s="307" t="n"/>
      <c r="AJ145" s="307" t="n"/>
      <c r="AK145" s="307" t="n"/>
      <c r="AL145" s="307" t="n"/>
      <c r="AM145" s="307" t="n"/>
      <c r="AN145" s="307" t="n"/>
      <c r="AO145" s="307" t="n"/>
      <c r="AP145" s="307" t="n"/>
      <c r="AQ145" s="307" t="n"/>
      <c r="AR145" s="307" t="n"/>
      <c r="AS145" s="307" t="n"/>
      <c r="AT145" s="307" t="n"/>
    </row>
    <row r="146" ht="15.75" customHeight="1" s="349">
      <c r="A146" s="307" t="n"/>
      <c r="B146" s="307" t="n"/>
      <c r="C146" s="307" t="n"/>
      <c r="D146" s="307" t="n"/>
      <c r="E146" s="307" t="n"/>
      <c r="F146" s="307" t="n"/>
      <c r="G146" s="307" t="n"/>
      <c r="H146" s="307" t="n"/>
      <c r="I146" s="307" t="n"/>
      <c r="J146" s="307" t="n"/>
      <c r="K146" s="307" t="n"/>
      <c r="L146" s="307" t="n"/>
      <c r="M146" s="307" t="n"/>
      <c r="N146" s="307" t="n"/>
      <c r="O146" s="307" t="n"/>
      <c r="P146" s="307" t="n"/>
      <c r="Q146" s="307" t="n"/>
      <c r="R146" s="307" t="n"/>
      <c r="S146" s="307" t="n"/>
      <c r="T146" s="307" t="n"/>
      <c r="U146" s="307" t="n"/>
      <c r="V146" s="307" t="n"/>
      <c r="W146" s="307" t="n"/>
      <c r="X146" s="307" t="n"/>
      <c r="Y146" s="307" t="n"/>
      <c r="Z146" s="307" t="n"/>
      <c r="AA146" s="307" t="n"/>
      <c r="AB146" s="307" t="n"/>
      <c r="AC146" s="307" t="n"/>
      <c r="AD146" s="307" t="n"/>
      <c r="AE146" s="307" t="n"/>
      <c r="AF146" s="307" t="n"/>
      <c r="AG146" s="307" t="n"/>
      <c r="AH146" s="307" t="n"/>
      <c r="AI146" s="307" t="n"/>
      <c r="AJ146" s="307" t="n"/>
      <c r="AK146" s="307" t="n"/>
      <c r="AL146" s="307" t="n"/>
      <c r="AM146" s="307" t="n"/>
      <c r="AN146" s="307" t="n"/>
      <c r="AO146" s="307" t="n"/>
      <c r="AP146" s="307" t="n"/>
      <c r="AQ146" s="307" t="n"/>
      <c r="AR146" s="307" t="n"/>
      <c r="AS146" s="307" t="n"/>
      <c r="AT146" s="307" t="n"/>
    </row>
    <row r="147" ht="15.75" customHeight="1" s="349">
      <c r="A147" s="307" t="n"/>
      <c r="B147" s="307" t="n"/>
      <c r="C147" s="307" t="n"/>
      <c r="D147" s="307" t="n"/>
      <c r="E147" s="307" t="n"/>
      <c r="F147" s="307" t="n"/>
      <c r="G147" s="307" t="n"/>
      <c r="H147" s="307" t="n"/>
      <c r="I147" s="307" t="n"/>
      <c r="J147" s="307" t="n"/>
      <c r="K147" s="307" t="n"/>
      <c r="L147" s="307" t="n"/>
      <c r="M147" s="307" t="n"/>
      <c r="N147" s="307" t="n"/>
      <c r="O147" s="307" t="n"/>
      <c r="P147" s="307" t="n"/>
      <c r="Q147" s="307" t="n"/>
      <c r="R147" s="307" t="n"/>
      <c r="S147" s="307" t="n"/>
      <c r="T147" s="307" t="n"/>
      <c r="U147" s="307" t="n"/>
      <c r="V147" s="307" t="n"/>
      <c r="W147" s="307" t="n"/>
      <c r="X147" s="307" t="n"/>
      <c r="Y147" s="307" t="n"/>
      <c r="Z147" s="307" t="n"/>
      <c r="AA147" s="307" t="n"/>
      <c r="AB147" s="307" t="n"/>
      <c r="AC147" s="307" t="n"/>
      <c r="AD147" s="307" t="n"/>
      <c r="AE147" s="307" t="n"/>
      <c r="AF147" s="307" t="n"/>
      <c r="AG147" s="307" t="n"/>
      <c r="AH147" s="307" t="n"/>
      <c r="AI147" s="307" t="n"/>
      <c r="AJ147" s="307" t="n"/>
      <c r="AK147" s="307" t="n"/>
      <c r="AL147" s="307" t="n"/>
      <c r="AM147" s="307" t="n"/>
      <c r="AN147" s="307" t="n"/>
      <c r="AO147" s="307" t="n"/>
      <c r="AP147" s="307" t="n"/>
      <c r="AQ147" s="307" t="n"/>
      <c r="AR147" s="307" t="n"/>
      <c r="AS147" s="307" t="n"/>
      <c r="AT147" s="307" t="n"/>
    </row>
    <row r="148" ht="15.75" customHeight="1" s="349">
      <c r="A148" s="307" t="n"/>
      <c r="B148" s="307" t="n"/>
      <c r="C148" s="307" t="n"/>
      <c r="D148" s="307" t="n"/>
      <c r="E148" s="307" t="n"/>
      <c r="F148" s="307" t="n"/>
      <c r="G148" s="307" t="n"/>
      <c r="H148" s="307" t="n"/>
      <c r="I148" s="307" t="n"/>
      <c r="J148" s="307" t="n"/>
      <c r="K148" s="307" t="n"/>
      <c r="L148" s="307" t="n"/>
      <c r="M148" s="307" t="n"/>
      <c r="N148" s="307" t="n"/>
      <c r="O148" s="307" t="n"/>
      <c r="P148" s="307" t="n"/>
      <c r="Q148" s="307" t="n"/>
      <c r="R148" s="307" t="n"/>
      <c r="S148" s="307" t="n"/>
      <c r="T148" s="307" t="n"/>
      <c r="U148" s="307" t="n"/>
      <c r="V148" s="307" t="n"/>
      <c r="W148" s="307" t="n"/>
      <c r="X148" s="307" t="n"/>
      <c r="Y148" s="307" t="n"/>
      <c r="Z148" s="307" t="n"/>
      <c r="AA148" s="307" t="n"/>
      <c r="AB148" s="307" t="n"/>
      <c r="AC148" s="307" t="n"/>
      <c r="AD148" s="307" t="n"/>
      <c r="AE148" s="307" t="n"/>
      <c r="AF148" s="307" t="n"/>
      <c r="AG148" s="307" t="n"/>
      <c r="AH148" s="307" t="n"/>
      <c r="AI148" s="307" t="n"/>
      <c r="AJ148" s="307" t="n"/>
      <c r="AK148" s="307" t="n"/>
      <c r="AL148" s="307" t="n"/>
      <c r="AM148" s="307" t="n"/>
      <c r="AN148" s="307" t="n"/>
      <c r="AO148" s="307" t="n"/>
      <c r="AP148" s="307" t="n"/>
      <c r="AQ148" s="307" t="n"/>
      <c r="AR148" s="307" t="n"/>
      <c r="AS148" s="307" t="n"/>
      <c r="AT148" s="307" t="n"/>
    </row>
    <row r="149" ht="15.75" customHeight="1" s="349">
      <c r="A149" s="307" t="n"/>
      <c r="B149" s="307" t="n"/>
      <c r="C149" s="307" t="n"/>
      <c r="D149" s="307" t="n"/>
      <c r="E149" s="307" t="n"/>
      <c r="F149" s="307" t="n"/>
      <c r="G149" s="307" t="n"/>
      <c r="H149" s="307" t="n"/>
      <c r="I149" s="307" t="n"/>
      <c r="J149" s="307" t="n"/>
      <c r="K149" s="307" t="n"/>
      <c r="L149" s="307" t="n"/>
      <c r="M149" s="307" t="n"/>
      <c r="N149" s="307" t="n"/>
      <c r="O149" s="307" t="n"/>
      <c r="P149" s="307" t="n"/>
      <c r="Q149" s="307" t="n"/>
      <c r="R149" s="307" t="n"/>
      <c r="S149" s="307" t="n"/>
      <c r="T149" s="307" t="n"/>
      <c r="U149" s="307" t="n"/>
      <c r="V149" s="307" t="n"/>
      <c r="W149" s="307" t="n"/>
      <c r="X149" s="307" t="n"/>
      <c r="Y149" s="307" t="n"/>
      <c r="Z149" s="307" t="n"/>
      <c r="AA149" s="307" t="n"/>
      <c r="AB149" s="307" t="n"/>
      <c r="AC149" s="307" t="n"/>
      <c r="AD149" s="307" t="n"/>
      <c r="AE149" s="307" t="n"/>
      <c r="AF149" s="307" t="n"/>
      <c r="AG149" s="307" t="n"/>
      <c r="AH149" s="307" t="n"/>
      <c r="AI149" s="307" t="n"/>
      <c r="AJ149" s="307" t="n"/>
      <c r="AK149" s="307" t="n"/>
      <c r="AL149" s="307" t="n"/>
      <c r="AM149" s="307" t="n"/>
      <c r="AN149" s="307" t="n"/>
      <c r="AO149" s="307" t="n"/>
      <c r="AP149" s="307" t="n"/>
      <c r="AQ149" s="307" t="n"/>
      <c r="AR149" s="307" t="n"/>
      <c r="AS149" s="307" t="n"/>
      <c r="AT149" s="307" t="n"/>
    </row>
    <row r="150" ht="15.75" customHeight="1" s="349">
      <c r="A150" s="307" t="n"/>
      <c r="B150" s="307" t="n"/>
      <c r="C150" s="307" t="n"/>
      <c r="D150" s="307" t="n"/>
      <c r="E150" s="307" t="n"/>
      <c r="F150" s="307" t="n"/>
      <c r="G150" s="307" t="n"/>
      <c r="H150" s="307" t="n"/>
      <c r="I150" s="307" t="n"/>
      <c r="J150" s="307" t="n"/>
      <c r="K150" s="307" t="n"/>
      <c r="L150" s="307" t="n"/>
      <c r="M150" s="307" t="n"/>
      <c r="N150" s="307" t="n"/>
      <c r="O150" s="307" t="n"/>
      <c r="P150" s="307" t="n"/>
      <c r="Q150" s="307" t="n"/>
      <c r="R150" s="307" t="n"/>
      <c r="S150" s="307" t="n"/>
      <c r="T150" s="307" t="n"/>
      <c r="U150" s="307" t="n"/>
      <c r="V150" s="307" t="n"/>
      <c r="W150" s="307" t="n"/>
      <c r="X150" s="307" t="n"/>
      <c r="Y150" s="307" t="n"/>
      <c r="Z150" s="307" t="n"/>
      <c r="AA150" s="307" t="n"/>
      <c r="AB150" s="307" t="n"/>
      <c r="AC150" s="307" t="n"/>
      <c r="AD150" s="307" t="n"/>
      <c r="AE150" s="307" t="n"/>
      <c r="AF150" s="307" t="n"/>
      <c r="AG150" s="307" t="n"/>
      <c r="AH150" s="307" t="n"/>
      <c r="AI150" s="307" t="n"/>
      <c r="AJ150" s="307" t="n"/>
      <c r="AK150" s="307" t="n"/>
      <c r="AL150" s="307" t="n"/>
      <c r="AM150" s="307" t="n"/>
      <c r="AN150" s="307" t="n"/>
      <c r="AO150" s="307" t="n"/>
      <c r="AP150" s="307" t="n"/>
      <c r="AQ150" s="307" t="n"/>
      <c r="AR150" s="307" t="n"/>
      <c r="AS150" s="307" t="n"/>
      <c r="AT150" s="307" t="n"/>
    </row>
    <row r="151" ht="15.75" customHeight="1" s="349">
      <c r="A151" s="307" t="n"/>
      <c r="B151" s="307" t="n"/>
      <c r="C151" s="307" t="n"/>
      <c r="D151" s="307" t="n"/>
      <c r="E151" s="307" t="n"/>
      <c r="F151" s="307" t="n"/>
      <c r="G151" s="307" t="n"/>
      <c r="H151" s="307" t="n"/>
      <c r="I151" s="307" t="n"/>
      <c r="J151" s="307" t="n"/>
      <c r="K151" s="307" t="n"/>
      <c r="L151" s="307" t="n"/>
      <c r="M151" s="307" t="n"/>
      <c r="N151" s="307" t="n"/>
      <c r="O151" s="307" t="n"/>
      <c r="P151" s="307" t="n"/>
      <c r="Q151" s="307" t="n"/>
      <c r="R151" s="307" t="n"/>
      <c r="S151" s="307" t="n"/>
      <c r="T151" s="307" t="n"/>
      <c r="U151" s="307" t="n"/>
      <c r="V151" s="307" t="n"/>
      <c r="W151" s="307" t="n"/>
      <c r="X151" s="307" t="n"/>
      <c r="Y151" s="307" t="n"/>
      <c r="Z151" s="307" t="n"/>
      <c r="AA151" s="307" t="n"/>
      <c r="AB151" s="307" t="n"/>
      <c r="AC151" s="307" t="n"/>
      <c r="AD151" s="307" t="n"/>
      <c r="AE151" s="307" t="n"/>
      <c r="AF151" s="307" t="n"/>
      <c r="AG151" s="307" t="n"/>
      <c r="AH151" s="307" t="n"/>
      <c r="AI151" s="307" t="n"/>
      <c r="AJ151" s="307" t="n"/>
      <c r="AK151" s="307" t="n"/>
      <c r="AL151" s="307" t="n"/>
      <c r="AM151" s="307" t="n"/>
      <c r="AN151" s="307" t="n"/>
      <c r="AO151" s="307" t="n"/>
      <c r="AP151" s="307" t="n"/>
      <c r="AQ151" s="307" t="n"/>
      <c r="AR151" s="307" t="n"/>
      <c r="AS151" s="307" t="n"/>
      <c r="AT151" s="307" t="n"/>
    </row>
    <row r="152" ht="15.75" customHeight="1" s="349">
      <c r="A152" s="307" t="n"/>
      <c r="B152" s="307" t="n"/>
      <c r="C152" s="307" t="n"/>
      <c r="D152" s="307" t="n"/>
      <c r="E152" s="307" t="n"/>
      <c r="F152" s="307" t="n"/>
      <c r="G152" s="307" t="n"/>
      <c r="H152" s="307" t="n"/>
      <c r="I152" s="307" t="n"/>
      <c r="J152" s="307" t="n"/>
      <c r="K152" s="307" t="n"/>
      <c r="L152" s="307" t="n"/>
      <c r="M152" s="307" t="n"/>
      <c r="N152" s="307" t="n"/>
      <c r="O152" s="307" t="n"/>
      <c r="P152" s="307" t="n"/>
      <c r="Q152" s="307" t="n"/>
      <c r="R152" s="307" t="n"/>
      <c r="S152" s="307" t="n"/>
      <c r="T152" s="307" t="n"/>
      <c r="U152" s="307" t="n"/>
      <c r="V152" s="307" t="n"/>
      <c r="W152" s="307" t="n"/>
      <c r="X152" s="307" t="n"/>
      <c r="Y152" s="307" t="n"/>
      <c r="Z152" s="307" t="n"/>
      <c r="AA152" s="307" t="n"/>
      <c r="AB152" s="307" t="n"/>
      <c r="AC152" s="307" t="n"/>
      <c r="AD152" s="307" t="n"/>
      <c r="AE152" s="307" t="n"/>
      <c r="AF152" s="307" t="n"/>
      <c r="AG152" s="307" t="n"/>
      <c r="AH152" s="307" t="n"/>
      <c r="AI152" s="307" t="n"/>
      <c r="AJ152" s="307" t="n"/>
      <c r="AK152" s="307" t="n"/>
      <c r="AL152" s="307" t="n"/>
      <c r="AM152" s="307" t="n"/>
      <c r="AN152" s="307" t="n"/>
      <c r="AO152" s="307" t="n"/>
      <c r="AP152" s="307" t="n"/>
      <c r="AQ152" s="307" t="n"/>
      <c r="AR152" s="307" t="n"/>
      <c r="AS152" s="307" t="n"/>
      <c r="AT152" s="307" t="n"/>
    </row>
    <row r="153" ht="15.75" customHeight="1" s="349">
      <c r="A153" s="307" t="n"/>
      <c r="B153" s="307" t="n"/>
      <c r="C153" s="307" t="n"/>
      <c r="D153" s="307" t="n"/>
      <c r="E153" s="307" t="n"/>
      <c r="F153" s="307" t="n"/>
      <c r="G153" s="307" t="n"/>
      <c r="H153" s="307" t="n"/>
      <c r="I153" s="307" t="n"/>
      <c r="J153" s="307" t="n"/>
      <c r="K153" s="307" t="n"/>
      <c r="L153" s="307" t="n"/>
      <c r="M153" s="307" t="n"/>
      <c r="N153" s="307" t="n"/>
      <c r="O153" s="307" t="n"/>
      <c r="P153" s="307" t="n"/>
      <c r="Q153" s="307" t="n"/>
      <c r="R153" s="307" t="n"/>
      <c r="S153" s="307" t="n"/>
      <c r="T153" s="307" t="n"/>
      <c r="U153" s="307" t="n"/>
      <c r="V153" s="307" t="n"/>
      <c r="W153" s="307" t="n"/>
      <c r="X153" s="307" t="n"/>
      <c r="Y153" s="307" t="n"/>
      <c r="Z153" s="307" t="n"/>
      <c r="AA153" s="307" t="n"/>
      <c r="AB153" s="307" t="n"/>
      <c r="AC153" s="307" t="n"/>
      <c r="AD153" s="307" t="n"/>
      <c r="AE153" s="307" t="n"/>
      <c r="AF153" s="307" t="n"/>
      <c r="AG153" s="307" t="n"/>
      <c r="AH153" s="307" t="n"/>
      <c r="AI153" s="307" t="n"/>
      <c r="AJ153" s="307" t="n"/>
      <c r="AK153" s="307" t="n"/>
      <c r="AL153" s="307" t="n"/>
      <c r="AM153" s="307" t="n"/>
      <c r="AN153" s="307" t="n"/>
      <c r="AO153" s="307" t="n"/>
      <c r="AP153" s="307" t="n"/>
      <c r="AQ153" s="307" t="n"/>
      <c r="AR153" s="307" t="n"/>
      <c r="AS153" s="307" t="n"/>
      <c r="AT153" s="307" t="n"/>
    </row>
    <row r="154" ht="15.75" customHeight="1" s="349">
      <c r="A154" s="307" t="n"/>
      <c r="B154" s="307" t="n"/>
      <c r="C154" s="307" t="n"/>
      <c r="D154" s="307" t="n"/>
      <c r="E154" s="307" t="n"/>
      <c r="F154" s="307" t="n"/>
      <c r="G154" s="307" t="n"/>
      <c r="H154" s="307" t="n"/>
      <c r="I154" s="307" t="n"/>
      <c r="J154" s="307" t="n"/>
      <c r="K154" s="307" t="n"/>
      <c r="L154" s="307" t="n"/>
      <c r="M154" s="307" t="n"/>
      <c r="N154" s="307" t="n"/>
      <c r="O154" s="307" t="n"/>
      <c r="P154" s="307" t="n"/>
      <c r="Q154" s="307" t="n"/>
      <c r="R154" s="307" t="n"/>
      <c r="S154" s="307" t="n"/>
      <c r="T154" s="307" t="n"/>
      <c r="U154" s="307" t="n"/>
      <c r="V154" s="307" t="n"/>
      <c r="W154" s="307" t="n"/>
      <c r="X154" s="307" t="n"/>
      <c r="Y154" s="307" t="n"/>
      <c r="Z154" s="307" t="n"/>
      <c r="AA154" s="307" t="n"/>
      <c r="AB154" s="307" t="n"/>
      <c r="AC154" s="307" t="n"/>
      <c r="AD154" s="307" t="n"/>
      <c r="AE154" s="307" t="n"/>
      <c r="AF154" s="307" t="n"/>
      <c r="AG154" s="307" t="n"/>
      <c r="AH154" s="307" t="n"/>
      <c r="AI154" s="307" t="n"/>
      <c r="AJ154" s="307" t="n"/>
      <c r="AK154" s="307" t="n"/>
      <c r="AL154" s="307" t="n"/>
      <c r="AM154" s="307" t="n"/>
      <c r="AN154" s="307" t="n"/>
      <c r="AO154" s="307" t="n"/>
      <c r="AP154" s="307" t="n"/>
      <c r="AQ154" s="307" t="n"/>
      <c r="AR154" s="307" t="n"/>
      <c r="AS154" s="307" t="n"/>
      <c r="AT154" s="307" t="n"/>
    </row>
    <row r="155" ht="15.75" customHeight="1" s="349">
      <c r="A155" s="307" t="n"/>
      <c r="B155" s="307" t="n"/>
      <c r="C155" s="307" t="n"/>
      <c r="D155" s="307" t="n"/>
      <c r="E155" s="307" t="n"/>
      <c r="F155" s="307" t="n"/>
      <c r="G155" s="307" t="n"/>
      <c r="H155" s="307" t="n"/>
      <c r="I155" s="307" t="n"/>
      <c r="J155" s="307" t="n"/>
      <c r="K155" s="307" t="n"/>
      <c r="L155" s="307" t="n"/>
      <c r="M155" s="307" t="n"/>
      <c r="N155" s="307" t="n"/>
      <c r="O155" s="307" t="n"/>
      <c r="P155" s="307" t="n"/>
      <c r="Q155" s="307" t="n"/>
      <c r="R155" s="307" t="n"/>
      <c r="S155" s="307" t="n"/>
      <c r="T155" s="307" t="n"/>
      <c r="U155" s="307" t="n"/>
      <c r="V155" s="307" t="n"/>
      <c r="W155" s="307" t="n"/>
      <c r="X155" s="307" t="n"/>
      <c r="Y155" s="307" t="n"/>
      <c r="Z155" s="307" t="n"/>
      <c r="AA155" s="307" t="n"/>
      <c r="AB155" s="307" t="n"/>
      <c r="AC155" s="307" t="n"/>
      <c r="AD155" s="307" t="n"/>
      <c r="AE155" s="307" t="n"/>
      <c r="AF155" s="307" t="n"/>
      <c r="AG155" s="307" t="n"/>
      <c r="AH155" s="307" t="n"/>
      <c r="AI155" s="307" t="n"/>
      <c r="AJ155" s="307" t="n"/>
      <c r="AK155" s="307" t="n"/>
      <c r="AL155" s="307" t="n"/>
      <c r="AM155" s="307" t="n"/>
      <c r="AN155" s="307" t="n"/>
      <c r="AO155" s="307" t="n"/>
      <c r="AP155" s="307" t="n"/>
      <c r="AQ155" s="307" t="n"/>
      <c r="AR155" s="307" t="n"/>
      <c r="AS155" s="307" t="n"/>
      <c r="AT155" s="307" t="n"/>
    </row>
    <row r="156" ht="15.75" customHeight="1" s="349">
      <c r="A156" s="307" t="n"/>
      <c r="B156" s="307" t="n"/>
      <c r="C156" s="307" t="n"/>
      <c r="D156" s="307" t="n"/>
      <c r="E156" s="307" t="n"/>
      <c r="F156" s="307" t="n"/>
      <c r="G156" s="307" t="n"/>
      <c r="H156" s="307" t="n"/>
      <c r="I156" s="307" t="n"/>
      <c r="J156" s="307" t="n"/>
      <c r="K156" s="307" t="n"/>
      <c r="L156" s="307" t="n"/>
      <c r="M156" s="307" t="n"/>
      <c r="N156" s="307" t="n"/>
      <c r="O156" s="307" t="n"/>
      <c r="P156" s="307" t="n"/>
      <c r="Q156" s="307" t="n"/>
      <c r="R156" s="307" t="n"/>
      <c r="S156" s="307" t="n"/>
      <c r="T156" s="307" t="n"/>
      <c r="U156" s="307" t="n"/>
      <c r="V156" s="307" t="n"/>
      <c r="W156" s="307" t="n"/>
      <c r="X156" s="307" t="n"/>
      <c r="Y156" s="307" t="n"/>
      <c r="Z156" s="307" t="n"/>
      <c r="AA156" s="307" t="n"/>
      <c r="AB156" s="307" t="n"/>
      <c r="AC156" s="307" t="n"/>
      <c r="AD156" s="307" t="n"/>
      <c r="AE156" s="307" t="n"/>
      <c r="AF156" s="307" t="n"/>
      <c r="AG156" s="307" t="n"/>
      <c r="AH156" s="307" t="n"/>
      <c r="AI156" s="307" t="n"/>
      <c r="AJ156" s="307" t="n"/>
      <c r="AK156" s="307" t="n"/>
      <c r="AL156" s="307" t="n"/>
      <c r="AM156" s="307" t="n"/>
      <c r="AN156" s="307" t="n"/>
      <c r="AO156" s="307" t="n"/>
      <c r="AP156" s="307" t="n"/>
      <c r="AQ156" s="307" t="n"/>
      <c r="AR156" s="307" t="n"/>
      <c r="AS156" s="307" t="n"/>
      <c r="AT156" s="307" t="n"/>
    </row>
    <row r="157" ht="15.75" customHeight="1" s="349">
      <c r="A157" s="307" t="n"/>
      <c r="B157" s="307" t="n"/>
      <c r="C157" s="307" t="n"/>
      <c r="D157" s="307" t="n"/>
      <c r="E157" s="307" t="n"/>
      <c r="F157" s="307" t="n"/>
      <c r="G157" s="307" t="n"/>
      <c r="H157" s="307" t="n"/>
      <c r="I157" s="307" t="n"/>
      <c r="J157" s="307" t="n"/>
      <c r="K157" s="307" t="n"/>
      <c r="L157" s="307" t="n"/>
      <c r="M157" s="307" t="n"/>
      <c r="N157" s="307" t="n"/>
      <c r="O157" s="307" t="n"/>
      <c r="P157" s="307" t="n"/>
      <c r="Q157" s="307" t="n"/>
      <c r="R157" s="307" t="n"/>
      <c r="S157" s="307" t="n"/>
      <c r="T157" s="307" t="n"/>
      <c r="U157" s="307" t="n"/>
      <c r="V157" s="307" t="n"/>
      <c r="W157" s="307" t="n"/>
      <c r="X157" s="307" t="n"/>
      <c r="Y157" s="307" t="n"/>
      <c r="Z157" s="307" t="n"/>
      <c r="AA157" s="307" t="n"/>
      <c r="AB157" s="307" t="n"/>
      <c r="AC157" s="307" t="n"/>
      <c r="AD157" s="307" t="n"/>
      <c r="AE157" s="307" t="n"/>
      <c r="AF157" s="307" t="n"/>
      <c r="AG157" s="307" t="n"/>
      <c r="AH157" s="307" t="n"/>
      <c r="AI157" s="307" t="n"/>
      <c r="AJ157" s="307" t="n"/>
      <c r="AK157" s="307" t="n"/>
      <c r="AL157" s="307" t="n"/>
      <c r="AM157" s="307" t="n"/>
      <c r="AN157" s="307" t="n"/>
      <c r="AO157" s="307" t="n"/>
      <c r="AP157" s="307" t="n"/>
      <c r="AQ157" s="307" t="n"/>
      <c r="AR157" s="307" t="n"/>
      <c r="AS157" s="307" t="n"/>
      <c r="AT157" s="307" t="n"/>
    </row>
    <row r="158" ht="15.75" customHeight="1" s="349">
      <c r="A158" s="307" t="n"/>
      <c r="B158" s="307" t="n"/>
      <c r="C158" s="307" t="n"/>
      <c r="D158" s="307" t="n"/>
      <c r="E158" s="307" t="n"/>
      <c r="F158" s="307" t="n"/>
      <c r="G158" s="307" t="n"/>
      <c r="H158" s="307" t="n"/>
      <c r="I158" s="307" t="n"/>
      <c r="J158" s="307" t="n"/>
      <c r="K158" s="307" t="n"/>
      <c r="L158" s="307" t="n"/>
      <c r="M158" s="307" t="n"/>
      <c r="N158" s="307" t="n"/>
      <c r="O158" s="307" t="n"/>
      <c r="P158" s="307" t="n"/>
      <c r="Q158" s="307" t="n"/>
      <c r="R158" s="307" t="n"/>
      <c r="S158" s="307" t="n"/>
      <c r="T158" s="307" t="n"/>
      <c r="U158" s="307" t="n"/>
      <c r="V158" s="307" t="n"/>
      <c r="W158" s="307" t="n"/>
      <c r="X158" s="307" t="n"/>
      <c r="Y158" s="307" t="n"/>
      <c r="Z158" s="307" t="n"/>
      <c r="AA158" s="307" t="n"/>
      <c r="AB158" s="307" t="n"/>
      <c r="AC158" s="307" t="n"/>
      <c r="AD158" s="307" t="n"/>
      <c r="AE158" s="307" t="n"/>
      <c r="AF158" s="307" t="n"/>
      <c r="AG158" s="307" t="n"/>
      <c r="AH158" s="307" t="n"/>
      <c r="AI158" s="307" t="n"/>
      <c r="AJ158" s="307" t="n"/>
      <c r="AK158" s="307" t="n"/>
      <c r="AL158" s="307" t="n"/>
      <c r="AM158" s="307" t="n"/>
      <c r="AN158" s="307" t="n"/>
      <c r="AO158" s="307" t="n"/>
      <c r="AP158" s="307" t="n"/>
      <c r="AQ158" s="307" t="n"/>
      <c r="AR158" s="307" t="n"/>
      <c r="AS158" s="307" t="n"/>
      <c r="AT158" s="307" t="n"/>
    </row>
    <row r="159" ht="15.75" customHeight="1" s="349">
      <c r="A159" s="307" t="n"/>
      <c r="B159" s="307" t="n"/>
      <c r="C159" s="307" t="n"/>
      <c r="D159" s="307" t="n"/>
      <c r="E159" s="307" t="n"/>
      <c r="F159" s="307" t="n"/>
      <c r="G159" s="307" t="n"/>
      <c r="H159" s="307" t="n"/>
      <c r="I159" s="307" t="n"/>
      <c r="J159" s="307" t="n"/>
      <c r="K159" s="307" t="n"/>
      <c r="L159" s="307" t="n"/>
      <c r="M159" s="307" t="n"/>
      <c r="N159" s="307" t="n"/>
      <c r="O159" s="307" t="n"/>
      <c r="P159" s="307" t="n"/>
      <c r="Q159" s="307" t="n"/>
      <c r="R159" s="307" t="n"/>
      <c r="S159" s="307" t="n"/>
      <c r="T159" s="307" t="n"/>
      <c r="U159" s="307" t="n"/>
      <c r="V159" s="307" t="n"/>
      <c r="W159" s="307" t="n"/>
      <c r="X159" s="307" t="n"/>
      <c r="Y159" s="307" t="n"/>
      <c r="Z159" s="307" t="n"/>
      <c r="AA159" s="307" t="n"/>
      <c r="AB159" s="307" t="n"/>
      <c r="AC159" s="307" t="n"/>
      <c r="AD159" s="307" t="n"/>
      <c r="AE159" s="307" t="n"/>
      <c r="AF159" s="307" t="n"/>
      <c r="AG159" s="307" t="n"/>
      <c r="AH159" s="307" t="n"/>
      <c r="AI159" s="307" t="n"/>
      <c r="AJ159" s="307" t="n"/>
      <c r="AK159" s="307" t="n"/>
      <c r="AL159" s="307" t="n"/>
      <c r="AM159" s="307" t="n"/>
      <c r="AN159" s="307" t="n"/>
      <c r="AO159" s="307" t="n"/>
      <c r="AP159" s="307" t="n"/>
      <c r="AQ159" s="307" t="n"/>
      <c r="AR159" s="307" t="n"/>
      <c r="AS159" s="307" t="n"/>
      <c r="AT159" s="307" t="n"/>
    </row>
    <row r="160" ht="15.75" customHeight="1" s="349">
      <c r="A160" s="307" t="n"/>
      <c r="B160" s="307" t="n"/>
      <c r="C160" s="307" t="n"/>
      <c r="D160" s="307" t="n"/>
      <c r="E160" s="307" t="n"/>
      <c r="F160" s="307" t="n"/>
      <c r="G160" s="307" t="n"/>
      <c r="H160" s="307" t="n"/>
      <c r="I160" s="307" t="n"/>
      <c r="J160" s="307" t="n"/>
      <c r="K160" s="307" t="n"/>
      <c r="L160" s="307" t="n"/>
      <c r="M160" s="307" t="n"/>
      <c r="N160" s="307" t="n"/>
      <c r="O160" s="307" t="n"/>
      <c r="P160" s="307" t="n"/>
      <c r="Q160" s="307" t="n"/>
      <c r="R160" s="307" t="n"/>
      <c r="S160" s="307" t="n"/>
      <c r="T160" s="307" t="n"/>
      <c r="U160" s="307" t="n"/>
      <c r="V160" s="307" t="n"/>
      <c r="W160" s="307" t="n"/>
      <c r="X160" s="307" t="n"/>
      <c r="Y160" s="307" t="n"/>
      <c r="Z160" s="307" t="n"/>
      <c r="AA160" s="307" t="n"/>
      <c r="AB160" s="307" t="n"/>
      <c r="AC160" s="307" t="n"/>
      <c r="AD160" s="307" t="n"/>
      <c r="AE160" s="307" t="n"/>
      <c r="AF160" s="307" t="n"/>
      <c r="AG160" s="307" t="n"/>
      <c r="AH160" s="307" t="n"/>
      <c r="AI160" s="307" t="n"/>
      <c r="AJ160" s="307" t="n"/>
      <c r="AK160" s="307" t="n"/>
      <c r="AL160" s="307" t="n"/>
      <c r="AM160" s="307" t="n"/>
      <c r="AN160" s="307" t="n"/>
      <c r="AO160" s="307" t="n"/>
      <c r="AP160" s="307" t="n"/>
      <c r="AQ160" s="307" t="n"/>
      <c r="AR160" s="307" t="n"/>
      <c r="AS160" s="307" t="n"/>
      <c r="AT160" s="307" t="n"/>
    </row>
    <row r="161" ht="15.75" customHeight="1" s="349">
      <c r="A161" s="307" t="n"/>
      <c r="B161" s="307" t="n"/>
      <c r="C161" s="307" t="n"/>
      <c r="D161" s="307" t="n"/>
      <c r="E161" s="307" t="n"/>
      <c r="F161" s="307" t="n"/>
      <c r="G161" s="307" t="n"/>
      <c r="H161" s="307" t="n"/>
      <c r="I161" s="307" t="n"/>
      <c r="J161" s="307" t="n"/>
      <c r="K161" s="307" t="n"/>
      <c r="L161" s="307" t="n"/>
      <c r="M161" s="307" t="n"/>
      <c r="N161" s="307" t="n"/>
      <c r="O161" s="307" t="n"/>
      <c r="P161" s="307" t="n"/>
      <c r="Q161" s="307" t="n"/>
      <c r="R161" s="307" t="n"/>
      <c r="S161" s="307" t="n"/>
      <c r="T161" s="307" t="n"/>
      <c r="U161" s="307" t="n"/>
      <c r="V161" s="307" t="n"/>
      <c r="W161" s="307" t="n"/>
      <c r="X161" s="307" t="n"/>
      <c r="Y161" s="307" t="n"/>
      <c r="Z161" s="307" t="n"/>
      <c r="AA161" s="307" t="n"/>
      <c r="AB161" s="307" t="n"/>
      <c r="AC161" s="307" t="n"/>
      <c r="AD161" s="307" t="n"/>
      <c r="AE161" s="307" t="n"/>
      <c r="AF161" s="307" t="n"/>
      <c r="AG161" s="307" t="n"/>
      <c r="AH161" s="307" t="n"/>
      <c r="AI161" s="307" t="n"/>
      <c r="AJ161" s="307" t="n"/>
      <c r="AK161" s="307" t="n"/>
      <c r="AL161" s="307" t="n"/>
      <c r="AM161" s="307" t="n"/>
      <c r="AN161" s="307" t="n"/>
      <c r="AO161" s="307" t="n"/>
      <c r="AP161" s="307" t="n"/>
      <c r="AQ161" s="307" t="n"/>
      <c r="AR161" s="307" t="n"/>
      <c r="AS161" s="307" t="n"/>
      <c r="AT161" s="307" t="n"/>
    </row>
    <row r="162" ht="15.75" customHeight="1" s="349">
      <c r="A162" s="307" t="n"/>
      <c r="B162" s="307" t="n"/>
      <c r="C162" s="307" t="n"/>
      <c r="D162" s="307" t="n"/>
      <c r="E162" s="307" t="n"/>
      <c r="F162" s="307" t="n"/>
      <c r="G162" s="307" t="n"/>
      <c r="H162" s="307" t="n"/>
      <c r="I162" s="307" t="n"/>
      <c r="J162" s="307" t="n"/>
      <c r="K162" s="307" t="n"/>
      <c r="L162" s="307" t="n"/>
      <c r="M162" s="307" t="n"/>
      <c r="N162" s="307" t="n"/>
      <c r="O162" s="307" t="n"/>
      <c r="P162" s="307" t="n"/>
      <c r="Q162" s="307" t="n"/>
      <c r="R162" s="307" t="n"/>
      <c r="S162" s="307" t="n"/>
      <c r="T162" s="307" t="n"/>
      <c r="U162" s="307" t="n"/>
      <c r="V162" s="307" t="n"/>
      <c r="W162" s="307" t="n"/>
      <c r="X162" s="307" t="n"/>
      <c r="Y162" s="307" t="n"/>
      <c r="Z162" s="307" t="n"/>
      <c r="AA162" s="307" t="n"/>
      <c r="AB162" s="307" t="n"/>
      <c r="AC162" s="307" t="n"/>
      <c r="AD162" s="307" t="n"/>
      <c r="AE162" s="307" t="n"/>
      <c r="AF162" s="307" t="n"/>
      <c r="AG162" s="307" t="n"/>
      <c r="AH162" s="307" t="n"/>
      <c r="AI162" s="307" t="n"/>
      <c r="AJ162" s="307" t="n"/>
      <c r="AK162" s="307" t="n"/>
      <c r="AL162" s="307" t="n"/>
      <c r="AM162" s="307" t="n"/>
      <c r="AN162" s="307" t="n"/>
      <c r="AO162" s="307" t="n"/>
      <c r="AP162" s="307" t="n"/>
      <c r="AQ162" s="307" t="n"/>
      <c r="AR162" s="307" t="n"/>
      <c r="AS162" s="307" t="n"/>
      <c r="AT162" s="307" t="n"/>
    </row>
    <row r="163" ht="15.75" customHeight="1" s="349">
      <c r="A163" s="307" t="n"/>
      <c r="B163" s="307" t="n"/>
      <c r="C163" s="307" t="n"/>
      <c r="D163" s="307" t="n"/>
      <c r="E163" s="307" t="n"/>
      <c r="F163" s="307" t="n"/>
      <c r="G163" s="307" t="n"/>
      <c r="H163" s="307" t="n"/>
      <c r="I163" s="307" t="n"/>
      <c r="J163" s="307" t="n"/>
      <c r="K163" s="307" t="n"/>
      <c r="L163" s="307" t="n"/>
      <c r="M163" s="307" t="n"/>
      <c r="N163" s="307" t="n"/>
      <c r="O163" s="307" t="n"/>
      <c r="P163" s="307" t="n"/>
      <c r="Q163" s="307" t="n"/>
      <c r="R163" s="307" t="n"/>
      <c r="S163" s="307" t="n"/>
      <c r="T163" s="307" t="n"/>
      <c r="U163" s="307" t="n"/>
      <c r="V163" s="307" t="n"/>
      <c r="W163" s="307" t="n"/>
      <c r="X163" s="307" t="n"/>
      <c r="Y163" s="307" t="n"/>
      <c r="Z163" s="307" t="n"/>
      <c r="AA163" s="307" t="n"/>
      <c r="AB163" s="307" t="n"/>
      <c r="AC163" s="307" t="n"/>
      <c r="AD163" s="307" t="n"/>
      <c r="AE163" s="307" t="n"/>
      <c r="AF163" s="307" t="n"/>
      <c r="AG163" s="307" t="n"/>
      <c r="AH163" s="307" t="n"/>
      <c r="AI163" s="307" t="n"/>
      <c r="AJ163" s="307" t="n"/>
      <c r="AK163" s="307" t="n"/>
      <c r="AL163" s="307" t="n"/>
      <c r="AM163" s="307" t="n"/>
      <c r="AN163" s="307" t="n"/>
      <c r="AO163" s="307" t="n"/>
      <c r="AP163" s="307" t="n"/>
      <c r="AQ163" s="307" t="n"/>
      <c r="AR163" s="307" t="n"/>
      <c r="AS163" s="307" t="n"/>
      <c r="AT163" s="307" t="n"/>
    </row>
    <row r="164" ht="15.75" customHeight="1" s="349">
      <c r="A164" s="307" t="n"/>
      <c r="B164" s="307" t="n"/>
      <c r="C164" s="307" t="n"/>
      <c r="D164" s="307" t="n"/>
      <c r="E164" s="307" t="n"/>
      <c r="F164" s="307" t="n"/>
      <c r="G164" s="307" t="n"/>
      <c r="H164" s="307" t="n"/>
      <c r="I164" s="307" t="n"/>
      <c r="J164" s="307" t="n"/>
      <c r="K164" s="307" t="n"/>
      <c r="L164" s="307" t="n"/>
      <c r="M164" s="307" t="n"/>
      <c r="N164" s="307" t="n"/>
      <c r="O164" s="307" t="n"/>
      <c r="P164" s="307" t="n"/>
      <c r="Q164" s="307" t="n"/>
      <c r="R164" s="307" t="n"/>
      <c r="S164" s="307" t="n"/>
      <c r="T164" s="307" t="n"/>
      <c r="U164" s="307" t="n"/>
      <c r="V164" s="307" t="n"/>
      <c r="W164" s="307" t="n"/>
      <c r="X164" s="307" t="n"/>
      <c r="Y164" s="307" t="n"/>
      <c r="Z164" s="307" t="n"/>
      <c r="AA164" s="307" t="n"/>
      <c r="AB164" s="307" t="n"/>
      <c r="AC164" s="307" t="n"/>
      <c r="AD164" s="307" t="n"/>
      <c r="AE164" s="307" t="n"/>
      <c r="AF164" s="307" t="n"/>
      <c r="AG164" s="307" t="n"/>
      <c r="AH164" s="307" t="n"/>
      <c r="AI164" s="307" t="n"/>
      <c r="AJ164" s="307" t="n"/>
      <c r="AK164" s="307" t="n"/>
      <c r="AL164" s="307" t="n"/>
      <c r="AM164" s="307" t="n"/>
      <c r="AN164" s="307" t="n"/>
      <c r="AO164" s="307" t="n"/>
      <c r="AP164" s="307" t="n"/>
      <c r="AQ164" s="307" t="n"/>
      <c r="AR164" s="307" t="n"/>
      <c r="AS164" s="307" t="n"/>
      <c r="AT164" s="307" t="n"/>
    </row>
    <row r="165" ht="15.75" customHeight="1" s="349">
      <c r="A165" s="307" t="n"/>
      <c r="B165" s="307" t="n"/>
      <c r="C165" s="307" t="n"/>
      <c r="D165" s="307" t="n"/>
      <c r="E165" s="307" t="n"/>
      <c r="F165" s="307" t="n"/>
      <c r="G165" s="307" t="n"/>
      <c r="H165" s="307" t="n"/>
      <c r="I165" s="307" t="n"/>
      <c r="J165" s="307" t="n"/>
      <c r="K165" s="307" t="n"/>
      <c r="L165" s="307" t="n"/>
      <c r="M165" s="307" t="n"/>
      <c r="N165" s="307" t="n"/>
      <c r="O165" s="307" t="n"/>
      <c r="P165" s="307" t="n"/>
      <c r="Q165" s="307" t="n"/>
      <c r="R165" s="307" t="n"/>
      <c r="S165" s="307" t="n"/>
      <c r="T165" s="307" t="n"/>
      <c r="U165" s="307" t="n"/>
      <c r="V165" s="307" t="n"/>
      <c r="W165" s="307" t="n"/>
      <c r="X165" s="307" t="n"/>
      <c r="Y165" s="307" t="n"/>
      <c r="Z165" s="307" t="n"/>
      <c r="AA165" s="307" t="n"/>
      <c r="AB165" s="307" t="n"/>
      <c r="AC165" s="307" t="n"/>
      <c r="AD165" s="307" t="n"/>
      <c r="AE165" s="307" t="n"/>
      <c r="AF165" s="307" t="n"/>
      <c r="AG165" s="307" t="n"/>
      <c r="AH165" s="307" t="n"/>
      <c r="AI165" s="307" t="n"/>
      <c r="AJ165" s="307" t="n"/>
      <c r="AK165" s="307" t="n"/>
      <c r="AL165" s="307" t="n"/>
      <c r="AM165" s="307" t="n"/>
      <c r="AN165" s="307" t="n"/>
      <c r="AO165" s="307" t="n"/>
      <c r="AP165" s="307" t="n"/>
      <c r="AQ165" s="307" t="n"/>
      <c r="AR165" s="307" t="n"/>
      <c r="AS165" s="307" t="n"/>
      <c r="AT165" s="307" t="n"/>
    </row>
    <row r="166" ht="15.75" customHeight="1" s="349">
      <c r="A166" s="307" t="n"/>
      <c r="B166" s="307" t="n"/>
      <c r="C166" s="307" t="n"/>
      <c r="D166" s="307" t="n"/>
      <c r="E166" s="307" t="n"/>
      <c r="F166" s="307" t="n"/>
      <c r="G166" s="307" t="n"/>
      <c r="H166" s="307" t="n"/>
      <c r="I166" s="307" t="n"/>
      <c r="J166" s="307" t="n"/>
      <c r="K166" s="307" t="n"/>
      <c r="L166" s="307" t="n"/>
      <c r="M166" s="307" t="n"/>
      <c r="N166" s="307" t="n"/>
      <c r="O166" s="307" t="n"/>
      <c r="P166" s="307" t="n"/>
      <c r="Q166" s="307" t="n"/>
      <c r="R166" s="307" t="n"/>
      <c r="S166" s="307" t="n"/>
      <c r="T166" s="307" t="n"/>
      <c r="U166" s="307" t="n"/>
      <c r="V166" s="307" t="n"/>
      <c r="W166" s="307" t="n"/>
      <c r="X166" s="307" t="n"/>
      <c r="Y166" s="307" t="n"/>
      <c r="Z166" s="307" t="n"/>
      <c r="AA166" s="307" t="n"/>
      <c r="AB166" s="307" t="n"/>
      <c r="AC166" s="307" t="n"/>
      <c r="AD166" s="307" t="n"/>
      <c r="AE166" s="307" t="n"/>
      <c r="AF166" s="307" t="n"/>
      <c r="AG166" s="307" t="n"/>
      <c r="AH166" s="307" t="n"/>
      <c r="AI166" s="307" t="n"/>
      <c r="AJ166" s="307" t="n"/>
      <c r="AK166" s="307" t="n"/>
      <c r="AL166" s="307" t="n"/>
      <c r="AM166" s="307" t="n"/>
      <c r="AN166" s="307" t="n"/>
      <c r="AO166" s="307" t="n"/>
      <c r="AP166" s="307" t="n"/>
      <c r="AQ166" s="307" t="n"/>
      <c r="AR166" s="307" t="n"/>
      <c r="AS166" s="307" t="n"/>
      <c r="AT166" s="307" t="n"/>
    </row>
    <row r="167" ht="15.75" customHeight="1" s="349">
      <c r="A167" s="307" t="n"/>
      <c r="B167" s="307" t="n"/>
      <c r="C167" s="307" t="n"/>
      <c r="D167" s="307" t="n"/>
      <c r="E167" s="307" t="n"/>
      <c r="F167" s="307" t="n"/>
      <c r="G167" s="307" t="n"/>
      <c r="H167" s="307" t="n"/>
      <c r="I167" s="307" t="n"/>
      <c r="J167" s="307" t="n"/>
      <c r="K167" s="307" t="n"/>
      <c r="L167" s="307" t="n"/>
      <c r="M167" s="307" t="n"/>
      <c r="N167" s="307" t="n"/>
      <c r="O167" s="307" t="n"/>
      <c r="P167" s="307" t="n"/>
      <c r="Q167" s="307" t="n"/>
      <c r="R167" s="307" t="n"/>
      <c r="S167" s="307" t="n"/>
      <c r="T167" s="307" t="n"/>
      <c r="U167" s="307" t="n"/>
      <c r="V167" s="307" t="n"/>
      <c r="W167" s="307" t="n"/>
      <c r="X167" s="307" t="n"/>
      <c r="Y167" s="307" t="n"/>
      <c r="Z167" s="307" t="n"/>
      <c r="AA167" s="307" t="n"/>
      <c r="AB167" s="307" t="n"/>
      <c r="AC167" s="307" t="n"/>
      <c r="AD167" s="307" t="n"/>
      <c r="AE167" s="307" t="n"/>
      <c r="AF167" s="307" t="n"/>
      <c r="AG167" s="307" t="n"/>
      <c r="AH167" s="307" t="n"/>
      <c r="AI167" s="307" t="n"/>
      <c r="AJ167" s="307" t="n"/>
      <c r="AK167" s="307" t="n"/>
      <c r="AL167" s="307" t="n"/>
      <c r="AM167" s="307" t="n"/>
      <c r="AN167" s="307" t="n"/>
      <c r="AO167" s="307" t="n"/>
      <c r="AP167" s="307" t="n"/>
      <c r="AQ167" s="307" t="n"/>
      <c r="AR167" s="307" t="n"/>
      <c r="AS167" s="307" t="n"/>
      <c r="AT167" s="307" t="n"/>
    </row>
    <row r="168" ht="15.75" customHeight="1" s="349">
      <c r="A168" s="307" t="n"/>
      <c r="B168" s="307" t="n"/>
      <c r="C168" s="307" t="n"/>
      <c r="D168" s="307" t="n"/>
      <c r="E168" s="307" t="n"/>
      <c r="F168" s="307" t="n"/>
      <c r="G168" s="307" t="n"/>
      <c r="H168" s="307" t="n"/>
      <c r="I168" s="307" t="n"/>
      <c r="J168" s="307" t="n"/>
      <c r="K168" s="307" t="n"/>
      <c r="L168" s="307" t="n"/>
      <c r="M168" s="307" t="n"/>
      <c r="N168" s="307" t="n"/>
      <c r="O168" s="307" t="n"/>
      <c r="P168" s="307" t="n"/>
      <c r="Q168" s="307" t="n"/>
      <c r="R168" s="307" t="n"/>
      <c r="S168" s="307" t="n"/>
      <c r="T168" s="307" t="n"/>
      <c r="U168" s="307" t="n"/>
      <c r="V168" s="307" t="n"/>
      <c r="W168" s="307" t="n"/>
      <c r="X168" s="307" t="n"/>
      <c r="Y168" s="307" t="n"/>
      <c r="Z168" s="307" t="n"/>
      <c r="AA168" s="307" t="n"/>
      <c r="AB168" s="307" t="n"/>
      <c r="AC168" s="307" t="n"/>
      <c r="AD168" s="307" t="n"/>
      <c r="AE168" s="307" t="n"/>
      <c r="AF168" s="307" t="n"/>
      <c r="AG168" s="307" t="n"/>
      <c r="AH168" s="307" t="n"/>
      <c r="AI168" s="307" t="n"/>
      <c r="AJ168" s="307" t="n"/>
      <c r="AK168" s="307" t="n"/>
      <c r="AL168" s="307" t="n"/>
      <c r="AM168" s="307" t="n"/>
      <c r="AN168" s="307" t="n"/>
      <c r="AO168" s="307" t="n"/>
      <c r="AP168" s="307" t="n"/>
      <c r="AQ168" s="307" t="n"/>
      <c r="AR168" s="307" t="n"/>
      <c r="AS168" s="307" t="n"/>
      <c r="AT168" s="307" t="n"/>
    </row>
    <row r="169" ht="15.75" customHeight="1" s="349">
      <c r="A169" s="307" t="n"/>
      <c r="B169" s="307" t="n"/>
      <c r="C169" s="307" t="n"/>
      <c r="D169" s="307" t="n"/>
      <c r="E169" s="307" t="n"/>
      <c r="F169" s="307" t="n"/>
      <c r="G169" s="307" t="n"/>
      <c r="H169" s="307" t="n"/>
      <c r="I169" s="307" t="n"/>
      <c r="J169" s="307" t="n"/>
      <c r="K169" s="307" t="n"/>
      <c r="L169" s="307" t="n"/>
      <c r="M169" s="307" t="n"/>
      <c r="N169" s="307" t="n"/>
      <c r="O169" s="307" t="n"/>
      <c r="P169" s="307" t="n"/>
      <c r="Q169" s="307" t="n"/>
      <c r="R169" s="307" t="n"/>
      <c r="S169" s="307" t="n"/>
      <c r="T169" s="307" t="n"/>
      <c r="U169" s="307" t="n"/>
      <c r="V169" s="307" t="n"/>
      <c r="W169" s="307" t="n"/>
      <c r="X169" s="307" t="n"/>
      <c r="Y169" s="307" t="n"/>
      <c r="Z169" s="307" t="n"/>
      <c r="AA169" s="307" t="n"/>
      <c r="AB169" s="307" t="n"/>
      <c r="AC169" s="307" t="n"/>
      <c r="AD169" s="307" t="n"/>
      <c r="AE169" s="307" t="n"/>
      <c r="AF169" s="307" t="n"/>
      <c r="AG169" s="307" t="n"/>
      <c r="AH169" s="307" t="n"/>
      <c r="AI169" s="307" t="n"/>
      <c r="AJ169" s="307" t="n"/>
      <c r="AK169" s="307" t="n"/>
      <c r="AL169" s="307" t="n"/>
      <c r="AM169" s="307" t="n"/>
      <c r="AN169" s="307" t="n"/>
      <c r="AO169" s="307" t="n"/>
      <c r="AP169" s="307" t="n"/>
      <c r="AQ169" s="307" t="n"/>
      <c r="AR169" s="307" t="n"/>
      <c r="AS169" s="307" t="n"/>
      <c r="AT169" s="307" t="n"/>
    </row>
    <row r="170" ht="15.75" customHeight="1" s="349">
      <c r="A170" s="307" t="n"/>
      <c r="B170" s="307" t="n"/>
      <c r="C170" s="307" t="n"/>
      <c r="D170" s="307" t="n"/>
      <c r="E170" s="307" t="n"/>
      <c r="F170" s="307" t="n"/>
      <c r="G170" s="307" t="n"/>
      <c r="H170" s="307" t="n"/>
      <c r="I170" s="307" t="n"/>
      <c r="J170" s="307" t="n"/>
      <c r="K170" s="307" t="n"/>
      <c r="L170" s="307" t="n"/>
      <c r="M170" s="307" t="n"/>
      <c r="N170" s="307" t="n"/>
      <c r="O170" s="307" t="n"/>
      <c r="P170" s="307" t="n"/>
      <c r="Q170" s="307" t="n"/>
      <c r="R170" s="307" t="n"/>
      <c r="S170" s="307" t="n"/>
      <c r="T170" s="307" t="n"/>
      <c r="U170" s="307" t="n"/>
      <c r="V170" s="307" t="n"/>
      <c r="W170" s="307" t="n"/>
      <c r="X170" s="307" t="n"/>
      <c r="Y170" s="307" t="n"/>
      <c r="Z170" s="307" t="n"/>
      <c r="AA170" s="307" t="n"/>
      <c r="AB170" s="307" t="n"/>
      <c r="AC170" s="307" t="n"/>
      <c r="AD170" s="307" t="n"/>
      <c r="AE170" s="307" t="n"/>
      <c r="AF170" s="307" t="n"/>
      <c r="AG170" s="307" t="n"/>
      <c r="AH170" s="307" t="n"/>
      <c r="AI170" s="307" t="n"/>
      <c r="AJ170" s="307" t="n"/>
      <c r="AK170" s="307" t="n"/>
      <c r="AL170" s="307" t="n"/>
      <c r="AM170" s="307" t="n"/>
      <c r="AN170" s="307" t="n"/>
      <c r="AO170" s="307" t="n"/>
      <c r="AP170" s="307" t="n"/>
      <c r="AQ170" s="307" t="n"/>
      <c r="AR170" s="307" t="n"/>
      <c r="AS170" s="307" t="n"/>
      <c r="AT170" s="307" t="n"/>
    </row>
    <row r="171" ht="15.75" customHeight="1" s="349">
      <c r="A171" s="307" t="n"/>
      <c r="B171" s="307" t="n"/>
      <c r="C171" s="307" t="n"/>
      <c r="D171" s="307" t="n"/>
      <c r="E171" s="307" t="n"/>
      <c r="F171" s="307" t="n"/>
      <c r="G171" s="307" t="n"/>
      <c r="H171" s="307" t="n"/>
      <c r="I171" s="307" t="n"/>
      <c r="J171" s="307" t="n"/>
      <c r="K171" s="307" t="n"/>
      <c r="L171" s="307" t="n"/>
      <c r="M171" s="307" t="n"/>
      <c r="N171" s="307" t="n"/>
      <c r="O171" s="307" t="n"/>
      <c r="P171" s="307" t="n"/>
      <c r="Q171" s="307" t="n"/>
      <c r="R171" s="307" t="n"/>
      <c r="S171" s="307" t="n"/>
      <c r="T171" s="307" t="n"/>
      <c r="U171" s="307" t="n"/>
      <c r="V171" s="307" t="n"/>
      <c r="W171" s="307" t="n"/>
      <c r="X171" s="307" t="n"/>
      <c r="Y171" s="307" t="n"/>
      <c r="Z171" s="307" t="n"/>
      <c r="AA171" s="307" t="n"/>
      <c r="AB171" s="307" t="n"/>
      <c r="AC171" s="307" t="n"/>
      <c r="AD171" s="307" t="n"/>
      <c r="AE171" s="307" t="n"/>
      <c r="AF171" s="307" t="n"/>
      <c r="AG171" s="307" t="n"/>
      <c r="AH171" s="307" t="n"/>
      <c r="AI171" s="307" t="n"/>
      <c r="AJ171" s="307" t="n"/>
      <c r="AK171" s="307" t="n"/>
      <c r="AL171" s="307" t="n"/>
      <c r="AM171" s="307" t="n"/>
      <c r="AN171" s="307" t="n"/>
      <c r="AO171" s="307" t="n"/>
      <c r="AP171" s="307" t="n"/>
      <c r="AQ171" s="307" t="n"/>
      <c r="AR171" s="307" t="n"/>
      <c r="AS171" s="307" t="n"/>
      <c r="AT171" s="307" t="n"/>
    </row>
    <row r="172" ht="15.75" customHeight="1" s="349">
      <c r="A172" s="307" t="n"/>
      <c r="B172" s="307" t="n"/>
      <c r="C172" s="307" t="n"/>
      <c r="D172" s="307" t="n"/>
      <c r="E172" s="307" t="n"/>
      <c r="F172" s="307" t="n"/>
      <c r="G172" s="307" t="n"/>
      <c r="H172" s="307" t="n"/>
      <c r="I172" s="307" t="n"/>
      <c r="J172" s="307" t="n"/>
      <c r="K172" s="307" t="n"/>
      <c r="L172" s="307" t="n"/>
      <c r="M172" s="307" t="n"/>
      <c r="N172" s="307" t="n"/>
      <c r="O172" s="307" t="n"/>
      <c r="P172" s="307" t="n"/>
      <c r="Q172" s="307" t="n"/>
      <c r="R172" s="307" t="n"/>
      <c r="S172" s="307" t="n"/>
      <c r="T172" s="307" t="n"/>
      <c r="U172" s="307" t="n"/>
      <c r="V172" s="307" t="n"/>
      <c r="W172" s="307" t="n"/>
      <c r="X172" s="307" t="n"/>
      <c r="Y172" s="307" t="n"/>
      <c r="Z172" s="307" t="n"/>
      <c r="AA172" s="307" t="n"/>
      <c r="AB172" s="307" t="n"/>
      <c r="AC172" s="307" t="n"/>
      <c r="AD172" s="307" t="n"/>
      <c r="AE172" s="307" t="n"/>
      <c r="AF172" s="307" t="n"/>
      <c r="AG172" s="307" t="n"/>
      <c r="AH172" s="307" t="n"/>
      <c r="AI172" s="307" t="n"/>
      <c r="AJ172" s="307" t="n"/>
      <c r="AK172" s="307" t="n"/>
      <c r="AL172" s="307" t="n"/>
      <c r="AM172" s="307" t="n"/>
      <c r="AN172" s="307" t="n"/>
      <c r="AO172" s="307" t="n"/>
      <c r="AP172" s="307" t="n"/>
      <c r="AQ172" s="307" t="n"/>
      <c r="AR172" s="307" t="n"/>
      <c r="AS172" s="307" t="n"/>
      <c r="AT172" s="307" t="n"/>
    </row>
    <row r="173" ht="15.75" customHeight="1" s="349">
      <c r="A173" s="307" t="n"/>
      <c r="B173" s="307" t="n"/>
      <c r="C173" s="307" t="n"/>
      <c r="D173" s="307" t="n"/>
      <c r="E173" s="307" t="n"/>
      <c r="F173" s="307" t="n"/>
      <c r="G173" s="307" t="n"/>
      <c r="H173" s="307" t="n"/>
      <c r="I173" s="307" t="n"/>
      <c r="J173" s="307" t="n"/>
      <c r="K173" s="307" t="n"/>
      <c r="L173" s="307" t="n"/>
      <c r="M173" s="307" t="n"/>
      <c r="N173" s="307" t="n"/>
      <c r="O173" s="307" t="n"/>
      <c r="P173" s="307" t="n"/>
      <c r="Q173" s="307" t="n"/>
      <c r="R173" s="307" t="n"/>
      <c r="S173" s="307" t="n"/>
      <c r="T173" s="307" t="n"/>
      <c r="U173" s="307" t="n"/>
      <c r="V173" s="307" t="n"/>
      <c r="W173" s="307" t="n"/>
      <c r="X173" s="307" t="n"/>
      <c r="Y173" s="307" t="n"/>
      <c r="Z173" s="307" t="n"/>
      <c r="AA173" s="307" t="n"/>
      <c r="AB173" s="307" t="n"/>
      <c r="AC173" s="307" t="n"/>
      <c r="AD173" s="307" t="n"/>
      <c r="AE173" s="307" t="n"/>
      <c r="AF173" s="307" t="n"/>
      <c r="AG173" s="307" t="n"/>
      <c r="AH173" s="307" t="n"/>
      <c r="AI173" s="307" t="n"/>
      <c r="AJ173" s="307" t="n"/>
      <c r="AK173" s="307" t="n"/>
      <c r="AL173" s="307" t="n"/>
      <c r="AM173" s="307" t="n"/>
      <c r="AN173" s="307" t="n"/>
      <c r="AO173" s="307" t="n"/>
      <c r="AP173" s="307" t="n"/>
      <c r="AQ173" s="307" t="n"/>
      <c r="AR173" s="307" t="n"/>
      <c r="AS173" s="307" t="n"/>
      <c r="AT173" s="307" t="n"/>
    </row>
    <row r="174" ht="15.75" customHeight="1" s="349">
      <c r="A174" s="307" t="n"/>
      <c r="B174" s="307" t="n"/>
      <c r="C174" s="307" t="n"/>
      <c r="D174" s="307" t="n"/>
      <c r="E174" s="307" t="n"/>
      <c r="F174" s="307" t="n"/>
      <c r="G174" s="307" t="n"/>
      <c r="H174" s="307" t="n"/>
      <c r="I174" s="307" t="n"/>
      <c r="J174" s="307" t="n"/>
      <c r="K174" s="307" t="n"/>
      <c r="L174" s="307" t="n"/>
      <c r="M174" s="307" t="n"/>
      <c r="N174" s="307" t="n"/>
      <c r="O174" s="307" t="n"/>
      <c r="P174" s="307" t="n"/>
      <c r="Q174" s="307" t="n"/>
      <c r="R174" s="307" t="n"/>
      <c r="S174" s="307" t="n"/>
      <c r="T174" s="307" t="n"/>
      <c r="U174" s="307" t="n"/>
      <c r="V174" s="307" t="n"/>
      <c r="W174" s="307" t="n"/>
      <c r="X174" s="307" t="n"/>
      <c r="Y174" s="307" t="n"/>
      <c r="Z174" s="307" t="n"/>
      <c r="AA174" s="307" t="n"/>
      <c r="AB174" s="307" t="n"/>
      <c r="AC174" s="307" t="n"/>
      <c r="AD174" s="307" t="n"/>
      <c r="AE174" s="307" t="n"/>
      <c r="AF174" s="307" t="n"/>
      <c r="AG174" s="307" t="n"/>
      <c r="AH174" s="307" t="n"/>
      <c r="AI174" s="307" t="n"/>
      <c r="AJ174" s="307" t="n"/>
      <c r="AK174" s="307" t="n"/>
      <c r="AL174" s="307" t="n"/>
      <c r="AM174" s="307" t="n"/>
      <c r="AN174" s="307" t="n"/>
      <c r="AO174" s="307" t="n"/>
      <c r="AP174" s="307" t="n"/>
      <c r="AQ174" s="307" t="n"/>
      <c r="AR174" s="307" t="n"/>
      <c r="AS174" s="307" t="n"/>
      <c r="AT174" s="307" t="n"/>
    </row>
    <row r="175" ht="15.75" customHeight="1" s="349">
      <c r="A175" s="307" t="n"/>
      <c r="B175" s="307" t="n"/>
      <c r="C175" s="307" t="n"/>
      <c r="D175" s="307" t="n"/>
      <c r="E175" s="307" t="n"/>
      <c r="F175" s="307" t="n"/>
      <c r="G175" s="307" t="n"/>
      <c r="H175" s="307" t="n"/>
      <c r="I175" s="307" t="n"/>
      <c r="J175" s="307" t="n"/>
      <c r="K175" s="307" t="n"/>
      <c r="L175" s="307" t="n"/>
      <c r="M175" s="307" t="n"/>
      <c r="N175" s="307" t="n"/>
      <c r="O175" s="307" t="n"/>
      <c r="P175" s="307" t="n"/>
      <c r="Q175" s="307" t="n"/>
      <c r="R175" s="307" t="n"/>
      <c r="S175" s="307" t="n"/>
      <c r="T175" s="307" t="n"/>
      <c r="U175" s="307" t="n"/>
      <c r="V175" s="307" t="n"/>
      <c r="W175" s="307" t="n"/>
      <c r="X175" s="307" t="n"/>
      <c r="Y175" s="307" t="n"/>
      <c r="Z175" s="307" t="n"/>
      <c r="AA175" s="307" t="n"/>
      <c r="AB175" s="307" t="n"/>
      <c r="AC175" s="307" t="n"/>
      <c r="AD175" s="307" t="n"/>
      <c r="AE175" s="307" t="n"/>
      <c r="AF175" s="307" t="n"/>
      <c r="AG175" s="307" t="n"/>
      <c r="AH175" s="307" t="n"/>
      <c r="AI175" s="307" t="n"/>
      <c r="AJ175" s="307" t="n"/>
      <c r="AK175" s="307" t="n"/>
      <c r="AL175" s="307" t="n"/>
      <c r="AM175" s="307" t="n"/>
      <c r="AN175" s="307" t="n"/>
      <c r="AO175" s="307" t="n"/>
      <c r="AP175" s="307" t="n"/>
      <c r="AQ175" s="307" t="n"/>
      <c r="AR175" s="307" t="n"/>
      <c r="AS175" s="307" t="n"/>
      <c r="AT175" s="307" t="n"/>
    </row>
    <row r="176" ht="15.75" customHeight="1" s="349">
      <c r="A176" s="307" t="n"/>
      <c r="B176" s="307" t="n"/>
      <c r="C176" s="307" t="n"/>
      <c r="D176" s="307" t="n"/>
      <c r="E176" s="307" t="n"/>
      <c r="F176" s="307" t="n"/>
      <c r="G176" s="307" t="n"/>
      <c r="H176" s="307" t="n"/>
      <c r="I176" s="307" t="n"/>
      <c r="J176" s="307" t="n"/>
      <c r="K176" s="307" t="n"/>
      <c r="L176" s="307" t="n"/>
      <c r="M176" s="307" t="n"/>
      <c r="N176" s="307" t="n"/>
      <c r="O176" s="307" t="n"/>
      <c r="P176" s="307" t="n"/>
      <c r="Q176" s="307" t="n"/>
      <c r="R176" s="307" t="n"/>
      <c r="S176" s="307" t="n"/>
      <c r="T176" s="307" t="n"/>
      <c r="U176" s="307" t="n"/>
      <c r="V176" s="307" t="n"/>
      <c r="W176" s="307" t="n"/>
      <c r="X176" s="307" t="n"/>
      <c r="Y176" s="307" t="n"/>
      <c r="Z176" s="307" t="n"/>
      <c r="AA176" s="307" t="n"/>
      <c r="AB176" s="307" t="n"/>
      <c r="AC176" s="307" t="n"/>
      <c r="AD176" s="307" t="n"/>
      <c r="AE176" s="307" t="n"/>
      <c r="AF176" s="307" t="n"/>
      <c r="AG176" s="307" t="n"/>
      <c r="AH176" s="307" t="n"/>
      <c r="AI176" s="307" t="n"/>
      <c r="AJ176" s="307" t="n"/>
      <c r="AK176" s="307" t="n"/>
      <c r="AL176" s="307" t="n"/>
      <c r="AM176" s="307" t="n"/>
      <c r="AN176" s="307" t="n"/>
      <c r="AO176" s="307" t="n"/>
      <c r="AP176" s="307" t="n"/>
      <c r="AQ176" s="307" t="n"/>
      <c r="AR176" s="307" t="n"/>
      <c r="AS176" s="307" t="n"/>
      <c r="AT176" s="307" t="n"/>
    </row>
    <row r="177" ht="15.75" customHeight="1" s="349">
      <c r="A177" s="307" t="n"/>
      <c r="B177" s="307" t="n"/>
      <c r="C177" s="307" t="n"/>
      <c r="D177" s="307" t="n"/>
      <c r="E177" s="307" t="n"/>
      <c r="F177" s="307" t="n"/>
      <c r="G177" s="307" t="n"/>
      <c r="H177" s="307" t="n"/>
      <c r="I177" s="307" t="n"/>
      <c r="J177" s="307" t="n"/>
      <c r="K177" s="307" t="n"/>
      <c r="L177" s="307" t="n"/>
      <c r="M177" s="307" t="n"/>
      <c r="N177" s="307" t="n"/>
      <c r="O177" s="307" t="n"/>
      <c r="P177" s="307" t="n"/>
      <c r="Q177" s="307" t="n"/>
      <c r="R177" s="307" t="n"/>
      <c r="S177" s="307" t="n"/>
      <c r="T177" s="307" t="n"/>
      <c r="U177" s="307" t="n"/>
      <c r="V177" s="307" t="n"/>
      <c r="W177" s="307" t="n"/>
      <c r="X177" s="307" t="n"/>
      <c r="Y177" s="307" t="n"/>
      <c r="Z177" s="307" t="n"/>
      <c r="AA177" s="307" t="n"/>
      <c r="AB177" s="307" t="n"/>
      <c r="AC177" s="307" t="n"/>
      <c r="AD177" s="307" t="n"/>
      <c r="AE177" s="307" t="n"/>
      <c r="AF177" s="307" t="n"/>
      <c r="AG177" s="307" t="n"/>
      <c r="AH177" s="307" t="n"/>
      <c r="AI177" s="307" t="n"/>
      <c r="AJ177" s="307" t="n"/>
      <c r="AK177" s="307" t="n"/>
      <c r="AL177" s="307" t="n"/>
      <c r="AM177" s="307" t="n"/>
      <c r="AN177" s="307" t="n"/>
      <c r="AO177" s="307" t="n"/>
      <c r="AP177" s="307" t="n"/>
      <c r="AQ177" s="307" t="n"/>
      <c r="AR177" s="307" t="n"/>
      <c r="AS177" s="307" t="n"/>
      <c r="AT177" s="307" t="n"/>
    </row>
    <row r="178" ht="15.75" customHeight="1" s="349">
      <c r="A178" s="307" t="n"/>
      <c r="B178" s="307" t="n"/>
      <c r="C178" s="307" t="n"/>
      <c r="D178" s="307" t="n"/>
      <c r="E178" s="307" t="n"/>
      <c r="F178" s="307" t="n"/>
      <c r="G178" s="307" t="n"/>
      <c r="H178" s="307" t="n"/>
      <c r="I178" s="307" t="n"/>
      <c r="J178" s="307" t="n"/>
      <c r="K178" s="307" t="n"/>
      <c r="L178" s="307" t="n"/>
      <c r="M178" s="307" t="n"/>
      <c r="N178" s="307" t="n"/>
      <c r="O178" s="307" t="n"/>
      <c r="P178" s="307" t="n"/>
      <c r="Q178" s="307" t="n"/>
      <c r="R178" s="307" t="n"/>
      <c r="S178" s="307" t="n"/>
      <c r="T178" s="307" t="n"/>
      <c r="U178" s="307" t="n"/>
      <c r="V178" s="307" t="n"/>
      <c r="W178" s="307" t="n"/>
      <c r="X178" s="307" t="n"/>
      <c r="Y178" s="307" t="n"/>
      <c r="Z178" s="307" t="n"/>
      <c r="AA178" s="307" t="n"/>
      <c r="AB178" s="307" t="n"/>
      <c r="AC178" s="307" t="n"/>
      <c r="AD178" s="307" t="n"/>
      <c r="AE178" s="307" t="n"/>
      <c r="AF178" s="307" t="n"/>
      <c r="AG178" s="307" t="n"/>
      <c r="AH178" s="307" t="n"/>
      <c r="AI178" s="307" t="n"/>
      <c r="AJ178" s="307" t="n"/>
      <c r="AK178" s="307" t="n"/>
      <c r="AL178" s="307" t="n"/>
      <c r="AM178" s="307" t="n"/>
      <c r="AN178" s="307" t="n"/>
      <c r="AO178" s="307" t="n"/>
      <c r="AP178" s="307" t="n"/>
      <c r="AQ178" s="307" t="n"/>
      <c r="AR178" s="307" t="n"/>
      <c r="AS178" s="307" t="n"/>
      <c r="AT178" s="307" t="n"/>
    </row>
    <row r="179" ht="15.75" customHeight="1" s="349">
      <c r="A179" s="307" t="n"/>
      <c r="B179" s="307" t="n"/>
      <c r="C179" s="307" t="n"/>
      <c r="D179" s="307" t="n"/>
      <c r="E179" s="307" t="n"/>
      <c r="F179" s="307" t="n"/>
      <c r="G179" s="307" t="n"/>
      <c r="H179" s="307" t="n"/>
      <c r="I179" s="307" t="n"/>
      <c r="J179" s="307" t="n"/>
      <c r="K179" s="307" t="n"/>
      <c r="L179" s="307" t="n"/>
      <c r="M179" s="307" t="n"/>
      <c r="N179" s="307" t="n"/>
      <c r="O179" s="307" t="n"/>
      <c r="P179" s="307" t="n"/>
      <c r="Q179" s="307" t="n"/>
      <c r="R179" s="307" t="n"/>
      <c r="S179" s="307" t="n"/>
      <c r="T179" s="307" t="n"/>
      <c r="U179" s="307" t="n"/>
      <c r="V179" s="307" t="n"/>
      <c r="W179" s="307" t="n"/>
      <c r="X179" s="307" t="n"/>
      <c r="Y179" s="307" t="n"/>
      <c r="Z179" s="307" t="n"/>
      <c r="AA179" s="307" t="n"/>
      <c r="AB179" s="307" t="n"/>
      <c r="AC179" s="307" t="n"/>
      <c r="AD179" s="307" t="n"/>
      <c r="AE179" s="307" t="n"/>
      <c r="AF179" s="307" t="n"/>
      <c r="AG179" s="307" t="n"/>
      <c r="AH179" s="307" t="n"/>
      <c r="AI179" s="307" t="n"/>
      <c r="AJ179" s="307" t="n"/>
      <c r="AK179" s="307" t="n"/>
      <c r="AL179" s="307" t="n"/>
      <c r="AM179" s="307" t="n"/>
      <c r="AN179" s="307" t="n"/>
      <c r="AO179" s="307" t="n"/>
      <c r="AP179" s="307" t="n"/>
      <c r="AQ179" s="307" t="n"/>
      <c r="AR179" s="307" t="n"/>
      <c r="AS179" s="307" t="n"/>
      <c r="AT179" s="307" t="n"/>
    </row>
    <row r="180" ht="15.75" customHeight="1" s="349">
      <c r="A180" s="307" t="n"/>
      <c r="B180" s="307" t="n"/>
      <c r="C180" s="307" t="n"/>
      <c r="D180" s="307" t="n"/>
      <c r="E180" s="307" t="n"/>
      <c r="F180" s="307" t="n"/>
      <c r="G180" s="307" t="n"/>
      <c r="H180" s="307" t="n"/>
      <c r="I180" s="307" t="n"/>
      <c r="J180" s="307" t="n"/>
      <c r="K180" s="307" t="n"/>
      <c r="L180" s="307" t="n"/>
      <c r="M180" s="307" t="n"/>
      <c r="N180" s="307" t="n"/>
      <c r="O180" s="307" t="n"/>
      <c r="P180" s="307" t="n"/>
      <c r="Q180" s="307" t="n"/>
      <c r="R180" s="307" t="n"/>
      <c r="S180" s="307" t="n"/>
      <c r="T180" s="307" t="n"/>
      <c r="U180" s="307" t="n"/>
      <c r="V180" s="307" t="n"/>
      <c r="W180" s="307" t="n"/>
      <c r="X180" s="307" t="n"/>
      <c r="Y180" s="307" t="n"/>
      <c r="Z180" s="307" t="n"/>
      <c r="AA180" s="307" t="n"/>
      <c r="AB180" s="307" t="n"/>
      <c r="AC180" s="307" t="n"/>
      <c r="AD180" s="307" t="n"/>
      <c r="AE180" s="307" t="n"/>
      <c r="AF180" s="307" t="n"/>
      <c r="AG180" s="307" t="n"/>
      <c r="AH180" s="307" t="n"/>
      <c r="AI180" s="307" t="n"/>
      <c r="AJ180" s="307" t="n"/>
      <c r="AK180" s="307" t="n"/>
      <c r="AL180" s="307" t="n"/>
      <c r="AM180" s="307" t="n"/>
      <c r="AN180" s="307" t="n"/>
      <c r="AO180" s="307" t="n"/>
      <c r="AP180" s="307" t="n"/>
      <c r="AQ180" s="307" t="n"/>
      <c r="AR180" s="307" t="n"/>
      <c r="AS180" s="307" t="n"/>
      <c r="AT180" s="307" t="n"/>
    </row>
    <row r="181" ht="15.75" customHeight="1" s="349">
      <c r="A181" s="307" t="n"/>
      <c r="B181" s="307" t="n"/>
      <c r="C181" s="307" t="n"/>
      <c r="D181" s="307" t="n"/>
      <c r="E181" s="307" t="n"/>
      <c r="F181" s="307" t="n"/>
      <c r="G181" s="307" t="n"/>
      <c r="H181" s="307" t="n"/>
      <c r="I181" s="307" t="n"/>
      <c r="J181" s="307" t="n"/>
      <c r="K181" s="307" t="n"/>
      <c r="L181" s="307" t="n"/>
      <c r="M181" s="307" t="n"/>
      <c r="N181" s="307" t="n"/>
      <c r="O181" s="307" t="n"/>
      <c r="P181" s="307" t="n"/>
      <c r="Q181" s="307" t="n"/>
      <c r="R181" s="307" t="n"/>
      <c r="S181" s="307" t="n"/>
      <c r="T181" s="307" t="n"/>
      <c r="U181" s="307" t="n"/>
      <c r="V181" s="307" t="n"/>
      <c r="W181" s="307" t="n"/>
      <c r="X181" s="307" t="n"/>
      <c r="Y181" s="307" t="n"/>
      <c r="Z181" s="307" t="n"/>
      <c r="AA181" s="307" t="n"/>
      <c r="AB181" s="307" t="n"/>
      <c r="AC181" s="307" t="n"/>
      <c r="AD181" s="307" t="n"/>
      <c r="AE181" s="307" t="n"/>
      <c r="AF181" s="307" t="n"/>
      <c r="AG181" s="307" t="n"/>
      <c r="AH181" s="307" t="n"/>
      <c r="AI181" s="307" t="n"/>
      <c r="AJ181" s="307" t="n"/>
      <c r="AK181" s="307" t="n"/>
      <c r="AL181" s="307" t="n"/>
      <c r="AM181" s="307" t="n"/>
      <c r="AN181" s="307" t="n"/>
      <c r="AO181" s="307" t="n"/>
      <c r="AP181" s="307" t="n"/>
      <c r="AQ181" s="307" t="n"/>
      <c r="AR181" s="307" t="n"/>
      <c r="AS181" s="307" t="n"/>
      <c r="AT181" s="307" t="n"/>
    </row>
    <row r="182" ht="15.75" customHeight="1" s="349">
      <c r="A182" s="307" t="n"/>
      <c r="B182" s="307" t="n"/>
      <c r="C182" s="307" t="n"/>
      <c r="D182" s="307" t="n"/>
      <c r="E182" s="307" t="n"/>
      <c r="F182" s="307" t="n"/>
      <c r="G182" s="307" t="n"/>
      <c r="H182" s="307" t="n"/>
      <c r="I182" s="307" t="n"/>
      <c r="J182" s="307" t="n"/>
      <c r="K182" s="307" t="n"/>
      <c r="L182" s="307" t="n"/>
      <c r="M182" s="307" t="n"/>
      <c r="N182" s="307" t="n"/>
      <c r="O182" s="307" t="n"/>
      <c r="P182" s="307" t="n"/>
      <c r="Q182" s="307" t="n"/>
      <c r="R182" s="307" t="n"/>
      <c r="S182" s="307" t="n"/>
      <c r="T182" s="307" t="n"/>
      <c r="U182" s="307" t="n"/>
      <c r="V182" s="307" t="n"/>
      <c r="W182" s="307" t="n"/>
      <c r="X182" s="307" t="n"/>
      <c r="Y182" s="307" t="n"/>
      <c r="Z182" s="307" t="n"/>
      <c r="AA182" s="307" t="n"/>
      <c r="AB182" s="307" t="n"/>
      <c r="AC182" s="307" t="n"/>
      <c r="AD182" s="307" t="n"/>
      <c r="AE182" s="307" t="n"/>
      <c r="AF182" s="307" t="n"/>
      <c r="AG182" s="307" t="n"/>
      <c r="AH182" s="307" t="n"/>
      <c r="AI182" s="307" t="n"/>
      <c r="AJ182" s="307" t="n"/>
      <c r="AK182" s="307" t="n"/>
      <c r="AL182" s="307" t="n"/>
      <c r="AM182" s="307" t="n"/>
      <c r="AN182" s="307" t="n"/>
      <c r="AO182" s="307" t="n"/>
      <c r="AP182" s="307" t="n"/>
      <c r="AQ182" s="307" t="n"/>
      <c r="AR182" s="307" t="n"/>
      <c r="AS182" s="307" t="n"/>
      <c r="AT182" s="307" t="n"/>
    </row>
    <row r="183" ht="15.75" customHeight="1" s="349">
      <c r="A183" s="307" t="n"/>
      <c r="B183" s="307" t="n"/>
      <c r="C183" s="307" t="n"/>
      <c r="D183" s="307" t="n"/>
      <c r="E183" s="307" t="n"/>
      <c r="F183" s="307" t="n"/>
      <c r="G183" s="307" t="n"/>
      <c r="H183" s="307" t="n"/>
      <c r="I183" s="307" t="n"/>
      <c r="J183" s="307" t="n"/>
      <c r="K183" s="307" t="n"/>
      <c r="L183" s="307" t="n"/>
      <c r="M183" s="307" t="n"/>
      <c r="N183" s="307" t="n"/>
      <c r="O183" s="307" t="n"/>
      <c r="P183" s="307" t="n"/>
      <c r="Q183" s="307" t="n"/>
      <c r="R183" s="307" t="n"/>
      <c r="S183" s="307" t="n"/>
      <c r="T183" s="307" t="n"/>
      <c r="U183" s="307" t="n"/>
      <c r="V183" s="307" t="n"/>
      <c r="W183" s="307" t="n"/>
      <c r="X183" s="307" t="n"/>
      <c r="Y183" s="307" t="n"/>
      <c r="Z183" s="307" t="n"/>
      <c r="AA183" s="307" t="n"/>
      <c r="AB183" s="307" t="n"/>
      <c r="AC183" s="307" t="n"/>
      <c r="AD183" s="307" t="n"/>
      <c r="AE183" s="307" t="n"/>
      <c r="AF183" s="307" t="n"/>
      <c r="AG183" s="307" t="n"/>
      <c r="AH183" s="307" t="n"/>
      <c r="AI183" s="307" t="n"/>
      <c r="AJ183" s="307" t="n"/>
      <c r="AK183" s="307" t="n"/>
      <c r="AL183" s="307" t="n"/>
      <c r="AM183" s="307" t="n"/>
      <c r="AN183" s="307" t="n"/>
      <c r="AO183" s="307" t="n"/>
      <c r="AP183" s="307" t="n"/>
      <c r="AQ183" s="307" t="n"/>
      <c r="AR183" s="307" t="n"/>
      <c r="AS183" s="307" t="n"/>
      <c r="AT183" s="307" t="n"/>
    </row>
    <row r="184" ht="15.75" customHeight="1" s="349">
      <c r="A184" s="307" t="n"/>
      <c r="B184" s="307" t="n"/>
      <c r="C184" s="307" t="n"/>
      <c r="D184" s="307" t="n"/>
      <c r="E184" s="307" t="n"/>
      <c r="F184" s="307" t="n"/>
      <c r="G184" s="307" t="n"/>
      <c r="H184" s="307" t="n"/>
      <c r="I184" s="307" t="n"/>
      <c r="J184" s="307" t="n"/>
      <c r="K184" s="307" t="n"/>
      <c r="L184" s="307" t="n"/>
      <c r="M184" s="307" t="n"/>
      <c r="N184" s="307" t="n"/>
      <c r="O184" s="307" t="n"/>
      <c r="P184" s="307" t="n"/>
      <c r="Q184" s="307" t="n"/>
      <c r="R184" s="307" t="n"/>
      <c r="S184" s="307" t="n"/>
      <c r="T184" s="307" t="n"/>
      <c r="U184" s="307" t="n"/>
      <c r="V184" s="307" t="n"/>
      <c r="W184" s="307" t="n"/>
      <c r="X184" s="307" t="n"/>
      <c r="Y184" s="307" t="n"/>
      <c r="Z184" s="307" t="n"/>
      <c r="AA184" s="307" t="n"/>
      <c r="AB184" s="307" t="n"/>
      <c r="AC184" s="307" t="n"/>
      <c r="AD184" s="307" t="n"/>
      <c r="AE184" s="307" t="n"/>
      <c r="AF184" s="307" t="n"/>
      <c r="AG184" s="307" t="n"/>
      <c r="AH184" s="307" t="n"/>
      <c r="AI184" s="307" t="n"/>
      <c r="AJ184" s="307" t="n"/>
      <c r="AK184" s="307" t="n"/>
      <c r="AL184" s="307" t="n"/>
      <c r="AM184" s="307" t="n"/>
      <c r="AN184" s="307" t="n"/>
      <c r="AO184" s="307" t="n"/>
      <c r="AP184" s="307" t="n"/>
      <c r="AQ184" s="307" t="n"/>
      <c r="AR184" s="307" t="n"/>
      <c r="AS184" s="307" t="n"/>
      <c r="AT184" s="307" t="n"/>
    </row>
    <row r="185" ht="15.75" customHeight="1" s="349">
      <c r="A185" s="307" t="n"/>
      <c r="B185" s="307" t="n"/>
      <c r="C185" s="307" t="n"/>
      <c r="D185" s="307" t="n"/>
      <c r="E185" s="307" t="n"/>
      <c r="F185" s="307" t="n"/>
      <c r="G185" s="307" t="n"/>
      <c r="H185" s="307" t="n"/>
      <c r="I185" s="307" t="n"/>
      <c r="J185" s="307" t="n"/>
      <c r="K185" s="307" t="n"/>
      <c r="L185" s="307" t="n"/>
      <c r="M185" s="307" t="n"/>
      <c r="N185" s="307" t="n"/>
      <c r="O185" s="307" t="n"/>
      <c r="P185" s="307" t="n"/>
      <c r="Q185" s="307" t="n"/>
      <c r="R185" s="307" t="n"/>
      <c r="S185" s="307" t="n"/>
      <c r="T185" s="307" t="n"/>
      <c r="U185" s="307" t="n"/>
      <c r="V185" s="307" t="n"/>
      <c r="W185" s="307" t="n"/>
      <c r="X185" s="307" t="n"/>
      <c r="Y185" s="307" t="n"/>
      <c r="Z185" s="307" t="n"/>
      <c r="AA185" s="307" t="n"/>
      <c r="AB185" s="307" t="n"/>
      <c r="AC185" s="307" t="n"/>
      <c r="AD185" s="307" t="n"/>
      <c r="AE185" s="307" t="n"/>
      <c r="AF185" s="307" t="n"/>
      <c r="AG185" s="307" t="n"/>
      <c r="AH185" s="307" t="n"/>
      <c r="AI185" s="307" t="n"/>
      <c r="AJ185" s="307" t="n"/>
      <c r="AK185" s="307" t="n"/>
      <c r="AL185" s="307" t="n"/>
      <c r="AM185" s="307" t="n"/>
      <c r="AN185" s="307" t="n"/>
      <c r="AO185" s="307" t="n"/>
      <c r="AP185" s="307" t="n"/>
      <c r="AQ185" s="307" t="n"/>
      <c r="AR185" s="307" t="n"/>
      <c r="AS185" s="307" t="n"/>
      <c r="AT185" s="307" t="n"/>
    </row>
    <row r="186" ht="15.75" customHeight="1" s="349">
      <c r="A186" s="307" t="n"/>
      <c r="B186" s="307" t="n"/>
      <c r="C186" s="307" t="n"/>
      <c r="D186" s="307" t="n"/>
      <c r="E186" s="307" t="n"/>
      <c r="F186" s="307" t="n"/>
      <c r="G186" s="307" t="n"/>
      <c r="H186" s="307" t="n"/>
      <c r="I186" s="307" t="n"/>
      <c r="J186" s="307" t="n"/>
      <c r="K186" s="307" t="n"/>
      <c r="L186" s="307" t="n"/>
      <c r="M186" s="307" t="n"/>
      <c r="N186" s="307" t="n"/>
      <c r="O186" s="307" t="n"/>
      <c r="P186" s="307" t="n"/>
      <c r="Q186" s="307" t="n"/>
      <c r="R186" s="307" t="n"/>
      <c r="S186" s="307" t="n"/>
      <c r="T186" s="307" t="n"/>
      <c r="U186" s="307" t="n"/>
      <c r="V186" s="307" t="n"/>
      <c r="W186" s="307" t="n"/>
      <c r="X186" s="307" t="n"/>
      <c r="Y186" s="307" t="n"/>
      <c r="Z186" s="307" t="n"/>
      <c r="AA186" s="307" t="n"/>
      <c r="AB186" s="307" t="n"/>
      <c r="AC186" s="307" t="n"/>
      <c r="AD186" s="307" t="n"/>
      <c r="AE186" s="307" t="n"/>
      <c r="AF186" s="307" t="n"/>
      <c r="AG186" s="307" t="n"/>
      <c r="AH186" s="307" t="n"/>
      <c r="AI186" s="307" t="n"/>
      <c r="AJ186" s="307" t="n"/>
      <c r="AK186" s="307" t="n"/>
      <c r="AL186" s="307" t="n"/>
      <c r="AM186" s="307" t="n"/>
      <c r="AN186" s="307" t="n"/>
      <c r="AO186" s="307" t="n"/>
      <c r="AP186" s="307" t="n"/>
      <c r="AQ186" s="307" t="n"/>
      <c r="AR186" s="307" t="n"/>
      <c r="AS186" s="307" t="n"/>
      <c r="AT186" s="307" t="n"/>
    </row>
    <row r="187" ht="15.75" customHeight="1" s="349">
      <c r="A187" s="307" t="n"/>
      <c r="B187" s="307" t="n"/>
      <c r="C187" s="307" t="n"/>
      <c r="D187" s="307" t="n"/>
      <c r="E187" s="307" t="n"/>
      <c r="F187" s="307" t="n"/>
      <c r="G187" s="307" t="n"/>
      <c r="H187" s="307" t="n"/>
      <c r="I187" s="307" t="n"/>
      <c r="J187" s="307" t="n"/>
      <c r="K187" s="307" t="n"/>
      <c r="L187" s="307" t="n"/>
      <c r="M187" s="307" t="n"/>
      <c r="N187" s="307" t="n"/>
      <c r="O187" s="307" t="n"/>
      <c r="P187" s="307" t="n"/>
      <c r="Q187" s="307" t="n"/>
      <c r="R187" s="307" t="n"/>
      <c r="S187" s="307" t="n"/>
      <c r="T187" s="307" t="n"/>
      <c r="U187" s="307" t="n"/>
      <c r="V187" s="307" t="n"/>
      <c r="W187" s="307" t="n"/>
      <c r="X187" s="307" t="n"/>
      <c r="Y187" s="307" t="n"/>
      <c r="Z187" s="307" t="n"/>
      <c r="AA187" s="307" t="n"/>
      <c r="AB187" s="307" t="n"/>
      <c r="AC187" s="307" t="n"/>
      <c r="AD187" s="307" t="n"/>
      <c r="AE187" s="307" t="n"/>
      <c r="AF187" s="307" t="n"/>
      <c r="AG187" s="307" t="n"/>
      <c r="AH187" s="307" t="n"/>
      <c r="AI187" s="307" t="n"/>
      <c r="AJ187" s="307" t="n"/>
      <c r="AK187" s="307" t="n"/>
      <c r="AL187" s="307" t="n"/>
      <c r="AM187" s="307" t="n"/>
      <c r="AN187" s="307" t="n"/>
      <c r="AO187" s="307" t="n"/>
      <c r="AP187" s="307" t="n"/>
      <c r="AQ187" s="307" t="n"/>
      <c r="AR187" s="307" t="n"/>
      <c r="AS187" s="307" t="n"/>
      <c r="AT187" s="307" t="n"/>
    </row>
    <row r="188" ht="15.75" customHeight="1" s="349">
      <c r="A188" s="307" t="n"/>
      <c r="B188" s="307" t="n"/>
      <c r="C188" s="307" t="n"/>
      <c r="D188" s="307" t="n"/>
      <c r="E188" s="307" t="n"/>
      <c r="F188" s="307" t="n"/>
      <c r="G188" s="307" t="n"/>
      <c r="H188" s="307" t="n"/>
      <c r="I188" s="307" t="n"/>
      <c r="J188" s="307" t="n"/>
      <c r="K188" s="307" t="n"/>
      <c r="L188" s="307" t="n"/>
      <c r="M188" s="307" t="n"/>
      <c r="N188" s="307" t="n"/>
      <c r="O188" s="307" t="n"/>
      <c r="P188" s="307" t="n"/>
      <c r="Q188" s="307" t="n"/>
      <c r="R188" s="307" t="n"/>
      <c r="S188" s="307" t="n"/>
      <c r="T188" s="307" t="n"/>
      <c r="U188" s="307" t="n"/>
      <c r="V188" s="307" t="n"/>
      <c r="W188" s="307" t="n"/>
      <c r="X188" s="307" t="n"/>
      <c r="Y188" s="307" t="n"/>
      <c r="Z188" s="307" t="n"/>
      <c r="AA188" s="307" t="n"/>
      <c r="AB188" s="307" t="n"/>
      <c r="AC188" s="307" t="n"/>
      <c r="AD188" s="307" t="n"/>
      <c r="AE188" s="307" t="n"/>
      <c r="AF188" s="307" t="n"/>
      <c r="AG188" s="307" t="n"/>
      <c r="AH188" s="307" t="n"/>
      <c r="AI188" s="307" t="n"/>
      <c r="AJ188" s="307" t="n"/>
      <c r="AK188" s="307" t="n"/>
      <c r="AL188" s="307" t="n"/>
      <c r="AM188" s="307" t="n"/>
      <c r="AN188" s="307" t="n"/>
      <c r="AO188" s="307" t="n"/>
      <c r="AP188" s="307" t="n"/>
      <c r="AQ188" s="307" t="n"/>
      <c r="AR188" s="307" t="n"/>
      <c r="AS188" s="307" t="n"/>
      <c r="AT188" s="307" t="n"/>
    </row>
    <row r="189" ht="15.75" customHeight="1" s="349">
      <c r="A189" s="307" t="n"/>
      <c r="B189" s="307" t="n"/>
      <c r="C189" s="307" t="n"/>
      <c r="D189" s="307" t="n"/>
      <c r="E189" s="307" t="n"/>
      <c r="F189" s="307" t="n"/>
      <c r="G189" s="307" t="n"/>
      <c r="H189" s="307" t="n"/>
      <c r="I189" s="307" t="n"/>
      <c r="J189" s="307" t="n"/>
      <c r="K189" s="307" t="n"/>
      <c r="L189" s="307" t="n"/>
      <c r="M189" s="307" t="n"/>
      <c r="N189" s="307" t="n"/>
      <c r="O189" s="307" t="n"/>
      <c r="P189" s="307" t="n"/>
      <c r="Q189" s="307" t="n"/>
      <c r="R189" s="307" t="n"/>
      <c r="S189" s="307" t="n"/>
      <c r="T189" s="307" t="n"/>
      <c r="U189" s="307" t="n"/>
      <c r="V189" s="307" t="n"/>
      <c r="W189" s="307" t="n"/>
      <c r="X189" s="307" t="n"/>
      <c r="Y189" s="307" t="n"/>
      <c r="Z189" s="307" t="n"/>
      <c r="AA189" s="307" t="n"/>
      <c r="AB189" s="307" t="n"/>
      <c r="AC189" s="307" t="n"/>
      <c r="AD189" s="307" t="n"/>
      <c r="AE189" s="307" t="n"/>
      <c r="AF189" s="307" t="n"/>
      <c r="AG189" s="307" t="n"/>
      <c r="AH189" s="307" t="n"/>
      <c r="AI189" s="307" t="n"/>
      <c r="AJ189" s="307" t="n"/>
      <c r="AK189" s="307" t="n"/>
      <c r="AL189" s="307" t="n"/>
      <c r="AM189" s="307" t="n"/>
      <c r="AN189" s="307" t="n"/>
      <c r="AO189" s="307" t="n"/>
      <c r="AP189" s="307" t="n"/>
      <c r="AQ189" s="307" t="n"/>
      <c r="AR189" s="307" t="n"/>
      <c r="AS189" s="307" t="n"/>
      <c r="AT189" s="307" t="n"/>
    </row>
    <row r="190" ht="15.75" customHeight="1" s="349">
      <c r="A190" s="307" t="n"/>
      <c r="B190" s="307" t="n"/>
      <c r="C190" s="307" t="n"/>
      <c r="D190" s="307" t="n"/>
      <c r="E190" s="307" t="n"/>
      <c r="F190" s="307" t="n"/>
      <c r="G190" s="307" t="n"/>
      <c r="H190" s="307" t="n"/>
      <c r="I190" s="307" t="n"/>
      <c r="J190" s="307" t="n"/>
      <c r="K190" s="307" t="n"/>
      <c r="L190" s="307" t="n"/>
      <c r="M190" s="307" t="n"/>
      <c r="N190" s="307" t="n"/>
      <c r="O190" s="307" t="n"/>
      <c r="P190" s="307" t="n"/>
      <c r="Q190" s="307" t="n"/>
      <c r="R190" s="307" t="n"/>
      <c r="S190" s="307" t="n"/>
      <c r="T190" s="307" t="n"/>
      <c r="U190" s="307" t="n"/>
      <c r="V190" s="307" t="n"/>
      <c r="W190" s="307" t="n"/>
      <c r="X190" s="307" t="n"/>
      <c r="Y190" s="307" t="n"/>
      <c r="Z190" s="307" t="n"/>
      <c r="AA190" s="307" t="n"/>
      <c r="AB190" s="307" t="n"/>
      <c r="AC190" s="307" t="n"/>
      <c r="AD190" s="307" t="n"/>
      <c r="AE190" s="307" t="n"/>
      <c r="AF190" s="307" t="n"/>
      <c r="AG190" s="307" t="n"/>
      <c r="AH190" s="307" t="n"/>
      <c r="AI190" s="307" t="n"/>
      <c r="AJ190" s="307" t="n"/>
      <c r="AK190" s="307" t="n"/>
      <c r="AL190" s="307" t="n"/>
      <c r="AM190" s="307" t="n"/>
      <c r="AN190" s="307" t="n"/>
      <c r="AO190" s="307" t="n"/>
      <c r="AP190" s="307" t="n"/>
      <c r="AQ190" s="307" t="n"/>
      <c r="AR190" s="307" t="n"/>
      <c r="AS190" s="307" t="n"/>
      <c r="AT190" s="307" t="n"/>
    </row>
    <row r="191" ht="15.75" customHeight="1" s="349">
      <c r="A191" s="307" t="n"/>
      <c r="B191" s="307" t="n"/>
      <c r="C191" s="307" t="n"/>
      <c r="D191" s="307" t="n"/>
      <c r="E191" s="307" t="n"/>
      <c r="F191" s="307" t="n"/>
      <c r="G191" s="307" t="n"/>
      <c r="H191" s="307" t="n"/>
      <c r="I191" s="307" t="n"/>
      <c r="J191" s="307" t="n"/>
      <c r="K191" s="307" t="n"/>
      <c r="L191" s="307" t="n"/>
      <c r="M191" s="307" t="n"/>
      <c r="N191" s="307" t="n"/>
      <c r="O191" s="307" t="n"/>
      <c r="P191" s="307" t="n"/>
      <c r="Q191" s="307" t="n"/>
      <c r="R191" s="307" t="n"/>
      <c r="S191" s="307" t="n"/>
      <c r="T191" s="307" t="n"/>
      <c r="U191" s="307" t="n"/>
      <c r="V191" s="307" t="n"/>
      <c r="W191" s="307" t="n"/>
      <c r="X191" s="307" t="n"/>
      <c r="Y191" s="307" t="n"/>
      <c r="Z191" s="307" t="n"/>
      <c r="AA191" s="307" t="n"/>
      <c r="AB191" s="307" t="n"/>
      <c r="AC191" s="307" t="n"/>
      <c r="AD191" s="307" t="n"/>
      <c r="AE191" s="307" t="n"/>
      <c r="AF191" s="307" t="n"/>
      <c r="AG191" s="307" t="n"/>
      <c r="AH191" s="307" t="n"/>
      <c r="AI191" s="307" t="n"/>
      <c r="AJ191" s="307" t="n"/>
      <c r="AK191" s="307" t="n"/>
      <c r="AL191" s="307" t="n"/>
      <c r="AM191" s="307" t="n"/>
      <c r="AN191" s="307" t="n"/>
      <c r="AO191" s="307" t="n"/>
      <c r="AP191" s="307" t="n"/>
      <c r="AQ191" s="307" t="n"/>
      <c r="AR191" s="307" t="n"/>
      <c r="AS191" s="307" t="n"/>
      <c r="AT191" s="307" t="n"/>
    </row>
    <row r="192" ht="15.75" customHeight="1" s="349">
      <c r="A192" s="307" t="n"/>
      <c r="B192" s="307" t="n"/>
      <c r="C192" s="307" t="n"/>
      <c r="D192" s="307" t="n"/>
      <c r="E192" s="307" t="n"/>
      <c r="F192" s="307" t="n"/>
      <c r="G192" s="307" t="n"/>
      <c r="H192" s="307" t="n"/>
      <c r="I192" s="307" t="n"/>
      <c r="J192" s="307" t="n"/>
      <c r="K192" s="307" t="n"/>
      <c r="L192" s="307" t="n"/>
      <c r="M192" s="307" t="n"/>
      <c r="N192" s="307" t="n"/>
      <c r="O192" s="307" t="n"/>
      <c r="P192" s="307" t="n"/>
      <c r="Q192" s="307" t="n"/>
      <c r="R192" s="307" t="n"/>
      <c r="S192" s="307" t="n"/>
      <c r="T192" s="307" t="n"/>
      <c r="U192" s="307" t="n"/>
      <c r="V192" s="307" t="n"/>
      <c r="W192" s="307" t="n"/>
      <c r="X192" s="307" t="n"/>
      <c r="Y192" s="307" t="n"/>
      <c r="Z192" s="307" t="n"/>
      <c r="AA192" s="307" t="n"/>
      <c r="AB192" s="307" t="n"/>
      <c r="AC192" s="307" t="n"/>
      <c r="AD192" s="307" t="n"/>
      <c r="AE192" s="307" t="n"/>
      <c r="AF192" s="307" t="n"/>
      <c r="AG192" s="307" t="n"/>
      <c r="AH192" s="307" t="n"/>
      <c r="AI192" s="307" t="n"/>
      <c r="AJ192" s="307" t="n"/>
      <c r="AK192" s="307" t="n"/>
      <c r="AL192" s="307" t="n"/>
      <c r="AM192" s="307" t="n"/>
      <c r="AN192" s="307" t="n"/>
      <c r="AO192" s="307" t="n"/>
      <c r="AP192" s="307" t="n"/>
      <c r="AQ192" s="307" t="n"/>
      <c r="AR192" s="307" t="n"/>
      <c r="AS192" s="307" t="n"/>
      <c r="AT192" s="307" t="n"/>
    </row>
    <row r="193" ht="15.75" customHeight="1" s="349">
      <c r="A193" s="307" t="n"/>
      <c r="B193" s="307" t="n"/>
      <c r="C193" s="307" t="n"/>
      <c r="D193" s="307" t="n"/>
      <c r="E193" s="307" t="n"/>
      <c r="F193" s="307" t="n"/>
      <c r="G193" s="307" t="n"/>
      <c r="H193" s="307" t="n"/>
      <c r="I193" s="307" t="n"/>
      <c r="J193" s="307" t="n"/>
      <c r="K193" s="307" t="n"/>
      <c r="L193" s="307" t="n"/>
      <c r="M193" s="307" t="n"/>
      <c r="N193" s="307" t="n"/>
      <c r="O193" s="307" t="n"/>
      <c r="P193" s="307" t="n"/>
      <c r="Q193" s="307" t="n"/>
      <c r="R193" s="307" t="n"/>
      <c r="S193" s="307" t="n"/>
      <c r="T193" s="307" t="n"/>
      <c r="U193" s="307" t="n"/>
      <c r="V193" s="307" t="n"/>
      <c r="W193" s="307" t="n"/>
      <c r="X193" s="307" t="n"/>
      <c r="Y193" s="307" t="n"/>
      <c r="Z193" s="307" t="n"/>
      <c r="AA193" s="307" t="n"/>
      <c r="AB193" s="307" t="n"/>
      <c r="AC193" s="307" t="n"/>
      <c r="AD193" s="307" t="n"/>
      <c r="AE193" s="307" t="n"/>
      <c r="AF193" s="307" t="n"/>
      <c r="AG193" s="307" t="n"/>
      <c r="AH193" s="307" t="n"/>
      <c r="AI193" s="307" t="n"/>
      <c r="AJ193" s="307" t="n"/>
      <c r="AK193" s="307" t="n"/>
      <c r="AL193" s="307" t="n"/>
      <c r="AM193" s="307" t="n"/>
      <c r="AN193" s="307" t="n"/>
      <c r="AO193" s="307" t="n"/>
      <c r="AP193" s="307" t="n"/>
      <c r="AQ193" s="307" t="n"/>
      <c r="AR193" s="307" t="n"/>
      <c r="AS193" s="307" t="n"/>
      <c r="AT193" s="307" t="n"/>
    </row>
    <row r="194" ht="15.75" customHeight="1" s="349">
      <c r="A194" s="307" t="n"/>
      <c r="B194" s="307" t="n"/>
      <c r="C194" s="307" t="n"/>
      <c r="D194" s="307" t="n"/>
      <c r="E194" s="307" t="n"/>
      <c r="F194" s="307" t="n"/>
      <c r="G194" s="307" t="n"/>
      <c r="H194" s="307" t="n"/>
      <c r="I194" s="307" t="n"/>
      <c r="J194" s="307" t="n"/>
      <c r="K194" s="307" t="n"/>
      <c r="L194" s="307" t="n"/>
      <c r="M194" s="307" t="n"/>
      <c r="N194" s="307" t="n"/>
      <c r="O194" s="307" t="n"/>
      <c r="P194" s="307" t="n"/>
      <c r="Q194" s="307" t="n"/>
      <c r="R194" s="307" t="n"/>
      <c r="S194" s="307" t="n"/>
      <c r="T194" s="307" t="n"/>
      <c r="U194" s="307" t="n"/>
      <c r="V194" s="307" t="n"/>
      <c r="W194" s="307" t="n"/>
      <c r="X194" s="307" t="n"/>
      <c r="Y194" s="307" t="n"/>
      <c r="Z194" s="307" t="n"/>
      <c r="AA194" s="307" t="n"/>
      <c r="AB194" s="307" t="n"/>
      <c r="AC194" s="307" t="n"/>
      <c r="AD194" s="307" t="n"/>
      <c r="AE194" s="307" t="n"/>
      <c r="AF194" s="307" t="n"/>
      <c r="AG194" s="307" t="n"/>
      <c r="AH194" s="307" t="n"/>
      <c r="AI194" s="307" t="n"/>
      <c r="AJ194" s="307" t="n"/>
      <c r="AK194" s="307" t="n"/>
      <c r="AL194" s="307" t="n"/>
      <c r="AM194" s="307" t="n"/>
      <c r="AN194" s="307" t="n"/>
      <c r="AO194" s="307" t="n"/>
      <c r="AP194" s="307" t="n"/>
      <c r="AQ194" s="307" t="n"/>
      <c r="AR194" s="307" t="n"/>
      <c r="AS194" s="307" t="n"/>
      <c r="AT194" s="307" t="n"/>
    </row>
    <row r="195" ht="15.75" customHeight="1" s="349">
      <c r="A195" s="307" t="n"/>
      <c r="B195" s="307" t="n"/>
      <c r="C195" s="307" t="n"/>
      <c r="D195" s="307" t="n"/>
      <c r="E195" s="307" t="n"/>
      <c r="F195" s="307" t="n"/>
      <c r="G195" s="307" t="n"/>
      <c r="H195" s="307" t="n"/>
      <c r="I195" s="307" t="n"/>
      <c r="J195" s="307" t="n"/>
      <c r="K195" s="307" t="n"/>
      <c r="L195" s="307" t="n"/>
      <c r="M195" s="307" t="n"/>
      <c r="N195" s="307" t="n"/>
      <c r="O195" s="307" t="n"/>
      <c r="P195" s="307" t="n"/>
      <c r="Q195" s="307" t="n"/>
      <c r="R195" s="307" t="n"/>
      <c r="S195" s="307" t="n"/>
      <c r="T195" s="307" t="n"/>
      <c r="U195" s="307" t="n"/>
      <c r="V195" s="307" t="n"/>
      <c r="W195" s="307" t="n"/>
      <c r="X195" s="307" t="n"/>
      <c r="Y195" s="307" t="n"/>
      <c r="Z195" s="307" t="n"/>
      <c r="AA195" s="307" t="n"/>
      <c r="AB195" s="307" t="n"/>
      <c r="AC195" s="307" t="n"/>
      <c r="AD195" s="307" t="n"/>
      <c r="AE195" s="307" t="n"/>
      <c r="AF195" s="307" t="n"/>
      <c r="AG195" s="307" t="n"/>
      <c r="AH195" s="307" t="n"/>
      <c r="AI195" s="307" t="n"/>
      <c r="AJ195" s="307" t="n"/>
      <c r="AK195" s="307" t="n"/>
      <c r="AL195" s="307" t="n"/>
      <c r="AM195" s="307" t="n"/>
      <c r="AN195" s="307" t="n"/>
      <c r="AO195" s="307" t="n"/>
      <c r="AP195" s="307" t="n"/>
      <c r="AQ195" s="307" t="n"/>
      <c r="AR195" s="307" t="n"/>
      <c r="AS195" s="307" t="n"/>
      <c r="AT195" s="307" t="n"/>
    </row>
    <row r="196" ht="15.75" customHeight="1" s="349">
      <c r="A196" s="307" t="n"/>
      <c r="B196" s="307" t="n"/>
      <c r="C196" s="307" t="n"/>
      <c r="D196" s="307" t="n"/>
      <c r="E196" s="307" t="n"/>
      <c r="F196" s="307" t="n"/>
      <c r="G196" s="307" t="n"/>
      <c r="H196" s="307" t="n"/>
      <c r="I196" s="307" t="n"/>
      <c r="J196" s="307" t="n"/>
      <c r="K196" s="307" t="n"/>
      <c r="L196" s="307" t="n"/>
      <c r="M196" s="307" t="n"/>
      <c r="N196" s="307" t="n"/>
      <c r="O196" s="307" t="n"/>
      <c r="P196" s="307" t="n"/>
      <c r="Q196" s="307" t="n"/>
      <c r="R196" s="307" t="n"/>
      <c r="S196" s="307" t="n"/>
      <c r="T196" s="307" t="n"/>
      <c r="U196" s="307" t="n"/>
      <c r="V196" s="307" t="n"/>
      <c r="W196" s="307" t="n"/>
      <c r="X196" s="307" t="n"/>
      <c r="Y196" s="307" t="n"/>
      <c r="Z196" s="307" t="n"/>
      <c r="AA196" s="307" t="n"/>
      <c r="AB196" s="307" t="n"/>
      <c r="AC196" s="307" t="n"/>
      <c r="AD196" s="307" t="n"/>
      <c r="AE196" s="307" t="n"/>
      <c r="AF196" s="307" t="n"/>
      <c r="AG196" s="307" t="n"/>
      <c r="AH196" s="307" t="n"/>
      <c r="AI196" s="307" t="n"/>
      <c r="AJ196" s="307" t="n"/>
      <c r="AK196" s="307" t="n"/>
      <c r="AL196" s="307" t="n"/>
      <c r="AM196" s="307" t="n"/>
      <c r="AN196" s="307" t="n"/>
      <c r="AO196" s="307" t="n"/>
      <c r="AP196" s="307" t="n"/>
      <c r="AQ196" s="307" t="n"/>
      <c r="AR196" s="307" t="n"/>
      <c r="AS196" s="307" t="n"/>
      <c r="AT196" s="307" t="n"/>
    </row>
    <row r="197" ht="15.75" customHeight="1" s="349">
      <c r="A197" s="307" t="n"/>
      <c r="B197" s="307" t="n"/>
      <c r="C197" s="307" t="n"/>
      <c r="D197" s="307" t="n"/>
      <c r="E197" s="307" t="n"/>
      <c r="F197" s="307" t="n"/>
      <c r="G197" s="307" t="n"/>
      <c r="H197" s="307" t="n"/>
      <c r="I197" s="307" t="n"/>
      <c r="J197" s="307" t="n"/>
      <c r="K197" s="307" t="n"/>
      <c r="L197" s="307" t="n"/>
      <c r="M197" s="307" t="n"/>
      <c r="N197" s="307" t="n"/>
      <c r="O197" s="307" t="n"/>
      <c r="P197" s="307" t="n"/>
      <c r="Q197" s="307" t="n"/>
      <c r="R197" s="307" t="n"/>
      <c r="S197" s="307" t="n"/>
      <c r="T197" s="307" t="n"/>
      <c r="U197" s="307" t="n"/>
      <c r="V197" s="307" t="n"/>
      <c r="W197" s="307" t="n"/>
      <c r="X197" s="307" t="n"/>
      <c r="Y197" s="307" t="n"/>
      <c r="Z197" s="307" t="n"/>
      <c r="AA197" s="307" t="n"/>
      <c r="AB197" s="307" t="n"/>
      <c r="AC197" s="307" t="n"/>
      <c r="AD197" s="307" t="n"/>
      <c r="AE197" s="307" t="n"/>
      <c r="AF197" s="307" t="n"/>
      <c r="AG197" s="307" t="n"/>
      <c r="AH197" s="307" t="n"/>
      <c r="AI197" s="307" t="n"/>
      <c r="AJ197" s="307" t="n"/>
      <c r="AK197" s="307" t="n"/>
      <c r="AL197" s="307" t="n"/>
      <c r="AM197" s="307" t="n"/>
      <c r="AN197" s="307" t="n"/>
      <c r="AO197" s="307" t="n"/>
      <c r="AP197" s="307" t="n"/>
      <c r="AQ197" s="307" t="n"/>
      <c r="AR197" s="307" t="n"/>
      <c r="AS197" s="307" t="n"/>
      <c r="AT197" s="307" t="n"/>
    </row>
    <row r="198" ht="15.75" customHeight="1" s="349">
      <c r="A198" s="307" t="n"/>
      <c r="B198" s="307" t="n"/>
      <c r="C198" s="307" t="n"/>
      <c r="D198" s="307" t="n"/>
      <c r="E198" s="307" t="n"/>
      <c r="F198" s="307" t="n"/>
      <c r="G198" s="307" t="n"/>
      <c r="H198" s="307" t="n"/>
      <c r="I198" s="307" t="n"/>
      <c r="J198" s="307" t="n"/>
      <c r="K198" s="307" t="n"/>
      <c r="L198" s="307" t="n"/>
      <c r="M198" s="307" t="n"/>
      <c r="N198" s="307" t="n"/>
      <c r="O198" s="307" t="n"/>
      <c r="P198" s="307" t="n"/>
      <c r="Q198" s="307" t="n"/>
      <c r="R198" s="307" t="n"/>
      <c r="S198" s="307" t="n"/>
      <c r="T198" s="307" t="n"/>
      <c r="U198" s="307" t="n"/>
      <c r="V198" s="307" t="n"/>
      <c r="W198" s="307" t="n"/>
      <c r="X198" s="307" t="n"/>
      <c r="Y198" s="307" t="n"/>
      <c r="Z198" s="307" t="n"/>
      <c r="AA198" s="307" t="n"/>
      <c r="AB198" s="307" t="n"/>
      <c r="AC198" s="307" t="n"/>
      <c r="AD198" s="307" t="n"/>
      <c r="AE198" s="307" t="n"/>
      <c r="AF198" s="307" t="n"/>
      <c r="AG198" s="307" t="n"/>
      <c r="AH198" s="307" t="n"/>
      <c r="AI198" s="307" t="n"/>
      <c r="AJ198" s="307" t="n"/>
      <c r="AK198" s="307" t="n"/>
      <c r="AL198" s="307" t="n"/>
      <c r="AM198" s="307" t="n"/>
      <c r="AN198" s="307" t="n"/>
      <c r="AO198" s="307" t="n"/>
      <c r="AP198" s="307" t="n"/>
      <c r="AQ198" s="307" t="n"/>
      <c r="AR198" s="307" t="n"/>
      <c r="AS198" s="307" t="n"/>
      <c r="AT198" s="307" t="n"/>
    </row>
    <row r="199" ht="15.75" customHeight="1" s="349">
      <c r="A199" s="307" t="n"/>
      <c r="B199" s="307" t="n"/>
      <c r="C199" s="307" t="n"/>
      <c r="D199" s="307" t="n"/>
      <c r="E199" s="307" t="n"/>
      <c r="F199" s="307" t="n"/>
      <c r="G199" s="307" t="n"/>
      <c r="H199" s="307" t="n"/>
      <c r="I199" s="307" t="n"/>
      <c r="J199" s="307" t="n"/>
      <c r="K199" s="307" t="n"/>
      <c r="L199" s="307" t="n"/>
      <c r="M199" s="307" t="n"/>
      <c r="N199" s="307" t="n"/>
      <c r="O199" s="307" t="n"/>
      <c r="P199" s="307" t="n"/>
      <c r="Q199" s="307" t="n"/>
      <c r="R199" s="307" t="n"/>
      <c r="S199" s="307" t="n"/>
      <c r="T199" s="307" t="n"/>
      <c r="U199" s="307" t="n"/>
      <c r="V199" s="307" t="n"/>
      <c r="W199" s="307" t="n"/>
      <c r="X199" s="307" t="n"/>
      <c r="Y199" s="307" t="n"/>
      <c r="Z199" s="307" t="n"/>
      <c r="AA199" s="307" t="n"/>
      <c r="AB199" s="307" t="n"/>
      <c r="AC199" s="307" t="n"/>
      <c r="AD199" s="307" t="n"/>
      <c r="AE199" s="307" t="n"/>
      <c r="AF199" s="307" t="n"/>
      <c r="AG199" s="307" t="n"/>
      <c r="AH199" s="307" t="n"/>
      <c r="AI199" s="307" t="n"/>
      <c r="AJ199" s="307" t="n"/>
      <c r="AK199" s="307" t="n"/>
      <c r="AL199" s="307" t="n"/>
      <c r="AM199" s="307" t="n"/>
      <c r="AN199" s="307" t="n"/>
      <c r="AO199" s="307" t="n"/>
      <c r="AP199" s="307" t="n"/>
      <c r="AQ199" s="307" t="n"/>
      <c r="AR199" s="307" t="n"/>
      <c r="AS199" s="307" t="n"/>
      <c r="AT199" s="307" t="n"/>
    </row>
    <row r="200" ht="15.75" customHeight="1" s="349">
      <c r="A200" s="307" t="n"/>
      <c r="B200" s="307" t="n"/>
      <c r="C200" s="307" t="n"/>
      <c r="D200" s="307" t="n"/>
      <c r="E200" s="307" t="n"/>
      <c r="F200" s="307" t="n"/>
      <c r="G200" s="307" t="n"/>
      <c r="H200" s="307" t="n"/>
      <c r="I200" s="307" t="n"/>
      <c r="J200" s="307" t="n"/>
      <c r="K200" s="307" t="n"/>
      <c r="L200" s="307" t="n"/>
      <c r="M200" s="307" t="n"/>
      <c r="N200" s="307" t="n"/>
      <c r="O200" s="307" t="n"/>
      <c r="P200" s="307" t="n"/>
      <c r="Q200" s="307" t="n"/>
      <c r="R200" s="307" t="n"/>
      <c r="S200" s="307" t="n"/>
      <c r="T200" s="307" t="n"/>
      <c r="U200" s="307" t="n"/>
      <c r="V200" s="307" t="n"/>
      <c r="W200" s="307" t="n"/>
      <c r="X200" s="307" t="n"/>
      <c r="Y200" s="307" t="n"/>
      <c r="Z200" s="307" t="n"/>
      <c r="AA200" s="307" t="n"/>
      <c r="AB200" s="307" t="n"/>
      <c r="AC200" s="307" t="n"/>
      <c r="AD200" s="307" t="n"/>
      <c r="AE200" s="307" t="n"/>
      <c r="AF200" s="307" t="n"/>
      <c r="AG200" s="307" t="n"/>
      <c r="AH200" s="307" t="n"/>
      <c r="AI200" s="307" t="n"/>
      <c r="AJ200" s="307" t="n"/>
      <c r="AK200" s="307" t="n"/>
      <c r="AL200" s="307" t="n"/>
      <c r="AM200" s="307" t="n"/>
      <c r="AN200" s="307" t="n"/>
      <c r="AO200" s="307" t="n"/>
      <c r="AP200" s="307" t="n"/>
      <c r="AQ200" s="307" t="n"/>
      <c r="AR200" s="307" t="n"/>
      <c r="AS200" s="307" t="n"/>
      <c r="AT200" s="307" t="n"/>
    </row>
    <row r="201" ht="15.75" customHeight="1" s="349">
      <c r="A201" s="307" t="n"/>
      <c r="B201" s="307" t="n"/>
      <c r="C201" s="307" t="n"/>
      <c r="D201" s="307" t="n"/>
      <c r="E201" s="307" t="n"/>
      <c r="F201" s="307" t="n"/>
      <c r="G201" s="307" t="n"/>
      <c r="H201" s="307" t="n"/>
      <c r="I201" s="307" t="n"/>
      <c r="J201" s="307" t="n"/>
      <c r="K201" s="307" t="n"/>
      <c r="L201" s="307" t="n"/>
      <c r="M201" s="307" t="n"/>
      <c r="N201" s="307" t="n"/>
      <c r="O201" s="307" t="n"/>
      <c r="P201" s="307" t="n"/>
      <c r="Q201" s="307" t="n"/>
      <c r="R201" s="307" t="n"/>
      <c r="S201" s="307" t="n"/>
      <c r="T201" s="307" t="n"/>
      <c r="U201" s="307" t="n"/>
      <c r="V201" s="307" t="n"/>
      <c r="W201" s="307" t="n"/>
      <c r="X201" s="307" t="n"/>
      <c r="Y201" s="307" t="n"/>
      <c r="Z201" s="307" t="n"/>
      <c r="AA201" s="307" t="n"/>
      <c r="AB201" s="307" t="n"/>
      <c r="AC201" s="307" t="n"/>
      <c r="AD201" s="307" t="n"/>
      <c r="AE201" s="307" t="n"/>
      <c r="AF201" s="307" t="n"/>
      <c r="AG201" s="307" t="n"/>
      <c r="AH201" s="307" t="n"/>
      <c r="AI201" s="307" t="n"/>
      <c r="AJ201" s="307" t="n"/>
      <c r="AK201" s="307" t="n"/>
      <c r="AL201" s="307" t="n"/>
      <c r="AM201" s="307" t="n"/>
      <c r="AN201" s="307" t="n"/>
      <c r="AO201" s="307" t="n"/>
      <c r="AP201" s="307" t="n"/>
      <c r="AQ201" s="307" t="n"/>
      <c r="AR201" s="307" t="n"/>
      <c r="AS201" s="307" t="n"/>
      <c r="AT201" s="307" t="n"/>
    </row>
    <row r="202" ht="15.75" customHeight="1" s="349">
      <c r="A202" s="307" t="n"/>
      <c r="B202" s="307" t="n"/>
      <c r="C202" s="307" t="n"/>
      <c r="D202" s="307" t="n"/>
      <c r="E202" s="307" t="n"/>
      <c r="F202" s="307" t="n"/>
      <c r="G202" s="307" t="n"/>
      <c r="H202" s="307" t="n"/>
      <c r="I202" s="307" t="n"/>
      <c r="J202" s="307" t="n"/>
      <c r="K202" s="307" t="n"/>
      <c r="L202" s="307" t="n"/>
      <c r="M202" s="307" t="n"/>
      <c r="N202" s="307" t="n"/>
      <c r="O202" s="307" t="n"/>
      <c r="P202" s="307" t="n"/>
      <c r="Q202" s="307" t="n"/>
      <c r="R202" s="307" t="n"/>
      <c r="S202" s="307" t="n"/>
      <c r="T202" s="307" t="n"/>
      <c r="U202" s="307" t="n"/>
      <c r="V202" s="307" t="n"/>
      <c r="W202" s="307" t="n"/>
      <c r="X202" s="307" t="n"/>
      <c r="Y202" s="307" t="n"/>
      <c r="Z202" s="307" t="n"/>
      <c r="AA202" s="307" t="n"/>
      <c r="AB202" s="307" t="n"/>
      <c r="AC202" s="307" t="n"/>
      <c r="AD202" s="307" t="n"/>
      <c r="AE202" s="307" t="n"/>
      <c r="AF202" s="307" t="n"/>
      <c r="AG202" s="307" t="n"/>
      <c r="AH202" s="307" t="n"/>
      <c r="AI202" s="307" t="n"/>
      <c r="AJ202" s="307" t="n"/>
      <c r="AK202" s="307" t="n"/>
      <c r="AL202" s="307" t="n"/>
      <c r="AM202" s="307" t="n"/>
      <c r="AN202" s="307" t="n"/>
      <c r="AO202" s="307" t="n"/>
      <c r="AP202" s="307" t="n"/>
      <c r="AQ202" s="307" t="n"/>
      <c r="AR202" s="307" t="n"/>
      <c r="AS202" s="307" t="n"/>
      <c r="AT202" s="307" t="n"/>
    </row>
    <row r="203" ht="15.75" customHeight="1" s="349">
      <c r="A203" s="307" t="n"/>
      <c r="B203" s="307" t="n"/>
      <c r="C203" s="307" t="n"/>
      <c r="D203" s="307" t="n"/>
      <c r="E203" s="307" t="n"/>
      <c r="F203" s="307" t="n"/>
      <c r="G203" s="307" t="n"/>
      <c r="H203" s="307" t="n"/>
      <c r="I203" s="307" t="n"/>
      <c r="J203" s="307" t="n"/>
      <c r="K203" s="307" t="n"/>
      <c r="L203" s="307" t="n"/>
      <c r="M203" s="307" t="n"/>
      <c r="N203" s="307" t="n"/>
      <c r="O203" s="307" t="n"/>
      <c r="P203" s="307" t="n"/>
      <c r="Q203" s="307" t="n"/>
      <c r="R203" s="307" t="n"/>
      <c r="S203" s="307" t="n"/>
      <c r="T203" s="307" t="n"/>
      <c r="U203" s="307" t="n"/>
      <c r="V203" s="307" t="n"/>
      <c r="W203" s="307" t="n"/>
      <c r="X203" s="307" t="n"/>
      <c r="Y203" s="307" t="n"/>
      <c r="Z203" s="307" t="n"/>
      <c r="AA203" s="307" t="n"/>
      <c r="AB203" s="307" t="n"/>
      <c r="AC203" s="307" t="n"/>
      <c r="AD203" s="307" t="n"/>
      <c r="AE203" s="307" t="n"/>
      <c r="AF203" s="307" t="n"/>
      <c r="AG203" s="307" t="n"/>
      <c r="AH203" s="307" t="n"/>
      <c r="AI203" s="307" t="n"/>
      <c r="AJ203" s="307" t="n"/>
      <c r="AK203" s="307" t="n"/>
      <c r="AL203" s="307" t="n"/>
      <c r="AM203" s="307" t="n"/>
      <c r="AN203" s="307" t="n"/>
      <c r="AO203" s="307" t="n"/>
      <c r="AP203" s="307" t="n"/>
      <c r="AQ203" s="307" t="n"/>
      <c r="AR203" s="307" t="n"/>
      <c r="AS203" s="307" t="n"/>
      <c r="AT203" s="307" t="n"/>
    </row>
    <row r="204" ht="15.75" customHeight="1" s="349">
      <c r="A204" s="307" t="n"/>
      <c r="B204" s="307" t="n"/>
      <c r="C204" s="307" t="n"/>
      <c r="D204" s="307" t="n"/>
      <c r="E204" s="307" t="n"/>
      <c r="F204" s="307" t="n"/>
      <c r="G204" s="307" t="n"/>
      <c r="H204" s="307" t="n"/>
      <c r="I204" s="307" t="n"/>
      <c r="J204" s="307" t="n"/>
      <c r="K204" s="307" t="n"/>
      <c r="L204" s="307" t="n"/>
      <c r="M204" s="307" t="n"/>
      <c r="N204" s="307" t="n"/>
      <c r="O204" s="307" t="n"/>
      <c r="P204" s="307" t="n"/>
      <c r="Q204" s="307" t="n"/>
      <c r="R204" s="307" t="n"/>
      <c r="S204" s="307" t="n"/>
      <c r="T204" s="307" t="n"/>
      <c r="U204" s="307" t="n"/>
      <c r="V204" s="307" t="n"/>
      <c r="W204" s="307" t="n"/>
      <c r="X204" s="307" t="n"/>
      <c r="Y204" s="307" t="n"/>
      <c r="Z204" s="307" t="n"/>
      <c r="AA204" s="307" t="n"/>
      <c r="AB204" s="307" t="n"/>
      <c r="AC204" s="307" t="n"/>
      <c r="AD204" s="307" t="n"/>
      <c r="AE204" s="307" t="n"/>
      <c r="AF204" s="307" t="n"/>
      <c r="AG204" s="307" t="n"/>
      <c r="AH204" s="307" t="n"/>
      <c r="AI204" s="307" t="n"/>
      <c r="AJ204" s="307" t="n"/>
      <c r="AK204" s="307" t="n"/>
      <c r="AL204" s="307" t="n"/>
      <c r="AM204" s="307" t="n"/>
      <c r="AN204" s="307" t="n"/>
      <c r="AO204" s="307" t="n"/>
      <c r="AP204" s="307" t="n"/>
      <c r="AQ204" s="307" t="n"/>
      <c r="AR204" s="307" t="n"/>
      <c r="AS204" s="307" t="n"/>
      <c r="AT204" s="307" t="n"/>
    </row>
    <row r="205" ht="15.75" customHeight="1" s="349">
      <c r="A205" s="307" t="n"/>
      <c r="B205" s="307" t="n"/>
      <c r="C205" s="307" t="n"/>
      <c r="D205" s="307" t="n"/>
      <c r="E205" s="307" t="n"/>
      <c r="F205" s="307" t="n"/>
      <c r="G205" s="307" t="n"/>
      <c r="H205" s="307" t="n"/>
      <c r="I205" s="307" t="n"/>
      <c r="J205" s="307" t="n"/>
      <c r="K205" s="307" t="n"/>
      <c r="L205" s="307" t="n"/>
      <c r="M205" s="307" t="n"/>
      <c r="N205" s="307" t="n"/>
      <c r="O205" s="307" t="n"/>
      <c r="P205" s="307" t="n"/>
      <c r="Q205" s="307" t="n"/>
      <c r="R205" s="307" t="n"/>
      <c r="S205" s="307" t="n"/>
      <c r="T205" s="307" t="n"/>
      <c r="U205" s="307" t="n"/>
      <c r="V205" s="307" t="n"/>
      <c r="W205" s="307" t="n"/>
      <c r="X205" s="307" t="n"/>
      <c r="Y205" s="307" t="n"/>
      <c r="Z205" s="307" t="n"/>
      <c r="AA205" s="307" t="n"/>
      <c r="AB205" s="307" t="n"/>
      <c r="AC205" s="307" t="n"/>
      <c r="AD205" s="307" t="n"/>
      <c r="AE205" s="307" t="n"/>
      <c r="AF205" s="307" t="n"/>
      <c r="AG205" s="307" t="n"/>
      <c r="AH205" s="307" t="n"/>
      <c r="AI205" s="307" t="n"/>
      <c r="AJ205" s="307" t="n"/>
      <c r="AK205" s="307" t="n"/>
      <c r="AL205" s="307" t="n"/>
      <c r="AM205" s="307" t="n"/>
      <c r="AN205" s="307" t="n"/>
      <c r="AO205" s="307" t="n"/>
      <c r="AP205" s="307" t="n"/>
      <c r="AQ205" s="307" t="n"/>
      <c r="AR205" s="307" t="n"/>
      <c r="AS205" s="307" t="n"/>
      <c r="AT205" s="307" t="n"/>
    </row>
    <row r="206" ht="15.75" customHeight="1" s="349">
      <c r="A206" s="307" t="n"/>
      <c r="B206" s="307" t="n"/>
      <c r="C206" s="307" t="n"/>
      <c r="D206" s="307" t="n"/>
      <c r="E206" s="307" t="n"/>
      <c r="F206" s="307" t="n"/>
      <c r="G206" s="307" t="n"/>
      <c r="H206" s="307" t="n"/>
      <c r="I206" s="307" t="n"/>
      <c r="J206" s="307" t="n"/>
      <c r="K206" s="307" t="n"/>
      <c r="L206" s="307" t="n"/>
      <c r="M206" s="307" t="n"/>
      <c r="N206" s="307" t="n"/>
      <c r="O206" s="307" t="n"/>
      <c r="P206" s="307" t="n"/>
      <c r="Q206" s="307" t="n"/>
      <c r="R206" s="307" t="n"/>
      <c r="S206" s="307" t="n"/>
      <c r="T206" s="307" t="n"/>
      <c r="U206" s="307" t="n"/>
      <c r="V206" s="307" t="n"/>
      <c r="W206" s="307" t="n"/>
      <c r="X206" s="307" t="n"/>
      <c r="Y206" s="307" t="n"/>
      <c r="Z206" s="307" t="n"/>
      <c r="AA206" s="307" t="n"/>
      <c r="AB206" s="307" t="n"/>
      <c r="AC206" s="307" t="n"/>
      <c r="AD206" s="307" t="n"/>
      <c r="AE206" s="307" t="n"/>
      <c r="AF206" s="307" t="n"/>
      <c r="AG206" s="307" t="n"/>
      <c r="AH206" s="307" t="n"/>
      <c r="AI206" s="307" t="n"/>
      <c r="AJ206" s="307" t="n"/>
      <c r="AK206" s="307" t="n"/>
      <c r="AL206" s="307" t="n"/>
      <c r="AM206" s="307" t="n"/>
      <c r="AN206" s="307" t="n"/>
      <c r="AO206" s="307" t="n"/>
      <c r="AP206" s="307" t="n"/>
      <c r="AQ206" s="307" t="n"/>
      <c r="AR206" s="307" t="n"/>
      <c r="AS206" s="307" t="n"/>
      <c r="AT206" s="307" t="n"/>
    </row>
    <row r="207" ht="15.75" customHeight="1" s="349">
      <c r="A207" s="307" t="n"/>
      <c r="B207" s="307" t="n"/>
      <c r="C207" s="307" t="n"/>
      <c r="D207" s="307" t="n"/>
      <c r="E207" s="307" t="n"/>
      <c r="F207" s="307" t="n"/>
      <c r="G207" s="307" t="n"/>
      <c r="H207" s="307" t="n"/>
      <c r="I207" s="307" t="n"/>
      <c r="J207" s="307" t="n"/>
      <c r="K207" s="307" t="n"/>
      <c r="L207" s="307" t="n"/>
      <c r="M207" s="307" t="n"/>
      <c r="N207" s="307" t="n"/>
      <c r="O207" s="307" t="n"/>
      <c r="P207" s="307" t="n"/>
      <c r="Q207" s="307" t="n"/>
      <c r="R207" s="307" t="n"/>
      <c r="S207" s="307" t="n"/>
      <c r="T207" s="307" t="n"/>
      <c r="U207" s="307" t="n"/>
      <c r="V207" s="307" t="n"/>
      <c r="W207" s="307" t="n"/>
      <c r="X207" s="307" t="n"/>
      <c r="Y207" s="307" t="n"/>
      <c r="Z207" s="307" t="n"/>
      <c r="AA207" s="307" t="n"/>
      <c r="AB207" s="307" t="n"/>
      <c r="AC207" s="307" t="n"/>
      <c r="AD207" s="307" t="n"/>
      <c r="AE207" s="307" t="n"/>
      <c r="AF207" s="307" t="n"/>
      <c r="AG207" s="307" t="n"/>
      <c r="AH207" s="307" t="n"/>
      <c r="AI207" s="307" t="n"/>
      <c r="AJ207" s="307" t="n"/>
      <c r="AK207" s="307" t="n"/>
      <c r="AL207" s="307" t="n"/>
      <c r="AM207" s="307" t="n"/>
      <c r="AN207" s="307" t="n"/>
      <c r="AO207" s="307" t="n"/>
      <c r="AP207" s="307" t="n"/>
      <c r="AQ207" s="307" t="n"/>
      <c r="AR207" s="307" t="n"/>
      <c r="AS207" s="307" t="n"/>
      <c r="AT207" s="307" t="n"/>
    </row>
    <row r="208" ht="15.75" customHeight="1" s="349">
      <c r="A208" s="307" t="n"/>
      <c r="B208" s="307" t="n"/>
      <c r="C208" s="307" t="n"/>
      <c r="D208" s="307" t="n"/>
      <c r="E208" s="307" t="n"/>
      <c r="F208" s="307" t="n"/>
      <c r="G208" s="307" t="n"/>
      <c r="H208" s="307" t="n"/>
      <c r="I208" s="307" t="n"/>
      <c r="J208" s="307" t="n"/>
      <c r="K208" s="307" t="n"/>
      <c r="L208" s="307" t="n"/>
      <c r="M208" s="307" t="n"/>
      <c r="N208" s="307" t="n"/>
      <c r="O208" s="307" t="n"/>
      <c r="P208" s="307" t="n"/>
      <c r="Q208" s="307" t="n"/>
      <c r="R208" s="307" t="n"/>
      <c r="S208" s="307" t="n"/>
      <c r="T208" s="307" t="n"/>
      <c r="U208" s="307" t="n"/>
      <c r="V208" s="307" t="n"/>
      <c r="W208" s="307" t="n"/>
      <c r="X208" s="307" t="n"/>
      <c r="Y208" s="307" t="n"/>
      <c r="Z208" s="307" t="n"/>
      <c r="AA208" s="307" t="n"/>
      <c r="AB208" s="307" t="n"/>
      <c r="AC208" s="307" t="n"/>
      <c r="AD208" s="307" t="n"/>
      <c r="AE208" s="307" t="n"/>
      <c r="AF208" s="307" t="n"/>
      <c r="AG208" s="307" t="n"/>
      <c r="AH208" s="307" t="n"/>
      <c r="AI208" s="307" t="n"/>
      <c r="AJ208" s="307" t="n"/>
      <c r="AK208" s="307" t="n"/>
      <c r="AL208" s="307" t="n"/>
      <c r="AM208" s="307" t="n"/>
      <c r="AN208" s="307" t="n"/>
      <c r="AO208" s="307" t="n"/>
      <c r="AP208" s="307" t="n"/>
      <c r="AQ208" s="307" t="n"/>
      <c r="AR208" s="307" t="n"/>
      <c r="AS208" s="307" t="n"/>
      <c r="AT208" s="307" t="n"/>
    </row>
    <row r="209" ht="15.75" customHeight="1" s="349">
      <c r="A209" s="307" t="n"/>
      <c r="B209" s="307" t="n"/>
      <c r="C209" s="307" t="n"/>
      <c r="D209" s="307" t="n"/>
      <c r="E209" s="307" t="n"/>
      <c r="F209" s="307" t="n"/>
      <c r="G209" s="307" t="n"/>
      <c r="H209" s="307" t="n"/>
      <c r="I209" s="307" t="n"/>
      <c r="J209" s="307" t="n"/>
      <c r="K209" s="307" t="n"/>
      <c r="L209" s="307" t="n"/>
      <c r="M209" s="307" t="n"/>
      <c r="N209" s="307" t="n"/>
      <c r="O209" s="307" t="n"/>
      <c r="P209" s="307" t="n"/>
      <c r="Q209" s="307" t="n"/>
      <c r="R209" s="307" t="n"/>
      <c r="S209" s="307" t="n"/>
      <c r="T209" s="307" t="n"/>
      <c r="U209" s="307" t="n"/>
      <c r="V209" s="307" t="n"/>
      <c r="W209" s="307" t="n"/>
      <c r="X209" s="307" t="n"/>
      <c r="Y209" s="307" t="n"/>
      <c r="Z209" s="307" t="n"/>
      <c r="AA209" s="307" t="n"/>
      <c r="AB209" s="307" t="n"/>
      <c r="AC209" s="307" t="n"/>
      <c r="AD209" s="307" t="n"/>
      <c r="AE209" s="307" t="n"/>
      <c r="AF209" s="307" t="n"/>
      <c r="AG209" s="307" t="n"/>
      <c r="AH209" s="307" t="n"/>
      <c r="AI209" s="307" t="n"/>
      <c r="AJ209" s="307" t="n"/>
      <c r="AK209" s="307" t="n"/>
      <c r="AL209" s="307" t="n"/>
      <c r="AM209" s="307" t="n"/>
      <c r="AN209" s="307" t="n"/>
      <c r="AO209" s="307" t="n"/>
      <c r="AP209" s="307" t="n"/>
      <c r="AQ209" s="307" t="n"/>
      <c r="AR209" s="307" t="n"/>
      <c r="AS209" s="307" t="n"/>
      <c r="AT209" s="307" t="n"/>
    </row>
    <row r="210" ht="15.75" customHeight="1" s="349">
      <c r="A210" s="307" t="n"/>
      <c r="B210" s="307" t="n"/>
      <c r="C210" s="307" t="n"/>
      <c r="D210" s="307" t="n"/>
      <c r="E210" s="307" t="n"/>
      <c r="F210" s="307" t="n"/>
      <c r="G210" s="307" t="n"/>
      <c r="H210" s="307" t="n"/>
      <c r="I210" s="307" t="n"/>
      <c r="J210" s="307" t="n"/>
      <c r="K210" s="307" t="n"/>
      <c r="L210" s="307" t="n"/>
      <c r="M210" s="307" t="n"/>
      <c r="N210" s="307" t="n"/>
      <c r="O210" s="307" t="n"/>
      <c r="P210" s="307" t="n"/>
      <c r="Q210" s="307" t="n"/>
      <c r="R210" s="307" t="n"/>
      <c r="S210" s="307" t="n"/>
      <c r="T210" s="307" t="n"/>
      <c r="U210" s="307" t="n"/>
      <c r="V210" s="307" t="n"/>
      <c r="W210" s="307" t="n"/>
      <c r="X210" s="307" t="n"/>
      <c r="Y210" s="307" t="n"/>
      <c r="Z210" s="307" t="n"/>
      <c r="AA210" s="307" t="n"/>
      <c r="AB210" s="307" t="n"/>
      <c r="AC210" s="307" t="n"/>
      <c r="AD210" s="307" t="n"/>
      <c r="AE210" s="307" t="n"/>
      <c r="AF210" s="307" t="n"/>
      <c r="AG210" s="307" t="n"/>
      <c r="AH210" s="307" t="n"/>
      <c r="AI210" s="307" t="n"/>
      <c r="AJ210" s="307" t="n"/>
      <c r="AK210" s="307" t="n"/>
      <c r="AL210" s="307" t="n"/>
      <c r="AM210" s="307" t="n"/>
      <c r="AN210" s="307" t="n"/>
      <c r="AO210" s="307" t="n"/>
      <c r="AP210" s="307" t="n"/>
      <c r="AQ210" s="307" t="n"/>
      <c r="AR210" s="307" t="n"/>
      <c r="AS210" s="307" t="n"/>
      <c r="AT210" s="307" t="n"/>
    </row>
    <row r="211" ht="15.75" customHeight="1" s="349">
      <c r="A211" s="307" t="n"/>
      <c r="B211" s="307" t="n"/>
      <c r="C211" s="307" t="n"/>
      <c r="D211" s="307" t="n"/>
      <c r="E211" s="307" t="n"/>
      <c r="F211" s="307" t="n"/>
      <c r="G211" s="307" t="n"/>
      <c r="H211" s="307" t="n"/>
      <c r="I211" s="307" t="n"/>
      <c r="J211" s="307" t="n"/>
      <c r="K211" s="307" t="n"/>
      <c r="L211" s="307" t="n"/>
      <c r="M211" s="307" t="n"/>
      <c r="N211" s="307" t="n"/>
      <c r="O211" s="307" t="n"/>
      <c r="P211" s="307" t="n"/>
      <c r="Q211" s="307" t="n"/>
      <c r="R211" s="307" t="n"/>
      <c r="S211" s="307" t="n"/>
      <c r="T211" s="307" t="n"/>
      <c r="U211" s="307" t="n"/>
      <c r="V211" s="307" t="n"/>
      <c r="W211" s="307" t="n"/>
      <c r="X211" s="307" t="n"/>
      <c r="Y211" s="307" t="n"/>
      <c r="Z211" s="307" t="n"/>
      <c r="AA211" s="307" t="n"/>
      <c r="AB211" s="307" t="n"/>
      <c r="AC211" s="307" t="n"/>
      <c r="AD211" s="307" t="n"/>
      <c r="AE211" s="307" t="n"/>
      <c r="AF211" s="307" t="n"/>
      <c r="AG211" s="307" t="n"/>
      <c r="AH211" s="307" t="n"/>
      <c r="AI211" s="307" t="n"/>
      <c r="AJ211" s="307" t="n"/>
      <c r="AK211" s="307" t="n"/>
      <c r="AL211" s="307" t="n"/>
      <c r="AM211" s="307" t="n"/>
      <c r="AN211" s="307" t="n"/>
      <c r="AO211" s="307" t="n"/>
      <c r="AP211" s="307" t="n"/>
      <c r="AQ211" s="307" t="n"/>
      <c r="AR211" s="307" t="n"/>
      <c r="AS211" s="307" t="n"/>
      <c r="AT211" s="307" t="n"/>
    </row>
    <row r="212" ht="15.75" customHeight="1" s="349">
      <c r="A212" s="307" t="n"/>
      <c r="B212" s="307" t="n"/>
      <c r="C212" s="307" t="n"/>
      <c r="D212" s="307" t="n"/>
      <c r="E212" s="307" t="n"/>
      <c r="F212" s="307" t="n"/>
      <c r="G212" s="307" t="n"/>
      <c r="H212" s="307" t="n"/>
      <c r="I212" s="307" t="n"/>
      <c r="J212" s="307" t="n"/>
      <c r="K212" s="307" t="n"/>
      <c r="L212" s="307" t="n"/>
      <c r="M212" s="307" t="n"/>
      <c r="N212" s="307" t="n"/>
      <c r="O212" s="307" t="n"/>
      <c r="P212" s="307" t="n"/>
      <c r="Q212" s="307" t="n"/>
      <c r="R212" s="307" t="n"/>
      <c r="S212" s="307" t="n"/>
      <c r="T212" s="307" t="n"/>
      <c r="U212" s="307" t="n"/>
      <c r="V212" s="307" t="n"/>
      <c r="W212" s="307" t="n"/>
      <c r="X212" s="307" t="n"/>
      <c r="Y212" s="307" t="n"/>
      <c r="Z212" s="307" t="n"/>
      <c r="AA212" s="307" t="n"/>
      <c r="AB212" s="307" t="n"/>
      <c r="AC212" s="307" t="n"/>
      <c r="AD212" s="307" t="n"/>
      <c r="AE212" s="307" t="n"/>
      <c r="AF212" s="307" t="n"/>
      <c r="AG212" s="307" t="n"/>
      <c r="AH212" s="307" t="n"/>
      <c r="AI212" s="307" t="n"/>
      <c r="AJ212" s="307" t="n"/>
      <c r="AK212" s="307" t="n"/>
      <c r="AL212" s="307" t="n"/>
      <c r="AM212" s="307" t="n"/>
      <c r="AN212" s="307" t="n"/>
      <c r="AO212" s="307" t="n"/>
      <c r="AP212" s="307" t="n"/>
      <c r="AQ212" s="307" t="n"/>
      <c r="AR212" s="307" t="n"/>
      <c r="AS212" s="307" t="n"/>
      <c r="AT212" s="307" t="n"/>
    </row>
    <row r="213" ht="15.75" customHeight="1" s="349">
      <c r="A213" s="307" t="n"/>
      <c r="B213" s="307" t="n"/>
      <c r="C213" s="307" t="n"/>
      <c r="D213" s="307" t="n"/>
      <c r="E213" s="307" t="n"/>
      <c r="F213" s="307" t="n"/>
      <c r="G213" s="307" t="n"/>
      <c r="H213" s="307" t="n"/>
      <c r="I213" s="307" t="n"/>
      <c r="J213" s="307" t="n"/>
      <c r="K213" s="307" t="n"/>
      <c r="L213" s="307" t="n"/>
      <c r="M213" s="307" t="n"/>
      <c r="N213" s="307" t="n"/>
      <c r="O213" s="307" t="n"/>
      <c r="P213" s="307" t="n"/>
      <c r="Q213" s="307" t="n"/>
      <c r="R213" s="307" t="n"/>
      <c r="S213" s="307" t="n"/>
      <c r="T213" s="307" t="n"/>
      <c r="U213" s="307" t="n"/>
      <c r="V213" s="307" t="n"/>
      <c r="W213" s="307" t="n"/>
      <c r="X213" s="307" t="n"/>
      <c r="Y213" s="307" t="n"/>
      <c r="Z213" s="307" t="n"/>
      <c r="AA213" s="307" t="n"/>
      <c r="AB213" s="307" t="n"/>
      <c r="AC213" s="307" t="n"/>
      <c r="AD213" s="307" t="n"/>
      <c r="AE213" s="307" t="n"/>
      <c r="AF213" s="307" t="n"/>
      <c r="AG213" s="307" t="n"/>
      <c r="AH213" s="307" t="n"/>
      <c r="AI213" s="307" t="n"/>
      <c r="AJ213" s="307" t="n"/>
      <c r="AK213" s="307" t="n"/>
      <c r="AL213" s="307" t="n"/>
      <c r="AM213" s="307" t="n"/>
      <c r="AN213" s="307" t="n"/>
      <c r="AO213" s="307" t="n"/>
      <c r="AP213" s="307" t="n"/>
      <c r="AQ213" s="307" t="n"/>
      <c r="AR213" s="307" t="n"/>
      <c r="AS213" s="307" t="n"/>
      <c r="AT213" s="307" t="n"/>
    </row>
    <row r="214" ht="15.75" customHeight="1" s="349">
      <c r="A214" s="307" t="n"/>
      <c r="B214" s="307" t="n"/>
      <c r="C214" s="307" t="n"/>
      <c r="D214" s="307" t="n"/>
      <c r="E214" s="307" t="n"/>
      <c r="F214" s="307" t="n"/>
      <c r="G214" s="307" t="n"/>
      <c r="H214" s="307" t="n"/>
      <c r="I214" s="307" t="n"/>
      <c r="J214" s="307" t="n"/>
      <c r="K214" s="307" t="n"/>
      <c r="L214" s="307" t="n"/>
      <c r="M214" s="307" t="n"/>
      <c r="N214" s="307" t="n"/>
      <c r="O214" s="307" t="n"/>
      <c r="P214" s="307" t="n"/>
      <c r="Q214" s="307" t="n"/>
      <c r="R214" s="307" t="n"/>
      <c r="S214" s="307" t="n"/>
      <c r="T214" s="307" t="n"/>
      <c r="U214" s="307" t="n"/>
      <c r="V214" s="307" t="n"/>
      <c r="W214" s="307" t="n"/>
      <c r="X214" s="307" t="n"/>
      <c r="Y214" s="307" t="n"/>
      <c r="Z214" s="307" t="n"/>
      <c r="AA214" s="307" t="n"/>
      <c r="AB214" s="307" t="n"/>
      <c r="AC214" s="307" t="n"/>
      <c r="AD214" s="307" t="n"/>
      <c r="AE214" s="307" t="n"/>
      <c r="AF214" s="307" t="n"/>
      <c r="AG214" s="307" t="n"/>
      <c r="AH214" s="307" t="n"/>
      <c r="AI214" s="307" t="n"/>
      <c r="AJ214" s="307" t="n"/>
      <c r="AK214" s="307" t="n"/>
      <c r="AL214" s="307" t="n"/>
      <c r="AM214" s="307" t="n"/>
      <c r="AN214" s="307" t="n"/>
      <c r="AO214" s="307" t="n"/>
      <c r="AP214" s="307" t="n"/>
      <c r="AQ214" s="307" t="n"/>
      <c r="AR214" s="307" t="n"/>
      <c r="AS214" s="307" t="n"/>
      <c r="AT214" s="307" t="n"/>
    </row>
    <row r="215" ht="15.75" customHeight="1" s="349">
      <c r="A215" s="307" t="n"/>
      <c r="B215" s="307" t="n"/>
      <c r="C215" s="307" t="n"/>
      <c r="D215" s="307" t="n"/>
      <c r="E215" s="307" t="n"/>
      <c r="F215" s="307" t="n"/>
      <c r="G215" s="307" t="n"/>
      <c r="H215" s="307" t="n"/>
      <c r="I215" s="307" t="n"/>
      <c r="J215" s="307" t="n"/>
      <c r="K215" s="307" t="n"/>
      <c r="L215" s="307" t="n"/>
      <c r="M215" s="307" t="n"/>
      <c r="N215" s="307" t="n"/>
      <c r="O215" s="307" t="n"/>
      <c r="P215" s="307" t="n"/>
      <c r="Q215" s="307" t="n"/>
      <c r="R215" s="307" t="n"/>
      <c r="S215" s="307" t="n"/>
      <c r="T215" s="307" t="n"/>
      <c r="U215" s="307" t="n"/>
      <c r="V215" s="307" t="n"/>
      <c r="W215" s="307" t="n"/>
      <c r="X215" s="307" t="n"/>
      <c r="Y215" s="307" t="n"/>
      <c r="Z215" s="307" t="n"/>
      <c r="AA215" s="307" t="n"/>
      <c r="AB215" s="307" t="n"/>
      <c r="AC215" s="307" t="n"/>
      <c r="AD215" s="307" t="n"/>
      <c r="AE215" s="307" t="n"/>
      <c r="AF215" s="307" t="n"/>
      <c r="AG215" s="307" t="n"/>
      <c r="AH215" s="307" t="n"/>
      <c r="AI215" s="307" t="n"/>
      <c r="AJ215" s="307" t="n"/>
      <c r="AK215" s="307" t="n"/>
      <c r="AL215" s="307" t="n"/>
      <c r="AM215" s="307" t="n"/>
      <c r="AN215" s="307" t="n"/>
      <c r="AO215" s="307" t="n"/>
      <c r="AP215" s="307" t="n"/>
      <c r="AQ215" s="307" t="n"/>
      <c r="AR215" s="307" t="n"/>
      <c r="AS215" s="307" t="n"/>
      <c r="AT215" s="307" t="n"/>
    </row>
    <row r="216" ht="15.75" customHeight="1" s="349">
      <c r="A216" s="307" t="n"/>
      <c r="B216" s="307" t="n"/>
      <c r="C216" s="307" t="n"/>
      <c r="D216" s="307" t="n"/>
      <c r="E216" s="307" t="n"/>
      <c r="F216" s="307" t="n"/>
      <c r="G216" s="307" t="n"/>
      <c r="H216" s="307" t="n"/>
      <c r="I216" s="307" t="n"/>
      <c r="J216" s="307" t="n"/>
      <c r="K216" s="307" t="n"/>
      <c r="L216" s="307" t="n"/>
      <c r="M216" s="307" t="n"/>
      <c r="N216" s="307" t="n"/>
      <c r="O216" s="307" t="n"/>
      <c r="P216" s="307" t="n"/>
      <c r="Q216" s="307" t="n"/>
      <c r="R216" s="307" t="n"/>
      <c r="S216" s="307" t="n"/>
      <c r="T216" s="307" t="n"/>
      <c r="U216" s="307" t="n"/>
      <c r="V216" s="307" t="n"/>
      <c r="W216" s="307" t="n"/>
      <c r="X216" s="307" t="n"/>
      <c r="Y216" s="307" t="n"/>
      <c r="Z216" s="307" t="n"/>
      <c r="AA216" s="307" t="n"/>
      <c r="AB216" s="307" t="n"/>
      <c r="AC216" s="307" t="n"/>
      <c r="AD216" s="307" t="n"/>
      <c r="AE216" s="307" t="n"/>
      <c r="AF216" s="307" t="n"/>
      <c r="AG216" s="307" t="n"/>
      <c r="AH216" s="307" t="n"/>
      <c r="AI216" s="307" t="n"/>
      <c r="AJ216" s="307" t="n"/>
      <c r="AK216" s="307" t="n"/>
      <c r="AL216" s="307" t="n"/>
      <c r="AM216" s="307" t="n"/>
      <c r="AN216" s="307" t="n"/>
      <c r="AO216" s="307" t="n"/>
      <c r="AP216" s="307" t="n"/>
      <c r="AQ216" s="307" t="n"/>
      <c r="AR216" s="307" t="n"/>
      <c r="AS216" s="307" t="n"/>
      <c r="AT216" s="307" t="n"/>
    </row>
    <row r="217" ht="15.75" customHeight="1" s="349">
      <c r="A217" s="307" t="n"/>
      <c r="B217" s="307" t="n"/>
      <c r="C217" s="307" t="n"/>
      <c r="D217" s="307" t="n"/>
      <c r="E217" s="307" t="n"/>
      <c r="F217" s="307" t="n"/>
      <c r="G217" s="307" t="n"/>
      <c r="H217" s="307" t="n"/>
      <c r="I217" s="307" t="n"/>
      <c r="J217" s="307" t="n"/>
      <c r="K217" s="307" t="n"/>
      <c r="L217" s="307" t="n"/>
      <c r="M217" s="307" t="n"/>
      <c r="N217" s="307" t="n"/>
      <c r="O217" s="307" t="n"/>
      <c r="P217" s="307" t="n"/>
      <c r="Q217" s="307" t="n"/>
      <c r="R217" s="307" t="n"/>
      <c r="S217" s="307" t="n"/>
      <c r="T217" s="307" t="n"/>
      <c r="U217" s="307" t="n"/>
      <c r="V217" s="307" t="n"/>
      <c r="W217" s="307" t="n"/>
      <c r="X217" s="307" t="n"/>
      <c r="Y217" s="307" t="n"/>
      <c r="Z217" s="307" t="n"/>
      <c r="AA217" s="307" t="n"/>
      <c r="AB217" s="307" t="n"/>
      <c r="AC217" s="307" t="n"/>
      <c r="AD217" s="307" t="n"/>
      <c r="AE217" s="307" t="n"/>
      <c r="AF217" s="307" t="n"/>
      <c r="AG217" s="307" t="n"/>
      <c r="AH217" s="307" t="n"/>
      <c r="AI217" s="307" t="n"/>
      <c r="AJ217" s="307" t="n"/>
      <c r="AK217" s="307" t="n"/>
      <c r="AL217" s="307" t="n"/>
      <c r="AM217" s="307" t="n"/>
      <c r="AN217" s="307" t="n"/>
      <c r="AO217" s="307" t="n"/>
      <c r="AP217" s="307" t="n"/>
      <c r="AQ217" s="307" t="n"/>
      <c r="AR217" s="307" t="n"/>
      <c r="AS217" s="307" t="n"/>
      <c r="AT217" s="307" t="n"/>
    </row>
    <row r="218" ht="15.75" customHeight="1" s="349">
      <c r="A218" s="307" t="n"/>
      <c r="B218" s="307" t="n"/>
      <c r="C218" s="307" t="n"/>
      <c r="D218" s="307" t="n"/>
      <c r="E218" s="307" t="n"/>
      <c r="F218" s="307" t="n"/>
      <c r="G218" s="307" t="n"/>
      <c r="H218" s="307" t="n"/>
      <c r="I218" s="307" t="n"/>
      <c r="J218" s="307" t="n"/>
      <c r="K218" s="307" t="n"/>
      <c r="L218" s="307" t="n"/>
      <c r="M218" s="307" t="n"/>
      <c r="N218" s="307" t="n"/>
      <c r="O218" s="307" t="n"/>
      <c r="P218" s="307" t="n"/>
      <c r="Q218" s="307" t="n"/>
      <c r="R218" s="307" t="n"/>
      <c r="S218" s="307" t="n"/>
      <c r="T218" s="307" t="n"/>
      <c r="U218" s="307" t="n"/>
      <c r="V218" s="307" t="n"/>
      <c r="W218" s="307" t="n"/>
      <c r="X218" s="307" t="n"/>
      <c r="Y218" s="307" t="n"/>
      <c r="Z218" s="307" t="n"/>
      <c r="AA218" s="307" t="n"/>
      <c r="AB218" s="307" t="n"/>
      <c r="AC218" s="307" t="n"/>
      <c r="AD218" s="307" t="n"/>
      <c r="AE218" s="307" t="n"/>
      <c r="AF218" s="307" t="n"/>
      <c r="AG218" s="307" t="n"/>
      <c r="AH218" s="307" t="n"/>
      <c r="AI218" s="307" t="n"/>
      <c r="AJ218" s="307" t="n"/>
      <c r="AK218" s="307" t="n"/>
      <c r="AL218" s="307" t="n"/>
      <c r="AM218" s="307" t="n"/>
      <c r="AN218" s="307" t="n"/>
      <c r="AO218" s="307" t="n"/>
      <c r="AP218" s="307" t="n"/>
      <c r="AQ218" s="307" t="n"/>
      <c r="AR218" s="307" t="n"/>
      <c r="AS218" s="307" t="n"/>
      <c r="AT218" s="307" t="n"/>
    </row>
    <row r="219" ht="15.75" customHeight="1" s="349">
      <c r="A219" s="307" t="n"/>
      <c r="B219" s="307" t="n"/>
      <c r="C219" s="307" t="n"/>
      <c r="D219" s="307" t="n"/>
      <c r="E219" s="307" t="n"/>
      <c r="F219" s="307" t="n"/>
      <c r="G219" s="307" t="n"/>
      <c r="H219" s="307" t="n"/>
      <c r="I219" s="307" t="n"/>
      <c r="J219" s="307" t="n"/>
      <c r="K219" s="307" t="n"/>
      <c r="L219" s="307" t="n"/>
      <c r="M219" s="307" t="n"/>
      <c r="N219" s="307" t="n"/>
      <c r="O219" s="307" t="n"/>
      <c r="P219" s="307" t="n"/>
      <c r="Q219" s="307" t="n"/>
      <c r="R219" s="307" t="n"/>
      <c r="S219" s="307" t="n"/>
      <c r="T219" s="307" t="n"/>
      <c r="U219" s="307" t="n"/>
      <c r="V219" s="307" t="n"/>
      <c r="W219" s="307" t="n"/>
      <c r="X219" s="307" t="n"/>
      <c r="Y219" s="307" t="n"/>
      <c r="Z219" s="307" t="n"/>
      <c r="AA219" s="307" t="n"/>
      <c r="AB219" s="307" t="n"/>
      <c r="AC219" s="307" t="n"/>
      <c r="AD219" s="307" t="n"/>
      <c r="AE219" s="307" t="n"/>
      <c r="AF219" s="307" t="n"/>
      <c r="AG219" s="307" t="n"/>
      <c r="AH219" s="307" t="n"/>
      <c r="AI219" s="307" t="n"/>
      <c r="AJ219" s="307" t="n"/>
      <c r="AK219" s="307" t="n"/>
      <c r="AL219" s="307" t="n"/>
      <c r="AM219" s="307" t="n"/>
      <c r="AN219" s="307" t="n"/>
      <c r="AO219" s="307" t="n"/>
      <c r="AP219" s="307" t="n"/>
      <c r="AQ219" s="307" t="n"/>
      <c r="AR219" s="307" t="n"/>
      <c r="AS219" s="307" t="n"/>
      <c r="AT219" s="307" t="n"/>
    </row>
    <row r="220" ht="15.75" customHeight="1" s="349">
      <c r="A220" s="307" t="n"/>
      <c r="B220" s="307" t="n"/>
      <c r="C220" s="307" t="n"/>
      <c r="D220" s="307" t="n"/>
      <c r="E220" s="307" t="n"/>
      <c r="F220" s="307" t="n"/>
      <c r="G220" s="307" t="n"/>
      <c r="H220" s="307" t="n"/>
      <c r="I220" s="307" t="n"/>
      <c r="J220" s="307" t="n"/>
      <c r="K220" s="307" t="n"/>
      <c r="L220" s="307" t="n"/>
      <c r="M220" s="307" t="n"/>
      <c r="N220" s="307" t="n"/>
      <c r="O220" s="307" t="n"/>
      <c r="P220" s="307" t="n"/>
      <c r="Q220" s="307" t="n"/>
      <c r="R220" s="307" t="n"/>
      <c r="S220" s="307" t="n"/>
      <c r="T220" s="307" t="n"/>
      <c r="U220" s="307" t="n"/>
      <c r="V220" s="307" t="n"/>
      <c r="W220" s="307" t="n"/>
      <c r="X220" s="307" t="n"/>
      <c r="Y220" s="307" t="n"/>
      <c r="Z220" s="307" t="n"/>
      <c r="AA220" s="307" t="n"/>
      <c r="AB220" s="307" t="n"/>
      <c r="AC220" s="307" t="n"/>
      <c r="AD220" s="307" t="n"/>
      <c r="AE220" s="307" t="n"/>
      <c r="AF220" s="307" t="n"/>
      <c r="AG220" s="307" t="n"/>
      <c r="AH220" s="307" t="n"/>
      <c r="AI220" s="307" t="n"/>
      <c r="AJ220" s="307" t="n"/>
      <c r="AK220" s="307" t="n"/>
      <c r="AL220" s="307" t="n"/>
      <c r="AM220" s="307" t="n"/>
      <c r="AN220" s="307" t="n"/>
      <c r="AO220" s="307" t="n"/>
      <c r="AP220" s="307" t="n"/>
      <c r="AQ220" s="307" t="n"/>
      <c r="AR220" s="307" t="n"/>
      <c r="AS220" s="307" t="n"/>
      <c r="AT220" s="307" t="n"/>
    </row>
    <row r="221" ht="15.75" customHeight="1" s="349"/>
    <row r="222" ht="15.75" customHeight="1" s="349"/>
    <row r="223" ht="15.75" customHeight="1" s="349"/>
    <row r="224" ht="15.75" customHeight="1" s="349"/>
    <row r="225" ht="15.75" customHeight="1" s="349"/>
    <row r="226" ht="15.75" customHeight="1" s="349"/>
    <row r="227" ht="15.75" customHeight="1" s="349"/>
    <row r="228" ht="15.75" customHeight="1" s="349"/>
    <row r="229" ht="15.75" customHeight="1" s="349"/>
    <row r="230" ht="15.75" customHeight="1" s="349"/>
    <row r="231" ht="15.75" customHeight="1" s="349"/>
    <row r="232" ht="15.75" customHeight="1" s="349"/>
    <row r="233" ht="15.75" customHeight="1" s="349"/>
    <row r="234" ht="15.75" customHeight="1" s="349"/>
    <row r="235" ht="15.75" customHeight="1" s="349"/>
    <row r="236" ht="15.75" customHeight="1" s="349"/>
    <row r="237" ht="15.75" customHeight="1" s="349"/>
    <row r="238" ht="15.75" customHeight="1" s="349"/>
    <row r="239" ht="15.75" customHeight="1" s="349"/>
    <row r="240" ht="15.75" customHeight="1" s="349"/>
    <row r="241" ht="15.75" customHeight="1" s="349"/>
    <row r="242" ht="15.75" customHeight="1" s="349"/>
    <row r="243" ht="15.75" customHeight="1" s="349"/>
    <row r="244" ht="15.75" customHeight="1" s="349"/>
    <row r="245" ht="15.75" customHeight="1" s="349"/>
    <row r="246" ht="15.75" customHeight="1" s="349"/>
    <row r="247" ht="15.75" customHeight="1" s="349"/>
    <row r="248" ht="15.75" customHeight="1" s="349"/>
    <row r="249" ht="15.75" customHeight="1" s="349"/>
    <row r="250" ht="15.75" customHeight="1" s="349"/>
    <row r="251" ht="15.75" customHeight="1" s="349"/>
    <row r="252" ht="15.75" customHeight="1" s="349"/>
    <row r="253" ht="15.75" customHeight="1" s="349"/>
    <row r="254" ht="15.75" customHeight="1" s="349"/>
    <row r="255" ht="15.75" customHeight="1" s="349"/>
    <row r="256" ht="15.75" customHeight="1" s="349"/>
    <row r="257" ht="15.75" customHeight="1" s="349"/>
    <row r="258" ht="15.75" customHeight="1" s="349"/>
    <row r="259" ht="15.75" customHeight="1" s="349"/>
    <row r="260" ht="15.75" customHeight="1" s="349"/>
    <row r="261" ht="15.75" customHeight="1" s="349"/>
    <row r="262" ht="15.75" customHeight="1" s="349"/>
    <row r="263" ht="15.75" customHeight="1" s="349"/>
    <row r="264" ht="15.75" customHeight="1" s="349"/>
    <row r="265" ht="15.75" customHeight="1" s="349"/>
    <row r="266" ht="15.75" customHeight="1" s="349"/>
    <row r="267" ht="15.75" customHeight="1" s="349"/>
    <row r="268" ht="15.75" customHeight="1" s="349"/>
    <row r="269" ht="15.75" customHeight="1" s="349"/>
    <row r="270" ht="15.75" customHeight="1" s="349"/>
    <row r="271" ht="15.75" customHeight="1" s="349"/>
    <row r="272" ht="15.75" customHeight="1" s="349"/>
    <row r="273" ht="15.75" customHeight="1" s="349"/>
    <row r="274" ht="15.75" customHeight="1" s="349"/>
    <row r="275" ht="15.75" customHeight="1" s="349"/>
    <row r="276" ht="15.75" customHeight="1" s="349"/>
    <row r="277" ht="15.75" customHeight="1" s="349"/>
    <row r="278" ht="15.75" customHeight="1" s="349"/>
    <row r="279" ht="15.75" customHeight="1" s="349"/>
    <row r="280" ht="15.75" customHeight="1" s="349"/>
    <row r="281" ht="15.75" customHeight="1" s="349"/>
    <row r="282" ht="15.75" customHeight="1" s="349"/>
    <row r="283" ht="15.75" customHeight="1" s="349"/>
    <row r="284" ht="15.75" customHeight="1" s="349"/>
    <row r="285" ht="15.75" customHeight="1" s="349"/>
    <row r="286" ht="15.75" customHeight="1" s="349"/>
    <row r="287" ht="15.75" customHeight="1" s="349"/>
    <row r="288" ht="15.75" customHeight="1" s="349"/>
    <row r="289" ht="15.75" customHeight="1" s="349"/>
    <row r="290" ht="15.75" customHeight="1" s="349"/>
    <row r="291" ht="15.75" customHeight="1" s="349"/>
    <row r="292" ht="15.75" customHeight="1" s="349"/>
    <row r="293" ht="15.75" customHeight="1" s="349"/>
    <row r="294" ht="15.75" customHeight="1" s="349"/>
    <row r="295" ht="15.75" customHeight="1" s="349"/>
    <row r="296" ht="15.75" customHeight="1" s="349"/>
    <row r="297" ht="15.75" customHeight="1" s="349"/>
    <row r="298" ht="15.75" customHeight="1" s="349"/>
    <row r="299" ht="15.75" customHeight="1" s="349"/>
    <row r="300" ht="15.75" customHeight="1" s="349"/>
    <row r="301" ht="15.75" customHeight="1" s="349"/>
    <row r="302" ht="15.75" customHeight="1" s="349"/>
    <row r="303" ht="15.75" customHeight="1" s="349"/>
    <row r="304" ht="15.75" customHeight="1" s="349"/>
    <row r="305" ht="15.75" customHeight="1" s="349"/>
    <row r="306" ht="15.75" customHeight="1" s="349"/>
    <row r="307" ht="15.75" customHeight="1" s="349"/>
    <row r="308" ht="15.75" customHeight="1" s="349"/>
    <row r="309" ht="15.75" customHeight="1" s="349"/>
    <row r="310" ht="15.75" customHeight="1" s="349"/>
    <row r="311" ht="15.75" customHeight="1" s="349"/>
    <row r="312" ht="15.75" customHeight="1" s="349"/>
    <row r="313" ht="15.75" customHeight="1" s="349"/>
    <row r="314" ht="15.75" customHeight="1" s="349"/>
    <row r="315" ht="15.75" customHeight="1" s="349"/>
    <row r="316" ht="15.75" customHeight="1" s="349"/>
    <row r="317" ht="15.75" customHeight="1" s="349"/>
    <row r="318" ht="15.75" customHeight="1" s="349"/>
    <row r="319" ht="15.75" customHeight="1" s="349"/>
    <row r="320" ht="15.75" customHeight="1" s="349"/>
    <row r="321" ht="15.75" customHeight="1" s="349"/>
    <row r="322" ht="15.75" customHeight="1" s="349"/>
    <row r="323" ht="15.75" customHeight="1" s="349"/>
    <row r="324" ht="15.75" customHeight="1" s="349"/>
    <row r="325" ht="15.75" customHeight="1" s="349"/>
    <row r="326" ht="15.75" customHeight="1" s="349"/>
    <row r="327" ht="15.75" customHeight="1" s="349"/>
    <row r="328" ht="15.75" customHeight="1" s="349"/>
    <row r="329" ht="15.75" customHeight="1" s="349"/>
    <row r="330" ht="15.75" customHeight="1" s="349"/>
    <row r="331" ht="15.75" customHeight="1" s="349"/>
    <row r="332" ht="15.75" customHeight="1" s="349"/>
    <row r="333" ht="15.75" customHeight="1" s="349"/>
    <row r="334" ht="15.75" customHeight="1" s="349"/>
    <row r="335" ht="15.75" customHeight="1" s="349"/>
    <row r="336" ht="15.75" customHeight="1" s="349"/>
    <row r="337" ht="15.75" customHeight="1" s="349"/>
    <row r="338" ht="15.75" customHeight="1" s="349"/>
    <row r="339" ht="15.75" customHeight="1" s="349"/>
    <row r="340" ht="15.75" customHeight="1" s="349"/>
    <row r="341" ht="15.75" customHeight="1" s="349"/>
    <row r="342" ht="15.75" customHeight="1" s="349"/>
    <row r="343" ht="15.75" customHeight="1" s="349"/>
    <row r="344" ht="15.75" customHeight="1" s="349"/>
    <row r="345" ht="15.75" customHeight="1" s="349"/>
    <row r="346" ht="15.75" customHeight="1" s="349"/>
    <row r="347" ht="15.75" customHeight="1" s="349"/>
    <row r="348" ht="15.75" customHeight="1" s="349"/>
    <row r="349" ht="15.75" customHeight="1" s="349"/>
    <row r="350" ht="15.75" customHeight="1" s="349"/>
    <row r="351" ht="15.75" customHeight="1" s="349"/>
    <row r="352" ht="15.75" customHeight="1" s="349"/>
    <row r="353" ht="15.75" customHeight="1" s="349"/>
    <row r="354" ht="15.75" customHeight="1" s="349"/>
    <row r="355" ht="15.75" customHeight="1" s="349"/>
    <row r="356" ht="15.75" customHeight="1" s="349"/>
    <row r="357" ht="15.75" customHeight="1" s="349"/>
    <row r="358" ht="15.75" customHeight="1" s="349"/>
    <row r="359" ht="15.75" customHeight="1" s="349"/>
    <row r="360" ht="15.75" customHeight="1" s="349"/>
    <row r="361" ht="15.75" customHeight="1" s="349"/>
    <row r="362" ht="15.75" customHeight="1" s="349"/>
    <row r="363" ht="15.75" customHeight="1" s="349"/>
    <row r="364" ht="15.75" customHeight="1" s="349"/>
    <row r="365" ht="15.75" customHeight="1" s="349"/>
    <row r="366" ht="15.75" customHeight="1" s="349"/>
    <row r="367" ht="15.75" customHeight="1" s="349"/>
    <row r="368" ht="15.75" customHeight="1" s="349"/>
    <row r="369" ht="15.75" customHeight="1" s="349"/>
    <row r="370" ht="15.75" customHeight="1" s="349"/>
    <row r="371" ht="15.75" customHeight="1" s="349"/>
    <row r="372" ht="15.75" customHeight="1" s="349"/>
    <row r="373" ht="15.75" customHeight="1" s="349"/>
    <row r="374" ht="15.75" customHeight="1" s="349"/>
    <row r="375" ht="15.75" customHeight="1" s="349"/>
    <row r="376" ht="15.75" customHeight="1" s="349"/>
    <row r="377" ht="15.75" customHeight="1" s="349"/>
    <row r="378" ht="15.75" customHeight="1" s="349"/>
    <row r="379" ht="15.75" customHeight="1" s="349"/>
    <row r="380" ht="15.75" customHeight="1" s="349"/>
    <row r="381" ht="15.75" customHeight="1" s="349"/>
    <row r="382" ht="15.75" customHeight="1" s="349"/>
    <row r="383" ht="15.75" customHeight="1" s="349"/>
    <row r="384" ht="15.75" customHeight="1" s="349"/>
    <row r="385" ht="15.75" customHeight="1" s="349"/>
    <row r="386" ht="15.75" customHeight="1" s="349"/>
    <row r="387" ht="15.75" customHeight="1" s="349"/>
    <row r="388" ht="15.75" customHeight="1" s="349"/>
    <row r="389" ht="15.75" customHeight="1" s="349"/>
    <row r="390" ht="15.75" customHeight="1" s="349"/>
    <row r="391" ht="15.75" customHeight="1" s="349"/>
    <row r="392" ht="15.75" customHeight="1" s="349"/>
    <row r="393" ht="15.75" customHeight="1" s="349"/>
    <row r="394" ht="15.75" customHeight="1" s="349"/>
    <row r="395" ht="15.75" customHeight="1" s="349"/>
    <row r="396" ht="15.75" customHeight="1" s="349"/>
    <row r="397" ht="15.75" customHeight="1" s="349"/>
    <row r="398" ht="15.75" customHeight="1" s="349"/>
    <row r="399" ht="15.75" customHeight="1" s="349"/>
    <row r="400" ht="15.75" customHeight="1" s="349"/>
    <row r="401" ht="15.75" customHeight="1" s="349"/>
    <row r="402" ht="15.75" customHeight="1" s="349"/>
    <row r="403" ht="15.75" customHeight="1" s="349"/>
    <row r="404" ht="15.75" customHeight="1" s="349"/>
    <row r="405" ht="15.75" customHeight="1" s="349"/>
    <row r="406" ht="15.75" customHeight="1" s="349"/>
    <row r="407" ht="15.75" customHeight="1" s="349"/>
    <row r="408" ht="15.75" customHeight="1" s="349"/>
    <row r="409" ht="15.75" customHeight="1" s="349"/>
    <row r="410" ht="15.75" customHeight="1" s="349"/>
    <row r="411" ht="15.75" customHeight="1" s="349"/>
    <row r="412" ht="15.75" customHeight="1" s="349"/>
    <row r="413" ht="15.75" customHeight="1" s="349"/>
    <row r="414" ht="15.75" customHeight="1" s="349"/>
    <row r="415" ht="15.75" customHeight="1" s="349"/>
    <row r="416" ht="15.75" customHeight="1" s="349"/>
    <row r="417" ht="15.75" customHeight="1" s="349"/>
    <row r="418" ht="15.75" customHeight="1" s="349"/>
    <row r="419" ht="15.75" customHeight="1" s="349"/>
    <row r="420" ht="15.75" customHeight="1" s="349"/>
    <row r="421" ht="15.75" customHeight="1" s="349"/>
    <row r="422" ht="15.75" customHeight="1" s="349"/>
    <row r="423" ht="15.75" customHeight="1" s="349"/>
    <row r="424" ht="15.75" customHeight="1" s="349"/>
    <row r="425" ht="15.75" customHeight="1" s="349"/>
    <row r="426" ht="15.75" customHeight="1" s="349"/>
    <row r="427" ht="15.75" customHeight="1" s="349"/>
    <row r="428" ht="15.75" customHeight="1" s="349"/>
    <row r="429" ht="15.75" customHeight="1" s="349"/>
    <row r="430" ht="15.75" customHeight="1" s="349"/>
    <row r="431" ht="15.75" customHeight="1" s="349"/>
    <row r="432" ht="15.75" customHeight="1" s="349"/>
    <row r="433" ht="15.75" customHeight="1" s="349"/>
    <row r="434" ht="15.75" customHeight="1" s="349"/>
    <row r="435" ht="15.75" customHeight="1" s="349"/>
    <row r="436" ht="15.75" customHeight="1" s="349"/>
    <row r="437" ht="15.75" customHeight="1" s="349"/>
    <row r="438" ht="15.75" customHeight="1" s="349"/>
    <row r="439" ht="15.75" customHeight="1" s="349"/>
    <row r="440" ht="15.75" customHeight="1" s="349"/>
    <row r="441" ht="15.75" customHeight="1" s="349"/>
    <row r="442" ht="15.75" customHeight="1" s="349"/>
    <row r="443" ht="15.75" customHeight="1" s="349"/>
    <row r="444" ht="15.75" customHeight="1" s="349"/>
    <row r="445" ht="15.75" customHeight="1" s="349"/>
    <row r="446" ht="15.75" customHeight="1" s="349"/>
    <row r="447" ht="15.75" customHeight="1" s="349"/>
    <row r="448" ht="15.75" customHeight="1" s="349"/>
    <row r="449" ht="15.75" customHeight="1" s="349"/>
    <row r="450" ht="15.75" customHeight="1" s="349"/>
    <row r="451" ht="15.75" customHeight="1" s="349"/>
    <row r="452" ht="15.75" customHeight="1" s="349"/>
    <row r="453" ht="15.75" customHeight="1" s="349"/>
    <row r="454" ht="15.75" customHeight="1" s="349"/>
    <row r="455" ht="15.75" customHeight="1" s="349"/>
    <row r="456" ht="15.75" customHeight="1" s="349"/>
    <row r="457" ht="15.75" customHeight="1" s="349"/>
    <row r="458" ht="15.75" customHeight="1" s="349"/>
    <row r="459" ht="15.75" customHeight="1" s="349"/>
    <row r="460" ht="15.75" customHeight="1" s="349"/>
    <row r="461" ht="15.75" customHeight="1" s="349"/>
    <row r="462" ht="15.75" customHeight="1" s="349"/>
    <row r="463" ht="15.75" customHeight="1" s="349"/>
    <row r="464" ht="15.75" customHeight="1" s="349"/>
    <row r="465" ht="15.75" customHeight="1" s="349"/>
    <row r="466" ht="15.75" customHeight="1" s="349"/>
    <row r="467" ht="15.75" customHeight="1" s="349"/>
    <row r="468" ht="15.75" customHeight="1" s="349"/>
    <row r="469" ht="15.75" customHeight="1" s="349"/>
    <row r="470" ht="15.75" customHeight="1" s="349"/>
    <row r="471" ht="15.75" customHeight="1" s="349"/>
    <row r="472" ht="15.75" customHeight="1" s="349"/>
    <row r="473" ht="15.75" customHeight="1" s="349"/>
    <row r="474" ht="15.75" customHeight="1" s="349"/>
    <row r="475" ht="15.75" customHeight="1" s="349"/>
    <row r="476" ht="15.75" customHeight="1" s="349"/>
    <row r="477" ht="15.75" customHeight="1" s="349"/>
    <row r="478" ht="15.75" customHeight="1" s="349"/>
    <row r="479" ht="15.75" customHeight="1" s="349"/>
    <row r="480" ht="15.75" customHeight="1" s="349"/>
    <row r="481" ht="15.75" customHeight="1" s="349"/>
    <row r="482" ht="15.75" customHeight="1" s="349"/>
    <row r="483" ht="15.75" customHeight="1" s="349"/>
    <row r="484" ht="15.75" customHeight="1" s="349"/>
    <row r="485" ht="15.75" customHeight="1" s="349"/>
    <row r="486" ht="15.75" customHeight="1" s="349"/>
    <row r="487" ht="15.75" customHeight="1" s="349"/>
    <row r="488" ht="15.75" customHeight="1" s="349"/>
    <row r="489" ht="15.75" customHeight="1" s="349"/>
    <row r="490" ht="15.75" customHeight="1" s="349"/>
    <row r="491" ht="15.75" customHeight="1" s="349"/>
    <row r="492" ht="15.75" customHeight="1" s="349"/>
    <row r="493" ht="15.75" customHeight="1" s="349"/>
    <row r="494" ht="15.75" customHeight="1" s="349"/>
    <row r="495" ht="15.75" customHeight="1" s="349"/>
    <row r="496" ht="15.75" customHeight="1" s="349"/>
    <row r="497" ht="15.75" customHeight="1" s="349"/>
    <row r="498" ht="15.75" customHeight="1" s="349"/>
    <row r="499" ht="15.75" customHeight="1" s="349"/>
    <row r="500" ht="15.75" customHeight="1" s="349"/>
    <row r="501" ht="15.75" customHeight="1" s="349"/>
    <row r="502" ht="15.75" customHeight="1" s="349"/>
    <row r="503" ht="15.75" customHeight="1" s="349"/>
    <row r="504" ht="15.75" customHeight="1" s="349"/>
    <row r="505" ht="15.75" customHeight="1" s="349"/>
    <row r="506" ht="15.75" customHeight="1" s="349"/>
    <row r="507" ht="15.75" customHeight="1" s="349"/>
    <row r="508" ht="15.75" customHeight="1" s="349"/>
    <row r="509" ht="15.75" customHeight="1" s="349"/>
    <row r="510" ht="15.75" customHeight="1" s="349"/>
    <row r="511" ht="15.75" customHeight="1" s="349"/>
    <row r="512" ht="15.75" customHeight="1" s="349"/>
    <row r="513" ht="15.75" customHeight="1" s="349"/>
    <row r="514" ht="15.75" customHeight="1" s="349"/>
    <row r="515" ht="15.75" customHeight="1" s="349"/>
    <row r="516" ht="15.75" customHeight="1" s="349"/>
    <row r="517" ht="15.75" customHeight="1" s="349"/>
    <row r="518" ht="15.75" customHeight="1" s="349"/>
    <row r="519" ht="15.75" customHeight="1" s="349"/>
    <row r="520" ht="15.75" customHeight="1" s="349"/>
    <row r="521" ht="15.75" customHeight="1" s="349"/>
    <row r="522" ht="15.75" customHeight="1" s="349"/>
    <row r="523" ht="15.75" customHeight="1" s="349"/>
    <row r="524" ht="15.75" customHeight="1" s="349"/>
    <row r="525" ht="15.75" customHeight="1" s="349"/>
    <row r="526" ht="15.75" customHeight="1" s="349"/>
    <row r="527" ht="15.75" customHeight="1" s="349"/>
    <row r="528" ht="15.75" customHeight="1" s="349"/>
    <row r="529" ht="15.75" customHeight="1" s="349"/>
    <row r="530" ht="15.75" customHeight="1" s="349"/>
    <row r="531" ht="15.75" customHeight="1" s="349"/>
    <row r="532" ht="15.75" customHeight="1" s="349"/>
    <row r="533" ht="15.75" customHeight="1" s="349"/>
    <row r="534" ht="15.75" customHeight="1" s="349"/>
    <row r="535" ht="15.75" customHeight="1" s="349"/>
    <row r="536" ht="15.75" customHeight="1" s="349"/>
    <row r="537" ht="15.75" customHeight="1" s="349"/>
    <row r="538" ht="15.75" customHeight="1" s="349"/>
    <row r="539" ht="15.75" customHeight="1" s="349"/>
    <row r="540" ht="15.75" customHeight="1" s="349"/>
    <row r="541" ht="15.75" customHeight="1" s="349"/>
    <row r="542" ht="15.75" customHeight="1" s="349"/>
    <row r="543" ht="15.75" customHeight="1" s="349"/>
    <row r="544" ht="15.75" customHeight="1" s="349"/>
    <row r="545" ht="15.75" customHeight="1" s="349"/>
    <row r="546" ht="15.75" customHeight="1" s="349"/>
    <row r="547" ht="15.75" customHeight="1" s="349"/>
    <row r="548" ht="15.75" customHeight="1" s="349"/>
    <row r="549" ht="15.75" customHeight="1" s="349"/>
    <row r="550" ht="15.75" customHeight="1" s="349"/>
    <row r="551" ht="15.75" customHeight="1" s="349"/>
    <row r="552" ht="15.75" customHeight="1" s="349"/>
    <row r="553" ht="15.75" customHeight="1" s="349"/>
    <row r="554" ht="15.75" customHeight="1" s="349"/>
    <row r="555" ht="15.75" customHeight="1" s="349"/>
    <row r="556" ht="15.75" customHeight="1" s="349"/>
    <row r="557" ht="15.75" customHeight="1" s="349"/>
    <row r="558" ht="15.75" customHeight="1" s="349"/>
    <row r="559" ht="15.75" customHeight="1" s="349"/>
    <row r="560" ht="15.75" customHeight="1" s="349"/>
    <row r="561" ht="15.75" customHeight="1" s="349"/>
    <row r="562" ht="15.75" customHeight="1" s="349"/>
    <row r="563" ht="15.75" customHeight="1" s="349"/>
    <row r="564" ht="15.75" customHeight="1" s="349"/>
    <row r="565" ht="15.75" customHeight="1" s="349"/>
    <row r="566" ht="15.75" customHeight="1" s="349"/>
    <row r="567" ht="15.75" customHeight="1" s="349"/>
    <row r="568" ht="15.75" customHeight="1" s="349"/>
    <row r="569" ht="15.75" customHeight="1" s="349"/>
    <row r="570" ht="15.75" customHeight="1" s="349"/>
    <row r="571" ht="15.75" customHeight="1" s="349"/>
    <row r="572" ht="15.75" customHeight="1" s="349"/>
    <row r="573" ht="15.75" customHeight="1" s="349"/>
    <row r="574" ht="15.75" customHeight="1" s="349"/>
    <row r="575" ht="15.75" customHeight="1" s="349"/>
    <row r="576" ht="15.75" customHeight="1" s="349"/>
    <row r="577" ht="15.75" customHeight="1" s="349"/>
    <row r="578" ht="15.75" customHeight="1" s="349"/>
    <row r="579" ht="15.75" customHeight="1" s="349"/>
    <row r="580" ht="15.75" customHeight="1" s="349"/>
    <row r="581" ht="15.75" customHeight="1" s="349"/>
    <row r="582" ht="15.75" customHeight="1" s="349"/>
    <row r="583" ht="15.75" customHeight="1" s="349"/>
    <row r="584" ht="15.75" customHeight="1" s="349"/>
    <row r="585" ht="15.75" customHeight="1" s="349"/>
    <row r="586" ht="15.75" customHeight="1" s="349"/>
    <row r="587" ht="15.75" customHeight="1" s="349"/>
    <row r="588" ht="15.75" customHeight="1" s="349"/>
    <row r="589" ht="15.75" customHeight="1" s="349"/>
    <row r="590" ht="15.75" customHeight="1" s="349"/>
    <row r="591" ht="15.75" customHeight="1" s="349"/>
    <row r="592" ht="15.75" customHeight="1" s="349"/>
    <row r="593" ht="15.75" customHeight="1" s="349"/>
    <row r="594" ht="15.75" customHeight="1" s="349"/>
    <row r="595" ht="15.75" customHeight="1" s="349"/>
    <row r="596" ht="15.75" customHeight="1" s="349"/>
    <row r="597" ht="15.75" customHeight="1" s="349"/>
    <row r="598" ht="15.75" customHeight="1" s="349"/>
    <row r="599" ht="15.75" customHeight="1" s="349"/>
    <row r="600" ht="15.75" customHeight="1" s="349"/>
    <row r="601" ht="15.75" customHeight="1" s="349"/>
    <row r="602" ht="15.75" customHeight="1" s="349"/>
    <row r="603" ht="15.75" customHeight="1" s="349"/>
    <row r="604" ht="15.75" customHeight="1" s="349"/>
    <row r="605" ht="15.75" customHeight="1" s="349"/>
    <row r="606" ht="15.75" customHeight="1" s="349"/>
    <row r="607" ht="15.75" customHeight="1" s="349"/>
    <row r="608" ht="15.75" customHeight="1" s="349"/>
    <row r="609" ht="15.75" customHeight="1" s="349"/>
    <row r="610" ht="15.75" customHeight="1" s="349"/>
    <row r="611" ht="15.75" customHeight="1" s="349"/>
    <row r="612" ht="15.75" customHeight="1" s="349"/>
    <row r="613" ht="15.75" customHeight="1" s="349"/>
    <row r="614" ht="15.75" customHeight="1" s="349"/>
    <row r="615" ht="15.75" customHeight="1" s="349"/>
    <row r="616" ht="15.75" customHeight="1" s="349"/>
    <row r="617" ht="15.75" customHeight="1" s="349"/>
    <row r="618" ht="15.75" customHeight="1" s="349"/>
    <row r="619" ht="15.75" customHeight="1" s="349"/>
    <row r="620" ht="15.75" customHeight="1" s="349"/>
    <row r="621" ht="15.75" customHeight="1" s="349"/>
    <row r="622" ht="15.75" customHeight="1" s="349"/>
    <row r="623" ht="15.75" customHeight="1" s="349"/>
    <row r="624" ht="15.75" customHeight="1" s="349"/>
    <row r="625" ht="15.75" customHeight="1" s="349"/>
    <row r="626" ht="15.75" customHeight="1" s="349"/>
    <row r="627" ht="15.75" customHeight="1" s="349"/>
    <row r="628" ht="15.75" customHeight="1" s="349"/>
    <row r="629" ht="15.75" customHeight="1" s="349"/>
    <row r="630" ht="15.75" customHeight="1" s="349"/>
    <row r="631" ht="15.75" customHeight="1" s="349"/>
    <row r="632" ht="15.75" customHeight="1" s="349"/>
    <row r="633" ht="15.75" customHeight="1" s="349"/>
    <row r="634" ht="15.75" customHeight="1" s="349"/>
    <row r="635" ht="15.75" customHeight="1" s="349"/>
    <row r="636" ht="15.75" customHeight="1" s="349"/>
    <row r="637" ht="15.75" customHeight="1" s="349"/>
    <row r="638" ht="15.75" customHeight="1" s="349"/>
    <row r="639" ht="15.75" customHeight="1" s="349"/>
    <row r="640" ht="15.75" customHeight="1" s="349"/>
    <row r="641" ht="15.75" customHeight="1" s="349"/>
    <row r="642" ht="15.75" customHeight="1" s="349"/>
    <row r="643" ht="15.75" customHeight="1" s="349"/>
    <row r="644" ht="15.75" customHeight="1" s="349"/>
    <row r="645" ht="15.75" customHeight="1" s="349"/>
    <row r="646" ht="15.75" customHeight="1" s="349"/>
    <row r="647" ht="15.75" customHeight="1" s="349"/>
    <row r="648" ht="15.75" customHeight="1" s="349"/>
    <row r="649" ht="15.75" customHeight="1" s="349"/>
    <row r="650" ht="15.75" customHeight="1" s="349"/>
    <row r="651" ht="15.75" customHeight="1" s="349"/>
    <row r="652" ht="15.75" customHeight="1" s="349"/>
    <row r="653" ht="15.75" customHeight="1" s="349"/>
    <row r="654" ht="15.75" customHeight="1" s="349"/>
    <row r="655" ht="15.75" customHeight="1" s="349"/>
    <row r="656" ht="15.75" customHeight="1" s="349"/>
    <row r="657" ht="15.75" customHeight="1" s="349"/>
    <row r="658" ht="15.75" customHeight="1" s="349"/>
    <row r="659" ht="15.75" customHeight="1" s="349"/>
    <row r="660" ht="15.75" customHeight="1" s="349"/>
    <row r="661" ht="15.75" customHeight="1" s="349"/>
    <row r="662" ht="15.75" customHeight="1" s="349"/>
    <row r="663" ht="15.75" customHeight="1" s="349"/>
    <row r="664" ht="15.75" customHeight="1" s="349"/>
    <row r="665" ht="15.75" customHeight="1" s="349"/>
    <row r="666" ht="15.75" customHeight="1" s="349"/>
    <row r="667" ht="15.75" customHeight="1" s="349"/>
    <row r="668" ht="15.75" customHeight="1" s="349"/>
    <row r="669" ht="15.75" customHeight="1" s="349"/>
    <row r="670" ht="15.75" customHeight="1" s="349"/>
    <row r="671" ht="15.75" customHeight="1" s="349"/>
    <row r="672" ht="15.75" customHeight="1" s="349"/>
    <row r="673" ht="15.75" customHeight="1" s="349"/>
    <row r="674" ht="15.75" customHeight="1" s="349"/>
    <row r="675" ht="15.75" customHeight="1" s="349"/>
    <row r="676" ht="15.75" customHeight="1" s="349"/>
    <row r="677" ht="15.75" customHeight="1" s="349"/>
    <row r="678" ht="15.75" customHeight="1" s="349"/>
    <row r="679" ht="15.75" customHeight="1" s="349"/>
    <row r="680" ht="15.75" customHeight="1" s="349"/>
    <row r="681" ht="15.75" customHeight="1" s="349"/>
    <row r="682" ht="15.75" customHeight="1" s="349"/>
    <row r="683" ht="15.75" customHeight="1" s="349"/>
    <row r="684" ht="15.75" customHeight="1" s="349"/>
    <row r="685" ht="15.75" customHeight="1" s="349"/>
    <row r="686" ht="15.75" customHeight="1" s="349"/>
    <row r="687" ht="15.75" customHeight="1" s="349"/>
    <row r="688" ht="15.75" customHeight="1" s="349"/>
    <row r="689" ht="15.75" customHeight="1" s="349"/>
    <row r="690" ht="15.75" customHeight="1" s="349"/>
    <row r="691" ht="15.75" customHeight="1" s="349"/>
    <row r="692" ht="15.75" customHeight="1" s="349"/>
    <row r="693" ht="15.75" customHeight="1" s="349"/>
    <row r="694" ht="15.75" customHeight="1" s="349"/>
    <row r="695" ht="15.75" customHeight="1" s="349"/>
    <row r="696" ht="15.75" customHeight="1" s="349"/>
    <row r="697" ht="15.75" customHeight="1" s="349"/>
    <row r="698" ht="15.75" customHeight="1" s="349"/>
    <row r="699" ht="15.75" customHeight="1" s="349"/>
    <row r="700" ht="15.75" customHeight="1" s="349"/>
    <row r="701" ht="15.75" customHeight="1" s="349"/>
    <row r="702" ht="15.75" customHeight="1" s="349"/>
    <row r="703" ht="15.75" customHeight="1" s="349"/>
    <row r="704" ht="15.75" customHeight="1" s="349"/>
    <row r="705" ht="15.75" customHeight="1" s="349"/>
    <row r="706" ht="15.75" customHeight="1" s="349"/>
    <row r="707" ht="15.75" customHeight="1" s="349"/>
    <row r="708" ht="15.75" customHeight="1" s="349"/>
    <row r="709" ht="15.75" customHeight="1" s="349"/>
    <row r="710" ht="15.75" customHeight="1" s="349"/>
    <row r="711" ht="15.75" customHeight="1" s="349"/>
    <row r="712" ht="15.75" customHeight="1" s="349"/>
    <row r="713" ht="15.75" customHeight="1" s="349"/>
    <row r="714" ht="15.75" customHeight="1" s="349"/>
    <row r="715" ht="15.75" customHeight="1" s="349"/>
    <row r="716" ht="15.75" customHeight="1" s="349"/>
    <row r="717" ht="15.75" customHeight="1" s="349"/>
    <row r="718" ht="15.75" customHeight="1" s="349"/>
    <row r="719" ht="15.75" customHeight="1" s="349"/>
    <row r="720" ht="15.75" customHeight="1" s="349"/>
    <row r="721" ht="15.75" customHeight="1" s="349"/>
    <row r="722" ht="15.75" customHeight="1" s="349"/>
    <row r="723" ht="15.75" customHeight="1" s="349"/>
    <row r="724" ht="15.75" customHeight="1" s="349"/>
    <row r="725" ht="15.75" customHeight="1" s="349"/>
    <row r="726" ht="15.75" customHeight="1" s="349"/>
    <row r="727" ht="15.75" customHeight="1" s="349"/>
    <row r="728" ht="15.75" customHeight="1" s="349"/>
    <row r="729" ht="15.75" customHeight="1" s="349"/>
    <row r="730" ht="15.75" customHeight="1" s="349"/>
    <row r="731" ht="15.75" customHeight="1" s="349"/>
    <row r="732" ht="15.75" customHeight="1" s="349"/>
    <row r="733" ht="15.75" customHeight="1" s="349"/>
    <row r="734" ht="15.75" customHeight="1" s="349"/>
    <row r="735" ht="15.75" customHeight="1" s="349"/>
    <row r="736" ht="15.75" customHeight="1" s="349"/>
    <row r="737" ht="15.75" customHeight="1" s="349"/>
    <row r="738" ht="15.75" customHeight="1" s="349"/>
    <row r="739" ht="15.75" customHeight="1" s="349"/>
    <row r="740" ht="15.75" customHeight="1" s="349"/>
    <row r="741" ht="15.75" customHeight="1" s="349"/>
    <row r="742" ht="15.75" customHeight="1" s="349"/>
    <row r="743" ht="15.75" customHeight="1" s="349"/>
    <row r="744" ht="15.75" customHeight="1" s="349"/>
    <row r="745" ht="15.75" customHeight="1" s="349"/>
    <row r="746" ht="15.75" customHeight="1" s="349"/>
    <row r="747" ht="15.75" customHeight="1" s="349"/>
    <row r="748" ht="15.75" customHeight="1" s="349"/>
    <row r="749" ht="15.75" customHeight="1" s="349"/>
    <row r="750" ht="15.75" customHeight="1" s="349"/>
    <row r="751" ht="15.75" customHeight="1" s="349"/>
    <row r="752" ht="15.75" customHeight="1" s="349"/>
    <row r="753" ht="15.75" customHeight="1" s="349"/>
    <row r="754" ht="15.75" customHeight="1" s="349"/>
    <row r="755" ht="15.75" customHeight="1" s="349"/>
    <row r="756" ht="15.75" customHeight="1" s="349"/>
    <row r="757" ht="15.75" customHeight="1" s="349"/>
    <row r="758" ht="15.75" customHeight="1" s="349"/>
    <row r="759" ht="15.75" customHeight="1" s="349"/>
    <row r="760" ht="15.75" customHeight="1" s="349"/>
    <row r="761" ht="15.75" customHeight="1" s="349"/>
    <row r="762" ht="15.75" customHeight="1" s="349"/>
    <row r="763" ht="15.75" customHeight="1" s="349"/>
    <row r="764" ht="15.75" customHeight="1" s="349"/>
    <row r="765" ht="15.75" customHeight="1" s="349"/>
    <row r="766" ht="15.75" customHeight="1" s="349"/>
    <row r="767" ht="15.75" customHeight="1" s="349"/>
    <row r="768" ht="15.75" customHeight="1" s="349"/>
    <row r="769" ht="15.75" customHeight="1" s="349"/>
    <row r="770" ht="15.75" customHeight="1" s="349"/>
    <row r="771" ht="15.75" customHeight="1" s="349"/>
    <row r="772" ht="15.75" customHeight="1" s="349"/>
    <row r="773" ht="15.75" customHeight="1" s="349"/>
    <row r="774" ht="15.75" customHeight="1" s="349"/>
    <row r="775" ht="15.75" customHeight="1" s="349"/>
    <row r="776" ht="15.75" customHeight="1" s="349"/>
    <row r="777" ht="15.75" customHeight="1" s="349"/>
    <row r="778" ht="15.75" customHeight="1" s="349"/>
    <row r="779" ht="15.75" customHeight="1" s="349"/>
    <row r="780" ht="15.75" customHeight="1" s="349"/>
    <row r="781" ht="15.75" customHeight="1" s="349"/>
    <row r="782" ht="15.75" customHeight="1" s="349"/>
    <row r="783" ht="15.75" customHeight="1" s="349"/>
    <row r="784" ht="15.75" customHeight="1" s="349"/>
    <row r="785" ht="15.75" customHeight="1" s="349"/>
    <row r="786" ht="15.75" customHeight="1" s="349"/>
    <row r="787" ht="15.75" customHeight="1" s="349"/>
    <row r="788" ht="15.75" customHeight="1" s="349"/>
    <row r="789" ht="15.75" customHeight="1" s="349"/>
    <row r="790" ht="15.75" customHeight="1" s="349"/>
    <row r="791" ht="15.75" customHeight="1" s="349"/>
    <row r="792" ht="15.75" customHeight="1" s="349"/>
    <row r="793" ht="15.75" customHeight="1" s="349"/>
    <row r="794" ht="15.75" customHeight="1" s="349"/>
    <row r="795" ht="15.75" customHeight="1" s="349"/>
    <row r="796" ht="15.75" customHeight="1" s="349"/>
    <row r="797" ht="15.75" customHeight="1" s="349"/>
    <row r="798" ht="15.75" customHeight="1" s="349"/>
    <row r="799" ht="15.75" customHeight="1" s="349"/>
    <row r="800" ht="15.75" customHeight="1" s="349"/>
    <row r="801" ht="15.75" customHeight="1" s="349"/>
    <row r="802" ht="15.75" customHeight="1" s="349"/>
    <row r="803" ht="15.75" customHeight="1" s="349"/>
    <row r="804" ht="15.75" customHeight="1" s="349"/>
    <row r="805" ht="15.75" customHeight="1" s="349"/>
    <row r="806" ht="15.75" customHeight="1" s="349"/>
    <row r="807" ht="15.75" customHeight="1" s="349"/>
    <row r="808" ht="15.75" customHeight="1" s="349"/>
    <row r="809" ht="15.75" customHeight="1" s="349"/>
    <row r="810" ht="15.75" customHeight="1" s="349"/>
    <row r="811" ht="15.75" customHeight="1" s="349"/>
    <row r="812" ht="15.75" customHeight="1" s="349"/>
    <row r="813" ht="15.75" customHeight="1" s="349"/>
    <row r="814" ht="15.75" customHeight="1" s="349"/>
    <row r="815" ht="15.75" customHeight="1" s="349"/>
    <row r="816" ht="15.75" customHeight="1" s="349"/>
    <row r="817" ht="15.75" customHeight="1" s="349"/>
    <row r="818" ht="15.75" customHeight="1" s="349"/>
    <row r="819" ht="15.75" customHeight="1" s="349"/>
    <row r="820" ht="15.75" customHeight="1" s="349"/>
    <row r="821" ht="15.75" customHeight="1" s="349"/>
    <row r="822" ht="15.75" customHeight="1" s="349"/>
    <row r="823" ht="15.75" customHeight="1" s="349"/>
    <row r="824" ht="15.75" customHeight="1" s="349"/>
    <row r="825" ht="15.75" customHeight="1" s="349"/>
    <row r="826" ht="15.75" customHeight="1" s="349"/>
    <row r="827" ht="15.75" customHeight="1" s="349"/>
    <row r="828" ht="15.75" customHeight="1" s="349"/>
    <row r="829" ht="15.75" customHeight="1" s="349"/>
    <row r="830" ht="15.75" customHeight="1" s="349"/>
    <row r="831" ht="15.75" customHeight="1" s="349"/>
    <row r="832" ht="15.75" customHeight="1" s="349"/>
    <row r="833" ht="15.75" customHeight="1" s="349"/>
    <row r="834" ht="15.75" customHeight="1" s="349"/>
    <row r="835" ht="15.75" customHeight="1" s="349"/>
    <row r="836" ht="15.75" customHeight="1" s="349"/>
    <row r="837" ht="15.75" customHeight="1" s="349"/>
    <row r="838" ht="15.75" customHeight="1" s="349"/>
    <row r="839" ht="15.75" customHeight="1" s="349"/>
    <row r="840" ht="15.75" customHeight="1" s="349"/>
    <row r="841" ht="15.75" customHeight="1" s="349"/>
    <row r="842" ht="15.75" customHeight="1" s="349"/>
    <row r="843" ht="15.75" customHeight="1" s="349"/>
    <row r="844" ht="15.75" customHeight="1" s="349"/>
    <row r="845" ht="15.75" customHeight="1" s="349"/>
    <row r="846" ht="15.75" customHeight="1" s="349"/>
    <row r="847" ht="15.75" customHeight="1" s="349"/>
    <row r="848" ht="15.75" customHeight="1" s="349"/>
    <row r="849" ht="15.75" customHeight="1" s="349"/>
    <row r="850" ht="15.75" customHeight="1" s="349"/>
    <row r="851" ht="15.75" customHeight="1" s="349"/>
    <row r="852" ht="15.75" customHeight="1" s="349"/>
    <row r="853" ht="15.75" customHeight="1" s="349"/>
    <row r="854" ht="15.75" customHeight="1" s="349"/>
    <row r="855" ht="15.75" customHeight="1" s="349"/>
    <row r="856" ht="15.75" customHeight="1" s="349"/>
    <row r="857" ht="15.75" customHeight="1" s="349"/>
    <row r="858" ht="15.75" customHeight="1" s="349"/>
    <row r="859" ht="15.75" customHeight="1" s="349"/>
    <row r="860" ht="15.75" customHeight="1" s="349"/>
    <row r="861" ht="15.75" customHeight="1" s="349"/>
    <row r="862" ht="15.75" customHeight="1" s="349"/>
    <row r="863" ht="15.75" customHeight="1" s="349"/>
    <row r="864" ht="15.75" customHeight="1" s="349"/>
    <row r="865" ht="15.75" customHeight="1" s="349"/>
    <row r="866" ht="15.75" customHeight="1" s="349"/>
    <row r="867" ht="15.75" customHeight="1" s="349"/>
    <row r="868" ht="15.75" customHeight="1" s="349"/>
    <row r="869" ht="15.75" customHeight="1" s="349"/>
    <row r="870" ht="15.75" customHeight="1" s="349"/>
    <row r="871" ht="15.75" customHeight="1" s="349"/>
    <row r="872" ht="15.75" customHeight="1" s="349"/>
    <row r="873" ht="15.75" customHeight="1" s="349"/>
    <row r="874" ht="15.75" customHeight="1" s="349"/>
    <row r="875" ht="15.75" customHeight="1" s="349"/>
    <row r="876" ht="15.75" customHeight="1" s="349"/>
    <row r="877" ht="15.75" customHeight="1" s="349"/>
    <row r="878" ht="15.75" customHeight="1" s="349"/>
    <row r="879" ht="15.75" customHeight="1" s="349"/>
    <row r="880" ht="15.75" customHeight="1" s="349"/>
    <row r="881" ht="15.75" customHeight="1" s="349"/>
    <row r="882" ht="15.75" customHeight="1" s="349"/>
    <row r="883" ht="15.75" customHeight="1" s="349"/>
    <row r="884" ht="15.75" customHeight="1" s="349"/>
    <row r="885" ht="15.75" customHeight="1" s="349"/>
    <row r="886" ht="15.75" customHeight="1" s="349"/>
    <row r="887" ht="15.75" customHeight="1" s="349"/>
    <row r="888" ht="15.75" customHeight="1" s="349"/>
    <row r="889" ht="15.75" customHeight="1" s="349"/>
    <row r="890" ht="15.75" customHeight="1" s="349"/>
    <row r="891" ht="15.75" customHeight="1" s="349"/>
    <row r="892" ht="15.75" customHeight="1" s="349"/>
    <row r="893" ht="15.75" customHeight="1" s="349"/>
    <row r="894" ht="15.75" customHeight="1" s="349"/>
    <row r="895" ht="15.75" customHeight="1" s="349"/>
    <row r="896" ht="15.75" customHeight="1" s="349"/>
    <row r="897" ht="15.75" customHeight="1" s="349"/>
    <row r="898" ht="15.75" customHeight="1" s="349"/>
    <row r="899" ht="15.75" customHeight="1" s="349"/>
    <row r="900" ht="15.75" customHeight="1" s="349"/>
    <row r="901" ht="15.75" customHeight="1" s="349"/>
    <row r="902" ht="15.75" customHeight="1" s="349"/>
    <row r="903" ht="15.75" customHeight="1" s="349"/>
    <row r="904" ht="15.75" customHeight="1" s="349"/>
    <row r="905" ht="15.75" customHeight="1" s="349"/>
    <row r="906" ht="15.75" customHeight="1" s="349"/>
    <row r="907" ht="15.75" customHeight="1" s="349"/>
    <row r="908" ht="15.75" customHeight="1" s="349"/>
    <row r="909" ht="15.75" customHeight="1" s="349"/>
    <row r="910" ht="15.75" customHeight="1" s="349"/>
    <row r="911" ht="15.75" customHeight="1" s="349"/>
    <row r="912" ht="15.75" customHeight="1" s="349"/>
    <row r="913" ht="15.75" customHeight="1" s="349"/>
    <row r="914" ht="15.75" customHeight="1" s="349"/>
    <row r="915" ht="15.75" customHeight="1" s="349"/>
    <row r="916" ht="15.75" customHeight="1" s="349"/>
    <row r="917" ht="15.75" customHeight="1" s="349"/>
    <row r="918" ht="15.75" customHeight="1" s="349"/>
    <row r="919" ht="15.75" customHeight="1" s="349"/>
    <row r="920" ht="15.75" customHeight="1" s="349"/>
    <row r="921" ht="15.75" customHeight="1" s="349"/>
    <row r="922" ht="15.75" customHeight="1" s="349"/>
    <row r="923" ht="15.75" customHeight="1" s="349"/>
    <row r="924" ht="15.75" customHeight="1" s="349"/>
    <row r="925" ht="15.75" customHeight="1" s="349"/>
    <row r="926" ht="15.75" customHeight="1" s="349"/>
    <row r="927" ht="15.75" customHeight="1" s="349"/>
    <row r="928" ht="15.75" customHeight="1" s="349"/>
    <row r="929" ht="15.75" customHeight="1" s="349"/>
    <row r="930" ht="15.75" customHeight="1" s="349"/>
    <row r="931" ht="15.75" customHeight="1" s="349"/>
    <row r="932" ht="15.75" customHeight="1" s="349"/>
    <row r="933" ht="15.75" customHeight="1" s="349"/>
    <row r="934" ht="15.75" customHeight="1" s="349"/>
    <row r="935" ht="15.75" customHeight="1" s="349"/>
    <row r="936" ht="15.75" customHeight="1" s="349"/>
    <row r="937" ht="15.75" customHeight="1" s="349"/>
    <row r="938" ht="15.75" customHeight="1" s="349"/>
    <row r="939" ht="15.75" customHeight="1" s="349"/>
    <row r="940" ht="15.75" customHeight="1" s="349"/>
    <row r="941" ht="15.75" customHeight="1" s="349"/>
    <row r="942" ht="15.75" customHeight="1" s="349"/>
    <row r="943" ht="15.75" customHeight="1" s="349"/>
    <row r="944" ht="15.75" customHeight="1" s="349"/>
    <row r="945" ht="15.75" customHeight="1" s="349"/>
    <row r="946" ht="15.75" customHeight="1" s="349"/>
    <row r="947" ht="15.75" customHeight="1" s="349"/>
    <row r="948" ht="15.75" customHeight="1" s="349"/>
    <row r="949" ht="15.75" customHeight="1" s="349"/>
    <row r="950" ht="15.75" customHeight="1" s="349"/>
    <row r="951" ht="15.75" customHeight="1" s="349"/>
    <row r="952" ht="15.75" customHeight="1" s="349"/>
    <row r="953" ht="15.75" customHeight="1" s="349"/>
    <row r="954" ht="15.75" customHeight="1" s="349"/>
    <row r="955" ht="15.75" customHeight="1" s="349"/>
    <row r="956" ht="15.75" customHeight="1" s="349"/>
    <row r="957" ht="15.75" customHeight="1" s="349"/>
    <row r="958" ht="15.75" customHeight="1" s="349"/>
    <row r="959" ht="15.75" customHeight="1" s="349"/>
    <row r="960" ht="15.75" customHeight="1" s="349"/>
    <row r="961" ht="15.75" customHeight="1" s="349"/>
    <row r="962" ht="15.75" customHeight="1" s="349"/>
    <row r="963" ht="15.75" customHeight="1" s="349"/>
    <row r="964" ht="15.75" customHeight="1" s="349"/>
    <row r="965" ht="15.75" customHeight="1" s="349"/>
    <row r="966" ht="15.75" customHeight="1" s="349"/>
    <row r="967" ht="15.75" customHeight="1" s="349"/>
    <row r="968" ht="15.75" customHeight="1" s="349"/>
    <row r="969" ht="15.75" customHeight="1" s="349"/>
    <row r="970" ht="15.75" customHeight="1" s="349"/>
    <row r="971" ht="15.75" customHeight="1" s="349"/>
    <row r="972" ht="15.75" customHeight="1" s="349"/>
    <row r="973" ht="15.75" customHeight="1" s="349"/>
    <row r="974" ht="15.75" customHeight="1" s="349"/>
    <row r="975" ht="15.75" customHeight="1" s="349"/>
    <row r="976" ht="15.75" customHeight="1" s="349"/>
    <row r="977" ht="15.75" customHeight="1" s="349"/>
    <row r="978" ht="15.75" customHeight="1" s="349"/>
    <row r="979" ht="15.75" customHeight="1" s="349"/>
    <row r="980" ht="15.75" customHeight="1" s="349"/>
    <row r="981" ht="15.75" customHeight="1" s="349"/>
    <row r="982" ht="15.75" customHeight="1" s="349"/>
    <row r="983" ht="15.75" customHeight="1" s="349"/>
    <row r="984" ht="15.75" customHeight="1" s="349"/>
    <row r="985" ht="15.75" customHeight="1" s="349"/>
    <row r="986" ht="15.75" customHeight="1" s="349"/>
    <row r="987" ht="15.75" customHeight="1" s="349"/>
    <row r="988" ht="15.75" customHeight="1" s="349"/>
    <row r="989" ht="15.75" customHeight="1" s="349"/>
    <row r="990" ht="15.75" customHeight="1" s="349"/>
    <row r="991" ht="15.75" customHeight="1" s="349"/>
    <row r="992" ht="15.75" customHeight="1" s="349"/>
    <row r="993" ht="15.75" customHeight="1" s="349"/>
    <row r="994" ht="15.75" customHeight="1" s="349"/>
    <row r="995" ht="15.75" customHeight="1" s="349"/>
    <row r="996" ht="15.75" customHeight="1" s="349"/>
    <row r="997" ht="15.75" customHeight="1" s="349"/>
    <row r="998" ht="15.75" customHeight="1" s="349"/>
    <row r="999" ht="15.75" customHeight="1" s="349"/>
    <row r="1000" ht="15.75" customHeight="1" s="349"/>
  </sheetData>
  <pageMargins left="0.75" right="0.75" top="1" bottom="1"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2026-08-31T10:38:33Z</dcterms:created>
  <dcterms:modified xsi:type="dcterms:W3CDTF">2026-08-31T10:38:33Z</dcterms:modified>
</cp:coreProperties>
</file>