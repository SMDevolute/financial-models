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over" sheetId="2" state="visible" r:id="rId2"/>
    <sheet name="How to read me" sheetId="3" state="visible" r:id="rId3"/>
    <sheet name="Assumptions" sheetId="4" state="visible" r:id="rId4"/>
    <sheet name="Financial Statements" sheetId="5" state="visible" r:id="rId5"/>
    <sheet name="Revenue Forecast" sheetId="6" state="visible" r:id="rId6"/>
    <sheet name="COGS" sheetId="7" state="visible" r:id="rId7"/>
    <sheet name="OPEX" sheetId="8" state="visible" r:id="rId8"/>
    <sheet name="Personnel" sheetId="9" state="visible" r:id="rId9"/>
    <sheet name="Dashboard" sheetId="10" state="visible" r:id="rId10"/>
  </sheets>
  <definedNames/>
  <calcPr calcId="124519" fullCalcOnLoad="1"/>
</workbook>
</file>

<file path=xl/styles.xml><?xml version="1.0" encoding="utf-8"?>
<styleSheet xmlns="http://schemas.openxmlformats.org/spreadsheetml/2006/main">
  <numFmts count="8">
    <numFmt numFmtId="164" formatCode="\€#,##0;&quot;(€&quot;#,##0\);\-"/>
    <numFmt numFmtId="165" formatCode="yyyy-mm-dd h:mm:ss"/>
    <numFmt numFmtId="166" formatCode="mmm yyyy"/>
    <numFmt numFmtId="167" formatCode="#,##0;\(#,##0\);\-"/>
    <numFmt numFmtId="168" formatCode="#,##0.00;\(#,##0.00\);\-"/>
    <numFmt numFmtId="169" formatCode="#,##0.0;\(#,##0.0\);\-"/>
    <numFmt numFmtId="170" formatCode="link"/>
    <numFmt numFmtId="171" formatCode="0.0%"/>
  </numFmts>
  <fonts count="17">
    <font>
      <name val="Calibri"/>
      <family val="2"/>
      <color theme="1"/>
      <sz val="11"/>
      <scheme val="minor"/>
    </font>
    <font>
      <name val="Geist"/>
      <b val="1"/>
      <color rgb="FFFFFFFF"/>
      <sz val="10"/>
    </font>
    <font>
      <name val="Arial"/>
      <i val="1"/>
      <color rgb="FF999999"/>
      <sz val="9"/>
    </font>
    <font>
      <name val="Geist"/>
      <b val="1"/>
      <color rgb="FF000000"/>
      <sz val="10"/>
    </font>
    <font>
      <name val="Geist"/>
      <color rgb="FF000000"/>
      <sz val="10"/>
    </font>
    <font>
      <name val="Arial"/>
      <color rgb="FF999999"/>
      <sz val="9"/>
    </font>
    <font>
      <name val="Geist"/>
      <color rgb="FFFFFFFF"/>
      <sz val="10"/>
    </font>
    <font>
      <name val="Geist"/>
      <color rgb="FF999999"/>
      <sz val="10"/>
    </font>
    <font>
      <name val="Geist"/>
      <b val="1"/>
      <color rgb="FF999999"/>
      <sz val="10"/>
    </font>
    <font>
      <name val="Arial"/>
      <color rgb="FFFFFFFF"/>
      <sz val="9"/>
    </font>
    <font>
      <name val="Geist"/>
      <color rgb="FFCCCCCC"/>
      <sz val="10"/>
    </font>
    <font>
      <name val="Geist"/>
      <b val="1"/>
      <color rgb="FFCCCCCC"/>
      <sz val="10"/>
    </font>
    <font>
      <name val="Geist"/>
      <b val="1"/>
      <color rgb="FFFFFFFF"/>
      <sz val="20"/>
    </font>
    <font>
      <name val="Geist"/>
      <color rgb="FFFFFFFF"/>
      <sz val="12"/>
    </font>
    <font>
      <name val="Geist"/>
      <color rgb="FF999999"/>
      <sz val="9"/>
    </font>
    <font>
      <name val="Geist"/>
      <color rgb="FFFFFFFF"/>
      <sz val="9"/>
    </font>
    <font>
      <name val="Geist"/>
      <b val="1"/>
      <color rgb="FFFF0000"/>
      <sz val="10"/>
    </font>
  </fonts>
  <fills count="7">
    <fill>
      <patternFill/>
    </fill>
    <fill>
      <patternFill patternType="gray125"/>
    </fill>
    <fill>
      <patternFill patternType="solid">
        <fgColor rgb="FF000000"/>
      </patternFill>
    </fill>
    <fill>
      <patternFill patternType="solid">
        <fgColor rgb="FFEFEFEF"/>
      </patternFill>
    </fill>
    <fill>
      <patternFill patternType="solid">
        <fgColor rgb="FFFFF2CC"/>
      </patternFill>
    </fill>
    <fill>
      <patternFill patternType="solid">
        <fgColor rgb="FFF3F3F3"/>
      </patternFill>
    </fill>
    <fill>
      <patternFill patternType="solid">
        <fgColor rgb="FFFFFFFF"/>
      </patternFill>
    </fill>
  </fills>
  <borders count="1">
    <border>
      <left/>
      <right/>
      <top/>
      <bottom/>
      <diagonal/>
    </border>
  </borders>
  <cellStyleXfs count="1">
    <xf numFmtId="0" fontId="0" fillId="0" borderId="0"/>
  </cellStyleXfs>
  <cellXfs count="79">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0" borderId="0" applyAlignment="1" pivotButton="0" quotePrefix="0" xfId="0">
      <alignment horizontal="right"/>
    </xf>
    <xf numFmtId="0" fontId="3" fillId="0" borderId="0" pivotButton="0" quotePrefix="0" xfId="0"/>
    <xf numFmtId="0" fontId="4" fillId="0" borderId="0" applyAlignment="1" pivotButton="0" quotePrefix="0" xfId="0">
      <alignment horizontal="left"/>
    </xf>
    <xf numFmtId="0" fontId="1" fillId="2" borderId="0" applyAlignment="1" pivotButton="0" quotePrefix="0" xfId="0">
      <alignment horizontal="right"/>
    </xf>
    <xf numFmtId="0" fontId="4" fillId="0" borderId="0" pivotButton="0" quotePrefix="0" xfId="0"/>
    <xf numFmtId="167" fontId="4" fillId="0" borderId="0" applyAlignment="1" pivotButton="0" quotePrefix="0" xfId="0">
      <alignment horizontal="right"/>
    </xf>
    <xf numFmtId="164" fontId="4" fillId="0" borderId="0" applyAlignment="1" pivotButton="0" quotePrefix="0" xfId="0">
      <alignment horizontal="right"/>
    </xf>
    <xf numFmtId="171" fontId="4" fillId="0" borderId="0" applyAlignment="1" pivotButton="0" quotePrefix="0" xfId="0">
      <alignment horizontal="right"/>
    </xf>
    <xf numFmtId="164" fontId="3" fillId="0" borderId="0" applyAlignment="1" pivotButton="0" quotePrefix="0" xfId="0">
      <alignment horizontal="right"/>
    </xf>
    <xf numFmtId="169" fontId="4" fillId="0" borderId="0" applyAlignment="1" pivotButton="0" quotePrefix="0" xfId="0">
      <alignment horizontal="right"/>
    </xf>
    <xf numFmtId="166" fontId="4" fillId="0" borderId="0" applyAlignment="1" pivotButton="0" quotePrefix="0" xfId="0">
      <alignment horizontal="left"/>
    </xf>
    <xf numFmtId="0" fontId="1" fillId="2" borderId="0" applyAlignment="1" pivotButton="0" quotePrefix="0" xfId="0">
      <alignment horizontal="left"/>
    </xf>
    <xf numFmtId="0" fontId="3" fillId="0" borderId="0" applyAlignment="1" pivotButton="0" quotePrefix="0" xfId="0">
      <alignment horizontal="left"/>
    </xf>
    <xf numFmtId="0" fontId="5" fillId="0" borderId="0" applyAlignment="1" pivotButton="0" quotePrefix="0" xfId="0">
      <alignment horizontal="left"/>
    </xf>
    <xf numFmtId="0" fontId="12" fillId="2" borderId="0" applyAlignment="1" pivotButton="0" quotePrefix="0" xfId="0">
      <alignment horizontal="left"/>
    </xf>
    <xf numFmtId="0" fontId="13" fillId="2" borderId="0" applyAlignment="1" pivotButton="0" quotePrefix="0" xfId="0">
      <alignment horizontal="left"/>
    </xf>
    <xf numFmtId="0" fontId="14" fillId="2" borderId="0" applyAlignment="1" pivotButton="0" quotePrefix="0" xfId="0">
      <alignment horizontal="left"/>
    </xf>
    <xf numFmtId="0" fontId="15" fillId="2" borderId="0" pivotButton="0" quotePrefix="0" xfId="0"/>
    <xf numFmtId="0" fontId="16" fillId="2" borderId="0" applyAlignment="1" pivotButton="0" quotePrefix="0" xfId="0">
      <alignment horizontal="left"/>
    </xf>
    <xf numFmtId="0" fontId="3" fillId="4" borderId="0" pivotButton="0" quotePrefix="0" xfId="0"/>
    <xf numFmtId="0" fontId="3" fillId="5" borderId="0" pivotButton="0" quotePrefix="0" xfId="0"/>
    <xf numFmtId="0" fontId="8" fillId="0" borderId="0" pivotButton="0" quotePrefix="0" xfId="0"/>
    <xf numFmtId="0" fontId="11" fillId="0" borderId="0" pivotButton="0" quotePrefix="0" xfId="0"/>
    <xf numFmtId="0" fontId="4" fillId="0" borderId="0" applyAlignment="1" pivotButton="0" quotePrefix="0" xfId="0">
      <alignment horizontal="left"/>
    </xf>
    <xf numFmtId="0" fontId="0" fillId="3" borderId="0" pivotButton="0" quotePrefix="0" xfId="0"/>
    <xf numFmtId="0" fontId="3" fillId="3" borderId="0" applyAlignment="1" pivotButton="0" quotePrefix="0" xfId="0">
      <alignment horizontal="center"/>
    </xf>
    <xf numFmtId="0" fontId="5" fillId="0" borderId="0" pivotButton="0" quotePrefix="0" xfId="0"/>
    <xf numFmtId="164" fontId="3" fillId="4" borderId="0" applyAlignment="1" pivotButton="0" quotePrefix="0" xfId="0">
      <alignment horizontal="right"/>
    </xf>
    <xf numFmtId="49" fontId="2" fillId="0" borderId="0" applyAlignment="1" pivotButton="0" quotePrefix="0" xfId="0">
      <alignment horizontal="left"/>
    </xf>
    <xf numFmtId="1" fontId="3" fillId="4" borderId="0" applyAlignment="1" pivotButton="0" quotePrefix="0" xfId="0">
      <alignment horizontal="right"/>
    </xf>
    <xf numFmtId="9" fontId="3" fillId="4" borderId="0" applyAlignment="1" pivotButton="0" quotePrefix="0" xfId="0">
      <alignment horizontal="right"/>
    </xf>
    <xf numFmtId="166" fontId="3" fillId="4" borderId="0" applyAlignment="1" pivotButton="0" quotePrefix="0" xfId="0">
      <alignment horizontal="right"/>
    </xf>
    <xf numFmtId="167" fontId="3" fillId="4" borderId="0" applyAlignment="1" pivotButton="0" quotePrefix="0" xfId="0">
      <alignment horizontal="right"/>
    </xf>
    <xf numFmtId="164" fontId="3" fillId="5" borderId="0" applyAlignment="1" pivotButton="0" quotePrefix="0" xfId="0">
      <alignment horizontal="right"/>
    </xf>
    <xf numFmtId="9" fontId="3" fillId="5" borderId="0" applyAlignment="1" pivotButton="0" quotePrefix="0" xfId="0">
      <alignment horizontal="right"/>
    </xf>
    <xf numFmtId="9" fontId="4" fillId="4" borderId="0" applyAlignment="1" pivotButton="0" quotePrefix="0" xfId="0">
      <alignment horizontal="right"/>
    </xf>
    <xf numFmtId="164" fontId="4" fillId="4" borderId="0" applyAlignment="1" pivotButton="0" quotePrefix="0" xfId="0">
      <alignment horizontal="right"/>
    </xf>
    <xf numFmtId="0" fontId="3" fillId="3" borderId="0" applyAlignment="1" pivotButton="0" quotePrefix="0" xfId="0">
      <alignment horizontal="left"/>
    </xf>
    <xf numFmtId="0" fontId="5" fillId="3" borderId="0" pivotButton="0" quotePrefix="0" xfId="0"/>
    <xf numFmtId="1" fontId="3" fillId="3" borderId="0" applyAlignment="1" pivotButton="0" quotePrefix="0" xfId="0">
      <alignment horizontal="right"/>
    </xf>
    <xf numFmtId="49" fontId="2" fillId="3" borderId="0" applyAlignment="1" pivotButton="0" quotePrefix="0" xfId="0">
      <alignment horizontal="left"/>
    </xf>
    <xf numFmtId="168" fontId="3" fillId="4" borderId="0" applyAlignment="1" pivotButton="0" quotePrefix="0" xfId="0">
      <alignment horizontal="right"/>
    </xf>
    <xf numFmtId="169" fontId="3" fillId="4" borderId="0" applyAlignment="1" pivotButton="0" quotePrefix="0" xfId="0">
      <alignment horizontal="right"/>
    </xf>
    <xf numFmtId="167" fontId="4" fillId="4" borderId="0" applyAlignment="1" pivotButton="0" quotePrefix="0" xfId="0">
      <alignment horizontal="right"/>
    </xf>
    <xf numFmtId="166" fontId="6" fillId="2" borderId="0" applyAlignment="1" pivotButton="0" quotePrefix="0" xfId="0">
      <alignment horizontal="right"/>
    </xf>
    <xf numFmtId="1" fontId="1" fillId="2" borderId="0" applyAlignment="1" pivotButton="0" quotePrefix="0" xfId="0">
      <alignment horizontal="right"/>
    </xf>
    <xf numFmtId="164" fontId="3" fillId="6" borderId="0" applyAlignment="1" pivotButton="0" quotePrefix="0" xfId="0">
      <alignment horizontal="right"/>
    </xf>
    <xf numFmtId="0" fontId="9" fillId="2" borderId="0" applyAlignment="1" pivotButton="0" quotePrefix="0" xfId="0">
      <alignment horizontal="left"/>
    </xf>
    <xf numFmtId="164" fontId="1" fillId="2" borderId="0" applyAlignment="1" pivotButton="0" quotePrefix="0" xfId="0">
      <alignment horizontal="right"/>
    </xf>
    <xf numFmtId="0" fontId="7" fillId="0" borderId="0" applyAlignment="1" pivotButton="0" quotePrefix="0" xfId="0">
      <alignment horizontal="left"/>
    </xf>
    <xf numFmtId="171" fontId="7" fillId="0" borderId="0" applyAlignment="1" pivotButton="0" quotePrefix="0" xfId="0">
      <alignment horizontal="right"/>
    </xf>
    <xf numFmtId="171" fontId="8" fillId="6" borderId="0" applyAlignment="1" pivotButton="0" quotePrefix="0" xfId="0">
      <alignment horizontal="right"/>
    </xf>
    <xf numFmtId="0" fontId="3" fillId="5" borderId="0" applyAlignment="1" pivotButton="0" quotePrefix="0" xfId="0">
      <alignment horizontal="left"/>
    </xf>
    <xf numFmtId="0" fontId="5" fillId="5" borderId="0" applyAlignment="1" pivotButton="0" quotePrefix="0" xfId="0">
      <alignment horizontal="left"/>
    </xf>
    <xf numFmtId="168" fontId="10" fillId="0" borderId="0" applyAlignment="1" pivotButton="0" quotePrefix="0" xfId="0">
      <alignment horizontal="right"/>
    </xf>
    <xf numFmtId="168" fontId="11" fillId="6" borderId="0" applyAlignment="1" pivotButton="0" quotePrefix="0" xfId="0">
      <alignment horizontal="right"/>
    </xf>
    <xf numFmtId="167" fontId="3" fillId="6" borderId="0" applyAlignment="1" pivotButton="0" quotePrefix="0" xfId="0">
      <alignment horizontal="right"/>
    </xf>
    <xf numFmtId="167" fontId="3" fillId="5" borderId="0" applyAlignment="1" pivotButton="0" quotePrefix="0" xfId="0">
      <alignment horizontal="right"/>
    </xf>
    <xf numFmtId="9" fontId="4" fillId="0" borderId="0" applyAlignment="1" pivotButton="0" quotePrefix="0" xfId="0">
      <alignment horizontal="right"/>
    </xf>
    <xf numFmtId="9" fontId="3" fillId="6" borderId="0" applyAlignment="1" pivotButton="0" quotePrefix="0" xfId="0">
      <alignment horizontal="right"/>
    </xf>
    <xf numFmtId="168" fontId="4" fillId="0" borderId="0" applyAlignment="1" pivotButton="0" quotePrefix="0" xfId="0">
      <alignment horizontal="right"/>
    </xf>
    <xf numFmtId="168" fontId="3" fillId="6" borderId="0" applyAlignment="1" pivotButton="0" quotePrefix="0" xfId="0">
      <alignment horizontal="right"/>
    </xf>
    <xf numFmtId="169" fontId="3" fillId="6" borderId="0" applyAlignment="1" pivotButton="0" quotePrefix="0" xfId="0">
      <alignment horizontal="right"/>
    </xf>
    <xf numFmtId="9" fontId="7" fillId="0" borderId="0" applyAlignment="1" pivotButton="0" quotePrefix="0" xfId="0">
      <alignment horizontal="right"/>
    </xf>
    <xf numFmtId="9" fontId="8" fillId="6" borderId="0" applyAlignment="1" pivotButton="0" quotePrefix="0" xfId="0">
      <alignment horizontal="right"/>
    </xf>
    <xf numFmtId="167" fontId="1" fillId="2" borderId="0" applyAlignment="1" pivotButton="0" quotePrefix="0" xfId="0">
      <alignment horizontal="right"/>
    </xf>
    <xf numFmtId="164" fontId="7" fillId="0" borderId="0" applyAlignment="1" pivotButton="0" quotePrefix="0" xfId="0">
      <alignment horizontal="right"/>
    </xf>
    <xf numFmtId="164" fontId="8" fillId="6" borderId="0" applyAlignment="1" pivotButton="0" quotePrefix="0" xfId="0">
      <alignment horizontal="right"/>
    </xf>
    <xf numFmtId="170" fontId="4" fillId="0" borderId="0" applyAlignment="1" pivotButton="0" quotePrefix="0" xfId="0">
      <alignment horizontal="right"/>
    </xf>
    <xf numFmtId="170" fontId="3" fillId="6" borderId="0" applyAlignment="1" pivotButton="0" quotePrefix="0" xfId="0">
      <alignment horizontal="right"/>
    </xf>
    <xf numFmtId="169" fontId="3" fillId="5" borderId="0" applyAlignment="1" pivotButton="0" quotePrefix="0" xfId="0">
      <alignment horizontal="right"/>
    </xf>
    <xf numFmtId="169" fontId="1" fillId="2" borderId="0" applyAlignment="1" pivotButton="0" quotePrefix="0" xfId="0">
      <alignment horizontal="right"/>
    </xf>
    <xf numFmtId="168" fontId="3" fillId="0" borderId="0" applyAlignment="1" pivotButton="0" quotePrefix="0" xfId="0">
      <alignment horizontal="right"/>
    </xf>
    <xf numFmtId="166" fontId="4" fillId="0" borderId="0" applyAlignment="1" pivotButton="0" quotePrefix="0" xfId="0">
      <alignment horizontal="right"/>
    </xf>
    <xf numFmtId="171" fontId="3" fillId="5" borderId="0" applyAlignment="1" pivotButton="0" quotePrefix="0" xfId="0">
      <alignment horizontal="right"/>
    </xf>
  </cellXfs>
  <cellStyles count="1">
    <cellStyle name="Normal" xfId="0" builtinId="0" hidden="0"/>
  </cellStyles>
  <dxfs count="2">
    <dxf>
      <font>
        <name val="Geist"/>
        <b val="1"/>
        <color rgb="FFC00000"/>
        <sz val="10"/>
      </font>
    </dxf>
    <dxf>
      <font>
        <name val="Geist"/>
        <b val="1"/>
        <color rgb="FFC00000"/>
        <sz val="10"/>
      </font>
      <fill>
        <patternFill patternType="solid">
          <fgColor rgb="FFFFC7CE"/>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G88"/>
  <sheetViews>
    <sheetView showGridLines="0" zoomScale="110" workbookViewId="0">
      <pane ySplit="3" topLeftCell="A4" activePane="bottomLeft" state="frozen"/>
      <selection pane="bottomLeft" activeCell="A1" sqref="A1"/>
    </sheetView>
  </sheetViews>
  <sheetFormatPr baseColWidth="8" defaultRowHeight="15"/>
  <cols>
    <col width="3" customWidth="1" min="1" max="1"/>
    <col width="46" customWidth="1" min="2" max="2"/>
    <col width="20" customWidth="1" min="3" max="3"/>
    <col width="15" customWidth="1" min="4" max="4"/>
    <col width="14" customWidth="1" min="5" max="5"/>
    <col width="14" customWidth="1" min="6" max="6"/>
    <col width="14" customWidth="1" min="7" max="7"/>
  </cols>
  <sheetData>
    <row r="1">
      <c r="B1" s="1" t="inlineStr">
        <is>
          <t>Tarnoc B.V.  Summary  (Base case, EUR3m raise)</t>
        </is>
      </c>
      <c r="C1" s="2" t="n"/>
      <c r="D1" s="2" t="n"/>
      <c r="E1" s="2" t="n"/>
      <c r="F1" s="2" t="n"/>
      <c r="G1" s="2" t="n"/>
    </row>
    <row r="2">
      <c r="B2" s="3" t="inlineStr">
        <is>
          <t>Written 7 September 2026. The results table is live; the text is not.</t>
        </is>
      </c>
      <c r="D2" s="4" t="inlineStr">
        <is>
          <t>Case shown:</t>
        </is>
      </c>
      <c r="E2" s="5" t="inlineStr">
        <is>
          <t>Base case, EUR3m raise</t>
        </is>
      </c>
    </row>
    <row r="3">
      <c r="D3" s="4" t="inlineStr">
        <is>
          <t>BOM priced on:</t>
        </is>
      </c>
      <c r="E3" s="5" t="inlineStr">
        <is>
          <t>two-year volume commitment</t>
        </is>
      </c>
    </row>
    <row r="5">
      <c r="B5" s="1" t="inlineStr">
        <is>
          <t>WHAT THIS IS</t>
        </is>
      </c>
      <c r="C5" s="2" t="n"/>
      <c r="D5" s="2" t="n"/>
      <c r="E5" s="2" t="n"/>
      <c r="F5" s="2" t="n"/>
      <c r="G5" s="2" t="n"/>
    </row>
    <row r="6">
      <c r="B6" s="6" t="inlineStr">
        <is>
          <t>A monthly model of Tarnoc from January 2026 to December 2030. Every figure is calculated from the Assumptions tab.</t>
        </is>
      </c>
    </row>
    <row r="7">
      <c r="B7" s="6" t="inlineStr">
        <is>
          <t>The only typed numbers are the assumptions, the committed 2026 plan (OPEX rows 38 to 43) and the back-office headcount (Personnel row 17).</t>
        </is>
      </c>
    </row>
    <row r="8">
      <c r="B8" s="6" t="inlineStr">
        <is>
          <t>This workbook holds the base case only (EUR3m raise). The BOM is priced on two-year volume.</t>
        </is>
      </c>
    </row>
    <row r="9">
      <c r="B9" s="6" t="inlineStr">
        <is>
          <t>Prices, BOM tiers, service and upsell tables, shipping, the 2026 plan, the subsidy, the raise amounts and working-capital days are the client's own figures.</t>
        </is>
      </c>
    </row>
    <row r="11">
      <c r="B11" s="1" t="inlineStr">
        <is>
          <t>HOW UNITS SOLD ARE CALCULATED</t>
        </is>
      </c>
      <c r="C11" s="2" t="n"/>
      <c r="D11" s="2" t="n"/>
      <c r="E11" s="2" t="n"/>
      <c r="F11" s="2" t="n"/>
      <c r="G11" s="2" t="n"/>
    </row>
    <row r="12">
      <c r="B12" s="6" t="inlineStr">
        <is>
          <t>Units sold in a month is the lowest of three numbers:</t>
        </is>
      </c>
    </row>
    <row r="13">
      <c r="B13" s="6" t="inlineStr">
        <is>
          <t>1. Demand: marketing spend / EUR120 per lead x 50% qualified x 40% won, plus the orders installer partners bring in themselves (1 a month each in 2027, 4 by 2030).</t>
        </is>
      </c>
    </row>
    <row r="14">
      <c r="B14" s="6" t="inlineStr">
        <is>
          <t>2. Selling capacity: own reps x 20 a month for the direct share of sales, installer partners x 8 a month for the rest. Direct share 80% in 2027, 50% in 2028, 35%, then 30%.</t>
        </is>
      </c>
    </row>
    <row r="15">
      <c r="B15" s="6" t="inlineStr">
        <is>
          <t>3. Build capacity: the assembly partner's contracted volume. This case has no in-house production.</t>
        </is>
      </c>
    </row>
    <row r="17">
      <c r="B17" s="1" t="inlineStr">
        <is>
          <t>WHAT FOLLOWS FROM UNITS</t>
        </is>
      </c>
      <c r="C17" s="2" t="n"/>
      <c r="D17" s="2" t="n"/>
      <c r="E17" s="2" t="n"/>
      <c r="F17" s="2" t="n"/>
      <c r="G17" s="2" t="n"/>
    </row>
    <row r="18">
      <c r="B18" s="6" t="inlineStr">
        <is>
          <t>Revenue: units x price, plus upsell, plus installation passed through to the installer at cost, plus service contracts on the installed base.</t>
        </is>
      </c>
    </row>
    <row r="19">
      <c r="B19" s="6" t="inlineStr">
        <is>
          <t>Cost of sales: BOM at the tier reached by this year plus next year's units, outdoor unit, shipping, upsell cost, installation, service parts, 10% commission on channel sales.</t>
        </is>
      </c>
    </row>
    <row r="20">
      <c r="B20" s="6" t="inlineStr">
        <is>
          <t>Headcount: each team is sized by what creates its work (units, installed base, partners signed, marketing spend). R&amp;D and the back office are typed per year.</t>
        </is>
      </c>
    </row>
    <row r="22">
      <c r="B22" s="1" t="inlineStr">
        <is>
          <t>RESULTS</t>
        </is>
      </c>
      <c r="C22" s="2" t="n"/>
      <c r="D22" s="2" t="n"/>
      <c r="E22" s="2" t="n"/>
      <c r="F22" s="2" t="n"/>
      <c r="G22" s="2" t="n"/>
    </row>
    <row r="23">
      <c r="B23" s="2" t="n"/>
      <c r="C23" s="7" t="n">
        <v>2026</v>
      </c>
      <c r="D23" s="7" t="n">
        <v>2027</v>
      </c>
      <c r="E23" s="7" t="n">
        <v>2028</v>
      </c>
      <c r="F23" s="7" t="n">
        <v>2029</v>
      </c>
      <c r="G23" s="7" t="n">
        <v>2030</v>
      </c>
    </row>
    <row r="24">
      <c r="B24" s="8" t="inlineStr">
        <is>
          <t>Units sold</t>
        </is>
      </c>
      <c r="C24" s="9">
        <f>Dashboard!D6</f>
        <v/>
      </c>
      <c r="D24" s="9">
        <f>Dashboard!E6</f>
        <v/>
      </c>
      <c r="E24" s="9">
        <f>Dashboard!F6</f>
        <v/>
      </c>
      <c r="F24" s="9">
        <f>Dashboard!G6</f>
        <v/>
      </c>
      <c r="G24" s="9">
        <f>Dashboard!H6</f>
        <v/>
      </c>
    </row>
    <row r="25">
      <c r="B25" s="8" t="inlineStr">
        <is>
          <t>Revenue</t>
        </is>
      </c>
      <c r="C25" s="10">
        <f>Dashboard!D14</f>
        <v/>
      </c>
      <c r="D25" s="10">
        <f>Dashboard!E14</f>
        <v/>
      </c>
      <c r="E25" s="10">
        <f>Dashboard!F14</f>
        <v/>
      </c>
      <c r="F25" s="10">
        <f>Dashboard!G14</f>
        <v/>
      </c>
      <c r="G25" s="10">
        <f>Dashboard!H14</f>
        <v/>
      </c>
    </row>
    <row r="26">
      <c r="B26" s="8" t="inlineStr">
        <is>
          <t>Gross margin</t>
        </is>
      </c>
      <c r="C26" s="11">
        <f>Dashboard!D16</f>
        <v/>
      </c>
      <c r="D26" s="11">
        <f>Dashboard!E16</f>
        <v/>
      </c>
      <c r="E26" s="11">
        <f>Dashboard!F16</f>
        <v/>
      </c>
      <c r="F26" s="11">
        <f>Dashboard!G16</f>
        <v/>
      </c>
      <c r="G26" s="11">
        <f>Dashboard!H16</f>
        <v/>
      </c>
    </row>
    <row r="27">
      <c r="B27" s="5" t="inlineStr">
        <is>
          <t>EBITDA</t>
        </is>
      </c>
      <c r="C27" s="12">
        <f>Dashboard!D18</f>
        <v/>
      </c>
      <c r="D27" s="12">
        <f>Dashboard!E18</f>
        <v/>
      </c>
      <c r="E27" s="12">
        <f>Dashboard!F18</f>
        <v/>
      </c>
      <c r="F27" s="12">
        <f>Dashboard!G18</f>
        <v/>
      </c>
      <c r="G27" s="12">
        <f>Dashboard!H18</f>
        <v/>
      </c>
    </row>
    <row r="28">
      <c r="B28" s="8" t="inlineStr">
        <is>
          <t>Total headcount at year end</t>
        </is>
      </c>
      <c r="C28" s="13">
        <f>Dashboard!D24</f>
        <v/>
      </c>
      <c r="D28" s="13">
        <f>Dashboard!E24</f>
        <v/>
      </c>
      <c r="E28" s="13">
        <f>Dashboard!F24</f>
        <v/>
      </c>
      <c r="F28" s="13">
        <f>Dashboard!G24</f>
        <v/>
      </c>
      <c r="G28" s="13">
        <f>Dashboard!H24</f>
        <v/>
      </c>
    </row>
    <row r="29">
      <c r="B29" s="5" t="inlineStr">
        <is>
          <t>Cash at year end</t>
        </is>
      </c>
      <c r="C29" s="12">
        <f>Dashboard!D31</f>
        <v/>
      </c>
      <c r="D29" s="12">
        <f>Dashboard!E31</f>
        <v/>
      </c>
      <c r="E29" s="12">
        <f>Dashboard!F31</f>
        <v/>
      </c>
      <c r="F29" s="12">
        <f>Dashboard!G31</f>
        <v/>
      </c>
      <c r="G29" s="12">
        <f>Dashboard!H31</f>
        <v/>
      </c>
    </row>
    <row r="31">
      <c r="B31" s="5" t="inlineStr">
        <is>
          <t>Lowest cash after the raise, and when</t>
        </is>
      </c>
      <c r="C31" s="12">
        <f>Dashboard!D37</f>
        <v/>
      </c>
      <c r="D31" s="14">
        <f>Dashboard!D38</f>
        <v/>
      </c>
    </row>
    <row r="32">
      <c r="B32" s="8" t="inlineStr">
        <is>
          <t>Months of operating cost that covers</t>
        </is>
      </c>
      <c r="C32" s="13">
        <f>Dashboard!D53</f>
        <v/>
      </c>
    </row>
    <row r="33">
      <c r="B33" s="8" t="inlineStr">
        <is>
          <t>Share of the raise the plan uses</t>
        </is>
      </c>
      <c r="C33" s="11">
        <f>Dashboard!D52</f>
        <v/>
      </c>
    </row>
    <row r="34">
      <c r="B34" s="8" t="inlineStr">
        <is>
          <t>Lowest cash before the raise</t>
        </is>
      </c>
      <c r="C34" s="10">
        <f>Dashboard!D39</f>
        <v/>
      </c>
    </row>
    <row r="36">
      <c r="B36" s="1" t="inlineStr">
        <is>
          <t>THIS CASE IN TWO LINES  (typed on 7 September 2026; the table above is live)</t>
        </is>
      </c>
      <c r="C36" s="2" t="n"/>
      <c r="D36" s="2" t="n"/>
      <c r="E36" s="2" t="n"/>
      <c r="F36" s="2" t="n"/>
      <c r="G36" s="2" t="n"/>
    </row>
    <row r="37">
      <c r="B37" s="6" t="inlineStr">
        <is>
          <t>Base, EUR3m: 354 / 1,344 / 4,122 / 7,407 units in 2027 to 2030, EUR126m revenue in 2030. Gross margin 10%, 25%, 37%, 37%. EBITDA -2.5m, +0.9m, +17m, +34m. 95 people.</t>
        </is>
      </c>
    </row>
    <row r="38">
      <c r="B38" s="6" t="inlineStr">
        <is>
          <t xml:space="preserve">     Cash low EUR0.6m in December 2027, about two months of cost; 80% of the raise used.</t>
        </is>
      </c>
    </row>
    <row r="39">
      <c r="B39" s="6" t="inlineStr">
        <is>
          <t>Gross margin steps from about 10% to 25% the year two-year volume passes 5,000 units (2028), and to 37% past 10,000 (2029).</t>
        </is>
      </c>
    </row>
    <row r="41">
      <c r="B41" s="1" t="inlineStr">
        <is>
          <t>DOES IT MAKE SENSE</t>
        </is>
      </c>
      <c r="C41" s="2" t="n"/>
      <c r="D41" s="2" t="n"/>
      <c r="E41" s="2" t="n"/>
      <c r="F41" s="2" t="n"/>
      <c r="G41" s="2" t="n"/>
    </row>
    <row r="42">
      <c r="B42" s="6" t="inlineStr">
        <is>
          <t>Mechanically, yes. Both cases pass the full audit: no formula errors, balance sheet ties every month, funding received equals the inputs, 116 rows agree with an independent re-implementation.</t>
        </is>
      </c>
    </row>
    <row r="43">
      <c r="B43" s="6" t="inlineStr">
        <is>
          <t>Commercially it holds on one condition: the supplier prices the BOM on two-year volume. Without that, 2027 and 2028 are priced at EUR9,984 a unit and base does not close on EUR3m.</t>
        </is>
      </c>
    </row>
    <row r="44">
      <c r="B44" s="6" t="inlineStr">
        <is>
          <t>Soft spot 1. Base turns on about 500 units: 2028 plus 2029 volume is 5,500 against a 5,000 tier. Below 5,000, 2028 costs EUR2,900 more per unit and EBITDA goes back to about -3m.</t>
        </is>
      </c>
    </row>
    <row r="46">
      <c r="B46" s="1" t="inlineStr">
        <is>
          <t>ASSUMPTIONS CHECKED AGAINST THE MARKET  (research of 4 September 2026, sources in docs/tarnoc-assumptions-research-2026-09-04.md)</t>
        </is>
      </c>
      <c r="C46" s="2" t="n"/>
      <c r="D46" s="2" t="n"/>
      <c r="E46" s="2" t="n"/>
      <c r="F46" s="2" t="n"/>
      <c r="G46" s="2" t="n"/>
    </row>
    <row r="47">
      <c r="B47" s="15" t="inlineStr">
        <is>
          <t>Assumption</t>
        </is>
      </c>
      <c r="C47" s="15" t="inlineStr">
        <is>
          <t>In the model</t>
        </is>
      </c>
      <c r="D47" s="15" t="inlineStr">
        <is>
          <t>Verdict</t>
        </is>
      </c>
      <c r="E47" s="15" t="inlineStr">
        <is>
          <t>What the market evidence says</t>
        </is>
      </c>
      <c r="F47" s="2" t="n"/>
      <c r="G47" s="2" t="n"/>
    </row>
    <row r="48">
      <c r="B48" s="6" t="inlineStr">
        <is>
          <t>Cost per marketing lead</t>
        </is>
      </c>
      <c r="C48" s="6" t="inlineStr">
        <is>
          <t>EUR120</t>
        </is>
      </c>
      <c r="D48" s="16" t="inlineStr">
        <is>
          <t>supported</t>
        </is>
      </c>
      <c r="E48" s="17" t="inlineStr">
        <is>
          <t>Exclusive heat-pump leads EUR130-280 NL/BE, EUR50-350 DE; EUR90-180 is the range</t>
        </is>
      </c>
    </row>
    <row r="49">
      <c r="B49" s="6" t="inlineStr">
        <is>
          <t>Lead to order (50% qualified x 40% won)</t>
        </is>
      </c>
      <c r="C49" s="6" t="inlineStr">
        <is>
          <t>20%, EUR600 per order</t>
        </is>
      </c>
      <c r="D49" s="16" t="inlineStr">
        <is>
          <t>high</t>
        </is>
      </c>
      <c r="E49" s="17" t="inlineStr">
        <is>
          <t>Published 8-15% and EUR900-1,800 per order; the client's current number; stronger for a product priced below installed heat pumps</t>
        </is>
      </c>
    </row>
    <row r="50">
      <c r="B50" s="6" t="inlineStr">
        <is>
          <t>Installer commission</t>
        </is>
      </c>
      <c r="C50" s="6" t="inlineStr">
        <is>
          <t>10% of unit price</t>
        </is>
      </c>
      <c r="D50" s="16" t="inlineStr">
        <is>
          <t>supported as a fee</t>
        </is>
      </c>
      <c r="E50" s="17" t="inlineStr">
        <is>
          <t>Loyalty and referral schemes pay 4-10%; installers who buy and resell expect 20-30% trade margin</t>
        </is>
      </c>
    </row>
    <row r="51">
      <c r="B51" s="6" t="inlineStr">
        <is>
          <t>Units a partner can sell per month</t>
        </is>
      </c>
      <c r="C51" s="6" t="inlineStr">
        <is>
          <t>8</t>
        </is>
      </c>
      <c r="D51" s="16" t="inlineStr">
        <is>
          <t>supported</t>
        </is>
      </c>
      <c r="E51" s="17" t="inlineStr">
        <is>
          <t>Certification norm about 80 installs a year per monteur; fits a mid-sized firm with one dedicated monteur</t>
        </is>
      </c>
    </row>
    <row r="52">
      <c r="B52" s="6" t="inlineStr">
        <is>
          <t>Orders a partner brings in per month</t>
        </is>
      </c>
      <c r="C52" s="6" t="inlineStr">
        <is>
          <t>1, 2, 3, 4 (2027-30)</t>
        </is>
      </c>
      <c r="D52" s="16" t="inlineStr">
        <is>
          <t>top of range</t>
        </is>
      </c>
      <c r="E52" s="17" t="inlineStr">
        <is>
          <t>Evidence: 0.5-1 in year one, 2-3 by year four; 4 only for top partners</t>
        </is>
      </c>
    </row>
    <row r="53">
      <c r="B53" s="6" t="inlineStr">
        <is>
          <t>Partners per partner manager</t>
        </is>
      </c>
      <c r="C53" s="6" t="inlineStr">
        <is>
          <t>18</t>
        </is>
      </c>
      <c r="D53" s="16" t="inlineStr">
        <is>
          <t>low vs incumbents</t>
        </is>
      </c>
      <c r="E53" s="17" t="inlineStr">
        <is>
          <t>Remeha and Nefit account managers cover hundreds of firms; 15-25 is fine while onboarding, 40-80 at steady state</t>
        </is>
      </c>
    </row>
    <row r="54">
      <c r="B54" s="6" t="inlineStr">
        <is>
          <t>Partners trained per trainer per year; cost</t>
        </is>
      </c>
      <c r="C54" s="6" t="inlineStr">
        <is>
          <t>40; EUR3,500</t>
        </is>
      </c>
      <c r="D54" s="16" t="inlineStr">
        <is>
          <t>throughput low, cost fine</t>
        </is>
      </c>
      <c r="E54" s="17" t="inlineStr">
        <is>
          <t>40-80 a year; EUR1,500-2,500 plus a rotating demo pool</t>
        </is>
      </c>
    </row>
    <row r="55">
      <c r="B55" s="6" t="inlineStr">
        <is>
          <t>Rep quota</t>
        </is>
      </c>
      <c r="C55" s="6" t="inlineStr">
        <is>
          <t>20 closes a month</t>
        </is>
      </c>
      <c r="D55" s="16" t="inlineStr">
        <is>
          <t>high</t>
        </is>
      </c>
      <c r="E55" s="17" t="inlineStr">
        <is>
          <t>US HVAC comfort advisors 8-10 a month, top decile 11-17; solar reps 2-3 in year one</t>
        </is>
      </c>
    </row>
    <row r="56">
      <c r="B56" s="6" t="inlineStr">
        <is>
          <t>Direct share path</t>
        </is>
      </c>
      <c r="C56" s="6" t="inlineStr">
        <is>
          <t>80 / 50 / 35 / 30%</t>
        </is>
      </c>
      <c r="D56" s="16" t="inlineStr">
        <is>
          <t>no precedent</t>
        </is>
      </c>
      <c r="E56" s="17" t="inlineStr">
        <is>
          <t>Brands are installer-led from day one or stay mostly direct; those that shift still hold 40-60% direct in year four</t>
        </is>
      </c>
    </row>
    <row r="57">
      <c r="B57" s="6" t="inlineStr">
        <is>
          <t>Marketing spend as share of revenue</t>
        </is>
      </c>
      <c r="C57" s="6" t="inlineStr">
        <is>
          <t>about 2-4%</t>
        </is>
      </c>
      <c r="D57" s="16" t="inlineStr">
        <is>
          <t>low</t>
        </is>
      </c>
      <c r="E57" s="17" t="inlineStr">
        <is>
          <t>HVAC 6% (10-15% in growth), NIBE selling costs 14.6%; 6-10% early and 3-5% later is typical</t>
        </is>
      </c>
    </row>
    <row r="58">
      <c r="B58" s="6" t="inlineStr">
        <is>
          <t>Marketing team</t>
        </is>
      </c>
      <c r="C58" s="6" t="inlineStr">
        <is>
          <t>2 + 1 per EUR1.5m of yearly spend</t>
        </is>
      </c>
      <c r="D58" s="16" t="inlineStr">
        <is>
          <t>supported</t>
        </is>
      </c>
      <c r="E58" s="17" t="inlineStr">
        <is>
          <t>Cross-industry: 1 marketer per EUR1-1.5m of media, or a 10-12% agency line</t>
        </is>
      </c>
    </row>
    <row r="59">
      <c r="B59" s="6" t="inlineStr">
        <is>
          <t>Units one field engineer looks after</t>
        </is>
      </c>
      <c r="C59" s="6" t="inlineStr">
        <is>
          <t>750</t>
        </is>
      </c>
      <c r="D59" s="16" t="inlineStr">
        <is>
          <t>supported</t>
        </is>
      </c>
      <c r="E59" s="17" t="inlineStr">
        <is>
          <t>600-900 at 4.5-5.5 visits a day including breakdowns</t>
        </is>
      </c>
    </row>
    <row r="60">
      <c r="B60" s="6" t="inlineStr">
        <is>
          <t>Service contract attach rate</t>
        </is>
      </c>
      <c r="C60" s="6" t="inlineStr">
        <is>
          <t>88% (client)</t>
        </is>
      </c>
      <c r="D60" s="16" t="inlineStr">
        <is>
          <t>high</t>
        </is>
      </c>
      <c r="E60" s="17" t="inlineStr">
        <is>
          <t>76% of new-boiler buyers hold a contract (Panteia/ACM 2025); 65-80% is the range</t>
        </is>
      </c>
    </row>
    <row r="61">
      <c r="B61" s="6" t="inlineStr">
        <is>
          <t>Turbineketel service price</t>
        </is>
      </c>
      <c r="C61" s="6" t="inlineStr">
        <is>
          <t>EUR60 / 90 a year (client)</t>
        </is>
      </c>
      <c r="D61" s="16" t="inlineStr">
        <is>
          <t>low</t>
        </is>
      </c>
      <c r="E61" s="17" t="inlineStr">
        <is>
          <t>Dutch basic tiers EUR96-132 incl. VAT, comfort EUR156-290; EUR75-95 / 130-190 ex VAT</t>
        </is>
      </c>
    </row>
    <row r="62">
      <c r="B62" s="6" t="inlineStr">
        <is>
          <t>Combi+ service price</t>
        </is>
      </c>
      <c r="C62" s="6" t="inlineStr">
        <is>
          <t>EUR150 / 200 a year (client)</t>
        </is>
      </c>
      <c r="D62" s="16" t="inlineStr">
        <is>
          <t>supported</t>
        </is>
      </c>
      <c r="E62" s="17" t="inlineStr">
        <is>
          <t>Market EUR140-363 incl. VAT</t>
        </is>
      </c>
    </row>
    <row r="63">
      <c r="B63" s="6" t="inlineStr">
        <is>
          <t>Service contract direct cost</t>
        </is>
      </c>
      <c r="C63" s="6" t="inlineStr">
        <is>
          <t>EUR30-40 / 75-100 (client)</t>
        </is>
      </c>
      <c r="D63" s="16" t="inlineStr">
        <is>
          <t>supported</t>
        </is>
      </c>
      <c r="E63" s="17" t="inlineStr">
        <is>
          <t>Low for a parts-inclusive premium tier in years one to three</t>
        </is>
      </c>
    </row>
    <row r="64">
      <c r="B64" s="6" t="inlineStr">
        <is>
          <t>Support staffing</t>
        </is>
      </c>
      <c r="C64" s="6" t="inlineStr">
        <is>
          <t>1 per 2,500 installed; escalation 1 per 15,000</t>
        </is>
      </c>
      <c r="D64" s="16" t="inlineStr">
        <is>
          <t>supported at maturity</t>
        </is>
      </c>
      <c r="E64" s="17" t="inlineStr">
        <is>
          <t>Light for 2027-29; 1 per 1,500-2,000 early</t>
        </is>
      </c>
    </row>
    <row r="65">
      <c r="B65" s="6" t="inlineStr">
        <is>
          <t>Warranty reserve</t>
        </is>
      </c>
      <c r="C65" s="6" t="inlineStr">
        <is>
          <t>none beyond 3% in the BOM</t>
        </is>
      </c>
      <c r="D65" s="16" t="inlineStr">
        <is>
          <t>low</t>
        </is>
      </c>
      <c r="E65" s="17" t="inlineStr">
        <is>
          <t>Ariston accrues 1.4-1.6% of revenue with a 3.6% provision, Daikin 2.4%; 2.5-4% on early cohorts</t>
        </is>
      </c>
    </row>
    <row r="66">
      <c r="B66" s="6" t="inlineStr">
        <is>
          <t>Assembly partner capacity</t>
        </is>
      </c>
      <c r="C66" s="6" t="inlineStr">
        <is>
          <t>650 / 1,000 a month</t>
        </is>
      </c>
      <c r="D66" s="16" t="inlineStr">
        <is>
          <t>supported as a line rate</t>
        </is>
      </c>
      <c r="E66" s="17" t="inlineStr">
        <is>
          <t>Partners commit capacity with take-or-pay, not output; a 6-12 month ramp is normal</t>
        </is>
      </c>
    </row>
    <row r="67">
      <c r="B67" s="6" t="inlineStr">
        <is>
          <t>BOM cost-down</t>
        </is>
      </c>
      <c r="C67" s="6" t="inlineStr">
        <is>
          <t>EUR9,984 to 4,998, 50% (client)</t>
        </is>
      </c>
      <c r="D67" s="16" t="inlineStr">
        <is>
          <t>high</t>
        </is>
      </c>
      <c r="E67" s="17" t="inlineStr">
        <is>
          <t>Learning rates 3-17% per doubling; the 5k to 10k step alone is 29% for one doubling; tier 3 at EUR5,800-6,800 is what the evidence supports</t>
        </is>
      </c>
    </row>
    <row r="68">
      <c r="B68" s="6" t="inlineStr">
        <is>
          <t>Supply chain and order desk staffing</t>
        </is>
      </c>
      <c r="C68" s="6" t="inlineStr">
        <is>
          <t>1 per 900 units; 1 per 3,000</t>
        </is>
      </c>
      <c r="D68" s="16" t="inlineStr">
        <is>
          <t>fits start-up scale</t>
        </is>
      </c>
      <c r="E68" s="17" t="inlineStr">
        <is>
          <t>Core of 3-4 then 1 per 1,500-2,500 units</t>
        </is>
      </c>
    </row>
    <row r="69">
      <c r="B69" s="6" t="inlineStr">
        <is>
          <t>Working capital days</t>
        </is>
      </c>
      <c r="C69" s="6" t="inlineStr">
        <is>
          <t>DSO 20, DPO 45, no inventory (client)</t>
        </is>
      </c>
      <c r="D69" s="16" t="inlineStr">
        <is>
          <t>DSO low, no inventory unprecedented</t>
        </is>
      </c>
      <c r="E69" s="17" t="inlineStr">
        <is>
          <t>Peers DSO 45-72, DIO 92-131; kept at the client's figures on instruction</t>
        </is>
      </c>
    </row>
    <row r="70">
      <c r="B70" s="6" t="inlineStr">
        <is>
          <t>Inbound shipping per outdoor unit</t>
        </is>
      </c>
      <c r="C70" s="6" t="inlineStr">
        <is>
          <t>EUR100 (client)</t>
        </is>
      </c>
      <c r="D70" s="16" t="inlineStr">
        <is>
          <t>conservative</t>
        </is>
      </c>
      <c r="E70" s="17" t="inlineStr">
        <is>
          <t>EUR40-60 in a full container, EUR80-120 groupage</t>
        </is>
      </c>
    </row>
    <row r="71">
      <c r="B71" s="6" t="inlineStr">
        <is>
          <t>Loaded cost per month by role</t>
        </is>
      </c>
      <c r="C71" s="6" t="inlineStr">
        <is>
          <t>EUR4,800 to 8,000</t>
        </is>
      </c>
      <c r="D71" s="16" t="inlineStr">
        <is>
          <t>right in total</t>
        </is>
      </c>
      <c r="E71" s="17" t="inlineStr">
        <is>
          <t>Sales rep and support a little high, leadership low for executives; blend near the CBS average</t>
        </is>
      </c>
    </row>
    <row r="72">
      <c r="B72" s="6" t="inlineStr">
        <is>
          <t>Wage growth; other cost inflation</t>
        </is>
      </c>
      <c r="C72" s="6" t="inlineStr">
        <is>
          <t>5%; 10% a year</t>
        </is>
      </c>
      <c r="D72" s="16" t="inlineStr">
        <is>
          <t>wages fine, costs high</t>
        </is>
      </c>
      <c r="E72" s="17" t="inlineStr">
        <is>
          <t>CPB wages 3.2-4.2%; CPI 2.1-3%; other costs left at 10% on instruction</t>
        </is>
      </c>
    </row>
    <row r="73">
      <c r="B73" s="6" t="inlineStr">
        <is>
          <t>Office, IT, travel per head; recruitment</t>
        </is>
      </c>
      <c r="C73" s="6" t="inlineStr">
        <is>
          <t>EUR700 / 250 / 300; EUR8,000</t>
        </is>
      </c>
      <c r="D73" s="16" t="inlineStr">
        <is>
          <t>supported</t>
        </is>
      </c>
      <c r="E73" s="17" t="inlineStr">
        <is>
          <t>NFC Index EUR760 per FTE; recruitment average EUR4,494, agency 15-25% of salary</t>
        </is>
      </c>
    </row>
    <row r="74">
      <c r="B74" s="6" t="inlineStr">
        <is>
          <t>Back office</t>
        </is>
      </c>
      <c r="C74" s="6" t="inlineStr">
        <is>
          <t>3 to 8 people</t>
        </is>
      </c>
      <c r="D74" s="16" t="inlineStr">
        <is>
          <t>supported</t>
        </is>
      </c>
      <c r="E74" s="17" t="inlineStr">
        <is>
          <t>Fine for 95 staff; for 300 staff 14-22, and HR alone needs 4-6</t>
        </is>
      </c>
    </row>
    <row r="76">
      <c r="B76" s="6" t="inlineStr">
        <is>
          <t>The research briefs described the product as a gas boiler; it is a turbine heat pump. That weakens the "high" verdicts on the close rate and price, and does not affect the rest.</t>
        </is>
      </c>
    </row>
    <row r="78">
      <c r="B78" s="1" t="inlineStr">
        <is>
          <t>WHERE THE PLAN IS VULNERABLE</t>
        </is>
      </c>
      <c r="C78" s="2" t="n"/>
      <c r="D78" s="2" t="n"/>
      <c r="E78" s="2" t="n"/>
      <c r="F78" s="2" t="n"/>
      <c r="G78" s="2" t="n"/>
    </row>
    <row r="79">
      <c r="B79" s="6" t="inlineStr">
        <is>
          <t>Base: the 5,000-unit cliff in 2028 (2028 plus 2029 volume is 5,500 against the 5,000 tier) and two months of cash cover in December 2027. A one-quarter delay in the 2029 ramp costs the margin step.</t>
        </is>
      </c>
    </row>
    <row r="80">
      <c r="B80" s="6" t="inlineStr">
        <is>
          <t>Both: the turbineketel sells below its tier-1 BOM. A forced price cut makes the first tier worse.</t>
        </is>
      </c>
    </row>
    <row r="81">
      <c r="B81" s="6" t="inlineStr">
        <is>
          <t>Turbineketel service prices (EUR60 and EUR90 a year) are below the Dutch market. Upside if raised.</t>
        </is>
      </c>
    </row>
    <row r="83">
      <c r="B83" s="1" t="inlineStr">
        <is>
          <t>STILL NEEDED FROM THE CLIENT</t>
        </is>
      </c>
      <c r="C83" s="2" t="n"/>
      <c r="D83" s="2" t="n"/>
      <c r="E83" s="2" t="n"/>
      <c r="F83" s="2" t="n"/>
      <c r="G83" s="2" t="n"/>
    </row>
    <row r="84">
      <c r="B84" s="6" t="inlineStr">
        <is>
          <t>Supplier quotes behind the three BOM tiers, and confirmation the supplier will price on a two-year volume commitment.</t>
        </is>
      </c>
    </row>
    <row r="85">
      <c r="B85" s="6" t="inlineStr">
        <is>
          <t>Confirmation of the installer deal: 10% of the unit price on top of the installation fee.</t>
        </is>
      </c>
    </row>
    <row r="86">
      <c r="B86" s="6" t="inlineStr">
        <is>
          <t>A view on the direct-to-installer shift (80 / 50 / 35 / 30% direct).</t>
        </is>
      </c>
    </row>
    <row r="88">
      <c r="B88" s="3" t="inlineStr">
        <is>
          <t>Detail: How to read me for the colour code, Dashboard for the year view, Assumptions for every input, docs/ in the repository for the research and the formula reviews.</t>
        </is>
      </c>
    </row>
  </sheetData>
  <conditionalFormatting sqref="C31:C34">
    <cfRule type="cellIs" priority="1" operator="lessThan" dxfId="0">
      <formula>0</formula>
    </cfRule>
  </conditionalFormatting>
  <conditionalFormatting sqref="C24:G29">
    <cfRule type="cellIs" priority="2" operator="lessThan" dxfId="0">
      <formula>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9"/>
  <sheetViews>
    <sheetView showGridLines="0" workbookViewId="0">
      <selection activeCell="A1" sqref="A1"/>
    </sheetView>
  </sheetViews>
  <sheetFormatPr baseColWidth="8" defaultRowHeight="15"/>
  <cols>
    <col width="3" customWidth="1" min="1" max="1"/>
    <col width="70" customWidth="1" min="2" max="2"/>
    <col width="30" customWidth="1" min="3" max="3"/>
  </cols>
  <sheetData>
    <row r="1">
      <c r="A1" s="2" t="n"/>
      <c r="B1" s="2" t="n"/>
      <c r="C1" s="2" t="n"/>
      <c r="D1" s="2" t="n"/>
      <c r="E1" s="2" t="n"/>
      <c r="F1" s="2" t="n"/>
      <c r="G1" s="2" t="n"/>
    </row>
    <row r="2">
      <c r="A2" s="2" t="n"/>
      <c r="B2" s="2" t="n"/>
      <c r="C2" s="2" t="n"/>
      <c r="D2" s="2" t="n"/>
      <c r="E2" s="2" t="n"/>
      <c r="F2" s="2" t="n"/>
      <c r="G2" s="2" t="n"/>
    </row>
    <row r="3">
      <c r="A3" s="2" t="n"/>
      <c r="B3" s="2" t="n"/>
      <c r="C3" s="2" t="n"/>
      <c r="D3" s="2" t="n"/>
      <c r="E3" s="2" t="n"/>
      <c r="F3" s="2" t="n"/>
      <c r="G3" s="2" t="n"/>
    </row>
    <row r="4">
      <c r="A4" s="2" t="n"/>
      <c r="B4" s="2" t="n"/>
      <c r="C4" s="2" t="n"/>
      <c r="D4" s="2" t="n"/>
      <c r="E4" s="2" t="n"/>
      <c r="F4" s="2" t="n"/>
      <c r="G4" s="2" t="n"/>
    </row>
    <row r="5">
      <c r="A5" s="2" t="n"/>
      <c r="B5" s="2" t="n"/>
      <c r="C5" s="2" t="n"/>
      <c r="D5" s="2" t="n"/>
      <c r="E5" s="2" t="n"/>
      <c r="F5" s="2" t="n"/>
      <c r="G5" s="2" t="n"/>
    </row>
    <row r="6">
      <c r="A6" s="2" t="n"/>
      <c r="B6" s="18" t="inlineStr">
        <is>
          <t>TARNOC B.V.</t>
        </is>
      </c>
      <c r="C6" s="2" t="n"/>
      <c r="D6" s="2" t="n"/>
      <c r="E6" s="2" t="n"/>
      <c r="F6" s="2" t="n"/>
      <c r="G6" s="2" t="n"/>
    </row>
    <row r="7">
      <c r="A7" s="2" t="n"/>
      <c r="B7" s="2" t="n"/>
      <c r="C7" s="2" t="n"/>
      <c r="D7" s="2" t="n"/>
      <c r="E7" s="2" t="n"/>
      <c r="F7" s="2" t="n"/>
      <c r="G7" s="2" t="n"/>
    </row>
    <row r="8">
      <c r="A8" s="2" t="n"/>
      <c r="B8" s="19" t="inlineStr">
        <is>
          <t>Financial Model</t>
        </is>
      </c>
      <c r="C8" s="2" t="n"/>
      <c r="D8" s="2" t="n"/>
      <c r="E8" s="2" t="n"/>
      <c r="F8" s="2" t="n"/>
      <c r="G8" s="2" t="n"/>
    </row>
    <row r="9">
      <c r="A9" s="2" t="n"/>
      <c r="B9" s="20" t="inlineStr">
        <is>
          <t>Built from scratch, September 2026</t>
        </is>
      </c>
      <c r="C9" s="2" t="n"/>
      <c r="D9" s="2" t="n"/>
      <c r="E9" s="2" t="n"/>
      <c r="F9" s="2" t="n"/>
      <c r="G9" s="2" t="n"/>
    </row>
    <row r="10">
      <c r="A10" s="2" t="n"/>
      <c r="B10" s="15" t="inlineStr">
        <is>
          <t>Base case, EUR3m raise</t>
        </is>
      </c>
      <c r="C10" s="2" t="n"/>
      <c r="D10" s="2" t="n"/>
      <c r="E10" s="2" t="n"/>
      <c r="F10" s="2" t="n"/>
      <c r="G10" s="2" t="n"/>
    </row>
    <row r="11">
      <c r="A11" s="2" t="n"/>
      <c r="B11" s="2" t="n"/>
      <c r="C11" s="2" t="n"/>
      <c r="D11" s="2" t="n"/>
      <c r="E11" s="2" t="n"/>
      <c r="F11" s="2" t="n"/>
      <c r="G11" s="2" t="n"/>
    </row>
    <row r="12">
      <c r="A12" s="2" t="n"/>
      <c r="B12" s="20" t="inlineStr">
        <is>
          <t>Currency</t>
        </is>
      </c>
      <c r="C12" s="21" t="inlineStr">
        <is>
          <t>EUR, ex VAT unless stated</t>
        </is>
      </c>
      <c r="D12" s="2" t="n"/>
      <c r="E12" s="2" t="n"/>
      <c r="F12" s="2" t="n"/>
      <c r="G12" s="2" t="n"/>
    </row>
    <row r="13">
      <c r="A13" s="2" t="n"/>
      <c r="B13" s="20" t="inlineStr">
        <is>
          <t>Period</t>
        </is>
      </c>
      <c r="C13" s="21" t="inlineStr">
        <is>
          <t>January 2026 to December 2030, monthly</t>
        </is>
      </c>
      <c r="D13" s="2" t="n"/>
      <c r="E13" s="2" t="n"/>
      <c r="F13" s="2" t="n"/>
      <c r="G13" s="2" t="n"/>
    </row>
    <row r="14">
      <c r="A14" s="2" t="n"/>
      <c r="B14" s="20" t="inlineStr">
        <is>
          <t>Fiscal year</t>
        </is>
      </c>
      <c r="C14" s="21" t="inlineStr">
        <is>
          <t>Calendar</t>
        </is>
      </c>
      <c r="D14" s="2" t="n"/>
      <c r="E14" s="2" t="n"/>
      <c r="F14" s="2" t="n"/>
      <c r="G14" s="2" t="n"/>
    </row>
    <row r="15">
      <c r="A15" s="2" t="n"/>
      <c r="B15" s="20" t="inlineStr">
        <is>
          <t>Units</t>
        </is>
      </c>
      <c r="C15" s="21" t="inlineStr">
        <is>
          <t>Whole euros</t>
        </is>
      </c>
      <c r="D15" s="2" t="n"/>
      <c r="E15" s="2" t="n"/>
      <c r="F15" s="2" t="n"/>
      <c r="G15" s="2" t="n"/>
    </row>
    <row r="16">
      <c r="A16" s="2" t="n"/>
      <c r="B16" s="2" t="n"/>
      <c r="C16" s="2" t="n"/>
      <c r="D16" s="2" t="n"/>
      <c r="E16" s="2" t="n"/>
      <c r="F16" s="2" t="n"/>
      <c r="G16" s="2" t="n"/>
    </row>
    <row r="17">
      <c r="A17" s="2" t="n"/>
      <c r="B17" s="2" t="n"/>
      <c r="C17" s="2" t="n"/>
      <c r="D17" s="2" t="n"/>
      <c r="E17" s="2" t="n"/>
      <c r="F17" s="2" t="n"/>
      <c r="G17" s="2" t="n"/>
    </row>
    <row r="18">
      <c r="A18" s="2" t="n"/>
      <c r="B18" s="20" t="inlineStr">
        <is>
          <t>Start with the Summary tab, then How to read me.</t>
        </is>
      </c>
      <c r="C18" s="2" t="n"/>
      <c r="D18" s="2" t="n"/>
      <c r="E18" s="2" t="n"/>
      <c r="F18" s="2" t="n"/>
      <c r="G18" s="2" t="n"/>
    </row>
    <row r="19">
      <c r="A19" s="2" t="n"/>
      <c r="B19" s="2" t="n"/>
      <c r="C19" s="2" t="n"/>
      <c r="D19" s="2" t="n"/>
      <c r="E19" s="2" t="n"/>
      <c r="F19" s="2" t="n"/>
      <c r="G19" s="2" t="n"/>
    </row>
    <row r="20">
      <c r="A20" s="2" t="n"/>
      <c r="B20" s="2" t="n"/>
      <c r="C20" s="2" t="n"/>
      <c r="D20" s="2" t="n"/>
      <c r="E20" s="2" t="n"/>
      <c r="F20" s="2" t="n"/>
      <c r="G20" s="2" t="n"/>
    </row>
    <row r="21">
      <c r="A21" s="2" t="n"/>
      <c r="B21" s="22" t="inlineStr">
        <is>
          <t>STRICTLY CONFIDENTIAL</t>
        </is>
      </c>
      <c r="C21" s="2" t="n"/>
      <c r="D21" s="2" t="n"/>
      <c r="E21" s="2" t="n"/>
      <c r="F21" s="2" t="n"/>
      <c r="G21" s="2" t="n"/>
    </row>
    <row r="22">
      <c r="A22" s="2" t="n"/>
      <c r="B22" s="2" t="n"/>
      <c r="C22" s="2" t="n"/>
      <c r="D22" s="2" t="n"/>
      <c r="E22" s="2" t="n"/>
      <c r="F22" s="2" t="n"/>
      <c r="G22" s="2" t="n"/>
    </row>
    <row r="23">
      <c r="A23" s="2" t="n"/>
      <c r="B23" s="2" t="n"/>
      <c r="C23" s="2" t="n"/>
      <c r="D23" s="2" t="n"/>
      <c r="E23" s="2" t="n"/>
      <c r="F23" s="2" t="n"/>
      <c r="G23" s="2" t="n"/>
    </row>
    <row r="24">
      <c r="A24" s="2" t="n"/>
      <c r="B24" s="2" t="n"/>
      <c r="C24" s="2" t="n"/>
      <c r="D24" s="2" t="n"/>
      <c r="E24" s="2" t="n"/>
      <c r="F24" s="2" t="n"/>
      <c r="G24" s="2" t="n"/>
    </row>
    <row r="25">
      <c r="A25" s="2" t="n"/>
      <c r="B25" s="2" t="n"/>
      <c r="C25" s="2" t="n"/>
      <c r="D25" s="2" t="n"/>
      <c r="E25" s="2" t="n"/>
      <c r="F25" s="2" t="n"/>
      <c r="G25" s="2" t="n"/>
    </row>
    <row r="26">
      <c r="A26" s="2" t="n"/>
      <c r="B26" s="2" t="n"/>
      <c r="C26" s="2" t="n"/>
      <c r="D26" s="2" t="n"/>
      <c r="E26" s="2" t="n"/>
      <c r="F26" s="2" t="n"/>
      <c r="G26" s="2" t="n"/>
    </row>
    <row r="27">
      <c r="A27" s="2" t="n"/>
      <c r="B27" s="2" t="n"/>
      <c r="C27" s="2" t="n"/>
      <c r="D27" s="2" t="n"/>
      <c r="E27" s="2" t="n"/>
      <c r="F27" s="2" t="n"/>
      <c r="G27" s="2" t="n"/>
    </row>
    <row r="28">
      <c r="A28" s="2" t="n"/>
      <c r="B28" s="2" t="n"/>
      <c r="C28" s="2" t="n"/>
      <c r="D28" s="2" t="n"/>
      <c r="E28" s="2" t="n"/>
      <c r="F28" s="2" t="n"/>
      <c r="G28" s="2" t="n"/>
    </row>
    <row r="29">
      <c r="A29" s="2" t="n"/>
      <c r="B29" s="2" t="n"/>
      <c r="C29" s="2" t="n"/>
      <c r="D29" s="2" t="n"/>
      <c r="E29" s="2" t="n"/>
      <c r="F29" s="2" t="n"/>
      <c r="G29"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1:C34"/>
  <sheetViews>
    <sheetView showGridLines="0" workbookViewId="0">
      <selection activeCell="A1" sqref="A1"/>
    </sheetView>
  </sheetViews>
  <sheetFormatPr baseColWidth="8" defaultRowHeight="15"/>
  <cols>
    <col width="3" customWidth="1" min="1" max="1"/>
    <col width="16" customWidth="1" min="2" max="2"/>
    <col width="118" customWidth="1" min="3" max="3"/>
  </cols>
  <sheetData>
    <row r="1">
      <c r="B1" s="1" t="inlineStr">
        <is>
          <t>Tarnoc B.V.  How to read this model</t>
        </is>
      </c>
      <c r="C1" s="2" t="n"/>
    </row>
    <row r="3">
      <c r="B3" s="1" t="inlineStr">
        <is>
          <t>COLOUR CODING</t>
        </is>
      </c>
      <c r="C3" s="2" t="n"/>
    </row>
    <row r="4">
      <c r="B4" s="23" t="inlineStr">
        <is>
          <t>Sample</t>
        </is>
      </c>
      <c r="C4" s="6" t="inlineStr">
        <is>
          <t>Hardcoded input. These are the only cells to change. They live on Assumptions, plus the back-office headcount row on Personnel.</t>
        </is>
      </c>
    </row>
    <row r="5">
      <c r="B5" s="5" t="inlineStr">
        <is>
          <t>Sample</t>
        </is>
      </c>
      <c r="C5" s="6" t="inlineStr">
        <is>
          <t>Calculated cell. Do not type over these.</t>
        </is>
      </c>
    </row>
    <row r="6">
      <c r="B6" s="24" t="inlineStr">
        <is>
          <t>Sample</t>
        </is>
      </c>
      <c r="C6" s="6" t="inlineStr">
        <is>
          <t>Subtotal or total row.</t>
        </is>
      </c>
    </row>
    <row r="7">
      <c r="B7" s="1" t="inlineStr">
        <is>
          <t>Sample</t>
        </is>
      </c>
      <c r="C7" s="6" t="inlineStr">
        <is>
          <t>Section header.</t>
        </is>
      </c>
    </row>
    <row r="8">
      <c r="B8" s="25" t="inlineStr">
        <is>
          <t>Sample</t>
        </is>
      </c>
      <c r="C8" s="6" t="inlineStr">
        <is>
          <t>Margin or ratio row.</t>
        </is>
      </c>
    </row>
    <row r="9">
      <c r="B9" s="26" t="inlineStr">
        <is>
          <t>Sample</t>
        </is>
      </c>
      <c r="C9" s="6" t="inlineStr">
        <is>
          <t>Check row. Must read nil.</t>
        </is>
      </c>
    </row>
    <row r="12">
      <c r="B12" s="1" t="inlineStr">
        <is>
          <t>HOW THE MODEL FITS TOGETHER</t>
        </is>
      </c>
      <c r="C12" s="2" t="n"/>
    </row>
    <row r="13">
      <c r="C13" s="8" t="inlineStr">
        <is>
          <t>Assumptions   -&gt;   every other tab. The only other typed numbers are the back-office headcount on Personnel and the committed 2026 plan on OPEX.</t>
        </is>
      </c>
    </row>
    <row r="14">
      <c r="C14" s="8" t="inlineStr">
        <is>
          <t>Revenue Forecast   -&gt;   COGS, OPEX, Personnel, Financial Statements.</t>
        </is>
      </c>
    </row>
    <row r="15">
      <c r="C15" s="8" t="inlineStr">
        <is>
          <t>Personnel   -&gt;   OPEX   -&gt;   Financial Statements.</t>
        </is>
      </c>
    </row>
    <row r="16">
      <c r="C16" s="8" t="inlineStr">
        <is>
          <t>Everything   -&gt;   Dashboard.</t>
        </is>
      </c>
    </row>
    <row r="18">
      <c r="B18" s="1" t="inlineStr">
        <is>
          <t>THE CASE</t>
        </is>
      </c>
      <c r="C18" s="2" t="n"/>
    </row>
    <row r="19">
      <c r="C19" s="8" t="inlineStr">
        <is>
          <t>This workbook holds the base case only (EUR3m raise). The Value column on Assumptions is the plan; there is no case switch.</t>
        </is>
      </c>
    </row>
    <row r="20">
      <c r="C20" s="8" t="inlineStr">
        <is>
          <t>The bill of materials is priced on two-year volume (this year plus next), which assumes a volume commitment to the supplier. There is no switch for this; it is how the COGS tab works.</t>
        </is>
      </c>
    </row>
    <row r="22">
      <c r="B22" s="1" t="inlineStr">
        <is>
          <t>HOW UNITS SOLD IS DECIDED</t>
        </is>
      </c>
      <c r="C22" s="2" t="n"/>
    </row>
    <row r="23">
      <c r="C23" s="8" t="inlineStr">
        <is>
          <t>Units sold is not typed in. Three numbers are worked out for every month and the smallest one wins:</t>
        </is>
      </c>
    </row>
    <row r="24">
      <c r="C24" s="8" t="inlineStr">
        <is>
          <t xml:space="preserve">    1.  Demand.  Marketing spend divided by cost per lead, through the two conversion rates, plus the orders installer partners bring in on their own jobs.</t>
        </is>
      </c>
    </row>
    <row r="25">
      <c r="C25" s="8" t="inlineStr">
        <is>
          <t xml:space="preserve">    2.  What we can sell.  Our own reps times quota, plus installer partners times units each, capped by the direct and channel mix. No ramp-up: reps and partners sell at full rate from the month they join.</t>
        </is>
      </c>
    </row>
    <row r="26">
      <c r="C26" s="8" t="inlineStr">
        <is>
          <t xml:space="preserve">    3.  What we can build.  The assembly partner's contracted volume.</t>
        </is>
      </c>
    </row>
    <row r="27">
      <c r="C27" s="8" t="inlineStr">
        <is>
          <t>There is no market size or market share anywhere in the model.</t>
        </is>
      </c>
    </row>
    <row r="30">
      <c r="B30" s="1" t="inlineStr">
        <is>
          <t>THINGS WORTH KNOWING</t>
        </is>
      </c>
      <c r="C30" s="2" t="n"/>
    </row>
    <row r="31">
      <c r="C31" s="27" t="inlineStr">
        <is>
          <t>Installation is a pass-through. It is charged to the customer at exactly what the installation partner is paid, so it adds revenue and an identical cost and no margin.</t>
        </is>
      </c>
    </row>
    <row r="32">
      <c r="C32" s="27" t="inlineStr">
        <is>
          <t>Field service engineers are salaried staff on the Personnel tab. The service contract cost per unit in COGS covers parts, consumables and travel, not their salaries.</t>
        </is>
      </c>
    </row>
    <row r="33">
      <c r="C33" s="27" t="inlineStr">
        <is>
          <t>Unit cost falls in steps, not smoothly. The turbineketel bill of materials is EUR9,984 below 5,000 units a year, EUR7,069 from 5,000 and EUR4,998 from 10,000. Almost all of the profit in the later years comes from crossing the second step, so that assumption carries more weight than any other in the model.</t>
        </is>
      </c>
    </row>
    <row r="34">
      <c r="C34" s="27" t="inlineStr">
        <is>
          <t>Every month is a real column. There are no annual-only columns, so nothing can be hardcoded in a year that the monthly build does not see.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1:J119"/>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3" customWidth="1" min="1" max="1"/>
    <col width="54" customWidth="1" min="2" max="2"/>
    <col width="15" customWidth="1" min="3" max="3"/>
    <col width="14" customWidth="1" min="4" max="4"/>
    <col width="14" customWidth="1" min="5" max="5"/>
    <col width="14" customWidth="1" min="6" max="6"/>
    <col width="14" customWidth="1" min="7" max="7"/>
    <col width="14" customWidth="1" min="8" max="8"/>
    <col width="2" customWidth="1" min="9" max="9"/>
    <col width="66" customWidth="1" min="10" max="10"/>
  </cols>
  <sheetData>
    <row r="1">
      <c r="B1" s="1" t="inlineStr">
        <is>
          <t>Tarnoc B.V.  Assumptions</t>
        </is>
      </c>
      <c r="C1" s="2" t="n"/>
      <c r="D1" s="2" t="n"/>
      <c r="E1" s="2" t="n"/>
      <c r="F1" s="2" t="n"/>
      <c r="G1" s="2" t="n"/>
      <c r="H1" s="2" t="n"/>
      <c r="I1" s="2" t="n"/>
      <c r="J1" s="2" t="n"/>
    </row>
    <row r="2">
      <c r="B2" s="3" t="inlineStr">
        <is>
          <t>Every driver lives here. Pale yellow cells are inputs, everything else is calculated. This workbook is the base case, eur3m raise.</t>
        </is>
      </c>
    </row>
    <row r="4">
      <c r="B4" s="1" t="inlineStr">
        <is>
          <t>GENERAL</t>
        </is>
      </c>
      <c r="C4" s="2" t="n"/>
      <c r="D4" s="2" t="n"/>
      <c r="E4" s="2" t="n"/>
      <c r="F4" s="2" t="n"/>
      <c r="G4" s="2" t="n"/>
      <c r="H4" s="2" t="n"/>
      <c r="I4" s="2" t="n"/>
      <c r="J4" s="2" t="n"/>
    </row>
    <row r="5">
      <c r="B5" s="28" t="n"/>
      <c r="C5" s="28" t="n"/>
      <c r="D5" s="29" t="inlineStr">
        <is>
          <t>Value</t>
        </is>
      </c>
      <c r="E5" s="28" t="n"/>
      <c r="F5" s="28" t="n"/>
      <c r="G5" s="28" t="n"/>
      <c r="H5" s="28" t="n"/>
      <c r="I5" s="28" t="n"/>
      <c r="J5" s="28" t="n"/>
    </row>
    <row r="6">
      <c r="B6" s="6" t="inlineStr">
        <is>
          <t>Opening cash at Jan-2026</t>
        </is>
      </c>
      <c r="C6" s="30" t="inlineStr">
        <is>
          <t>EUR</t>
        </is>
      </c>
      <c r="D6" s="31" t="n">
        <v>853120</v>
      </c>
      <c r="J6" s="32" t="inlineStr">
        <is>
          <t>the actual balance carried into January 2026</t>
        </is>
      </c>
    </row>
    <row r="7">
      <c r="B7" s="6" t="inlineStr">
        <is>
          <t>Base year for salary and cost inflation</t>
        </is>
      </c>
      <c r="C7" s="30" t="inlineStr">
        <is>
          <t>year</t>
        </is>
      </c>
      <c r="D7" s="33" t="n">
        <v>2026</v>
      </c>
      <c r="J7" s="32" t="inlineStr">
        <is>
          <t>costs are quoted in this year's money and inflated from here</t>
        </is>
      </c>
    </row>
    <row r="8">
      <c r="B8" s="6" t="inlineStr">
        <is>
          <t>Annual salary increase</t>
        </is>
      </c>
      <c r="C8" s="30" t="inlineStr">
        <is>
          <t>%</t>
        </is>
      </c>
      <c r="D8" s="34" t="n">
        <v>0.05</v>
      </c>
    </row>
    <row r="9">
      <c r="B9" s="6" t="inlineStr">
        <is>
          <t>Corporate income tax rate</t>
        </is>
      </c>
      <c r="C9" s="30" t="inlineStr">
        <is>
          <t>%</t>
        </is>
      </c>
      <c r="D9" s="34" t="n">
        <v>0.258</v>
      </c>
      <c r="J9" s="32" t="inlineStr">
        <is>
          <t>losses are carried forward until profits absorb them</t>
        </is>
      </c>
    </row>
    <row r="10">
      <c r="B10" s="6" t="inlineStr">
        <is>
          <t>Interest on the convertible loan</t>
        </is>
      </c>
      <c r="C10" s="30" t="inlineStr">
        <is>
          <t>%</t>
        </is>
      </c>
      <c r="D10" s="34" t="n">
        <v>0.05</v>
      </c>
    </row>
    <row r="11">
      <c r="B11" s="6" t="inlineStr">
        <is>
          <t>First month we can sell</t>
        </is>
      </c>
      <c r="C11" s="30" t="inlineStr">
        <is>
          <t>date</t>
        </is>
      </c>
      <c r="D11" s="35" t="n">
        <v>46388</v>
      </c>
      <c r="J11" s="32" t="inlineStr">
        <is>
          <t>nil units before this. Product, certification and supply have to be ready first</t>
        </is>
      </c>
    </row>
    <row r="12">
      <c r="B12" s="6" t="inlineStr">
        <is>
          <t>Committed 2026 plan holds until</t>
        </is>
      </c>
      <c r="C12" s="30" t="inlineStr">
        <is>
          <t>date</t>
        </is>
      </c>
      <c r="D12" s="35" t="n">
        <v>46296</v>
      </c>
      <c r="J12" s="32" t="inlineStr">
        <is>
          <t>operating costs to this month are taken from the existing plan, not from the drivers</t>
        </is>
      </c>
    </row>
    <row r="13">
      <c r="B13" s="6" t="inlineStr">
        <is>
          <t>Subsidy received</t>
        </is>
      </c>
      <c r="C13" s="30" t="inlineStr">
        <is>
          <t>EUR</t>
        </is>
      </c>
      <c r="D13" s="31" t="n">
        <v>106782</v>
      </c>
    </row>
    <row r="14">
      <c r="B14" s="6" t="inlineStr">
        <is>
          <t>Subsidy received in</t>
        </is>
      </c>
      <c r="C14" s="30" t="inlineStr">
        <is>
          <t>date</t>
        </is>
      </c>
      <c r="D14" s="35" t="n">
        <v>46235</v>
      </c>
    </row>
    <row r="15">
      <c r="B15" s="1" t="inlineStr">
        <is>
          <t>WORKING CAPITAL</t>
        </is>
      </c>
      <c r="C15" s="2" t="n"/>
      <c r="D15" s="2" t="n"/>
      <c r="E15" s="2" t="n"/>
      <c r="F15" s="2" t="n"/>
      <c r="G15" s="2" t="n"/>
      <c r="H15" s="2" t="n"/>
      <c r="I15" s="2" t="n"/>
      <c r="J15" s="2" t="n"/>
    </row>
    <row r="16">
      <c r="B16" s="6" t="inlineStr">
        <is>
          <t>Days sales outstanding</t>
        </is>
      </c>
      <c r="C16" s="30" t="inlineStr">
        <is>
          <t>days</t>
        </is>
      </c>
      <c r="D16" s="36" t="n">
        <v>20</v>
      </c>
    </row>
    <row r="17">
      <c r="B17" s="6" t="inlineStr">
        <is>
          <t>Days payable outstanding</t>
        </is>
      </c>
      <c r="C17" s="30" t="inlineStr">
        <is>
          <t>days</t>
        </is>
      </c>
      <c r="D17" s="36" t="n">
        <v>45</v>
      </c>
    </row>
    <row r="18">
      <c r="B18" s="6" t="inlineStr">
        <is>
          <t>Days inventory outstanding</t>
        </is>
      </c>
      <c r="C18" s="30" t="inlineStr">
        <is>
          <t>days</t>
        </is>
      </c>
      <c r="D18" s="36" t="n">
        <v>0</v>
      </c>
      <c r="J18" s="32" t="inlineStr">
        <is>
          <t>the assembly partner holds the stock; nothing sits on our balance sheet</t>
        </is>
      </c>
    </row>
    <row r="19">
      <c r="B19" s="1" t="inlineStr">
        <is>
          <t>PRICING  (ex VAT)</t>
        </is>
      </c>
      <c r="C19" s="2" t="n"/>
      <c r="D19" s="2" t="n"/>
      <c r="E19" s="2" t="n"/>
      <c r="F19" s="2" t="n"/>
      <c r="G19" s="2" t="n"/>
      <c r="H19" s="2" t="n"/>
      <c r="I19" s="2" t="n"/>
      <c r="J19" s="2" t="n"/>
    </row>
    <row r="20">
      <c r="B20" s="6" t="inlineStr">
        <is>
          <t>Turbineketel list price</t>
        </is>
      </c>
      <c r="C20" s="30" t="inlineStr">
        <is>
          <t>EUR/unit</t>
        </is>
      </c>
      <c r="D20" s="31" t="n">
        <v>8525.620000000001</v>
      </c>
    </row>
    <row r="21">
      <c r="B21" s="6" t="inlineStr">
        <is>
          <t>Outdoor unit, Combi+ only</t>
        </is>
      </c>
      <c r="C21" s="30" t="inlineStr">
        <is>
          <t>EUR/unit</t>
        </is>
      </c>
      <c r="D21" s="31" t="n">
        <v>5309.92</v>
      </c>
    </row>
    <row r="22">
      <c r="B22" s="6" t="inlineStr">
        <is>
          <t>Combi+ price (ketel plus outdoor unit)</t>
        </is>
      </c>
      <c r="C22" s="30" t="inlineStr">
        <is>
          <t>EUR/unit</t>
        </is>
      </c>
      <c r="D22" s="37">
        <f>Assumptions!$D$20+Assumptions!$D$21</f>
        <v/>
      </c>
    </row>
    <row r="23">
      <c r="B23" s="6" t="inlineStr">
        <is>
          <t>Installation, TTK</t>
        </is>
      </c>
      <c r="C23" s="30" t="inlineStr">
        <is>
          <t>EUR/unit</t>
        </is>
      </c>
      <c r="D23" s="31" t="n">
        <v>2800</v>
      </c>
      <c r="J23" s="32" t="inlineStr">
        <is>
          <t>pass-through: the customer is charged what the installer is paid</t>
        </is>
      </c>
    </row>
    <row r="24">
      <c r="B24" s="6" t="inlineStr">
        <is>
          <t>Installation, Combi+</t>
        </is>
      </c>
      <c r="C24" s="30" t="inlineStr">
        <is>
          <t>EUR/unit</t>
        </is>
      </c>
      <c r="D24" s="31" t="n">
        <v>3800</v>
      </c>
      <c r="J24" s="32" t="inlineStr">
        <is>
          <t>pass-through, so it adds revenue and an identical cost</t>
        </is>
      </c>
    </row>
    <row r="25">
      <c r="B25" s="6" t="inlineStr">
        <is>
          <t>TTK share of units</t>
        </is>
      </c>
      <c r="C25" s="30" t="inlineStr">
        <is>
          <t>%</t>
        </is>
      </c>
      <c r="D25" s="34" t="n">
        <v>0.2</v>
      </c>
    </row>
    <row r="26">
      <c r="B26" s="6" t="inlineStr">
        <is>
          <t>Combi+ share of units</t>
        </is>
      </c>
      <c r="C26" s="30" t="inlineStr">
        <is>
          <t>%</t>
        </is>
      </c>
      <c r="D26" s="38">
        <f>1-Assumptions!$D$25</f>
        <v/>
      </c>
    </row>
    <row r="27">
      <c r="B27" s="1" t="inlineStr">
        <is>
          <t>UPSELL BASKET  (attached to every unit sold)</t>
        </is>
      </c>
      <c r="C27" s="2" t="n"/>
      <c r="D27" s="2" t="n"/>
      <c r="E27" s="2" t="n"/>
      <c r="F27" s="2" t="n"/>
      <c r="G27" s="2" t="n"/>
      <c r="H27" s="2" t="n"/>
      <c r="I27" s="2" t="n"/>
      <c r="J27" s="2" t="n"/>
    </row>
    <row r="28">
      <c r="B28" s="28" t="n"/>
      <c r="C28" s="28" t="n"/>
      <c r="D28" s="29" t="inlineStr">
        <is>
          <t>Attach %</t>
        </is>
      </c>
      <c r="E28" s="29" t="inlineStr">
        <is>
          <t>Price</t>
        </is>
      </c>
      <c r="F28" s="29" t="inlineStr">
        <is>
          <t>Cost</t>
        </is>
      </c>
      <c r="G28" s="28" t="n"/>
      <c r="H28" s="28" t="n"/>
      <c r="I28" s="28" t="n"/>
      <c r="J28" s="28" t="n"/>
    </row>
    <row r="29">
      <c r="B29" s="6" t="inlineStr">
        <is>
          <t xml:space="preserve">    Boiler variant 50</t>
        </is>
      </c>
      <c r="D29" s="39" t="n">
        <v>0.49</v>
      </c>
      <c r="E29" s="40" t="n">
        <v>165.29</v>
      </c>
      <c r="F29" s="40" t="n">
        <v>80</v>
      </c>
    </row>
    <row r="30">
      <c r="B30" s="6" t="inlineStr">
        <is>
          <t xml:space="preserve">    Boiler variant 100</t>
        </is>
      </c>
      <c r="D30" s="39" t="n">
        <v>0.19</v>
      </c>
      <c r="E30" s="40" t="n">
        <v>330.58</v>
      </c>
      <c r="F30" s="40" t="n">
        <v>150</v>
      </c>
    </row>
    <row r="31">
      <c r="B31" s="6" t="inlineStr">
        <is>
          <t xml:space="preserve">    Sound reduction</t>
        </is>
      </c>
      <c r="D31" s="39" t="n">
        <v>0.79</v>
      </c>
      <c r="E31" s="40" t="n">
        <v>454.55</v>
      </c>
      <c r="F31" s="40" t="n">
        <v>190</v>
      </c>
    </row>
    <row r="32">
      <c r="B32" s="6" t="inlineStr">
        <is>
          <t>Upsell revenue per unit sold</t>
        </is>
      </c>
      <c r="C32" s="30" t="inlineStr">
        <is>
          <t>EUR/unit</t>
        </is>
      </c>
      <c r="D32" s="37">
        <f>SUMPRODUCT($D$29:$D$31,$E$29:$E$31)</f>
        <v/>
      </c>
    </row>
    <row r="33">
      <c r="B33" s="6" t="inlineStr">
        <is>
          <t>Upsell cost per unit sold</t>
        </is>
      </c>
      <c r="C33" s="30" t="inlineStr">
        <is>
          <t>EUR/unit</t>
        </is>
      </c>
      <c r="D33" s="37">
        <f>SUMPRODUCT($D$29:$D$31,$F$29:$F$31)</f>
        <v/>
      </c>
    </row>
    <row r="34">
      <c r="B34" s="1" t="inlineStr">
        <is>
          <t>SERVICE CONTRACTS  (annual, charged on the installed base)</t>
        </is>
      </c>
      <c r="C34" s="2" t="n"/>
      <c r="D34" s="2" t="n"/>
      <c r="E34" s="2" t="n"/>
      <c r="F34" s="2" t="n"/>
      <c r="G34" s="2" t="n"/>
      <c r="H34" s="2" t="n"/>
      <c r="I34" s="2" t="n"/>
      <c r="J34" s="2" t="n"/>
    </row>
    <row r="35">
      <c r="B35" s="28" t="n"/>
      <c r="C35" s="28" t="n"/>
      <c r="D35" s="29" t="inlineStr">
        <is>
          <t>Attach %</t>
        </is>
      </c>
      <c r="E35" s="29" t="inlineStr">
        <is>
          <t>Price/yr</t>
        </is>
      </c>
      <c r="F35" s="29" t="inlineStr">
        <is>
          <t>Cost/yr</t>
        </is>
      </c>
      <c r="G35" s="28" t="n"/>
      <c r="H35" s="28" t="n"/>
      <c r="I35" s="28" t="n"/>
      <c r="J35" s="28" t="n"/>
    </row>
    <row r="36">
      <c r="B36" s="6" t="inlineStr">
        <is>
          <t xml:space="preserve">    TTK, basic</t>
        </is>
      </c>
      <c r="D36" s="39" t="n">
        <v>0.34</v>
      </c>
      <c r="E36" s="40" t="n">
        <v>60</v>
      </c>
      <c r="F36" s="40" t="n">
        <v>30</v>
      </c>
    </row>
    <row r="37">
      <c r="B37" s="6" t="inlineStr">
        <is>
          <t xml:space="preserve">    TTK, premium</t>
        </is>
      </c>
      <c r="D37" s="39" t="n">
        <v>0.54</v>
      </c>
      <c r="E37" s="40" t="n">
        <v>90</v>
      </c>
      <c r="F37" s="40" t="n">
        <v>40</v>
      </c>
    </row>
    <row r="38">
      <c r="B38" s="6" t="inlineStr">
        <is>
          <t xml:space="preserve">    Combi+, basic</t>
        </is>
      </c>
      <c r="D38" s="39" t="n">
        <v>0.34</v>
      </c>
      <c r="E38" s="40" t="n">
        <v>150</v>
      </c>
      <c r="F38" s="40" t="n">
        <v>75</v>
      </c>
    </row>
    <row r="39">
      <c r="B39" s="6" t="inlineStr">
        <is>
          <t xml:space="preserve">    Combi+, premium</t>
        </is>
      </c>
      <c r="D39" s="39" t="n">
        <v>0.54</v>
      </c>
      <c r="E39" s="40" t="n">
        <v>200</v>
      </c>
      <c r="F39" s="40" t="n">
        <v>100</v>
      </c>
    </row>
    <row r="40">
      <c r="B40" s="6" t="inlineStr">
        <is>
          <t>Service revenue per installed unit per year</t>
        </is>
      </c>
      <c r="C40" s="30" t="inlineStr">
        <is>
          <t>EUR/unit</t>
        </is>
      </c>
      <c r="D40" s="37">
        <f>Assumptions!$D$25*SUMPRODUCT($D$36:$D$37,$E$36:$E$37)+Assumptions!$D$26*SUMPRODUCT($D$38:$D$39,$E$38:$E$39)</f>
        <v/>
      </c>
    </row>
    <row r="41">
      <c r="B41" s="6" t="inlineStr">
        <is>
          <t>Service cost per installed unit per year</t>
        </is>
      </c>
      <c r="C41" s="30" t="inlineStr">
        <is>
          <t>EUR/unit</t>
        </is>
      </c>
      <c r="D41" s="37">
        <f>Assumptions!$D$25*SUMPRODUCT($D$36:$D$37,$F$36:$F$37)+Assumptions!$D$26*SUMPRODUCT($D$38:$D$39,$F$38:$F$39)</f>
        <v/>
      </c>
      <c r="J41" s="32" t="inlineStr">
        <is>
          <t>parts, consumables and travel per contract; the field engineers themselves are salaried on the Personnel tab</t>
        </is>
      </c>
    </row>
    <row r="42">
      <c r="B42" s="6" t="inlineStr">
        <is>
          <t>Share of the installed base on a contract</t>
        </is>
      </c>
      <c r="C42" s="30" t="inlineStr">
        <is>
          <t>%</t>
        </is>
      </c>
      <c r="D42" s="38">
        <f>$D$36+$D$37</f>
        <v/>
      </c>
    </row>
    <row r="43">
      <c r="B43" s="1" t="inlineStr">
        <is>
          <t>DEMAND  (marketing spend runs the funnel)</t>
        </is>
      </c>
      <c r="C43" s="2" t="n"/>
      <c r="D43" s="2" t="n"/>
      <c r="E43" s="2" t="n"/>
      <c r="F43" s="2" t="n"/>
      <c r="G43" s="2" t="n"/>
      <c r="H43" s="2" t="n"/>
      <c r="I43" s="2" t="n"/>
      <c r="J43" s="2" t="n"/>
    </row>
    <row r="44">
      <c r="B44" s="41" t="inlineStr">
        <is>
          <t>Marketing spend</t>
        </is>
      </c>
      <c r="C44" s="42" t="inlineStr">
        <is>
          <t>EUR/month</t>
        </is>
      </c>
      <c r="D44" s="43" t="n">
        <v>2026</v>
      </c>
      <c r="E44" s="43" t="n">
        <v>2027</v>
      </c>
      <c r="F44" s="43" t="n">
        <v>2028</v>
      </c>
      <c r="G44" s="43" t="n">
        <v>2029</v>
      </c>
      <c r="H44" s="43" t="n">
        <v>2030</v>
      </c>
      <c r="I44" s="28" t="n"/>
      <c r="J44" s="44" t="inlineStr">
        <is>
          <t>generates orders through the funnel, on top of the orders installer partners bring in; nil before the first sellable month</t>
        </is>
      </c>
    </row>
    <row r="45">
      <c r="B45" s="5" t="inlineStr">
        <is>
          <t xml:space="preserve">    Value</t>
        </is>
      </c>
      <c r="D45" s="31" t="n">
        <v>0</v>
      </c>
      <c r="E45" s="31" t="n">
        <v>13000</v>
      </c>
      <c r="F45" s="31" t="n">
        <v>40000</v>
      </c>
      <c r="G45" s="31" t="n">
        <v>115000</v>
      </c>
      <c r="H45" s="31" t="n">
        <v>160000</v>
      </c>
    </row>
    <row r="46">
      <c r="B46" s="28" t="n"/>
      <c r="C46" s="28" t="n"/>
      <c r="D46" s="29" t="inlineStr">
        <is>
          <t>Value</t>
        </is>
      </c>
      <c r="E46" s="28" t="n"/>
      <c r="F46" s="28" t="n"/>
      <c r="G46" s="28" t="n"/>
      <c r="H46" s="28" t="n"/>
      <c r="I46" s="28" t="n"/>
      <c r="J46" s="28" t="n"/>
    </row>
    <row r="47">
      <c r="B47" s="6" t="inlineStr">
        <is>
          <t>Cost per lead</t>
        </is>
      </c>
      <c r="C47" s="30" t="inlineStr">
        <is>
          <t>EUR</t>
        </is>
      </c>
      <c r="D47" s="31" t="n">
        <v>120</v>
      </c>
      <c r="J47" s="32" t="inlineStr">
        <is>
          <t>EUR120 a lead at a 20% close rate is EUR600 of marketing per customer</t>
        </is>
      </c>
    </row>
    <row r="48">
      <c r="B48" s="6" t="inlineStr">
        <is>
          <t>Lead to qualified</t>
        </is>
      </c>
      <c r="C48" s="30" t="inlineStr">
        <is>
          <t>%</t>
        </is>
      </c>
      <c r="D48" s="34" t="n">
        <v>0.5</v>
      </c>
    </row>
    <row r="49">
      <c r="B49" s="6" t="inlineStr">
        <is>
          <t>Qualified to won</t>
        </is>
      </c>
      <c r="C49" s="30" t="inlineStr">
        <is>
          <t>%</t>
        </is>
      </c>
      <c r="D49" s="34" t="n">
        <v>0.4</v>
      </c>
      <c r="J49" s="32" t="inlineStr">
        <is>
          <t>50% then 40% is a 20% lead to sale rate, in line with high-intent HVAC leads</t>
        </is>
      </c>
    </row>
    <row r="50">
      <c r="B50" s="1" t="inlineStr">
        <is>
          <t>SELLING CAPACITY  (own reps early, installer channel at scale)</t>
        </is>
      </c>
      <c r="C50" s="2" t="n"/>
      <c r="D50" s="2" t="n"/>
      <c r="E50" s="2" t="n"/>
      <c r="F50" s="2" t="n"/>
      <c r="G50" s="2" t="n"/>
      <c r="H50" s="2" t="n"/>
      <c r="I50" s="2" t="n"/>
      <c r="J50" s="2" t="n"/>
    </row>
    <row r="51">
      <c r="B51" s="41" t="inlineStr">
        <is>
          <t>Share of units sold direct</t>
        </is>
      </c>
      <c r="C51" s="42" t="inlineStr">
        <is>
          <t>%</t>
        </is>
      </c>
      <c r="D51" s="43" t="n">
        <v>2026</v>
      </c>
      <c r="E51" s="43" t="n">
        <v>2027</v>
      </c>
      <c r="F51" s="43" t="n">
        <v>2028</v>
      </c>
      <c r="G51" s="43" t="n">
        <v>2029</v>
      </c>
      <c r="H51" s="43" t="n">
        <v>2030</v>
      </c>
      <c r="I51" s="28" t="n"/>
      <c r="J51" s="44" t="inlineStr">
        <is>
          <t>direct to consumer first, installers brought in from 2027, half the volume by 2028 and installer-led from 2029</t>
        </is>
      </c>
    </row>
    <row r="52">
      <c r="B52" s="5" t="inlineStr">
        <is>
          <t xml:space="preserve">    Value</t>
        </is>
      </c>
      <c r="D52" s="34" t="n">
        <v>1</v>
      </c>
      <c r="E52" s="34" t="n">
        <v>0.8</v>
      </c>
      <c r="F52" s="34" t="n">
        <v>0.5</v>
      </c>
      <c r="G52" s="34" t="n">
        <v>0.35</v>
      </c>
      <c r="H52" s="34" t="n">
        <v>0.3</v>
      </c>
    </row>
    <row r="53">
      <c r="B53" s="41" t="inlineStr">
        <is>
          <t>Reps hired per month</t>
        </is>
      </c>
      <c r="C53" s="42" t="inlineStr">
        <is>
          <t>FTE/month</t>
        </is>
      </c>
      <c r="D53" s="43" t="n">
        <v>2026</v>
      </c>
      <c r="E53" s="43" t="n">
        <v>2027</v>
      </c>
      <c r="F53" s="43" t="n">
        <v>2028</v>
      </c>
      <c r="G53" s="43" t="n">
        <v>2029</v>
      </c>
      <c r="H53" s="43" t="n">
        <v>2030</v>
      </c>
      <c r="I53" s="28" t="n"/>
      <c r="J53" s="44" t="inlineStr">
        <is>
          <t>sales hiring starts in the first month we can sell, so 2026 is nil</t>
        </is>
      </c>
    </row>
    <row r="54">
      <c r="B54" s="5" t="inlineStr">
        <is>
          <t xml:space="preserve">    Value</t>
        </is>
      </c>
      <c r="D54" s="45" t="n">
        <v>0</v>
      </c>
      <c r="E54" s="45" t="n">
        <v>0.5</v>
      </c>
      <c r="F54" s="45" t="n">
        <v>0.25</v>
      </c>
      <c r="G54" s="45" t="n">
        <v>0.25</v>
      </c>
      <c r="H54" s="45" t="n">
        <v>0.25</v>
      </c>
    </row>
    <row r="55">
      <c r="B55" s="41" t="inlineStr">
        <is>
          <t>Installer partners signed per month</t>
        </is>
      </c>
      <c r="C55" s="42" t="inlineStr">
        <is>
          <t>partners/month</t>
        </is>
      </c>
      <c r="D55" s="43" t="n">
        <v>2026</v>
      </c>
      <c r="E55" s="43" t="n">
        <v>2027</v>
      </c>
      <c r="F55" s="43" t="n">
        <v>2028</v>
      </c>
      <c r="G55" s="43" t="n">
        <v>2029</v>
      </c>
      <c r="H55" s="43" t="n">
        <v>2030</v>
      </c>
      <c r="I55" s="28" t="n"/>
      <c r="J55" s="44" t="inlineStr">
        <is>
          <t>same gate: no partner intros before the first month we can sell; the network takes time to build</t>
        </is>
      </c>
    </row>
    <row r="56">
      <c r="B56" s="5" t="inlineStr">
        <is>
          <t xml:space="preserve">    Value</t>
        </is>
      </c>
      <c r="D56" s="46" t="n">
        <v>0</v>
      </c>
      <c r="E56" s="46" t="n">
        <v>1</v>
      </c>
      <c r="F56" s="46" t="n">
        <v>1.5</v>
      </c>
      <c r="G56" s="46" t="n">
        <v>3</v>
      </c>
      <c r="H56" s="46" t="n">
        <v>3.8</v>
      </c>
    </row>
    <row r="57">
      <c r="B57" s="41" t="inlineStr">
        <is>
          <t>Orders an installer partner brings in per month</t>
        </is>
      </c>
      <c r="C57" s="42" t="inlineStr">
        <is>
          <t>units/month</t>
        </is>
      </c>
      <c r="D57" s="43" t="n">
        <v>2026</v>
      </c>
      <c r="E57" s="43" t="n">
        <v>2027</v>
      </c>
      <c r="F57" s="43" t="n">
        <v>2028</v>
      </c>
      <c r="G57" s="43" t="n">
        <v>2029</v>
      </c>
      <c r="H57" s="43" t="n">
        <v>2030</v>
      </c>
      <c r="I57" s="28" t="n"/>
      <c r="J57" s="44" t="inlineStr">
        <is>
          <t>customers the installer finds on their own jobs, rising as the brand becomes known; these add to demand</t>
        </is>
      </c>
    </row>
    <row r="58">
      <c r="B58" s="5" t="inlineStr">
        <is>
          <t xml:space="preserve">    Value</t>
        </is>
      </c>
      <c r="D58" s="36" t="n">
        <v>0</v>
      </c>
      <c r="E58" s="36" t="n">
        <v>1</v>
      </c>
      <c r="F58" s="36" t="n">
        <v>2</v>
      </c>
      <c r="G58" s="36" t="n">
        <v>3</v>
      </c>
      <c r="H58" s="36" t="n">
        <v>4</v>
      </c>
    </row>
    <row r="59">
      <c r="B59" s="28" t="n"/>
      <c r="C59" s="28" t="n"/>
      <c r="D59" s="29" t="inlineStr">
        <is>
          <t>Value</t>
        </is>
      </c>
      <c r="E59" s="28" t="n"/>
      <c r="F59" s="28" t="n"/>
      <c r="G59" s="28" t="n"/>
      <c r="H59" s="28" t="n"/>
      <c r="I59" s="28" t="n"/>
      <c r="J59" s="28" t="n"/>
    </row>
    <row r="60">
      <c r="B60" s="6" t="inlineStr">
        <is>
          <t>Reps in post at Jan-2026</t>
        </is>
      </c>
      <c r="C60" s="30" t="inlineStr">
        <is>
          <t>FTE</t>
        </is>
      </c>
      <c r="D60" s="46" t="n">
        <v>1</v>
      </c>
    </row>
    <row r="61">
      <c r="B61" s="6" t="inlineStr">
        <is>
          <t>Quota per rep</t>
        </is>
      </c>
      <c r="C61" s="30" t="inlineStr">
        <is>
          <t>units/month</t>
        </is>
      </c>
      <c r="D61" s="36" t="n">
        <v>20</v>
      </c>
      <c r="J61" s="32" t="inlineStr">
        <is>
          <t>a rep sells full quota from the month they are hired, no ramp and no attainment haircut</t>
        </is>
      </c>
    </row>
    <row r="62">
      <c r="B62" s="6" t="inlineStr">
        <is>
          <t>Installer partners at Jan-2026</t>
        </is>
      </c>
      <c r="C62" s="30" t="inlineStr">
        <is>
          <t>partners</t>
        </is>
      </c>
      <c r="D62" s="46" t="n">
        <v>1</v>
      </c>
    </row>
    <row r="63">
      <c r="B63" s="6" t="inlineStr">
        <is>
          <t>Units per partner per month</t>
        </is>
      </c>
      <c r="C63" s="30" t="inlineStr">
        <is>
          <t>units/month</t>
        </is>
      </c>
      <c r="D63" s="36" t="n">
        <v>8</v>
      </c>
      <c r="J63" s="32" t="inlineStr">
        <is>
          <t>a partner sells full volume from the month they are signed</t>
        </is>
      </c>
    </row>
    <row r="64">
      <c r="B64" s="6" t="inlineStr">
        <is>
          <t>Installer partner commission, share of unit price</t>
        </is>
      </c>
      <c r="C64" s="30" t="inlineStr">
        <is>
          <t>%</t>
        </is>
      </c>
      <c r="D64" s="34" t="n">
        <v>0.1</v>
      </c>
      <c r="J64" s="32" t="inlineStr">
        <is>
          <t>paid on every unit sold through the channel, on the turbineketel or Combi+ system price only, not on installation, upsell or service</t>
        </is>
      </c>
    </row>
    <row r="65">
      <c r="B65" s="6" t="inlineStr">
        <is>
          <t>Partners per partner manager</t>
        </is>
      </c>
      <c r="C65" s="30" t="inlineStr">
        <is>
          <t>partners</t>
        </is>
      </c>
      <c r="D65" s="36" t="n">
        <v>18</v>
      </c>
    </row>
    <row r="66">
      <c r="B66" s="1" t="inlineStr">
        <is>
          <t>BUILD CAPACITY  (assembly partner only; this case has no in-house production)</t>
        </is>
      </c>
      <c r="C66" s="2" t="n"/>
      <c r="D66" s="2" t="n"/>
      <c r="E66" s="2" t="n"/>
      <c r="F66" s="2" t="n"/>
      <c r="G66" s="2" t="n"/>
      <c r="H66" s="2" t="n"/>
      <c r="I66" s="2" t="n"/>
      <c r="J66" s="2" t="n"/>
    </row>
    <row r="67">
      <c r="B67" s="28" t="n"/>
      <c r="C67" s="28" t="n"/>
      <c r="D67" s="29" t="inlineStr">
        <is>
          <t>Value</t>
        </is>
      </c>
      <c r="E67" s="28" t="n"/>
      <c r="F67" s="28" t="n"/>
      <c r="G67" s="28" t="n"/>
      <c r="H67" s="28" t="n"/>
      <c r="I67" s="28" t="n"/>
      <c r="J67" s="28" t="n"/>
    </row>
    <row r="68">
      <c r="B68" s="6" t="inlineStr">
        <is>
          <t>Assembly partner capacity</t>
        </is>
      </c>
      <c r="C68" s="30" t="inlineStr">
        <is>
          <t>units/month</t>
        </is>
      </c>
      <c r="D68" s="36" t="n">
        <v>650</v>
      </c>
      <c r="J68" s="32" t="inlineStr">
        <is>
          <t>what the partner has contracted to build for us</t>
        </is>
      </c>
    </row>
    <row r="69">
      <c r="B69" s="1" t="inlineStr">
        <is>
          <t>BILL OF MATERIALS  (unit cost falls as volume crosses each tier)</t>
        </is>
      </c>
      <c r="C69" s="2" t="n"/>
      <c r="D69" s="2" t="n"/>
      <c r="E69" s="2" t="n"/>
      <c r="F69" s="2" t="n"/>
      <c r="G69" s="2" t="n"/>
      <c r="H69" s="2" t="n"/>
      <c r="I69" s="2" t="n"/>
      <c r="J69" s="2" t="n"/>
    </row>
    <row r="70">
      <c r="B70" s="28" t="n"/>
      <c r="C70" s="28" t="n"/>
      <c r="D70" s="29" t="inlineStr">
        <is>
          <t>From units/yr</t>
        </is>
      </c>
      <c r="E70" s="29" t="inlineStr">
        <is>
          <t>TTK cost</t>
        </is>
      </c>
      <c r="F70" s="29" t="inlineStr">
        <is>
          <t>Outdoor unit</t>
        </is>
      </c>
      <c r="G70" s="28" t="n"/>
      <c r="H70" s="28" t="n"/>
      <c r="I70" s="28" t="n"/>
      <c r="J70" s="28" t="n"/>
    </row>
    <row r="71">
      <c r="B71" s="6" t="inlineStr">
        <is>
          <t xml:space="preserve">    Tier 1</t>
        </is>
      </c>
      <c r="D71" s="47" t="n">
        <v>0</v>
      </c>
      <c r="E71" s="40" t="n">
        <v>9984</v>
      </c>
      <c r="F71" s="40" t="n">
        <v>1402.6</v>
      </c>
    </row>
    <row r="72">
      <c r="B72" s="6" t="inlineStr">
        <is>
          <t xml:space="preserve">    Tier 2</t>
        </is>
      </c>
      <c r="D72" s="47" t="n">
        <v>5000</v>
      </c>
      <c r="E72" s="40" t="n">
        <v>7069</v>
      </c>
      <c r="F72" s="40" t="n">
        <v>1262.34</v>
      </c>
    </row>
    <row r="73">
      <c r="B73" s="6" t="inlineStr">
        <is>
          <t xml:space="preserve">    Tier 3</t>
        </is>
      </c>
      <c r="D73" s="47" t="n">
        <v>10000</v>
      </c>
      <c r="E73" s="40" t="n">
        <v>4998</v>
      </c>
      <c r="F73" s="40" t="n">
        <v>1136.1</v>
      </c>
    </row>
    <row r="74">
      <c r="B74" s="28" t="n"/>
      <c r="C74" s="28" t="n"/>
      <c r="D74" s="29" t="inlineStr">
        <is>
          <t>Value</t>
        </is>
      </c>
      <c r="E74" s="28" t="n"/>
      <c r="F74" s="28" t="n"/>
      <c r="G74" s="28" t="n"/>
      <c r="H74" s="28" t="n"/>
      <c r="I74" s="28" t="n"/>
      <c r="J74" s="28" t="n"/>
    </row>
    <row r="75">
      <c r="B75" s="6" t="inlineStr">
        <is>
          <t>Inbound shipping, Combi+ outdoor unit</t>
        </is>
      </c>
      <c r="C75" s="30" t="inlineStr">
        <is>
          <t>EUR/unit</t>
        </is>
      </c>
      <c r="D75" s="31" t="n">
        <v>100</v>
      </c>
    </row>
    <row r="76">
      <c r="B76" s="1" t="inlineStr">
        <is>
          <t>ORGANISATION  (headcount follows whatever creates the work)</t>
        </is>
      </c>
      <c r="C76" s="2" t="n"/>
      <c r="D76" s="2" t="n"/>
      <c r="E76" s="2" t="n"/>
      <c r="F76" s="2" t="n"/>
      <c r="G76" s="2" t="n"/>
      <c r="H76" s="2" t="n"/>
      <c r="I76" s="2" t="n"/>
      <c r="J76" s="2" t="n"/>
    </row>
    <row r="77">
      <c r="B77" s="41" t="inlineStr">
        <is>
          <t>R&amp;D engineers hired in the year</t>
        </is>
      </c>
      <c r="C77" s="42" t="inlineStr">
        <is>
          <t>FTE</t>
        </is>
      </c>
      <c r="D77" s="43" t="n">
        <v>2026</v>
      </c>
      <c r="E77" s="43" t="n">
        <v>2027</v>
      </c>
      <c r="F77" s="43" t="n">
        <v>2028</v>
      </c>
      <c r="G77" s="43" t="n">
        <v>2029</v>
      </c>
      <c r="H77" s="43" t="n">
        <v>2030</v>
      </c>
      <c r="I77" s="28" t="n"/>
      <c r="J77" s="44" t="inlineStr">
        <is>
          <t>a novel turbine machine plus the Twincycle needs engineers, not a fixed team</t>
        </is>
      </c>
    </row>
    <row r="78">
      <c r="B78" s="5" t="inlineStr">
        <is>
          <t xml:space="preserve">    Value</t>
        </is>
      </c>
      <c r="D78" s="36" t="n">
        <v>0</v>
      </c>
      <c r="E78" s="36" t="n">
        <v>4</v>
      </c>
      <c r="F78" s="36" t="n">
        <v>3</v>
      </c>
      <c r="G78" s="36" t="n">
        <v>3</v>
      </c>
      <c r="H78" s="36" t="n">
        <v>4</v>
      </c>
    </row>
    <row r="79">
      <c r="B79" s="28" t="n"/>
      <c r="C79" s="28" t="n"/>
      <c r="D79" s="29" t="inlineStr">
        <is>
          <t>Value</t>
        </is>
      </c>
      <c r="E79" s="28" t="n"/>
      <c r="F79" s="28" t="n"/>
      <c r="G79" s="28" t="n"/>
      <c r="H79" s="28" t="n"/>
      <c r="I79" s="28" t="n"/>
      <c r="J79" s="28" t="n"/>
    </row>
    <row r="80">
      <c r="B80" s="6" t="inlineStr">
        <is>
          <t>R&amp;D engineers in post at Jan-2026</t>
        </is>
      </c>
      <c r="C80" s="30" t="inlineStr">
        <is>
          <t>FTE</t>
        </is>
      </c>
      <c r="D80" s="36" t="n">
        <v>10</v>
      </c>
      <c r="J80" s="32" t="inlineStr">
        <is>
          <t>the founding engineering team; their cost sits inside the committed 2026 plan until November 2026</t>
        </is>
      </c>
    </row>
    <row r="81">
      <c r="B81" s="6" t="inlineStr">
        <is>
          <t>Marketing team floor</t>
        </is>
      </c>
      <c r="C81" s="30" t="inlineStr">
        <is>
          <t>FTE</t>
        </is>
      </c>
      <c r="D81" s="36" t="n">
        <v>2</v>
      </c>
    </row>
    <row r="82">
      <c r="B82" s="6" t="inlineStr">
        <is>
          <t>Units per supply chain and logistics FTE</t>
        </is>
      </c>
      <c r="C82" s="30" t="inlineStr">
        <is>
          <t>units/yr</t>
        </is>
      </c>
      <c r="D82" s="36" t="n">
        <v>900</v>
      </c>
      <c r="J82" s="32" t="inlineStr">
        <is>
          <t>buying, planning, inbound quality and warehousing</t>
        </is>
      </c>
    </row>
    <row r="83">
      <c r="B83" s="6" t="inlineStr">
        <is>
          <t>Installed units per support agent</t>
        </is>
      </c>
      <c r="C83" s="30" t="inlineStr">
        <is>
          <t>units</t>
        </is>
      </c>
      <c r="D83" s="36" t="n">
        <v>2500</v>
      </c>
      <c r="J83" s="32" t="inlineStr">
        <is>
          <t>a heating appliance peaks in winter and this is a first generation product</t>
        </is>
      </c>
    </row>
    <row r="84">
      <c r="B84" s="6" t="inlineStr">
        <is>
          <t>Installed units per technical escalation FTE</t>
        </is>
      </c>
      <c r="C84" s="30" t="inlineStr">
        <is>
          <t>units</t>
        </is>
      </c>
      <c r="D84" s="36" t="n">
        <v>15000</v>
      </c>
    </row>
    <row r="85">
      <c r="B85" s="6" t="inlineStr">
        <is>
          <t>New partners per year per installer trainer</t>
        </is>
      </c>
      <c r="C85" s="30" t="inlineStr">
        <is>
          <t>partners</t>
        </is>
      </c>
      <c r="D85" s="36" t="n">
        <v>40</v>
      </c>
    </row>
    <row r="86">
      <c r="B86" s="6" t="inlineStr">
        <is>
          <t>Units per order desk FTE</t>
        </is>
      </c>
      <c r="C86" s="30" t="inlineStr">
        <is>
          <t>units/yr</t>
        </is>
      </c>
      <c r="D86" s="36" t="n">
        <v>3000</v>
      </c>
    </row>
    <row r="87">
      <c r="B87" s="6" t="inlineStr">
        <is>
          <t>Yearly marketing budget one marketer can run</t>
        </is>
      </c>
      <c r="C87" s="30" t="inlineStr">
        <is>
          <t>EUR/yr</t>
        </is>
      </c>
      <c r="D87" s="31" t="n">
        <v>1500000</v>
      </c>
      <c r="J87" s="32" t="inlineStr">
        <is>
          <t>sizes the marketing team only: the floor above plus one more person for every EUR1.5m of yearly spend. Not a spend. Benchmarks: one marketer per EUR1-1.5m of media</t>
        </is>
      </c>
    </row>
    <row r="88">
      <c r="B88" s="28" t="n"/>
      <c r="C88" s="28" t="n"/>
      <c r="D88" s="29" t="inlineStr">
        <is>
          <t>Value</t>
        </is>
      </c>
      <c r="E88" s="28" t="n"/>
      <c r="F88" s="28" t="n"/>
      <c r="G88" s="28" t="n"/>
      <c r="H88" s="28" t="n"/>
      <c r="I88" s="28" t="n"/>
      <c r="J88" s="28" t="n"/>
    </row>
    <row r="89">
      <c r="B89" s="6" t="inlineStr">
        <is>
          <t>Installed units one field engineer can look after</t>
        </is>
      </c>
      <c r="C89" s="30" t="inlineStr">
        <is>
          <t>units</t>
        </is>
      </c>
      <c r="D89" s="36" t="n">
        <v>600</v>
      </c>
      <c r="J89" s="32" t="inlineStr">
        <is>
          <t>sizes the field service team: units on a service contract divided by this number = engineers to hire. Each unit gets one visit a year plus breakdown cover; market range 600 to 900</t>
        </is>
      </c>
    </row>
    <row r="90">
      <c r="B90" s="1" t="inlineStr">
        <is>
          <t>LOADED COST PER PERSON  (employer cost, including taxes)</t>
        </is>
      </c>
      <c r="C90" s="2" t="n"/>
      <c r="D90" s="2" t="n"/>
      <c r="E90" s="2" t="n"/>
      <c r="F90" s="2" t="n"/>
      <c r="G90" s="2" t="n"/>
      <c r="H90" s="2" t="n"/>
      <c r="I90" s="2" t="n"/>
      <c r="J90" s="2" t="n"/>
    </row>
    <row r="91">
      <c r="B91" s="28" t="n"/>
      <c r="C91" s="28" t="n"/>
      <c r="D91" s="29" t="inlineStr">
        <is>
          <t>Value</t>
        </is>
      </c>
      <c r="E91" s="28" t="n"/>
      <c r="F91" s="28" t="n"/>
      <c r="G91" s="28" t="n"/>
      <c r="H91" s="28" t="n"/>
      <c r="I91" s="28" t="n"/>
      <c r="J91" s="28" t="n"/>
    </row>
    <row r="92">
      <c r="B92" s="6" t="inlineStr">
        <is>
          <t>Sales rep</t>
        </is>
      </c>
      <c r="C92" s="30" t="inlineStr">
        <is>
          <t>EUR/month</t>
        </is>
      </c>
      <c r="D92" s="31" t="n">
        <v>7500</v>
      </c>
    </row>
    <row r="93">
      <c r="B93" s="6" t="inlineStr">
        <is>
          <t>Partner manager</t>
        </is>
      </c>
      <c r="C93" s="30" t="inlineStr">
        <is>
          <t>EUR/month</t>
        </is>
      </c>
      <c r="D93" s="31" t="n">
        <v>8000</v>
      </c>
    </row>
    <row r="94">
      <c r="B94" s="6" t="inlineStr">
        <is>
          <t>Trainer, order desk, marketing</t>
        </is>
      </c>
      <c r="C94" s="30" t="inlineStr">
        <is>
          <t>EUR/month</t>
        </is>
      </c>
      <c r="D94" s="31" t="n">
        <v>7000</v>
      </c>
    </row>
    <row r="95">
      <c r="B95" s="6" t="inlineStr">
        <is>
          <t>Supply chain and production</t>
        </is>
      </c>
      <c r="C95" s="30" t="inlineStr">
        <is>
          <t>EUR/month</t>
        </is>
      </c>
      <c r="D95" s="31" t="n">
        <v>5000</v>
      </c>
    </row>
    <row r="96">
      <c r="B96" s="6" t="inlineStr">
        <is>
          <t>Support and escalation</t>
        </is>
      </c>
      <c r="C96" s="30" t="inlineStr">
        <is>
          <t>EUR/month</t>
        </is>
      </c>
      <c r="D96" s="31" t="n">
        <v>4800</v>
      </c>
    </row>
    <row r="97">
      <c r="B97" s="6" t="inlineStr">
        <is>
          <t>Leadership and back office</t>
        </is>
      </c>
      <c r="C97" s="30" t="inlineStr">
        <is>
          <t>EUR/month</t>
        </is>
      </c>
      <c r="D97" s="31" t="n">
        <v>7000</v>
      </c>
    </row>
    <row r="98">
      <c r="B98" s="6" t="inlineStr">
        <is>
          <t>R&amp;D engineer</t>
        </is>
      </c>
      <c r="C98" s="30" t="inlineStr">
        <is>
          <t>EUR/month</t>
        </is>
      </c>
      <c r="D98" s="31" t="n">
        <v>5700</v>
      </c>
      <c r="J98" s="32" t="inlineStr">
        <is>
          <t>the blended cost of the engineers already in post</t>
        </is>
      </c>
    </row>
    <row r="99">
      <c r="B99" s="6" t="inlineStr">
        <is>
          <t>Field service engineer</t>
        </is>
      </c>
      <c r="C99" s="30" t="inlineStr">
        <is>
          <t>EUR/month</t>
        </is>
      </c>
      <c r="D99" s="31" t="n">
        <v>6500</v>
      </c>
    </row>
    <row r="100">
      <c r="B100" s="1" t="inlineStr">
        <is>
          <t>OVERHEADS AND OTHER OPERATING COSTS</t>
        </is>
      </c>
      <c r="C100" s="2" t="n"/>
      <c r="D100" s="2" t="n"/>
      <c r="E100" s="2" t="n"/>
      <c r="F100" s="2" t="n"/>
      <c r="G100" s="2" t="n"/>
      <c r="H100" s="2" t="n"/>
      <c r="I100" s="2" t="n"/>
      <c r="J100" s="2" t="n"/>
    </row>
    <row r="101">
      <c r="B101" s="28" t="n"/>
      <c r="C101" s="28" t="n"/>
      <c r="D101" s="29" t="inlineStr">
        <is>
          <t>Value</t>
        </is>
      </c>
      <c r="E101" s="28" t="n"/>
      <c r="F101" s="28" t="n"/>
      <c r="G101" s="28" t="n"/>
      <c r="H101" s="28" t="n"/>
      <c r="I101" s="28" t="n"/>
      <c r="J101" s="28" t="n"/>
    </row>
    <row r="102">
      <c r="B102" s="6" t="inlineStr">
        <is>
          <t>Offices and facilities per person</t>
        </is>
      </c>
      <c r="C102" s="30" t="inlineStr">
        <is>
          <t>EUR/month</t>
        </is>
      </c>
      <c r="D102" s="31" t="n">
        <v>700</v>
      </c>
    </row>
    <row r="103">
      <c r="B103" s="6" t="inlineStr">
        <is>
          <t>IT and software per person</t>
        </is>
      </c>
      <c r="C103" s="30" t="inlineStr">
        <is>
          <t>EUR/month</t>
        </is>
      </c>
      <c r="D103" s="31" t="n">
        <v>250</v>
      </c>
    </row>
    <row r="104">
      <c r="B104" s="6" t="inlineStr">
        <is>
          <t>Travel per person</t>
        </is>
      </c>
      <c r="C104" s="30" t="inlineStr">
        <is>
          <t>EUR/month</t>
        </is>
      </c>
      <c r="D104" s="31" t="n">
        <v>300</v>
      </c>
    </row>
    <row r="105">
      <c r="B105" s="6" t="inlineStr">
        <is>
          <t>Recruitment per net new hire</t>
        </is>
      </c>
      <c r="C105" s="30" t="inlineStr">
        <is>
          <t>EUR</t>
        </is>
      </c>
      <c r="D105" s="31" t="n">
        <v>8000</v>
      </c>
    </row>
    <row r="106">
      <c r="B106" s="6" t="inlineStr">
        <is>
          <t>Installer training and demo unit per new partner</t>
        </is>
      </c>
      <c r="C106" s="30" t="inlineStr">
        <is>
          <t>EUR</t>
        </is>
      </c>
      <c r="D106" s="31" t="n">
        <v>3500</v>
      </c>
    </row>
    <row r="107">
      <c r="B107" s="6" t="inlineStr">
        <is>
          <t>Finance and legal</t>
        </is>
      </c>
      <c r="C107" s="30" t="inlineStr">
        <is>
          <t>EUR/month</t>
        </is>
      </c>
      <c r="D107" s="31" t="n">
        <v>7000</v>
      </c>
    </row>
    <row r="108">
      <c r="B108" s="6" t="inlineStr">
        <is>
          <t>Other general</t>
        </is>
      </c>
      <c r="C108" s="30" t="inlineStr">
        <is>
          <t>EUR/month</t>
        </is>
      </c>
      <c r="D108" s="31" t="n">
        <v>5000</v>
      </c>
    </row>
    <row r="109">
      <c r="B109" s="6" t="inlineStr">
        <is>
          <t>Ongoing development</t>
        </is>
      </c>
      <c r="C109" s="30" t="inlineStr">
        <is>
          <t>EUR/month</t>
        </is>
      </c>
      <c r="D109" s="31" t="n">
        <v>8000</v>
      </c>
    </row>
    <row r="110">
      <c r="B110" s="6" t="inlineStr">
        <is>
          <t>Third party product development</t>
        </is>
      </c>
      <c r="C110" s="30" t="inlineStr">
        <is>
          <t>EUR/month</t>
        </is>
      </c>
      <c r="D110" s="31" t="n">
        <v>10000</v>
      </c>
    </row>
    <row r="111">
      <c r="B111" s="6" t="inlineStr">
        <is>
          <t>Annual increase on the costs above</t>
        </is>
      </c>
      <c r="C111" s="30" t="inlineStr">
        <is>
          <t>%</t>
        </is>
      </c>
      <c r="D111" s="34" t="n">
        <v>0.1</v>
      </c>
    </row>
    <row r="112">
      <c r="B112" s="1" t="inlineStr">
        <is>
          <t>FUNDING</t>
        </is>
      </c>
      <c r="C112" s="2" t="n"/>
      <c r="D112" s="2" t="n"/>
      <c r="E112" s="2" t="n"/>
      <c r="F112" s="2" t="n"/>
      <c r="G112" s="2" t="n"/>
      <c r="H112" s="2" t="n"/>
      <c r="I112" s="2" t="n"/>
      <c r="J112" s="2" t="n"/>
    </row>
    <row r="113">
      <c r="B113" s="28" t="n"/>
      <c r="C113" s="28" t="n"/>
      <c r="D113" s="29" t="inlineStr">
        <is>
          <t>Value</t>
        </is>
      </c>
      <c r="E113" s="28" t="n"/>
      <c r="F113" s="28" t="n"/>
      <c r="G113" s="28" t="n"/>
      <c r="H113" s="28" t="n"/>
      <c r="I113" s="28" t="n"/>
      <c r="J113" s="28" t="n"/>
    </row>
    <row r="114">
      <c r="B114" s="6" t="inlineStr">
        <is>
          <t>First round, money in</t>
        </is>
      </c>
      <c r="C114" s="30" t="inlineStr">
        <is>
          <t>date</t>
        </is>
      </c>
      <c r="D114" s="35" t="n">
        <v>46143</v>
      </c>
    </row>
    <row r="115">
      <c r="B115" s="6" t="inlineStr">
        <is>
          <t>First round, amount</t>
        </is>
      </c>
      <c r="C115" s="30" t="inlineStr">
        <is>
          <t>EUR</t>
        </is>
      </c>
      <c r="D115" s="31" t="n">
        <v>300000</v>
      </c>
    </row>
    <row r="116">
      <c r="B116" s="6" t="inlineStr">
        <is>
          <t>Second round, money in</t>
        </is>
      </c>
      <c r="C116" s="30" t="inlineStr">
        <is>
          <t>date</t>
        </is>
      </c>
      <c r="D116" s="35" t="n">
        <v>46296</v>
      </c>
    </row>
    <row r="117">
      <c r="B117" s="6" t="inlineStr">
        <is>
          <t>Second round, amount</t>
        </is>
      </c>
      <c r="C117" s="30" t="inlineStr">
        <is>
          <t>EUR</t>
        </is>
      </c>
      <c r="D117" s="31" t="n">
        <v>3000000</v>
      </c>
      <c r="J117" s="32" t="inlineStr">
        <is>
          <t>this is the raise the model is built to justify</t>
        </is>
      </c>
    </row>
    <row r="118">
      <c r="B118" s="6" t="inlineStr">
        <is>
          <t>Convertible loan drawn</t>
        </is>
      </c>
      <c r="C118" s="30" t="inlineStr">
        <is>
          <t>EUR</t>
        </is>
      </c>
      <c r="D118" s="31" t="n">
        <v>300000</v>
      </c>
    </row>
    <row r="119">
      <c r="B119" s="6" t="inlineStr">
        <is>
          <t>Loan drawn on</t>
        </is>
      </c>
      <c r="C119" s="30" t="inlineStr">
        <is>
          <t>date</t>
        </is>
      </c>
      <c r="D119" s="35" t="n">
        <v>46204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1:BT64"/>
  <sheetViews>
    <sheetView showGridLines="0" workbookViewId="0">
      <pane xSplit="4" ySplit="3" topLeftCell="E4" activePane="bottomRight" state="frozen"/>
      <selection pane="topRight"/>
      <selection pane="bottomLeft"/>
      <selection pane="bottomRight" activeCell="A1" sqref="A1"/>
    </sheetView>
  </sheetViews>
  <sheetFormatPr baseColWidth="8" defaultRowHeight="15"/>
  <cols>
    <col width="3" customWidth="1" min="1" max="1"/>
    <col width="46" customWidth="1" min="2" max="2"/>
    <col width="13" customWidth="1" min="3" max="3"/>
    <col width="2"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0" customWidth="1" min="39" max="39"/>
    <col width="10" customWidth="1" min="40" max="40"/>
    <col width="10" customWidth="1" min="41" max="41"/>
    <col width="10" customWidth="1" min="42" max="42"/>
    <col width="10" customWidth="1" min="43" max="43"/>
    <col width="10" customWidth="1" min="44" max="44"/>
    <col width="10" customWidth="1" min="45" max="45"/>
    <col width="10" customWidth="1" min="46" max="46"/>
    <col width="10" customWidth="1" min="47" max="47"/>
    <col width="10" customWidth="1" min="48" max="48"/>
    <col width="10" customWidth="1" min="49" max="49"/>
    <col width="10" customWidth="1" min="50" max="50"/>
    <col width="10" customWidth="1" min="51" max="51"/>
    <col width="10" customWidth="1" min="52" max="52"/>
    <col width="10" customWidth="1" min="53" max="53"/>
    <col width="10" customWidth="1" min="54" max="54"/>
    <col width="10" customWidth="1" min="55" max="55"/>
    <col width="10" customWidth="1" min="56" max="56"/>
    <col width="10" customWidth="1" min="57" max="57"/>
    <col width="10" customWidth="1" min="58" max="58"/>
    <col width="10" customWidth="1" min="59" max="59"/>
    <col width="10" customWidth="1" min="60" max="60"/>
    <col width="10" customWidth="1" min="61" max="61"/>
    <col width="10" customWidth="1" min="62" max="62"/>
    <col width="10" customWidth="1" min="63" max="63"/>
    <col width="10" customWidth="1" min="64" max="64"/>
    <col width="2" customWidth="1" min="65" max="65"/>
    <col width="12" customWidth="1" min="66" max="66"/>
    <col width="12" customWidth="1" min="67" max="67"/>
    <col width="12" customWidth="1" min="68" max="68"/>
    <col width="12" customWidth="1" min="69" max="69"/>
    <col width="12" customWidth="1" min="70" max="70"/>
    <col width="2" customWidth="1" min="71" max="71"/>
    <col width="62" customWidth="1" min="72" max="72"/>
  </cols>
  <sheetData>
    <row r="1">
      <c r="B1" s="15" t="inlineStr">
        <is>
          <t>Tarnoc B.V.  Financial Statements</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row>
    <row r="2">
      <c r="B2" s="3" t="inlineStr">
        <is>
          <t>Three statements, monthly. The check on row 58 must read zero in every column.</t>
        </is>
      </c>
    </row>
    <row r="3">
      <c r="B3" s="2" t="n"/>
      <c r="C3" s="2" t="n"/>
      <c r="D3" s="2" t="n"/>
      <c r="E3" s="48" t="n">
        <v>46023</v>
      </c>
      <c r="F3" s="48" t="n">
        <v>46054</v>
      </c>
      <c r="G3" s="48" t="n">
        <v>46082</v>
      </c>
      <c r="H3" s="48" t="n">
        <v>46113</v>
      </c>
      <c r="I3" s="48" t="n">
        <v>46143</v>
      </c>
      <c r="J3" s="48" t="n">
        <v>46174</v>
      </c>
      <c r="K3" s="48" t="n">
        <v>46204</v>
      </c>
      <c r="L3" s="48" t="n">
        <v>46235</v>
      </c>
      <c r="M3" s="48" t="n">
        <v>46266</v>
      </c>
      <c r="N3" s="48" t="n">
        <v>46296</v>
      </c>
      <c r="O3" s="48" t="n">
        <v>46327</v>
      </c>
      <c r="P3" s="48" t="n">
        <v>46357</v>
      </c>
      <c r="Q3" s="48" t="n">
        <v>46388</v>
      </c>
      <c r="R3" s="48" t="n">
        <v>46419</v>
      </c>
      <c r="S3" s="48" t="n">
        <v>46447</v>
      </c>
      <c r="T3" s="48" t="n">
        <v>46478</v>
      </c>
      <c r="U3" s="48" t="n">
        <v>46508</v>
      </c>
      <c r="V3" s="48" t="n">
        <v>46539</v>
      </c>
      <c r="W3" s="48" t="n">
        <v>46569</v>
      </c>
      <c r="X3" s="48" t="n">
        <v>46600</v>
      </c>
      <c r="Y3" s="48" t="n">
        <v>46631</v>
      </c>
      <c r="Z3" s="48" t="n">
        <v>46661</v>
      </c>
      <c r="AA3" s="48" t="n">
        <v>46692</v>
      </c>
      <c r="AB3" s="48" t="n">
        <v>46722</v>
      </c>
      <c r="AC3" s="48" t="n">
        <v>46753</v>
      </c>
      <c r="AD3" s="48" t="n">
        <v>46784</v>
      </c>
      <c r="AE3" s="48" t="n">
        <v>46813</v>
      </c>
      <c r="AF3" s="48" t="n">
        <v>46844</v>
      </c>
      <c r="AG3" s="48" t="n">
        <v>46874</v>
      </c>
      <c r="AH3" s="48" t="n">
        <v>46905</v>
      </c>
      <c r="AI3" s="48" t="n">
        <v>46935</v>
      </c>
      <c r="AJ3" s="48" t="n">
        <v>46966</v>
      </c>
      <c r="AK3" s="48" t="n">
        <v>46997</v>
      </c>
      <c r="AL3" s="48" t="n">
        <v>47027</v>
      </c>
      <c r="AM3" s="48" t="n">
        <v>47058</v>
      </c>
      <c r="AN3" s="48" t="n">
        <v>47088</v>
      </c>
      <c r="AO3" s="48" t="n">
        <v>47119</v>
      </c>
      <c r="AP3" s="48" t="n">
        <v>47150</v>
      </c>
      <c r="AQ3" s="48" t="n">
        <v>47178</v>
      </c>
      <c r="AR3" s="48" t="n">
        <v>47209</v>
      </c>
      <c r="AS3" s="48" t="n">
        <v>47239</v>
      </c>
      <c r="AT3" s="48" t="n">
        <v>47270</v>
      </c>
      <c r="AU3" s="48" t="n">
        <v>47300</v>
      </c>
      <c r="AV3" s="48" t="n">
        <v>47331</v>
      </c>
      <c r="AW3" s="48" t="n">
        <v>47362</v>
      </c>
      <c r="AX3" s="48" t="n">
        <v>47392</v>
      </c>
      <c r="AY3" s="48" t="n">
        <v>47423</v>
      </c>
      <c r="AZ3" s="48" t="n">
        <v>47453</v>
      </c>
      <c r="BA3" s="48" t="n">
        <v>47484</v>
      </c>
      <c r="BB3" s="48" t="n">
        <v>47515</v>
      </c>
      <c r="BC3" s="48" t="n">
        <v>47543</v>
      </c>
      <c r="BD3" s="48" t="n">
        <v>47574</v>
      </c>
      <c r="BE3" s="48" t="n">
        <v>47604</v>
      </c>
      <c r="BF3" s="48" t="n">
        <v>47635</v>
      </c>
      <c r="BG3" s="48" t="n">
        <v>47665</v>
      </c>
      <c r="BH3" s="48" t="n">
        <v>47696</v>
      </c>
      <c r="BI3" s="48" t="n">
        <v>47727</v>
      </c>
      <c r="BJ3" s="48" t="n">
        <v>47757</v>
      </c>
      <c r="BK3" s="48" t="n">
        <v>47788</v>
      </c>
      <c r="BL3" s="48" t="n">
        <v>47818</v>
      </c>
      <c r="BM3" s="2" t="n"/>
      <c r="BN3" s="49" t="n">
        <v>2026</v>
      </c>
      <c r="BO3" s="49" t="n">
        <v>2027</v>
      </c>
      <c r="BP3" s="49" t="n">
        <v>2028</v>
      </c>
      <c r="BQ3" s="49" t="n">
        <v>2029</v>
      </c>
      <c r="BR3" s="49" t="n">
        <v>2030</v>
      </c>
      <c r="BS3" s="2" t="n"/>
      <c r="BT3" s="3" t="inlineStr">
        <is>
          <t>what this row does</t>
        </is>
      </c>
    </row>
    <row r="5">
      <c r="B5" s="15" t="inlineStr">
        <is>
          <t>PROFIT AND LOSS</t>
        </is>
      </c>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c r="AA5" s="1" t="n"/>
      <c r="AB5" s="1" t="n"/>
      <c r="AC5" s="1" t="n"/>
      <c r="AD5" s="1" t="n"/>
      <c r="AE5" s="1" t="n"/>
      <c r="AF5" s="1" t="n"/>
      <c r="AG5" s="1" t="n"/>
      <c r="AH5" s="1" t="n"/>
      <c r="AI5" s="1" t="n"/>
      <c r="AJ5" s="1" t="n"/>
      <c r="AK5" s="1" t="n"/>
      <c r="AL5" s="1" t="n"/>
      <c r="AM5" s="1" t="n"/>
      <c r="AN5" s="1" t="n"/>
      <c r="AO5" s="1" t="n"/>
      <c r="AP5" s="1" t="n"/>
      <c r="AQ5" s="1" t="n"/>
      <c r="AR5" s="1" t="n"/>
      <c r="AS5" s="1" t="n"/>
      <c r="AT5" s="1" t="n"/>
      <c r="AU5" s="1" t="n"/>
      <c r="AV5" s="1" t="n"/>
      <c r="AW5" s="1" t="n"/>
      <c r="AX5" s="1" t="n"/>
      <c r="AY5" s="1" t="n"/>
      <c r="AZ5" s="1" t="n"/>
      <c r="BA5" s="1" t="n"/>
      <c r="BB5" s="1" t="n"/>
      <c r="BC5" s="1" t="n"/>
      <c r="BD5" s="1" t="n"/>
      <c r="BE5" s="1" t="n"/>
      <c r="BF5" s="1" t="n"/>
      <c r="BG5" s="1" t="n"/>
      <c r="BH5" s="1" t="n"/>
      <c r="BI5" s="1" t="n"/>
      <c r="BJ5" s="1" t="n"/>
      <c r="BK5" s="1" t="n"/>
      <c r="BL5" s="1" t="n"/>
      <c r="BM5" s="1" t="n"/>
      <c r="BN5" s="1" t="n"/>
      <c r="BO5" s="1" t="n"/>
      <c r="BP5" s="1" t="n"/>
      <c r="BQ5" s="1" t="n"/>
      <c r="BR5" s="1" t="n"/>
      <c r="BS5" s="1" t="n"/>
    </row>
    <row r="6">
      <c r="B6" s="6" t="inlineStr">
        <is>
          <t>Revenue</t>
        </is>
      </c>
      <c r="C6" s="17" t="inlineStr">
        <is>
          <t>EUR</t>
        </is>
      </c>
      <c r="E6" s="10">
        <f>'Revenue Forecast'!E50</f>
        <v/>
      </c>
      <c r="F6" s="10">
        <f>'Revenue Forecast'!F50</f>
        <v/>
      </c>
      <c r="G6" s="10">
        <f>'Revenue Forecast'!G50</f>
        <v/>
      </c>
      <c r="H6" s="10">
        <f>'Revenue Forecast'!H50</f>
        <v/>
      </c>
      <c r="I6" s="10">
        <f>'Revenue Forecast'!I50</f>
        <v/>
      </c>
      <c r="J6" s="10">
        <f>'Revenue Forecast'!J50</f>
        <v/>
      </c>
      <c r="K6" s="10">
        <f>'Revenue Forecast'!K50</f>
        <v/>
      </c>
      <c r="L6" s="10">
        <f>'Revenue Forecast'!L50</f>
        <v/>
      </c>
      <c r="M6" s="10">
        <f>'Revenue Forecast'!M50</f>
        <v/>
      </c>
      <c r="N6" s="10">
        <f>'Revenue Forecast'!N50</f>
        <v/>
      </c>
      <c r="O6" s="10">
        <f>'Revenue Forecast'!O50</f>
        <v/>
      </c>
      <c r="P6" s="10">
        <f>'Revenue Forecast'!P50</f>
        <v/>
      </c>
      <c r="Q6" s="10">
        <f>'Revenue Forecast'!Q50</f>
        <v/>
      </c>
      <c r="R6" s="10">
        <f>'Revenue Forecast'!R50</f>
        <v/>
      </c>
      <c r="S6" s="10">
        <f>'Revenue Forecast'!S50</f>
        <v/>
      </c>
      <c r="T6" s="10">
        <f>'Revenue Forecast'!T50</f>
        <v/>
      </c>
      <c r="U6" s="10">
        <f>'Revenue Forecast'!U50</f>
        <v/>
      </c>
      <c r="V6" s="10">
        <f>'Revenue Forecast'!V50</f>
        <v/>
      </c>
      <c r="W6" s="10">
        <f>'Revenue Forecast'!W50</f>
        <v/>
      </c>
      <c r="X6" s="10">
        <f>'Revenue Forecast'!X50</f>
        <v/>
      </c>
      <c r="Y6" s="10">
        <f>'Revenue Forecast'!Y50</f>
        <v/>
      </c>
      <c r="Z6" s="10">
        <f>'Revenue Forecast'!Z50</f>
        <v/>
      </c>
      <c r="AA6" s="10">
        <f>'Revenue Forecast'!AA50</f>
        <v/>
      </c>
      <c r="AB6" s="10">
        <f>'Revenue Forecast'!AB50</f>
        <v/>
      </c>
      <c r="AC6" s="10">
        <f>'Revenue Forecast'!AC50</f>
        <v/>
      </c>
      <c r="AD6" s="10">
        <f>'Revenue Forecast'!AD50</f>
        <v/>
      </c>
      <c r="AE6" s="10">
        <f>'Revenue Forecast'!AE50</f>
        <v/>
      </c>
      <c r="AF6" s="10">
        <f>'Revenue Forecast'!AF50</f>
        <v/>
      </c>
      <c r="AG6" s="10">
        <f>'Revenue Forecast'!AG50</f>
        <v/>
      </c>
      <c r="AH6" s="10">
        <f>'Revenue Forecast'!AH50</f>
        <v/>
      </c>
      <c r="AI6" s="10">
        <f>'Revenue Forecast'!AI50</f>
        <v/>
      </c>
      <c r="AJ6" s="10">
        <f>'Revenue Forecast'!AJ50</f>
        <v/>
      </c>
      <c r="AK6" s="10">
        <f>'Revenue Forecast'!AK50</f>
        <v/>
      </c>
      <c r="AL6" s="10">
        <f>'Revenue Forecast'!AL50</f>
        <v/>
      </c>
      <c r="AM6" s="10">
        <f>'Revenue Forecast'!AM50</f>
        <v/>
      </c>
      <c r="AN6" s="10">
        <f>'Revenue Forecast'!AN50</f>
        <v/>
      </c>
      <c r="AO6" s="10">
        <f>'Revenue Forecast'!AO50</f>
        <v/>
      </c>
      <c r="AP6" s="10">
        <f>'Revenue Forecast'!AP50</f>
        <v/>
      </c>
      <c r="AQ6" s="10">
        <f>'Revenue Forecast'!AQ50</f>
        <v/>
      </c>
      <c r="AR6" s="10">
        <f>'Revenue Forecast'!AR50</f>
        <v/>
      </c>
      <c r="AS6" s="10">
        <f>'Revenue Forecast'!AS50</f>
        <v/>
      </c>
      <c r="AT6" s="10">
        <f>'Revenue Forecast'!AT50</f>
        <v/>
      </c>
      <c r="AU6" s="10">
        <f>'Revenue Forecast'!AU50</f>
        <v/>
      </c>
      <c r="AV6" s="10">
        <f>'Revenue Forecast'!AV50</f>
        <v/>
      </c>
      <c r="AW6" s="10">
        <f>'Revenue Forecast'!AW50</f>
        <v/>
      </c>
      <c r="AX6" s="10">
        <f>'Revenue Forecast'!AX50</f>
        <v/>
      </c>
      <c r="AY6" s="10">
        <f>'Revenue Forecast'!AY50</f>
        <v/>
      </c>
      <c r="AZ6" s="10">
        <f>'Revenue Forecast'!AZ50</f>
        <v/>
      </c>
      <c r="BA6" s="10">
        <f>'Revenue Forecast'!BA50</f>
        <v/>
      </c>
      <c r="BB6" s="10">
        <f>'Revenue Forecast'!BB50</f>
        <v/>
      </c>
      <c r="BC6" s="10">
        <f>'Revenue Forecast'!BC50</f>
        <v/>
      </c>
      <c r="BD6" s="10">
        <f>'Revenue Forecast'!BD50</f>
        <v/>
      </c>
      <c r="BE6" s="10">
        <f>'Revenue Forecast'!BE50</f>
        <v/>
      </c>
      <c r="BF6" s="10">
        <f>'Revenue Forecast'!BF50</f>
        <v/>
      </c>
      <c r="BG6" s="10">
        <f>'Revenue Forecast'!BG50</f>
        <v/>
      </c>
      <c r="BH6" s="10">
        <f>'Revenue Forecast'!BH50</f>
        <v/>
      </c>
      <c r="BI6" s="10">
        <f>'Revenue Forecast'!BI50</f>
        <v/>
      </c>
      <c r="BJ6" s="10">
        <f>'Revenue Forecast'!BJ50</f>
        <v/>
      </c>
      <c r="BK6" s="10">
        <f>'Revenue Forecast'!BK50</f>
        <v/>
      </c>
      <c r="BL6" s="10">
        <f>'Revenue Forecast'!BL50</f>
        <v/>
      </c>
      <c r="BN6" s="50">
        <f>SUM(E6:P6)</f>
        <v/>
      </c>
      <c r="BO6" s="50">
        <f>SUM(Q6:AB6)</f>
        <v/>
      </c>
      <c r="BP6" s="50">
        <f>SUM(AC6:AN6)</f>
        <v/>
      </c>
      <c r="BQ6" s="50">
        <f>SUM(AO6:AZ6)</f>
        <v/>
      </c>
      <c r="BR6" s="50">
        <f>SUM(BA6:BL6)</f>
        <v/>
      </c>
    </row>
    <row r="7">
      <c r="B7" s="6" t="inlineStr">
        <is>
          <t>Cost of goods sold</t>
        </is>
      </c>
      <c r="C7" s="17" t="inlineStr">
        <is>
          <t>EUR</t>
        </is>
      </c>
      <c r="E7" s="10">
        <f>-COGS!E19</f>
        <v/>
      </c>
      <c r="F7" s="10">
        <f>-COGS!F19</f>
        <v/>
      </c>
      <c r="G7" s="10">
        <f>-COGS!G19</f>
        <v/>
      </c>
      <c r="H7" s="10">
        <f>-COGS!H19</f>
        <v/>
      </c>
      <c r="I7" s="10">
        <f>-COGS!I19</f>
        <v/>
      </c>
      <c r="J7" s="10">
        <f>-COGS!J19</f>
        <v/>
      </c>
      <c r="K7" s="10">
        <f>-COGS!K19</f>
        <v/>
      </c>
      <c r="L7" s="10">
        <f>-COGS!L19</f>
        <v/>
      </c>
      <c r="M7" s="10">
        <f>-COGS!M19</f>
        <v/>
      </c>
      <c r="N7" s="10">
        <f>-COGS!N19</f>
        <v/>
      </c>
      <c r="O7" s="10">
        <f>-COGS!O19</f>
        <v/>
      </c>
      <c r="P7" s="10">
        <f>-COGS!P19</f>
        <v/>
      </c>
      <c r="Q7" s="10">
        <f>-COGS!Q19</f>
        <v/>
      </c>
      <c r="R7" s="10">
        <f>-COGS!R19</f>
        <v/>
      </c>
      <c r="S7" s="10">
        <f>-COGS!S19</f>
        <v/>
      </c>
      <c r="T7" s="10">
        <f>-COGS!T19</f>
        <v/>
      </c>
      <c r="U7" s="10">
        <f>-COGS!U19</f>
        <v/>
      </c>
      <c r="V7" s="10">
        <f>-COGS!V19</f>
        <v/>
      </c>
      <c r="W7" s="10">
        <f>-COGS!W19</f>
        <v/>
      </c>
      <c r="X7" s="10">
        <f>-COGS!X19</f>
        <v/>
      </c>
      <c r="Y7" s="10">
        <f>-COGS!Y19</f>
        <v/>
      </c>
      <c r="Z7" s="10">
        <f>-COGS!Z19</f>
        <v/>
      </c>
      <c r="AA7" s="10">
        <f>-COGS!AA19</f>
        <v/>
      </c>
      <c r="AB7" s="10">
        <f>-COGS!AB19</f>
        <v/>
      </c>
      <c r="AC7" s="10">
        <f>-COGS!AC19</f>
        <v/>
      </c>
      <c r="AD7" s="10">
        <f>-COGS!AD19</f>
        <v/>
      </c>
      <c r="AE7" s="10">
        <f>-COGS!AE19</f>
        <v/>
      </c>
      <c r="AF7" s="10">
        <f>-COGS!AF19</f>
        <v/>
      </c>
      <c r="AG7" s="10">
        <f>-COGS!AG19</f>
        <v/>
      </c>
      <c r="AH7" s="10">
        <f>-COGS!AH19</f>
        <v/>
      </c>
      <c r="AI7" s="10">
        <f>-COGS!AI19</f>
        <v/>
      </c>
      <c r="AJ7" s="10">
        <f>-COGS!AJ19</f>
        <v/>
      </c>
      <c r="AK7" s="10">
        <f>-COGS!AK19</f>
        <v/>
      </c>
      <c r="AL7" s="10">
        <f>-COGS!AL19</f>
        <v/>
      </c>
      <c r="AM7" s="10">
        <f>-COGS!AM19</f>
        <v/>
      </c>
      <c r="AN7" s="10">
        <f>-COGS!AN19</f>
        <v/>
      </c>
      <c r="AO7" s="10">
        <f>-COGS!AO19</f>
        <v/>
      </c>
      <c r="AP7" s="10">
        <f>-COGS!AP19</f>
        <v/>
      </c>
      <c r="AQ7" s="10">
        <f>-COGS!AQ19</f>
        <v/>
      </c>
      <c r="AR7" s="10">
        <f>-COGS!AR19</f>
        <v/>
      </c>
      <c r="AS7" s="10">
        <f>-COGS!AS19</f>
        <v/>
      </c>
      <c r="AT7" s="10">
        <f>-COGS!AT19</f>
        <v/>
      </c>
      <c r="AU7" s="10">
        <f>-COGS!AU19</f>
        <v/>
      </c>
      <c r="AV7" s="10">
        <f>-COGS!AV19</f>
        <v/>
      </c>
      <c r="AW7" s="10">
        <f>-COGS!AW19</f>
        <v/>
      </c>
      <c r="AX7" s="10">
        <f>-COGS!AX19</f>
        <v/>
      </c>
      <c r="AY7" s="10">
        <f>-COGS!AY19</f>
        <v/>
      </c>
      <c r="AZ7" s="10">
        <f>-COGS!AZ19</f>
        <v/>
      </c>
      <c r="BA7" s="10">
        <f>-COGS!BA19</f>
        <v/>
      </c>
      <c r="BB7" s="10">
        <f>-COGS!BB19</f>
        <v/>
      </c>
      <c r="BC7" s="10">
        <f>-COGS!BC19</f>
        <v/>
      </c>
      <c r="BD7" s="10">
        <f>-COGS!BD19</f>
        <v/>
      </c>
      <c r="BE7" s="10">
        <f>-COGS!BE19</f>
        <v/>
      </c>
      <c r="BF7" s="10">
        <f>-COGS!BF19</f>
        <v/>
      </c>
      <c r="BG7" s="10">
        <f>-COGS!BG19</f>
        <v/>
      </c>
      <c r="BH7" s="10">
        <f>-COGS!BH19</f>
        <v/>
      </c>
      <c r="BI7" s="10">
        <f>-COGS!BI19</f>
        <v/>
      </c>
      <c r="BJ7" s="10">
        <f>-COGS!BJ19</f>
        <v/>
      </c>
      <c r="BK7" s="10">
        <f>-COGS!BK19</f>
        <v/>
      </c>
      <c r="BL7" s="10">
        <f>-COGS!BL19</f>
        <v/>
      </c>
      <c r="BN7" s="50">
        <f>SUM(E7:P7)</f>
        <v/>
      </c>
      <c r="BO7" s="50">
        <f>SUM(Q7:AB7)</f>
        <v/>
      </c>
      <c r="BP7" s="50">
        <f>SUM(AC7:AN7)</f>
        <v/>
      </c>
      <c r="BQ7" s="50">
        <f>SUM(AO7:AZ7)</f>
        <v/>
      </c>
      <c r="BR7" s="50">
        <f>SUM(BA7:BL7)</f>
        <v/>
      </c>
    </row>
    <row r="8">
      <c r="B8" s="15" t="inlineStr">
        <is>
          <t>Gross profit</t>
        </is>
      </c>
      <c r="C8" s="51" t="inlineStr">
        <is>
          <t>EUR</t>
        </is>
      </c>
      <c r="D8" s="2" t="n"/>
      <c r="E8" s="52">
        <f>E6+E7</f>
        <v/>
      </c>
      <c r="F8" s="52">
        <f>F6+F7</f>
        <v/>
      </c>
      <c r="G8" s="52">
        <f>G6+G7</f>
        <v/>
      </c>
      <c r="H8" s="52">
        <f>H6+H7</f>
        <v/>
      </c>
      <c r="I8" s="52">
        <f>I6+I7</f>
        <v/>
      </c>
      <c r="J8" s="52">
        <f>J6+J7</f>
        <v/>
      </c>
      <c r="K8" s="52">
        <f>K6+K7</f>
        <v/>
      </c>
      <c r="L8" s="52">
        <f>L6+L7</f>
        <v/>
      </c>
      <c r="M8" s="52">
        <f>M6+M7</f>
        <v/>
      </c>
      <c r="N8" s="52">
        <f>N6+N7</f>
        <v/>
      </c>
      <c r="O8" s="52">
        <f>O6+O7</f>
        <v/>
      </c>
      <c r="P8" s="52">
        <f>P6+P7</f>
        <v/>
      </c>
      <c r="Q8" s="52">
        <f>Q6+Q7</f>
        <v/>
      </c>
      <c r="R8" s="52">
        <f>R6+R7</f>
        <v/>
      </c>
      <c r="S8" s="52">
        <f>S6+S7</f>
        <v/>
      </c>
      <c r="T8" s="52">
        <f>T6+T7</f>
        <v/>
      </c>
      <c r="U8" s="52">
        <f>U6+U7</f>
        <v/>
      </c>
      <c r="V8" s="52">
        <f>V6+V7</f>
        <v/>
      </c>
      <c r="W8" s="52">
        <f>W6+W7</f>
        <v/>
      </c>
      <c r="X8" s="52">
        <f>X6+X7</f>
        <v/>
      </c>
      <c r="Y8" s="52">
        <f>Y6+Y7</f>
        <v/>
      </c>
      <c r="Z8" s="52">
        <f>Z6+Z7</f>
        <v/>
      </c>
      <c r="AA8" s="52">
        <f>AA6+AA7</f>
        <v/>
      </c>
      <c r="AB8" s="52">
        <f>AB6+AB7</f>
        <v/>
      </c>
      <c r="AC8" s="52">
        <f>AC6+AC7</f>
        <v/>
      </c>
      <c r="AD8" s="52">
        <f>AD6+AD7</f>
        <v/>
      </c>
      <c r="AE8" s="52">
        <f>AE6+AE7</f>
        <v/>
      </c>
      <c r="AF8" s="52">
        <f>AF6+AF7</f>
        <v/>
      </c>
      <c r="AG8" s="52">
        <f>AG6+AG7</f>
        <v/>
      </c>
      <c r="AH8" s="52">
        <f>AH6+AH7</f>
        <v/>
      </c>
      <c r="AI8" s="52">
        <f>AI6+AI7</f>
        <v/>
      </c>
      <c r="AJ8" s="52">
        <f>AJ6+AJ7</f>
        <v/>
      </c>
      <c r="AK8" s="52">
        <f>AK6+AK7</f>
        <v/>
      </c>
      <c r="AL8" s="52">
        <f>AL6+AL7</f>
        <v/>
      </c>
      <c r="AM8" s="52">
        <f>AM6+AM7</f>
        <v/>
      </c>
      <c r="AN8" s="52">
        <f>AN6+AN7</f>
        <v/>
      </c>
      <c r="AO8" s="52">
        <f>AO6+AO7</f>
        <v/>
      </c>
      <c r="AP8" s="52">
        <f>AP6+AP7</f>
        <v/>
      </c>
      <c r="AQ8" s="52">
        <f>AQ6+AQ7</f>
        <v/>
      </c>
      <c r="AR8" s="52">
        <f>AR6+AR7</f>
        <v/>
      </c>
      <c r="AS8" s="52">
        <f>AS6+AS7</f>
        <v/>
      </c>
      <c r="AT8" s="52">
        <f>AT6+AT7</f>
        <v/>
      </c>
      <c r="AU8" s="52">
        <f>AU6+AU7</f>
        <v/>
      </c>
      <c r="AV8" s="52">
        <f>AV6+AV7</f>
        <v/>
      </c>
      <c r="AW8" s="52">
        <f>AW6+AW7</f>
        <v/>
      </c>
      <c r="AX8" s="52">
        <f>AX6+AX7</f>
        <v/>
      </c>
      <c r="AY8" s="52">
        <f>AY6+AY7</f>
        <v/>
      </c>
      <c r="AZ8" s="52">
        <f>AZ6+AZ7</f>
        <v/>
      </c>
      <c r="BA8" s="52">
        <f>BA6+BA7</f>
        <v/>
      </c>
      <c r="BB8" s="52">
        <f>BB6+BB7</f>
        <v/>
      </c>
      <c r="BC8" s="52">
        <f>BC6+BC7</f>
        <v/>
      </c>
      <c r="BD8" s="52">
        <f>BD6+BD7</f>
        <v/>
      </c>
      <c r="BE8" s="52">
        <f>BE6+BE7</f>
        <v/>
      </c>
      <c r="BF8" s="52">
        <f>BF6+BF7</f>
        <v/>
      </c>
      <c r="BG8" s="52">
        <f>BG6+BG7</f>
        <v/>
      </c>
      <c r="BH8" s="52">
        <f>BH6+BH7</f>
        <v/>
      </c>
      <c r="BI8" s="52">
        <f>BI6+BI7</f>
        <v/>
      </c>
      <c r="BJ8" s="52">
        <f>BJ6+BJ7</f>
        <v/>
      </c>
      <c r="BK8" s="52">
        <f>BK6+BK7</f>
        <v/>
      </c>
      <c r="BL8" s="52">
        <f>BL6+BL7</f>
        <v/>
      </c>
      <c r="BM8" s="2" t="n"/>
      <c r="BN8" s="52">
        <f>SUM(E8:P8)</f>
        <v/>
      </c>
      <c r="BO8" s="52">
        <f>SUM(Q8:AB8)</f>
        <v/>
      </c>
      <c r="BP8" s="52">
        <f>SUM(AC8:AN8)</f>
        <v/>
      </c>
      <c r="BQ8" s="52">
        <f>SUM(AO8:AZ8)</f>
        <v/>
      </c>
      <c r="BR8" s="52">
        <f>SUM(BA8:BL8)</f>
        <v/>
      </c>
      <c r="BS8" s="2" t="n"/>
    </row>
    <row r="9">
      <c r="B9" s="53" t="inlineStr">
        <is>
          <t>Gross margin</t>
        </is>
      </c>
      <c r="C9" s="17" t="inlineStr">
        <is>
          <t>%</t>
        </is>
      </c>
      <c r="E9" s="54">
        <f>IFERROR(E8/E6,0)</f>
        <v/>
      </c>
      <c r="F9" s="54">
        <f>IFERROR(F8/F6,0)</f>
        <v/>
      </c>
      <c r="G9" s="54">
        <f>IFERROR(G8/G6,0)</f>
        <v/>
      </c>
      <c r="H9" s="54">
        <f>IFERROR(H8/H6,0)</f>
        <v/>
      </c>
      <c r="I9" s="54">
        <f>IFERROR(I8/I6,0)</f>
        <v/>
      </c>
      <c r="J9" s="54">
        <f>IFERROR(J8/J6,0)</f>
        <v/>
      </c>
      <c r="K9" s="54">
        <f>IFERROR(K8/K6,0)</f>
        <v/>
      </c>
      <c r="L9" s="54">
        <f>IFERROR(L8/L6,0)</f>
        <v/>
      </c>
      <c r="M9" s="54">
        <f>IFERROR(M8/M6,0)</f>
        <v/>
      </c>
      <c r="N9" s="54">
        <f>IFERROR(N8/N6,0)</f>
        <v/>
      </c>
      <c r="O9" s="54">
        <f>IFERROR(O8/O6,0)</f>
        <v/>
      </c>
      <c r="P9" s="54">
        <f>IFERROR(P8/P6,0)</f>
        <v/>
      </c>
      <c r="Q9" s="54">
        <f>IFERROR(Q8/Q6,0)</f>
        <v/>
      </c>
      <c r="R9" s="54">
        <f>IFERROR(R8/R6,0)</f>
        <v/>
      </c>
      <c r="S9" s="54">
        <f>IFERROR(S8/S6,0)</f>
        <v/>
      </c>
      <c r="T9" s="54">
        <f>IFERROR(T8/T6,0)</f>
        <v/>
      </c>
      <c r="U9" s="54">
        <f>IFERROR(U8/U6,0)</f>
        <v/>
      </c>
      <c r="V9" s="54">
        <f>IFERROR(V8/V6,0)</f>
        <v/>
      </c>
      <c r="W9" s="54">
        <f>IFERROR(W8/W6,0)</f>
        <v/>
      </c>
      <c r="X9" s="54">
        <f>IFERROR(X8/X6,0)</f>
        <v/>
      </c>
      <c r="Y9" s="54">
        <f>IFERROR(Y8/Y6,0)</f>
        <v/>
      </c>
      <c r="Z9" s="54">
        <f>IFERROR(Z8/Z6,0)</f>
        <v/>
      </c>
      <c r="AA9" s="54">
        <f>IFERROR(AA8/AA6,0)</f>
        <v/>
      </c>
      <c r="AB9" s="54">
        <f>IFERROR(AB8/AB6,0)</f>
        <v/>
      </c>
      <c r="AC9" s="54">
        <f>IFERROR(AC8/AC6,0)</f>
        <v/>
      </c>
      <c r="AD9" s="54">
        <f>IFERROR(AD8/AD6,0)</f>
        <v/>
      </c>
      <c r="AE9" s="54">
        <f>IFERROR(AE8/AE6,0)</f>
        <v/>
      </c>
      <c r="AF9" s="54">
        <f>IFERROR(AF8/AF6,0)</f>
        <v/>
      </c>
      <c r="AG9" s="54">
        <f>IFERROR(AG8/AG6,0)</f>
        <v/>
      </c>
      <c r="AH9" s="54">
        <f>IFERROR(AH8/AH6,0)</f>
        <v/>
      </c>
      <c r="AI9" s="54">
        <f>IFERROR(AI8/AI6,0)</f>
        <v/>
      </c>
      <c r="AJ9" s="54">
        <f>IFERROR(AJ8/AJ6,0)</f>
        <v/>
      </c>
      <c r="AK9" s="54">
        <f>IFERROR(AK8/AK6,0)</f>
        <v/>
      </c>
      <c r="AL9" s="54">
        <f>IFERROR(AL8/AL6,0)</f>
        <v/>
      </c>
      <c r="AM9" s="54">
        <f>IFERROR(AM8/AM6,0)</f>
        <v/>
      </c>
      <c r="AN9" s="54">
        <f>IFERROR(AN8/AN6,0)</f>
        <v/>
      </c>
      <c r="AO9" s="54">
        <f>IFERROR(AO8/AO6,0)</f>
        <v/>
      </c>
      <c r="AP9" s="54">
        <f>IFERROR(AP8/AP6,0)</f>
        <v/>
      </c>
      <c r="AQ9" s="54">
        <f>IFERROR(AQ8/AQ6,0)</f>
        <v/>
      </c>
      <c r="AR9" s="54">
        <f>IFERROR(AR8/AR6,0)</f>
        <v/>
      </c>
      <c r="AS9" s="54">
        <f>IFERROR(AS8/AS6,0)</f>
        <v/>
      </c>
      <c r="AT9" s="54">
        <f>IFERROR(AT8/AT6,0)</f>
        <v/>
      </c>
      <c r="AU9" s="54">
        <f>IFERROR(AU8/AU6,0)</f>
        <v/>
      </c>
      <c r="AV9" s="54">
        <f>IFERROR(AV8/AV6,0)</f>
        <v/>
      </c>
      <c r="AW9" s="54">
        <f>IFERROR(AW8/AW6,0)</f>
        <v/>
      </c>
      <c r="AX9" s="54">
        <f>IFERROR(AX8/AX6,0)</f>
        <v/>
      </c>
      <c r="AY9" s="54">
        <f>IFERROR(AY8/AY6,0)</f>
        <v/>
      </c>
      <c r="AZ9" s="54">
        <f>IFERROR(AZ8/AZ6,0)</f>
        <v/>
      </c>
      <c r="BA9" s="54">
        <f>IFERROR(BA8/BA6,0)</f>
        <v/>
      </c>
      <c r="BB9" s="54">
        <f>IFERROR(BB8/BB6,0)</f>
        <v/>
      </c>
      <c r="BC9" s="54">
        <f>IFERROR(BC8/BC6,0)</f>
        <v/>
      </c>
      <c r="BD9" s="54">
        <f>IFERROR(BD8/BD6,0)</f>
        <v/>
      </c>
      <c r="BE9" s="54">
        <f>IFERROR(BE8/BE6,0)</f>
        <v/>
      </c>
      <c r="BF9" s="54">
        <f>IFERROR(BF8/BF6,0)</f>
        <v/>
      </c>
      <c r="BG9" s="54">
        <f>IFERROR(BG8/BG6,0)</f>
        <v/>
      </c>
      <c r="BH9" s="54">
        <f>IFERROR(BH8/BH6,0)</f>
        <v/>
      </c>
      <c r="BI9" s="54">
        <f>IFERROR(BI8/BI6,0)</f>
        <v/>
      </c>
      <c r="BJ9" s="54">
        <f>IFERROR(BJ8/BJ6,0)</f>
        <v/>
      </c>
      <c r="BK9" s="54">
        <f>IFERROR(BK8/BK6,0)</f>
        <v/>
      </c>
      <c r="BL9" s="54">
        <f>IFERROR(BL8/BL6,0)</f>
        <v/>
      </c>
      <c r="BN9" s="55">
        <f>IFERROR(BN8/BN6,0)</f>
        <v/>
      </c>
      <c r="BO9" s="55">
        <f>IFERROR(BO8/BO6,0)</f>
        <v/>
      </c>
      <c r="BP9" s="55">
        <f>IFERROR(BP8/BP6,0)</f>
        <v/>
      </c>
      <c r="BQ9" s="55">
        <f>IFERROR(BQ8/BQ6,0)</f>
        <v/>
      </c>
      <c r="BR9" s="55">
        <f>IFERROR(BR8/BR6,0)</f>
        <v/>
      </c>
    </row>
    <row r="11">
      <c r="B11" s="6" t="inlineStr">
        <is>
          <t>Research and development</t>
        </is>
      </c>
      <c r="C11" s="17" t="inlineStr">
        <is>
          <t>EUR</t>
        </is>
      </c>
      <c r="E11" s="10">
        <f>-OPEX!E30</f>
        <v/>
      </c>
      <c r="F11" s="10">
        <f>-OPEX!F30</f>
        <v/>
      </c>
      <c r="G11" s="10">
        <f>-OPEX!G30</f>
        <v/>
      </c>
      <c r="H11" s="10">
        <f>-OPEX!H30</f>
        <v/>
      </c>
      <c r="I11" s="10">
        <f>-OPEX!I30</f>
        <v/>
      </c>
      <c r="J11" s="10">
        <f>-OPEX!J30</f>
        <v/>
      </c>
      <c r="K11" s="10">
        <f>-OPEX!K30</f>
        <v/>
      </c>
      <c r="L11" s="10">
        <f>-OPEX!L30</f>
        <v/>
      </c>
      <c r="M11" s="10">
        <f>-OPEX!M30</f>
        <v/>
      </c>
      <c r="N11" s="10">
        <f>-OPEX!N30</f>
        <v/>
      </c>
      <c r="O11" s="10">
        <f>-OPEX!O30</f>
        <v/>
      </c>
      <c r="P11" s="10">
        <f>-OPEX!P30</f>
        <v/>
      </c>
      <c r="Q11" s="10">
        <f>-OPEX!Q30</f>
        <v/>
      </c>
      <c r="R11" s="10">
        <f>-OPEX!R30</f>
        <v/>
      </c>
      <c r="S11" s="10">
        <f>-OPEX!S30</f>
        <v/>
      </c>
      <c r="T11" s="10">
        <f>-OPEX!T30</f>
        <v/>
      </c>
      <c r="U11" s="10">
        <f>-OPEX!U30</f>
        <v/>
      </c>
      <c r="V11" s="10">
        <f>-OPEX!V30</f>
        <v/>
      </c>
      <c r="W11" s="10">
        <f>-OPEX!W30</f>
        <v/>
      </c>
      <c r="X11" s="10">
        <f>-OPEX!X30</f>
        <v/>
      </c>
      <c r="Y11" s="10">
        <f>-OPEX!Y30</f>
        <v/>
      </c>
      <c r="Z11" s="10">
        <f>-OPEX!Z30</f>
        <v/>
      </c>
      <c r="AA11" s="10">
        <f>-OPEX!AA30</f>
        <v/>
      </c>
      <c r="AB11" s="10">
        <f>-OPEX!AB30</f>
        <v/>
      </c>
      <c r="AC11" s="10">
        <f>-OPEX!AC30</f>
        <v/>
      </c>
      <c r="AD11" s="10">
        <f>-OPEX!AD30</f>
        <v/>
      </c>
      <c r="AE11" s="10">
        <f>-OPEX!AE30</f>
        <v/>
      </c>
      <c r="AF11" s="10">
        <f>-OPEX!AF30</f>
        <v/>
      </c>
      <c r="AG11" s="10">
        <f>-OPEX!AG30</f>
        <v/>
      </c>
      <c r="AH11" s="10">
        <f>-OPEX!AH30</f>
        <v/>
      </c>
      <c r="AI11" s="10">
        <f>-OPEX!AI30</f>
        <v/>
      </c>
      <c r="AJ11" s="10">
        <f>-OPEX!AJ30</f>
        <v/>
      </c>
      <c r="AK11" s="10">
        <f>-OPEX!AK30</f>
        <v/>
      </c>
      <c r="AL11" s="10">
        <f>-OPEX!AL30</f>
        <v/>
      </c>
      <c r="AM11" s="10">
        <f>-OPEX!AM30</f>
        <v/>
      </c>
      <c r="AN11" s="10">
        <f>-OPEX!AN30</f>
        <v/>
      </c>
      <c r="AO11" s="10">
        <f>-OPEX!AO30</f>
        <v/>
      </c>
      <c r="AP11" s="10">
        <f>-OPEX!AP30</f>
        <v/>
      </c>
      <c r="AQ11" s="10">
        <f>-OPEX!AQ30</f>
        <v/>
      </c>
      <c r="AR11" s="10">
        <f>-OPEX!AR30</f>
        <v/>
      </c>
      <c r="AS11" s="10">
        <f>-OPEX!AS30</f>
        <v/>
      </c>
      <c r="AT11" s="10">
        <f>-OPEX!AT30</f>
        <v/>
      </c>
      <c r="AU11" s="10">
        <f>-OPEX!AU30</f>
        <v/>
      </c>
      <c r="AV11" s="10">
        <f>-OPEX!AV30</f>
        <v/>
      </c>
      <c r="AW11" s="10">
        <f>-OPEX!AW30</f>
        <v/>
      </c>
      <c r="AX11" s="10">
        <f>-OPEX!AX30</f>
        <v/>
      </c>
      <c r="AY11" s="10">
        <f>-OPEX!AY30</f>
        <v/>
      </c>
      <c r="AZ11" s="10">
        <f>-OPEX!AZ30</f>
        <v/>
      </c>
      <c r="BA11" s="10">
        <f>-OPEX!BA30</f>
        <v/>
      </c>
      <c r="BB11" s="10">
        <f>-OPEX!BB30</f>
        <v/>
      </c>
      <c r="BC11" s="10">
        <f>-OPEX!BC30</f>
        <v/>
      </c>
      <c r="BD11" s="10">
        <f>-OPEX!BD30</f>
        <v/>
      </c>
      <c r="BE11" s="10">
        <f>-OPEX!BE30</f>
        <v/>
      </c>
      <c r="BF11" s="10">
        <f>-OPEX!BF30</f>
        <v/>
      </c>
      <c r="BG11" s="10">
        <f>-OPEX!BG30</f>
        <v/>
      </c>
      <c r="BH11" s="10">
        <f>-OPEX!BH30</f>
        <v/>
      </c>
      <c r="BI11" s="10">
        <f>-OPEX!BI30</f>
        <v/>
      </c>
      <c r="BJ11" s="10">
        <f>-OPEX!BJ30</f>
        <v/>
      </c>
      <c r="BK11" s="10">
        <f>-OPEX!BK30</f>
        <v/>
      </c>
      <c r="BL11" s="10">
        <f>-OPEX!BL30</f>
        <v/>
      </c>
      <c r="BN11" s="50">
        <f>SUM(E11:P11)</f>
        <v/>
      </c>
      <c r="BO11" s="50">
        <f>SUM(Q11:AB11)</f>
        <v/>
      </c>
      <c r="BP11" s="50">
        <f>SUM(AC11:AN11)</f>
        <v/>
      </c>
      <c r="BQ11" s="50">
        <f>SUM(AO11:AZ11)</f>
        <v/>
      </c>
      <c r="BR11" s="50">
        <f>SUM(BA11:BL11)</f>
        <v/>
      </c>
    </row>
    <row r="12">
      <c r="B12" s="6" t="inlineStr">
        <is>
          <t>Sales and marketing</t>
        </is>
      </c>
      <c r="C12" s="17" t="inlineStr">
        <is>
          <t>EUR</t>
        </is>
      </c>
      <c r="E12" s="10">
        <f>-OPEX!E31</f>
        <v/>
      </c>
      <c r="F12" s="10">
        <f>-OPEX!F31</f>
        <v/>
      </c>
      <c r="G12" s="10">
        <f>-OPEX!G31</f>
        <v/>
      </c>
      <c r="H12" s="10">
        <f>-OPEX!H31</f>
        <v/>
      </c>
      <c r="I12" s="10">
        <f>-OPEX!I31</f>
        <v/>
      </c>
      <c r="J12" s="10">
        <f>-OPEX!J31</f>
        <v/>
      </c>
      <c r="K12" s="10">
        <f>-OPEX!K31</f>
        <v/>
      </c>
      <c r="L12" s="10">
        <f>-OPEX!L31</f>
        <v/>
      </c>
      <c r="M12" s="10">
        <f>-OPEX!M31</f>
        <v/>
      </c>
      <c r="N12" s="10">
        <f>-OPEX!N31</f>
        <v/>
      </c>
      <c r="O12" s="10">
        <f>-OPEX!O31</f>
        <v/>
      </c>
      <c r="P12" s="10">
        <f>-OPEX!P31</f>
        <v/>
      </c>
      <c r="Q12" s="10">
        <f>-OPEX!Q31</f>
        <v/>
      </c>
      <c r="R12" s="10">
        <f>-OPEX!R31</f>
        <v/>
      </c>
      <c r="S12" s="10">
        <f>-OPEX!S31</f>
        <v/>
      </c>
      <c r="T12" s="10">
        <f>-OPEX!T31</f>
        <v/>
      </c>
      <c r="U12" s="10">
        <f>-OPEX!U31</f>
        <v/>
      </c>
      <c r="V12" s="10">
        <f>-OPEX!V31</f>
        <v/>
      </c>
      <c r="W12" s="10">
        <f>-OPEX!W31</f>
        <v/>
      </c>
      <c r="X12" s="10">
        <f>-OPEX!X31</f>
        <v/>
      </c>
      <c r="Y12" s="10">
        <f>-OPEX!Y31</f>
        <v/>
      </c>
      <c r="Z12" s="10">
        <f>-OPEX!Z31</f>
        <v/>
      </c>
      <c r="AA12" s="10">
        <f>-OPEX!AA31</f>
        <v/>
      </c>
      <c r="AB12" s="10">
        <f>-OPEX!AB31</f>
        <v/>
      </c>
      <c r="AC12" s="10">
        <f>-OPEX!AC31</f>
        <v/>
      </c>
      <c r="AD12" s="10">
        <f>-OPEX!AD31</f>
        <v/>
      </c>
      <c r="AE12" s="10">
        <f>-OPEX!AE31</f>
        <v/>
      </c>
      <c r="AF12" s="10">
        <f>-OPEX!AF31</f>
        <v/>
      </c>
      <c r="AG12" s="10">
        <f>-OPEX!AG31</f>
        <v/>
      </c>
      <c r="AH12" s="10">
        <f>-OPEX!AH31</f>
        <v/>
      </c>
      <c r="AI12" s="10">
        <f>-OPEX!AI31</f>
        <v/>
      </c>
      <c r="AJ12" s="10">
        <f>-OPEX!AJ31</f>
        <v/>
      </c>
      <c r="AK12" s="10">
        <f>-OPEX!AK31</f>
        <v/>
      </c>
      <c r="AL12" s="10">
        <f>-OPEX!AL31</f>
        <v/>
      </c>
      <c r="AM12" s="10">
        <f>-OPEX!AM31</f>
        <v/>
      </c>
      <c r="AN12" s="10">
        <f>-OPEX!AN31</f>
        <v/>
      </c>
      <c r="AO12" s="10">
        <f>-OPEX!AO31</f>
        <v/>
      </c>
      <c r="AP12" s="10">
        <f>-OPEX!AP31</f>
        <v/>
      </c>
      <c r="AQ12" s="10">
        <f>-OPEX!AQ31</f>
        <v/>
      </c>
      <c r="AR12" s="10">
        <f>-OPEX!AR31</f>
        <v/>
      </c>
      <c r="AS12" s="10">
        <f>-OPEX!AS31</f>
        <v/>
      </c>
      <c r="AT12" s="10">
        <f>-OPEX!AT31</f>
        <v/>
      </c>
      <c r="AU12" s="10">
        <f>-OPEX!AU31</f>
        <v/>
      </c>
      <c r="AV12" s="10">
        <f>-OPEX!AV31</f>
        <v/>
      </c>
      <c r="AW12" s="10">
        <f>-OPEX!AW31</f>
        <v/>
      </c>
      <c r="AX12" s="10">
        <f>-OPEX!AX31</f>
        <v/>
      </c>
      <c r="AY12" s="10">
        <f>-OPEX!AY31</f>
        <v/>
      </c>
      <c r="AZ12" s="10">
        <f>-OPEX!AZ31</f>
        <v/>
      </c>
      <c r="BA12" s="10">
        <f>-OPEX!BA31</f>
        <v/>
      </c>
      <c r="BB12" s="10">
        <f>-OPEX!BB31</f>
        <v/>
      </c>
      <c r="BC12" s="10">
        <f>-OPEX!BC31</f>
        <v/>
      </c>
      <c r="BD12" s="10">
        <f>-OPEX!BD31</f>
        <v/>
      </c>
      <c r="BE12" s="10">
        <f>-OPEX!BE31</f>
        <v/>
      </c>
      <c r="BF12" s="10">
        <f>-OPEX!BF31</f>
        <v/>
      </c>
      <c r="BG12" s="10">
        <f>-OPEX!BG31</f>
        <v/>
      </c>
      <c r="BH12" s="10">
        <f>-OPEX!BH31</f>
        <v/>
      </c>
      <c r="BI12" s="10">
        <f>-OPEX!BI31</f>
        <v/>
      </c>
      <c r="BJ12" s="10">
        <f>-OPEX!BJ31</f>
        <v/>
      </c>
      <c r="BK12" s="10">
        <f>-OPEX!BK31</f>
        <v/>
      </c>
      <c r="BL12" s="10">
        <f>-OPEX!BL31</f>
        <v/>
      </c>
      <c r="BN12" s="50">
        <f>SUM(E12:P12)</f>
        <v/>
      </c>
      <c r="BO12" s="50">
        <f>SUM(Q12:AB12)</f>
        <v/>
      </c>
      <c r="BP12" s="50">
        <f>SUM(AC12:AN12)</f>
        <v/>
      </c>
      <c r="BQ12" s="50">
        <f>SUM(AO12:AZ12)</f>
        <v/>
      </c>
      <c r="BR12" s="50">
        <f>SUM(BA12:BL12)</f>
        <v/>
      </c>
    </row>
    <row r="13">
      <c r="B13" s="6" t="inlineStr">
        <is>
          <t>General and administrative</t>
        </is>
      </c>
      <c r="C13" s="17" t="inlineStr">
        <is>
          <t>EUR</t>
        </is>
      </c>
      <c r="E13" s="10">
        <f>-OPEX!E32</f>
        <v/>
      </c>
      <c r="F13" s="10">
        <f>-OPEX!F32</f>
        <v/>
      </c>
      <c r="G13" s="10">
        <f>-OPEX!G32</f>
        <v/>
      </c>
      <c r="H13" s="10">
        <f>-OPEX!H32</f>
        <v/>
      </c>
      <c r="I13" s="10">
        <f>-OPEX!I32</f>
        <v/>
      </c>
      <c r="J13" s="10">
        <f>-OPEX!J32</f>
        <v/>
      </c>
      <c r="K13" s="10">
        <f>-OPEX!K32</f>
        <v/>
      </c>
      <c r="L13" s="10">
        <f>-OPEX!L32</f>
        <v/>
      </c>
      <c r="M13" s="10">
        <f>-OPEX!M32</f>
        <v/>
      </c>
      <c r="N13" s="10">
        <f>-OPEX!N32</f>
        <v/>
      </c>
      <c r="O13" s="10">
        <f>-OPEX!O32</f>
        <v/>
      </c>
      <c r="P13" s="10">
        <f>-OPEX!P32</f>
        <v/>
      </c>
      <c r="Q13" s="10">
        <f>-OPEX!Q32</f>
        <v/>
      </c>
      <c r="R13" s="10">
        <f>-OPEX!R32</f>
        <v/>
      </c>
      <c r="S13" s="10">
        <f>-OPEX!S32</f>
        <v/>
      </c>
      <c r="T13" s="10">
        <f>-OPEX!T32</f>
        <v/>
      </c>
      <c r="U13" s="10">
        <f>-OPEX!U32</f>
        <v/>
      </c>
      <c r="V13" s="10">
        <f>-OPEX!V32</f>
        <v/>
      </c>
      <c r="W13" s="10">
        <f>-OPEX!W32</f>
        <v/>
      </c>
      <c r="X13" s="10">
        <f>-OPEX!X32</f>
        <v/>
      </c>
      <c r="Y13" s="10">
        <f>-OPEX!Y32</f>
        <v/>
      </c>
      <c r="Z13" s="10">
        <f>-OPEX!Z32</f>
        <v/>
      </c>
      <c r="AA13" s="10">
        <f>-OPEX!AA32</f>
        <v/>
      </c>
      <c r="AB13" s="10">
        <f>-OPEX!AB32</f>
        <v/>
      </c>
      <c r="AC13" s="10">
        <f>-OPEX!AC32</f>
        <v/>
      </c>
      <c r="AD13" s="10">
        <f>-OPEX!AD32</f>
        <v/>
      </c>
      <c r="AE13" s="10">
        <f>-OPEX!AE32</f>
        <v/>
      </c>
      <c r="AF13" s="10">
        <f>-OPEX!AF32</f>
        <v/>
      </c>
      <c r="AG13" s="10">
        <f>-OPEX!AG32</f>
        <v/>
      </c>
      <c r="AH13" s="10">
        <f>-OPEX!AH32</f>
        <v/>
      </c>
      <c r="AI13" s="10">
        <f>-OPEX!AI32</f>
        <v/>
      </c>
      <c r="AJ13" s="10">
        <f>-OPEX!AJ32</f>
        <v/>
      </c>
      <c r="AK13" s="10">
        <f>-OPEX!AK32</f>
        <v/>
      </c>
      <c r="AL13" s="10">
        <f>-OPEX!AL32</f>
        <v/>
      </c>
      <c r="AM13" s="10">
        <f>-OPEX!AM32</f>
        <v/>
      </c>
      <c r="AN13" s="10">
        <f>-OPEX!AN32</f>
        <v/>
      </c>
      <c r="AO13" s="10">
        <f>-OPEX!AO32</f>
        <v/>
      </c>
      <c r="AP13" s="10">
        <f>-OPEX!AP32</f>
        <v/>
      </c>
      <c r="AQ13" s="10">
        <f>-OPEX!AQ32</f>
        <v/>
      </c>
      <c r="AR13" s="10">
        <f>-OPEX!AR32</f>
        <v/>
      </c>
      <c r="AS13" s="10">
        <f>-OPEX!AS32</f>
        <v/>
      </c>
      <c r="AT13" s="10">
        <f>-OPEX!AT32</f>
        <v/>
      </c>
      <c r="AU13" s="10">
        <f>-OPEX!AU32</f>
        <v/>
      </c>
      <c r="AV13" s="10">
        <f>-OPEX!AV32</f>
        <v/>
      </c>
      <c r="AW13" s="10">
        <f>-OPEX!AW32</f>
        <v/>
      </c>
      <c r="AX13" s="10">
        <f>-OPEX!AX32</f>
        <v/>
      </c>
      <c r="AY13" s="10">
        <f>-OPEX!AY32</f>
        <v/>
      </c>
      <c r="AZ13" s="10">
        <f>-OPEX!AZ32</f>
        <v/>
      </c>
      <c r="BA13" s="10">
        <f>-OPEX!BA32</f>
        <v/>
      </c>
      <c r="BB13" s="10">
        <f>-OPEX!BB32</f>
        <v/>
      </c>
      <c r="BC13" s="10">
        <f>-OPEX!BC32</f>
        <v/>
      </c>
      <c r="BD13" s="10">
        <f>-OPEX!BD32</f>
        <v/>
      </c>
      <c r="BE13" s="10">
        <f>-OPEX!BE32</f>
        <v/>
      </c>
      <c r="BF13" s="10">
        <f>-OPEX!BF32</f>
        <v/>
      </c>
      <c r="BG13" s="10">
        <f>-OPEX!BG32</f>
        <v/>
      </c>
      <c r="BH13" s="10">
        <f>-OPEX!BH32</f>
        <v/>
      </c>
      <c r="BI13" s="10">
        <f>-OPEX!BI32</f>
        <v/>
      </c>
      <c r="BJ13" s="10">
        <f>-OPEX!BJ32</f>
        <v/>
      </c>
      <c r="BK13" s="10">
        <f>-OPEX!BK32</f>
        <v/>
      </c>
      <c r="BL13" s="10">
        <f>-OPEX!BL32</f>
        <v/>
      </c>
      <c r="BN13" s="50">
        <f>SUM(E13:P13)</f>
        <v/>
      </c>
      <c r="BO13" s="50">
        <f>SUM(Q13:AB13)</f>
        <v/>
      </c>
      <c r="BP13" s="50">
        <f>SUM(AC13:AN13)</f>
        <v/>
      </c>
      <c r="BQ13" s="50">
        <f>SUM(AO13:AZ13)</f>
        <v/>
      </c>
      <c r="BR13" s="50">
        <f>SUM(BA13:BL13)</f>
        <v/>
      </c>
    </row>
    <row r="14">
      <c r="B14" s="56" t="inlineStr">
        <is>
          <t>Total operating expenses</t>
        </is>
      </c>
      <c r="C14" s="57" t="inlineStr">
        <is>
          <t>EUR</t>
        </is>
      </c>
      <c r="E14" s="37">
        <f>SUM(E11:E13)</f>
        <v/>
      </c>
      <c r="F14" s="37">
        <f>SUM(F11:F13)</f>
        <v/>
      </c>
      <c r="G14" s="37">
        <f>SUM(G11:G13)</f>
        <v/>
      </c>
      <c r="H14" s="37">
        <f>SUM(H11:H13)</f>
        <v/>
      </c>
      <c r="I14" s="37">
        <f>SUM(I11:I13)</f>
        <v/>
      </c>
      <c r="J14" s="37">
        <f>SUM(J11:J13)</f>
        <v/>
      </c>
      <c r="K14" s="37">
        <f>SUM(K11:K13)</f>
        <v/>
      </c>
      <c r="L14" s="37">
        <f>SUM(L11:L13)</f>
        <v/>
      </c>
      <c r="M14" s="37">
        <f>SUM(M11:M13)</f>
        <v/>
      </c>
      <c r="N14" s="37">
        <f>SUM(N11:N13)</f>
        <v/>
      </c>
      <c r="O14" s="37">
        <f>SUM(O11:O13)</f>
        <v/>
      </c>
      <c r="P14" s="37">
        <f>SUM(P11:P13)</f>
        <v/>
      </c>
      <c r="Q14" s="37">
        <f>SUM(Q11:Q13)</f>
        <v/>
      </c>
      <c r="R14" s="37">
        <f>SUM(R11:R13)</f>
        <v/>
      </c>
      <c r="S14" s="37">
        <f>SUM(S11:S13)</f>
        <v/>
      </c>
      <c r="T14" s="37">
        <f>SUM(T11:T13)</f>
        <v/>
      </c>
      <c r="U14" s="37">
        <f>SUM(U11:U13)</f>
        <v/>
      </c>
      <c r="V14" s="37">
        <f>SUM(V11:V13)</f>
        <v/>
      </c>
      <c r="W14" s="37">
        <f>SUM(W11:W13)</f>
        <v/>
      </c>
      <c r="X14" s="37">
        <f>SUM(X11:X13)</f>
        <v/>
      </c>
      <c r="Y14" s="37">
        <f>SUM(Y11:Y13)</f>
        <v/>
      </c>
      <c r="Z14" s="37">
        <f>SUM(Z11:Z13)</f>
        <v/>
      </c>
      <c r="AA14" s="37">
        <f>SUM(AA11:AA13)</f>
        <v/>
      </c>
      <c r="AB14" s="37">
        <f>SUM(AB11:AB13)</f>
        <v/>
      </c>
      <c r="AC14" s="37">
        <f>SUM(AC11:AC13)</f>
        <v/>
      </c>
      <c r="AD14" s="37">
        <f>SUM(AD11:AD13)</f>
        <v/>
      </c>
      <c r="AE14" s="37">
        <f>SUM(AE11:AE13)</f>
        <v/>
      </c>
      <c r="AF14" s="37">
        <f>SUM(AF11:AF13)</f>
        <v/>
      </c>
      <c r="AG14" s="37">
        <f>SUM(AG11:AG13)</f>
        <v/>
      </c>
      <c r="AH14" s="37">
        <f>SUM(AH11:AH13)</f>
        <v/>
      </c>
      <c r="AI14" s="37">
        <f>SUM(AI11:AI13)</f>
        <v/>
      </c>
      <c r="AJ14" s="37">
        <f>SUM(AJ11:AJ13)</f>
        <v/>
      </c>
      <c r="AK14" s="37">
        <f>SUM(AK11:AK13)</f>
        <v/>
      </c>
      <c r="AL14" s="37">
        <f>SUM(AL11:AL13)</f>
        <v/>
      </c>
      <c r="AM14" s="37">
        <f>SUM(AM11:AM13)</f>
        <v/>
      </c>
      <c r="AN14" s="37">
        <f>SUM(AN11:AN13)</f>
        <v/>
      </c>
      <c r="AO14" s="37">
        <f>SUM(AO11:AO13)</f>
        <v/>
      </c>
      <c r="AP14" s="37">
        <f>SUM(AP11:AP13)</f>
        <v/>
      </c>
      <c r="AQ14" s="37">
        <f>SUM(AQ11:AQ13)</f>
        <v/>
      </c>
      <c r="AR14" s="37">
        <f>SUM(AR11:AR13)</f>
        <v/>
      </c>
      <c r="AS14" s="37">
        <f>SUM(AS11:AS13)</f>
        <v/>
      </c>
      <c r="AT14" s="37">
        <f>SUM(AT11:AT13)</f>
        <v/>
      </c>
      <c r="AU14" s="37">
        <f>SUM(AU11:AU13)</f>
        <v/>
      </c>
      <c r="AV14" s="37">
        <f>SUM(AV11:AV13)</f>
        <v/>
      </c>
      <c r="AW14" s="37">
        <f>SUM(AW11:AW13)</f>
        <v/>
      </c>
      <c r="AX14" s="37">
        <f>SUM(AX11:AX13)</f>
        <v/>
      </c>
      <c r="AY14" s="37">
        <f>SUM(AY11:AY13)</f>
        <v/>
      </c>
      <c r="AZ14" s="37">
        <f>SUM(AZ11:AZ13)</f>
        <v/>
      </c>
      <c r="BA14" s="37">
        <f>SUM(BA11:BA13)</f>
        <v/>
      </c>
      <c r="BB14" s="37">
        <f>SUM(BB11:BB13)</f>
        <v/>
      </c>
      <c r="BC14" s="37">
        <f>SUM(BC11:BC13)</f>
        <v/>
      </c>
      <c r="BD14" s="37">
        <f>SUM(BD11:BD13)</f>
        <v/>
      </c>
      <c r="BE14" s="37">
        <f>SUM(BE11:BE13)</f>
        <v/>
      </c>
      <c r="BF14" s="37">
        <f>SUM(BF11:BF13)</f>
        <v/>
      </c>
      <c r="BG14" s="37">
        <f>SUM(BG11:BG13)</f>
        <v/>
      </c>
      <c r="BH14" s="37">
        <f>SUM(BH11:BH13)</f>
        <v/>
      </c>
      <c r="BI14" s="37">
        <f>SUM(BI11:BI13)</f>
        <v/>
      </c>
      <c r="BJ14" s="37">
        <f>SUM(BJ11:BJ13)</f>
        <v/>
      </c>
      <c r="BK14" s="37">
        <f>SUM(BK11:BK13)</f>
        <v/>
      </c>
      <c r="BL14" s="37">
        <f>SUM(BL11:BL13)</f>
        <v/>
      </c>
      <c r="BN14" s="37">
        <f>SUM(E14:P14)</f>
        <v/>
      </c>
      <c r="BO14" s="37">
        <f>SUM(Q14:AB14)</f>
        <v/>
      </c>
      <c r="BP14" s="37">
        <f>SUM(AC14:AN14)</f>
        <v/>
      </c>
      <c r="BQ14" s="37">
        <f>SUM(AO14:AZ14)</f>
        <v/>
      </c>
      <c r="BR14" s="37">
        <f>SUM(BA14:BL14)</f>
        <v/>
      </c>
    </row>
    <row r="16">
      <c r="B16" s="15" t="inlineStr">
        <is>
          <t>EBITDA</t>
        </is>
      </c>
      <c r="C16" s="51" t="inlineStr">
        <is>
          <t>EUR</t>
        </is>
      </c>
      <c r="D16" s="2" t="n"/>
      <c r="E16" s="52">
        <f>E8+E14</f>
        <v/>
      </c>
      <c r="F16" s="52">
        <f>F8+F14</f>
        <v/>
      </c>
      <c r="G16" s="52">
        <f>G8+G14</f>
        <v/>
      </c>
      <c r="H16" s="52">
        <f>H8+H14</f>
        <v/>
      </c>
      <c r="I16" s="52">
        <f>I8+I14</f>
        <v/>
      </c>
      <c r="J16" s="52">
        <f>J8+J14</f>
        <v/>
      </c>
      <c r="K16" s="52">
        <f>K8+K14</f>
        <v/>
      </c>
      <c r="L16" s="52">
        <f>L8+L14</f>
        <v/>
      </c>
      <c r="M16" s="52">
        <f>M8+M14</f>
        <v/>
      </c>
      <c r="N16" s="52">
        <f>N8+N14</f>
        <v/>
      </c>
      <c r="O16" s="52">
        <f>O8+O14</f>
        <v/>
      </c>
      <c r="P16" s="52">
        <f>P8+P14</f>
        <v/>
      </c>
      <c r="Q16" s="52">
        <f>Q8+Q14</f>
        <v/>
      </c>
      <c r="R16" s="52">
        <f>R8+R14</f>
        <v/>
      </c>
      <c r="S16" s="52">
        <f>S8+S14</f>
        <v/>
      </c>
      <c r="T16" s="52">
        <f>T8+T14</f>
        <v/>
      </c>
      <c r="U16" s="52">
        <f>U8+U14</f>
        <v/>
      </c>
      <c r="V16" s="52">
        <f>V8+V14</f>
        <v/>
      </c>
      <c r="W16" s="52">
        <f>W8+W14</f>
        <v/>
      </c>
      <c r="X16" s="52">
        <f>X8+X14</f>
        <v/>
      </c>
      <c r="Y16" s="52">
        <f>Y8+Y14</f>
        <v/>
      </c>
      <c r="Z16" s="52">
        <f>Z8+Z14</f>
        <v/>
      </c>
      <c r="AA16" s="52">
        <f>AA8+AA14</f>
        <v/>
      </c>
      <c r="AB16" s="52">
        <f>AB8+AB14</f>
        <v/>
      </c>
      <c r="AC16" s="52">
        <f>AC8+AC14</f>
        <v/>
      </c>
      <c r="AD16" s="52">
        <f>AD8+AD14</f>
        <v/>
      </c>
      <c r="AE16" s="52">
        <f>AE8+AE14</f>
        <v/>
      </c>
      <c r="AF16" s="52">
        <f>AF8+AF14</f>
        <v/>
      </c>
      <c r="AG16" s="52">
        <f>AG8+AG14</f>
        <v/>
      </c>
      <c r="AH16" s="52">
        <f>AH8+AH14</f>
        <v/>
      </c>
      <c r="AI16" s="52">
        <f>AI8+AI14</f>
        <v/>
      </c>
      <c r="AJ16" s="52">
        <f>AJ8+AJ14</f>
        <v/>
      </c>
      <c r="AK16" s="52">
        <f>AK8+AK14</f>
        <v/>
      </c>
      <c r="AL16" s="52">
        <f>AL8+AL14</f>
        <v/>
      </c>
      <c r="AM16" s="52">
        <f>AM8+AM14</f>
        <v/>
      </c>
      <c r="AN16" s="52">
        <f>AN8+AN14</f>
        <v/>
      </c>
      <c r="AO16" s="52">
        <f>AO8+AO14</f>
        <v/>
      </c>
      <c r="AP16" s="52">
        <f>AP8+AP14</f>
        <v/>
      </c>
      <c r="AQ16" s="52">
        <f>AQ8+AQ14</f>
        <v/>
      </c>
      <c r="AR16" s="52">
        <f>AR8+AR14</f>
        <v/>
      </c>
      <c r="AS16" s="52">
        <f>AS8+AS14</f>
        <v/>
      </c>
      <c r="AT16" s="52">
        <f>AT8+AT14</f>
        <v/>
      </c>
      <c r="AU16" s="52">
        <f>AU8+AU14</f>
        <v/>
      </c>
      <c r="AV16" s="52">
        <f>AV8+AV14</f>
        <v/>
      </c>
      <c r="AW16" s="52">
        <f>AW8+AW14</f>
        <v/>
      </c>
      <c r="AX16" s="52">
        <f>AX8+AX14</f>
        <v/>
      </c>
      <c r="AY16" s="52">
        <f>AY8+AY14</f>
        <v/>
      </c>
      <c r="AZ16" s="52">
        <f>AZ8+AZ14</f>
        <v/>
      </c>
      <c r="BA16" s="52">
        <f>BA8+BA14</f>
        <v/>
      </c>
      <c r="BB16" s="52">
        <f>BB8+BB14</f>
        <v/>
      </c>
      <c r="BC16" s="52">
        <f>BC8+BC14</f>
        <v/>
      </c>
      <c r="BD16" s="52">
        <f>BD8+BD14</f>
        <v/>
      </c>
      <c r="BE16" s="52">
        <f>BE8+BE14</f>
        <v/>
      </c>
      <c r="BF16" s="52">
        <f>BF8+BF14</f>
        <v/>
      </c>
      <c r="BG16" s="52">
        <f>BG8+BG14</f>
        <v/>
      </c>
      <c r="BH16" s="52">
        <f>BH8+BH14</f>
        <v/>
      </c>
      <c r="BI16" s="52">
        <f>BI8+BI14</f>
        <v/>
      </c>
      <c r="BJ16" s="52">
        <f>BJ8+BJ14</f>
        <v/>
      </c>
      <c r="BK16" s="52">
        <f>BK8+BK14</f>
        <v/>
      </c>
      <c r="BL16" s="52">
        <f>BL8+BL14</f>
        <v/>
      </c>
      <c r="BM16" s="2" t="n"/>
      <c r="BN16" s="52">
        <f>SUM(E16:P16)</f>
        <v/>
      </c>
      <c r="BO16" s="52">
        <f>SUM(Q16:AB16)</f>
        <v/>
      </c>
      <c r="BP16" s="52">
        <f>SUM(AC16:AN16)</f>
        <v/>
      </c>
      <c r="BQ16" s="52">
        <f>SUM(AO16:AZ16)</f>
        <v/>
      </c>
      <c r="BR16" s="52">
        <f>SUM(BA16:BL16)</f>
        <v/>
      </c>
      <c r="BS16" s="2" t="n"/>
    </row>
    <row r="17">
      <c r="B17" s="53" t="inlineStr">
        <is>
          <t>EBITDA margin</t>
        </is>
      </c>
      <c r="C17" s="17" t="inlineStr">
        <is>
          <t>%</t>
        </is>
      </c>
      <c r="E17" s="54">
        <f>IFERROR(E16/E6,0)</f>
        <v/>
      </c>
      <c r="F17" s="54">
        <f>IFERROR(F16/F6,0)</f>
        <v/>
      </c>
      <c r="G17" s="54">
        <f>IFERROR(G16/G6,0)</f>
        <v/>
      </c>
      <c r="H17" s="54">
        <f>IFERROR(H16/H6,0)</f>
        <v/>
      </c>
      <c r="I17" s="54">
        <f>IFERROR(I16/I6,0)</f>
        <v/>
      </c>
      <c r="J17" s="54">
        <f>IFERROR(J16/J6,0)</f>
        <v/>
      </c>
      <c r="K17" s="54">
        <f>IFERROR(K16/K6,0)</f>
        <v/>
      </c>
      <c r="L17" s="54">
        <f>IFERROR(L16/L6,0)</f>
        <v/>
      </c>
      <c r="M17" s="54">
        <f>IFERROR(M16/M6,0)</f>
        <v/>
      </c>
      <c r="N17" s="54">
        <f>IFERROR(N16/N6,0)</f>
        <v/>
      </c>
      <c r="O17" s="54">
        <f>IFERROR(O16/O6,0)</f>
        <v/>
      </c>
      <c r="P17" s="54">
        <f>IFERROR(P16/P6,0)</f>
        <v/>
      </c>
      <c r="Q17" s="54">
        <f>IFERROR(Q16/Q6,0)</f>
        <v/>
      </c>
      <c r="R17" s="54">
        <f>IFERROR(R16/R6,0)</f>
        <v/>
      </c>
      <c r="S17" s="54">
        <f>IFERROR(S16/S6,0)</f>
        <v/>
      </c>
      <c r="T17" s="54">
        <f>IFERROR(T16/T6,0)</f>
        <v/>
      </c>
      <c r="U17" s="54">
        <f>IFERROR(U16/U6,0)</f>
        <v/>
      </c>
      <c r="V17" s="54">
        <f>IFERROR(V16/V6,0)</f>
        <v/>
      </c>
      <c r="W17" s="54">
        <f>IFERROR(W16/W6,0)</f>
        <v/>
      </c>
      <c r="X17" s="54">
        <f>IFERROR(X16/X6,0)</f>
        <v/>
      </c>
      <c r="Y17" s="54">
        <f>IFERROR(Y16/Y6,0)</f>
        <v/>
      </c>
      <c r="Z17" s="54">
        <f>IFERROR(Z16/Z6,0)</f>
        <v/>
      </c>
      <c r="AA17" s="54">
        <f>IFERROR(AA16/AA6,0)</f>
        <v/>
      </c>
      <c r="AB17" s="54">
        <f>IFERROR(AB16/AB6,0)</f>
        <v/>
      </c>
      <c r="AC17" s="54">
        <f>IFERROR(AC16/AC6,0)</f>
        <v/>
      </c>
      <c r="AD17" s="54">
        <f>IFERROR(AD16/AD6,0)</f>
        <v/>
      </c>
      <c r="AE17" s="54">
        <f>IFERROR(AE16/AE6,0)</f>
        <v/>
      </c>
      <c r="AF17" s="54">
        <f>IFERROR(AF16/AF6,0)</f>
        <v/>
      </c>
      <c r="AG17" s="54">
        <f>IFERROR(AG16/AG6,0)</f>
        <v/>
      </c>
      <c r="AH17" s="54">
        <f>IFERROR(AH16/AH6,0)</f>
        <v/>
      </c>
      <c r="AI17" s="54">
        <f>IFERROR(AI16/AI6,0)</f>
        <v/>
      </c>
      <c r="AJ17" s="54">
        <f>IFERROR(AJ16/AJ6,0)</f>
        <v/>
      </c>
      <c r="AK17" s="54">
        <f>IFERROR(AK16/AK6,0)</f>
        <v/>
      </c>
      <c r="AL17" s="54">
        <f>IFERROR(AL16/AL6,0)</f>
        <v/>
      </c>
      <c r="AM17" s="54">
        <f>IFERROR(AM16/AM6,0)</f>
        <v/>
      </c>
      <c r="AN17" s="54">
        <f>IFERROR(AN16/AN6,0)</f>
        <v/>
      </c>
      <c r="AO17" s="54">
        <f>IFERROR(AO16/AO6,0)</f>
        <v/>
      </c>
      <c r="AP17" s="54">
        <f>IFERROR(AP16/AP6,0)</f>
        <v/>
      </c>
      <c r="AQ17" s="54">
        <f>IFERROR(AQ16/AQ6,0)</f>
        <v/>
      </c>
      <c r="AR17" s="54">
        <f>IFERROR(AR16/AR6,0)</f>
        <v/>
      </c>
      <c r="AS17" s="54">
        <f>IFERROR(AS16/AS6,0)</f>
        <v/>
      </c>
      <c r="AT17" s="54">
        <f>IFERROR(AT16/AT6,0)</f>
        <v/>
      </c>
      <c r="AU17" s="54">
        <f>IFERROR(AU16/AU6,0)</f>
        <v/>
      </c>
      <c r="AV17" s="54">
        <f>IFERROR(AV16/AV6,0)</f>
        <v/>
      </c>
      <c r="AW17" s="54">
        <f>IFERROR(AW16/AW6,0)</f>
        <v/>
      </c>
      <c r="AX17" s="54">
        <f>IFERROR(AX16/AX6,0)</f>
        <v/>
      </c>
      <c r="AY17" s="54">
        <f>IFERROR(AY16/AY6,0)</f>
        <v/>
      </c>
      <c r="AZ17" s="54">
        <f>IFERROR(AZ16/AZ6,0)</f>
        <v/>
      </c>
      <c r="BA17" s="54">
        <f>IFERROR(BA16/BA6,0)</f>
        <v/>
      </c>
      <c r="BB17" s="54">
        <f>IFERROR(BB16/BB6,0)</f>
        <v/>
      </c>
      <c r="BC17" s="54">
        <f>IFERROR(BC16/BC6,0)</f>
        <v/>
      </c>
      <c r="BD17" s="54">
        <f>IFERROR(BD16/BD6,0)</f>
        <v/>
      </c>
      <c r="BE17" s="54">
        <f>IFERROR(BE16/BE6,0)</f>
        <v/>
      </c>
      <c r="BF17" s="54">
        <f>IFERROR(BF16/BF6,0)</f>
        <v/>
      </c>
      <c r="BG17" s="54">
        <f>IFERROR(BG16/BG6,0)</f>
        <v/>
      </c>
      <c r="BH17" s="54">
        <f>IFERROR(BH16/BH6,0)</f>
        <v/>
      </c>
      <c r="BI17" s="54">
        <f>IFERROR(BI16/BI6,0)</f>
        <v/>
      </c>
      <c r="BJ17" s="54">
        <f>IFERROR(BJ16/BJ6,0)</f>
        <v/>
      </c>
      <c r="BK17" s="54">
        <f>IFERROR(BK16/BK6,0)</f>
        <v/>
      </c>
      <c r="BL17" s="54">
        <f>IFERROR(BL16/BL6,0)</f>
        <v/>
      </c>
      <c r="BN17" s="55">
        <f>IFERROR(BN16/BN6,0)</f>
        <v/>
      </c>
      <c r="BO17" s="55">
        <f>IFERROR(BO16/BO6,0)</f>
        <v/>
      </c>
      <c r="BP17" s="55">
        <f>IFERROR(BP16/BP6,0)</f>
        <v/>
      </c>
      <c r="BQ17" s="55">
        <f>IFERROR(BQ16/BQ6,0)</f>
        <v/>
      </c>
      <c r="BR17" s="55">
        <f>IFERROR(BR16/BR6,0)</f>
        <v/>
      </c>
    </row>
    <row r="19">
      <c r="B19" s="6" t="inlineStr">
        <is>
          <t>Depreciation</t>
        </is>
      </c>
      <c r="C19" s="17" t="inlineStr">
        <is>
          <t>EUR</t>
        </is>
      </c>
      <c r="E19" s="10">
        <f>0</f>
        <v/>
      </c>
      <c r="F19" s="10">
        <f>0</f>
        <v/>
      </c>
      <c r="G19" s="10">
        <f>0</f>
        <v/>
      </c>
      <c r="H19" s="10">
        <f>0</f>
        <v/>
      </c>
      <c r="I19" s="10">
        <f>0</f>
        <v/>
      </c>
      <c r="J19" s="10">
        <f>0</f>
        <v/>
      </c>
      <c r="K19" s="10">
        <f>0</f>
        <v/>
      </c>
      <c r="L19" s="10">
        <f>0</f>
        <v/>
      </c>
      <c r="M19" s="10">
        <f>0</f>
        <v/>
      </c>
      <c r="N19" s="10">
        <f>0</f>
        <v/>
      </c>
      <c r="O19" s="10">
        <f>0</f>
        <v/>
      </c>
      <c r="P19" s="10">
        <f>0</f>
        <v/>
      </c>
      <c r="Q19" s="10">
        <f>0</f>
        <v/>
      </c>
      <c r="R19" s="10">
        <f>0</f>
        <v/>
      </c>
      <c r="S19" s="10">
        <f>0</f>
        <v/>
      </c>
      <c r="T19" s="10">
        <f>0</f>
        <v/>
      </c>
      <c r="U19" s="10">
        <f>0</f>
        <v/>
      </c>
      <c r="V19" s="10">
        <f>0</f>
        <v/>
      </c>
      <c r="W19" s="10">
        <f>0</f>
        <v/>
      </c>
      <c r="X19" s="10">
        <f>0</f>
        <v/>
      </c>
      <c r="Y19" s="10">
        <f>0</f>
        <v/>
      </c>
      <c r="Z19" s="10">
        <f>0</f>
        <v/>
      </c>
      <c r="AA19" s="10">
        <f>0</f>
        <v/>
      </c>
      <c r="AB19" s="10">
        <f>0</f>
        <v/>
      </c>
      <c r="AC19" s="10">
        <f>0</f>
        <v/>
      </c>
      <c r="AD19" s="10">
        <f>0</f>
        <v/>
      </c>
      <c r="AE19" s="10">
        <f>0</f>
        <v/>
      </c>
      <c r="AF19" s="10">
        <f>0</f>
        <v/>
      </c>
      <c r="AG19" s="10">
        <f>0</f>
        <v/>
      </c>
      <c r="AH19" s="10">
        <f>0</f>
        <v/>
      </c>
      <c r="AI19" s="10">
        <f>0</f>
        <v/>
      </c>
      <c r="AJ19" s="10">
        <f>0</f>
        <v/>
      </c>
      <c r="AK19" s="10">
        <f>0</f>
        <v/>
      </c>
      <c r="AL19" s="10">
        <f>0</f>
        <v/>
      </c>
      <c r="AM19" s="10">
        <f>0</f>
        <v/>
      </c>
      <c r="AN19" s="10">
        <f>0</f>
        <v/>
      </c>
      <c r="AO19" s="10">
        <f>0</f>
        <v/>
      </c>
      <c r="AP19" s="10">
        <f>0</f>
        <v/>
      </c>
      <c r="AQ19" s="10">
        <f>0</f>
        <v/>
      </c>
      <c r="AR19" s="10">
        <f>0</f>
        <v/>
      </c>
      <c r="AS19" s="10">
        <f>0</f>
        <v/>
      </c>
      <c r="AT19" s="10">
        <f>0</f>
        <v/>
      </c>
      <c r="AU19" s="10">
        <f>0</f>
        <v/>
      </c>
      <c r="AV19" s="10">
        <f>0</f>
        <v/>
      </c>
      <c r="AW19" s="10">
        <f>0</f>
        <v/>
      </c>
      <c r="AX19" s="10">
        <f>0</f>
        <v/>
      </c>
      <c r="AY19" s="10">
        <f>0</f>
        <v/>
      </c>
      <c r="AZ19" s="10">
        <f>0</f>
        <v/>
      </c>
      <c r="BA19" s="10">
        <f>0</f>
        <v/>
      </c>
      <c r="BB19" s="10">
        <f>0</f>
        <v/>
      </c>
      <c r="BC19" s="10">
        <f>0</f>
        <v/>
      </c>
      <c r="BD19" s="10">
        <f>0</f>
        <v/>
      </c>
      <c r="BE19" s="10">
        <f>0</f>
        <v/>
      </c>
      <c r="BF19" s="10">
        <f>0</f>
        <v/>
      </c>
      <c r="BG19" s="10">
        <f>0</f>
        <v/>
      </c>
      <c r="BH19" s="10">
        <f>0</f>
        <v/>
      </c>
      <c r="BI19" s="10">
        <f>0</f>
        <v/>
      </c>
      <c r="BJ19" s="10">
        <f>0</f>
        <v/>
      </c>
      <c r="BK19" s="10">
        <f>0</f>
        <v/>
      </c>
      <c r="BL19" s="10">
        <f>0</f>
        <v/>
      </c>
      <c r="BN19" s="50">
        <f>SUM(E19:P19)</f>
        <v/>
      </c>
      <c r="BO19" s="50">
        <f>SUM(Q19:AB19)</f>
        <v/>
      </c>
      <c r="BP19" s="50">
        <f>SUM(AC19:AN19)</f>
        <v/>
      </c>
      <c r="BQ19" s="50">
        <f>SUM(AO19:AZ19)</f>
        <v/>
      </c>
      <c r="BR19" s="50">
        <f>SUM(BA19:BL19)</f>
        <v/>
      </c>
      <c r="BT19" s="32" t="inlineStr">
        <is>
          <t>no fixed assets in this case</t>
        </is>
      </c>
    </row>
    <row r="20">
      <c r="B20" s="6" t="inlineStr">
        <is>
          <t>Interest on the loan</t>
        </is>
      </c>
      <c r="C20" s="17" t="inlineStr">
        <is>
          <t>EUR</t>
        </is>
      </c>
      <c r="E20" s="10">
        <f>0</f>
        <v/>
      </c>
      <c r="F20" s="10">
        <f>-E51*Assumptions!$D$10/12</f>
        <v/>
      </c>
      <c r="G20" s="10">
        <f>-F51*Assumptions!$D$10/12</f>
        <v/>
      </c>
      <c r="H20" s="10">
        <f>-G51*Assumptions!$D$10/12</f>
        <v/>
      </c>
      <c r="I20" s="10">
        <f>-H51*Assumptions!$D$10/12</f>
        <v/>
      </c>
      <c r="J20" s="10">
        <f>-I51*Assumptions!$D$10/12</f>
        <v/>
      </c>
      <c r="K20" s="10">
        <f>-J51*Assumptions!$D$10/12</f>
        <v/>
      </c>
      <c r="L20" s="10">
        <f>-K51*Assumptions!$D$10/12</f>
        <v/>
      </c>
      <c r="M20" s="10">
        <f>-L51*Assumptions!$D$10/12</f>
        <v/>
      </c>
      <c r="N20" s="10">
        <f>-M51*Assumptions!$D$10/12</f>
        <v/>
      </c>
      <c r="O20" s="10">
        <f>-N51*Assumptions!$D$10/12</f>
        <v/>
      </c>
      <c r="P20" s="10">
        <f>-O51*Assumptions!$D$10/12</f>
        <v/>
      </c>
      <c r="Q20" s="10">
        <f>-P51*Assumptions!$D$10/12</f>
        <v/>
      </c>
      <c r="R20" s="10">
        <f>-Q51*Assumptions!$D$10/12</f>
        <v/>
      </c>
      <c r="S20" s="10">
        <f>-R51*Assumptions!$D$10/12</f>
        <v/>
      </c>
      <c r="T20" s="10">
        <f>-S51*Assumptions!$D$10/12</f>
        <v/>
      </c>
      <c r="U20" s="10">
        <f>-T51*Assumptions!$D$10/12</f>
        <v/>
      </c>
      <c r="V20" s="10">
        <f>-U51*Assumptions!$D$10/12</f>
        <v/>
      </c>
      <c r="W20" s="10">
        <f>-V51*Assumptions!$D$10/12</f>
        <v/>
      </c>
      <c r="X20" s="10">
        <f>-W51*Assumptions!$D$10/12</f>
        <v/>
      </c>
      <c r="Y20" s="10">
        <f>-X51*Assumptions!$D$10/12</f>
        <v/>
      </c>
      <c r="Z20" s="10">
        <f>-Y51*Assumptions!$D$10/12</f>
        <v/>
      </c>
      <c r="AA20" s="10">
        <f>-Z51*Assumptions!$D$10/12</f>
        <v/>
      </c>
      <c r="AB20" s="10">
        <f>-AA51*Assumptions!$D$10/12</f>
        <v/>
      </c>
      <c r="AC20" s="10">
        <f>-AB51*Assumptions!$D$10/12</f>
        <v/>
      </c>
      <c r="AD20" s="10">
        <f>-AC51*Assumptions!$D$10/12</f>
        <v/>
      </c>
      <c r="AE20" s="10">
        <f>-AD51*Assumptions!$D$10/12</f>
        <v/>
      </c>
      <c r="AF20" s="10">
        <f>-AE51*Assumptions!$D$10/12</f>
        <v/>
      </c>
      <c r="AG20" s="10">
        <f>-AF51*Assumptions!$D$10/12</f>
        <v/>
      </c>
      <c r="AH20" s="10">
        <f>-AG51*Assumptions!$D$10/12</f>
        <v/>
      </c>
      <c r="AI20" s="10">
        <f>-AH51*Assumptions!$D$10/12</f>
        <v/>
      </c>
      <c r="AJ20" s="10">
        <f>-AI51*Assumptions!$D$10/12</f>
        <v/>
      </c>
      <c r="AK20" s="10">
        <f>-AJ51*Assumptions!$D$10/12</f>
        <v/>
      </c>
      <c r="AL20" s="10">
        <f>-AK51*Assumptions!$D$10/12</f>
        <v/>
      </c>
      <c r="AM20" s="10">
        <f>-AL51*Assumptions!$D$10/12</f>
        <v/>
      </c>
      <c r="AN20" s="10">
        <f>-AM51*Assumptions!$D$10/12</f>
        <v/>
      </c>
      <c r="AO20" s="10">
        <f>-AN51*Assumptions!$D$10/12</f>
        <v/>
      </c>
      <c r="AP20" s="10">
        <f>-AO51*Assumptions!$D$10/12</f>
        <v/>
      </c>
      <c r="AQ20" s="10">
        <f>-AP51*Assumptions!$D$10/12</f>
        <v/>
      </c>
      <c r="AR20" s="10">
        <f>-AQ51*Assumptions!$D$10/12</f>
        <v/>
      </c>
      <c r="AS20" s="10">
        <f>-AR51*Assumptions!$D$10/12</f>
        <v/>
      </c>
      <c r="AT20" s="10">
        <f>-AS51*Assumptions!$D$10/12</f>
        <v/>
      </c>
      <c r="AU20" s="10">
        <f>-AT51*Assumptions!$D$10/12</f>
        <v/>
      </c>
      <c r="AV20" s="10">
        <f>-AU51*Assumptions!$D$10/12</f>
        <v/>
      </c>
      <c r="AW20" s="10">
        <f>-AV51*Assumptions!$D$10/12</f>
        <v/>
      </c>
      <c r="AX20" s="10">
        <f>-AW51*Assumptions!$D$10/12</f>
        <v/>
      </c>
      <c r="AY20" s="10">
        <f>-AX51*Assumptions!$D$10/12</f>
        <v/>
      </c>
      <c r="AZ20" s="10">
        <f>-AY51*Assumptions!$D$10/12</f>
        <v/>
      </c>
      <c r="BA20" s="10">
        <f>-AZ51*Assumptions!$D$10/12</f>
        <v/>
      </c>
      <c r="BB20" s="10">
        <f>-BA51*Assumptions!$D$10/12</f>
        <v/>
      </c>
      <c r="BC20" s="10">
        <f>-BB51*Assumptions!$D$10/12</f>
        <v/>
      </c>
      <c r="BD20" s="10">
        <f>-BC51*Assumptions!$D$10/12</f>
        <v/>
      </c>
      <c r="BE20" s="10">
        <f>-BD51*Assumptions!$D$10/12</f>
        <v/>
      </c>
      <c r="BF20" s="10">
        <f>-BE51*Assumptions!$D$10/12</f>
        <v/>
      </c>
      <c r="BG20" s="10">
        <f>-BF51*Assumptions!$D$10/12</f>
        <v/>
      </c>
      <c r="BH20" s="10">
        <f>-BG51*Assumptions!$D$10/12</f>
        <v/>
      </c>
      <c r="BI20" s="10">
        <f>-BH51*Assumptions!$D$10/12</f>
        <v/>
      </c>
      <c r="BJ20" s="10">
        <f>-BI51*Assumptions!$D$10/12</f>
        <v/>
      </c>
      <c r="BK20" s="10">
        <f>-BJ51*Assumptions!$D$10/12</f>
        <v/>
      </c>
      <c r="BL20" s="10">
        <f>-BK51*Assumptions!$D$10/12</f>
        <v/>
      </c>
      <c r="BN20" s="50">
        <f>SUM(E20:P20)</f>
        <v/>
      </c>
      <c r="BO20" s="50">
        <f>SUM(Q20:AB20)</f>
        <v/>
      </c>
      <c r="BP20" s="50">
        <f>SUM(AC20:AN20)</f>
        <v/>
      </c>
      <c r="BQ20" s="50">
        <f>SUM(AO20:AZ20)</f>
        <v/>
      </c>
      <c r="BR20" s="50">
        <f>SUM(BA20:BL20)</f>
        <v/>
      </c>
    </row>
    <row r="21">
      <c r="B21" s="6" t="inlineStr">
        <is>
          <t>Profit before tax</t>
        </is>
      </c>
      <c r="C21" s="17" t="inlineStr">
        <is>
          <t>EUR</t>
        </is>
      </c>
      <c r="E21" s="10">
        <f>E16+E19+E20</f>
        <v/>
      </c>
      <c r="F21" s="10">
        <f>F16+F19+F20</f>
        <v/>
      </c>
      <c r="G21" s="10">
        <f>G16+G19+G20</f>
        <v/>
      </c>
      <c r="H21" s="10">
        <f>H16+H19+H20</f>
        <v/>
      </c>
      <c r="I21" s="10">
        <f>I16+I19+I20</f>
        <v/>
      </c>
      <c r="J21" s="10">
        <f>J16+J19+J20</f>
        <v/>
      </c>
      <c r="K21" s="10">
        <f>K16+K19+K20</f>
        <v/>
      </c>
      <c r="L21" s="10">
        <f>L16+L19+L20</f>
        <v/>
      </c>
      <c r="M21" s="10">
        <f>M16+M19+M20</f>
        <v/>
      </c>
      <c r="N21" s="10">
        <f>N16+N19+N20</f>
        <v/>
      </c>
      <c r="O21" s="10">
        <f>O16+O19+O20</f>
        <v/>
      </c>
      <c r="P21" s="10">
        <f>P16+P19+P20</f>
        <v/>
      </c>
      <c r="Q21" s="10">
        <f>Q16+Q19+Q20</f>
        <v/>
      </c>
      <c r="R21" s="10">
        <f>R16+R19+R20</f>
        <v/>
      </c>
      <c r="S21" s="10">
        <f>S16+S19+S20</f>
        <v/>
      </c>
      <c r="T21" s="10">
        <f>T16+T19+T20</f>
        <v/>
      </c>
      <c r="U21" s="10">
        <f>U16+U19+U20</f>
        <v/>
      </c>
      <c r="V21" s="10">
        <f>V16+V19+V20</f>
        <v/>
      </c>
      <c r="W21" s="10">
        <f>W16+W19+W20</f>
        <v/>
      </c>
      <c r="X21" s="10">
        <f>X16+X19+X20</f>
        <v/>
      </c>
      <c r="Y21" s="10">
        <f>Y16+Y19+Y20</f>
        <v/>
      </c>
      <c r="Z21" s="10">
        <f>Z16+Z19+Z20</f>
        <v/>
      </c>
      <c r="AA21" s="10">
        <f>AA16+AA19+AA20</f>
        <v/>
      </c>
      <c r="AB21" s="10">
        <f>AB16+AB19+AB20</f>
        <v/>
      </c>
      <c r="AC21" s="10">
        <f>AC16+AC19+AC20</f>
        <v/>
      </c>
      <c r="AD21" s="10">
        <f>AD16+AD19+AD20</f>
        <v/>
      </c>
      <c r="AE21" s="10">
        <f>AE16+AE19+AE20</f>
        <v/>
      </c>
      <c r="AF21" s="10">
        <f>AF16+AF19+AF20</f>
        <v/>
      </c>
      <c r="AG21" s="10">
        <f>AG16+AG19+AG20</f>
        <v/>
      </c>
      <c r="AH21" s="10">
        <f>AH16+AH19+AH20</f>
        <v/>
      </c>
      <c r="AI21" s="10">
        <f>AI16+AI19+AI20</f>
        <v/>
      </c>
      <c r="AJ21" s="10">
        <f>AJ16+AJ19+AJ20</f>
        <v/>
      </c>
      <c r="AK21" s="10">
        <f>AK16+AK19+AK20</f>
        <v/>
      </c>
      <c r="AL21" s="10">
        <f>AL16+AL19+AL20</f>
        <v/>
      </c>
      <c r="AM21" s="10">
        <f>AM16+AM19+AM20</f>
        <v/>
      </c>
      <c r="AN21" s="10">
        <f>AN16+AN19+AN20</f>
        <v/>
      </c>
      <c r="AO21" s="10">
        <f>AO16+AO19+AO20</f>
        <v/>
      </c>
      <c r="AP21" s="10">
        <f>AP16+AP19+AP20</f>
        <v/>
      </c>
      <c r="AQ21" s="10">
        <f>AQ16+AQ19+AQ20</f>
        <v/>
      </c>
      <c r="AR21" s="10">
        <f>AR16+AR19+AR20</f>
        <v/>
      </c>
      <c r="AS21" s="10">
        <f>AS16+AS19+AS20</f>
        <v/>
      </c>
      <c r="AT21" s="10">
        <f>AT16+AT19+AT20</f>
        <v/>
      </c>
      <c r="AU21" s="10">
        <f>AU16+AU19+AU20</f>
        <v/>
      </c>
      <c r="AV21" s="10">
        <f>AV16+AV19+AV20</f>
        <v/>
      </c>
      <c r="AW21" s="10">
        <f>AW16+AW19+AW20</f>
        <v/>
      </c>
      <c r="AX21" s="10">
        <f>AX16+AX19+AX20</f>
        <v/>
      </c>
      <c r="AY21" s="10">
        <f>AY16+AY19+AY20</f>
        <v/>
      </c>
      <c r="AZ21" s="10">
        <f>AZ16+AZ19+AZ20</f>
        <v/>
      </c>
      <c r="BA21" s="10">
        <f>BA16+BA19+BA20</f>
        <v/>
      </c>
      <c r="BB21" s="10">
        <f>BB16+BB19+BB20</f>
        <v/>
      </c>
      <c r="BC21" s="10">
        <f>BC16+BC19+BC20</f>
        <v/>
      </c>
      <c r="BD21" s="10">
        <f>BD16+BD19+BD20</f>
        <v/>
      </c>
      <c r="BE21" s="10">
        <f>BE16+BE19+BE20</f>
        <v/>
      </c>
      <c r="BF21" s="10">
        <f>BF16+BF19+BF20</f>
        <v/>
      </c>
      <c r="BG21" s="10">
        <f>BG16+BG19+BG20</f>
        <v/>
      </c>
      <c r="BH21" s="10">
        <f>BH16+BH19+BH20</f>
        <v/>
      </c>
      <c r="BI21" s="10">
        <f>BI16+BI19+BI20</f>
        <v/>
      </c>
      <c r="BJ21" s="10">
        <f>BJ16+BJ19+BJ20</f>
        <v/>
      </c>
      <c r="BK21" s="10">
        <f>BK16+BK19+BK20</f>
        <v/>
      </c>
      <c r="BL21" s="10">
        <f>BL16+BL19+BL20</f>
        <v/>
      </c>
      <c r="BN21" s="50">
        <f>SUM(E21:P21)</f>
        <v/>
      </c>
      <c r="BO21" s="50">
        <f>SUM(Q21:AB21)</f>
        <v/>
      </c>
      <c r="BP21" s="50">
        <f>SUM(AC21:AN21)</f>
        <v/>
      </c>
      <c r="BQ21" s="50">
        <f>SUM(AO21:AZ21)</f>
        <v/>
      </c>
      <c r="BR21" s="50">
        <f>SUM(BA21:BL21)</f>
        <v/>
      </c>
    </row>
    <row r="22">
      <c r="B22" s="6" t="inlineStr">
        <is>
          <t>Tax</t>
        </is>
      </c>
      <c r="C22" s="17" t="inlineStr">
        <is>
          <t>EUR</t>
        </is>
      </c>
      <c r="E22" s="10">
        <f>-IF(E21&gt;0,MAX(0,E21-0)*Assumptions!$D$9,0)</f>
        <v/>
      </c>
      <c r="F22" s="10">
        <f>-IF(F21&gt;0,MAX(0,F21-E64)*Assumptions!$D$9,0)</f>
        <v/>
      </c>
      <c r="G22" s="10">
        <f>-IF(G21&gt;0,MAX(0,G21-F64)*Assumptions!$D$9,0)</f>
        <v/>
      </c>
      <c r="H22" s="10">
        <f>-IF(H21&gt;0,MAX(0,H21-G64)*Assumptions!$D$9,0)</f>
        <v/>
      </c>
      <c r="I22" s="10">
        <f>-IF(I21&gt;0,MAX(0,I21-H64)*Assumptions!$D$9,0)</f>
        <v/>
      </c>
      <c r="J22" s="10">
        <f>-IF(J21&gt;0,MAX(0,J21-I64)*Assumptions!$D$9,0)</f>
        <v/>
      </c>
      <c r="K22" s="10">
        <f>-IF(K21&gt;0,MAX(0,K21-J64)*Assumptions!$D$9,0)</f>
        <v/>
      </c>
      <c r="L22" s="10">
        <f>-IF(L21&gt;0,MAX(0,L21-K64)*Assumptions!$D$9,0)</f>
        <v/>
      </c>
      <c r="M22" s="10">
        <f>-IF(M21&gt;0,MAX(0,M21-L64)*Assumptions!$D$9,0)</f>
        <v/>
      </c>
      <c r="N22" s="10">
        <f>-IF(N21&gt;0,MAX(0,N21-M64)*Assumptions!$D$9,0)</f>
        <v/>
      </c>
      <c r="O22" s="10">
        <f>-IF(O21&gt;0,MAX(0,O21-N64)*Assumptions!$D$9,0)</f>
        <v/>
      </c>
      <c r="P22" s="10">
        <f>-IF(P21&gt;0,MAX(0,P21-O64)*Assumptions!$D$9,0)</f>
        <v/>
      </c>
      <c r="Q22" s="10">
        <f>-IF(Q21&gt;0,MAX(0,Q21-P64)*Assumptions!$D$9,0)</f>
        <v/>
      </c>
      <c r="R22" s="10">
        <f>-IF(R21&gt;0,MAX(0,R21-Q64)*Assumptions!$D$9,0)</f>
        <v/>
      </c>
      <c r="S22" s="10">
        <f>-IF(S21&gt;0,MAX(0,S21-R64)*Assumptions!$D$9,0)</f>
        <v/>
      </c>
      <c r="T22" s="10">
        <f>-IF(T21&gt;0,MAX(0,T21-S64)*Assumptions!$D$9,0)</f>
        <v/>
      </c>
      <c r="U22" s="10">
        <f>-IF(U21&gt;0,MAX(0,U21-T64)*Assumptions!$D$9,0)</f>
        <v/>
      </c>
      <c r="V22" s="10">
        <f>-IF(V21&gt;0,MAX(0,V21-U64)*Assumptions!$D$9,0)</f>
        <v/>
      </c>
      <c r="W22" s="10">
        <f>-IF(W21&gt;0,MAX(0,W21-V64)*Assumptions!$D$9,0)</f>
        <v/>
      </c>
      <c r="X22" s="10">
        <f>-IF(X21&gt;0,MAX(0,X21-W64)*Assumptions!$D$9,0)</f>
        <v/>
      </c>
      <c r="Y22" s="10">
        <f>-IF(Y21&gt;0,MAX(0,Y21-X64)*Assumptions!$D$9,0)</f>
        <v/>
      </c>
      <c r="Z22" s="10">
        <f>-IF(Z21&gt;0,MAX(0,Z21-Y64)*Assumptions!$D$9,0)</f>
        <v/>
      </c>
      <c r="AA22" s="10">
        <f>-IF(AA21&gt;0,MAX(0,AA21-Z64)*Assumptions!$D$9,0)</f>
        <v/>
      </c>
      <c r="AB22" s="10">
        <f>-IF(AB21&gt;0,MAX(0,AB21-AA64)*Assumptions!$D$9,0)</f>
        <v/>
      </c>
      <c r="AC22" s="10">
        <f>-IF(AC21&gt;0,MAX(0,AC21-AB64)*Assumptions!$D$9,0)</f>
        <v/>
      </c>
      <c r="AD22" s="10">
        <f>-IF(AD21&gt;0,MAX(0,AD21-AC64)*Assumptions!$D$9,0)</f>
        <v/>
      </c>
      <c r="AE22" s="10">
        <f>-IF(AE21&gt;0,MAX(0,AE21-AD64)*Assumptions!$D$9,0)</f>
        <v/>
      </c>
      <c r="AF22" s="10">
        <f>-IF(AF21&gt;0,MAX(0,AF21-AE64)*Assumptions!$D$9,0)</f>
        <v/>
      </c>
      <c r="AG22" s="10">
        <f>-IF(AG21&gt;0,MAX(0,AG21-AF64)*Assumptions!$D$9,0)</f>
        <v/>
      </c>
      <c r="AH22" s="10">
        <f>-IF(AH21&gt;0,MAX(0,AH21-AG64)*Assumptions!$D$9,0)</f>
        <v/>
      </c>
      <c r="AI22" s="10">
        <f>-IF(AI21&gt;0,MAX(0,AI21-AH64)*Assumptions!$D$9,0)</f>
        <v/>
      </c>
      <c r="AJ22" s="10">
        <f>-IF(AJ21&gt;0,MAX(0,AJ21-AI64)*Assumptions!$D$9,0)</f>
        <v/>
      </c>
      <c r="AK22" s="10">
        <f>-IF(AK21&gt;0,MAX(0,AK21-AJ64)*Assumptions!$D$9,0)</f>
        <v/>
      </c>
      <c r="AL22" s="10">
        <f>-IF(AL21&gt;0,MAX(0,AL21-AK64)*Assumptions!$D$9,0)</f>
        <v/>
      </c>
      <c r="AM22" s="10">
        <f>-IF(AM21&gt;0,MAX(0,AM21-AL64)*Assumptions!$D$9,0)</f>
        <v/>
      </c>
      <c r="AN22" s="10">
        <f>-IF(AN21&gt;0,MAX(0,AN21-AM64)*Assumptions!$D$9,0)</f>
        <v/>
      </c>
      <c r="AO22" s="10">
        <f>-IF(AO21&gt;0,MAX(0,AO21-AN64)*Assumptions!$D$9,0)</f>
        <v/>
      </c>
      <c r="AP22" s="10">
        <f>-IF(AP21&gt;0,MAX(0,AP21-AO64)*Assumptions!$D$9,0)</f>
        <v/>
      </c>
      <c r="AQ22" s="10">
        <f>-IF(AQ21&gt;0,MAX(0,AQ21-AP64)*Assumptions!$D$9,0)</f>
        <v/>
      </c>
      <c r="AR22" s="10">
        <f>-IF(AR21&gt;0,MAX(0,AR21-AQ64)*Assumptions!$D$9,0)</f>
        <v/>
      </c>
      <c r="AS22" s="10">
        <f>-IF(AS21&gt;0,MAX(0,AS21-AR64)*Assumptions!$D$9,0)</f>
        <v/>
      </c>
      <c r="AT22" s="10">
        <f>-IF(AT21&gt;0,MAX(0,AT21-AS64)*Assumptions!$D$9,0)</f>
        <v/>
      </c>
      <c r="AU22" s="10">
        <f>-IF(AU21&gt;0,MAX(0,AU21-AT64)*Assumptions!$D$9,0)</f>
        <v/>
      </c>
      <c r="AV22" s="10">
        <f>-IF(AV21&gt;0,MAX(0,AV21-AU64)*Assumptions!$D$9,0)</f>
        <v/>
      </c>
      <c r="AW22" s="10">
        <f>-IF(AW21&gt;0,MAX(0,AW21-AV64)*Assumptions!$D$9,0)</f>
        <v/>
      </c>
      <c r="AX22" s="10">
        <f>-IF(AX21&gt;0,MAX(0,AX21-AW64)*Assumptions!$D$9,0)</f>
        <v/>
      </c>
      <c r="AY22" s="10">
        <f>-IF(AY21&gt;0,MAX(0,AY21-AX64)*Assumptions!$D$9,0)</f>
        <v/>
      </c>
      <c r="AZ22" s="10">
        <f>-IF(AZ21&gt;0,MAX(0,AZ21-AY64)*Assumptions!$D$9,0)</f>
        <v/>
      </c>
      <c r="BA22" s="10">
        <f>-IF(BA21&gt;0,MAX(0,BA21-AZ64)*Assumptions!$D$9,0)</f>
        <v/>
      </c>
      <c r="BB22" s="10">
        <f>-IF(BB21&gt;0,MAX(0,BB21-BA64)*Assumptions!$D$9,0)</f>
        <v/>
      </c>
      <c r="BC22" s="10">
        <f>-IF(BC21&gt;0,MAX(0,BC21-BB64)*Assumptions!$D$9,0)</f>
        <v/>
      </c>
      <c r="BD22" s="10">
        <f>-IF(BD21&gt;0,MAX(0,BD21-BC64)*Assumptions!$D$9,0)</f>
        <v/>
      </c>
      <c r="BE22" s="10">
        <f>-IF(BE21&gt;0,MAX(0,BE21-BD64)*Assumptions!$D$9,0)</f>
        <v/>
      </c>
      <c r="BF22" s="10">
        <f>-IF(BF21&gt;0,MAX(0,BF21-BE64)*Assumptions!$D$9,0)</f>
        <v/>
      </c>
      <c r="BG22" s="10">
        <f>-IF(BG21&gt;0,MAX(0,BG21-BF64)*Assumptions!$D$9,0)</f>
        <v/>
      </c>
      <c r="BH22" s="10">
        <f>-IF(BH21&gt;0,MAX(0,BH21-BG64)*Assumptions!$D$9,0)</f>
        <v/>
      </c>
      <c r="BI22" s="10">
        <f>-IF(BI21&gt;0,MAX(0,BI21-BH64)*Assumptions!$D$9,0)</f>
        <v/>
      </c>
      <c r="BJ22" s="10">
        <f>-IF(BJ21&gt;0,MAX(0,BJ21-BI64)*Assumptions!$D$9,0)</f>
        <v/>
      </c>
      <c r="BK22" s="10">
        <f>-IF(BK21&gt;0,MAX(0,BK21-BJ64)*Assumptions!$D$9,0)</f>
        <v/>
      </c>
      <c r="BL22" s="10">
        <f>-IF(BL21&gt;0,MAX(0,BL21-BK64)*Assumptions!$D$9,0)</f>
        <v/>
      </c>
      <c r="BN22" s="50">
        <f>SUM(E22:P22)</f>
        <v/>
      </c>
      <c r="BO22" s="50">
        <f>SUM(Q22:AB22)</f>
        <v/>
      </c>
      <c r="BP22" s="50">
        <f>SUM(AC22:AN22)</f>
        <v/>
      </c>
      <c r="BQ22" s="50">
        <f>SUM(AO22:AZ22)</f>
        <v/>
      </c>
      <c r="BR22" s="50">
        <f>SUM(BA22:BL22)</f>
        <v/>
      </c>
      <c r="BT22" s="32" t="inlineStr">
        <is>
          <t>losses are carried forward and absorb profit before any tax is paid</t>
        </is>
      </c>
    </row>
    <row r="23">
      <c r="B23" s="15" t="inlineStr">
        <is>
          <t>Net income</t>
        </is>
      </c>
      <c r="C23" s="51" t="inlineStr">
        <is>
          <t>EUR</t>
        </is>
      </c>
      <c r="D23" s="2" t="n"/>
      <c r="E23" s="52">
        <f>E21+E22</f>
        <v/>
      </c>
      <c r="F23" s="52">
        <f>F21+F22</f>
        <v/>
      </c>
      <c r="G23" s="52">
        <f>G21+G22</f>
        <v/>
      </c>
      <c r="H23" s="52">
        <f>H21+H22</f>
        <v/>
      </c>
      <c r="I23" s="52">
        <f>I21+I22</f>
        <v/>
      </c>
      <c r="J23" s="52">
        <f>J21+J22</f>
        <v/>
      </c>
      <c r="K23" s="52">
        <f>K21+K22</f>
        <v/>
      </c>
      <c r="L23" s="52">
        <f>L21+L22</f>
        <v/>
      </c>
      <c r="M23" s="52">
        <f>M21+M22</f>
        <v/>
      </c>
      <c r="N23" s="52">
        <f>N21+N22</f>
        <v/>
      </c>
      <c r="O23" s="52">
        <f>O21+O22</f>
        <v/>
      </c>
      <c r="P23" s="52">
        <f>P21+P22</f>
        <v/>
      </c>
      <c r="Q23" s="52">
        <f>Q21+Q22</f>
        <v/>
      </c>
      <c r="R23" s="52">
        <f>R21+R22</f>
        <v/>
      </c>
      <c r="S23" s="52">
        <f>S21+S22</f>
        <v/>
      </c>
      <c r="T23" s="52">
        <f>T21+T22</f>
        <v/>
      </c>
      <c r="U23" s="52">
        <f>U21+U22</f>
        <v/>
      </c>
      <c r="V23" s="52">
        <f>V21+V22</f>
        <v/>
      </c>
      <c r="W23" s="52">
        <f>W21+W22</f>
        <v/>
      </c>
      <c r="X23" s="52">
        <f>X21+X22</f>
        <v/>
      </c>
      <c r="Y23" s="52">
        <f>Y21+Y22</f>
        <v/>
      </c>
      <c r="Z23" s="52">
        <f>Z21+Z22</f>
        <v/>
      </c>
      <c r="AA23" s="52">
        <f>AA21+AA22</f>
        <v/>
      </c>
      <c r="AB23" s="52">
        <f>AB21+AB22</f>
        <v/>
      </c>
      <c r="AC23" s="52">
        <f>AC21+AC22</f>
        <v/>
      </c>
      <c r="AD23" s="52">
        <f>AD21+AD22</f>
        <v/>
      </c>
      <c r="AE23" s="52">
        <f>AE21+AE22</f>
        <v/>
      </c>
      <c r="AF23" s="52">
        <f>AF21+AF22</f>
        <v/>
      </c>
      <c r="AG23" s="52">
        <f>AG21+AG22</f>
        <v/>
      </c>
      <c r="AH23" s="52">
        <f>AH21+AH22</f>
        <v/>
      </c>
      <c r="AI23" s="52">
        <f>AI21+AI22</f>
        <v/>
      </c>
      <c r="AJ23" s="52">
        <f>AJ21+AJ22</f>
        <v/>
      </c>
      <c r="AK23" s="52">
        <f>AK21+AK22</f>
        <v/>
      </c>
      <c r="AL23" s="52">
        <f>AL21+AL22</f>
        <v/>
      </c>
      <c r="AM23" s="52">
        <f>AM21+AM22</f>
        <v/>
      </c>
      <c r="AN23" s="52">
        <f>AN21+AN22</f>
        <v/>
      </c>
      <c r="AO23" s="52">
        <f>AO21+AO22</f>
        <v/>
      </c>
      <c r="AP23" s="52">
        <f>AP21+AP22</f>
        <v/>
      </c>
      <c r="AQ23" s="52">
        <f>AQ21+AQ22</f>
        <v/>
      </c>
      <c r="AR23" s="52">
        <f>AR21+AR22</f>
        <v/>
      </c>
      <c r="AS23" s="52">
        <f>AS21+AS22</f>
        <v/>
      </c>
      <c r="AT23" s="52">
        <f>AT21+AT22</f>
        <v/>
      </c>
      <c r="AU23" s="52">
        <f>AU21+AU22</f>
        <v/>
      </c>
      <c r="AV23" s="52">
        <f>AV21+AV22</f>
        <v/>
      </c>
      <c r="AW23" s="52">
        <f>AW21+AW22</f>
        <v/>
      </c>
      <c r="AX23" s="52">
        <f>AX21+AX22</f>
        <v/>
      </c>
      <c r="AY23" s="52">
        <f>AY21+AY22</f>
        <v/>
      </c>
      <c r="AZ23" s="52">
        <f>AZ21+AZ22</f>
        <v/>
      </c>
      <c r="BA23" s="52">
        <f>BA21+BA22</f>
        <v/>
      </c>
      <c r="BB23" s="52">
        <f>BB21+BB22</f>
        <v/>
      </c>
      <c r="BC23" s="52">
        <f>BC21+BC22</f>
        <v/>
      </c>
      <c r="BD23" s="52">
        <f>BD21+BD22</f>
        <v/>
      </c>
      <c r="BE23" s="52">
        <f>BE21+BE22</f>
        <v/>
      </c>
      <c r="BF23" s="52">
        <f>BF21+BF22</f>
        <v/>
      </c>
      <c r="BG23" s="52">
        <f>BG21+BG22</f>
        <v/>
      </c>
      <c r="BH23" s="52">
        <f>BH21+BH22</f>
        <v/>
      </c>
      <c r="BI23" s="52">
        <f>BI21+BI22</f>
        <v/>
      </c>
      <c r="BJ23" s="52">
        <f>BJ21+BJ22</f>
        <v/>
      </c>
      <c r="BK23" s="52">
        <f>BK21+BK22</f>
        <v/>
      </c>
      <c r="BL23" s="52">
        <f>BL21+BL22</f>
        <v/>
      </c>
      <c r="BM23" s="2" t="n"/>
      <c r="BN23" s="52">
        <f>SUM(E23:P23)</f>
        <v/>
      </c>
      <c r="BO23" s="52">
        <f>SUM(Q23:AB23)</f>
        <v/>
      </c>
      <c r="BP23" s="52">
        <f>SUM(AC23:AN23)</f>
        <v/>
      </c>
      <c r="BQ23" s="52">
        <f>SUM(AO23:AZ23)</f>
        <v/>
      </c>
      <c r="BR23" s="52">
        <f>SUM(BA23:BL23)</f>
        <v/>
      </c>
      <c r="BS23" s="2" t="n"/>
    </row>
    <row r="24">
      <c r="B24" s="53" t="inlineStr">
        <is>
          <t>Net margin</t>
        </is>
      </c>
      <c r="C24" s="17" t="inlineStr">
        <is>
          <t>%</t>
        </is>
      </c>
      <c r="E24" s="54">
        <f>IFERROR(E23/E6,0)</f>
        <v/>
      </c>
      <c r="F24" s="54">
        <f>IFERROR(F23/F6,0)</f>
        <v/>
      </c>
      <c r="G24" s="54">
        <f>IFERROR(G23/G6,0)</f>
        <v/>
      </c>
      <c r="H24" s="54">
        <f>IFERROR(H23/H6,0)</f>
        <v/>
      </c>
      <c r="I24" s="54">
        <f>IFERROR(I23/I6,0)</f>
        <v/>
      </c>
      <c r="J24" s="54">
        <f>IFERROR(J23/J6,0)</f>
        <v/>
      </c>
      <c r="K24" s="54">
        <f>IFERROR(K23/K6,0)</f>
        <v/>
      </c>
      <c r="L24" s="54">
        <f>IFERROR(L23/L6,0)</f>
        <v/>
      </c>
      <c r="M24" s="54">
        <f>IFERROR(M23/M6,0)</f>
        <v/>
      </c>
      <c r="N24" s="54">
        <f>IFERROR(N23/N6,0)</f>
        <v/>
      </c>
      <c r="O24" s="54">
        <f>IFERROR(O23/O6,0)</f>
        <v/>
      </c>
      <c r="P24" s="54">
        <f>IFERROR(P23/P6,0)</f>
        <v/>
      </c>
      <c r="Q24" s="54">
        <f>IFERROR(Q23/Q6,0)</f>
        <v/>
      </c>
      <c r="R24" s="54">
        <f>IFERROR(R23/R6,0)</f>
        <v/>
      </c>
      <c r="S24" s="54">
        <f>IFERROR(S23/S6,0)</f>
        <v/>
      </c>
      <c r="T24" s="54">
        <f>IFERROR(T23/T6,0)</f>
        <v/>
      </c>
      <c r="U24" s="54">
        <f>IFERROR(U23/U6,0)</f>
        <v/>
      </c>
      <c r="V24" s="54">
        <f>IFERROR(V23/V6,0)</f>
        <v/>
      </c>
      <c r="W24" s="54">
        <f>IFERROR(W23/W6,0)</f>
        <v/>
      </c>
      <c r="X24" s="54">
        <f>IFERROR(X23/X6,0)</f>
        <v/>
      </c>
      <c r="Y24" s="54">
        <f>IFERROR(Y23/Y6,0)</f>
        <v/>
      </c>
      <c r="Z24" s="54">
        <f>IFERROR(Z23/Z6,0)</f>
        <v/>
      </c>
      <c r="AA24" s="54">
        <f>IFERROR(AA23/AA6,0)</f>
        <v/>
      </c>
      <c r="AB24" s="54">
        <f>IFERROR(AB23/AB6,0)</f>
        <v/>
      </c>
      <c r="AC24" s="54">
        <f>IFERROR(AC23/AC6,0)</f>
        <v/>
      </c>
      <c r="AD24" s="54">
        <f>IFERROR(AD23/AD6,0)</f>
        <v/>
      </c>
      <c r="AE24" s="54">
        <f>IFERROR(AE23/AE6,0)</f>
        <v/>
      </c>
      <c r="AF24" s="54">
        <f>IFERROR(AF23/AF6,0)</f>
        <v/>
      </c>
      <c r="AG24" s="54">
        <f>IFERROR(AG23/AG6,0)</f>
        <v/>
      </c>
      <c r="AH24" s="54">
        <f>IFERROR(AH23/AH6,0)</f>
        <v/>
      </c>
      <c r="AI24" s="54">
        <f>IFERROR(AI23/AI6,0)</f>
        <v/>
      </c>
      <c r="AJ24" s="54">
        <f>IFERROR(AJ23/AJ6,0)</f>
        <v/>
      </c>
      <c r="AK24" s="54">
        <f>IFERROR(AK23/AK6,0)</f>
        <v/>
      </c>
      <c r="AL24" s="54">
        <f>IFERROR(AL23/AL6,0)</f>
        <v/>
      </c>
      <c r="AM24" s="54">
        <f>IFERROR(AM23/AM6,0)</f>
        <v/>
      </c>
      <c r="AN24" s="54">
        <f>IFERROR(AN23/AN6,0)</f>
        <v/>
      </c>
      <c r="AO24" s="54">
        <f>IFERROR(AO23/AO6,0)</f>
        <v/>
      </c>
      <c r="AP24" s="54">
        <f>IFERROR(AP23/AP6,0)</f>
        <v/>
      </c>
      <c r="AQ24" s="54">
        <f>IFERROR(AQ23/AQ6,0)</f>
        <v/>
      </c>
      <c r="AR24" s="54">
        <f>IFERROR(AR23/AR6,0)</f>
        <v/>
      </c>
      <c r="AS24" s="54">
        <f>IFERROR(AS23/AS6,0)</f>
        <v/>
      </c>
      <c r="AT24" s="54">
        <f>IFERROR(AT23/AT6,0)</f>
        <v/>
      </c>
      <c r="AU24" s="54">
        <f>IFERROR(AU23/AU6,0)</f>
        <v/>
      </c>
      <c r="AV24" s="54">
        <f>IFERROR(AV23/AV6,0)</f>
        <v/>
      </c>
      <c r="AW24" s="54">
        <f>IFERROR(AW23/AW6,0)</f>
        <v/>
      </c>
      <c r="AX24" s="54">
        <f>IFERROR(AX23/AX6,0)</f>
        <v/>
      </c>
      <c r="AY24" s="54">
        <f>IFERROR(AY23/AY6,0)</f>
        <v/>
      </c>
      <c r="AZ24" s="54">
        <f>IFERROR(AZ23/AZ6,0)</f>
        <v/>
      </c>
      <c r="BA24" s="54">
        <f>IFERROR(BA23/BA6,0)</f>
        <v/>
      </c>
      <c r="BB24" s="54">
        <f>IFERROR(BB23/BB6,0)</f>
        <v/>
      </c>
      <c r="BC24" s="54">
        <f>IFERROR(BC23/BC6,0)</f>
        <v/>
      </c>
      <c r="BD24" s="54">
        <f>IFERROR(BD23/BD6,0)</f>
        <v/>
      </c>
      <c r="BE24" s="54">
        <f>IFERROR(BE23/BE6,0)</f>
        <v/>
      </c>
      <c r="BF24" s="54">
        <f>IFERROR(BF23/BF6,0)</f>
        <v/>
      </c>
      <c r="BG24" s="54">
        <f>IFERROR(BG23/BG6,0)</f>
        <v/>
      </c>
      <c r="BH24" s="54">
        <f>IFERROR(BH23/BH6,0)</f>
        <v/>
      </c>
      <c r="BI24" s="54">
        <f>IFERROR(BI23/BI6,0)</f>
        <v/>
      </c>
      <c r="BJ24" s="54">
        <f>IFERROR(BJ23/BJ6,0)</f>
        <v/>
      </c>
      <c r="BK24" s="54">
        <f>IFERROR(BK23/BK6,0)</f>
        <v/>
      </c>
      <c r="BL24" s="54">
        <f>IFERROR(BL23/BL6,0)</f>
        <v/>
      </c>
      <c r="BN24" s="55">
        <f>IFERROR(BN23/BN6,0)</f>
        <v/>
      </c>
      <c r="BO24" s="55">
        <f>IFERROR(BO23/BO6,0)</f>
        <v/>
      </c>
      <c r="BP24" s="55">
        <f>IFERROR(BP23/BP6,0)</f>
        <v/>
      </c>
      <c r="BQ24" s="55">
        <f>IFERROR(BQ23/BQ6,0)</f>
        <v/>
      </c>
      <c r="BR24" s="55">
        <f>IFERROR(BR23/BR6,0)</f>
        <v/>
      </c>
    </row>
    <row r="26">
      <c r="B26" s="15" t="inlineStr">
        <is>
          <t>CASH FLOW</t>
        </is>
      </c>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c r="BF26" s="1" t="n"/>
      <c r="BG26" s="1" t="n"/>
      <c r="BH26" s="1" t="n"/>
      <c r="BI26" s="1" t="n"/>
      <c r="BJ26" s="1" t="n"/>
      <c r="BK26" s="1" t="n"/>
      <c r="BL26" s="1" t="n"/>
      <c r="BM26" s="1" t="n"/>
      <c r="BN26" s="1" t="n"/>
      <c r="BO26" s="1" t="n"/>
      <c r="BP26" s="1" t="n"/>
      <c r="BQ26" s="1" t="n"/>
      <c r="BR26" s="1" t="n"/>
      <c r="BS26" s="1" t="n"/>
    </row>
    <row r="27">
      <c r="B27" s="6" t="inlineStr">
        <is>
          <t>Net income</t>
        </is>
      </c>
      <c r="C27" s="17" t="inlineStr">
        <is>
          <t>EUR</t>
        </is>
      </c>
      <c r="E27" s="10">
        <f>E23</f>
        <v/>
      </c>
      <c r="F27" s="10">
        <f>F23</f>
        <v/>
      </c>
      <c r="G27" s="10">
        <f>G23</f>
        <v/>
      </c>
      <c r="H27" s="10">
        <f>H23</f>
        <v/>
      </c>
      <c r="I27" s="10">
        <f>I23</f>
        <v/>
      </c>
      <c r="J27" s="10">
        <f>J23</f>
        <v/>
      </c>
      <c r="K27" s="10">
        <f>K23</f>
        <v/>
      </c>
      <c r="L27" s="10">
        <f>L23</f>
        <v/>
      </c>
      <c r="M27" s="10">
        <f>M23</f>
        <v/>
      </c>
      <c r="N27" s="10">
        <f>N23</f>
        <v/>
      </c>
      <c r="O27" s="10">
        <f>O23</f>
        <v/>
      </c>
      <c r="P27" s="10">
        <f>P23</f>
        <v/>
      </c>
      <c r="Q27" s="10">
        <f>Q23</f>
        <v/>
      </c>
      <c r="R27" s="10">
        <f>R23</f>
        <v/>
      </c>
      <c r="S27" s="10">
        <f>S23</f>
        <v/>
      </c>
      <c r="T27" s="10">
        <f>T23</f>
        <v/>
      </c>
      <c r="U27" s="10">
        <f>U23</f>
        <v/>
      </c>
      <c r="V27" s="10">
        <f>V23</f>
        <v/>
      </c>
      <c r="W27" s="10">
        <f>W23</f>
        <v/>
      </c>
      <c r="X27" s="10">
        <f>X23</f>
        <v/>
      </c>
      <c r="Y27" s="10">
        <f>Y23</f>
        <v/>
      </c>
      <c r="Z27" s="10">
        <f>Z23</f>
        <v/>
      </c>
      <c r="AA27" s="10">
        <f>AA23</f>
        <v/>
      </c>
      <c r="AB27" s="10">
        <f>AB23</f>
        <v/>
      </c>
      <c r="AC27" s="10">
        <f>AC23</f>
        <v/>
      </c>
      <c r="AD27" s="10">
        <f>AD23</f>
        <v/>
      </c>
      <c r="AE27" s="10">
        <f>AE23</f>
        <v/>
      </c>
      <c r="AF27" s="10">
        <f>AF23</f>
        <v/>
      </c>
      <c r="AG27" s="10">
        <f>AG23</f>
        <v/>
      </c>
      <c r="AH27" s="10">
        <f>AH23</f>
        <v/>
      </c>
      <c r="AI27" s="10">
        <f>AI23</f>
        <v/>
      </c>
      <c r="AJ27" s="10">
        <f>AJ23</f>
        <v/>
      </c>
      <c r="AK27" s="10">
        <f>AK23</f>
        <v/>
      </c>
      <c r="AL27" s="10">
        <f>AL23</f>
        <v/>
      </c>
      <c r="AM27" s="10">
        <f>AM23</f>
        <v/>
      </c>
      <c r="AN27" s="10">
        <f>AN23</f>
        <v/>
      </c>
      <c r="AO27" s="10">
        <f>AO23</f>
        <v/>
      </c>
      <c r="AP27" s="10">
        <f>AP23</f>
        <v/>
      </c>
      <c r="AQ27" s="10">
        <f>AQ23</f>
        <v/>
      </c>
      <c r="AR27" s="10">
        <f>AR23</f>
        <v/>
      </c>
      <c r="AS27" s="10">
        <f>AS23</f>
        <v/>
      </c>
      <c r="AT27" s="10">
        <f>AT23</f>
        <v/>
      </c>
      <c r="AU27" s="10">
        <f>AU23</f>
        <v/>
      </c>
      <c r="AV27" s="10">
        <f>AV23</f>
        <v/>
      </c>
      <c r="AW27" s="10">
        <f>AW23</f>
        <v/>
      </c>
      <c r="AX27" s="10">
        <f>AX23</f>
        <v/>
      </c>
      <c r="AY27" s="10">
        <f>AY23</f>
        <v/>
      </c>
      <c r="AZ27" s="10">
        <f>AZ23</f>
        <v/>
      </c>
      <c r="BA27" s="10">
        <f>BA23</f>
        <v/>
      </c>
      <c r="BB27" s="10">
        <f>BB23</f>
        <v/>
      </c>
      <c r="BC27" s="10">
        <f>BC23</f>
        <v/>
      </c>
      <c r="BD27" s="10">
        <f>BD23</f>
        <v/>
      </c>
      <c r="BE27" s="10">
        <f>BE23</f>
        <v/>
      </c>
      <c r="BF27" s="10">
        <f>BF23</f>
        <v/>
      </c>
      <c r="BG27" s="10">
        <f>BG23</f>
        <v/>
      </c>
      <c r="BH27" s="10">
        <f>BH23</f>
        <v/>
      </c>
      <c r="BI27" s="10">
        <f>BI23</f>
        <v/>
      </c>
      <c r="BJ27" s="10">
        <f>BJ23</f>
        <v/>
      </c>
      <c r="BK27" s="10">
        <f>BK23</f>
        <v/>
      </c>
      <c r="BL27" s="10">
        <f>BL23</f>
        <v/>
      </c>
      <c r="BN27" s="50">
        <f>SUM(E27:P27)</f>
        <v/>
      </c>
      <c r="BO27" s="50">
        <f>SUM(Q27:AB27)</f>
        <v/>
      </c>
      <c r="BP27" s="50">
        <f>SUM(AC27:AN27)</f>
        <v/>
      </c>
      <c r="BQ27" s="50">
        <f>SUM(AO27:AZ27)</f>
        <v/>
      </c>
      <c r="BR27" s="50">
        <f>SUM(BA27:BL27)</f>
        <v/>
      </c>
    </row>
    <row r="28">
      <c r="B28" s="6" t="inlineStr">
        <is>
          <t>Depreciation added back</t>
        </is>
      </c>
      <c r="C28" s="17" t="inlineStr">
        <is>
          <t>EUR</t>
        </is>
      </c>
      <c r="E28" s="10">
        <f>-E19</f>
        <v/>
      </c>
      <c r="F28" s="10">
        <f>-F19</f>
        <v/>
      </c>
      <c r="G28" s="10">
        <f>-G19</f>
        <v/>
      </c>
      <c r="H28" s="10">
        <f>-H19</f>
        <v/>
      </c>
      <c r="I28" s="10">
        <f>-I19</f>
        <v/>
      </c>
      <c r="J28" s="10">
        <f>-J19</f>
        <v/>
      </c>
      <c r="K28" s="10">
        <f>-K19</f>
        <v/>
      </c>
      <c r="L28" s="10">
        <f>-L19</f>
        <v/>
      </c>
      <c r="M28" s="10">
        <f>-M19</f>
        <v/>
      </c>
      <c r="N28" s="10">
        <f>-N19</f>
        <v/>
      </c>
      <c r="O28" s="10">
        <f>-O19</f>
        <v/>
      </c>
      <c r="P28" s="10">
        <f>-P19</f>
        <v/>
      </c>
      <c r="Q28" s="10">
        <f>-Q19</f>
        <v/>
      </c>
      <c r="R28" s="10">
        <f>-R19</f>
        <v/>
      </c>
      <c r="S28" s="10">
        <f>-S19</f>
        <v/>
      </c>
      <c r="T28" s="10">
        <f>-T19</f>
        <v/>
      </c>
      <c r="U28" s="10">
        <f>-U19</f>
        <v/>
      </c>
      <c r="V28" s="10">
        <f>-V19</f>
        <v/>
      </c>
      <c r="W28" s="10">
        <f>-W19</f>
        <v/>
      </c>
      <c r="X28" s="10">
        <f>-X19</f>
        <v/>
      </c>
      <c r="Y28" s="10">
        <f>-Y19</f>
        <v/>
      </c>
      <c r="Z28" s="10">
        <f>-Z19</f>
        <v/>
      </c>
      <c r="AA28" s="10">
        <f>-AA19</f>
        <v/>
      </c>
      <c r="AB28" s="10">
        <f>-AB19</f>
        <v/>
      </c>
      <c r="AC28" s="10">
        <f>-AC19</f>
        <v/>
      </c>
      <c r="AD28" s="10">
        <f>-AD19</f>
        <v/>
      </c>
      <c r="AE28" s="10">
        <f>-AE19</f>
        <v/>
      </c>
      <c r="AF28" s="10">
        <f>-AF19</f>
        <v/>
      </c>
      <c r="AG28" s="10">
        <f>-AG19</f>
        <v/>
      </c>
      <c r="AH28" s="10">
        <f>-AH19</f>
        <v/>
      </c>
      <c r="AI28" s="10">
        <f>-AI19</f>
        <v/>
      </c>
      <c r="AJ28" s="10">
        <f>-AJ19</f>
        <v/>
      </c>
      <c r="AK28" s="10">
        <f>-AK19</f>
        <v/>
      </c>
      <c r="AL28" s="10">
        <f>-AL19</f>
        <v/>
      </c>
      <c r="AM28" s="10">
        <f>-AM19</f>
        <v/>
      </c>
      <c r="AN28" s="10">
        <f>-AN19</f>
        <v/>
      </c>
      <c r="AO28" s="10">
        <f>-AO19</f>
        <v/>
      </c>
      <c r="AP28" s="10">
        <f>-AP19</f>
        <v/>
      </c>
      <c r="AQ28" s="10">
        <f>-AQ19</f>
        <v/>
      </c>
      <c r="AR28" s="10">
        <f>-AR19</f>
        <v/>
      </c>
      <c r="AS28" s="10">
        <f>-AS19</f>
        <v/>
      </c>
      <c r="AT28" s="10">
        <f>-AT19</f>
        <v/>
      </c>
      <c r="AU28" s="10">
        <f>-AU19</f>
        <v/>
      </c>
      <c r="AV28" s="10">
        <f>-AV19</f>
        <v/>
      </c>
      <c r="AW28" s="10">
        <f>-AW19</f>
        <v/>
      </c>
      <c r="AX28" s="10">
        <f>-AX19</f>
        <v/>
      </c>
      <c r="AY28" s="10">
        <f>-AY19</f>
        <v/>
      </c>
      <c r="AZ28" s="10">
        <f>-AZ19</f>
        <v/>
      </c>
      <c r="BA28" s="10">
        <f>-BA19</f>
        <v/>
      </c>
      <c r="BB28" s="10">
        <f>-BB19</f>
        <v/>
      </c>
      <c r="BC28" s="10">
        <f>-BC19</f>
        <v/>
      </c>
      <c r="BD28" s="10">
        <f>-BD19</f>
        <v/>
      </c>
      <c r="BE28" s="10">
        <f>-BE19</f>
        <v/>
      </c>
      <c r="BF28" s="10">
        <f>-BF19</f>
        <v/>
      </c>
      <c r="BG28" s="10">
        <f>-BG19</f>
        <v/>
      </c>
      <c r="BH28" s="10">
        <f>-BH19</f>
        <v/>
      </c>
      <c r="BI28" s="10">
        <f>-BI19</f>
        <v/>
      </c>
      <c r="BJ28" s="10">
        <f>-BJ19</f>
        <v/>
      </c>
      <c r="BK28" s="10">
        <f>-BK19</f>
        <v/>
      </c>
      <c r="BL28" s="10">
        <f>-BL19</f>
        <v/>
      </c>
      <c r="BN28" s="50">
        <f>SUM(E28:P28)</f>
        <v/>
      </c>
      <c r="BO28" s="50">
        <f>SUM(Q28:AB28)</f>
        <v/>
      </c>
      <c r="BP28" s="50">
        <f>SUM(AC28:AN28)</f>
        <v/>
      </c>
      <c r="BQ28" s="50">
        <f>SUM(AO28:AZ28)</f>
        <v/>
      </c>
      <c r="BR28" s="50">
        <f>SUM(BA28:BL28)</f>
        <v/>
      </c>
    </row>
    <row r="29">
      <c r="B29" s="6" t="inlineStr">
        <is>
          <t>Movement in receivables</t>
        </is>
      </c>
      <c r="C29" s="17" t="inlineStr">
        <is>
          <t>EUR</t>
        </is>
      </c>
      <c r="E29" s="10">
        <f>-(E44-0)</f>
        <v/>
      </c>
      <c r="F29" s="10">
        <f>-(F44-E44)</f>
        <v/>
      </c>
      <c r="G29" s="10">
        <f>-(G44-F44)</f>
        <v/>
      </c>
      <c r="H29" s="10">
        <f>-(H44-G44)</f>
        <v/>
      </c>
      <c r="I29" s="10">
        <f>-(I44-H44)</f>
        <v/>
      </c>
      <c r="J29" s="10">
        <f>-(J44-I44)</f>
        <v/>
      </c>
      <c r="K29" s="10">
        <f>-(K44-J44)</f>
        <v/>
      </c>
      <c r="L29" s="10">
        <f>-(L44-K44)</f>
        <v/>
      </c>
      <c r="M29" s="10">
        <f>-(M44-L44)</f>
        <v/>
      </c>
      <c r="N29" s="10">
        <f>-(N44-M44)</f>
        <v/>
      </c>
      <c r="O29" s="10">
        <f>-(O44-N44)</f>
        <v/>
      </c>
      <c r="P29" s="10">
        <f>-(P44-O44)</f>
        <v/>
      </c>
      <c r="Q29" s="10">
        <f>-(Q44-P44)</f>
        <v/>
      </c>
      <c r="R29" s="10">
        <f>-(R44-Q44)</f>
        <v/>
      </c>
      <c r="S29" s="10">
        <f>-(S44-R44)</f>
        <v/>
      </c>
      <c r="T29" s="10">
        <f>-(T44-S44)</f>
        <v/>
      </c>
      <c r="U29" s="10">
        <f>-(U44-T44)</f>
        <v/>
      </c>
      <c r="V29" s="10">
        <f>-(V44-U44)</f>
        <v/>
      </c>
      <c r="W29" s="10">
        <f>-(W44-V44)</f>
        <v/>
      </c>
      <c r="X29" s="10">
        <f>-(X44-W44)</f>
        <v/>
      </c>
      <c r="Y29" s="10">
        <f>-(Y44-X44)</f>
        <v/>
      </c>
      <c r="Z29" s="10">
        <f>-(Z44-Y44)</f>
        <v/>
      </c>
      <c r="AA29" s="10">
        <f>-(AA44-Z44)</f>
        <v/>
      </c>
      <c r="AB29" s="10">
        <f>-(AB44-AA44)</f>
        <v/>
      </c>
      <c r="AC29" s="10">
        <f>-(AC44-AB44)</f>
        <v/>
      </c>
      <c r="AD29" s="10">
        <f>-(AD44-AC44)</f>
        <v/>
      </c>
      <c r="AE29" s="10">
        <f>-(AE44-AD44)</f>
        <v/>
      </c>
      <c r="AF29" s="10">
        <f>-(AF44-AE44)</f>
        <v/>
      </c>
      <c r="AG29" s="10">
        <f>-(AG44-AF44)</f>
        <v/>
      </c>
      <c r="AH29" s="10">
        <f>-(AH44-AG44)</f>
        <v/>
      </c>
      <c r="AI29" s="10">
        <f>-(AI44-AH44)</f>
        <v/>
      </c>
      <c r="AJ29" s="10">
        <f>-(AJ44-AI44)</f>
        <v/>
      </c>
      <c r="AK29" s="10">
        <f>-(AK44-AJ44)</f>
        <v/>
      </c>
      <c r="AL29" s="10">
        <f>-(AL44-AK44)</f>
        <v/>
      </c>
      <c r="AM29" s="10">
        <f>-(AM44-AL44)</f>
        <v/>
      </c>
      <c r="AN29" s="10">
        <f>-(AN44-AM44)</f>
        <v/>
      </c>
      <c r="AO29" s="10">
        <f>-(AO44-AN44)</f>
        <v/>
      </c>
      <c r="AP29" s="10">
        <f>-(AP44-AO44)</f>
        <v/>
      </c>
      <c r="AQ29" s="10">
        <f>-(AQ44-AP44)</f>
        <v/>
      </c>
      <c r="AR29" s="10">
        <f>-(AR44-AQ44)</f>
        <v/>
      </c>
      <c r="AS29" s="10">
        <f>-(AS44-AR44)</f>
        <v/>
      </c>
      <c r="AT29" s="10">
        <f>-(AT44-AS44)</f>
        <v/>
      </c>
      <c r="AU29" s="10">
        <f>-(AU44-AT44)</f>
        <v/>
      </c>
      <c r="AV29" s="10">
        <f>-(AV44-AU44)</f>
        <v/>
      </c>
      <c r="AW29" s="10">
        <f>-(AW44-AV44)</f>
        <v/>
      </c>
      <c r="AX29" s="10">
        <f>-(AX44-AW44)</f>
        <v/>
      </c>
      <c r="AY29" s="10">
        <f>-(AY44-AX44)</f>
        <v/>
      </c>
      <c r="AZ29" s="10">
        <f>-(AZ44-AY44)</f>
        <v/>
      </c>
      <c r="BA29" s="10">
        <f>-(BA44-AZ44)</f>
        <v/>
      </c>
      <c r="BB29" s="10">
        <f>-(BB44-BA44)</f>
        <v/>
      </c>
      <c r="BC29" s="10">
        <f>-(BC44-BB44)</f>
        <v/>
      </c>
      <c r="BD29" s="10">
        <f>-(BD44-BC44)</f>
        <v/>
      </c>
      <c r="BE29" s="10">
        <f>-(BE44-BD44)</f>
        <v/>
      </c>
      <c r="BF29" s="10">
        <f>-(BF44-BE44)</f>
        <v/>
      </c>
      <c r="BG29" s="10">
        <f>-(BG44-BF44)</f>
        <v/>
      </c>
      <c r="BH29" s="10">
        <f>-(BH44-BG44)</f>
        <v/>
      </c>
      <c r="BI29" s="10">
        <f>-(BI44-BH44)</f>
        <v/>
      </c>
      <c r="BJ29" s="10">
        <f>-(BJ44-BI44)</f>
        <v/>
      </c>
      <c r="BK29" s="10">
        <f>-(BK44-BJ44)</f>
        <v/>
      </c>
      <c r="BL29" s="10">
        <f>-(BL44-BK44)</f>
        <v/>
      </c>
      <c r="BN29" s="50">
        <f>SUM(E29:P29)</f>
        <v/>
      </c>
      <c r="BO29" s="50">
        <f>SUM(Q29:AB29)</f>
        <v/>
      </c>
      <c r="BP29" s="50">
        <f>SUM(AC29:AN29)</f>
        <v/>
      </c>
      <c r="BQ29" s="50">
        <f>SUM(AO29:AZ29)</f>
        <v/>
      </c>
      <c r="BR29" s="50">
        <f>SUM(BA29:BL29)</f>
        <v/>
      </c>
    </row>
    <row r="30">
      <c r="B30" s="6" t="inlineStr">
        <is>
          <t>Movement in inventory</t>
        </is>
      </c>
      <c r="C30" s="17" t="inlineStr">
        <is>
          <t>EUR</t>
        </is>
      </c>
      <c r="E30" s="10">
        <f>-(E45-0)</f>
        <v/>
      </c>
      <c r="F30" s="10">
        <f>-(F45-E45)</f>
        <v/>
      </c>
      <c r="G30" s="10">
        <f>-(G45-F45)</f>
        <v/>
      </c>
      <c r="H30" s="10">
        <f>-(H45-G45)</f>
        <v/>
      </c>
      <c r="I30" s="10">
        <f>-(I45-H45)</f>
        <v/>
      </c>
      <c r="J30" s="10">
        <f>-(J45-I45)</f>
        <v/>
      </c>
      <c r="K30" s="10">
        <f>-(K45-J45)</f>
        <v/>
      </c>
      <c r="L30" s="10">
        <f>-(L45-K45)</f>
        <v/>
      </c>
      <c r="M30" s="10">
        <f>-(M45-L45)</f>
        <v/>
      </c>
      <c r="N30" s="10">
        <f>-(N45-M45)</f>
        <v/>
      </c>
      <c r="O30" s="10">
        <f>-(O45-N45)</f>
        <v/>
      </c>
      <c r="P30" s="10">
        <f>-(P45-O45)</f>
        <v/>
      </c>
      <c r="Q30" s="10">
        <f>-(Q45-P45)</f>
        <v/>
      </c>
      <c r="R30" s="10">
        <f>-(R45-Q45)</f>
        <v/>
      </c>
      <c r="S30" s="10">
        <f>-(S45-R45)</f>
        <v/>
      </c>
      <c r="T30" s="10">
        <f>-(T45-S45)</f>
        <v/>
      </c>
      <c r="U30" s="10">
        <f>-(U45-T45)</f>
        <v/>
      </c>
      <c r="V30" s="10">
        <f>-(V45-U45)</f>
        <v/>
      </c>
      <c r="W30" s="10">
        <f>-(W45-V45)</f>
        <v/>
      </c>
      <c r="X30" s="10">
        <f>-(X45-W45)</f>
        <v/>
      </c>
      <c r="Y30" s="10">
        <f>-(Y45-X45)</f>
        <v/>
      </c>
      <c r="Z30" s="10">
        <f>-(Z45-Y45)</f>
        <v/>
      </c>
      <c r="AA30" s="10">
        <f>-(AA45-Z45)</f>
        <v/>
      </c>
      <c r="AB30" s="10">
        <f>-(AB45-AA45)</f>
        <v/>
      </c>
      <c r="AC30" s="10">
        <f>-(AC45-AB45)</f>
        <v/>
      </c>
      <c r="AD30" s="10">
        <f>-(AD45-AC45)</f>
        <v/>
      </c>
      <c r="AE30" s="10">
        <f>-(AE45-AD45)</f>
        <v/>
      </c>
      <c r="AF30" s="10">
        <f>-(AF45-AE45)</f>
        <v/>
      </c>
      <c r="AG30" s="10">
        <f>-(AG45-AF45)</f>
        <v/>
      </c>
      <c r="AH30" s="10">
        <f>-(AH45-AG45)</f>
        <v/>
      </c>
      <c r="AI30" s="10">
        <f>-(AI45-AH45)</f>
        <v/>
      </c>
      <c r="AJ30" s="10">
        <f>-(AJ45-AI45)</f>
        <v/>
      </c>
      <c r="AK30" s="10">
        <f>-(AK45-AJ45)</f>
        <v/>
      </c>
      <c r="AL30" s="10">
        <f>-(AL45-AK45)</f>
        <v/>
      </c>
      <c r="AM30" s="10">
        <f>-(AM45-AL45)</f>
        <v/>
      </c>
      <c r="AN30" s="10">
        <f>-(AN45-AM45)</f>
        <v/>
      </c>
      <c r="AO30" s="10">
        <f>-(AO45-AN45)</f>
        <v/>
      </c>
      <c r="AP30" s="10">
        <f>-(AP45-AO45)</f>
        <v/>
      </c>
      <c r="AQ30" s="10">
        <f>-(AQ45-AP45)</f>
        <v/>
      </c>
      <c r="AR30" s="10">
        <f>-(AR45-AQ45)</f>
        <v/>
      </c>
      <c r="AS30" s="10">
        <f>-(AS45-AR45)</f>
        <v/>
      </c>
      <c r="AT30" s="10">
        <f>-(AT45-AS45)</f>
        <v/>
      </c>
      <c r="AU30" s="10">
        <f>-(AU45-AT45)</f>
        <v/>
      </c>
      <c r="AV30" s="10">
        <f>-(AV45-AU45)</f>
        <v/>
      </c>
      <c r="AW30" s="10">
        <f>-(AW45-AV45)</f>
        <v/>
      </c>
      <c r="AX30" s="10">
        <f>-(AX45-AW45)</f>
        <v/>
      </c>
      <c r="AY30" s="10">
        <f>-(AY45-AX45)</f>
        <v/>
      </c>
      <c r="AZ30" s="10">
        <f>-(AZ45-AY45)</f>
        <v/>
      </c>
      <c r="BA30" s="10">
        <f>-(BA45-AZ45)</f>
        <v/>
      </c>
      <c r="BB30" s="10">
        <f>-(BB45-BA45)</f>
        <v/>
      </c>
      <c r="BC30" s="10">
        <f>-(BC45-BB45)</f>
        <v/>
      </c>
      <c r="BD30" s="10">
        <f>-(BD45-BC45)</f>
        <v/>
      </c>
      <c r="BE30" s="10">
        <f>-(BE45-BD45)</f>
        <v/>
      </c>
      <c r="BF30" s="10">
        <f>-(BF45-BE45)</f>
        <v/>
      </c>
      <c r="BG30" s="10">
        <f>-(BG45-BF45)</f>
        <v/>
      </c>
      <c r="BH30" s="10">
        <f>-(BH45-BG45)</f>
        <v/>
      </c>
      <c r="BI30" s="10">
        <f>-(BI45-BH45)</f>
        <v/>
      </c>
      <c r="BJ30" s="10">
        <f>-(BJ45-BI45)</f>
        <v/>
      </c>
      <c r="BK30" s="10">
        <f>-(BK45-BJ45)</f>
        <v/>
      </c>
      <c r="BL30" s="10">
        <f>-(BL45-BK45)</f>
        <v/>
      </c>
      <c r="BN30" s="50">
        <f>SUM(E30:P30)</f>
        <v/>
      </c>
      <c r="BO30" s="50">
        <f>SUM(Q30:AB30)</f>
        <v/>
      </c>
      <c r="BP30" s="50">
        <f>SUM(AC30:AN30)</f>
        <v/>
      </c>
      <c r="BQ30" s="50">
        <f>SUM(AO30:AZ30)</f>
        <v/>
      </c>
      <c r="BR30" s="50">
        <f>SUM(BA30:BL30)</f>
        <v/>
      </c>
    </row>
    <row r="31">
      <c r="B31" s="6" t="inlineStr">
        <is>
          <t>Movement in payables</t>
        </is>
      </c>
      <c r="C31" s="17" t="inlineStr">
        <is>
          <t>EUR</t>
        </is>
      </c>
      <c r="E31" s="10">
        <f>E50-0</f>
        <v/>
      </c>
      <c r="F31" s="10">
        <f>F50-E50</f>
        <v/>
      </c>
      <c r="G31" s="10">
        <f>G50-F50</f>
        <v/>
      </c>
      <c r="H31" s="10">
        <f>H50-G50</f>
        <v/>
      </c>
      <c r="I31" s="10">
        <f>I50-H50</f>
        <v/>
      </c>
      <c r="J31" s="10">
        <f>J50-I50</f>
        <v/>
      </c>
      <c r="K31" s="10">
        <f>K50-J50</f>
        <v/>
      </c>
      <c r="L31" s="10">
        <f>L50-K50</f>
        <v/>
      </c>
      <c r="M31" s="10">
        <f>M50-L50</f>
        <v/>
      </c>
      <c r="N31" s="10">
        <f>N50-M50</f>
        <v/>
      </c>
      <c r="O31" s="10">
        <f>O50-N50</f>
        <v/>
      </c>
      <c r="P31" s="10">
        <f>P50-O50</f>
        <v/>
      </c>
      <c r="Q31" s="10">
        <f>Q50-P50</f>
        <v/>
      </c>
      <c r="R31" s="10">
        <f>R50-Q50</f>
        <v/>
      </c>
      <c r="S31" s="10">
        <f>S50-R50</f>
        <v/>
      </c>
      <c r="T31" s="10">
        <f>T50-S50</f>
        <v/>
      </c>
      <c r="U31" s="10">
        <f>U50-T50</f>
        <v/>
      </c>
      <c r="V31" s="10">
        <f>V50-U50</f>
        <v/>
      </c>
      <c r="W31" s="10">
        <f>W50-V50</f>
        <v/>
      </c>
      <c r="X31" s="10">
        <f>X50-W50</f>
        <v/>
      </c>
      <c r="Y31" s="10">
        <f>Y50-X50</f>
        <v/>
      </c>
      <c r="Z31" s="10">
        <f>Z50-Y50</f>
        <v/>
      </c>
      <c r="AA31" s="10">
        <f>AA50-Z50</f>
        <v/>
      </c>
      <c r="AB31" s="10">
        <f>AB50-AA50</f>
        <v/>
      </c>
      <c r="AC31" s="10">
        <f>AC50-AB50</f>
        <v/>
      </c>
      <c r="AD31" s="10">
        <f>AD50-AC50</f>
        <v/>
      </c>
      <c r="AE31" s="10">
        <f>AE50-AD50</f>
        <v/>
      </c>
      <c r="AF31" s="10">
        <f>AF50-AE50</f>
        <v/>
      </c>
      <c r="AG31" s="10">
        <f>AG50-AF50</f>
        <v/>
      </c>
      <c r="AH31" s="10">
        <f>AH50-AG50</f>
        <v/>
      </c>
      <c r="AI31" s="10">
        <f>AI50-AH50</f>
        <v/>
      </c>
      <c r="AJ31" s="10">
        <f>AJ50-AI50</f>
        <v/>
      </c>
      <c r="AK31" s="10">
        <f>AK50-AJ50</f>
        <v/>
      </c>
      <c r="AL31" s="10">
        <f>AL50-AK50</f>
        <v/>
      </c>
      <c r="AM31" s="10">
        <f>AM50-AL50</f>
        <v/>
      </c>
      <c r="AN31" s="10">
        <f>AN50-AM50</f>
        <v/>
      </c>
      <c r="AO31" s="10">
        <f>AO50-AN50</f>
        <v/>
      </c>
      <c r="AP31" s="10">
        <f>AP50-AO50</f>
        <v/>
      </c>
      <c r="AQ31" s="10">
        <f>AQ50-AP50</f>
        <v/>
      </c>
      <c r="AR31" s="10">
        <f>AR50-AQ50</f>
        <v/>
      </c>
      <c r="AS31" s="10">
        <f>AS50-AR50</f>
        <v/>
      </c>
      <c r="AT31" s="10">
        <f>AT50-AS50</f>
        <v/>
      </c>
      <c r="AU31" s="10">
        <f>AU50-AT50</f>
        <v/>
      </c>
      <c r="AV31" s="10">
        <f>AV50-AU50</f>
        <v/>
      </c>
      <c r="AW31" s="10">
        <f>AW50-AV50</f>
        <v/>
      </c>
      <c r="AX31" s="10">
        <f>AX50-AW50</f>
        <v/>
      </c>
      <c r="AY31" s="10">
        <f>AY50-AX50</f>
        <v/>
      </c>
      <c r="AZ31" s="10">
        <f>AZ50-AY50</f>
        <v/>
      </c>
      <c r="BA31" s="10">
        <f>BA50-AZ50</f>
        <v/>
      </c>
      <c r="BB31" s="10">
        <f>BB50-BA50</f>
        <v/>
      </c>
      <c r="BC31" s="10">
        <f>BC50-BB50</f>
        <v/>
      </c>
      <c r="BD31" s="10">
        <f>BD50-BC50</f>
        <v/>
      </c>
      <c r="BE31" s="10">
        <f>BE50-BD50</f>
        <v/>
      </c>
      <c r="BF31" s="10">
        <f>BF50-BE50</f>
        <v/>
      </c>
      <c r="BG31" s="10">
        <f>BG50-BF50</f>
        <v/>
      </c>
      <c r="BH31" s="10">
        <f>BH50-BG50</f>
        <v/>
      </c>
      <c r="BI31" s="10">
        <f>BI50-BH50</f>
        <v/>
      </c>
      <c r="BJ31" s="10">
        <f>BJ50-BI50</f>
        <v/>
      </c>
      <c r="BK31" s="10">
        <f>BK50-BJ50</f>
        <v/>
      </c>
      <c r="BL31" s="10">
        <f>BL50-BK50</f>
        <v/>
      </c>
      <c r="BN31" s="50">
        <f>SUM(E31:P31)</f>
        <v/>
      </c>
      <c r="BO31" s="50">
        <f>SUM(Q31:AB31)</f>
        <v/>
      </c>
      <c r="BP31" s="50">
        <f>SUM(AC31:AN31)</f>
        <v/>
      </c>
      <c r="BQ31" s="50">
        <f>SUM(AO31:AZ31)</f>
        <v/>
      </c>
      <c r="BR31" s="50">
        <f>SUM(BA31:BL31)</f>
        <v/>
      </c>
    </row>
    <row r="32">
      <c r="B32" s="56" t="inlineStr">
        <is>
          <t>Cash from operations</t>
        </is>
      </c>
      <c r="C32" s="57" t="inlineStr">
        <is>
          <t>EUR</t>
        </is>
      </c>
      <c r="E32" s="37">
        <f>SUM(E27:E31)</f>
        <v/>
      </c>
      <c r="F32" s="37">
        <f>SUM(F27:F31)</f>
        <v/>
      </c>
      <c r="G32" s="37">
        <f>SUM(G27:G31)</f>
        <v/>
      </c>
      <c r="H32" s="37">
        <f>SUM(H27:H31)</f>
        <v/>
      </c>
      <c r="I32" s="37">
        <f>SUM(I27:I31)</f>
        <v/>
      </c>
      <c r="J32" s="37">
        <f>SUM(J27:J31)</f>
        <v/>
      </c>
      <c r="K32" s="37">
        <f>SUM(K27:K31)</f>
        <v/>
      </c>
      <c r="L32" s="37">
        <f>SUM(L27:L31)</f>
        <v/>
      </c>
      <c r="M32" s="37">
        <f>SUM(M27:M31)</f>
        <v/>
      </c>
      <c r="N32" s="37">
        <f>SUM(N27:N31)</f>
        <v/>
      </c>
      <c r="O32" s="37">
        <f>SUM(O27:O31)</f>
        <v/>
      </c>
      <c r="P32" s="37">
        <f>SUM(P27:P31)</f>
        <v/>
      </c>
      <c r="Q32" s="37">
        <f>SUM(Q27:Q31)</f>
        <v/>
      </c>
      <c r="R32" s="37">
        <f>SUM(R27:R31)</f>
        <v/>
      </c>
      <c r="S32" s="37">
        <f>SUM(S27:S31)</f>
        <v/>
      </c>
      <c r="T32" s="37">
        <f>SUM(T27:T31)</f>
        <v/>
      </c>
      <c r="U32" s="37">
        <f>SUM(U27:U31)</f>
        <v/>
      </c>
      <c r="V32" s="37">
        <f>SUM(V27:V31)</f>
        <v/>
      </c>
      <c r="W32" s="37">
        <f>SUM(W27:W31)</f>
        <v/>
      </c>
      <c r="X32" s="37">
        <f>SUM(X27:X31)</f>
        <v/>
      </c>
      <c r="Y32" s="37">
        <f>SUM(Y27:Y31)</f>
        <v/>
      </c>
      <c r="Z32" s="37">
        <f>SUM(Z27:Z31)</f>
        <v/>
      </c>
      <c r="AA32" s="37">
        <f>SUM(AA27:AA31)</f>
        <v/>
      </c>
      <c r="AB32" s="37">
        <f>SUM(AB27:AB31)</f>
        <v/>
      </c>
      <c r="AC32" s="37">
        <f>SUM(AC27:AC31)</f>
        <v/>
      </c>
      <c r="AD32" s="37">
        <f>SUM(AD27:AD31)</f>
        <v/>
      </c>
      <c r="AE32" s="37">
        <f>SUM(AE27:AE31)</f>
        <v/>
      </c>
      <c r="AF32" s="37">
        <f>SUM(AF27:AF31)</f>
        <v/>
      </c>
      <c r="AG32" s="37">
        <f>SUM(AG27:AG31)</f>
        <v/>
      </c>
      <c r="AH32" s="37">
        <f>SUM(AH27:AH31)</f>
        <v/>
      </c>
      <c r="AI32" s="37">
        <f>SUM(AI27:AI31)</f>
        <v/>
      </c>
      <c r="AJ32" s="37">
        <f>SUM(AJ27:AJ31)</f>
        <v/>
      </c>
      <c r="AK32" s="37">
        <f>SUM(AK27:AK31)</f>
        <v/>
      </c>
      <c r="AL32" s="37">
        <f>SUM(AL27:AL31)</f>
        <v/>
      </c>
      <c r="AM32" s="37">
        <f>SUM(AM27:AM31)</f>
        <v/>
      </c>
      <c r="AN32" s="37">
        <f>SUM(AN27:AN31)</f>
        <v/>
      </c>
      <c r="AO32" s="37">
        <f>SUM(AO27:AO31)</f>
        <v/>
      </c>
      <c r="AP32" s="37">
        <f>SUM(AP27:AP31)</f>
        <v/>
      </c>
      <c r="AQ32" s="37">
        <f>SUM(AQ27:AQ31)</f>
        <v/>
      </c>
      <c r="AR32" s="37">
        <f>SUM(AR27:AR31)</f>
        <v/>
      </c>
      <c r="AS32" s="37">
        <f>SUM(AS27:AS31)</f>
        <v/>
      </c>
      <c r="AT32" s="37">
        <f>SUM(AT27:AT31)</f>
        <v/>
      </c>
      <c r="AU32" s="37">
        <f>SUM(AU27:AU31)</f>
        <v/>
      </c>
      <c r="AV32" s="37">
        <f>SUM(AV27:AV31)</f>
        <v/>
      </c>
      <c r="AW32" s="37">
        <f>SUM(AW27:AW31)</f>
        <v/>
      </c>
      <c r="AX32" s="37">
        <f>SUM(AX27:AX31)</f>
        <v/>
      </c>
      <c r="AY32" s="37">
        <f>SUM(AY27:AY31)</f>
        <v/>
      </c>
      <c r="AZ32" s="37">
        <f>SUM(AZ27:AZ31)</f>
        <v/>
      </c>
      <c r="BA32" s="37">
        <f>SUM(BA27:BA31)</f>
        <v/>
      </c>
      <c r="BB32" s="37">
        <f>SUM(BB27:BB31)</f>
        <v/>
      </c>
      <c r="BC32" s="37">
        <f>SUM(BC27:BC31)</f>
        <v/>
      </c>
      <c r="BD32" s="37">
        <f>SUM(BD27:BD31)</f>
        <v/>
      </c>
      <c r="BE32" s="37">
        <f>SUM(BE27:BE31)</f>
        <v/>
      </c>
      <c r="BF32" s="37">
        <f>SUM(BF27:BF31)</f>
        <v/>
      </c>
      <c r="BG32" s="37">
        <f>SUM(BG27:BG31)</f>
        <v/>
      </c>
      <c r="BH32" s="37">
        <f>SUM(BH27:BH31)</f>
        <v/>
      </c>
      <c r="BI32" s="37">
        <f>SUM(BI27:BI31)</f>
        <v/>
      </c>
      <c r="BJ32" s="37">
        <f>SUM(BJ27:BJ31)</f>
        <v/>
      </c>
      <c r="BK32" s="37">
        <f>SUM(BK27:BK31)</f>
        <v/>
      </c>
      <c r="BL32" s="37">
        <f>SUM(BL27:BL31)</f>
        <v/>
      </c>
      <c r="BN32" s="37">
        <f>SUM(E32:P32)</f>
        <v/>
      </c>
      <c r="BO32" s="37">
        <f>SUM(Q32:AB32)</f>
        <v/>
      </c>
      <c r="BP32" s="37">
        <f>SUM(AC32:AN32)</f>
        <v/>
      </c>
      <c r="BQ32" s="37">
        <f>SUM(AO32:AZ32)</f>
        <v/>
      </c>
      <c r="BR32" s="37">
        <f>SUM(BA32:BL32)</f>
        <v/>
      </c>
    </row>
    <row r="33">
      <c r="B33" s="6" t="inlineStr">
        <is>
          <t>Capital expenditure</t>
        </is>
      </c>
      <c r="C33" s="17" t="inlineStr">
        <is>
          <t>EUR</t>
        </is>
      </c>
      <c r="E33" s="10">
        <f>-E61</f>
        <v/>
      </c>
      <c r="F33" s="10">
        <f>-F61</f>
        <v/>
      </c>
      <c r="G33" s="10">
        <f>-G61</f>
        <v/>
      </c>
      <c r="H33" s="10">
        <f>-H61</f>
        <v/>
      </c>
      <c r="I33" s="10">
        <f>-I61</f>
        <v/>
      </c>
      <c r="J33" s="10">
        <f>-J61</f>
        <v/>
      </c>
      <c r="K33" s="10">
        <f>-K61</f>
        <v/>
      </c>
      <c r="L33" s="10">
        <f>-L61</f>
        <v/>
      </c>
      <c r="M33" s="10">
        <f>-M61</f>
        <v/>
      </c>
      <c r="N33" s="10">
        <f>-N61</f>
        <v/>
      </c>
      <c r="O33" s="10">
        <f>-O61</f>
        <v/>
      </c>
      <c r="P33" s="10">
        <f>-P61</f>
        <v/>
      </c>
      <c r="Q33" s="10">
        <f>-Q61</f>
        <v/>
      </c>
      <c r="R33" s="10">
        <f>-R61</f>
        <v/>
      </c>
      <c r="S33" s="10">
        <f>-S61</f>
        <v/>
      </c>
      <c r="T33" s="10">
        <f>-T61</f>
        <v/>
      </c>
      <c r="U33" s="10">
        <f>-U61</f>
        <v/>
      </c>
      <c r="V33" s="10">
        <f>-V61</f>
        <v/>
      </c>
      <c r="W33" s="10">
        <f>-W61</f>
        <v/>
      </c>
      <c r="X33" s="10">
        <f>-X61</f>
        <v/>
      </c>
      <c r="Y33" s="10">
        <f>-Y61</f>
        <v/>
      </c>
      <c r="Z33" s="10">
        <f>-Z61</f>
        <v/>
      </c>
      <c r="AA33" s="10">
        <f>-AA61</f>
        <v/>
      </c>
      <c r="AB33" s="10">
        <f>-AB61</f>
        <v/>
      </c>
      <c r="AC33" s="10">
        <f>-AC61</f>
        <v/>
      </c>
      <c r="AD33" s="10">
        <f>-AD61</f>
        <v/>
      </c>
      <c r="AE33" s="10">
        <f>-AE61</f>
        <v/>
      </c>
      <c r="AF33" s="10">
        <f>-AF61</f>
        <v/>
      </c>
      <c r="AG33" s="10">
        <f>-AG61</f>
        <v/>
      </c>
      <c r="AH33" s="10">
        <f>-AH61</f>
        <v/>
      </c>
      <c r="AI33" s="10">
        <f>-AI61</f>
        <v/>
      </c>
      <c r="AJ33" s="10">
        <f>-AJ61</f>
        <v/>
      </c>
      <c r="AK33" s="10">
        <f>-AK61</f>
        <v/>
      </c>
      <c r="AL33" s="10">
        <f>-AL61</f>
        <v/>
      </c>
      <c r="AM33" s="10">
        <f>-AM61</f>
        <v/>
      </c>
      <c r="AN33" s="10">
        <f>-AN61</f>
        <v/>
      </c>
      <c r="AO33" s="10">
        <f>-AO61</f>
        <v/>
      </c>
      <c r="AP33" s="10">
        <f>-AP61</f>
        <v/>
      </c>
      <c r="AQ33" s="10">
        <f>-AQ61</f>
        <v/>
      </c>
      <c r="AR33" s="10">
        <f>-AR61</f>
        <v/>
      </c>
      <c r="AS33" s="10">
        <f>-AS61</f>
        <v/>
      </c>
      <c r="AT33" s="10">
        <f>-AT61</f>
        <v/>
      </c>
      <c r="AU33" s="10">
        <f>-AU61</f>
        <v/>
      </c>
      <c r="AV33" s="10">
        <f>-AV61</f>
        <v/>
      </c>
      <c r="AW33" s="10">
        <f>-AW61</f>
        <v/>
      </c>
      <c r="AX33" s="10">
        <f>-AX61</f>
        <v/>
      </c>
      <c r="AY33" s="10">
        <f>-AY61</f>
        <v/>
      </c>
      <c r="AZ33" s="10">
        <f>-AZ61</f>
        <v/>
      </c>
      <c r="BA33" s="10">
        <f>-BA61</f>
        <v/>
      </c>
      <c r="BB33" s="10">
        <f>-BB61</f>
        <v/>
      </c>
      <c r="BC33" s="10">
        <f>-BC61</f>
        <v/>
      </c>
      <c r="BD33" s="10">
        <f>-BD61</f>
        <v/>
      </c>
      <c r="BE33" s="10">
        <f>-BE61</f>
        <v/>
      </c>
      <c r="BF33" s="10">
        <f>-BF61</f>
        <v/>
      </c>
      <c r="BG33" s="10">
        <f>-BG61</f>
        <v/>
      </c>
      <c r="BH33" s="10">
        <f>-BH61</f>
        <v/>
      </c>
      <c r="BI33" s="10">
        <f>-BI61</f>
        <v/>
      </c>
      <c r="BJ33" s="10">
        <f>-BJ61</f>
        <v/>
      </c>
      <c r="BK33" s="10">
        <f>-BK61</f>
        <v/>
      </c>
      <c r="BL33" s="10">
        <f>-BL61</f>
        <v/>
      </c>
      <c r="BN33" s="50">
        <f>SUM(E33:P33)</f>
        <v/>
      </c>
      <c r="BO33" s="50">
        <f>SUM(Q33:AB33)</f>
        <v/>
      </c>
      <c r="BP33" s="50">
        <f>SUM(AC33:AN33)</f>
        <v/>
      </c>
      <c r="BQ33" s="50">
        <f>SUM(AO33:AZ33)</f>
        <v/>
      </c>
      <c r="BR33" s="50">
        <f>SUM(BA33:BL33)</f>
        <v/>
      </c>
    </row>
    <row r="34">
      <c r="B34" s="56" t="inlineStr">
        <is>
          <t>Cash from investing</t>
        </is>
      </c>
      <c r="C34" s="57" t="inlineStr">
        <is>
          <t>EUR</t>
        </is>
      </c>
      <c r="E34" s="37">
        <f>E33</f>
        <v/>
      </c>
      <c r="F34" s="37">
        <f>F33</f>
        <v/>
      </c>
      <c r="G34" s="37">
        <f>G33</f>
        <v/>
      </c>
      <c r="H34" s="37">
        <f>H33</f>
        <v/>
      </c>
      <c r="I34" s="37">
        <f>I33</f>
        <v/>
      </c>
      <c r="J34" s="37">
        <f>J33</f>
        <v/>
      </c>
      <c r="K34" s="37">
        <f>K33</f>
        <v/>
      </c>
      <c r="L34" s="37">
        <f>L33</f>
        <v/>
      </c>
      <c r="M34" s="37">
        <f>M33</f>
        <v/>
      </c>
      <c r="N34" s="37">
        <f>N33</f>
        <v/>
      </c>
      <c r="O34" s="37">
        <f>O33</f>
        <v/>
      </c>
      <c r="P34" s="37">
        <f>P33</f>
        <v/>
      </c>
      <c r="Q34" s="37">
        <f>Q33</f>
        <v/>
      </c>
      <c r="R34" s="37">
        <f>R33</f>
        <v/>
      </c>
      <c r="S34" s="37">
        <f>S33</f>
        <v/>
      </c>
      <c r="T34" s="37">
        <f>T33</f>
        <v/>
      </c>
      <c r="U34" s="37">
        <f>U33</f>
        <v/>
      </c>
      <c r="V34" s="37">
        <f>V33</f>
        <v/>
      </c>
      <c r="W34" s="37">
        <f>W33</f>
        <v/>
      </c>
      <c r="X34" s="37">
        <f>X33</f>
        <v/>
      </c>
      <c r="Y34" s="37">
        <f>Y33</f>
        <v/>
      </c>
      <c r="Z34" s="37">
        <f>Z33</f>
        <v/>
      </c>
      <c r="AA34" s="37">
        <f>AA33</f>
        <v/>
      </c>
      <c r="AB34" s="37">
        <f>AB33</f>
        <v/>
      </c>
      <c r="AC34" s="37">
        <f>AC33</f>
        <v/>
      </c>
      <c r="AD34" s="37">
        <f>AD33</f>
        <v/>
      </c>
      <c r="AE34" s="37">
        <f>AE33</f>
        <v/>
      </c>
      <c r="AF34" s="37">
        <f>AF33</f>
        <v/>
      </c>
      <c r="AG34" s="37">
        <f>AG33</f>
        <v/>
      </c>
      <c r="AH34" s="37">
        <f>AH33</f>
        <v/>
      </c>
      <c r="AI34" s="37">
        <f>AI33</f>
        <v/>
      </c>
      <c r="AJ34" s="37">
        <f>AJ33</f>
        <v/>
      </c>
      <c r="AK34" s="37">
        <f>AK33</f>
        <v/>
      </c>
      <c r="AL34" s="37">
        <f>AL33</f>
        <v/>
      </c>
      <c r="AM34" s="37">
        <f>AM33</f>
        <v/>
      </c>
      <c r="AN34" s="37">
        <f>AN33</f>
        <v/>
      </c>
      <c r="AO34" s="37">
        <f>AO33</f>
        <v/>
      </c>
      <c r="AP34" s="37">
        <f>AP33</f>
        <v/>
      </c>
      <c r="AQ34" s="37">
        <f>AQ33</f>
        <v/>
      </c>
      <c r="AR34" s="37">
        <f>AR33</f>
        <v/>
      </c>
      <c r="AS34" s="37">
        <f>AS33</f>
        <v/>
      </c>
      <c r="AT34" s="37">
        <f>AT33</f>
        <v/>
      </c>
      <c r="AU34" s="37">
        <f>AU33</f>
        <v/>
      </c>
      <c r="AV34" s="37">
        <f>AV33</f>
        <v/>
      </c>
      <c r="AW34" s="37">
        <f>AW33</f>
        <v/>
      </c>
      <c r="AX34" s="37">
        <f>AX33</f>
        <v/>
      </c>
      <c r="AY34" s="37">
        <f>AY33</f>
        <v/>
      </c>
      <c r="AZ34" s="37">
        <f>AZ33</f>
        <v/>
      </c>
      <c r="BA34" s="37">
        <f>BA33</f>
        <v/>
      </c>
      <c r="BB34" s="37">
        <f>BB33</f>
        <v/>
      </c>
      <c r="BC34" s="37">
        <f>BC33</f>
        <v/>
      </c>
      <c r="BD34" s="37">
        <f>BD33</f>
        <v/>
      </c>
      <c r="BE34" s="37">
        <f>BE33</f>
        <v/>
      </c>
      <c r="BF34" s="37">
        <f>BF33</f>
        <v/>
      </c>
      <c r="BG34" s="37">
        <f>BG33</f>
        <v/>
      </c>
      <c r="BH34" s="37">
        <f>BH33</f>
        <v/>
      </c>
      <c r="BI34" s="37">
        <f>BI33</f>
        <v/>
      </c>
      <c r="BJ34" s="37">
        <f>BJ33</f>
        <v/>
      </c>
      <c r="BK34" s="37">
        <f>BK33</f>
        <v/>
      </c>
      <c r="BL34" s="37">
        <f>BL33</f>
        <v/>
      </c>
      <c r="BN34" s="37">
        <f>SUM(E34:P34)</f>
        <v/>
      </c>
      <c r="BO34" s="37">
        <f>SUM(Q34:AB34)</f>
        <v/>
      </c>
      <c r="BP34" s="37">
        <f>SUM(AC34:AN34)</f>
        <v/>
      </c>
      <c r="BQ34" s="37">
        <f>SUM(AO34:AZ34)</f>
        <v/>
      </c>
      <c r="BR34" s="37">
        <f>SUM(BA34:BL34)</f>
        <v/>
      </c>
    </row>
    <row r="35">
      <c r="B35" s="6" t="inlineStr">
        <is>
          <t>Equity raised</t>
        </is>
      </c>
      <c r="C35" s="17" t="inlineStr">
        <is>
          <t>EUR</t>
        </is>
      </c>
      <c r="E35" s="10">
        <f>IF(AND(YEAR(E$3)=YEAR(Assumptions!$D$114),MONTH(E$3)=MONTH(Assumptions!$D$114)),Assumptions!$D$115,0)+IF(AND(YEAR(E$3)=YEAR(Assumptions!$D$116),MONTH(E$3)=MONTH(Assumptions!$D$116)),Assumptions!$D$117,0)</f>
        <v/>
      </c>
      <c r="F35" s="10">
        <f>IF(AND(YEAR(F$3)=YEAR(Assumptions!$D$114),MONTH(F$3)=MONTH(Assumptions!$D$114)),Assumptions!$D$115,0)+IF(AND(YEAR(F$3)=YEAR(Assumptions!$D$116),MONTH(F$3)=MONTH(Assumptions!$D$116)),Assumptions!$D$117,0)</f>
        <v/>
      </c>
      <c r="G35" s="10">
        <f>IF(AND(YEAR(G$3)=YEAR(Assumptions!$D$114),MONTH(G$3)=MONTH(Assumptions!$D$114)),Assumptions!$D$115,0)+IF(AND(YEAR(G$3)=YEAR(Assumptions!$D$116),MONTH(G$3)=MONTH(Assumptions!$D$116)),Assumptions!$D$117,0)</f>
        <v/>
      </c>
      <c r="H35" s="10">
        <f>IF(AND(YEAR(H$3)=YEAR(Assumptions!$D$114),MONTH(H$3)=MONTH(Assumptions!$D$114)),Assumptions!$D$115,0)+IF(AND(YEAR(H$3)=YEAR(Assumptions!$D$116),MONTH(H$3)=MONTH(Assumptions!$D$116)),Assumptions!$D$117,0)</f>
        <v/>
      </c>
      <c r="I35" s="10">
        <f>IF(AND(YEAR(I$3)=YEAR(Assumptions!$D$114),MONTH(I$3)=MONTH(Assumptions!$D$114)),Assumptions!$D$115,0)+IF(AND(YEAR(I$3)=YEAR(Assumptions!$D$116),MONTH(I$3)=MONTH(Assumptions!$D$116)),Assumptions!$D$117,0)</f>
        <v/>
      </c>
      <c r="J35" s="10">
        <f>IF(AND(YEAR(J$3)=YEAR(Assumptions!$D$114),MONTH(J$3)=MONTH(Assumptions!$D$114)),Assumptions!$D$115,0)+IF(AND(YEAR(J$3)=YEAR(Assumptions!$D$116),MONTH(J$3)=MONTH(Assumptions!$D$116)),Assumptions!$D$117,0)</f>
        <v/>
      </c>
      <c r="K35" s="10">
        <f>IF(AND(YEAR(K$3)=YEAR(Assumptions!$D$114),MONTH(K$3)=MONTH(Assumptions!$D$114)),Assumptions!$D$115,0)+IF(AND(YEAR(K$3)=YEAR(Assumptions!$D$116),MONTH(K$3)=MONTH(Assumptions!$D$116)),Assumptions!$D$117,0)</f>
        <v/>
      </c>
      <c r="L35" s="10">
        <f>IF(AND(YEAR(L$3)=YEAR(Assumptions!$D$114),MONTH(L$3)=MONTH(Assumptions!$D$114)),Assumptions!$D$115,0)+IF(AND(YEAR(L$3)=YEAR(Assumptions!$D$116),MONTH(L$3)=MONTH(Assumptions!$D$116)),Assumptions!$D$117,0)</f>
        <v/>
      </c>
      <c r="M35" s="10">
        <f>IF(AND(YEAR(M$3)=YEAR(Assumptions!$D$114),MONTH(M$3)=MONTH(Assumptions!$D$114)),Assumptions!$D$115,0)+IF(AND(YEAR(M$3)=YEAR(Assumptions!$D$116),MONTH(M$3)=MONTH(Assumptions!$D$116)),Assumptions!$D$117,0)</f>
        <v/>
      </c>
      <c r="N35" s="10">
        <f>IF(AND(YEAR(N$3)=YEAR(Assumptions!$D$114),MONTH(N$3)=MONTH(Assumptions!$D$114)),Assumptions!$D$115,0)+IF(AND(YEAR(N$3)=YEAR(Assumptions!$D$116),MONTH(N$3)=MONTH(Assumptions!$D$116)),Assumptions!$D$117,0)</f>
        <v/>
      </c>
      <c r="O35" s="10">
        <f>IF(AND(YEAR(O$3)=YEAR(Assumptions!$D$114),MONTH(O$3)=MONTH(Assumptions!$D$114)),Assumptions!$D$115,0)+IF(AND(YEAR(O$3)=YEAR(Assumptions!$D$116),MONTH(O$3)=MONTH(Assumptions!$D$116)),Assumptions!$D$117,0)</f>
        <v/>
      </c>
      <c r="P35" s="10">
        <f>IF(AND(YEAR(P$3)=YEAR(Assumptions!$D$114),MONTH(P$3)=MONTH(Assumptions!$D$114)),Assumptions!$D$115,0)+IF(AND(YEAR(P$3)=YEAR(Assumptions!$D$116),MONTH(P$3)=MONTH(Assumptions!$D$116)),Assumptions!$D$117,0)</f>
        <v/>
      </c>
      <c r="Q35" s="10">
        <f>IF(AND(YEAR(Q$3)=YEAR(Assumptions!$D$114),MONTH(Q$3)=MONTH(Assumptions!$D$114)),Assumptions!$D$115,0)+IF(AND(YEAR(Q$3)=YEAR(Assumptions!$D$116),MONTH(Q$3)=MONTH(Assumptions!$D$116)),Assumptions!$D$117,0)</f>
        <v/>
      </c>
      <c r="R35" s="10">
        <f>IF(AND(YEAR(R$3)=YEAR(Assumptions!$D$114),MONTH(R$3)=MONTH(Assumptions!$D$114)),Assumptions!$D$115,0)+IF(AND(YEAR(R$3)=YEAR(Assumptions!$D$116),MONTH(R$3)=MONTH(Assumptions!$D$116)),Assumptions!$D$117,0)</f>
        <v/>
      </c>
      <c r="S35" s="10">
        <f>IF(AND(YEAR(S$3)=YEAR(Assumptions!$D$114),MONTH(S$3)=MONTH(Assumptions!$D$114)),Assumptions!$D$115,0)+IF(AND(YEAR(S$3)=YEAR(Assumptions!$D$116),MONTH(S$3)=MONTH(Assumptions!$D$116)),Assumptions!$D$117,0)</f>
        <v/>
      </c>
      <c r="T35" s="10">
        <f>IF(AND(YEAR(T$3)=YEAR(Assumptions!$D$114),MONTH(T$3)=MONTH(Assumptions!$D$114)),Assumptions!$D$115,0)+IF(AND(YEAR(T$3)=YEAR(Assumptions!$D$116),MONTH(T$3)=MONTH(Assumptions!$D$116)),Assumptions!$D$117,0)</f>
        <v/>
      </c>
      <c r="U35" s="10">
        <f>IF(AND(YEAR(U$3)=YEAR(Assumptions!$D$114),MONTH(U$3)=MONTH(Assumptions!$D$114)),Assumptions!$D$115,0)+IF(AND(YEAR(U$3)=YEAR(Assumptions!$D$116),MONTH(U$3)=MONTH(Assumptions!$D$116)),Assumptions!$D$117,0)</f>
        <v/>
      </c>
      <c r="V35" s="10">
        <f>IF(AND(YEAR(V$3)=YEAR(Assumptions!$D$114),MONTH(V$3)=MONTH(Assumptions!$D$114)),Assumptions!$D$115,0)+IF(AND(YEAR(V$3)=YEAR(Assumptions!$D$116),MONTH(V$3)=MONTH(Assumptions!$D$116)),Assumptions!$D$117,0)</f>
        <v/>
      </c>
      <c r="W35" s="10">
        <f>IF(AND(YEAR(W$3)=YEAR(Assumptions!$D$114),MONTH(W$3)=MONTH(Assumptions!$D$114)),Assumptions!$D$115,0)+IF(AND(YEAR(W$3)=YEAR(Assumptions!$D$116),MONTH(W$3)=MONTH(Assumptions!$D$116)),Assumptions!$D$117,0)</f>
        <v/>
      </c>
      <c r="X35" s="10">
        <f>IF(AND(YEAR(X$3)=YEAR(Assumptions!$D$114),MONTH(X$3)=MONTH(Assumptions!$D$114)),Assumptions!$D$115,0)+IF(AND(YEAR(X$3)=YEAR(Assumptions!$D$116),MONTH(X$3)=MONTH(Assumptions!$D$116)),Assumptions!$D$117,0)</f>
        <v/>
      </c>
      <c r="Y35" s="10">
        <f>IF(AND(YEAR(Y$3)=YEAR(Assumptions!$D$114),MONTH(Y$3)=MONTH(Assumptions!$D$114)),Assumptions!$D$115,0)+IF(AND(YEAR(Y$3)=YEAR(Assumptions!$D$116),MONTH(Y$3)=MONTH(Assumptions!$D$116)),Assumptions!$D$117,0)</f>
        <v/>
      </c>
      <c r="Z35" s="10">
        <f>IF(AND(YEAR(Z$3)=YEAR(Assumptions!$D$114),MONTH(Z$3)=MONTH(Assumptions!$D$114)),Assumptions!$D$115,0)+IF(AND(YEAR(Z$3)=YEAR(Assumptions!$D$116),MONTH(Z$3)=MONTH(Assumptions!$D$116)),Assumptions!$D$117,0)</f>
        <v/>
      </c>
      <c r="AA35" s="10">
        <f>IF(AND(YEAR(AA$3)=YEAR(Assumptions!$D$114),MONTH(AA$3)=MONTH(Assumptions!$D$114)),Assumptions!$D$115,0)+IF(AND(YEAR(AA$3)=YEAR(Assumptions!$D$116),MONTH(AA$3)=MONTH(Assumptions!$D$116)),Assumptions!$D$117,0)</f>
        <v/>
      </c>
      <c r="AB35" s="10">
        <f>IF(AND(YEAR(AB$3)=YEAR(Assumptions!$D$114),MONTH(AB$3)=MONTH(Assumptions!$D$114)),Assumptions!$D$115,0)+IF(AND(YEAR(AB$3)=YEAR(Assumptions!$D$116),MONTH(AB$3)=MONTH(Assumptions!$D$116)),Assumptions!$D$117,0)</f>
        <v/>
      </c>
      <c r="AC35" s="10">
        <f>IF(AND(YEAR(AC$3)=YEAR(Assumptions!$D$114),MONTH(AC$3)=MONTH(Assumptions!$D$114)),Assumptions!$D$115,0)+IF(AND(YEAR(AC$3)=YEAR(Assumptions!$D$116),MONTH(AC$3)=MONTH(Assumptions!$D$116)),Assumptions!$D$117,0)</f>
        <v/>
      </c>
      <c r="AD35" s="10">
        <f>IF(AND(YEAR(AD$3)=YEAR(Assumptions!$D$114),MONTH(AD$3)=MONTH(Assumptions!$D$114)),Assumptions!$D$115,0)+IF(AND(YEAR(AD$3)=YEAR(Assumptions!$D$116),MONTH(AD$3)=MONTH(Assumptions!$D$116)),Assumptions!$D$117,0)</f>
        <v/>
      </c>
      <c r="AE35" s="10">
        <f>IF(AND(YEAR(AE$3)=YEAR(Assumptions!$D$114),MONTH(AE$3)=MONTH(Assumptions!$D$114)),Assumptions!$D$115,0)+IF(AND(YEAR(AE$3)=YEAR(Assumptions!$D$116),MONTH(AE$3)=MONTH(Assumptions!$D$116)),Assumptions!$D$117,0)</f>
        <v/>
      </c>
      <c r="AF35" s="10">
        <f>IF(AND(YEAR(AF$3)=YEAR(Assumptions!$D$114),MONTH(AF$3)=MONTH(Assumptions!$D$114)),Assumptions!$D$115,0)+IF(AND(YEAR(AF$3)=YEAR(Assumptions!$D$116),MONTH(AF$3)=MONTH(Assumptions!$D$116)),Assumptions!$D$117,0)</f>
        <v/>
      </c>
      <c r="AG35" s="10">
        <f>IF(AND(YEAR(AG$3)=YEAR(Assumptions!$D$114),MONTH(AG$3)=MONTH(Assumptions!$D$114)),Assumptions!$D$115,0)+IF(AND(YEAR(AG$3)=YEAR(Assumptions!$D$116),MONTH(AG$3)=MONTH(Assumptions!$D$116)),Assumptions!$D$117,0)</f>
        <v/>
      </c>
      <c r="AH35" s="10">
        <f>IF(AND(YEAR(AH$3)=YEAR(Assumptions!$D$114),MONTH(AH$3)=MONTH(Assumptions!$D$114)),Assumptions!$D$115,0)+IF(AND(YEAR(AH$3)=YEAR(Assumptions!$D$116),MONTH(AH$3)=MONTH(Assumptions!$D$116)),Assumptions!$D$117,0)</f>
        <v/>
      </c>
      <c r="AI35" s="10">
        <f>IF(AND(YEAR(AI$3)=YEAR(Assumptions!$D$114),MONTH(AI$3)=MONTH(Assumptions!$D$114)),Assumptions!$D$115,0)+IF(AND(YEAR(AI$3)=YEAR(Assumptions!$D$116),MONTH(AI$3)=MONTH(Assumptions!$D$116)),Assumptions!$D$117,0)</f>
        <v/>
      </c>
      <c r="AJ35" s="10">
        <f>IF(AND(YEAR(AJ$3)=YEAR(Assumptions!$D$114),MONTH(AJ$3)=MONTH(Assumptions!$D$114)),Assumptions!$D$115,0)+IF(AND(YEAR(AJ$3)=YEAR(Assumptions!$D$116),MONTH(AJ$3)=MONTH(Assumptions!$D$116)),Assumptions!$D$117,0)</f>
        <v/>
      </c>
      <c r="AK35" s="10">
        <f>IF(AND(YEAR(AK$3)=YEAR(Assumptions!$D$114),MONTH(AK$3)=MONTH(Assumptions!$D$114)),Assumptions!$D$115,0)+IF(AND(YEAR(AK$3)=YEAR(Assumptions!$D$116),MONTH(AK$3)=MONTH(Assumptions!$D$116)),Assumptions!$D$117,0)</f>
        <v/>
      </c>
      <c r="AL35" s="10">
        <f>IF(AND(YEAR(AL$3)=YEAR(Assumptions!$D$114),MONTH(AL$3)=MONTH(Assumptions!$D$114)),Assumptions!$D$115,0)+IF(AND(YEAR(AL$3)=YEAR(Assumptions!$D$116),MONTH(AL$3)=MONTH(Assumptions!$D$116)),Assumptions!$D$117,0)</f>
        <v/>
      </c>
      <c r="AM35" s="10">
        <f>IF(AND(YEAR(AM$3)=YEAR(Assumptions!$D$114),MONTH(AM$3)=MONTH(Assumptions!$D$114)),Assumptions!$D$115,0)+IF(AND(YEAR(AM$3)=YEAR(Assumptions!$D$116),MONTH(AM$3)=MONTH(Assumptions!$D$116)),Assumptions!$D$117,0)</f>
        <v/>
      </c>
      <c r="AN35" s="10">
        <f>IF(AND(YEAR(AN$3)=YEAR(Assumptions!$D$114),MONTH(AN$3)=MONTH(Assumptions!$D$114)),Assumptions!$D$115,0)+IF(AND(YEAR(AN$3)=YEAR(Assumptions!$D$116),MONTH(AN$3)=MONTH(Assumptions!$D$116)),Assumptions!$D$117,0)</f>
        <v/>
      </c>
      <c r="AO35" s="10">
        <f>IF(AND(YEAR(AO$3)=YEAR(Assumptions!$D$114),MONTH(AO$3)=MONTH(Assumptions!$D$114)),Assumptions!$D$115,0)+IF(AND(YEAR(AO$3)=YEAR(Assumptions!$D$116),MONTH(AO$3)=MONTH(Assumptions!$D$116)),Assumptions!$D$117,0)</f>
        <v/>
      </c>
      <c r="AP35" s="10">
        <f>IF(AND(YEAR(AP$3)=YEAR(Assumptions!$D$114),MONTH(AP$3)=MONTH(Assumptions!$D$114)),Assumptions!$D$115,0)+IF(AND(YEAR(AP$3)=YEAR(Assumptions!$D$116),MONTH(AP$3)=MONTH(Assumptions!$D$116)),Assumptions!$D$117,0)</f>
        <v/>
      </c>
      <c r="AQ35" s="10">
        <f>IF(AND(YEAR(AQ$3)=YEAR(Assumptions!$D$114),MONTH(AQ$3)=MONTH(Assumptions!$D$114)),Assumptions!$D$115,0)+IF(AND(YEAR(AQ$3)=YEAR(Assumptions!$D$116),MONTH(AQ$3)=MONTH(Assumptions!$D$116)),Assumptions!$D$117,0)</f>
        <v/>
      </c>
      <c r="AR35" s="10">
        <f>IF(AND(YEAR(AR$3)=YEAR(Assumptions!$D$114),MONTH(AR$3)=MONTH(Assumptions!$D$114)),Assumptions!$D$115,0)+IF(AND(YEAR(AR$3)=YEAR(Assumptions!$D$116),MONTH(AR$3)=MONTH(Assumptions!$D$116)),Assumptions!$D$117,0)</f>
        <v/>
      </c>
      <c r="AS35" s="10">
        <f>IF(AND(YEAR(AS$3)=YEAR(Assumptions!$D$114),MONTH(AS$3)=MONTH(Assumptions!$D$114)),Assumptions!$D$115,0)+IF(AND(YEAR(AS$3)=YEAR(Assumptions!$D$116),MONTH(AS$3)=MONTH(Assumptions!$D$116)),Assumptions!$D$117,0)</f>
        <v/>
      </c>
      <c r="AT35" s="10">
        <f>IF(AND(YEAR(AT$3)=YEAR(Assumptions!$D$114),MONTH(AT$3)=MONTH(Assumptions!$D$114)),Assumptions!$D$115,0)+IF(AND(YEAR(AT$3)=YEAR(Assumptions!$D$116),MONTH(AT$3)=MONTH(Assumptions!$D$116)),Assumptions!$D$117,0)</f>
        <v/>
      </c>
      <c r="AU35" s="10">
        <f>IF(AND(YEAR(AU$3)=YEAR(Assumptions!$D$114),MONTH(AU$3)=MONTH(Assumptions!$D$114)),Assumptions!$D$115,0)+IF(AND(YEAR(AU$3)=YEAR(Assumptions!$D$116),MONTH(AU$3)=MONTH(Assumptions!$D$116)),Assumptions!$D$117,0)</f>
        <v/>
      </c>
      <c r="AV35" s="10">
        <f>IF(AND(YEAR(AV$3)=YEAR(Assumptions!$D$114),MONTH(AV$3)=MONTH(Assumptions!$D$114)),Assumptions!$D$115,0)+IF(AND(YEAR(AV$3)=YEAR(Assumptions!$D$116),MONTH(AV$3)=MONTH(Assumptions!$D$116)),Assumptions!$D$117,0)</f>
        <v/>
      </c>
      <c r="AW35" s="10">
        <f>IF(AND(YEAR(AW$3)=YEAR(Assumptions!$D$114),MONTH(AW$3)=MONTH(Assumptions!$D$114)),Assumptions!$D$115,0)+IF(AND(YEAR(AW$3)=YEAR(Assumptions!$D$116),MONTH(AW$3)=MONTH(Assumptions!$D$116)),Assumptions!$D$117,0)</f>
        <v/>
      </c>
      <c r="AX35" s="10">
        <f>IF(AND(YEAR(AX$3)=YEAR(Assumptions!$D$114),MONTH(AX$3)=MONTH(Assumptions!$D$114)),Assumptions!$D$115,0)+IF(AND(YEAR(AX$3)=YEAR(Assumptions!$D$116),MONTH(AX$3)=MONTH(Assumptions!$D$116)),Assumptions!$D$117,0)</f>
        <v/>
      </c>
      <c r="AY35" s="10">
        <f>IF(AND(YEAR(AY$3)=YEAR(Assumptions!$D$114),MONTH(AY$3)=MONTH(Assumptions!$D$114)),Assumptions!$D$115,0)+IF(AND(YEAR(AY$3)=YEAR(Assumptions!$D$116),MONTH(AY$3)=MONTH(Assumptions!$D$116)),Assumptions!$D$117,0)</f>
        <v/>
      </c>
      <c r="AZ35" s="10">
        <f>IF(AND(YEAR(AZ$3)=YEAR(Assumptions!$D$114),MONTH(AZ$3)=MONTH(Assumptions!$D$114)),Assumptions!$D$115,0)+IF(AND(YEAR(AZ$3)=YEAR(Assumptions!$D$116),MONTH(AZ$3)=MONTH(Assumptions!$D$116)),Assumptions!$D$117,0)</f>
        <v/>
      </c>
      <c r="BA35" s="10">
        <f>IF(AND(YEAR(BA$3)=YEAR(Assumptions!$D$114),MONTH(BA$3)=MONTH(Assumptions!$D$114)),Assumptions!$D$115,0)+IF(AND(YEAR(BA$3)=YEAR(Assumptions!$D$116),MONTH(BA$3)=MONTH(Assumptions!$D$116)),Assumptions!$D$117,0)</f>
        <v/>
      </c>
      <c r="BB35" s="10">
        <f>IF(AND(YEAR(BB$3)=YEAR(Assumptions!$D$114),MONTH(BB$3)=MONTH(Assumptions!$D$114)),Assumptions!$D$115,0)+IF(AND(YEAR(BB$3)=YEAR(Assumptions!$D$116),MONTH(BB$3)=MONTH(Assumptions!$D$116)),Assumptions!$D$117,0)</f>
        <v/>
      </c>
      <c r="BC35" s="10">
        <f>IF(AND(YEAR(BC$3)=YEAR(Assumptions!$D$114),MONTH(BC$3)=MONTH(Assumptions!$D$114)),Assumptions!$D$115,0)+IF(AND(YEAR(BC$3)=YEAR(Assumptions!$D$116),MONTH(BC$3)=MONTH(Assumptions!$D$116)),Assumptions!$D$117,0)</f>
        <v/>
      </c>
      <c r="BD35" s="10">
        <f>IF(AND(YEAR(BD$3)=YEAR(Assumptions!$D$114),MONTH(BD$3)=MONTH(Assumptions!$D$114)),Assumptions!$D$115,0)+IF(AND(YEAR(BD$3)=YEAR(Assumptions!$D$116),MONTH(BD$3)=MONTH(Assumptions!$D$116)),Assumptions!$D$117,0)</f>
        <v/>
      </c>
      <c r="BE35" s="10">
        <f>IF(AND(YEAR(BE$3)=YEAR(Assumptions!$D$114),MONTH(BE$3)=MONTH(Assumptions!$D$114)),Assumptions!$D$115,0)+IF(AND(YEAR(BE$3)=YEAR(Assumptions!$D$116),MONTH(BE$3)=MONTH(Assumptions!$D$116)),Assumptions!$D$117,0)</f>
        <v/>
      </c>
      <c r="BF35" s="10">
        <f>IF(AND(YEAR(BF$3)=YEAR(Assumptions!$D$114),MONTH(BF$3)=MONTH(Assumptions!$D$114)),Assumptions!$D$115,0)+IF(AND(YEAR(BF$3)=YEAR(Assumptions!$D$116),MONTH(BF$3)=MONTH(Assumptions!$D$116)),Assumptions!$D$117,0)</f>
        <v/>
      </c>
      <c r="BG35" s="10">
        <f>IF(AND(YEAR(BG$3)=YEAR(Assumptions!$D$114),MONTH(BG$3)=MONTH(Assumptions!$D$114)),Assumptions!$D$115,0)+IF(AND(YEAR(BG$3)=YEAR(Assumptions!$D$116),MONTH(BG$3)=MONTH(Assumptions!$D$116)),Assumptions!$D$117,0)</f>
        <v/>
      </c>
      <c r="BH35" s="10">
        <f>IF(AND(YEAR(BH$3)=YEAR(Assumptions!$D$114),MONTH(BH$3)=MONTH(Assumptions!$D$114)),Assumptions!$D$115,0)+IF(AND(YEAR(BH$3)=YEAR(Assumptions!$D$116),MONTH(BH$3)=MONTH(Assumptions!$D$116)),Assumptions!$D$117,0)</f>
        <v/>
      </c>
      <c r="BI35" s="10">
        <f>IF(AND(YEAR(BI$3)=YEAR(Assumptions!$D$114),MONTH(BI$3)=MONTH(Assumptions!$D$114)),Assumptions!$D$115,0)+IF(AND(YEAR(BI$3)=YEAR(Assumptions!$D$116),MONTH(BI$3)=MONTH(Assumptions!$D$116)),Assumptions!$D$117,0)</f>
        <v/>
      </c>
      <c r="BJ35" s="10">
        <f>IF(AND(YEAR(BJ$3)=YEAR(Assumptions!$D$114),MONTH(BJ$3)=MONTH(Assumptions!$D$114)),Assumptions!$D$115,0)+IF(AND(YEAR(BJ$3)=YEAR(Assumptions!$D$116),MONTH(BJ$3)=MONTH(Assumptions!$D$116)),Assumptions!$D$117,0)</f>
        <v/>
      </c>
      <c r="BK35" s="10">
        <f>IF(AND(YEAR(BK$3)=YEAR(Assumptions!$D$114),MONTH(BK$3)=MONTH(Assumptions!$D$114)),Assumptions!$D$115,0)+IF(AND(YEAR(BK$3)=YEAR(Assumptions!$D$116),MONTH(BK$3)=MONTH(Assumptions!$D$116)),Assumptions!$D$117,0)</f>
        <v/>
      </c>
      <c r="BL35" s="10">
        <f>IF(AND(YEAR(BL$3)=YEAR(Assumptions!$D$114),MONTH(BL$3)=MONTH(Assumptions!$D$114)),Assumptions!$D$115,0)+IF(AND(YEAR(BL$3)=YEAR(Assumptions!$D$116),MONTH(BL$3)=MONTH(Assumptions!$D$116)),Assumptions!$D$117,0)</f>
        <v/>
      </c>
      <c r="BN35" s="50">
        <f>SUM(E35:P35)</f>
        <v/>
      </c>
      <c r="BO35" s="50">
        <f>SUM(Q35:AB35)</f>
        <v/>
      </c>
      <c r="BP35" s="50">
        <f>SUM(AC35:AN35)</f>
        <v/>
      </c>
      <c r="BQ35" s="50">
        <f>SUM(AO35:AZ35)</f>
        <v/>
      </c>
      <c r="BR35" s="50">
        <f>SUM(BA35:BL35)</f>
        <v/>
      </c>
      <c r="BT35" s="32" t="inlineStr">
        <is>
          <t>dates and amounts are on the Assumptions funding block; any day in the month counts</t>
        </is>
      </c>
    </row>
    <row r="36">
      <c r="B36" s="6" t="inlineStr">
        <is>
          <t>Loan drawn</t>
        </is>
      </c>
      <c r="C36" s="17" t="inlineStr">
        <is>
          <t>EUR</t>
        </is>
      </c>
      <c r="E36" s="10">
        <f>IF(AND(YEAR(E$3)=YEAR(Assumptions!$D$119),MONTH(E$3)=MONTH(Assumptions!$D$119)),Assumptions!$D$118,0)</f>
        <v/>
      </c>
      <c r="F36" s="10">
        <f>IF(AND(YEAR(F$3)=YEAR(Assumptions!$D$119),MONTH(F$3)=MONTH(Assumptions!$D$119)),Assumptions!$D$118,0)</f>
        <v/>
      </c>
      <c r="G36" s="10">
        <f>IF(AND(YEAR(G$3)=YEAR(Assumptions!$D$119),MONTH(G$3)=MONTH(Assumptions!$D$119)),Assumptions!$D$118,0)</f>
        <v/>
      </c>
      <c r="H36" s="10">
        <f>IF(AND(YEAR(H$3)=YEAR(Assumptions!$D$119),MONTH(H$3)=MONTH(Assumptions!$D$119)),Assumptions!$D$118,0)</f>
        <v/>
      </c>
      <c r="I36" s="10">
        <f>IF(AND(YEAR(I$3)=YEAR(Assumptions!$D$119),MONTH(I$3)=MONTH(Assumptions!$D$119)),Assumptions!$D$118,0)</f>
        <v/>
      </c>
      <c r="J36" s="10">
        <f>IF(AND(YEAR(J$3)=YEAR(Assumptions!$D$119),MONTH(J$3)=MONTH(Assumptions!$D$119)),Assumptions!$D$118,0)</f>
        <v/>
      </c>
      <c r="K36" s="10">
        <f>IF(AND(YEAR(K$3)=YEAR(Assumptions!$D$119),MONTH(K$3)=MONTH(Assumptions!$D$119)),Assumptions!$D$118,0)</f>
        <v/>
      </c>
      <c r="L36" s="10">
        <f>IF(AND(YEAR(L$3)=YEAR(Assumptions!$D$119),MONTH(L$3)=MONTH(Assumptions!$D$119)),Assumptions!$D$118,0)</f>
        <v/>
      </c>
      <c r="M36" s="10">
        <f>IF(AND(YEAR(M$3)=YEAR(Assumptions!$D$119),MONTH(M$3)=MONTH(Assumptions!$D$119)),Assumptions!$D$118,0)</f>
        <v/>
      </c>
      <c r="N36" s="10">
        <f>IF(AND(YEAR(N$3)=YEAR(Assumptions!$D$119),MONTH(N$3)=MONTH(Assumptions!$D$119)),Assumptions!$D$118,0)</f>
        <v/>
      </c>
      <c r="O36" s="10">
        <f>IF(AND(YEAR(O$3)=YEAR(Assumptions!$D$119),MONTH(O$3)=MONTH(Assumptions!$D$119)),Assumptions!$D$118,0)</f>
        <v/>
      </c>
      <c r="P36" s="10">
        <f>IF(AND(YEAR(P$3)=YEAR(Assumptions!$D$119),MONTH(P$3)=MONTH(Assumptions!$D$119)),Assumptions!$D$118,0)</f>
        <v/>
      </c>
      <c r="Q36" s="10">
        <f>IF(AND(YEAR(Q$3)=YEAR(Assumptions!$D$119),MONTH(Q$3)=MONTH(Assumptions!$D$119)),Assumptions!$D$118,0)</f>
        <v/>
      </c>
      <c r="R36" s="10">
        <f>IF(AND(YEAR(R$3)=YEAR(Assumptions!$D$119),MONTH(R$3)=MONTH(Assumptions!$D$119)),Assumptions!$D$118,0)</f>
        <v/>
      </c>
      <c r="S36" s="10">
        <f>IF(AND(YEAR(S$3)=YEAR(Assumptions!$D$119),MONTH(S$3)=MONTH(Assumptions!$D$119)),Assumptions!$D$118,0)</f>
        <v/>
      </c>
      <c r="T36" s="10">
        <f>IF(AND(YEAR(T$3)=YEAR(Assumptions!$D$119),MONTH(T$3)=MONTH(Assumptions!$D$119)),Assumptions!$D$118,0)</f>
        <v/>
      </c>
      <c r="U36" s="10">
        <f>IF(AND(YEAR(U$3)=YEAR(Assumptions!$D$119),MONTH(U$3)=MONTH(Assumptions!$D$119)),Assumptions!$D$118,0)</f>
        <v/>
      </c>
      <c r="V36" s="10">
        <f>IF(AND(YEAR(V$3)=YEAR(Assumptions!$D$119),MONTH(V$3)=MONTH(Assumptions!$D$119)),Assumptions!$D$118,0)</f>
        <v/>
      </c>
      <c r="W36" s="10">
        <f>IF(AND(YEAR(W$3)=YEAR(Assumptions!$D$119),MONTH(W$3)=MONTH(Assumptions!$D$119)),Assumptions!$D$118,0)</f>
        <v/>
      </c>
      <c r="X36" s="10">
        <f>IF(AND(YEAR(X$3)=YEAR(Assumptions!$D$119),MONTH(X$3)=MONTH(Assumptions!$D$119)),Assumptions!$D$118,0)</f>
        <v/>
      </c>
      <c r="Y36" s="10">
        <f>IF(AND(YEAR(Y$3)=YEAR(Assumptions!$D$119),MONTH(Y$3)=MONTH(Assumptions!$D$119)),Assumptions!$D$118,0)</f>
        <v/>
      </c>
      <c r="Z36" s="10">
        <f>IF(AND(YEAR(Z$3)=YEAR(Assumptions!$D$119),MONTH(Z$3)=MONTH(Assumptions!$D$119)),Assumptions!$D$118,0)</f>
        <v/>
      </c>
      <c r="AA36" s="10">
        <f>IF(AND(YEAR(AA$3)=YEAR(Assumptions!$D$119),MONTH(AA$3)=MONTH(Assumptions!$D$119)),Assumptions!$D$118,0)</f>
        <v/>
      </c>
      <c r="AB36" s="10">
        <f>IF(AND(YEAR(AB$3)=YEAR(Assumptions!$D$119),MONTH(AB$3)=MONTH(Assumptions!$D$119)),Assumptions!$D$118,0)</f>
        <v/>
      </c>
      <c r="AC36" s="10">
        <f>IF(AND(YEAR(AC$3)=YEAR(Assumptions!$D$119),MONTH(AC$3)=MONTH(Assumptions!$D$119)),Assumptions!$D$118,0)</f>
        <v/>
      </c>
      <c r="AD36" s="10">
        <f>IF(AND(YEAR(AD$3)=YEAR(Assumptions!$D$119),MONTH(AD$3)=MONTH(Assumptions!$D$119)),Assumptions!$D$118,0)</f>
        <v/>
      </c>
      <c r="AE36" s="10">
        <f>IF(AND(YEAR(AE$3)=YEAR(Assumptions!$D$119),MONTH(AE$3)=MONTH(Assumptions!$D$119)),Assumptions!$D$118,0)</f>
        <v/>
      </c>
      <c r="AF36" s="10">
        <f>IF(AND(YEAR(AF$3)=YEAR(Assumptions!$D$119),MONTH(AF$3)=MONTH(Assumptions!$D$119)),Assumptions!$D$118,0)</f>
        <v/>
      </c>
      <c r="AG36" s="10">
        <f>IF(AND(YEAR(AG$3)=YEAR(Assumptions!$D$119),MONTH(AG$3)=MONTH(Assumptions!$D$119)),Assumptions!$D$118,0)</f>
        <v/>
      </c>
      <c r="AH36" s="10">
        <f>IF(AND(YEAR(AH$3)=YEAR(Assumptions!$D$119),MONTH(AH$3)=MONTH(Assumptions!$D$119)),Assumptions!$D$118,0)</f>
        <v/>
      </c>
      <c r="AI36" s="10">
        <f>IF(AND(YEAR(AI$3)=YEAR(Assumptions!$D$119),MONTH(AI$3)=MONTH(Assumptions!$D$119)),Assumptions!$D$118,0)</f>
        <v/>
      </c>
      <c r="AJ36" s="10">
        <f>IF(AND(YEAR(AJ$3)=YEAR(Assumptions!$D$119),MONTH(AJ$3)=MONTH(Assumptions!$D$119)),Assumptions!$D$118,0)</f>
        <v/>
      </c>
      <c r="AK36" s="10">
        <f>IF(AND(YEAR(AK$3)=YEAR(Assumptions!$D$119),MONTH(AK$3)=MONTH(Assumptions!$D$119)),Assumptions!$D$118,0)</f>
        <v/>
      </c>
      <c r="AL36" s="10">
        <f>IF(AND(YEAR(AL$3)=YEAR(Assumptions!$D$119),MONTH(AL$3)=MONTH(Assumptions!$D$119)),Assumptions!$D$118,0)</f>
        <v/>
      </c>
      <c r="AM36" s="10">
        <f>IF(AND(YEAR(AM$3)=YEAR(Assumptions!$D$119),MONTH(AM$3)=MONTH(Assumptions!$D$119)),Assumptions!$D$118,0)</f>
        <v/>
      </c>
      <c r="AN36" s="10">
        <f>IF(AND(YEAR(AN$3)=YEAR(Assumptions!$D$119),MONTH(AN$3)=MONTH(Assumptions!$D$119)),Assumptions!$D$118,0)</f>
        <v/>
      </c>
      <c r="AO36" s="10">
        <f>IF(AND(YEAR(AO$3)=YEAR(Assumptions!$D$119),MONTH(AO$3)=MONTH(Assumptions!$D$119)),Assumptions!$D$118,0)</f>
        <v/>
      </c>
      <c r="AP36" s="10">
        <f>IF(AND(YEAR(AP$3)=YEAR(Assumptions!$D$119),MONTH(AP$3)=MONTH(Assumptions!$D$119)),Assumptions!$D$118,0)</f>
        <v/>
      </c>
      <c r="AQ36" s="10">
        <f>IF(AND(YEAR(AQ$3)=YEAR(Assumptions!$D$119),MONTH(AQ$3)=MONTH(Assumptions!$D$119)),Assumptions!$D$118,0)</f>
        <v/>
      </c>
      <c r="AR36" s="10">
        <f>IF(AND(YEAR(AR$3)=YEAR(Assumptions!$D$119),MONTH(AR$3)=MONTH(Assumptions!$D$119)),Assumptions!$D$118,0)</f>
        <v/>
      </c>
      <c r="AS36" s="10">
        <f>IF(AND(YEAR(AS$3)=YEAR(Assumptions!$D$119),MONTH(AS$3)=MONTH(Assumptions!$D$119)),Assumptions!$D$118,0)</f>
        <v/>
      </c>
      <c r="AT36" s="10">
        <f>IF(AND(YEAR(AT$3)=YEAR(Assumptions!$D$119),MONTH(AT$3)=MONTH(Assumptions!$D$119)),Assumptions!$D$118,0)</f>
        <v/>
      </c>
      <c r="AU36" s="10">
        <f>IF(AND(YEAR(AU$3)=YEAR(Assumptions!$D$119),MONTH(AU$3)=MONTH(Assumptions!$D$119)),Assumptions!$D$118,0)</f>
        <v/>
      </c>
      <c r="AV36" s="10">
        <f>IF(AND(YEAR(AV$3)=YEAR(Assumptions!$D$119),MONTH(AV$3)=MONTH(Assumptions!$D$119)),Assumptions!$D$118,0)</f>
        <v/>
      </c>
      <c r="AW36" s="10">
        <f>IF(AND(YEAR(AW$3)=YEAR(Assumptions!$D$119),MONTH(AW$3)=MONTH(Assumptions!$D$119)),Assumptions!$D$118,0)</f>
        <v/>
      </c>
      <c r="AX36" s="10">
        <f>IF(AND(YEAR(AX$3)=YEAR(Assumptions!$D$119),MONTH(AX$3)=MONTH(Assumptions!$D$119)),Assumptions!$D$118,0)</f>
        <v/>
      </c>
      <c r="AY36" s="10">
        <f>IF(AND(YEAR(AY$3)=YEAR(Assumptions!$D$119),MONTH(AY$3)=MONTH(Assumptions!$D$119)),Assumptions!$D$118,0)</f>
        <v/>
      </c>
      <c r="AZ36" s="10">
        <f>IF(AND(YEAR(AZ$3)=YEAR(Assumptions!$D$119),MONTH(AZ$3)=MONTH(Assumptions!$D$119)),Assumptions!$D$118,0)</f>
        <v/>
      </c>
      <c r="BA36" s="10">
        <f>IF(AND(YEAR(BA$3)=YEAR(Assumptions!$D$119),MONTH(BA$3)=MONTH(Assumptions!$D$119)),Assumptions!$D$118,0)</f>
        <v/>
      </c>
      <c r="BB36" s="10">
        <f>IF(AND(YEAR(BB$3)=YEAR(Assumptions!$D$119),MONTH(BB$3)=MONTH(Assumptions!$D$119)),Assumptions!$D$118,0)</f>
        <v/>
      </c>
      <c r="BC36" s="10">
        <f>IF(AND(YEAR(BC$3)=YEAR(Assumptions!$D$119),MONTH(BC$3)=MONTH(Assumptions!$D$119)),Assumptions!$D$118,0)</f>
        <v/>
      </c>
      <c r="BD36" s="10">
        <f>IF(AND(YEAR(BD$3)=YEAR(Assumptions!$D$119),MONTH(BD$3)=MONTH(Assumptions!$D$119)),Assumptions!$D$118,0)</f>
        <v/>
      </c>
      <c r="BE36" s="10">
        <f>IF(AND(YEAR(BE$3)=YEAR(Assumptions!$D$119),MONTH(BE$3)=MONTH(Assumptions!$D$119)),Assumptions!$D$118,0)</f>
        <v/>
      </c>
      <c r="BF36" s="10">
        <f>IF(AND(YEAR(BF$3)=YEAR(Assumptions!$D$119),MONTH(BF$3)=MONTH(Assumptions!$D$119)),Assumptions!$D$118,0)</f>
        <v/>
      </c>
      <c r="BG36" s="10">
        <f>IF(AND(YEAR(BG$3)=YEAR(Assumptions!$D$119),MONTH(BG$3)=MONTH(Assumptions!$D$119)),Assumptions!$D$118,0)</f>
        <v/>
      </c>
      <c r="BH36" s="10">
        <f>IF(AND(YEAR(BH$3)=YEAR(Assumptions!$D$119),MONTH(BH$3)=MONTH(Assumptions!$D$119)),Assumptions!$D$118,0)</f>
        <v/>
      </c>
      <c r="BI36" s="10">
        <f>IF(AND(YEAR(BI$3)=YEAR(Assumptions!$D$119),MONTH(BI$3)=MONTH(Assumptions!$D$119)),Assumptions!$D$118,0)</f>
        <v/>
      </c>
      <c r="BJ36" s="10">
        <f>IF(AND(YEAR(BJ$3)=YEAR(Assumptions!$D$119),MONTH(BJ$3)=MONTH(Assumptions!$D$119)),Assumptions!$D$118,0)</f>
        <v/>
      </c>
      <c r="BK36" s="10">
        <f>IF(AND(YEAR(BK$3)=YEAR(Assumptions!$D$119),MONTH(BK$3)=MONTH(Assumptions!$D$119)),Assumptions!$D$118,0)</f>
        <v/>
      </c>
      <c r="BL36" s="10">
        <f>IF(AND(YEAR(BL$3)=YEAR(Assumptions!$D$119),MONTH(BL$3)=MONTH(Assumptions!$D$119)),Assumptions!$D$118,0)</f>
        <v/>
      </c>
      <c r="BN36" s="50">
        <f>SUM(E36:P36)</f>
        <v/>
      </c>
      <c r="BO36" s="50">
        <f>SUM(Q36:AB36)</f>
        <v/>
      </c>
      <c r="BP36" s="50">
        <f>SUM(AC36:AN36)</f>
        <v/>
      </c>
      <c r="BQ36" s="50">
        <f>SUM(AO36:AZ36)</f>
        <v/>
      </c>
      <c r="BR36" s="50">
        <f>SUM(BA36:BL36)</f>
        <v/>
      </c>
    </row>
    <row r="37">
      <c r="B37" s="56" t="inlineStr">
        <is>
          <t>Cash from financing</t>
        </is>
      </c>
      <c r="C37" s="57" t="inlineStr">
        <is>
          <t>EUR</t>
        </is>
      </c>
      <c r="E37" s="37">
        <f>E35+E36</f>
        <v/>
      </c>
      <c r="F37" s="37">
        <f>F35+F36</f>
        <v/>
      </c>
      <c r="G37" s="37">
        <f>G35+G36</f>
        <v/>
      </c>
      <c r="H37" s="37">
        <f>H35+H36</f>
        <v/>
      </c>
      <c r="I37" s="37">
        <f>I35+I36</f>
        <v/>
      </c>
      <c r="J37" s="37">
        <f>J35+J36</f>
        <v/>
      </c>
      <c r="K37" s="37">
        <f>K35+K36</f>
        <v/>
      </c>
      <c r="L37" s="37">
        <f>L35+L36</f>
        <v/>
      </c>
      <c r="M37" s="37">
        <f>M35+M36</f>
        <v/>
      </c>
      <c r="N37" s="37">
        <f>N35+N36</f>
        <v/>
      </c>
      <c r="O37" s="37">
        <f>O35+O36</f>
        <v/>
      </c>
      <c r="P37" s="37">
        <f>P35+P36</f>
        <v/>
      </c>
      <c r="Q37" s="37">
        <f>Q35+Q36</f>
        <v/>
      </c>
      <c r="R37" s="37">
        <f>R35+R36</f>
        <v/>
      </c>
      <c r="S37" s="37">
        <f>S35+S36</f>
        <v/>
      </c>
      <c r="T37" s="37">
        <f>T35+T36</f>
        <v/>
      </c>
      <c r="U37" s="37">
        <f>U35+U36</f>
        <v/>
      </c>
      <c r="V37" s="37">
        <f>V35+V36</f>
        <v/>
      </c>
      <c r="W37" s="37">
        <f>W35+W36</f>
        <v/>
      </c>
      <c r="X37" s="37">
        <f>X35+X36</f>
        <v/>
      </c>
      <c r="Y37" s="37">
        <f>Y35+Y36</f>
        <v/>
      </c>
      <c r="Z37" s="37">
        <f>Z35+Z36</f>
        <v/>
      </c>
      <c r="AA37" s="37">
        <f>AA35+AA36</f>
        <v/>
      </c>
      <c r="AB37" s="37">
        <f>AB35+AB36</f>
        <v/>
      </c>
      <c r="AC37" s="37">
        <f>AC35+AC36</f>
        <v/>
      </c>
      <c r="AD37" s="37">
        <f>AD35+AD36</f>
        <v/>
      </c>
      <c r="AE37" s="37">
        <f>AE35+AE36</f>
        <v/>
      </c>
      <c r="AF37" s="37">
        <f>AF35+AF36</f>
        <v/>
      </c>
      <c r="AG37" s="37">
        <f>AG35+AG36</f>
        <v/>
      </c>
      <c r="AH37" s="37">
        <f>AH35+AH36</f>
        <v/>
      </c>
      <c r="AI37" s="37">
        <f>AI35+AI36</f>
        <v/>
      </c>
      <c r="AJ37" s="37">
        <f>AJ35+AJ36</f>
        <v/>
      </c>
      <c r="AK37" s="37">
        <f>AK35+AK36</f>
        <v/>
      </c>
      <c r="AL37" s="37">
        <f>AL35+AL36</f>
        <v/>
      </c>
      <c r="AM37" s="37">
        <f>AM35+AM36</f>
        <v/>
      </c>
      <c r="AN37" s="37">
        <f>AN35+AN36</f>
        <v/>
      </c>
      <c r="AO37" s="37">
        <f>AO35+AO36</f>
        <v/>
      </c>
      <c r="AP37" s="37">
        <f>AP35+AP36</f>
        <v/>
      </c>
      <c r="AQ37" s="37">
        <f>AQ35+AQ36</f>
        <v/>
      </c>
      <c r="AR37" s="37">
        <f>AR35+AR36</f>
        <v/>
      </c>
      <c r="AS37" s="37">
        <f>AS35+AS36</f>
        <v/>
      </c>
      <c r="AT37" s="37">
        <f>AT35+AT36</f>
        <v/>
      </c>
      <c r="AU37" s="37">
        <f>AU35+AU36</f>
        <v/>
      </c>
      <c r="AV37" s="37">
        <f>AV35+AV36</f>
        <v/>
      </c>
      <c r="AW37" s="37">
        <f>AW35+AW36</f>
        <v/>
      </c>
      <c r="AX37" s="37">
        <f>AX35+AX36</f>
        <v/>
      </c>
      <c r="AY37" s="37">
        <f>AY35+AY36</f>
        <v/>
      </c>
      <c r="AZ37" s="37">
        <f>AZ35+AZ36</f>
        <v/>
      </c>
      <c r="BA37" s="37">
        <f>BA35+BA36</f>
        <v/>
      </c>
      <c r="BB37" s="37">
        <f>BB35+BB36</f>
        <v/>
      </c>
      <c r="BC37" s="37">
        <f>BC35+BC36</f>
        <v/>
      </c>
      <c r="BD37" s="37">
        <f>BD35+BD36</f>
        <v/>
      </c>
      <c r="BE37" s="37">
        <f>BE35+BE36</f>
        <v/>
      </c>
      <c r="BF37" s="37">
        <f>BF35+BF36</f>
        <v/>
      </c>
      <c r="BG37" s="37">
        <f>BG35+BG36</f>
        <v/>
      </c>
      <c r="BH37" s="37">
        <f>BH35+BH36</f>
        <v/>
      </c>
      <c r="BI37" s="37">
        <f>BI35+BI36</f>
        <v/>
      </c>
      <c r="BJ37" s="37">
        <f>BJ35+BJ36</f>
        <v/>
      </c>
      <c r="BK37" s="37">
        <f>BK35+BK36</f>
        <v/>
      </c>
      <c r="BL37" s="37">
        <f>BL35+BL36</f>
        <v/>
      </c>
      <c r="BN37" s="37">
        <f>SUM(E37:P37)</f>
        <v/>
      </c>
      <c r="BO37" s="37">
        <f>SUM(Q37:AB37)</f>
        <v/>
      </c>
      <c r="BP37" s="37">
        <f>SUM(AC37:AN37)</f>
        <v/>
      </c>
      <c r="BQ37" s="37">
        <f>SUM(AO37:AZ37)</f>
        <v/>
      </c>
      <c r="BR37" s="37">
        <f>SUM(BA37:BL37)</f>
        <v/>
      </c>
    </row>
    <row r="38">
      <c r="B38" s="6" t="inlineStr">
        <is>
          <t>Movement in cash</t>
        </is>
      </c>
      <c r="C38" s="17" t="inlineStr">
        <is>
          <t>EUR</t>
        </is>
      </c>
      <c r="E38" s="10">
        <f>E32+E34+E37</f>
        <v/>
      </c>
      <c r="F38" s="10">
        <f>F32+F34+F37</f>
        <v/>
      </c>
      <c r="G38" s="10">
        <f>G32+G34+G37</f>
        <v/>
      </c>
      <c r="H38" s="10">
        <f>H32+H34+H37</f>
        <v/>
      </c>
      <c r="I38" s="10">
        <f>I32+I34+I37</f>
        <v/>
      </c>
      <c r="J38" s="10">
        <f>J32+J34+J37</f>
        <v/>
      </c>
      <c r="K38" s="10">
        <f>K32+K34+K37</f>
        <v/>
      </c>
      <c r="L38" s="10">
        <f>L32+L34+L37</f>
        <v/>
      </c>
      <c r="M38" s="10">
        <f>M32+M34+M37</f>
        <v/>
      </c>
      <c r="N38" s="10">
        <f>N32+N34+N37</f>
        <v/>
      </c>
      <c r="O38" s="10">
        <f>O32+O34+O37</f>
        <v/>
      </c>
      <c r="P38" s="10">
        <f>P32+P34+P37</f>
        <v/>
      </c>
      <c r="Q38" s="10">
        <f>Q32+Q34+Q37</f>
        <v/>
      </c>
      <c r="R38" s="10">
        <f>R32+R34+R37</f>
        <v/>
      </c>
      <c r="S38" s="10">
        <f>S32+S34+S37</f>
        <v/>
      </c>
      <c r="T38" s="10">
        <f>T32+T34+T37</f>
        <v/>
      </c>
      <c r="U38" s="10">
        <f>U32+U34+U37</f>
        <v/>
      </c>
      <c r="V38" s="10">
        <f>V32+V34+V37</f>
        <v/>
      </c>
      <c r="W38" s="10">
        <f>W32+W34+W37</f>
        <v/>
      </c>
      <c r="X38" s="10">
        <f>X32+X34+X37</f>
        <v/>
      </c>
      <c r="Y38" s="10">
        <f>Y32+Y34+Y37</f>
        <v/>
      </c>
      <c r="Z38" s="10">
        <f>Z32+Z34+Z37</f>
        <v/>
      </c>
      <c r="AA38" s="10">
        <f>AA32+AA34+AA37</f>
        <v/>
      </c>
      <c r="AB38" s="10">
        <f>AB32+AB34+AB37</f>
        <v/>
      </c>
      <c r="AC38" s="10">
        <f>AC32+AC34+AC37</f>
        <v/>
      </c>
      <c r="AD38" s="10">
        <f>AD32+AD34+AD37</f>
        <v/>
      </c>
      <c r="AE38" s="10">
        <f>AE32+AE34+AE37</f>
        <v/>
      </c>
      <c r="AF38" s="10">
        <f>AF32+AF34+AF37</f>
        <v/>
      </c>
      <c r="AG38" s="10">
        <f>AG32+AG34+AG37</f>
        <v/>
      </c>
      <c r="AH38" s="10">
        <f>AH32+AH34+AH37</f>
        <v/>
      </c>
      <c r="AI38" s="10">
        <f>AI32+AI34+AI37</f>
        <v/>
      </c>
      <c r="AJ38" s="10">
        <f>AJ32+AJ34+AJ37</f>
        <v/>
      </c>
      <c r="AK38" s="10">
        <f>AK32+AK34+AK37</f>
        <v/>
      </c>
      <c r="AL38" s="10">
        <f>AL32+AL34+AL37</f>
        <v/>
      </c>
      <c r="AM38" s="10">
        <f>AM32+AM34+AM37</f>
        <v/>
      </c>
      <c r="AN38" s="10">
        <f>AN32+AN34+AN37</f>
        <v/>
      </c>
      <c r="AO38" s="10">
        <f>AO32+AO34+AO37</f>
        <v/>
      </c>
      <c r="AP38" s="10">
        <f>AP32+AP34+AP37</f>
        <v/>
      </c>
      <c r="AQ38" s="10">
        <f>AQ32+AQ34+AQ37</f>
        <v/>
      </c>
      <c r="AR38" s="10">
        <f>AR32+AR34+AR37</f>
        <v/>
      </c>
      <c r="AS38" s="10">
        <f>AS32+AS34+AS37</f>
        <v/>
      </c>
      <c r="AT38" s="10">
        <f>AT32+AT34+AT37</f>
        <v/>
      </c>
      <c r="AU38" s="10">
        <f>AU32+AU34+AU37</f>
        <v/>
      </c>
      <c r="AV38" s="10">
        <f>AV32+AV34+AV37</f>
        <v/>
      </c>
      <c r="AW38" s="10">
        <f>AW32+AW34+AW37</f>
        <v/>
      </c>
      <c r="AX38" s="10">
        <f>AX32+AX34+AX37</f>
        <v/>
      </c>
      <c r="AY38" s="10">
        <f>AY32+AY34+AY37</f>
        <v/>
      </c>
      <c r="AZ38" s="10">
        <f>AZ32+AZ34+AZ37</f>
        <v/>
      </c>
      <c r="BA38" s="10">
        <f>BA32+BA34+BA37</f>
        <v/>
      </c>
      <c r="BB38" s="10">
        <f>BB32+BB34+BB37</f>
        <v/>
      </c>
      <c r="BC38" s="10">
        <f>BC32+BC34+BC37</f>
        <v/>
      </c>
      <c r="BD38" s="10">
        <f>BD32+BD34+BD37</f>
        <v/>
      </c>
      <c r="BE38" s="10">
        <f>BE32+BE34+BE37</f>
        <v/>
      </c>
      <c r="BF38" s="10">
        <f>BF32+BF34+BF37</f>
        <v/>
      </c>
      <c r="BG38" s="10">
        <f>BG32+BG34+BG37</f>
        <v/>
      </c>
      <c r="BH38" s="10">
        <f>BH32+BH34+BH37</f>
        <v/>
      </c>
      <c r="BI38" s="10">
        <f>BI32+BI34+BI37</f>
        <v/>
      </c>
      <c r="BJ38" s="10">
        <f>BJ32+BJ34+BJ37</f>
        <v/>
      </c>
      <c r="BK38" s="10">
        <f>BK32+BK34+BK37</f>
        <v/>
      </c>
      <c r="BL38" s="10">
        <f>BL32+BL34+BL37</f>
        <v/>
      </c>
      <c r="BN38" s="50">
        <f>SUM(E38:P38)</f>
        <v/>
      </c>
      <c r="BO38" s="50">
        <f>SUM(Q38:AB38)</f>
        <v/>
      </c>
      <c r="BP38" s="50">
        <f>SUM(AC38:AN38)</f>
        <v/>
      </c>
      <c r="BQ38" s="50">
        <f>SUM(AO38:AZ38)</f>
        <v/>
      </c>
      <c r="BR38" s="50">
        <f>SUM(BA38:BL38)</f>
        <v/>
      </c>
    </row>
    <row r="39">
      <c r="B39" s="6" t="inlineStr">
        <is>
          <t>Cash at the start of the month</t>
        </is>
      </c>
      <c r="C39" s="17" t="inlineStr">
        <is>
          <t>EUR</t>
        </is>
      </c>
      <c r="E39" s="10">
        <f>Assumptions!$D$6</f>
        <v/>
      </c>
      <c r="F39" s="10">
        <f>E40</f>
        <v/>
      </c>
      <c r="G39" s="10">
        <f>F40</f>
        <v/>
      </c>
      <c r="H39" s="10">
        <f>G40</f>
        <v/>
      </c>
      <c r="I39" s="10">
        <f>H40</f>
        <v/>
      </c>
      <c r="J39" s="10">
        <f>I40</f>
        <v/>
      </c>
      <c r="K39" s="10">
        <f>J40</f>
        <v/>
      </c>
      <c r="L39" s="10">
        <f>K40</f>
        <v/>
      </c>
      <c r="M39" s="10">
        <f>L40</f>
        <v/>
      </c>
      <c r="N39" s="10">
        <f>M40</f>
        <v/>
      </c>
      <c r="O39" s="10">
        <f>N40</f>
        <v/>
      </c>
      <c r="P39" s="10">
        <f>O40</f>
        <v/>
      </c>
      <c r="Q39" s="10">
        <f>P40</f>
        <v/>
      </c>
      <c r="R39" s="10">
        <f>Q40</f>
        <v/>
      </c>
      <c r="S39" s="10">
        <f>R40</f>
        <v/>
      </c>
      <c r="T39" s="10">
        <f>S40</f>
        <v/>
      </c>
      <c r="U39" s="10">
        <f>T40</f>
        <v/>
      </c>
      <c r="V39" s="10">
        <f>U40</f>
        <v/>
      </c>
      <c r="W39" s="10">
        <f>V40</f>
        <v/>
      </c>
      <c r="X39" s="10">
        <f>W40</f>
        <v/>
      </c>
      <c r="Y39" s="10">
        <f>X40</f>
        <v/>
      </c>
      <c r="Z39" s="10">
        <f>Y40</f>
        <v/>
      </c>
      <c r="AA39" s="10">
        <f>Z40</f>
        <v/>
      </c>
      <c r="AB39" s="10">
        <f>AA40</f>
        <v/>
      </c>
      <c r="AC39" s="10">
        <f>AB40</f>
        <v/>
      </c>
      <c r="AD39" s="10">
        <f>AC40</f>
        <v/>
      </c>
      <c r="AE39" s="10">
        <f>AD40</f>
        <v/>
      </c>
      <c r="AF39" s="10">
        <f>AE40</f>
        <v/>
      </c>
      <c r="AG39" s="10">
        <f>AF40</f>
        <v/>
      </c>
      <c r="AH39" s="10">
        <f>AG40</f>
        <v/>
      </c>
      <c r="AI39" s="10">
        <f>AH40</f>
        <v/>
      </c>
      <c r="AJ39" s="10">
        <f>AI40</f>
        <v/>
      </c>
      <c r="AK39" s="10">
        <f>AJ40</f>
        <v/>
      </c>
      <c r="AL39" s="10">
        <f>AK40</f>
        <v/>
      </c>
      <c r="AM39" s="10">
        <f>AL40</f>
        <v/>
      </c>
      <c r="AN39" s="10">
        <f>AM40</f>
        <v/>
      </c>
      <c r="AO39" s="10">
        <f>AN40</f>
        <v/>
      </c>
      <c r="AP39" s="10">
        <f>AO40</f>
        <v/>
      </c>
      <c r="AQ39" s="10">
        <f>AP40</f>
        <v/>
      </c>
      <c r="AR39" s="10">
        <f>AQ40</f>
        <v/>
      </c>
      <c r="AS39" s="10">
        <f>AR40</f>
        <v/>
      </c>
      <c r="AT39" s="10">
        <f>AS40</f>
        <v/>
      </c>
      <c r="AU39" s="10">
        <f>AT40</f>
        <v/>
      </c>
      <c r="AV39" s="10">
        <f>AU40</f>
        <v/>
      </c>
      <c r="AW39" s="10">
        <f>AV40</f>
        <v/>
      </c>
      <c r="AX39" s="10">
        <f>AW40</f>
        <v/>
      </c>
      <c r="AY39" s="10">
        <f>AX40</f>
        <v/>
      </c>
      <c r="AZ39" s="10">
        <f>AY40</f>
        <v/>
      </c>
      <c r="BA39" s="10">
        <f>AZ40</f>
        <v/>
      </c>
      <c r="BB39" s="10">
        <f>BA40</f>
        <v/>
      </c>
      <c r="BC39" s="10">
        <f>BB40</f>
        <v/>
      </c>
      <c r="BD39" s="10">
        <f>BC40</f>
        <v/>
      </c>
      <c r="BE39" s="10">
        <f>BD40</f>
        <v/>
      </c>
      <c r="BF39" s="10">
        <f>BE40</f>
        <v/>
      </c>
      <c r="BG39" s="10">
        <f>BF40</f>
        <v/>
      </c>
      <c r="BH39" s="10">
        <f>BG40</f>
        <v/>
      </c>
      <c r="BI39" s="10">
        <f>BH40</f>
        <v/>
      </c>
      <c r="BJ39" s="10">
        <f>BI40</f>
        <v/>
      </c>
      <c r="BK39" s="10">
        <f>BJ40</f>
        <v/>
      </c>
      <c r="BL39" s="10">
        <f>BK40</f>
        <v/>
      </c>
      <c r="BN39" s="50">
        <f>E39</f>
        <v/>
      </c>
      <c r="BO39" s="50">
        <f>Q39</f>
        <v/>
      </c>
      <c r="BP39" s="50">
        <f>AC39</f>
        <v/>
      </c>
      <c r="BQ39" s="50">
        <f>AO39</f>
        <v/>
      </c>
      <c r="BR39" s="50">
        <f>BA39</f>
        <v/>
      </c>
    </row>
    <row r="40">
      <c r="B40" s="56" t="inlineStr">
        <is>
          <t>Cash at the end of the month</t>
        </is>
      </c>
      <c r="C40" s="57" t="inlineStr">
        <is>
          <t>EUR</t>
        </is>
      </c>
      <c r="E40" s="37">
        <f>E39+E38</f>
        <v/>
      </c>
      <c r="F40" s="37">
        <f>F39+F38</f>
        <v/>
      </c>
      <c r="G40" s="37">
        <f>G39+G38</f>
        <v/>
      </c>
      <c r="H40" s="37">
        <f>H39+H38</f>
        <v/>
      </c>
      <c r="I40" s="37">
        <f>I39+I38</f>
        <v/>
      </c>
      <c r="J40" s="37">
        <f>J39+J38</f>
        <v/>
      </c>
      <c r="K40" s="37">
        <f>K39+K38</f>
        <v/>
      </c>
      <c r="L40" s="37">
        <f>L39+L38</f>
        <v/>
      </c>
      <c r="M40" s="37">
        <f>M39+M38</f>
        <v/>
      </c>
      <c r="N40" s="37">
        <f>N39+N38</f>
        <v/>
      </c>
      <c r="O40" s="37">
        <f>O39+O38</f>
        <v/>
      </c>
      <c r="P40" s="37">
        <f>P39+P38</f>
        <v/>
      </c>
      <c r="Q40" s="37">
        <f>Q39+Q38</f>
        <v/>
      </c>
      <c r="R40" s="37">
        <f>R39+R38</f>
        <v/>
      </c>
      <c r="S40" s="37">
        <f>S39+S38</f>
        <v/>
      </c>
      <c r="T40" s="37">
        <f>T39+T38</f>
        <v/>
      </c>
      <c r="U40" s="37">
        <f>U39+U38</f>
        <v/>
      </c>
      <c r="V40" s="37">
        <f>V39+V38</f>
        <v/>
      </c>
      <c r="W40" s="37">
        <f>W39+W38</f>
        <v/>
      </c>
      <c r="X40" s="37">
        <f>X39+X38</f>
        <v/>
      </c>
      <c r="Y40" s="37">
        <f>Y39+Y38</f>
        <v/>
      </c>
      <c r="Z40" s="37">
        <f>Z39+Z38</f>
        <v/>
      </c>
      <c r="AA40" s="37">
        <f>AA39+AA38</f>
        <v/>
      </c>
      <c r="AB40" s="37">
        <f>AB39+AB38</f>
        <v/>
      </c>
      <c r="AC40" s="37">
        <f>AC39+AC38</f>
        <v/>
      </c>
      <c r="AD40" s="37">
        <f>AD39+AD38</f>
        <v/>
      </c>
      <c r="AE40" s="37">
        <f>AE39+AE38</f>
        <v/>
      </c>
      <c r="AF40" s="37">
        <f>AF39+AF38</f>
        <v/>
      </c>
      <c r="AG40" s="37">
        <f>AG39+AG38</f>
        <v/>
      </c>
      <c r="AH40" s="37">
        <f>AH39+AH38</f>
        <v/>
      </c>
      <c r="AI40" s="37">
        <f>AI39+AI38</f>
        <v/>
      </c>
      <c r="AJ40" s="37">
        <f>AJ39+AJ38</f>
        <v/>
      </c>
      <c r="AK40" s="37">
        <f>AK39+AK38</f>
        <v/>
      </c>
      <c r="AL40" s="37">
        <f>AL39+AL38</f>
        <v/>
      </c>
      <c r="AM40" s="37">
        <f>AM39+AM38</f>
        <v/>
      </c>
      <c r="AN40" s="37">
        <f>AN39+AN38</f>
        <v/>
      </c>
      <c r="AO40" s="37">
        <f>AO39+AO38</f>
        <v/>
      </c>
      <c r="AP40" s="37">
        <f>AP39+AP38</f>
        <v/>
      </c>
      <c r="AQ40" s="37">
        <f>AQ39+AQ38</f>
        <v/>
      </c>
      <c r="AR40" s="37">
        <f>AR39+AR38</f>
        <v/>
      </c>
      <c r="AS40" s="37">
        <f>AS39+AS38</f>
        <v/>
      </c>
      <c r="AT40" s="37">
        <f>AT39+AT38</f>
        <v/>
      </c>
      <c r="AU40" s="37">
        <f>AU39+AU38</f>
        <v/>
      </c>
      <c r="AV40" s="37">
        <f>AV39+AV38</f>
        <v/>
      </c>
      <c r="AW40" s="37">
        <f>AW39+AW38</f>
        <v/>
      </c>
      <c r="AX40" s="37">
        <f>AX39+AX38</f>
        <v/>
      </c>
      <c r="AY40" s="37">
        <f>AY39+AY38</f>
        <v/>
      </c>
      <c r="AZ40" s="37">
        <f>AZ39+AZ38</f>
        <v/>
      </c>
      <c r="BA40" s="37">
        <f>BA39+BA38</f>
        <v/>
      </c>
      <c r="BB40" s="37">
        <f>BB39+BB38</f>
        <v/>
      </c>
      <c r="BC40" s="37">
        <f>BC39+BC38</f>
        <v/>
      </c>
      <c r="BD40" s="37">
        <f>BD39+BD38</f>
        <v/>
      </c>
      <c r="BE40" s="37">
        <f>BE39+BE38</f>
        <v/>
      </c>
      <c r="BF40" s="37">
        <f>BF39+BF38</f>
        <v/>
      </c>
      <c r="BG40" s="37">
        <f>BG39+BG38</f>
        <v/>
      </c>
      <c r="BH40" s="37">
        <f>BH39+BH38</f>
        <v/>
      </c>
      <c r="BI40" s="37">
        <f>BI39+BI38</f>
        <v/>
      </c>
      <c r="BJ40" s="37">
        <f>BJ39+BJ38</f>
        <v/>
      </c>
      <c r="BK40" s="37">
        <f>BK39+BK38</f>
        <v/>
      </c>
      <c r="BL40" s="37">
        <f>BL39+BL38</f>
        <v/>
      </c>
      <c r="BN40" s="37">
        <f>P40</f>
        <v/>
      </c>
      <c r="BO40" s="37">
        <f>AB40</f>
        <v/>
      </c>
      <c r="BP40" s="37">
        <f>AN40</f>
        <v/>
      </c>
      <c r="BQ40" s="37">
        <f>AZ40</f>
        <v/>
      </c>
      <c r="BR40" s="37">
        <f>BL40</f>
        <v/>
      </c>
    </row>
    <row r="42">
      <c r="B42" s="15" t="inlineStr">
        <is>
          <t>BALANCE SHEET</t>
        </is>
      </c>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c r="AD42" s="1" t="n"/>
      <c r="AE42" s="1" t="n"/>
      <c r="AF42" s="1" t="n"/>
      <c r="AG42" s="1" t="n"/>
      <c r="AH42" s="1" t="n"/>
      <c r="AI42" s="1" t="n"/>
      <c r="AJ42" s="1" t="n"/>
      <c r="AK42" s="1" t="n"/>
      <c r="AL42" s="1" t="n"/>
      <c r="AM42" s="1" t="n"/>
      <c r="AN42" s="1" t="n"/>
      <c r="AO42" s="1" t="n"/>
      <c r="AP42" s="1" t="n"/>
      <c r="AQ42" s="1" t="n"/>
      <c r="AR42" s="1" t="n"/>
      <c r="AS42" s="1" t="n"/>
      <c r="AT42" s="1" t="n"/>
      <c r="AU42" s="1" t="n"/>
      <c r="AV42" s="1" t="n"/>
      <c r="AW42" s="1" t="n"/>
      <c r="AX42" s="1" t="n"/>
      <c r="AY42" s="1" t="n"/>
      <c r="AZ42" s="1" t="n"/>
      <c r="BA42" s="1" t="n"/>
      <c r="BB42" s="1" t="n"/>
      <c r="BC42" s="1" t="n"/>
      <c r="BD42" s="1" t="n"/>
      <c r="BE42" s="1" t="n"/>
      <c r="BF42" s="1" t="n"/>
      <c r="BG42" s="1" t="n"/>
      <c r="BH42" s="1" t="n"/>
      <c r="BI42" s="1" t="n"/>
      <c r="BJ42" s="1" t="n"/>
      <c r="BK42" s="1" t="n"/>
      <c r="BL42" s="1" t="n"/>
      <c r="BM42" s="1" t="n"/>
      <c r="BN42" s="1" t="n"/>
      <c r="BO42" s="1" t="n"/>
      <c r="BP42" s="1" t="n"/>
      <c r="BQ42" s="1" t="n"/>
      <c r="BR42" s="1" t="n"/>
      <c r="BS42" s="1" t="n"/>
    </row>
    <row r="43">
      <c r="B43" s="6" t="inlineStr">
        <is>
          <t>Cash</t>
        </is>
      </c>
      <c r="C43" s="17" t="inlineStr">
        <is>
          <t>EUR</t>
        </is>
      </c>
      <c r="E43" s="10">
        <f>E40</f>
        <v/>
      </c>
      <c r="F43" s="10">
        <f>F40</f>
        <v/>
      </c>
      <c r="G43" s="10">
        <f>G40</f>
        <v/>
      </c>
      <c r="H43" s="10">
        <f>H40</f>
        <v/>
      </c>
      <c r="I43" s="10">
        <f>I40</f>
        <v/>
      </c>
      <c r="J43" s="10">
        <f>J40</f>
        <v/>
      </c>
      <c r="K43" s="10">
        <f>K40</f>
        <v/>
      </c>
      <c r="L43" s="10">
        <f>L40</f>
        <v/>
      </c>
      <c r="M43" s="10">
        <f>M40</f>
        <v/>
      </c>
      <c r="N43" s="10">
        <f>N40</f>
        <v/>
      </c>
      <c r="O43" s="10">
        <f>O40</f>
        <v/>
      </c>
      <c r="P43" s="10">
        <f>P40</f>
        <v/>
      </c>
      <c r="Q43" s="10">
        <f>Q40</f>
        <v/>
      </c>
      <c r="R43" s="10">
        <f>R40</f>
        <v/>
      </c>
      <c r="S43" s="10">
        <f>S40</f>
        <v/>
      </c>
      <c r="T43" s="10">
        <f>T40</f>
        <v/>
      </c>
      <c r="U43" s="10">
        <f>U40</f>
        <v/>
      </c>
      <c r="V43" s="10">
        <f>V40</f>
        <v/>
      </c>
      <c r="W43" s="10">
        <f>W40</f>
        <v/>
      </c>
      <c r="X43" s="10">
        <f>X40</f>
        <v/>
      </c>
      <c r="Y43" s="10">
        <f>Y40</f>
        <v/>
      </c>
      <c r="Z43" s="10">
        <f>Z40</f>
        <v/>
      </c>
      <c r="AA43" s="10">
        <f>AA40</f>
        <v/>
      </c>
      <c r="AB43" s="10">
        <f>AB40</f>
        <v/>
      </c>
      <c r="AC43" s="10">
        <f>AC40</f>
        <v/>
      </c>
      <c r="AD43" s="10">
        <f>AD40</f>
        <v/>
      </c>
      <c r="AE43" s="10">
        <f>AE40</f>
        <v/>
      </c>
      <c r="AF43" s="10">
        <f>AF40</f>
        <v/>
      </c>
      <c r="AG43" s="10">
        <f>AG40</f>
        <v/>
      </c>
      <c r="AH43" s="10">
        <f>AH40</f>
        <v/>
      </c>
      <c r="AI43" s="10">
        <f>AI40</f>
        <v/>
      </c>
      <c r="AJ43" s="10">
        <f>AJ40</f>
        <v/>
      </c>
      <c r="AK43" s="10">
        <f>AK40</f>
        <v/>
      </c>
      <c r="AL43" s="10">
        <f>AL40</f>
        <v/>
      </c>
      <c r="AM43" s="10">
        <f>AM40</f>
        <v/>
      </c>
      <c r="AN43" s="10">
        <f>AN40</f>
        <v/>
      </c>
      <c r="AO43" s="10">
        <f>AO40</f>
        <v/>
      </c>
      <c r="AP43" s="10">
        <f>AP40</f>
        <v/>
      </c>
      <c r="AQ43" s="10">
        <f>AQ40</f>
        <v/>
      </c>
      <c r="AR43" s="10">
        <f>AR40</f>
        <v/>
      </c>
      <c r="AS43" s="10">
        <f>AS40</f>
        <v/>
      </c>
      <c r="AT43" s="10">
        <f>AT40</f>
        <v/>
      </c>
      <c r="AU43" s="10">
        <f>AU40</f>
        <v/>
      </c>
      <c r="AV43" s="10">
        <f>AV40</f>
        <v/>
      </c>
      <c r="AW43" s="10">
        <f>AW40</f>
        <v/>
      </c>
      <c r="AX43" s="10">
        <f>AX40</f>
        <v/>
      </c>
      <c r="AY43" s="10">
        <f>AY40</f>
        <v/>
      </c>
      <c r="AZ43" s="10">
        <f>AZ40</f>
        <v/>
      </c>
      <c r="BA43" s="10">
        <f>BA40</f>
        <v/>
      </c>
      <c r="BB43" s="10">
        <f>BB40</f>
        <v/>
      </c>
      <c r="BC43" s="10">
        <f>BC40</f>
        <v/>
      </c>
      <c r="BD43" s="10">
        <f>BD40</f>
        <v/>
      </c>
      <c r="BE43" s="10">
        <f>BE40</f>
        <v/>
      </c>
      <c r="BF43" s="10">
        <f>BF40</f>
        <v/>
      </c>
      <c r="BG43" s="10">
        <f>BG40</f>
        <v/>
      </c>
      <c r="BH43" s="10">
        <f>BH40</f>
        <v/>
      </c>
      <c r="BI43" s="10">
        <f>BI40</f>
        <v/>
      </c>
      <c r="BJ43" s="10">
        <f>BJ40</f>
        <v/>
      </c>
      <c r="BK43" s="10">
        <f>BK40</f>
        <v/>
      </c>
      <c r="BL43" s="10">
        <f>BL40</f>
        <v/>
      </c>
      <c r="BN43" s="50">
        <f>P43</f>
        <v/>
      </c>
      <c r="BO43" s="50">
        <f>AB43</f>
        <v/>
      </c>
      <c r="BP43" s="50">
        <f>AN43</f>
        <v/>
      </c>
      <c r="BQ43" s="50">
        <f>AZ43</f>
        <v/>
      </c>
      <c r="BR43" s="50">
        <f>BL43</f>
        <v/>
      </c>
    </row>
    <row r="44">
      <c r="B44" s="6" t="inlineStr">
        <is>
          <t>Receivables</t>
        </is>
      </c>
      <c r="C44" s="17" t="inlineStr">
        <is>
          <t>EUR</t>
        </is>
      </c>
      <c r="E44" s="10">
        <f>Assumptions!$D$16/30*(E6-'Revenue Forecast'!E49)</f>
        <v/>
      </c>
      <c r="F44" s="10">
        <f>Assumptions!$D$16/30*(F6-'Revenue Forecast'!F49)</f>
        <v/>
      </c>
      <c r="G44" s="10">
        <f>Assumptions!$D$16/30*(G6-'Revenue Forecast'!G49)</f>
        <v/>
      </c>
      <c r="H44" s="10">
        <f>Assumptions!$D$16/30*(H6-'Revenue Forecast'!H49)</f>
        <v/>
      </c>
      <c r="I44" s="10">
        <f>Assumptions!$D$16/30*(I6-'Revenue Forecast'!I49)</f>
        <v/>
      </c>
      <c r="J44" s="10">
        <f>Assumptions!$D$16/30*(J6-'Revenue Forecast'!J49)</f>
        <v/>
      </c>
      <c r="K44" s="10">
        <f>Assumptions!$D$16/30*(K6-'Revenue Forecast'!K49)</f>
        <v/>
      </c>
      <c r="L44" s="10">
        <f>Assumptions!$D$16/30*(L6-'Revenue Forecast'!L49)</f>
        <v/>
      </c>
      <c r="M44" s="10">
        <f>Assumptions!$D$16/30*(M6-'Revenue Forecast'!M49)</f>
        <v/>
      </c>
      <c r="N44" s="10">
        <f>Assumptions!$D$16/30*(N6-'Revenue Forecast'!N49)</f>
        <v/>
      </c>
      <c r="O44" s="10">
        <f>Assumptions!$D$16/30*(O6-'Revenue Forecast'!O49)</f>
        <v/>
      </c>
      <c r="P44" s="10">
        <f>Assumptions!$D$16/30*(P6-'Revenue Forecast'!P49)</f>
        <v/>
      </c>
      <c r="Q44" s="10">
        <f>Assumptions!$D$16/30*(Q6-'Revenue Forecast'!Q49)</f>
        <v/>
      </c>
      <c r="R44" s="10">
        <f>Assumptions!$D$16/30*(R6-'Revenue Forecast'!R49)</f>
        <v/>
      </c>
      <c r="S44" s="10">
        <f>Assumptions!$D$16/30*(S6-'Revenue Forecast'!S49)</f>
        <v/>
      </c>
      <c r="T44" s="10">
        <f>Assumptions!$D$16/30*(T6-'Revenue Forecast'!T49)</f>
        <v/>
      </c>
      <c r="U44" s="10">
        <f>Assumptions!$D$16/30*(U6-'Revenue Forecast'!U49)</f>
        <v/>
      </c>
      <c r="V44" s="10">
        <f>Assumptions!$D$16/30*(V6-'Revenue Forecast'!V49)</f>
        <v/>
      </c>
      <c r="W44" s="10">
        <f>Assumptions!$D$16/30*(W6-'Revenue Forecast'!W49)</f>
        <v/>
      </c>
      <c r="X44" s="10">
        <f>Assumptions!$D$16/30*(X6-'Revenue Forecast'!X49)</f>
        <v/>
      </c>
      <c r="Y44" s="10">
        <f>Assumptions!$D$16/30*(Y6-'Revenue Forecast'!Y49)</f>
        <v/>
      </c>
      <c r="Z44" s="10">
        <f>Assumptions!$D$16/30*(Z6-'Revenue Forecast'!Z49)</f>
        <v/>
      </c>
      <c r="AA44" s="10">
        <f>Assumptions!$D$16/30*(AA6-'Revenue Forecast'!AA49)</f>
        <v/>
      </c>
      <c r="AB44" s="10">
        <f>Assumptions!$D$16/30*(AB6-'Revenue Forecast'!AB49)</f>
        <v/>
      </c>
      <c r="AC44" s="10">
        <f>Assumptions!$D$16/30*(AC6-'Revenue Forecast'!AC49)</f>
        <v/>
      </c>
      <c r="AD44" s="10">
        <f>Assumptions!$D$16/30*(AD6-'Revenue Forecast'!AD49)</f>
        <v/>
      </c>
      <c r="AE44" s="10">
        <f>Assumptions!$D$16/30*(AE6-'Revenue Forecast'!AE49)</f>
        <v/>
      </c>
      <c r="AF44" s="10">
        <f>Assumptions!$D$16/30*(AF6-'Revenue Forecast'!AF49)</f>
        <v/>
      </c>
      <c r="AG44" s="10">
        <f>Assumptions!$D$16/30*(AG6-'Revenue Forecast'!AG49)</f>
        <v/>
      </c>
      <c r="AH44" s="10">
        <f>Assumptions!$D$16/30*(AH6-'Revenue Forecast'!AH49)</f>
        <v/>
      </c>
      <c r="AI44" s="10">
        <f>Assumptions!$D$16/30*(AI6-'Revenue Forecast'!AI49)</f>
        <v/>
      </c>
      <c r="AJ44" s="10">
        <f>Assumptions!$D$16/30*(AJ6-'Revenue Forecast'!AJ49)</f>
        <v/>
      </c>
      <c r="AK44" s="10">
        <f>Assumptions!$D$16/30*(AK6-'Revenue Forecast'!AK49)</f>
        <v/>
      </c>
      <c r="AL44" s="10">
        <f>Assumptions!$D$16/30*(AL6-'Revenue Forecast'!AL49)</f>
        <v/>
      </c>
      <c r="AM44" s="10">
        <f>Assumptions!$D$16/30*(AM6-'Revenue Forecast'!AM49)</f>
        <v/>
      </c>
      <c r="AN44" s="10">
        <f>Assumptions!$D$16/30*(AN6-'Revenue Forecast'!AN49)</f>
        <v/>
      </c>
      <c r="AO44" s="10">
        <f>Assumptions!$D$16/30*(AO6-'Revenue Forecast'!AO49)</f>
        <v/>
      </c>
      <c r="AP44" s="10">
        <f>Assumptions!$D$16/30*(AP6-'Revenue Forecast'!AP49)</f>
        <v/>
      </c>
      <c r="AQ44" s="10">
        <f>Assumptions!$D$16/30*(AQ6-'Revenue Forecast'!AQ49)</f>
        <v/>
      </c>
      <c r="AR44" s="10">
        <f>Assumptions!$D$16/30*(AR6-'Revenue Forecast'!AR49)</f>
        <v/>
      </c>
      <c r="AS44" s="10">
        <f>Assumptions!$D$16/30*(AS6-'Revenue Forecast'!AS49)</f>
        <v/>
      </c>
      <c r="AT44" s="10">
        <f>Assumptions!$D$16/30*(AT6-'Revenue Forecast'!AT49)</f>
        <v/>
      </c>
      <c r="AU44" s="10">
        <f>Assumptions!$D$16/30*(AU6-'Revenue Forecast'!AU49)</f>
        <v/>
      </c>
      <c r="AV44" s="10">
        <f>Assumptions!$D$16/30*(AV6-'Revenue Forecast'!AV49)</f>
        <v/>
      </c>
      <c r="AW44" s="10">
        <f>Assumptions!$D$16/30*(AW6-'Revenue Forecast'!AW49)</f>
        <v/>
      </c>
      <c r="AX44" s="10">
        <f>Assumptions!$D$16/30*(AX6-'Revenue Forecast'!AX49)</f>
        <v/>
      </c>
      <c r="AY44" s="10">
        <f>Assumptions!$D$16/30*(AY6-'Revenue Forecast'!AY49)</f>
        <v/>
      </c>
      <c r="AZ44" s="10">
        <f>Assumptions!$D$16/30*(AZ6-'Revenue Forecast'!AZ49)</f>
        <v/>
      </c>
      <c r="BA44" s="10">
        <f>Assumptions!$D$16/30*(BA6-'Revenue Forecast'!BA49)</f>
        <v/>
      </c>
      <c r="BB44" s="10">
        <f>Assumptions!$D$16/30*(BB6-'Revenue Forecast'!BB49)</f>
        <v/>
      </c>
      <c r="BC44" s="10">
        <f>Assumptions!$D$16/30*(BC6-'Revenue Forecast'!BC49)</f>
        <v/>
      </c>
      <c r="BD44" s="10">
        <f>Assumptions!$D$16/30*(BD6-'Revenue Forecast'!BD49)</f>
        <v/>
      </c>
      <c r="BE44" s="10">
        <f>Assumptions!$D$16/30*(BE6-'Revenue Forecast'!BE49)</f>
        <v/>
      </c>
      <c r="BF44" s="10">
        <f>Assumptions!$D$16/30*(BF6-'Revenue Forecast'!BF49)</f>
        <v/>
      </c>
      <c r="BG44" s="10">
        <f>Assumptions!$D$16/30*(BG6-'Revenue Forecast'!BG49)</f>
        <v/>
      </c>
      <c r="BH44" s="10">
        <f>Assumptions!$D$16/30*(BH6-'Revenue Forecast'!BH49)</f>
        <v/>
      </c>
      <c r="BI44" s="10">
        <f>Assumptions!$D$16/30*(BI6-'Revenue Forecast'!BI49)</f>
        <v/>
      </c>
      <c r="BJ44" s="10">
        <f>Assumptions!$D$16/30*(BJ6-'Revenue Forecast'!BJ49)</f>
        <v/>
      </c>
      <c r="BK44" s="10">
        <f>Assumptions!$D$16/30*(BK6-'Revenue Forecast'!BK49)</f>
        <v/>
      </c>
      <c r="BL44" s="10">
        <f>Assumptions!$D$16/30*(BL6-'Revenue Forecast'!BL49)</f>
        <v/>
      </c>
      <c r="BN44" s="50">
        <f>P44</f>
        <v/>
      </c>
      <c r="BO44" s="50">
        <f>AB44</f>
        <v/>
      </c>
      <c r="BP44" s="50">
        <f>AN44</f>
        <v/>
      </c>
      <c r="BQ44" s="50">
        <f>AZ44</f>
        <v/>
      </c>
      <c r="BR44" s="50">
        <f>BL44</f>
        <v/>
      </c>
      <c r="BT44" s="32" t="inlineStr">
        <is>
          <t>on trading revenue only; the subsidy is a cash receipt, not an invoice</t>
        </is>
      </c>
    </row>
    <row r="45">
      <c r="B45" s="6" t="inlineStr">
        <is>
          <t>Inventory</t>
        </is>
      </c>
      <c r="C45" s="17" t="inlineStr">
        <is>
          <t>EUR</t>
        </is>
      </c>
      <c r="E45" s="10">
        <f>Assumptions!$D$18/30*-E7</f>
        <v/>
      </c>
      <c r="F45" s="10">
        <f>Assumptions!$D$18/30*-F7</f>
        <v/>
      </c>
      <c r="G45" s="10">
        <f>Assumptions!$D$18/30*-G7</f>
        <v/>
      </c>
      <c r="H45" s="10">
        <f>Assumptions!$D$18/30*-H7</f>
        <v/>
      </c>
      <c r="I45" s="10">
        <f>Assumptions!$D$18/30*-I7</f>
        <v/>
      </c>
      <c r="J45" s="10">
        <f>Assumptions!$D$18/30*-J7</f>
        <v/>
      </c>
      <c r="K45" s="10">
        <f>Assumptions!$D$18/30*-K7</f>
        <v/>
      </c>
      <c r="L45" s="10">
        <f>Assumptions!$D$18/30*-L7</f>
        <v/>
      </c>
      <c r="M45" s="10">
        <f>Assumptions!$D$18/30*-M7</f>
        <v/>
      </c>
      <c r="N45" s="10">
        <f>Assumptions!$D$18/30*-N7</f>
        <v/>
      </c>
      <c r="O45" s="10">
        <f>Assumptions!$D$18/30*-O7</f>
        <v/>
      </c>
      <c r="P45" s="10">
        <f>Assumptions!$D$18/30*-P7</f>
        <v/>
      </c>
      <c r="Q45" s="10">
        <f>Assumptions!$D$18/30*-Q7</f>
        <v/>
      </c>
      <c r="R45" s="10">
        <f>Assumptions!$D$18/30*-R7</f>
        <v/>
      </c>
      <c r="S45" s="10">
        <f>Assumptions!$D$18/30*-S7</f>
        <v/>
      </c>
      <c r="T45" s="10">
        <f>Assumptions!$D$18/30*-T7</f>
        <v/>
      </c>
      <c r="U45" s="10">
        <f>Assumptions!$D$18/30*-U7</f>
        <v/>
      </c>
      <c r="V45" s="10">
        <f>Assumptions!$D$18/30*-V7</f>
        <v/>
      </c>
      <c r="W45" s="10">
        <f>Assumptions!$D$18/30*-W7</f>
        <v/>
      </c>
      <c r="X45" s="10">
        <f>Assumptions!$D$18/30*-X7</f>
        <v/>
      </c>
      <c r="Y45" s="10">
        <f>Assumptions!$D$18/30*-Y7</f>
        <v/>
      </c>
      <c r="Z45" s="10">
        <f>Assumptions!$D$18/30*-Z7</f>
        <v/>
      </c>
      <c r="AA45" s="10">
        <f>Assumptions!$D$18/30*-AA7</f>
        <v/>
      </c>
      <c r="AB45" s="10">
        <f>Assumptions!$D$18/30*-AB7</f>
        <v/>
      </c>
      <c r="AC45" s="10">
        <f>Assumptions!$D$18/30*-AC7</f>
        <v/>
      </c>
      <c r="AD45" s="10">
        <f>Assumptions!$D$18/30*-AD7</f>
        <v/>
      </c>
      <c r="AE45" s="10">
        <f>Assumptions!$D$18/30*-AE7</f>
        <v/>
      </c>
      <c r="AF45" s="10">
        <f>Assumptions!$D$18/30*-AF7</f>
        <v/>
      </c>
      <c r="AG45" s="10">
        <f>Assumptions!$D$18/30*-AG7</f>
        <v/>
      </c>
      <c r="AH45" s="10">
        <f>Assumptions!$D$18/30*-AH7</f>
        <v/>
      </c>
      <c r="AI45" s="10">
        <f>Assumptions!$D$18/30*-AI7</f>
        <v/>
      </c>
      <c r="AJ45" s="10">
        <f>Assumptions!$D$18/30*-AJ7</f>
        <v/>
      </c>
      <c r="AK45" s="10">
        <f>Assumptions!$D$18/30*-AK7</f>
        <v/>
      </c>
      <c r="AL45" s="10">
        <f>Assumptions!$D$18/30*-AL7</f>
        <v/>
      </c>
      <c r="AM45" s="10">
        <f>Assumptions!$D$18/30*-AM7</f>
        <v/>
      </c>
      <c r="AN45" s="10">
        <f>Assumptions!$D$18/30*-AN7</f>
        <v/>
      </c>
      <c r="AO45" s="10">
        <f>Assumptions!$D$18/30*-AO7</f>
        <v/>
      </c>
      <c r="AP45" s="10">
        <f>Assumptions!$D$18/30*-AP7</f>
        <v/>
      </c>
      <c r="AQ45" s="10">
        <f>Assumptions!$D$18/30*-AQ7</f>
        <v/>
      </c>
      <c r="AR45" s="10">
        <f>Assumptions!$D$18/30*-AR7</f>
        <v/>
      </c>
      <c r="AS45" s="10">
        <f>Assumptions!$D$18/30*-AS7</f>
        <v/>
      </c>
      <c r="AT45" s="10">
        <f>Assumptions!$D$18/30*-AT7</f>
        <v/>
      </c>
      <c r="AU45" s="10">
        <f>Assumptions!$D$18/30*-AU7</f>
        <v/>
      </c>
      <c r="AV45" s="10">
        <f>Assumptions!$D$18/30*-AV7</f>
        <v/>
      </c>
      <c r="AW45" s="10">
        <f>Assumptions!$D$18/30*-AW7</f>
        <v/>
      </c>
      <c r="AX45" s="10">
        <f>Assumptions!$D$18/30*-AX7</f>
        <v/>
      </c>
      <c r="AY45" s="10">
        <f>Assumptions!$D$18/30*-AY7</f>
        <v/>
      </c>
      <c r="AZ45" s="10">
        <f>Assumptions!$D$18/30*-AZ7</f>
        <v/>
      </c>
      <c r="BA45" s="10">
        <f>Assumptions!$D$18/30*-BA7</f>
        <v/>
      </c>
      <c r="BB45" s="10">
        <f>Assumptions!$D$18/30*-BB7</f>
        <v/>
      </c>
      <c r="BC45" s="10">
        <f>Assumptions!$D$18/30*-BC7</f>
        <v/>
      </c>
      <c r="BD45" s="10">
        <f>Assumptions!$D$18/30*-BD7</f>
        <v/>
      </c>
      <c r="BE45" s="10">
        <f>Assumptions!$D$18/30*-BE7</f>
        <v/>
      </c>
      <c r="BF45" s="10">
        <f>Assumptions!$D$18/30*-BF7</f>
        <v/>
      </c>
      <c r="BG45" s="10">
        <f>Assumptions!$D$18/30*-BG7</f>
        <v/>
      </c>
      <c r="BH45" s="10">
        <f>Assumptions!$D$18/30*-BH7</f>
        <v/>
      </c>
      <c r="BI45" s="10">
        <f>Assumptions!$D$18/30*-BI7</f>
        <v/>
      </c>
      <c r="BJ45" s="10">
        <f>Assumptions!$D$18/30*-BJ7</f>
        <v/>
      </c>
      <c r="BK45" s="10">
        <f>Assumptions!$D$18/30*-BK7</f>
        <v/>
      </c>
      <c r="BL45" s="10">
        <f>Assumptions!$D$18/30*-BL7</f>
        <v/>
      </c>
      <c r="BN45" s="50">
        <f>P45</f>
        <v/>
      </c>
      <c r="BO45" s="50">
        <f>AB45</f>
        <v/>
      </c>
      <c r="BP45" s="50">
        <f>AN45</f>
        <v/>
      </c>
      <c r="BQ45" s="50">
        <f>AZ45</f>
        <v/>
      </c>
      <c r="BR45" s="50">
        <f>BL45</f>
        <v/>
      </c>
    </row>
    <row r="46">
      <c r="B46" s="56" t="inlineStr">
        <is>
          <t>Total current assets</t>
        </is>
      </c>
      <c r="C46" s="57" t="inlineStr">
        <is>
          <t>EUR</t>
        </is>
      </c>
      <c r="E46" s="37">
        <f>SUM(E43:E45)</f>
        <v/>
      </c>
      <c r="F46" s="37">
        <f>SUM(F43:F45)</f>
        <v/>
      </c>
      <c r="G46" s="37">
        <f>SUM(G43:G45)</f>
        <v/>
      </c>
      <c r="H46" s="37">
        <f>SUM(H43:H45)</f>
        <v/>
      </c>
      <c r="I46" s="37">
        <f>SUM(I43:I45)</f>
        <v/>
      </c>
      <c r="J46" s="37">
        <f>SUM(J43:J45)</f>
        <v/>
      </c>
      <c r="K46" s="37">
        <f>SUM(K43:K45)</f>
        <v/>
      </c>
      <c r="L46" s="37">
        <f>SUM(L43:L45)</f>
        <v/>
      </c>
      <c r="M46" s="37">
        <f>SUM(M43:M45)</f>
        <v/>
      </c>
      <c r="N46" s="37">
        <f>SUM(N43:N45)</f>
        <v/>
      </c>
      <c r="O46" s="37">
        <f>SUM(O43:O45)</f>
        <v/>
      </c>
      <c r="P46" s="37">
        <f>SUM(P43:P45)</f>
        <v/>
      </c>
      <c r="Q46" s="37">
        <f>SUM(Q43:Q45)</f>
        <v/>
      </c>
      <c r="R46" s="37">
        <f>SUM(R43:R45)</f>
        <v/>
      </c>
      <c r="S46" s="37">
        <f>SUM(S43:S45)</f>
        <v/>
      </c>
      <c r="T46" s="37">
        <f>SUM(T43:T45)</f>
        <v/>
      </c>
      <c r="U46" s="37">
        <f>SUM(U43:U45)</f>
        <v/>
      </c>
      <c r="V46" s="37">
        <f>SUM(V43:V45)</f>
        <v/>
      </c>
      <c r="W46" s="37">
        <f>SUM(W43:W45)</f>
        <v/>
      </c>
      <c r="X46" s="37">
        <f>SUM(X43:X45)</f>
        <v/>
      </c>
      <c r="Y46" s="37">
        <f>SUM(Y43:Y45)</f>
        <v/>
      </c>
      <c r="Z46" s="37">
        <f>SUM(Z43:Z45)</f>
        <v/>
      </c>
      <c r="AA46" s="37">
        <f>SUM(AA43:AA45)</f>
        <v/>
      </c>
      <c r="AB46" s="37">
        <f>SUM(AB43:AB45)</f>
        <v/>
      </c>
      <c r="AC46" s="37">
        <f>SUM(AC43:AC45)</f>
        <v/>
      </c>
      <c r="AD46" s="37">
        <f>SUM(AD43:AD45)</f>
        <v/>
      </c>
      <c r="AE46" s="37">
        <f>SUM(AE43:AE45)</f>
        <v/>
      </c>
      <c r="AF46" s="37">
        <f>SUM(AF43:AF45)</f>
        <v/>
      </c>
      <c r="AG46" s="37">
        <f>SUM(AG43:AG45)</f>
        <v/>
      </c>
      <c r="AH46" s="37">
        <f>SUM(AH43:AH45)</f>
        <v/>
      </c>
      <c r="AI46" s="37">
        <f>SUM(AI43:AI45)</f>
        <v/>
      </c>
      <c r="AJ46" s="37">
        <f>SUM(AJ43:AJ45)</f>
        <v/>
      </c>
      <c r="AK46" s="37">
        <f>SUM(AK43:AK45)</f>
        <v/>
      </c>
      <c r="AL46" s="37">
        <f>SUM(AL43:AL45)</f>
        <v/>
      </c>
      <c r="AM46" s="37">
        <f>SUM(AM43:AM45)</f>
        <v/>
      </c>
      <c r="AN46" s="37">
        <f>SUM(AN43:AN45)</f>
        <v/>
      </c>
      <c r="AO46" s="37">
        <f>SUM(AO43:AO45)</f>
        <v/>
      </c>
      <c r="AP46" s="37">
        <f>SUM(AP43:AP45)</f>
        <v/>
      </c>
      <c r="AQ46" s="37">
        <f>SUM(AQ43:AQ45)</f>
        <v/>
      </c>
      <c r="AR46" s="37">
        <f>SUM(AR43:AR45)</f>
        <v/>
      </c>
      <c r="AS46" s="37">
        <f>SUM(AS43:AS45)</f>
        <v/>
      </c>
      <c r="AT46" s="37">
        <f>SUM(AT43:AT45)</f>
        <v/>
      </c>
      <c r="AU46" s="37">
        <f>SUM(AU43:AU45)</f>
        <v/>
      </c>
      <c r="AV46" s="37">
        <f>SUM(AV43:AV45)</f>
        <v/>
      </c>
      <c r="AW46" s="37">
        <f>SUM(AW43:AW45)</f>
        <v/>
      </c>
      <c r="AX46" s="37">
        <f>SUM(AX43:AX45)</f>
        <v/>
      </c>
      <c r="AY46" s="37">
        <f>SUM(AY43:AY45)</f>
        <v/>
      </c>
      <c r="AZ46" s="37">
        <f>SUM(AZ43:AZ45)</f>
        <v/>
      </c>
      <c r="BA46" s="37">
        <f>SUM(BA43:BA45)</f>
        <v/>
      </c>
      <c r="BB46" s="37">
        <f>SUM(BB43:BB45)</f>
        <v/>
      </c>
      <c r="BC46" s="37">
        <f>SUM(BC43:BC45)</f>
        <v/>
      </c>
      <c r="BD46" s="37">
        <f>SUM(BD43:BD45)</f>
        <v/>
      </c>
      <c r="BE46" s="37">
        <f>SUM(BE43:BE45)</f>
        <v/>
      </c>
      <c r="BF46" s="37">
        <f>SUM(BF43:BF45)</f>
        <v/>
      </c>
      <c r="BG46" s="37">
        <f>SUM(BG43:BG45)</f>
        <v/>
      </c>
      <c r="BH46" s="37">
        <f>SUM(BH43:BH45)</f>
        <v/>
      </c>
      <c r="BI46" s="37">
        <f>SUM(BI43:BI45)</f>
        <v/>
      </c>
      <c r="BJ46" s="37">
        <f>SUM(BJ43:BJ45)</f>
        <v/>
      </c>
      <c r="BK46" s="37">
        <f>SUM(BK43:BK45)</f>
        <v/>
      </c>
      <c r="BL46" s="37">
        <f>SUM(BL43:BL45)</f>
        <v/>
      </c>
      <c r="BN46" s="37">
        <f>P46</f>
        <v/>
      </c>
      <c r="BO46" s="37">
        <f>AB46</f>
        <v/>
      </c>
      <c r="BP46" s="37">
        <f>AN46</f>
        <v/>
      </c>
      <c r="BQ46" s="37">
        <f>AZ46</f>
        <v/>
      </c>
      <c r="BR46" s="37">
        <f>BL46</f>
        <v/>
      </c>
    </row>
    <row r="47">
      <c r="B47" s="6" t="inlineStr">
        <is>
          <t>Property, plant and equipment, net</t>
        </is>
      </c>
      <c r="C47" s="17" t="inlineStr">
        <is>
          <t>EUR</t>
        </is>
      </c>
      <c r="E47" s="10">
        <f>E63-E62</f>
        <v/>
      </c>
      <c r="F47" s="10">
        <f>F63-F62</f>
        <v/>
      </c>
      <c r="G47" s="10">
        <f>G63-G62</f>
        <v/>
      </c>
      <c r="H47" s="10">
        <f>H63-H62</f>
        <v/>
      </c>
      <c r="I47" s="10">
        <f>I63-I62</f>
        <v/>
      </c>
      <c r="J47" s="10">
        <f>J63-J62</f>
        <v/>
      </c>
      <c r="K47" s="10">
        <f>K63-K62</f>
        <v/>
      </c>
      <c r="L47" s="10">
        <f>L63-L62</f>
        <v/>
      </c>
      <c r="M47" s="10">
        <f>M63-M62</f>
        <v/>
      </c>
      <c r="N47" s="10">
        <f>N63-N62</f>
        <v/>
      </c>
      <c r="O47" s="10">
        <f>O63-O62</f>
        <v/>
      </c>
      <c r="P47" s="10">
        <f>P63-P62</f>
        <v/>
      </c>
      <c r="Q47" s="10">
        <f>Q63-Q62</f>
        <v/>
      </c>
      <c r="R47" s="10">
        <f>R63-R62</f>
        <v/>
      </c>
      <c r="S47" s="10">
        <f>S63-S62</f>
        <v/>
      </c>
      <c r="T47" s="10">
        <f>T63-T62</f>
        <v/>
      </c>
      <c r="U47" s="10">
        <f>U63-U62</f>
        <v/>
      </c>
      <c r="V47" s="10">
        <f>V63-V62</f>
        <v/>
      </c>
      <c r="W47" s="10">
        <f>W63-W62</f>
        <v/>
      </c>
      <c r="X47" s="10">
        <f>X63-X62</f>
        <v/>
      </c>
      <c r="Y47" s="10">
        <f>Y63-Y62</f>
        <v/>
      </c>
      <c r="Z47" s="10">
        <f>Z63-Z62</f>
        <v/>
      </c>
      <c r="AA47" s="10">
        <f>AA63-AA62</f>
        <v/>
      </c>
      <c r="AB47" s="10">
        <f>AB63-AB62</f>
        <v/>
      </c>
      <c r="AC47" s="10">
        <f>AC63-AC62</f>
        <v/>
      </c>
      <c r="AD47" s="10">
        <f>AD63-AD62</f>
        <v/>
      </c>
      <c r="AE47" s="10">
        <f>AE63-AE62</f>
        <v/>
      </c>
      <c r="AF47" s="10">
        <f>AF63-AF62</f>
        <v/>
      </c>
      <c r="AG47" s="10">
        <f>AG63-AG62</f>
        <v/>
      </c>
      <c r="AH47" s="10">
        <f>AH63-AH62</f>
        <v/>
      </c>
      <c r="AI47" s="10">
        <f>AI63-AI62</f>
        <v/>
      </c>
      <c r="AJ47" s="10">
        <f>AJ63-AJ62</f>
        <v/>
      </c>
      <c r="AK47" s="10">
        <f>AK63-AK62</f>
        <v/>
      </c>
      <c r="AL47" s="10">
        <f>AL63-AL62</f>
        <v/>
      </c>
      <c r="AM47" s="10">
        <f>AM63-AM62</f>
        <v/>
      </c>
      <c r="AN47" s="10">
        <f>AN63-AN62</f>
        <v/>
      </c>
      <c r="AO47" s="10">
        <f>AO63-AO62</f>
        <v/>
      </c>
      <c r="AP47" s="10">
        <f>AP63-AP62</f>
        <v/>
      </c>
      <c r="AQ47" s="10">
        <f>AQ63-AQ62</f>
        <v/>
      </c>
      <c r="AR47" s="10">
        <f>AR63-AR62</f>
        <v/>
      </c>
      <c r="AS47" s="10">
        <f>AS63-AS62</f>
        <v/>
      </c>
      <c r="AT47" s="10">
        <f>AT63-AT62</f>
        <v/>
      </c>
      <c r="AU47" s="10">
        <f>AU63-AU62</f>
        <v/>
      </c>
      <c r="AV47" s="10">
        <f>AV63-AV62</f>
        <v/>
      </c>
      <c r="AW47" s="10">
        <f>AW63-AW62</f>
        <v/>
      </c>
      <c r="AX47" s="10">
        <f>AX63-AX62</f>
        <v/>
      </c>
      <c r="AY47" s="10">
        <f>AY63-AY62</f>
        <v/>
      </c>
      <c r="AZ47" s="10">
        <f>AZ63-AZ62</f>
        <v/>
      </c>
      <c r="BA47" s="10">
        <f>BA63-BA62</f>
        <v/>
      </c>
      <c r="BB47" s="10">
        <f>BB63-BB62</f>
        <v/>
      </c>
      <c r="BC47" s="10">
        <f>BC63-BC62</f>
        <v/>
      </c>
      <c r="BD47" s="10">
        <f>BD63-BD62</f>
        <v/>
      </c>
      <c r="BE47" s="10">
        <f>BE63-BE62</f>
        <v/>
      </c>
      <c r="BF47" s="10">
        <f>BF63-BF62</f>
        <v/>
      </c>
      <c r="BG47" s="10">
        <f>BG63-BG62</f>
        <v/>
      </c>
      <c r="BH47" s="10">
        <f>BH63-BH62</f>
        <v/>
      </c>
      <c r="BI47" s="10">
        <f>BI63-BI62</f>
        <v/>
      </c>
      <c r="BJ47" s="10">
        <f>BJ63-BJ62</f>
        <v/>
      </c>
      <c r="BK47" s="10">
        <f>BK63-BK62</f>
        <v/>
      </c>
      <c r="BL47" s="10">
        <f>BL63-BL62</f>
        <v/>
      </c>
      <c r="BN47" s="50">
        <f>P47</f>
        <v/>
      </c>
      <c r="BO47" s="50">
        <f>AB47</f>
        <v/>
      </c>
      <c r="BP47" s="50">
        <f>AN47</f>
        <v/>
      </c>
      <c r="BQ47" s="50">
        <f>AZ47</f>
        <v/>
      </c>
      <c r="BR47" s="50">
        <f>BL47</f>
        <v/>
      </c>
    </row>
    <row r="48">
      <c r="B48" s="56" t="inlineStr">
        <is>
          <t>Total assets</t>
        </is>
      </c>
      <c r="C48" s="57" t="inlineStr">
        <is>
          <t>EUR</t>
        </is>
      </c>
      <c r="E48" s="37">
        <f>E46+E47</f>
        <v/>
      </c>
      <c r="F48" s="37">
        <f>F46+F47</f>
        <v/>
      </c>
      <c r="G48" s="37">
        <f>G46+G47</f>
        <v/>
      </c>
      <c r="H48" s="37">
        <f>H46+H47</f>
        <v/>
      </c>
      <c r="I48" s="37">
        <f>I46+I47</f>
        <v/>
      </c>
      <c r="J48" s="37">
        <f>J46+J47</f>
        <v/>
      </c>
      <c r="K48" s="37">
        <f>K46+K47</f>
        <v/>
      </c>
      <c r="L48" s="37">
        <f>L46+L47</f>
        <v/>
      </c>
      <c r="M48" s="37">
        <f>M46+M47</f>
        <v/>
      </c>
      <c r="N48" s="37">
        <f>N46+N47</f>
        <v/>
      </c>
      <c r="O48" s="37">
        <f>O46+O47</f>
        <v/>
      </c>
      <c r="P48" s="37">
        <f>P46+P47</f>
        <v/>
      </c>
      <c r="Q48" s="37">
        <f>Q46+Q47</f>
        <v/>
      </c>
      <c r="R48" s="37">
        <f>R46+R47</f>
        <v/>
      </c>
      <c r="S48" s="37">
        <f>S46+S47</f>
        <v/>
      </c>
      <c r="T48" s="37">
        <f>T46+T47</f>
        <v/>
      </c>
      <c r="U48" s="37">
        <f>U46+U47</f>
        <v/>
      </c>
      <c r="V48" s="37">
        <f>V46+V47</f>
        <v/>
      </c>
      <c r="W48" s="37">
        <f>W46+W47</f>
        <v/>
      </c>
      <c r="X48" s="37">
        <f>X46+X47</f>
        <v/>
      </c>
      <c r="Y48" s="37">
        <f>Y46+Y47</f>
        <v/>
      </c>
      <c r="Z48" s="37">
        <f>Z46+Z47</f>
        <v/>
      </c>
      <c r="AA48" s="37">
        <f>AA46+AA47</f>
        <v/>
      </c>
      <c r="AB48" s="37">
        <f>AB46+AB47</f>
        <v/>
      </c>
      <c r="AC48" s="37">
        <f>AC46+AC47</f>
        <v/>
      </c>
      <c r="AD48" s="37">
        <f>AD46+AD47</f>
        <v/>
      </c>
      <c r="AE48" s="37">
        <f>AE46+AE47</f>
        <v/>
      </c>
      <c r="AF48" s="37">
        <f>AF46+AF47</f>
        <v/>
      </c>
      <c r="AG48" s="37">
        <f>AG46+AG47</f>
        <v/>
      </c>
      <c r="AH48" s="37">
        <f>AH46+AH47</f>
        <v/>
      </c>
      <c r="AI48" s="37">
        <f>AI46+AI47</f>
        <v/>
      </c>
      <c r="AJ48" s="37">
        <f>AJ46+AJ47</f>
        <v/>
      </c>
      <c r="AK48" s="37">
        <f>AK46+AK47</f>
        <v/>
      </c>
      <c r="AL48" s="37">
        <f>AL46+AL47</f>
        <v/>
      </c>
      <c r="AM48" s="37">
        <f>AM46+AM47</f>
        <v/>
      </c>
      <c r="AN48" s="37">
        <f>AN46+AN47</f>
        <v/>
      </c>
      <c r="AO48" s="37">
        <f>AO46+AO47</f>
        <v/>
      </c>
      <c r="AP48" s="37">
        <f>AP46+AP47</f>
        <v/>
      </c>
      <c r="AQ48" s="37">
        <f>AQ46+AQ47</f>
        <v/>
      </c>
      <c r="AR48" s="37">
        <f>AR46+AR47</f>
        <v/>
      </c>
      <c r="AS48" s="37">
        <f>AS46+AS47</f>
        <v/>
      </c>
      <c r="AT48" s="37">
        <f>AT46+AT47</f>
        <v/>
      </c>
      <c r="AU48" s="37">
        <f>AU46+AU47</f>
        <v/>
      </c>
      <c r="AV48" s="37">
        <f>AV46+AV47</f>
        <v/>
      </c>
      <c r="AW48" s="37">
        <f>AW46+AW47</f>
        <v/>
      </c>
      <c r="AX48" s="37">
        <f>AX46+AX47</f>
        <v/>
      </c>
      <c r="AY48" s="37">
        <f>AY46+AY47</f>
        <v/>
      </c>
      <c r="AZ48" s="37">
        <f>AZ46+AZ47</f>
        <v/>
      </c>
      <c r="BA48" s="37">
        <f>BA46+BA47</f>
        <v/>
      </c>
      <c r="BB48" s="37">
        <f>BB46+BB47</f>
        <v/>
      </c>
      <c r="BC48" s="37">
        <f>BC46+BC47</f>
        <v/>
      </c>
      <c r="BD48" s="37">
        <f>BD46+BD47</f>
        <v/>
      </c>
      <c r="BE48" s="37">
        <f>BE46+BE47</f>
        <v/>
      </c>
      <c r="BF48" s="37">
        <f>BF46+BF47</f>
        <v/>
      </c>
      <c r="BG48" s="37">
        <f>BG46+BG47</f>
        <v/>
      </c>
      <c r="BH48" s="37">
        <f>BH46+BH47</f>
        <v/>
      </c>
      <c r="BI48" s="37">
        <f>BI46+BI47</f>
        <v/>
      </c>
      <c r="BJ48" s="37">
        <f>BJ46+BJ47</f>
        <v/>
      </c>
      <c r="BK48" s="37">
        <f>BK46+BK47</f>
        <v/>
      </c>
      <c r="BL48" s="37">
        <f>BL46+BL47</f>
        <v/>
      </c>
      <c r="BN48" s="37">
        <f>P48</f>
        <v/>
      </c>
      <c r="BO48" s="37">
        <f>AB48</f>
        <v/>
      </c>
      <c r="BP48" s="37">
        <f>AN48</f>
        <v/>
      </c>
      <c r="BQ48" s="37">
        <f>AZ48</f>
        <v/>
      </c>
      <c r="BR48" s="37">
        <f>BL48</f>
        <v/>
      </c>
    </row>
    <row r="50">
      <c r="B50" s="6" t="inlineStr">
        <is>
          <t>Payables</t>
        </is>
      </c>
      <c r="C50" s="17" t="inlineStr">
        <is>
          <t>EUR</t>
        </is>
      </c>
      <c r="E50" s="10">
        <f>Assumptions!$D$17/30*-E7</f>
        <v/>
      </c>
      <c r="F50" s="10">
        <f>Assumptions!$D$17/30*-F7</f>
        <v/>
      </c>
      <c r="G50" s="10">
        <f>Assumptions!$D$17/30*-G7</f>
        <v/>
      </c>
      <c r="H50" s="10">
        <f>Assumptions!$D$17/30*-H7</f>
        <v/>
      </c>
      <c r="I50" s="10">
        <f>Assumptions!$D$17/30*-I7</f>
        <v/>
      </c>
      <c r="J50" s="10">
        <f>Assumptions!$D$17/30*-J7</f>
        <v/>
      </c>
      <c r="K50" s="10">
        <f>Assumptions!$D$17/30*-K7</f>
        <v/>
      </c>
      <c r="L50" s="10">
        <f>Assumptions!$D$17/30*-L7</f>
        <v/>
      </c>
      <c r="M50" s="10">
        <f>Assumptions!$D$17/30*-M7</f>
        <v/>
      </c>
      <c r="N50" s="10">
        <f>Assumptions!$D$17/30*-N7</f>
        <v/>
      </c>
      <c r="O50" s="10">
        <f>Assumptions!$D$17/30*-O7</f>
        <v/>
      </c>
      <c r="P50" s="10">
        <f>Assumptions!$D$17/30*-P7</f>
        <v/>
      </c>
      <c r="Q50" s="10">
        <f>Assumptions!$D$17/30*-Q7</f>
        <v/>
      </c>
      <c r="R50" s="10">
        <f>Assumptions!$D$17/30*-R7</f>
        <v/>
      </c>
      <c r="S50" s="10">
        <f>Assumptions!$D$17/30*-S7</f>
        <v/>
      </c>
      <c r="T50" s="10">
        <f>Assumptions!$D$17/30*-T7</f>
        <v/>
      </c>
      <c r="U50" s="10">
        <f>Assumptions!$D$17/30*-U7</f>
        <v/>
      </c>
      <c r="V50" s="10">
        <f>Assumptions!$D$17/30*-V7</f>
        <v/>
      </c>
      <c r="W50" s="10">
        <f>Assumptions!$D$17/30*-W7</f>
        <v/>
      </c>
      <c r="X50" s="10">
        <f>Assumptions!$D$17/30*-X7</f>
        <v/>
      </c>
      <c r="Y50" s="10">
        <f>Assumptions!$D$17/30*-Y7</f>
        <v/>
      </c>
      <c r="Z50" s="10">
        <f>Assumptions!$D$17/30*-Z7</f>
        <v/>
      </c>
      <c r="AA50" s="10">
        <f>Assumptions!$D$17/30*-AA7</f>
        <v/>
      </c>
      <c r="AB50" s="10">
        <f>Assumptions!$D$17/30*-AB7</f>
        <v/>
      </c>
      <c r="AC50" s="10">
        <f>Assumptions!$D$17/30*-AC7</f>
        <v/>
      </c>
      <c r="AD50" s="10">
        <f>Assumptions!$D$17/30*-AD7</f>
        <v/>
      </c>
      <c r="AE50" s="10">
        <f>Assumptions!$D$17/30*-AE7</f>
        <v/>
      </c>
      <c r="AF50" s="10">
        <f>Assumptions!$D$17/30*-AF7</f>
        <v/>
      </c>
      <c r="AG50" s="10">
        <f>Assumptions!$D$17/30*-AG7</f>
        <v/>
      </c>
      <c r="AH50" s="10">
        <f>Assumptions!$D$17/30*-AH7</f>
        <v/>
      </c>
      <c r="AI50" s="10">
        <f>Assumptions!$D$17/30*-AI7</f>
        <v/>
      </c>
      <c r="AJ50" s="10">
        <f>Assumptions!$D$17/30*-AJ7</f>
        <v/>
      </c>
      <c r="AK50" s="10">
        <f>Assumptions!$D$17/30*-AK7</f>
        <v/>
      </c>
      <c r="AL50" s="10">
        <f>Assumptions!$D$17/30*-AL7</f>
        <v/>
      </c>
      <c r="AM50" s="10">
        <f>Assumptions!$D$17/30*-AM7</f>
        <v/>
      </c>
      <c r="AN50" s="10">
        <f>Assumptions!$D$17/30*-AN7</f>
        <v/>
      </c>
      <c r="AO50" s="10">
        <f>Assumptions!$D$17/30*-AO7</f>
        <v/>
      </c>
      <c r="AP50" s="10">
        <f>Assumptions!$D$17/30*-AP7</f>
        <v/>
      </c>
      <c r="AQ50" s="10">
        <f>Assumptions!$D$17/30*-AQ7</f>
        <v/>
      </c>
      <c r="AR50" s="10">
        <f>Assumptions!$D$17/30*-AR7</f>
        <v/>
      </c>
      <c r="AS50" s="10">
        <f>Assumptions!$D$17/30*-AS7</f>
        <v/>
      </c>
      <c r="AT50" s="10">
        <f>Assumptions!$D$17/30*-AT7</f>
        <v/>
      </c>
      <c r="AU50" s="10">
        <f>Assumptions!$D$17/30*-AU7</f>
        <v/>
      </c>
      <c r="AV50" s="10">
        <f>Assumptions!$D$17/30*-AV7</f>
        <v/>
      </c>
      <c r="AW50" s="10">
        <f>Assumptions!$D$17/30*-AW7</f>
        <v/>
      </c>
      <c r="AX50" s="10">
        <f>Assumptions!$D$17/30*-AX7</f>
        <v/>
      </c>
      <c r="AY50" s="10">
        <f>Assumptions!$D$17/30*-AY7</f>
        <v/>
      </c>
      <c r="AZ50" s="10">
        <f>Assumptions!$D$17/30*-AZ7</f>
        <v/>
      </c>
      <c r="BA50" s="10">
        <f>Assumptions!$D$17/30*-BA7</f>
        <v/>
      </c>
      <c r="BB50" s="10">
        <f>Assumptions!$D$17/30*-BB7</f>
        <v/>
      </c>
      <c r="BC50" s="10">
        <f>Assumptions!$D$17/30*-BC7</f>
        <v/>
      </c>
      <c r="BD50" s="10">
        <f>Assumptions!$D$17/30*-BD7</f>
        <v/>
      </c>
      <c r="BE50" s="10">
        <f>Assumptions!$D$17/30*-BE7</f>
        <v/>
      </c>
      <c r="BF50" s="10">
        <f>Assumptions!$D$17/30*-BF7</f>
        <v/>
      </c>
      <c r="BG50" s="10">
        <f>Assumptions!$D$17/30*-BG7</f>
        <v/>
      </c>
      <c r="BH50" s="10">
        <f>Assumptions!$D$17/30*-BH7</f>
        <v/>
      </c>
      <c r="BI50" s="10">
        <f>Assumptions!$D$17/30*-BI7</f>
        <v/>
      </c>
      <c r="BJ50" s="10">
        <f>Assumptions!$D$17/30*-BJ7</f>
        <v/>
      </c>
      <c r="BK50" s="10">
        <f>Assumptions!$D$17/30*-BK7</f>
        <v/>
      </c>
      <c r="BL50" s="10">
        <f>Assumptions!$D$17/30*-BL7</f>
        <v/>
      </c>
      <c r="BN50" s="50">
        <f>P50</f>
        <v/>
      </c>
      <c r="BO50" s="50">
        <f>AB50</f>
        <v/>
      </c>
      <c r="BP50" s="50">
        <f>AN50</f>
        <v/>
      </c>
      <c r="BQ50" s="50">
        <f>AZ50</f>
        <v/>
      </c>
      <c r="BR50" s="50">
        <f>BL50</f>
        <v/>
      </c>
    </row>
    <row r="51">
      <c r="B51" s="6" t="inlineStr">
        <is>
          <t>Loan outstanding</t>
        </is>
      </c>
      <c r="C51" s="17" t="inlineStr">
        <is>
          <t>EUR</t>
        </is>
      </c>
      <c r="E51" s="10">
        <f>E36</f>
        <v/>
      </c>
      <c r="F51" s="10">
        <f>E51+F36</f>
        <v/>
      </c>
      <c r="G51" s="10">
        <f>F51+G36</f>
        <v/>
      </c>
      <c r="H51" s="10">
        <f>G51+H36</f>
        <v/>
      </c>
      <c r="I51" s="10">
        <f>H51+I36</f>
        <v/>
      </c>
      <c r="J51" s="10">
        <f>I51+J36</f>
        <v/>
      </c>
      <c r="K51" s="10">
        <f>J51+K36</f>
        <v/>
      </c>
      <c r="L51" s="10">
        <f>K51+L36</f>
        <v/>
      </c>
      <c r="M51" s="10">
        <f>L51+M36</f>
        <v/>
      </c>
      <c r="N51" s="10">
        <f>M51+N36</f>
        <v/>
      </c>
      <c r="O51" s="10">
        <f>N51+O36</f>
        <v/>
      </c>
      <c r="P51" s="10">
        <f>O51+P36</f>
        <v/>
      </c>
      <c r="Q51" s="10">
        <f>P51+Q36</f>
        <v/>
      </c>
      <c r="R51" s="10">
        <f>Q51+R36</f>
        <v/>
      </c>
      <c r="S51" s="10">
        <f>R51+S36</f>
        <v/>
      </c>
      <c r="T51" s="10">
        <f>S51+T36</f>
        <v/>
      </c>
      <c r="U51" s="10">
        <f>T51+U36</f>
        <v/>
      </c>
      <c r="V51" s="10">
        <f>U51+V36</f>
        <v/>
      </c>
      <c r="W51" s="10">
        <f>V51+W36</f>
        <v/>
      </c>
      <c r="X51" s="10">
        <f>W51+X36</f>
        <v/>
      </c>
      <c r="Y51" s="10">
        <f>X51+Y36</f>
        <v/>
      </c>
      <c r="Z51" s="10">
        <f>Y51+Z36</f>
        <v/>
      </c>
      <c r="AA51" s="10">
        <f>Z51+AA36</f>
        <v/>
      </c>
      <c r="AB51" s="10">
        <f>AA51+AB36</f>
        <v/>
      </c>
      <c r="AC51" s="10">
        <f>AB51+AC36</f>
        <v/>
      </c>
      <c r="AD51" s="10">
        <f>AC51+AD36</f>
        <v/>
      </c>
      <c r="AE51" s="10">
        <f>AD51+AE36</f>
        <v/>
      </c>
      <c r="AF51" s="10">
        <f>AE51+AF36</f>
        <v/>
      </c>
      <c r="AG51" s="10">
        <f>AF51+AG36</f>
        <v/>
      </c>
      <c r="AH51" s="10">
        <f>AG51+AH36</f>
        <v/>
      </c>
      <c r="AI51" s="10">
        <f>AH51+AI36</f>
        <v/>
      </c>
      <c r="AJ51" s="10">
        <f>AI51+AJ36</f>
        <v/>
      </c>
      <c r="AK51" s="10">
        <f>AJ51+AK36</f>
        <v/>
      </c>
      <c r="AL51" s="10">
        <f>AK51+AL36</f>
        <v/>
      </c>
      <c r="AM51" s="10">
        <f>AL51+AM36</f>
        <v/>
      </c>
      <c r="AN51" s="10">
        <f>AM51+AN36</f>
        <v/>
      </c>
      <c r="AO51" s="10">
        <f>AN51+AO36</f>
        <v/>
      </c>
      <c r="AP51" s="10">
        <f>AO51+AP36</f>
        <v/>
      </c>
      <c r="AQ51" s="10">
        <f>AP51+AQ36</f>
        <v/>
      </c>
      <c r="AR51" s="10">
        <f>AQ51+AR36</f>
        <v/>
      </c>
      <c r="AS51" s="10">
        <f>AR51+AS36</f>
        <v/>
      </c>
      <c r="AT51" s="10">
        <f>AS51+AT36</f>
        <v/>
      </c>
      <c r="AU51" s="10">
        <f>AT51+AU36</f>
        <v/>
      </c>
      <c r="AV51" s="10">
        <f>AU51+AV36</f>
        <v/>
      </c>
      <c r="AW51" s="10">
        <f>AV51+AW36</f>
        <v/>
      </c>
      <c r="AX51" s="10">
        <f>AW51+AX36</f>
        <v/>
      </c>
      <c r="AY51" s="10">
        <f>AX51+AY36</f>
        <v/>
      </c>
      <c r="AZ51" s="10">
        <f>AY51+AZ36</f>
        <v/>
      </c>
      <c r="BA51" s="10">
        <f>AZ51+BA36</f>
        <v/>
      </c>
      <c r="BB51" s="10">
        <f>BA51+BB36</f>
        <v/>
      </c>
      <c r="BC51" s="10">
        <f>BB51+BC36</f>
        <v/>
      </c>
      <c r="BD51" s="10">
        <f>BC51+BD36</f>
        <v/>
      </c>
      <c r="BE51" s="10">
        <f>BD51+BE36</f>
        <v/>
      </c>
      <c r="BF51" s="10">
        <f>BE51+BF36</f>
        <v/>
      </c>
      <c r="BG51" s="10">
        <f>BF51+BG36</f>
        <v/>
      </c>
      <c r="BH51" s="10">
        <f>BG51+BH36</f>
        <v/>
      </c>
      <c r="BI51" s="10">
        <f>BH51+BI36</f>
        <v/>
      </c>
      <c r="BJ51" s="10">
        <f>BI51+BJ36</f>
        <v/>
      </c>
      <c r="BK51" s="10">
        <f>BJ51+BK36</f>
        <v/>
      </c>
      <c r="BL51" s="10">
        <f>BK51+BL36</f>
        <v/>
      </c>
      <c r="BN51" s="50">
        <f>P51</f>
        <v/>
      </c>
      <c r="BO51" s="50">
        <f>AB51</f>
        <v/>
      </c>
      <c r="BP51" s="50">
        <f>AN51</f>
        <v/>
      </c>
      <c r="BQ51" s="50">
        <f>AZ51</f>
        <v/>
      </c>
      <c r="BR51" s="50">
        <f>BL51</f>
        <v/>
      </c>
    </row>
    <row r="52">
      <c r="B52" s="56" t="inlineStr">
        <is>
          <t>Total liabilities</t>
        </is>
      </c>
      <c r="C52" s="57" t="inlineStr">
        <is>
          <t>EUR</t>
        </is>
      </c>
      <c r="E52" s="37">
        <f>E50+E51</f>
        <v/>
      </c>
      <c r="F52" s="37">
        <f>F50+F51</f>
        <v/>
      </c>
      <c r="G52" s="37">
        <f>G50+G51</f>
        <v/>
      </c>
      <c r="H52" s="37">
        <f>H50+H51</f>
        <v/>
      </c>
      <c r="I52" s="37">
        <f>I50+I51</f>
        <v/>
      </c>
      <c r="J52" s="37">
        <f>J50+J51</f>
        <v/>
      </c>
      <c r="K52" s="37">
        <f>K50+K51</f>
        <v/>
      </c>
      <c r="L52" s="37">
        <f>L50+L51</f>
        <v/>
      </c>
      <c r="M52" s="37">
        <f>M50+M51</f>
        <v/>
      </c>
      <c r="N52" s="37">
        <f>N50+N51</f>
        <v/>
      </c>
      <c r="O52" s="37">
        <f>O50+O51</f>
        <v/>
      </c>
      <c r="P52" s="37">
        <f>P50+P51</f>
        <v/>
      </c>
      <c r="Q52" s="37">
        <f>Q50+Q51</f>
        <v/>
      </c>
      <c r="R52" s="37">
        <f>R50+R51</f>
        <v/>
      </c>
      <c r="S52" s="37">
        <f>S50+S51</f>
        <v/>
      </c>
      <c r="T52" s="37">
        <f>T50+T51</f>
        <v/>
      </c>
      <c r="U52" s="37">
        <f>U50+U51</f>
        <v/>
      </c>
      <c r="V52" s="37">
        <f>V50+V51</f>
        <v/>
      </c>
      <c r="W52" s="37">
        <f>W50+W51</f>
        <v/>
      </c>
      <c r="X52" s="37">
        <f>X50+X51</f>
        <v/>
      </c>
      <c r="Y52" s="37">
        <f>Y50+Y51</f>
        <v/>
      </c>
      <c r="Z52" s="37">
        <f>Z50+Z51</f>
        <v/>
      </c>
      <c r="AA52" s="37">
        <f>AA50+AA51</f>
        <v/>
      </c>
      <c r="AB52" s="37">
        <f>AB50+AB51</f>
        <v/>
      </c>
      <c r="AC52" s="37">
        <f>AC50+AC51</f>
        <v/>
      </c>
      <c r="AD52" s="37">
        <f>AD50+AD51</f>
        <v/>
      </c>
      <c r="AE52" s="37">
        <f>AE50+AE51</f>
        <v/>
      </c>
      <c r="AF52" s="37">
        <f>AF50+AF51</f>
        <v/>
      </c>
      <c r="AG52" s="37">
        <f>AG50+AG51</f>
        <v/>
      </c>
      <c r="AH52" s="37">
        <f>AH50+AH51</f>
        <v/>
      </c>
      <c r="AI52" s="37">
        <f>AI50+AI51</f>
        <v/>
      </c>
      <c r="AJ52" s="37">
        <f>AJ50+AJ51</f>
        <v/>
      </c>
      <c r="AK52" s="37">
        <f>AK50+AK51</f>
        <v/>
      </c>
      <c r="AL52" s="37">
        <f>AL50+AL51</f>
        <v/>
      </c>
      <c r="AM52" s="37">
        <f>AM50+AM51</f>
        <v/>
      </c>
      <c r="AN52" s="37">
        <f>AN50+AN51</f>
        <v/>
      </c>
      <c r="AO52" s="37">
        <f>AO50+AO51</f>
        <v/>
      </c>
      <c r="AP52" s="37">
        <f>AP50+AP51</f>
        <v/>
      </c>
      <c r="AQ52" s="37">
        <f>AQ50+AQ51</f>
        <v/>
      </c>
      <c r="AR52" s="37">
        <f>AR50+AR51</f>
        <v/>
      </c>
      <c r="AS52" s="37">
        <f>AS50+AS51</f>
        <v/>
      </c>
      <c r="AT52" s="37">
        <f>AT50+AT51</f>
        <v/>
      </c>
      <c r="AU52" s="37">
        <f>AU50+AU51</f>
        <v/>
      </c>
      <c r="AV52" s="37">
        <f>AV50+AV51</f>
        <v/>
      </c>
      <c r="AW52" s="37">
        <f>AW50+AW51</f>
        <v/>
      </c>
      <c r="AX52" s="37">
        <f>AX50+AX51</f>
        <v/>
      </c>
      <c r="AY52" s="37">
        <f>AY50+AY51</f>
        <v/>
      </c>
      <c r="AZ52" s="37">
        <f>AZ50+AZ51</f>
        <v/>
      </c>
      <c r="BA52" s="37">
        <f>BA50+BA51</f>
        <v/>
      </c>
      <c r="BB52" s="37">
        <f>BB50+BB51</f>
        <v/>
      </c>
      <c r="BC52" s="37">
        <f>BC50+BC51</f>
        <v/>
      </c>
      <c r="BD52" s="37">
        <f>BD50+BD51</f>
        <v/>
      </c>
      <c r="BE52" s="37">
        <f>BE50+BE51</f>
        <v/>
      </c>
      <c r="BF52" s="37">
        <f>BF50+BF51</f>
        <v/>
      </c>
      <c r="BG52" s="37">
        <f>BG50+BG51</f>
        <v/>
      </c>
      <c r="BH52" s="37">
        <f>BH50+BH51</f>
        <v/>
      </c>
      <c r="BI52" s="37">
        <f>BI50+BI51</f>
        <v/>
      </c>
      <c r="BJ52" s="37">
        <f>BJ50+BJ51</f>
        <v/>
      </c>
      <c r="BK52" s="37">
        <f>BK50+BK51</f>
        <v/>
      </c>
      <c r="BL52" s="37">
        <f>BL50+BL51</f>
        <v/>
      </c>
      <c r="BN52" s="37">
        <f>P52</f>
        <v/>
      </c>
      <c r="BO52" s="37">
        <f>AB52</f>
        <v/>
      </c>
      <c r="BP52" s="37">
        <f>AN52</f>
        <v/>
      </c>
      <c r="BQ52" s="37">
        <f>AZ52</f>
        <v/>
      </c>
      <c r="BR52" s="37">
        <f>BL52</f>
        <v/>
      </c>
    </row>
    <row r="53">
      <c r="B53" s="6" t="inlineStr">
        <is>
          <t>Share capital and premium</t>
        </is>
      </c>
      <c r="C53" s="17" t="inlineStr">
        <is>
          <t>EUR</t>
        </is>
      </c>
      <c r="E53" s="10">
        <f>Assumptions!$D$6+E35</f>
        <v/>
      </c>
      <c r="F53" s="10">
        <f>E53+F35</f>
        <v/>
      </c>
      <c r="G53" s="10">
        <f>F53+G35</f>
        <v/>
      </c>
      <c r="H53" s="10">
        <f>G53+H35</f>
        <v/>
      </c>
      <c r="I53" s="10">
        <f>H53+I35</f>
        <v/>
      </c>
      <c r="J53" s="10">
        <f>I53+J35</f>
        <v/>
      </c>
      <c r="K53" s="10">
        <f>J53+K35</f>
        <v/>
      </c>
      <c r="L53" s="10">
        <f>K53+L35</f>
        <v/>
      </c>
      <c r="M53" s="10">
        <f>L53+M35</f>
        <v/>
      </c>
      <c r="N53" s="10">
        <f>M53+N35</f>
        <v/>
      </c>
      <c r="O53" s="10">
        <f>N53+O35</f>
        <v/>
      </c>
      <c r="P53" s="10">
        <f>O53+P35</f>
        <v/>
      </c>
      <c r="Q53" s="10">
        <f>P53+Q35</f>
        <v/>
      </c>
      <c r="R53" s="10">
        <f>Q53+R35</f>
        <v/>
      </c>
      <c r="S53" s="10">
        <f>R53+S35</f>
        <v/>
      </c>
      <c r="T53" s="10">
        <f>S53+T35</f>
        <v/>
      </c>
      <c r="U53" s="10">
        <f>T53+U35</f>
        <v/>
      </c>
      <c r="V53" s="10">
        <f>U53+V35</f>
        <v/>
      </c>
      <c r="W53" s="10">
        <f>V53+W35</f>
        <v/>
      </c>
      <c r="X53" s="10">
        <f>W53+X35</f>
        <v/>
      </c>
      <c r="Y53" s="10">
        <f>X53+Y35</f>
        <v/>
      </c>
      <c r="Z53" s="10">
        <f>Y53+Z35</f>
        <v/>
      </c>
      <c r="AA53" s="10">
        <f>Z53+AA35</f>
        <v/>
      </c>
      <c r="AB53" s="10">
        <f>AA53+AB35</f>
        <v/>
      </c>
      <c r="AC53" s="10">
        <f>AB53+AC35</f>
        <v/>
      </c>
      <c r="AD53" s="10">
        <f>AC53+AD35</f>
        <v/>
      </c>
      <c r="AE53" s="10">
        <f>AD53+AE35</f>
        <v/>
      </c>
      <c r="AF53" s="10">
        <f>AE53+AF35</f>
        <v/>
      </c>
      <c r="AG53" s="10">
        <f>AF53+AG35</f>
        <v/>
      </c>
      <c r="AH53" s="10">
        <f>AG53+AH35</f>
        <v/>
      </c>
      <c r="AI53" s="10">
        <f>AH53+AI35</f>
        <v/>
      </c>
      <c r="AJ53" s="10">
        <f>AI53+AJ35</f>
        <v/>
      </c>
      <c r="AK53" s="10">
        <f>AJ53+AK35</f>
        <v/>
      </c>
      <c r="AL53" s="10">
        <f>AK53+AL35</f>
        <v/>
      </c>
      <c r="AM53" s="10">
        <f>AL53+AM35</f>
        <v/>
      </c>
      <c r="AN53" s="10">
        <f>AM53+AN35</f>
        <v/>
      </c>
      <c r="AO53" s="10">
        <f>AN53+AO35</f>
        <v/>
      </c>
      <c r="AP53" s="10">
        <f>AO53+AP35</f>
        <v/>
      </c>
      <c r="AQ53" s="10">
        <f>AP53+AQ35</f>
        <v/>
      </c>
      <c r="AR53" s="10">
        <f>AQ53+AR35</f>
        <v/>
      </c>
      <c r="AS53" s="10">
        <f>AR53+AS35</f>
        <v/>
      </c>
      <c r="AT53" s="10">
        <f>AS53+AT35</f>
        <v/>
      </c>
      <c r="AU53" s="10">
        <f>AT53+AU35</f>
        <v/>
      </c>
      <c r="AV53" s="10">
        <f>AU53+AV35</f>
        <v/>
      </c>
      <c r="AW53" s="10">
        <f>AV53+AW35</f>
        <v/>
      </c>
      <c r="AX53" s="10">
        <f>AW53+AX35</f>
        <v/>
      </c>
      <c r="AY53" s="10">
        <f>AX53+AY35</f>
        <v/>
      </c>
      <c r="AZ53" s="10">
        <f>AY53+AZ35</f>
        <v/>
      </c>
      <c r="BA53" s="10">
        <f>AZ53+BA35</f>
        <v/>
      </c>
      <c r="BB53" s="10">
        <f>BA53+BB35</f>
        <v/>
      </c>
      <c r="BC53" s="10">
        <f>BB53+BC35</f>
        <v/>
      </c>
      <c r="BD53" s="10">
        <f>BC53+BD35</f>
        <v/>
      </c>
      <c r="BE53" s="10">
        <f>BD53+BE35</f>
        <v/>
      </c>
      <c r="BF53" s="10">
        <f>BE53+BF35</f>
        <v/>
      </c>
      <c r="BG53" s="10">
        <f>BF53+BG35</f>
        <v/>
      </c>
      <c r="BH53" s="10">
        <f>BG53+BH35</f>
        <v/>
      </c>
      <c r="BI53" s="10">
        <f>BH53+BI35</f>
        <v/>
      </c>
      <c r="BJ53" s="10">
        <f>BI53+BJ35</f>
        <v/>
      </c>
      <c r="BK53" s="10">
        <f>BJ53+BK35</f>
        <v/>
      </c>
      <c r="BL53" s="10">
        <f>BK53+BL35</f>
        <v/>
      </c>
      <c r="BN53" s="50">
        <f>P53</f>
        <v/>
      </c>
      <c r="BO53" s="50">
        <f>AB53</f>
        <v/>
      </c>
      <c r="BP53" s="50">
        <f>AN53</f>
        <v/>
      </c>
      <c r="BQ53" s="50">
        <f>AZ53</f>
        <v/>
      </c>
      <c r="BR53" s="50">
        <f>BL53</f>
        <v/>
      </c>
      <c r="BT53" s="32" t="inlineStr">
        <is>
          <t>opening equity matches the opening cash brought forward</t>
        </is>
      </c>
    </row>
    <row r="54">
      <c r="B54" s="6" t="inlineStr">
        <is>
          <t>Retained earnings</t>
        </is>
      </c>
      <c r="C54" s="17" t="inlineStr">
        <is>
          <t>EUR</t>
        </is>
      </c>
      <c r="E54" s="10">
        <f>E23</f>
        <v/>
      </c>
      <c r="F54" s="10">
        <f>E54+F23</f>
        <v/>
      </c>
      <c r="G54" s="10">
        <f>F54+G23</f>
        <v/>
      </c>
      <c r="H54" s="10">
        <f>G54+H23</f>
        <v/>
      </c>
      <c r="I54" s="10">
        <f>H54+I23</f>
        <v/>
      </c>
      <c r="J54" s="10">
        <f>I54+J23</f>
        <v/>
      </c>
      <c r="K54" s="10">
        <f>J54+K23</f>
        <v/>
      </c>
      <c r="L54" s="10">
        <f>K54+L23</f>
        <v/>
      </c>
      <c r="M54" s="10">
        <f>L54+M23</f>
        <v/>
      </c>
      <c r="N54" s="10">
        <f>M54+N23</f>
        <v/>
      </c>
      <c r="O54" s="10">
        <f>N54+O23</f>
        <v/>
      </c>
      <c r="P54" s="10">
        <f>O54+P23</f>
        <v/>
      </c>
      <c r="Q54" s="10">
        <f>P54+Q23</f>
        <v/>
      </c>
      <c r="R54" s="10">
        <f>Q54+R23</f>
        <v/>
      </c>
      <c r="S54" s="10">
        <f>R54+S23</f>
        <v/>
      </c>
      <c r="T54" s="10">
        <f>S54+T23</f>
        <v/>
      </c>
      <c r="U54" s="10">
        <f>T54+U23</f>
        <v/>
      </c>
      <c r="V54" s="10">
        <f>U54+V23</f>
        <v/>
      </c>
      <c r="W54" s="10">
        <f>V54+W23</f>
        <v/>
      </c>
      <c r="X54" s="10">
        <f>W54+X23</f>
        <v/>
      </c>
      <c r="Y54" s="10">
        <f>X54+Y23</f>
        <v/>
      </c>
      <c r="Z54" s="10">
        <f>Y54+Z23</f>
        <v/>
      </c>
      <c r="AA54" s="10">
        <f>Z54+AA23</f>
        <v/>
      </c>
      <c r="AB54" s="10">
        <f>AA54+AB23</f>
        <v/>
      </c>
      <c r="AC54" s="10">
        <f>AB54+AC23</f>
        <v/>
      </c>
      <c r="AD54" s="10">
        <f>AC54+AD23</f>
        <v/>
      </c>
      <c r="AE54" s="10">
        <f>AD54+AE23</f>
        <v/>
      </c>
      <c r="AF54" s="10">
        <f>AE54+AF23</f>
        <v/>
      </c>
      <c r="AG54" s="10">
        <f>AF54+AG23</f>
        <v/>
      </c>
      <c r="AH54" s="10">
        <f>AG54+AH23</f>
        <v/>
      </c>
      <c r="AI54" s="10">
        <f>AH54+AI23</f>
        <v/>
      </c>
      <c r="AJ54" s="10">
        <f>AI54+AJ23</f>
        <v/>
      </c>
      <c r="AK54" s="10">
        <f>AJ54+AK23</f>
        <v/>
      </c>
      <c r="AL54" s="10">
        <f>AK54+AL23</f>
        <v/>
      </c>
      <c r="AM54" s="10">
        <f>AL54+AM23</f>
        <v/>
      </c>
      <c r="AN54" s="10">
        <f>AM54+AN23</f>
        <v/>
      </c>
      <c r="AO54" s="10">
        <f>AN54+AO23</f>
        <v/>
      </c>
      <c r="AP54" s="10">
        <f>AO54+AP23</f>
        <v/>
      </c>
      <c r="AQ54" s="10">
        <f>AP54+AQ23</f>
        <v/>
      </c>
      <c r="AR54" s="10">
        <f>AQ54+AR23</f>
        <v/>
      </c>
      <c r="AS54" s="10">
        <f>AR54+AS23</f>
        <v/>
      </c>
      <c r="AT54" s="10">
        <f>AS54+AT23</f>
        <v/>
      </c>
      <c r="AU54" s="10">
        <f>AT54+AU23</f>
        <v/>
      </c>
      <c r="AV54" s="10">
        <f>AU54+AV23</f>
        <v/>
      </c>
      <c r="AW54" s="10">
        <f>AV54+AW23</f>
        <v/>
      </c>
      <c r="AX54" s="10">
        <f>AW54+AX23</f>
        <v/>
      </c>
      <c r="AY54" s="10">
        <f>AX54+AY23</f>
        <v/>
      </c>
      <c r="AZ54" s="10">
        <f>AY54+AZ23</f>
        <v/>
      </c>
      <c r="BA54" s="10">
        <f>AZ54+BA23</f>
        <v/>
      </c>
      <c r="BB54" s="10">
        <f>BA54+BB23</f>
        <v/>
      </c>
      <c r="BC54" s="10">
        <f>BB54+BC23</f>
        <v/>
      </c>
      <c r="BD54" s="10">
        <f>BC54+BD23</f>
        <v/>
      </c>
      <c r="BE54" s="10">
        <f>BD54+BE23</f>
        <v/>
      </c>
      <c r="BF54" s="10">
        <f>BE54+BF23</f>
        <v/>
      </c>
      <c r="BG54" s="10">
        <f>BF54+BG23</f>
        <v/>
      </c>
      <c r="BH54" s="10">
        <f>BG54+BH23</f>
        <v/>
      </c>
      <c r="BI54" s="10">
        <f>BH54+BI23</f>
        <v/>
      </c>
      <c r="BJ54" s="10">
        <f>BI54+BJ23</f>
        <v/>
      </c>
      <c r="BK54" s="10">
        <f>BJ54+BK23</f>
        <v/>
      </c>
      <c r="BL54" s="10">
        <f>BK54+BL23</f>
        <v/>
      </c>
      <c r="BN54" s="50">
        <f>P54</f>
        <v/>
      </c>
      <c r="BO54" s="50">
        <f>AB54</f>
        <v/>
      </c>
      <c r="BP54" s="50">
        <f>AN54</f>
        <v/>
      </c>
      <c r="BQ54" s="50">
        <f>AZ54</f>
        <v/>
      </c>
      <c r="BR54" s="50">
        <f>BL54</f>
        <v/>
      </c>
    </row>
    <row r="55">
      <c r="B55" s="56" t="inlineStr">
        <is>
          <t>Total equity</t>
        </is>
      </c>
      <c r="C55" s="57" t="inlineStr">
        <is>
          <t>EUR</t>
        </is>
      </c>
      <c r="E55" s="37">
        <f>E53+E54</f>
        <v/>
      </c>
      <c r="F55" s="37">
        <f>F53+F54</f>
        <v/>
      </c>
      <c r="G55" s="37">
        <f>G53+G54</f>
        <v/>
      </c>
      <c r="H55" s="37">
        <f>H53+H54</f>
        <v/>
      </c>
      <c r="I55" s="37">
        <f>I53+I54</f>
        <v/>
      </c>
      <c r="J55" s="37">
        <f>J53+J54</f>
        <v/>
      </c>
      <c r="K55" s="37">
        <f>K53+K54</f>
        <v/>
      </c>
      <c r="L55" s="37">
        <f>L53+L54</f>
        <v/>
      </c>
      <c r="M55" s="37">
        <f>M53+M54</f>
        <v/>
      </c>
      <c r="N55" s="37">
        <f>N53+N54</f>
        <v/>
      </c>
      <c r="O55" s="37">
        <f>O53+O54</f>
        <v/>
      </c>
      <c r="P55" s="37">
        <f>P53+P54</f>
        <v/>
      </c>
      <c r="Q55" s="37">
        <f>Q53+Q54</f>
        <v/>
      </c>
      <c r="R55" s="37">
        <f>R53+R54</f>
        <v/>
      </c>
      <c r="S55" s="37">
        <f>S53+S54</f>
        <v/>
      </c>
      <c r="T55" s="37">
        <f>T53+T54</f>
        <v/>
      </c>
      <c r="U55" s="37">
        <f>U53+U54</f>
        <v/>
      </c>
      <c r="V55" s="37">
        <f>V53+V54</f>
        <v/>
      </c>
      <c r="W55" s="37">
        <f>W53+W54</f>
        <v/>
      </c>
      <c r="X55" s="37">
        <f>X53+X54</f>
        <v/>
      </c>
      <c r="Y55" s="37">
        <f>Y53+Y54</f>
        <v/>
      </c>
      <c r="Z55" s="37">
        <f>Z53+Z54</f>
        <v/>
      </c>
      <c r="AA55" s="37">
        <f>AA53+AA54</f>
        <v/>
      </c>
      <c r="AB55" s="37">
        <f>AB53+AB54</f>
        <v/>
      </c>
      <c r="AC55" s="37">
        <f>AC53+AC54</f>
        <v/>
      </c>
      <c r="AD55" s="37">
        <f>AD53+AD54</f>
        <v/>
      </c>
      <c r="AE55" s="37">
        <f>AE53+AE54</f>
        <v/>
      </c>
      <c r="AF55" s="37">
        <f>AF53+AF54</f>
        <v/>
      </c>
      <c r="AG55" s="37">
        <f>AG53+AG54</f>
        <v/>
      </c>
      <c r="AH55" s="37">
        <f>AH53+AH54</f>
        <v/>
      </c>
      <c r="AI55" s="37">
        <f>AI53+AI54</f>
        <v/>
      </c>
      <c r="AJ55" s="37">
        <f>AJ53+AJ54</f>
        <v/>
      </c>
      <c r="AK55" s="37">
        <f>AK53+AK54</f>
        <v/>
      </c>
      <c r="AL55" s="37">
        <f>AL53+AL54</f>
        <v/>
      </c>
      <c r="AM55" s="37">
        <f>AM53+AM54</f>
        <v/>
      </c>
      <c r="AN55" s="37">
        <f>AN53+AN54</f>
        <v/>
      </c>
      <c r="AO55" s="37">
        <f>AO53+AO54</f>
        <v/>
      </c>
      <c r="AP55" s="37">
        <f>AP53+AP54</f>
        <v/>
      </c>
      <c r="AQ55" s="37">
        <f>AQ53+AQ54</f>
        <v/>
      </c>
      <c r="AR55" s="37">
        <f>AR53+AR54</f>
        <v/>
      </c>
      <c r="AS55" s="37">
        <f>AS53+AS54</f>
        <v/>
      </c>
      <c r="AT55" s="37">
        <f>AT53+AT54</f>
        <v/>
      </c>
      <c r="AU55" s="37">
        <f>AU53+AU54</f>
        <v/>
      </c>
      <c r="AV55" s="37">
        <f>AV53+AV54</f>
        <v/>
      </c>
      <c r="AW55" s="37">
        <f>AW53+AW54</f>
        <v/>
      </c>
      <c r="AX55" s="37">
        <f>AX53+AX54</f>
        <v/>
      </c>
      <c r="AY55" s="37">
        <f>AY53+AY54</f>
        <v/>
      </c>
      <c r="AZ55" s="37">
        <f>AZ53+AZ54</f>
        <v/>
      </c>
      <c r="BA55" s="37">
        <f>BA53+BA54</f>
        <v/>
      </c>
      <c r="BB55" s="37">
        <f>BB53+BB54</f>
        <v/>
      </c>
      <c r="BC55" s="37">
        <f>BC53+BC54</f>
        <v/>
      </c>
      <c r="BD55" s="37">
        <f>BD53+BD54</f>
        <v/>
      </c>
      <c r="BE55" s="37">
        <f>BE53+BE54</f>
        <v/>
      </c>
      <c r="BF55" s="37">
        <f>BF53+BF54</f>
        <v/>
      </c>
      <c r="BG55" s="37">
        <f>BG53+BG54</f>
        <v/>
      </c>
      <c r="BH55" s="37">
        <f>BH53+BH54</f>
        <v/>
      </c>
      <c r="BI55" s="37">
        <f>BI53+BI54</f>
        <v/>
      </c>
      <c r="BJ55" s="37">
        <f>BJ53+BJ54</f>
        <v/>
      </c>
      <c r="BK55" s="37">
        <f>BK53+BK54</f>
        <v/>
      </c>
      <c r="BL55" s="37">
        <f>BL53+BL54</f>
        <v/>
      </c>
      <c r="BN55" s="37">
        <f>P55</f>
        <v/>
      </c>
      <c r="BO55" s="37">
        <f>AB55</f>
        <v/>
      </c>
      <c r="BP55" s="37">
        <f>AN55</f>
        <v/>
      </c>
      <c r="BQ55" s="37">
        <f>AZ55</f>
        <v/>
      </c>
      <c r="BR55" s="37">
        <f>BL55</f>
        <v/>
      </c>
    </row>
    <row r="56">
      <c r="B56" s="56" t="inlineStr">
        <is>
          <t>Total liabilities and equity</t>
        </is>
      </c>
      <c r="C56" s="57" t="inlineStr">
        <is>
          <t>EUR</t>
        </is>
      </c>
      <c r="E56" s="37">
        <f>E52+E55</f>
        <v/>
      </c>
      <c r="F56" s="37">
        <f>F52+F55</f>
        <v/>
      </c>
      <c r="G56" s="37">
        <f>G52+G55</f>
        <v/>
      </c>
      <c r="H56" s="37">
        <f>H52+H55</f>
        <v/>
      </c>
      <c r="I56" s="37">
        <f>I52+I55</f>
        <v/>
      </c>
      <c r="J56" s="37">
        <f>J52+J55</f>
        <v/>
      </c>
      <c r="K56" s="37">
        <f>K52+K55</f>
        <v/>
      </c>
      <c r="L56" s="37">
        <f>L52+L55</f>
        <v/>
      </c>
      <c r="M56" s="37">
        <f>M52+M55</f>
        <v/>
      </c>
      <c r="N56" s="37">
        <f>N52+N55</f>
        <v/>
      </c>
      <c r="O56" s="37">
        <f>O52+O55</f>
        <v/>
      </c>
      <c r="P56" s="37">
        <f>P52+P55</f>
        <v/>
      </c>
      <c r="Q56" s="37">
        <f>Q52+Q55</f>
        <v/>
      </c>
      <c r="R56" s="37">
        <f>R52+R55</f>
        <v/>
      </c>
      <c r="S56" s="37">
        <f>S52+S55</f>
        <v/>
      </c>
      <c r="T56" s="37">
        <f>T52+T55</f>
        <v/>
      </c>
      <c r="U56" s="37">
        <f>U52+U55</f>
        <v/>
      </c>
      <c r="V56" s="37">
        <f>V52+V55</f>
        <v/>
      </c>
      <c r="W56" s="37">
        <f>W52+W55</f>
        <v/>
      </c>
      <c r="X56" s="37">
        <f>X52+X55</f>
        <v/>
      </c>
      <c r="Y56" s="37">
        <f>Y52+Y55</f>
        <v/>
      </c>
      <c r="Z56" s="37">
        <f>Z52+Z55</f>
        <v/>
      </c>
      <c r="AA56" s="37">
        <f>AA52+AA55</f>
        <v/>
      </c>
      <c r="AB56" s="37">
        <f>AB52+AB55</f>
        <v/>
      </c>
      <c r="AC56" s="37">
        <f>AC52+AC55</f>
        <v/>
      </c>
      <c r="AD56" s="37">
        <f>AD52+AD55</f>
        <v/>
      </c>
      <c r="AE56" s="37">
        <f>AE52+AE55</f>
        <v/>
      </c>
      <c r="AF56" s="37">
        <f>AF52+AF55</f>
        <v/>
      </c>
      <c r="AG56" s="37">
        <f>AG52+AG55</f>
        <v/>
      </c>
      <c r="AH56" s="37">
        <f>AH52+AH55</f>
        <v/>
      </c>
      <c r="AI56" s="37">
        <f>AI52+AI55</f>
        <v/>
      </c>
      <c r="AJ56" s="37">
        <f>AJ52+AJ55</f>
        <v/>
      </c>
      <c r="AK56" s="37">
        <f>AK52+AK55</f>
        <v/>
      </c>
      <c r="AL56" s="37">
        <f>AL52+AL55</f>
        <v/>
      </c>
      <c r="AM56" s="37">
        <f>AM52+AM55</f>
        <v/>
      </c>
      <c r="AN56" s="37">
        <f>AN52+AN55</f>
        <v/>
      </c>
      <c r="AO56" s="37">
        <f>AO52+AO55</f>
        <v/>
      </c>
      <c r="AP56" s="37">
        <f>AP52+AP55</f>
        <v/>
      </c>
      <c r="AQ56" s="37">
        <f>AQ52+AQ55</f>
        <v/>
      </c>
      <c r="AR56" s="37">
        <f>AR52+AR55</f>
        <v/>
      </c>
      <c r="AS56" s="37">
        <f>AS52+AS55</f>
        <v/>
      </c>
      <c r="AT56" s="37">
        <f>AT52+AT55</f>
        <v/>
      </c>
      <c r="AU56" s="37">
        <f>AU52+AU55</f>
        <v/>
      </c>
      <c r="AV56" s="37">
        <f>AV52+AV55</f>
        <v/>
      </c>
      <c r="AW56" s="37">
        <f>AW52+AW55</f>
        <v/>
      </c>
      <c r="AX56" s="37">
        <f>AX52+AX55</f>
        <v/>
      </c>
      <c r="AY56" s="37">
        <f>AY52+AY55</f>
        <v/>
      </c>
      <c r="AZ56" s="37">
        <f>AZ52+AZ55</f>
        <v/>
      </c>
      <c r="BA56" s="37">
        <f>BA52+BA55</f>
        <v/>
      </c>
      <c r="BB56" s="37">
        <f>BB52+BB55</f>
        <v/>
      </c>
      <c r="BC56" s="37">
        <f>BC52+BC55</f>
        <v/>
      </c>
      <c r="BD56" s="37">
        <f>BD52+BD55</f>
        <v/>
      </c>
      <c r="BE56" s="37">
        <f>BE52+BE55</f>
        <v/>
      </c>
      <c r="BF56" s="37">
        <f>BF52+BF55</f>
        <v/>
      </c>
      <c r="BG56" s="37">
        <f>BG52+BG55</f>
        <v/>
      </c>
      <c r="BH56" s="37">
        <f>BH52+BH55</f>
        <v/>
      </c>
      <c r="BI56" s="37">
        <f>BI52+BI55</f>
        <v/>
      </c>
      <c r="BJ56" s="37">
        <f>BJ52+BJ55</f>
        <v/>
      </c>
      <c r="BK56" s="37">
        <f>BK52+BK55</f>
        <v/>
      </c>
      <c r="BL56" s="37">
        <f>BL52+BL55</f>
        <v/>
      </c>
      <c r="BN56" s="37">
        <f>P56</f>
        <v/>
      </c>
      <c r="BO56" s="37">
        <f>AB56</f>
        <v/>
      </c>
      <c r="BP56" s="37">
        <f>AN56</f>
        <v/>
      </c>
      <c r="BQ56" s="37">
        <f>AZ56</f>
        <v/>
      </c>
      <c r="BR56" s="37">
        <f>BL56</f>
        <v/>
      </c>
    </row>
    <row r="58">
      <c r="B58" s="6" t="inlineStr">
        <is>
          <t>Check   assets less liabilities and equity, must be nil</t>
        </is>
      </c>
      <c r="C58" s="17" t="inlineStr">
        <is>
          <t>EUR</t>
        </is>
      </c>
      <c r="E58" s="58">
        <f>E48-E56</f>
        <v/>
      </c>
      <c r="F58" s="58">
        <f>F48-F56</f>
        <v/>
      </c>
      <c r="G58" s="58">
        <f>G48-G56</f>
        <v/>
      </c>
      <c r="H58" s="58">
        <f>H48-H56</f>
        <v/>
      </c>
      <c r="I58" s="58">
        <f>I48-I56</f>
        <v/>
      </c>
      <c r="J58" s="58">
        <f>J48-J56</f>
        <v/>
      </c>
      <c r="K58" s="58">
        <f>K48-K56</f>
        <v/>
      </c>
      <c r="L58" s="58">
        <f>L48-L56</f>
        <v/>
      </c>
      <c r="M58" s="58">
        <f>M48-M56</f>
        <v/>
      </c>
      <c r="N58" s="58">
        <f>N48-N56</f>
        <v/>
      </c>
      <c r="O58" s="58">
        <f>O48-O56</f>
        <v/>
      </c>
      <c r="P58" s="58">
        <f>P48-P56</f>
        <v/>
      </c>
      <c r="Q58" s="58">
        <f>Q48-Q56</f>
        <v/>
      </c>
      <c r="R58" s="58">
        <f>R48-R56</f>
        <v/>
      </c>
      <c r="S58" s="58">
        <f>S48-S56</f>
        <v/>
      </c>
      <c r="T58" s="58">
        <f>T48-T56</f>
        <v/>
      </c>
      <c r="U58" s="58">
        <f>U48-U56</f>
        <v/>
      </c>
      <c r="V58" s="58">
        <f>V48-V56</f>
        <v/>
      </c>
      <c r="W58" s="58">
        <f>W48-W56</f>
        <v/>
      </c>
      <c r="X58" s="58">
        <f>X48-X56</f>
        <v/>
      </c>
      <c r="Y58" s="58">
        <f>Y48-Y56</f>
        <v/>
      </c>
      <c r="Z58" s="58">
        <f>Z48-Z56</f>
        <v/>
      </c>
      <c r="AA58" s="58">
        <f>AA48-AA56</f>
        <v/>
      </c>
      <c r="AB58" s="58">
        <f>AB48-AB56</f>
        <v/>
      </c>
      <c r="AC58" s="58">
        <f>AC48-AC56</f>
        <v/>
      </c>
      <c r="AD58" s="58">
        <f>AD48-AD56</f>
        <v/>
      </c>
      <c r="AE58" s="58">
        <f>AE48-AE56</f>
        <v/>
      </c>
      <c r="AF58" s="58">
        <f>AF48-AF56</f>
        <v/>
      </c>
      <c r="AG58" s="58">
        <f>AG48-AG56</f>
        <v/>
      </c>
      <c r="AH58" s="58">
        <f>AH48-AH56</f>
        <v/>
      </c>
      <c r="AI58" s="58">
        <f>AI48-AI56</f>
        <v/>
      </c>
      <c r="AJ58" s="58">
        <f>AJ48-AJ56</f>
        <v/>
      </c>
      <c r="AK58" s="58">
        <f>AK48-AK56</f>
        <v/>
      </c>
      <c r="AL58" s="58">
        <f>AL48-AL56</f>
        <v/>
      </c>
      <c r="AM58" s="58">
        <f>AM48-AM56</f>
        <v/>
      </c>
      <c r="AN58" s="58">
        <f>AN48-AN56</f>
        <v/>
      </c>
      <c r="AO58" s="58">
        <f>AO48-AO56</f>
        <v/>
      </c>
      <c r="AP58" s="58">
        <f>AP48-AP56</f>
        <v/>
      </c>
      <c r="AQ58" s="58">
        <f>AQ48-AQ56</f>
        <v/>
      </c>
      <c r="AR58" s="58">
        <f>AR48-AR56</f>
        <v/>
      </c>
      <c r="AS58" s="58">
        <f>AS48-AS56</f>
        <v/>
      </c>
      <c r="AT58" s="58">
        <f>AT48-AT56</f>
        <v/>
      </c>
      <c r="AU58" s="58">
        <f>AU48-AU56</f>
        <v/>
      </c>
      <c r="AV58" s="58">
        <f>AV48-AV56</f>
        <v/>
      </c>
      <c r="AW58" s="58">
        <f>AW48-AW56</f>
        <v/>
      </c>
      <c r="AX58" s="58">
        <f>AX48-AX56</f>
        <v/>
      </c>
      <c r="AY58" s="58">
        <f>AY48-AY56</f>
        <v/>
      </c>
      <c r="AZ58" s="58">
        <f>AZ48-AZ56</f>
        <v/>
      </c>
      <c r="BA58" s="58">
        <f>BA48-BA56</f>
        <v/>
      </c>
      <c r="BB58" s="58">
        <f>BB48-BB56</f>
        <v/>
      </c>
      <c r="BC58" s="58">
        <f>BC48-BC56</f>
        <v/>
      </c>
      <c r="BD58" s="58">
        <f>BD48-BD56</f>
        <v/>
      </c>
      <c r="BE58" s="58">
        <f>BE48-BE56</f>
        <v/>
      </c>
      <c r="BF58" s="58">
        <f>BF48-BF56</f>
        <v/>
      </c>
      <c r="BG58" s="58">
        <f>BG48-BG56</f>
        <v/>
      </c>
      <c r="BH58" s="58">
        <f>BH48-BH56</f>
        <v/>
      </c>
      <c r="BI58" s="58">
        <f>BI48-BI56</f>
        <v/>
      </c>
      <c r="BJ58" s="58">
        <f>BJ48-BJ56</f>
        <v/>
      </c>
      <c r="BK58" s="58">
        <f>BK48-BK56</f>
        <v/>
      </c>
      <c r="BL58" s="58">
        <f>BL48-BL56</f>
        <v/>
      </c>
      <c r="BN58" s="59">
        <f>P58</f>
        <v/>
      </c>
      <c r="BO58" s="59">
        <f>AB58</f>
        <v/>
      </c>
      <c r="BP58" s="59">
        <f>AN58</f>
        <v/>
      </c>
      <c r="BQ58" s="59">
        <f>AZ58</f>
        <v/>
      </c>
      <c r="BR58" s="59">
        <f>BL58</f>
        <v/>
      </c>
    </row>
    <row r="59">
      <c r="B59" s="6" t="inlineStr">
        <is>
          <t>Check   funding received equals the funding inputs, must be nil</t>
        </is>
      </c>
      <c r="C59" s="17" t="inlineStr">
        <is>
          <t>EUR</t>
        </is>
      </c>
      <c r="E59" s="58">
        <f>SUM($E$35:E35)+SUM($E$36:E36)-(IF((YEAR(E$3)*12+MONTH(E$3))&gt;=(YEAR(Assumptions!$D$114)*12+MONTH(Assumptions!$D$114)),Assumptions!$D$115,0)+IF((YEAR(E$3)*12+MONTH(E$3))&gt;=(YEAR(Assumptions!$D$116)*12+MONTH(Assumptions!$D$116)),Assumptions!$D$117,0)+IF((YEAR(E$3)*12+MONTH(E$3))&gt;=(YEAR(Assumptions!$D$119)*12+MONTH(Assumptions!$D$119)),Assumptions!$D$118,0))</f>
        <v/>
      </c>
      <c r="F59" s="58">
        <f>SUM($E$35:F35)+SUM($E$36:F36)-(IF((YEAR(F$3)*12+MONTH(F$3))&gt;=(YEAR(Assumptions!$D$114)*12+MONTH(Assumptions!$D$114)),Assumptions!$D$115,0)+IF((YEAR(F$3)*12+MONTH(F$3))&gt;=(YEAR(Assumptions!$D$116)*12+MONTH(Assumptions!$D$116)),Assumptions!$D$117,0)+IF((YEAR(F$3)*12+MONTH(F$3))&gt;=(YEAR(Assumptions!$D$119)*12+MONTH(Assumptions!$D$119)),Assumptions!$D$118,0))</f>
        <v/>
      </c>
      <c r="G59" s="58">
        <f>SUM($E$35:G35)+SUM($E$36:G36)-(IF((YEAR(G$3)*12+MONTH(G$3))&gt;=(YEAR(Assumptions!$D$114)*12+MONTH(Assumptions!$D$114)),Assumptions!$D$115,0)+IF((YEAR(G$3)*12+MONTH(G$3))&gt;=(YEAR(Assumptions!$D$116)*12+MONTH(Assumptions!$D$116)),Assumptions!$D$117,0)+IF((YEAR(G$3)*12+MONTH(G$3))&gt;=(YEAR(Assumptions!$D$119)*12+MONTH(Assumptions!$D$119)),Assumptions!$D$118,0))</f>
        <v/>
      </c>
      <c r="H59" s="58">
        <f>SUM($E$35:H35)+SUM($E$36:H36)-(IF((YEAR(H$3)*12+MONTH(H$3))&gt;=(YEAR(Assumptions!$D$114)*12+MONTH(Assumptions!$D$114)),Assumptions!$D$115,0)+IF((YEAR(H$3)*12+MONTH(H$3))&gt;=(YEAR(Assumptions!$D$116)*12+MONTH(Assumptions!$D$116)),Assumptions!$D$117,0)+IF((YEAR(H$3)*12+MONTH(H$3))&gt;=(YEAR(Assumptions!$D$119)*12+MONTH(Assumptions!$D$119)),Assumptions!$D$118,0))</f>
        <v/>
      </c>
      <c r="I59" s="58">
        <f>SUM($E$35:I35)+SUM($E$36:I36)-(IF((YEAR(I$3)*12+MONTH(I$3))&gt;=(YEAR(Assumptions!$D$114)*12+MONTH(Assumptions!$D$114)),Assumptions!$D$115,0)+IF((YEAR(I$3)*12+MONTH(I$3))&gt;=(YEAR(Assumptions!$D$116)*12+MONTH(Assumptions!$D$116)),Assumptions!$D$117,0)+IF((YEAR(I$3)*12+MONTH(I$3))&gt;=(YEAR(Assumptions!$D$119)*12+MONTH(Assumptions!$D$119)),Assumptions!$D$118,0))</f>
        <v/>
      </c>
      <c r="J59" s="58">
        <f>SUM($E$35:J35)+SUM($E$36:J36)-(IF((YEAR(J$3)*12+MONTH(J$3))&gt;=(YEAR(Assumptions!$D$114)*12+MONTH(Assumptions!$D$114)),Assumptions!$D$115,0)+IF((YEAR(J$3)*12+MONTH(J$3))&gt;=(YEAR(Assumptions!$D$116)*12+MONTH(Assumptions!$D$116)),Assumptions!$D$117,0)+IF((YEAR(J$3)*12+MONTH(J$3))&gt;=(YEAR(Assumptions!$D$119)*12+MONTH(Assumptions!$D$119)),Assumptions!$D$118,0))</f>
        <v/>
      </c>
      <c r="K59" s="58">
        <f>SUM($E$35:K35)+SUM($E$36:K36)-(IF((YEAR(K$3)*12+MONTH(K$3))&gt;=(YEAR(Assumptions!$D$114)*12+MONTH(Assumptions!$D$114)),Assumptions!$D$115,0)+IF((YEAR(K$3)*12+MONTH(K$3))&gt;=(YEAR(Assumptions!$D$116)*12+MONTH(Assumptions!$D$116)),Assumptions!$D$117,0)+IF((YEAR(K$3)*12+MONTH(K$3))&gt;=(YEAR(Assumptions!$D$119)*12+MONTH(Assumptions!$D$119)),Assumptions!$D$118,0))</f>
        <v/>
      </c>
      <c r="L59" s="58">
        <f>SUM($E$35:L35)+SUM($E$36:L36)-(IF((YEAR(L$3)*12+MONTH(L$3))&gt;=(YEAR(Assumptions!$D$114)*12+MONTH(Assumptions!$D$114)),Assumptions!$D$115,0)+IF((YEAR(L$3)*12+MONTH(L$3))&gt;=(YEAR(Assumptions!$D$116)*12+MONTH(Assumptions!$D$116)),Assumptions!$D$117,0)+IF((YEAR(L$3)*12+MONTH(L$3))&gt;=(YEAR(Assumptions!$D$119)*12+MONTH(Assumptions!$D$119)),Assumptions!$D$118,0))</f>
        <v/>
      </c>
      <c r="M59" s="58">
        <f>SUM($E$35:M35)+SUM($E$36:M36)-(IF((YEAR(M$3)*12+MONTH(M$3))&gt;=(YEAR(Assumptions!$D$114)*12+MONTH(Assumptions!$D$114)),Assumptions!$D$115,0)+IF((YEAR(M$3)*12+MONTH(M$3))&gt;=(YEAR(Assumptions!$D$116)*12+MONTH(Assumptions!$D$116)),Assumptions!$D$117,0)+IF((YEAR(M$3)*12+MONTH(M$3))&gt;=(YEAR(Assumptions!$D$119)*12+MONTH(Assumptions!$D$119)),Assumptions!$D$118,0))</f>
        <v/>
      </c>
      <c r="N59" s="58">
        <f>SUM($E$35:N35)+SUM($E$36:N36)-(IF((YEAR(N$3)*12+MONTH(N$3))&gt;=(YEAR(Assumptions!$D$114)*12+MONTH(Assumptions!$D$114)),Assumptions!$D$115,0)+IF((YEAR(N$3)*12+MONTH(N$3))&gt;=(YEAR(Assumptions!$D$116)*12+MONTH(Assumptions!$D$116)),Assumptions!$D$117,0)+IF((YEAR(N$3)*12+MONTH(N$3))&gt;=(YEAR(Assumptions!$D$119)*12+MONTH(Assumptions!$D$119)),Assumptions!$D$118,0))</f>
        <v/>
      </c>
      <c r="O59" s="58">
        <f>SUM($E$35:O35)+SUM($E$36:O36)-(IF((YEAR(O$3)*12+MONTH(O$3))&gt;=(YEAR(Assumptions!$D$114)*12+MONTH(Assumptions!$D$114)),Assumptions!$D$115,0)+IF((YEAR(O$3)*12+MONTH(O$3))&gt;=(YEAR(Assumptions!$D$116)*12+MONTH(Assumptions!$D$116)),Assumptions!$D$117,0)+IF((YEAR(O$3)*12+MONTH(O$3))&gt;=(YEAR(Assumptions!$D$119)*12+MONTH(Assumptions!$D$119)),Assumptions!$D$118,0))</f>
        <v/>
      </c>
      <c r="P59" s="58">
        <f>SUM($E$35:P35)+SUM($E$36:P36)-(IF((YEAR(P$3)*12+MONTH(P$3))&gt;=(YEAR(Assumptions!$D$114)*12+MONTH(Assumptions!$D$114)),Assumptions!$D$115,0)+IF((YEAR(P$3)*12+MONTH(P$3))&gt;=(YEAR(Assumptions!$D$116)*12+MONTH(Assumptions!$D$116)),Assumptions!$D$117,0)+IF((YEAR(P$3)*12+MONTH(P$3))&gt;=(YEAR(Assumptions!$D$119)*12+MONTH(Assumptions!$D$119)),Assumptions!$D$118,0))</f>
        <v/>
      </c>
      <c r="Q59" s="58">
        <f>SUM($E$35:Q35)+SUM($E$36:Q36)-(IF((YEAR(Q$3)*12+MONTH(Q$3))&gt;=(YEAR(Assumptions!$D$114)*12+MONTH(Assumptions!$D$114)),Assumptions!$D$115,0)+IF((YEAR(Q$3)*12+MONTH(Q$3))&gt;=(YEAR(Assumptions!$D$116)*12+MONTH(Assumptions!$D$116)),Assumptions!$D$117,0)+IF((YEAR(Q$3)*12+MONTH(Q$3))&gt;=(YEAR(Assumptions!$D$119)*12+MONTH(Assumptions!$D$119)),Assumptions!$D$118,0))</f>
        <v/>
      </c>
      <c r="R59" s="58">
        <f>SUM($E$35:R35)+SUM($E$36:R36)-(IF((YEAR(R$3)*12+MONTH(R$3))&gt;=(YEAR(Assumptions!$D$114)*12+MONTH(Assumptions!$D$114)),Assumptions!$D$115,0)+IF((YEAR(R$3)*12+MONTH(R$3))&gt;=(YEAR(Assumptions!$D$116)*12+MONTH(Assumptions!$D$116)),Assumptions!$D$117,0)+IF((YEAR(R$3)*12+MONTH(R$3))&gt;=(YEAR(Assumptions!$D$119)*12+MONTH(Assumptions!$D$119)),Assumptions!$D$118,0))</f>
        <v/>
      </c>
      <c r="S59" s="58">
        <f>SUM($E$35:S35)+SUM($E$36:S36)-(IF((YEAR(S$3)*12+MONTH(S$3))&gt;=(YEAR(Assumptions!$D$114)*12+MONTH(Assumptions!$D$114)),Assumptions!$D$115,0)+IF((YEAR(S$3)*12+MONTH(S$3))&gt;=(YEAR(Assumptions!$D$116)*12+MONTH(Assumptions!$D$116)),Assumptions!$D$117,0)+IF((YEAR(S$3)*12+MONTH(S$3))&gt;=(YEAR(Assumptions!$D$119)*12+MONTH(Assumptions!$D$119)),Assumptions!$D$118,0))</f>
        <v/>
      </c>
      <c r="T59" s="58">
        <f>SUM($E$35:T35)+SUM($E$36:T36)-(IF((YEAR(T$3)*12+MONTH(T$3))&gt;=(YEAR(Assumptions!$D$114)*12+MONTH(Assumptions!$D$114)),Assumptions!$D$115,0)+IF((YEAR(T$3)*12+MONTH(T$3))&gt;=(YEAR(Assumptions!$D$116)*12+MONTH(Assumptions!$D$116)),Assumptions!$D$117,0)+IF((YEAR(T$3)*12+MONTH(T$3))&gt;=(YEAR(Assumptions!$D$119)*12+MONTH(Assumptions!$D$119)),Assumptions!$D$118,0))</f>
        <v/>
      </c>
      <c r="U59" s="58">
        <f>SUM($E$35:U35)+SUM($E$36:U36)-(IF((YEAR(U$3)*12+MONTH(U$3))&gt;=(YEAR(Assumptions!$D$114)*12+MONTH(Assumptions!$D$114)),Assumptions!$D$115,0)+IF((YEAR(U$3)*12+MONTH(U$3))&gt;=(YEAR(Assumptions!$D$116)*12+MONTH(Assumptions!$D$116)),Assumptions!$D$117,0)+IF((YEAR(U$3)*12+MONTH(U$3))&gt;=(YEAR(Assumptions!$D$119)*12+MONTH(Assumptions!$D$119)),Assumptions!$D$118,0))</f>
        <v/>
      </c>
      <c r="V59" s="58">
        <f>SUM($E$35:V35)+SUM($E$36:V36)-(IF((YEAR(V$3)*12+MONTH(V$3))&gt;=(YEAR(Assumptions!$D$114)*12+MONTH(Assumptions!$D$114)),Assumptions!$D$115,0)+IF((YEAR(V$3)*12+MONTH(V$3))&gt;=(YEAR(Assumptions!$D$116)*12+MONTH(Assumptions!$D$116)),Assumptions!$D$117,0)+IF((YEAR(V$3)*12+MONTH(V$3))&gt;=(YEAR(Assumptions!$D$119)*12+MONTH(Assumptions!$D$119)),Assumptions!$D$118,0))</f>
        <v/>
      </c>
      <c r="W59" s="58">
        <f>SUM($E$35:W35)+SUM($E$36:W36)-(IF((YEAR(W$3)*12+MONTH(W$3))&gt;=(YEAR(Assumptions!$D$114)*12+MONTH(Assumptions!$D$114)),Assumptions!$D$115,0)+IF((YEAR(W$3)*12+MONTH(W$3))&gt;=(YEAR(Assumptions!$D$116)*12+MONTH(Assumptions!$D$116)),Assumptions!$D$117,0)+IF((YEAR(W$3)*12+MONTH(W$3))&gt;=(YEAR(Assumptions!$D$119)*12+MONTH(Assumptions!$D$119)),Assumptions!$D$118,0))</f>
        <v/>
      </c>
      <c r="X59" s="58">
        <f>SUM($E$35:X35)+SUM($E$36:X36)-(IF((YEAR(X$3)*12+MONTH(X$3))&gt;=(YEAR(Assumptions!$D$114)*12+MONTH(Assumptions!$D$114)),Assumptions!$D$115,0)+IF((YEAR(X$3)*12+MONTH(X$3))&gt;=(YEAR(Assumptions!$D$116)*12+MONTH(Assumptions!$D$116)),Assumptions!$D$117,0)+IF((YEAR(X$3)*12+MONTH(X$3))&gt;=(YEAR(Assumptions!$D$119)*12+MONTH(Assumptions!$D$119)),Assumptions!$D$118,0))</f>
        <v/>
      </c>
      <c r="Y59" s="58">
        <f>SUM($E$35:Y35)+SUM($E$36:Y36)-(IF((YEAR(Y$3)*12+MONTH(Y$3))&gt;=(YEAR(Assumptions!$D$114)*12+MONTH(Assumptions!$D$114)),Assumptions!$D$115,0)+IF((YEAR(Y$3)*12+MONTH(Y$3))&gt;=(YEAR(Assumptions!$D$116)*12+MONTH(Assumptions!$D$116)),Assumptions!$D$117,0)+IF((YEAR(Y$3)*12+MONTH(Y$3))&gt;=(YEAR(Assumptions!$D$119)*12+MONTH(Assumptions!$D$119)),Assumptions!$D$118,0))</f>
        <v/>
      </c>
      <c r="Z59" s="58">
        <f>SUM($E$35:Z35)+SUM($E$36:Z36)-(IF((YEAR(Z$3)*12+MONTH(Z$3))&gt;=(YEAR(Assumptions!$D$114)*12+MONTH(Assumptions!$D$114)),Assumptions!$D$115,0)+IF((YEAR(Z$3)*12+MONTH(Z$3))&gt;=(YEAR(Assumptions!$D$116)*12+MONTH(Assumptions!$D$116)),Assumptions!$D$117,0)+IF((YEAR(Z$3)*12+MONTH(Z$3))&gt;=(YEAR(Assumptions!$D$119)*12+MONTH(Assumptions!$D$119)),Assumptions!$D$118,0))</f>
        <v/>
      </c>
      <c r="AA59" s="58">
        <f>SUM($E$35:AA35)+SUM($E$36:AA36)-(IF((YEAR(AA$3)*12+MONTH(AA$3))&gt;=(YEAR(Assumptions!$D$114)*12+MONTH(Assumptions!$D$114)),Assumptions!$D$115,0)+IF((YEAR(AA$3)*12+MONTH(AA$3))&gt;=(YEAR(Assumptions!$D$116)*12+MONTH(Assumptions!$D$116)),Assumptions!$D$117,0)+IF((YEAR(AA$3)*12+MONTH(AA$3))&gt;=(YEAR(Assumptions!$D$119)*12+MONTH(Assumptions!$D$119)),Assumptions!$D$118,0))</f>
        <v/>
      </c>
      <c r="AB59" s="58">
        <f>SUM($E$35:AB35)+SUM($E$36:AB36)-(IF((YEAR(AB$3)*12+MONTH(AB$3))&gt;=(YEAR(Assumptions!$D$114)*12+MONTH(Assumptions!$D$114)),Assumptions!$D$115,0)+IF((YEAR(AB$3)*12+MONTH(AB$3))&gt;=(YEAR(Assumptions!$D$116)*12+MONTH(Assumptions!$D$116)),Assumptions!$D$117,0)+IF((YEAR(AB$3)*12+MONTH(AB$3))&gt;=(YEAR(Assumptions!$D$119)*12+MONTH(Assumptions!$D$119)),Assumptions!$D$118,0))</f>
        <v/>
      </c>
      <c r="AC59" s="58">
        <f>SUM($E$35:AC35)+SUM($E$36:AC36)-(IF((YEAR(AC$3)*12+MONTH(AC$3))&gt;=(YEAR(Assumptions!$D$114)*12+MONTH(Assumptions!$D$114)),Assumptions!$D$115,0)+IF((YEAR(AC$3)*12+MONTH(AC$3))&gt;=(YEAR(Assumptions!$D$116)*12+MONTH(Assumptions!$D$116)),Assumptions!$D$117,0)+IF((YEAR(AC$3)*12+MONTH(AC$3))&gt;=(YEAR(Assumptions!$D$119)*12+MONTH(Assumptions!$D$119)),Assumptions!$D$118,0))</f>
        <v/>
      </c>
      <c r="AD59" s="58">
        <f>SUM($E$35:AD35)+SUM($E$36:AD36)-(IF((YEAR(AD$3)*12+MONTH(AD$3))&gt;=(YEAR(Assumptions!$D$114)*12+MONTH(Assumptions!$D$114)),Assumptions!$D$115,0)+IF((YEAR(AD$3)*12+MONTH(AD$3))&gt;=(YEAR(Assumptions!$D$116)*12+MONTH(Assumptions!$D$116)),Assumptions!$D$117,0)+IF((YEAR(AD$3)*12+MONTH(AD$3))&gt;=(YEAR(Assumptions!$D$119)*12+MONTH(Assumptions!$D$119)),Assumptions!$D$118,0))</f>
        <v/>
      </c>
      <c r="AE59" s="58">
        <f>SUM($E$35:AE35)+SUM($E$36:AE36)-(IF((YEAR(AE$3)*12+MONTH(AE$3))&gt;=(YEAR(Assumptions!$D$114)*12+MONTH(Assumptions!$D$114)),Assumptions!$D$115,0)+IF((YEAR(AE$3)*12+MONTH(AE$3))&gt;=(YEAR(Assumptions!$D$116)*12+MONTH(Assumptions!$D$116)),Assumptions!$D$117,0)+IF((YEAR(AE$3)*12+MONTH(AE$3))&gt;=(YEAR(Assumptions!$D$119)*12+MONTH(Assumptions!$D$119)),Assumptions!$D$118,0))</f>
        <v/>
      </c>
      <c r="AF59" s="58">
        <f>SUM($E$35:AF35)+SUM($E$36:AF36)-(IF((YEAR(AF$3)*12+MONTH(AF$3))&gt;=(YEAR(Assumptions!$D$114)*12+MONTH(Assumptions!$D$114)),Assumptions!$D$115,0)+IF((YEAR(AF$3)*12+MONTH(AF$3))&gt;=(YEAR(Assumptions!$D$116)*12+MONTH(Assumptions!$D$116)),Assumptions!$D$117,0)+IF((YEAR(AF$3)*12+MONTH(AF$3))&gt;=(YEAR(Assumptions!$D$119)*12+MONTH(Assumptions!$D$119)),Assumptions!$D$118,0))</f>
        <v/>
      </c>
      <c r="AG59" s="58">
        <f>SUM($E$35:AG35)+SUM($E$36:AG36)-(IF((YEAR(AG$3)*12+MONTH(AG$3))&gt;=(YEAR(Assumptions!$D$114)*12+MONTH(Assumptions!$D$114)),Assumptions!$D$115,0)+IF((YEAR(AG$3)*12+MONTH(AG$3))&gt;=(YEAR(Assumptions!$D$116)*12+MONTH(Assumptions!$D$116)),Assumptions!$D$117,0)+IF((YEAR(AG$3)*12+MONTH(AG$3))&gt;=(YEAR(Assumptions!$D$119)*12+MONTH(Assumptions!$D$119)),Assumptions!$D$118,0))</f>
        <v/>
      </c>
      <c r="AH59" s="58">
        <f>SUM($E$35:AH35)+SUM($E$36:AH36)-(IF((YEAR(AH$3)*12+MONTH(AH$3))&gt;=(YEAR(Assumptions!$D$114)*12+MONTH(Assumptions!$D$114)),Assumptions!$D$115,0)+IF((YEAR(AH$3)*12+MONTH(AH$3))&gt;=(YEAR(Assumptions!$D$116)*12+MONTH(Assumptions!$D$116)),Assumptions!$D$117,0)+IF((YEAR(AH$3)*12+MONTH(AH$3))&gt;=(YEAR(Assumptions!$D$119)*12+MONTH(Assumptions!$D$119)),Assumptions!$D$118,0))</f>
        <v/>
      </c>
      <c r="AI59" s="58">
        <f>SUM($E$35:AI35)+SUM($E$36:AI36)-(IF((YEAR(AI$3)*12+MONTH(AI$3))&gt;=(YEAR(Assumptions!$D$114)*12+MONTH(Assumptions!$D$114)),Assumptions!$D$115,0)+IF((YEAR(AI$3)*12+MONTH(AI$3))&gt;=(YEAR(Assumptions!$D$116)*12+MONTH(Assumptions!$D$116)),Assumptions!$D$117,0)+IF((YEAR(AI$3)*12+MONTH(AI$3))&gt;=(YEAR(Assumptions!$D$119)*12+MONTH(Assumptions!$D$119)),Assumptions!$D$118,0))</f>
        <v/>
      </c>
      <c r="AJ59" s="58">
        <f>SUM($E$35:AJ35)+SUM($E$36:AJ36)-(IF((YEAR(AJ$3)*12+MONTH(AJ$3))&gt;=(YEAR(Assumptions!$D$114)*12+MONTH(Assumptions!$D$114)),Assumptions!$D$115,0)+IF((YEAR(AJ$3)*12+MONTH(AJ$3))&gt;=(YEAR(Assumptions!$D$116)*12+MONTH(Assumptions!$D$116)),Assumptions!$D$117,0)+IF((YEAR(AJ$3)*12+MONTH(AJ$3))&gt;=(YEAR(Assumptions!$D$119)*12+MONTH(Assumptions!$D$119)),Assumptions!$D$118,0))</f>
        <v/>
      </c>
      <c r="AK59" s="58">
        <f>SUM($E$35:AK35)+SUM($E$36:AK36)-(IF((YEAR(AK$3)*12+MONTH(AK$3))&gt;=(YEAR(Assumptions!$D$114)*12+MONTH(Assumptions!$D$114)),Assumptions!$D$115,0)+IF((YEAR(AK$3)*12+MONTH(AK$3))&gt;=(YEAR(Assumptions!$D$116)*12+MONTH(Assumptions!$D$116)),Assumptions!$D$117,0)+IF((YEAR(AK$3)*12+MONTH(AK$3))&gt;=(YEAR(Assumptions!$D$119)*12+MONTH(Assumptions!$D$119)),Assumptions!$D$118,0))</f>
        <v/>
      </c>
      <c r="AL59" s="58">
        <f>SUM($E$35:AL35)+SUM($E$36:AL36)-(IF((YEAR(AL$3)*12+MONTH(AL$3))&gt;=(YEAR(Assumptions!$D$114)*12+MONTH(Assumptions!$D$114)),Assumptions!$D$115,0)+IF((YEAR(AL$3)*12+MONTH(AL$3))&gt;=(YEAR(Assumptions!$D$116)*12+MONTH(Assumptions!$D$116)),Assumptions!$D$117,0)+IF((YEAR(AL$3)*12+MONTH(AL$3))&gt;=(YEAR(Assumptions!$D$119)*12+MONTH(Assumptions!$D$119)),Assumptions!$D$118,0))</f>
        <v/>
      </c>
      <c r="AM59" s="58">
        <f>SUM($E$35:AM35)+SUM($E$36:AM36)-(IF((YEAR(AM$3)*12+MONTH(AM$3))&gt;=(YEAR(Assumptions!$D$114)*12+MONTH(Assumptions!$D$114)),Assumptions!$D$115,0)+IF((YEAR(AM$3)*12+MONTH(AM$3))&gt;=(YEAR(Assumptions!$D$116)*12+MONTH(Assumptions!$D$116)),Assumptions!$D$117,0)+IF((YEAR(AM$3)*12+MONTH(AM$3))&gt;=(YEAR(Assumptions!$D$119)*12+MONTH(Assumptions!$D$119)),Assumptions!$D$118,0))</f>
        <v/>
      </c>
      <c r="AN59" s="58">
        <f>SUM($E$35:AN35)+SUM($E$36:AN36)-(IF((YEAR(AN$3)*12+MONTH(AN$3))&gt;=(YEAR(Assumptions!$D$114)*12+MONTH(Assumptions!$D$114)),Assumptions!$D$115,0)+IF((YEAR(AN$3)*12+MONTH(AN$3))&gt;=(YEAR(Assumptions!$D$116)*12+MONTH(Assumptions!$D$116)),Assumptions!$D$117,0)+IF((YEAR(AN$3)*12+MONTH(AN$3))&gt;=(YEAR(Assumptions!$D$119)*12+MONTH(Assumptions!$D$119)),Assumptions!$D$118,0))</f>
        <v/>
      </c>
      <c r="AO59" s="58">
        <f>SUM($E$35:AO35)+SUM($E$36:AO36)-(IF((YEAR(AO$3)*12+MONTH(AO$3))&gt;=(YEAR(Assumptions!$D$114)*12+MONTH(Assumptions!$D$114)),Assumptions!$D$115,0)+IF((YEAR(AO$3)*12+MONTH(AO$3))&gt;=(YEAR(Assumptions!$D$116)*12+MONTH(Assumptions!$D$116)),Assumptions!$D$117,0)+IF((YEAR(AO$3)*12+MONTH(AO$3))&gt;=(YEAR(Assumptions!$D$119)*12+MONTH(Assumptions!$D$119)),Assumptions!$D$118,0))</f>
        <v/>
      </c>
      <c r="AP59" s="58">
        <f>SUM($E$35:AP35)+SUM($E$36:AP36)-(IF((YEAR(AP$3)*12+MONTH(AP$3))&gt;=(YEAR(Assumptions!$D$114)*12+MONTH(Assumptions!$D$114)),Assumptions!$D$115,0)+IF((YEAR(AP$3)*12+MONTH(AP$3))&gt;=(YEAR(Assumptions!$D$116)*12+MONTH(Assumptions!$D$116)),Assumptions!$D$117,0)+IF((YEAR(AP$3)*12+MONTH(AP$3))&gt;=(YEAR(Assumptions!$D$119)*12+MONTH(Assumptions!$D$119)),Assumptions!$D$118,0))</f>
        <v/>
      </c>
      <c r="AQ59" s="58">
        <f>SUM($E$35:AQ35)+SUM($E$36:AQ36)-(IF((YEAR(AQ$3)*12+MONTH(AQ$3))&gt;=(YEAR(Assumptions!$D$114)*12+MONTH(Assumptions!$D$114)),Assumptions!$D$115,0)+IF((YEAR(AQ$3)*12+MONTH(AQ$3))&gt;=(YEAR(Assumptions!$D$116)*12+MONTH(Assumptions!$D$116)),Assumptions!$D$117,0)+IF((YEAR(AQ$3)*12+MONTH(AQ$3))&gt;=(YEAR(Assumptions!$D$119)*12+MONTH(Assumptions!$D$119)),Assumptions!$D$118,0))</f>
        <v/>
      </c>
      <c r="AR59" s="58">
        <f>SUM($E$35:AR35)+SUM($E$36:AR36)-(IF((YEAR(AR$3)*12+MONTH(AR$3))&gt;=(YEAR(Assumptions!$D$114)*12+MONTH(Assumptions!$D$114)),Assumptions!$D$115,0)+IF((YEAR(AR$3)*12+MONTH(AR$3))&gt;=(YEAR(Assumptions!$D$116)*12+MONTH(Assumptions!$D$116)),Assumptions!$D$117,0)+IF((YEAR(AR$3)*12+MONTH(AR$3))&gt;=(YEAR(Assumptions!$D$119)*12+MONTH(Assumptions!$D$119)),Assumptions!$D$118,0))</f>
        <v/>
      </c>
      <c r="AS59" s="58">
        <f>SUM($E$35:AS35)+SUM($E$36:AS36)-(IF((YEAR(AS$3)*12+MONTH(AS$3))&gt;=(YEAR(Assumptions!$D$114)*12+MONTH(Assumptions!$D$114)),Assumptions!$D$115,0)+IF((YEAR(AS$3)*12+MONTH(AS$3))&gt;=(YEAR(Assumptions!$D$116)*12+MONTH(Assumptions!$D$116)),Assumptions!$D$117,0)+IF((YEAR(AS$3)*12+MONTH(AS$3))&gt;=(YEAR(Assumptions!$D$119)*12+MONTH(Assumptions!$D$119)),Assumptions!$D$118,0))</f>
        <v/>
      </c>
      <c r="AT59" s="58">
        <f>SUM($E$35:AT35)+SUM($E$36:AT36)-(IF((YEAR(AT$3)*12+MONTH(AT$3))&gt;=(YEAR(Assumptions!$D$114)*12+MONTH(Assumptions!$D$114)),Assumptions!$D$115,0)+IF((YEAR(AT$3)*12+MONTH(AT$3))&gt;=(YEAR(Assumptions!$D$116)*12+MONTH(Assumptions!$D$116)),Assumptions!$D$117,0)+IF((YEAR(AT$3)*12+MONTH(AT$3))&gt;=(YEAR(Assumptions!$D$119)*12+MONTH(Assumptions!$D$119)),Assumptions!$D$118,0))</f>
        <v/>
      </c>
      <c r="AU59" s="58">
        <f>SUM($E$35:AU35)+SUM($E$36:AU36)-(IF((YEAR(AU$3)*12+MONTH(AU$3))&gt;=(YEAR(Assumptions!$D$114)*12+MONTH(Assumptions!$D$114)),Assumptions!$D$115,0)+IF((YEAR(AU$3)*12+MONTH(AU$3))&gt;=(YEAR(Assumptions!$D$116)*12+MONTH(Assumptions!$D$116)),Assumptions!$D$117,0)+IF((YEAR(AU$3)*12+MONTH(AU$3))&gt;=(YEAR(Assumptions!$D$119)*12+MONTH(Assumptions!$D$119)),Assumptions!$D$118,0))</f>
        <v/>
      </c>
      <c r="AV59" s="58">
        <f>SUM($E$35:AV35)+SUM($E$36:AV36)-(IF((YEAR(AV$3)*12+MONTH(AV$3))&gt;=(YEAR(Assumptions!$D$114)*12+MONTH(Assumptions!$D$114)),Assumptions!$D$115,0)+IF((YEAR(AV$3)*12+MONTH(AV$3))&gt;=(YEAR(Assumptions!$D$116)*12+MONTH(Assumptions!$D$116)),Assumptions!$D$117,0)+IF((YEAR(AV$3)*12+MONTH(AV$3))&gt;=(YEAR(Assumptions!$D$119)*12+MONTH(Assumptions!$D$119)),Assumptions!$D$118,0))</f>
        <v/>
      </c>
      <c r="AW59" s="58">
        <f>SUM($E$35:AW35)+SUM($E$36:AW36)-(IF((YEAR(AW$3)*12+MONTH(AW$3))&gt;=(YEAR(Assumptions!$D$114)*12+MONTH(Assumptions!$D$114)),Assumptions!$D$115,0)+IF((YEAR(AW$3)*12+MONTH(AW$3))&gt;=(YEAR(Assumptions!$D$116)*12+MONTH(Assumptions!$D$116)),Assumptions!$D$117,0)+IF((YEAR(AW$3)*12+MONTH(AW$3))&gt;=(YEAR(Assumptions!$D$119)*12+MONTH(Assumptions!$D$119)),Assumptions!$D$118,0))</f>
        <v/>
      </c>
      <c r="AX59" s="58">
        <f>SUM($E$35:AX35)+SUM($E$36:AX36)-(IF((YEAR(AX$3)*12+MONTH(AX$3))&gt;=(YEAR(Assumptions!$D$114)*12+MONTH(Assumptions!$D$114)),Assumptions!$D$115,0)+IF((YEAR(AX$3)*12+MONTH(AX$3))&gt;=(YEAR(Assumptions!$D$116)*12+MONTH(Assumptions!$D$116)),Assumptions!$D$117,0)+IF((YEAR(AX$3)*12+MONTH(AX$3))&gt;=(YEAR(Assumptions!$D$119)*12+MONTH(Assumptions!$D$119)),Assumptions!$D$118,0))</f>
        <v/>
      </c>
      <c r="AY59" s="58">
        <f>SUM($E$35:AY35)+SUM($E$36:AY36)-(IF((YEAR(AY$3)*12+MONTH(AY$3))&gt;=(YEAR(Assumptions!$D$114)*12+MONTH(Assumptions!$D$114)),Assumptions!$D$115,0)+IF((YEAR(AY$3)*12+MONTH(AY$3))&gt;=(YEAR(Assumptions!$D$116)*12+MONTH(Assumptions!$D$116)),Assumptions!$D$117,0)+IF((YEAR(AY$3)*12+MONTH(AY$3))&gt;=(YEAR(Assumptions!$D$119)*12+MONTH(Assumptions!$D$119)),Assumptions!$D$118,0))</f>
        <v/>
      </c>
      <c r="AZ59" s="58">
        <f>SUM($E$35:AZ35)+SUM($E$36:AZ36)-(IF((YEAR(AZ$3)*12+MONTH(AZ$3))&gt;=(YEAR(Assumptions!$D$114)*12+MONTH(Assumptions!$D$114)),Assumptions!$D$115,0)+IF((YEAR(AZ$3)*12+MONTH(AZ$3))&gt;=(YEAR(Assumptions!$D$116)*12+MONTH(Assumptions!$D$116)),Assumptions!$D$117,0)+IF((YEAR(AZ$3)*12+MONTH(AZ$3))&gt;=(YEAR(Assumptions!$D$119)*12+MONTH(Assumptions!$D$119)),Assumptions!$D$118,0))</f>
        <v/>
      </c>
      <c r="BA59" s="58">
        <f>SUM($E$35:BA35)+SUM($E$36:BA36)-(IF((YEAR(BA$3)*12+MONTH(BA$3))&gt;=(YEAR(Assumptions!$D$114)*12+MONTH(Assumptions!$D$114)),Assumptions!$D$115,0)+IF((YEAR(BA$3)*12+MONTH(BA$3))&gt;=(YEAR(Assumptions!$D$116)*12+MONTH(Assumptions!$D$116)),Assumptions!$D$117,0)+IF((YEAR(BA$3)*12+MONTH(BA$3))&gt;=(YEAR(Assumptions!$D$119)*12+MONTH(Assumptions!$D$119)),Assumptions!$D$118,0))</f>
        <v/>
      </c>
      <c r="BB59" s="58">
        <f>SUM($E$35:BB35)+SUM($E$36:BB36)-(IF((YEAR(BB$3)*12+MONTH(BB$3))&gt;=(YEAR(Assumptions!$D$114)*12+MONTH(Assumptions!$D$114)),Assumptions!$D$115,0)+IF((YEAR(BB$3)*12+MONTH(BB$3))&gt;=(YEAR(Assumptions!$D$116)*12+MONTH(Assumptions!$D$116)),Assumptions!$D$117,0)+IF((YEAR(BB$3)*12+MONTH(BB$3))&gt;=(YEAR(Assumptions!$D$119)*12+MONTH(Assumptions!$D$119)),Assumptions!$D$118,0))</f>
        <v/>
      </c>
      <c r="BC59" s="58">
        <f>SUM($E$35:BC35)+SUM($E$36:BC36)-(IF((YEAR(BC$3)*12+MONTH(BC$3))&gt;=(YEAR(Assumptions!$D$114)*12+MONTH(Assumptions!$D$114)),Assumptions!$D$115,0)+IF((YEAR(BC$3)*12+MONTH(BC$3))&gt;=(YEAR(Assumptions!$D$116)*12+MONTH(Assumptions!$D$116)),Assumptions!$D$117,0)+IF((YEAR(BC$3)*12+MONTH(BC$3))&gt;=(YEAR(Assumptions!$D$119)*12+MONTH(Assumptions!$D$119)),Assumptions!$D$118,0))</f>
        <v/>
      </c>
      <c r="BD59" s="58">
        <f>SUM($E$35:BD35)+SUM($E$36:BD36)-(IF((YEAR(BD$3)*12+MONTH(BD$3))&gt;=(YEAR(Assumptions!$D$114)*12+MONTH(Assumptions!$D$114)),Assumptions!$D$115,0)+IF((YEAR(BD$3)*12+MONTH(BD$3))&gt;=(YEAR(Assumptions!$D$116)*12+MONTH(Assumptions!$D$116)),Assumptions!$D$117,0)+IF((YEAR(BD$3)*12+MONTH(BD$3))&gt;=(YEAR(Assumptions!$D$119)*12+MONTH(Assumptions!$D$119)),Assumptions!$D$118,0))</f>
        <v/>
      </c>
      <c r="BE59" s="58">
        <f>SUM($E$35:BE35)+SUM($E$36:BE36)-(IF((YEAR(BE$3)*12+MONTH(BE$3))&gt;=(YEAR(Assumptions!$D$114)*12+MONTH(Assumptions!$D$114)),Assumptions!$D$115,0)+IF((YEAR(BE$3)*12+MONTH(BE$3))&gt;=(YEAR(Assumptions!$D$116)*12+MONTH(Assumptions!$D$116)),Assumptions!$D$117,0)+IF((YEAR(BE$3)*12+MONTH(BE$3))&gt;=(YEAR(Assumptions!$D$119)*12+MONTH(Assumptions!$D$119)),Assumptions!$D$118,0))</f>
        <v/>
      </c>
      <c r="BF59" s="58">
        <f>SUM($E$35:BF35)+SUM($E$36:BF36)-(IF((YEAR(BF$3)*12+MONTH(BF$3))&gt;=(YEAR(Assumptions!$D$114)*12+MONTH(Assumptions!$D$114)),Assumptions!$D$115,0)+IF((YEAR(BF$3)*12+MONTH(BF$3))&gt;=(YEAR(Assumptions!$D$116)*12+MONTH(Assumptions!$D$116)),Assumptions!$D$117,0)+IF((YEAR(BF$3)*12+MONTH(BF$3))&gt;=(YEAR(Assumptions!$D$119)*12+MONTH(Assumptions!$D$119)),Assumptions!$D$118,0))</f>
        <v/>
      </c>
      <c r="BG59" s="58">
        <f>SUM($E$35:BG35)+SUM($E$36:BG36)-(IF((YEAR(BG$3)*12+MONTH(BG$3))&gt;=(YEAR(Assumptions!$D$114)*12+MONTH(Assumptions!$D$114)),Assumptions!$D$115,0)+IF((YEAR(BG$3)*12+MONTH(BG$3))&gt;=(YEAR(Assumptions!$D$116)*12+MONTH(Assumptions!$D$116)),Assumptions!$D$117,0)+IF((YEAR(BG$3)*12+MONTH(BG$3))&gt;=(YEAR(Assumptions!$D$119)*12+MONTH(Assumptions!$D$119)),Assumptions!$D$118,0))</f>
        <v/>
      </c>
      <c r="BH59" s="58">
        <f>SUM($E$35:BH35)+SUM($E$36:BH36)-(IF((YEAR(BH$3)*12+MONTH(BH$3))&gt;=(YEAR(Assumptions!$D$114)*12+MONTH(Assumptions!$D$114)),Assumptions!$D$115,0)+IF((YEAR(BH$3)*12+MONTH(BH$3))&gt;=(YEAR(Assumptions!$D$116)*12+MONTH(Assumptions!$D$116)),Assumptions!$D$117,0)+IF((YEAR(BH$3)*12+MONTH(BH$3))&gt;=(YEAR(Assumptions!$D$119)*12+MONTH(Assumptions!$D$119)),Assumptions!$D$118,0))</f>
        <v/>
      </c>
      <c r="BI59" s="58">
        <f>SUM($E$35:BI35)+SUM($E$36:BI36)-(IF((YEAR(BI$3)*12+MONTH(BI$3))&gt;=(YEAR(Assumptions!$D$114)*12+MONTH(Assumptions!$D$114)),Assumptions!$D$115,0)+IF((YEAR(BI$3)*12+MONTH(BI$3))&gt;=(YEAR(Assumptions!$D$116)*12+MONTH(Assumptions!$D$116)),Assumptions!$D$117,0)+IF((YEAR(BI$3)*12+MONTH(BI$3))&gt;=(YEAR(Assumptions!$D$119)*12+MONTH(Assumptions!$D$119)),Assumptions!$D$118,0))</f>
        <v/>
      </c>
      <c r="BJ59" s="58">
        <f>SUM($E$35:BJ35)+SUM($E$36:BJ36)-(IF((YEAR(BJ$3)*12+MONTH(BJ$3))&gt;=(YEAR(Assumptions!$D$114)*12+MONTH(Assumptions!$D$114)),Assumptions!$D$115,0)+IF((YEAR(BJ$3)*12+MONTH(BJ$3))&gt;=(YEAR(Assumptions!$D$116)*12+MONTH(Assumptions!$D$116)),Assumptions!$D$117,0)+IF((YEAR(BJ$3)*12+MONTH(BJ$3))&gt;=(YEAR(Assumptions!$D$119)*12+MONTH(Assumptions!$D$119)),Assumptions!$D$118,0))</f>
        <v/>
      </c>
      <c r="BK59" s="58">
        <f>SUM($E$35:BK35)+SUM($E$36:BK36)-(IF((YEAR(BK$3)*12+MONTH(BK$3))&gt;=(YEAR(Assumptions!$D$114)*12+MONTH(Assumptions!$D$114)),Assumptions!$D$115,0)+IF((YEAR(BK$3)*12+MONTH(BK$3))&gt;=(YEAR(Assumptions!$D$116)*12+MONTH(Assumptions!$D$116)),Assumptions!$D$117,0)+IF((YEAR(BK$3)*12+MONTH(BK$3))&gt;=(YEAR(Assumptions!$D$119)*12+MONTH(Assumptions!$D$119)),Assumptions!$D$118,0))</f>
        <v/>
      </c>
      <c r="BL59" s="58">
        <f>SUM($E$35:BL35)+SUM($E$36:BL36)-(IF((YEAR(BL$3)*12+MONTH(BL$3))&gt;=(YEAR(Assumptions!$D$114)*12+MONTH(Assumptions!$D$114)),Assumptions!$D$115,0)+IF((YEAR(BL$3)*12+MONTH(BL$3))&gt;=(YEAR(Assumptions!$D$116)*12+MONTH(Assumptions!$D$116)),Assumptions!$D$117,0)+IF((YEAR(BL$3)*12+MONTH(BL$3))&gt;=(YEAR(Assumptions!$D$119)*12+MONTH(Assumptions!$D$119)),Assumptions!$D$118,0))</f>
        <v/>
      </c>
      <c r="BN59" s="59">
        <f>P59</f>
        <v/>
      </c>
      <c r="BO59" s="59">
        <f>AB59</f>
        <v/>
      </c>
      <c r="BP59" s="59">
        <f>AN59</f>
        <v/>
      </c>
      <c r="BQ59" s="59">
        <f>AZ59</f>
        <v/>
      </c>
      <c r="BR59" s="59">
        <f>BL59</f>
        <v/>
      </c>
      <c r="BT59" s="32" t="inlineStr">
        <is>
          <t>cumulative equity and loan received against what the funding block says should have arrived by now</t>
        </is>
      </c>
    </row>
    <row r="60">
      <c r="B60" s="15" t="inlineStr">
        <is>
          <t>SUPPORTING SCHEDULES</t>
        </is>
      </c>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c r="AB60" s="1" t="n"/>
      <c r="AC60" s="1" t="n"/>
      <c r="AD60" s="1" t="n"/>
      <c r="AE60" s="1" t="n"/>
      <c r="AF60" s="1" t="n"/>
      <c r="AG60" s="1" t="n"/>
      <c r="AH60" s="1" t="n"/>
      <c r="AI60" s="1" t="n"/>
      <c r="AJ60" s="1" t="n"/>
      <c r="AK60" s="1" t="n"/>
      <c r="AL60" s="1" t="n"/>
      <c r="AM60" s="1" t="n"/>
      <c r="AN60" s="1" t="n"/>
      <c r="AO60" s="1" t="n"/>
      <c r="AP60" s="1" t="n"/>
      <c r="AQ60" s="1" t="n"/>
      <c r="AR60" s="1" t="n"/>
      <c r="AS60" s="1" t="n"/>
      <c r="AT60" s="1" t="n"/>
      <c r="AU60" s="1" t="n"/>
      <c r="AV60" s="1" t="n"/>
      <c r="AW60" s="1" t="n"/>
      <c r="AX60" s="1" t="n"/>
      <c r="AY60" s="1" t="n"/>
      <c r="AZ60" s="1" t="n"/>
      <c r="BA60" s="1" t="n"/>
      <c r="BB60" s="1" t="n"/>
      <c r="BC60" s="1" t="n"/>
      <c r="BD60" s="1" t="n"/>
      <c r="BE60" s="1" t="n"/>
      <c r="BF60" s="1" t="n"/>
      <c r="BG60" s="1" t="n"/>
      <c r="BH60" s="1" t="n"/>
      <c r="BI60" s="1" t="n"/>
      <c r="BJ60" s="1" t="n"/>
      <c r="BK60" s="1" t="n"/>
      <c r="BL60" s="1" t="n"/>
      <c r="BM60" s="1" t="n"/>
      <c r="BN60" s="1" t="n"/>
      <c r="BO60" s="1" t="n"/>
      <c r="BP60" s="1" t="n"/>
      <c r="BQ60" s="1" t="n"/>
      <c r="BR60" s="1" t="n"/>
      <c r="BS60" s="1" t="n"/>
    </row>
    <row r="61">
      <c r="B61" s="6" t="inlineStr">
        <is>
          <t>Capital expenditure in the month</t>
        </is>
      </c>
      <c r="C61" s="17" t="inlineStr">
        <is>
          <t>EUR</t>
        </is>
      </c>
      <c r="E61" s="10">
        <f>0</f>
        <v/>
      </c>
      <c r="F61" s="10">
        <f>0</f>
        <v/>
      </c>
      <c r="G61" s="10">
        <f>0</f>
        <v/>
      </c>
      <c r="H61" s="10">
        <f>0</f>
        <v/>
      </c>
      <c r="I61" s="10">
        <f>0</f>
        <v/>
      </c>
      <c r="J61" s="10">
        <f>0</f>
        <v/>
      </c>
      <c r="K61" s="10">
        <f>0</f>
        <v/>
      </c>
      <c r="L61" s="10">
        <f>0</f>
        <v/>
      </c>
      <c r="M61" s="10">
        <f>0</f>
        <v/>
      </c>
      <c r="N61" s="10">
        <f>0</f>
        <v/>
      </c>
      <c r="O61" s="10">
        <f>0</f>
        <v/>
      </c>
      <c r="P61" s="10">
        <f>0</f>
        <v/>
      </c>
      <c r="Q61" s="10">
        <f>0</f>
        <v/>
      </c>
      <c r="R61" s="10">
        <f>0</f>
        <v/>
      </c>
      <c r="S61" s="10">
        <f>0</f>
        <v/>
      </c>
      <c r="T61" s="10">
        <f>0</f>
        <v/>
      </c>
      <c r="U61" s="10">
        <f>0</f>
        <v/>
      </c>
      <c r="V61" s="10">
        <f>0</f>
        <v/>
      </c>
      <c r="W61" s="10">
        <f>0</f>
        <v/>
      </c>
      <c r="X61" s="10">
        <f>0</f>
        <v/>
      </c>
      <c r="Y61" s="10">
        <f>0</f>
        <v/>
      </c>
      <c r="Z61" s="10">
        <f>0</f>
        <v/>
      </c>
      <c r="AA61" s="10">
        <f>0</f>
        <v/>
      </c>
      <c r="AB61" s="10">
        <f>0</f>
        <v/>
      </c>
      <c r="AC61" s="10">
        <f>0</f>
        <v/>
      </c>
      <c r="AD61" s="10">
        <f>0</f>
        <v/>
      </c>
      <c r="AE61" s="10">
        <f>0</f>
        <v/>
      </c>
      <c r="AF61" s="10">
        <f>0</f>
        <v/>
      </c>
      <c r="AG61" s="10">
        <f>0</f>
        <v/>
      </c>
      <c r="AH61" s="10">
        <f>0</f>
        <v/>
      </c>
      <c r="AI61" s="10">
        <f>0</f>
        <v/>
      </c>
      <c r="AJ61" s="10">
        <f>0</f>
        <v/>
      </c>
      <c r="AK61" s="10">
        <f>0</f>
        <v/>
      </c>
      <c r="AL61" s="10">
        <f>0</f>
        <v/>
      </c>
      <c r="AM61" s="10">
        <f>0</f>
        <v/>
      </c>
      <c r="AN61" s="10">
        <f>0</f>
        <v/>
      </c>
      <c r="AO61" s="10">
        <f>0</f>
        <v/>
      </c>
      <c r="AP61" s="10">
        <f>0</f>
        <v/>
      </c>
      <c r="AQ61" s="10">
        <f>0</f>
        <v/>
      </c>
      <c r="AR61" s="10">
        <f>0</f>
        <v/>
      </c>
      <c r="AS61" s="10">
        <f>0</f>
        <v/>
      </c>
      <c r="AT61" s="10">
        <f>0</f>
        <v/>
      </c>
      <c r="AU61" s="10">
        <f>0</f>
        <v/>
      </c>
      <c r="AV61" s="10">
        <f>0</f>
        <v/>
      </c>
      <c r="AW61" s="10">
        <f>0</f>
        <v/>
      </c>
      <c r="AX61" s="10">
        <f>0</f>
        <v/>
      </c>
      <c r="AY61" s="10">
        <f>0</f>
        <v/>
      </c>
      <c r="AZ61" s="10">
        <f>0</f>
        <v/>
      </c>
      <c r="BA61" s="10">
        <f>0</f>
        <v/>
      </c>
      <c r="BB61" s="10">
        <f>0</f>
        <v/>
      </c>
      <c r="BC61" s="10">
        <f>0</f>
        <v/>
      </c>
      <c r="BD61" s="10">
        <f>0</f>
        <v/>
      </c>
      <c r="BE61" s="10">
        <f>0</f>
        <v/>
      </c>
      <c r="BF61" s="10">
        <f>0</f>
        <v/>
      </c>
      <c r="BG61" s="10">
        <f>0</f>
        <v/>
      </c>
      <c r="BH61" s="10">
        <f>0</f>
        <v/>
      </c>
      <c r="BI61" s="10">
        <f>0</f>
        <v/>
      </c>
      <c r="BJ61" s="10">
        <f>0</f>
        <v/>
      </c>
      <c r="BK61" s="10">
        <f>0</f>
        <v/>
      </c>
      <c r="BL61" s="10">
        <f>0</f>
        <v/>
      </c>
      <c r="BN61" s="50">
        <f>SUM(E61:P61)</f>
        <v/>
      </c>
      <c r="BO61" s="50">
        <f>SUM(Q61:AB61)</f>
        <v/>
      </c>
      <c r="BP61" s="50">
        <f>SUM(AC61:AN61)</f>
        <v/>
      </c>
      <c r="BQ61" s="50">
        <f>SUM(AO61:AZ61)</f>
        <v/>
      </c>
      <c r="BR61" s="50">
        <f>SUM(BA61:BL61)</f>
        <v/>
      </c>
      <c r="BT61" s="32" t="inlineStr">
        <is>
          <t>no in-house production in this case, so no capex</t>
        </is>
      </c>
    </row>
    <row r="62">
      <c r="B62" s="6" t="inlineStr">
        <is>
          <t>Accumulated depreciation</t>
        </is>
      </c>
      <c r="C62" s="17" t="inlineStr">
        <is>
          <t>EUR</t>
        </is>
      </c>
      <c r="E62" s="10">
        <f>-E19</f>
        <v/>
      </c>
      <c r="F62" s="10">
        <f>E62-F19</f>
        <v/>
      </c>
      <c r="G62" s="10">
        <f>F62-G19</f>
        <v/>
      </c>
      <c r="H62" s="10">
        <f>G62-H19</f>
        <v/>
      </c>
      <c r="I62" s="10">
        <f>H62-I19</f>
        <v/>
      </c>
      <c r="J62" s="10">
        <f>I62-J19</f>
        <v/>
      </c>
      <c r="K62" s="10">
        <f>J62-K19</f>
        <v/>
      </c>
      <c r="L62" s="10">
        <f>K62-L19</f>
        <v/>
      </c>
      <c r="M62" s="10">
        <f>L62-M19</f>
        <v/>
      </c>
      <c r="N62" s="10">
        <f>M62-N19</f>
        <v/>
      </c>
      <c r="O62" s="10">
        <f>N62-O19</f>
        <v/>
      </c>
      <c r="P62" s="10">
        <f>O62-P19</f>
        <v/>
      </c>
      <c r="Q62" s="10">
        <f>P62-Q19</f>
        <v/>
      </c>
      <c r="R62" s="10">
        <f>Q62-R19</f>
        <v/>
      </c>
      <c r="S62" s="10">
        <f>R62-S19</f>
        <v/>
      </c>
      <c r="T62" s="10">
        <f>S62-T19</f>
        <v/>
      </c>
      <c r="U62" s="10">
        <f>T62-U19</f>
        <v/>
      </c>
      <c r="V62" s="10">
        <f>U62-V19</f>
        <v/>
      </c>
      <c r="W62" s="10">
        <f>V62-W19</f>
        <v/>
      </c>
      <c r="X62" s="10">
        <f>W62-X19</f>
        <v/>
      </c>
      <c r="Y62" s="10">
        <f>X62-Y19</f>
        <v/>
      </c>
      <c r="Z62" s="10">
        <f>Y62-Z19</f>
        <v/>
      </c>
      <c r="AA62" s="10">
        <f>Z62-AA19</f>
        <v/>
      </c>
      <c r="AB62" s="10">
        <f>AA62-AB19</f>
        <v/>
      </c>
      <c r="AC62" s="10">
        <f>AB62-AC19</f>
        <v/>
      </c>
      <c r="AD62" s="10">
        <f>AC62-AD19</f>
        <v/>
      </c>
      <c r="AE62" s="10">
        <f>AD62-AE19</f>
        <v/>
      </c>
      <c r="AF62" s="10">
        <f>AE62-AF19</f>
        <v/>
      </c>
      <c r="AG62" s="10">
        <f>AF62-AG19</f>
        <v/>
      </c>
      <c r="AH62" s="10">
        <f>AG62-AH19</f>
        <v/>
      </c>
      <c r="AI62" s="10">
        <f>AH62-AI19</f>
        <v/>
      </c>
      <c r="AJ62" s="10">
        <f>AI62-AJ19</f>
        <v/>
      </c>
      <c r="AK62" s="10">
        <f>AJ62-AK19</f>
        <v/>
      </c>
      <c r="AL62" s="10">
        <f>AK62-AL19</f>
        <v/>
      </c>
      <c r="AM62" s="10">
        <f>AL62-AM19</f>
        <v/>
      </c>
      <c r="AN62" s="10">
        <f>AM62-AN19</f>
        <v/>
      </c>
      <c r="AO62" s="10">
        <f>AN62-AO19</f>
        <v/>
      </c>
      <c r="AP62" s="10">
        <f>AO62-AP19</f>
        <v/>
      </c>
      <c r="AQ62" s="10">
        <f>AP62-AQ19</f>
        <v/>
      </c>
      <c r="AR62" s="10">
        <f>AQ62-AR19</f>
        <v/>
      </c>
      <c r="AS62" s="10">
        <f>AR62-AS19</f>
        <v/>
      </c>
      <c r="AT62" s="10">
        <f>AS62-AT19</f>
        <v/>
      </c>
      <c r="AU62" s="10">
        <f>AT62-AU19</f>
        <v/>
      </c>
      <c r="AV62" s="10">
        <f>AU62-AV19</f>
        <v/>
      </c>
      <c r="AW62" s="10">
        <f>AV62-AW19</f>
        <v/>
      </c>
      <c r="AX62" s="10">
        <f>AW62-AX19</f>
        <v/>
      </c>
      <c r="AY62" s="10">
        <f>AX62-AY19</f>
        <v/>
      </c>
      <c r="AZ62" s="10">
        <f>AY62-AZ19</f>
        <v/>
      </c>
      <c r="BA62" s="10">
        <f>AZ62-BA19</f>
        <v/>
      </c>
      <c r="BB62" s="10">
        <f>BA62-BB19</f>
        <v/>
      </c>
      <c r="BC62" s="10">
        <f>BB62-BC19</f>
        <v/>
      </c>
      <c r="BD62" s="10">
        <f>BC62-BD19</f>
        <v/>
      </c>
      <c r="BE62" s="10">
        <f>BD62-BE19</f>
        <v/>
      </c>
      <c r="BF62" s="10">
        <f>BE62-BF19</f>
        <v/>
      </c>
      <c r="BG62" s="10">
        <f>BF62-BG19</f>
        <v/>
      </c>
      <c r="BH62" s="10">
        <f>BG62-BH19</f>
        <v/>
      </c>
      <c r="BI62" s="10">
        <f>BH62-BI19</f>
        <v/>
      </c>
      <c r="BJ62" s="10">
        <f>BI62-BJ19</f>
        <v/>
      </c>
      <c r="BK62" s="10">
        <f>BJ62-BK19</f>
        <v/>
      </c>
      <c r="BL62" s="10">
        <f>BK62-BL19</f>
        <v/>
      </c>
      <c r="BN62" s="50">
        <f>P62</f>
        <v/>
      </c>
      <c r="BO62" s="50">
        <f>AB62</f>
        <v/>
      </c>
      <c r="BP62" s="50">
        <f>AN62</f>
        <v/>
      </c>
      <c r="BQ62" s="50">
        <f>AZ62</f>
        <v/>
      </c>
      <c r="BR62" s="50">
        <f>BL62</f>
        <v/>
      </c>
    </row>
    <row r="63">
      <c r="B63" s="6" t="inlineStr">
        <is>
          <t>Gross book value</t>
        </is>
      </c>
      <c r="C63" s="17" t="inlineStr">
        <is>
          <t>EUR</t>
        </is>
      </c>
      <c r="E63" s="10">
        <f>E61</f>
        <v/>
      </c>
      <c r="F63" s="10">
        <f>E63+F61</f>
        <v/>
      </c>
      <c r="G63" s="10">
        <f>F63+G61</f>
        <v/>
      </c>
      <c r="H63" s="10">
        <f>G63+H61</f>
        <v/>
      </c>
      <c r="I63" s="10">
        <f>H63+I61</f>
        <v/>
      </c>
      <c r="J63" s="10">
        <f>I63+J61</f>
        <v/>
      </c>
      <c r="K63" s="10">
        <f>J63+K61</f>
        <v/>
      </c>
      <c r="L63" s="10">
        <f>K63+L61</f>
        <v/>
      </c>
      <c r="M63" s="10">
        <f>L63+M61</f>
        <v/>
      </c>
      <c r="N63" s="10">
        <f>M63+N61</f>
        <v/>
      </c>
      <c r="O63" s="10">
        <f>N63+O61</f>
        <v/>
      </c>
      <c r="P63" s="10">
        <f>O63+P61</f>
        <v/>
      </c>
      <c r="Q63" s="10">
        <f>P63+Q61</f>
        <v/>
      </c>
      <c r="R63" s="10">
        <f>Q63+R61</f>
        <v/>
      </c>
      <c r="S63" s="10">
        <f>R63+S61</f>
        <v/>
      </c>
      <c r="T63" s="10">
        <f>S63+T61</f>
        <v/>
      </c>
      <c r="U63" s="10">
        <f>T63+U61</f>
        <v/>
      </c>
      <c r="V63" s="10">
        <f>U63+V61</f>
        <v/>
      </c>
      <c r="W63" s="10">
        <f>V63+W61</f>
        <v/>
      </c>
      <c r="X63" s="10">
        <f>W63+X61</f>
        <v/>
      </c>
      <c r="Y63" s="10">
        <f>X63+Y61</f>
        <v/>
      </c>
      <c r="Z63" s="10">
        <f>Y63+Z61</f>
        <v/>
      </c>
      <c r="AA63" s="10">
        <f>Z63+AA61</f>
        <v/>
      </c>
      <c r="AB63" s="10">
        <f>AA63+AB61</f>
        <v/>
      </c>
      <c r="AC63" s="10">
        <f>AB63+AC61</f>
        <v/>
      </c>
      <c r="AD63" s="10">
        <f>AC63+AD61</f>
        <v/>
      </c>
      <c r="AE63" s="10">
        <f>AD63+AE61</f>
        <v/>
      </c>
      <c r="AF63" s="10">
        <f>AE63+AF61</f>
        <v/>
      </c>
      <c r="AG63" s="10">
        <f>AF63+AG61</f>
        <v/>
      </c>
      <c r="AH63" s="10">
        <f>AG63+AH61</f>
        <v/>
      </c>
      <c r="AI63" s="10">
        <f>AH63+AI61</f>
        <v/>
      </c>
      <c r="AJ63" s="10">
        <f>AI63+AJ61</f>
        <v/>
      </c>
      <c r="AK63" s="10">
        <f>AJ63+AK61</f>
        <v/>
      </c>
      <c r="AL63" s="10">
        <f>AK63+AL61</f>
        <v/>
      </c>
      <c r="AM63" s="10">
        <f>AL63+AM61</f>
        <v/>
      </c>
      <c r="AN63" s="10">
        <f>AM63+AN61</f>
        <v/>
      </c>
      <c r="AO63" s="10">
        <f>AN63+AO61</f>
        <v/>
      </c>
      <c r="AP63" s="10">
        <f>AO63+AP61</f>
        <v/>
      </c>
      <c r="AQ63" s="10">
        <f>AP63+AQ61</f>
        <v/>
      </c>
      <c r="AR63" s="10">
        <f>AQ63+AR61</f>
        <v/>
      </c>
      <c r="AS63" s="10">
        <f>AR63+AS61</f>
        <v/>
      </c>
      <c r="AT63" s="10">
        <f>AS63+AT61</f>
        <v/>
      </c>
      <c r="AU63" s="10">
        <f>AT63+AU61</f>
        <v/>
      </c>
      <c r="AV63" s="10">
        <f>AU63+AV61</f>
        <v/>
      </c>
      <c r="AW63" s="10">
        <f>AV63+AW61</f>
        <v/>
      </c>
      <c r="AX63" s="10">
        <f>AW63+AX61</f>
        <v/>
      </c>
      <c r="AY63" s="10">
        <f>AX63+AY61</f>
        <v/>
      </c>
      <c r="AZ63" s="10">
        <f>AY63+AZ61</f>
        <v/>
      </c>
      <c r="BA63" s="10">
        <f>AZ63+BA61</f>
        <v/>
      </c>
      <c r="BB63" s="10">
        <f>BA63+BB61</f>
        <v/>
      </c>
      <c r="BC63" s="10">
        <f>BB63+BC61</f>
        <v/>
      </c>
      <c r="BD63" s="10">
        <f>BC63+BD61</f>
        <v/>
      </c>
      <c r="BE63" s="10">
        <f>BD63+BE61</f>
        <v/>
      </c>
      <c r="BF63" s="10">
        <f>BE63+BF61</f>
        <v/>
      </c>
      <c r="BG63" s="10">
        <f>BF63+BG61</f>
        <v/>
      </c>
      <c r="BH63" s="10">
        <f>BG63+BH61</f>
        <v/>
      </c>
      <c r="BI63" s="10">
        <f>BH63+BI61</f>
        <v/>
      </c>
      <c r="BJ63" s="10">
        <f>BI63+BJ61</f>
        <v/>
      </c>
      <c r="BK63" s="10">
        <f>BJ63+BK61</f>
        <v/>
      </c>
      <c r="BL63" s="10">
        <f>BK63+BL61</f>
        <v/>
      </c>
      <c r="BN63" s="50">
        <f>P63</f>
        <v/>
      </c>
      <c r="BO63" s="50">
        <f>AB63</f>
        <v/>
      </c>
      <c r="BP63" s="50">
        <f>AN63</f>
        <v/>
      </c>
      <c r="BQ63" s="50">
        <f>AZ63</f>
        <v/>
      </c>
      <c r="BR63" s="50">
        <f>BL63</f>
        <v/>
      </c>
    </row>
    <row r="64">
      <c r="B64" s="6" t="inlineStr">
        <is>
          <t>Tax losses carried forward</t>
        </is>
      </c>
      <c r="C64" s="17" t="inlineStr">
        <is>
          <t>EUR</t>
        </is>
      </c>
      <c r="E64" s="10">
        <f>MAX(0,-E21)</f>
        <v/>
      </c>
      <c r="F64" s="10">
        <f>MAX(0,E64-MAX(0,F21))+MAX(0,-F21)</f>
        <v/>
      </c>
      <c r="G64" s="10">
        <f>MAX(0,F64-MAX(0,G21))+MAX(0,-G21)</f>
        <v/>
      </c>
      <c r="H64" s="10">
        <f>MAX(0,G64-MAX(0,H21))+MAX(0,-H21)</f>
        <v/>
      </c>
      <c r="I64" s="10">
        <f>MAX(0,H64-MAX(0,I21))+MAX(0,-I21)</f>
        <v/>
      </c>
      <c r="J64" s="10">
        <f>MAX(0,I64-MAX(0,J21))+MAX(0,-J21)</f>
        <v/>
      </c>
      <c r="K64" s="10">
        <f>MAX(0,J64-MAX(0,K21))+MAX(0,-K21)</f>
        <v/>
      </c>
      <c r="L64" s="10">
        <f>MAX(0,K64-MAX(0,L21))+MAX(0,-L21)</f>
        <v/>
      </c>
      <c r="M64" s="10">
        <f>MAX(0,L64-MAX(0,M21))+MAX(0,-M21)</f>
        <v/>
      </c>
      <c r="N64" s="10">
        <f>MAX(0,M64-MAX(0,N21))+MAX(0,-N21)</f>
        <v/>
      </c>
      <c r="O64" s="10">
        <f>MAX(0,N64-MAX(0,O21))+MAX(0,-O21)</f>
        <v/>
      </c>
      <c r="P64" s="10">
        <f>MAX(0,O64-MAX(0,P21))+MAX(0,-P21)</f>
        <v/>
      </c>
      <c r="Q64" s="10">
        <f>MAX(0,P64-MAX(0,Q21))+MAX(0,-Q21)</f>
        <v/>
      </c>
      <c r="R64" s="10">
        <f>MAX(0,Q64-MAX(0,R21))+MAX(0,-R21)</f>
        <v/>
      </c>
      <c r="S64" s="10">
        <f>MAX(0,R64-MAX(0,S21))+MAX(0,-S21)</f>
        <v/>
      </c>
      <c r="T64" s="10">
        <f>MAX(0,S64-MAX(0,T21))+MAX(0,-T21)</f>
        <v/>
      </c>
      <c r="U64" s="10">
        <f>MAX(0,T64-MAX(0,U21))+MAX(0,-U21)</f>
        <v/>
      </c>
      <c r="V64" s="10">
        <f>MAX(0,U64-MAX(0,V21))+MAX(0,-V21)</f>
        <v/>
      </c>
      <c r="W64" s="10">
        <f>MAX(0,V64-MAX(0,W21))+MAX(0,-W21)</f>
        <v/>
      </c>
      <c r="X64" s="10">
        <f>MAX(0,W64-MAX(0,X21))+MAX(0,-X21)</f>
        <v/>
      </c>
      <c r="Y64" s="10">
        <f>MAX(0,X64-MAX(0,Y21))+MAX(0,-Y21)</f>
        <v/>
      </c>
      <c r="Z64" s="10">
        <f>MAX(0,Y64-MAX(0,Z21))+MAX(0,-Z21)</f>
        <v/>
      </c>
      <c r="AA64" s="10">
        <f>MAX(0,Z64-MAX(0,AA21))+MAX(0,-AA21)</f>
        <v/>
      </c>
      <c r="AB64" s="10">
        <f>MAX(0,AA64-MAX(0,AB21))+MAX(0,-AB21)</f>
        <v/>
      </c>
      <c r="AC64" s="10">
        <f>MAX(0,AB64-MAX(0,AC21))+MAX(0,-AC21)</f>
        <v/>
      </c>
      <c r="AD64" s="10">
        <f>MAX(0,AC64-MAX(0,AD21))+MAX(0,-AD21)</f>
        <v/>
      </c>
      <c r="AE64" s="10">
        <f>MAX(0,AD64-MAX(0,AE21))+MAX(0,-AE21)</f>
        <v/>
      </c>
      <c r="AF64" s="10">
        <f>MAX(0,AE64-MAX(0,AF21))+MAX(0,-AF21)</f>
        <v/>
      </c>
      <c r="AG64" s="10">
        <f>MAX(0,AF64-MAX(0,AG21))+MAX(0,-AG21)</f>
        <v/>
      </c>
      <c r="AH64" s="10">
        <f>MAX(0,AG64-MAX(0,AH21))+MAX(0,-AH21)</f>
        <v/>
      </c>
      <c r="AI64" s="10">
        <f>MAX(0,AH64-MAX(0,AI21))+MAX(0,-AI21)</f>
        <v/>
      </c>
      <c r="AJ64" s="10">
        <f>MAX(0,AI64-MAX(0,AJ21))+MAX(0,-AJ21)</f>
        <v/>
      </c>
      <c r="AK64" s="10">
        <f>MAX(0,AJ64-MAX(0,AK21))+MAX(0,-AK21)</f>
        <v/>
      </c>
      <c r="AL64" s="10">
        <f>MAX(0,AK64-MAX(0,AL21))+MAX(0,-AL21)</f>
        <v/>
      </c>
      <c r="AM64" s="10">
        <f>MAX(0,AL64-MAX(0,AM21))+MAX(0,-AM21)</f>
        <v/>
      </c>
      <c r="AN64" s="10">
        <f>MAX(0,AM64-MAX(0,AN21))+MAX(0,-AN21)</f>
        <v/>
      </c>
      <c r="AO64" s="10">
        <f>MAX(0,AN64-MAX(0,AO21))+MAX(0,-AO21)</f>
        <v/>
      </c>
      <c r="AP64" s="10">
        <f>MAX(0,AO64-MAX(0,AP21))+MAX(0,-AP21)</f>
        <v/>
      </c>
      <c r="AQ64" s="10">
        <f>MAX(0,AP64-MAX(0,AQ21))+MAX(0,-AQ21)</f>
        <v/>
      </c>
      <c r="AR64" s="10">
        <f>MAX(0,AQ64-MAX(0,AR21))+MAX(0,-AR21)</f>
        <v/>
      </c>
      <c r="AS64" s="10">
        <f>MAX(0,AR64-MAX(0,AS21))+MAX(0,-AS21)</f>
        <v/>
      </c>
      <c r="AT64" s="10">
        <f>MAX(0,AS64-MAX(0,AT21))+MAX(0,-AT21)</f>
        <v/>
      </c>
      <c r="AU64" s="10">
        <f>MAX(0,AT64-MAX(0,AU21))+MAX(0,-AU21)</f>
        <v/>
      </c>
      <c r="AV64" s="10">
        <f>MAX(0,AU64-MAX(0,AV21))+MAX(0,-AV21)</f>
        <v/>
      </c>
      <c r="AW64" s="10">
        <f>MAX(0,AV64-MAX(0,AW21))+MAX(0,-AW21)</f>
        <v/>
      </c>
      <c r="AX64" s="10">
        <f>MAX(0,AW64-MAX(0,AX21))+MAX(0,-AX21)</f>
        <v/>
      </c>
      <c r="AY64" s="10">
        <f>MAX(0,AX64-MAX(0,AY21))+MAX(0,-AY21)</f>
        <v/>
      </c>
      <c r="AZ64" s="10">
        <f>MAX(0,AY64-MAX(0,AZ21))+MAX(0,-AZ21)</f>
        <v/>
      </c>
      <c r="BA64" s="10">
        <f>MAX(0,AZ64-MAX(0,BA21))+MAX(0,-BA21)</f>
        <v/>
      </c>
      <c r="BB64" s="10">
        <f>MAX(0,BA64-MAX(0,BB21))+MAX(0,-BB21)</f>
        <v/>
      </c>
      <c r="BC64" s="10">
        <f>MAX(0,BB64-MAX(0,BC21))+MAX(0,-BC21)</f>
        <v/>
      </c>
      <c r="BD64" s="10">
        <f>MAX(0,BC64-MAX(0,BD21))+MAX(0,-BD21)</f>
        <v/>
      </c>
      <c r="BE64" s="10">
        <f>MAX(0,BD64-MAX(0,BE21))+MAX(0,-BE21)</f>
        <v/>
      </c>
      <c r="BF64" s="10">
        <f>MAX(0,BE64-MAX(0,BF21))+MAX(0,-BF21)</f>
        <v/>
      </c>
      <c r="BG64" s="10">
        <f>MAX(0,BF64-MAX(0,BG21))+MAX(0,-BG21)</f>
        <v/>
      </c>
      <c r="BH64" s="10">
        <f>MAX(0,BG64-MAX(0,BH21))+MAX(0,-BH21)</f>
        <v/>
      </c>
      <c r="BI64" s="10">
        <f>MAX(0,BH64-MAX(0,BI21))+MAX(0,-BI21)</f>
        <v/>
      </c>
      <c r="BJ64" s="10">
        <f>MAX(0,BI64-MAX(0,BJ21))+MAX(0,-BJ21)</f>
        <v/>
      </c>
      <c r="BK64" s="10">
        <f>MAX(0,BJ64-MAX(0,BK21))+MAX(0,-BK21)</f>
        <v/>
      </c>
      <c r="BL64" s="10">
        <f>MAX(0,BK64-MAX(0,BL21))+MAX(0,-BL21)</f>
        <v/>
      </c>
      <c r="BN64" s="50">
        <f>P64</f>
        <v/>
      </c>
      <c r="BO64" s="50">
        <f>AB64</f>
        <v/>
      </c>
      <c r="BP64" s="50">
        <f>AN64</f>
        <v/>
      </c>
      <c r="BQ64" s="50">
        <f>AZ64</f>
        <v/>
      </c>
      <c r="BR64" s="50">
        <f>BL64</f>
        <v/>
      </c>
    </row>
  </sheetData>
  <conditionalFormatting sqref="E40:BL40">
    <cfRule type="cellIs" priority="1" operator="lessThan" dxfId="0">
      <formula>0</formula>
    </cfRule>
  </conditionalFormatting>
  <conditionalFormatting sqref="BN40:BR40">
    <cfRule type="cellIs" priority="2" operator="lessThan" dxfId="0">
      <formula>0</formula>
    </cfRule>
  </conditionalFormatting>
  <conditionalFormatting sqref="E58:BR58">
    <cfRule type="expression" priority="3" dxfId="1">
      <formula>ABS(E58)&gt;0.01</formula>
    </cfRule>
  </conditionalFormatting>
  <conditionalFormatting sqref="E59:BR59">
    <cfRule type="expression" priority="4" dxfId="1">
      <formula>ABS(E59)&gt;0.01</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B1:BT51"/>
  <sheetViews>
    <sheetView showGridLines="0" workbookViewId="0">
      <pane xSplit="4" ySplit="3" topLeftCell="E4" activePane="bottomRight" state="frozen"/>
      <selection pane="topRight"/>
      <selection pane="bottomLeft"/>
      <selection pane="bottomRight" activeCell="A1" sqref="A1"/>
    </sheetView>
  </sheetViews>
  <sheetFormatPr baseColWidth="8" defaultRowHeight="15"/>
  <cols>
    <col width="3" customWidth="1" min="1" max="1"/>
    <col width="44" customWidth="1" min="2" max="2"/>
    <col width="13" customWidth="1" min="3" max="3"/>
    <col width="2"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0" customWidth="1" min="39" max="39"/>
    <col width="10" customWidth="1" min="40" max="40"/>
    <col width="10" customWidth="1" min="41" max="41"/>
    <col width="10" customWidth="1" min="42" max="42"/>
    <col width="10" customWidth="1" min="43" max="43"/>
    <col width="10" customWidth="1" min="44" max="44"/>
    <col width="10" customWidth="1" min="45" max="45"/>
    <col width="10" customWidth="1" min="46" max="46"/>
    <col width="10" customWidth="1" min="47" max="47"/>
    <col width="10" customWidth="1" min="48" max="48"/>
    <col width="10" customWidth="1" min="49" max="49"/>
    <col width="10" customWidth="1" min="50" max="50"/>
    <col width="10" customWidth="1" min="51" max="51"/>
    <col width="10" customWidth="1" min="52" max="52"/>
    <col width="10" customWidth="1" min="53" max="53"/>
    <col width="10" customWidth="1" min="54" max="54"/>
    <col width="10" customWidth="1" min="55" max="55"/>
    <col width="10" customWidth="1" min="56" max="56"/>
    <col width="10" customWidth="1" min="57" max="57"/>
    <col width="10" customWidth="1" min="58" max="58"/>
    <col width="10" customWidth="1" min="59" max="59"/>
    <col width="10" customWidth="1" min="60" max="60"/>
    <col width="10" customWidth="1" min="61" max="61"/>
    <col width="10" customWidth="1" min="62" max="62"/>
    <col width="10" customWidth="1" min="63" max="63"/>
    <col width="10" customWidth="1" min="64" max="64"/>
    <col width="2" customWidth="1" min="65" max="65"/>
    <col width="12" customWidth="1" min="66" max="66"/>
    <col width="12" customWidth="1" min="67" max="67"/>
    <col width="12" customWidth="1" min="68" max="68"/>
    <col width="12" customWidth="1" min="69" max="69"/>
    <col width="12" customWidth="1" min="70" max="70"/>
    <col width="2" customWidth="1" min="71" max="71"/>
    <col width="62" customWidth="1" min="72" max="72"/>
  </cols>
  <sheetData>
    <row r="1">
      <c r="B1" s="15" t="inlineStr">
        <is>
          <t>Tarnoc B.V.  Revenue Forecast</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row>
    <row r="2">
      <c r="B2" s="3" t="inlineStr">
        <is>
          <t>Units sold is an output: marketing spend generates orders, and selling and build capacity cap them.</t>
        </is>
      </c>
    </row>
    <row r="3">
      <c r="B3" s="2" t="n"/>
      <c r="C3" s="2" t="n"/>
      <c r="D3" s="2" t="n"/>
      <c r="E3" s="48" t="n">
        <v>46023</v>
      </c>
      <c r="F3" s="48" t="n">
        <v>46054</v>
      </c>
      <c r="G3" s="48" t="n">
        <v>46082</v>
      </c>
      <c r="H3" s="48" t="n">
        <v>46113</v>
      </c>
      <c r="I3" s="48" t="n">
        <v>46143</v>
      </c>
      <c r="J3" s="48" t="n">
        <v>46174</v>
      </c>
      <c r="K3" s="48" t="n">
        <v>46204</v>
      </c>
      <c r="L3" s="48" t="n">
        <v>46235</v>
      </c>
      <c r="M3" s="48" t="n">
        <v>46266</v>
      </c>
      <c r="N3" s="48" t="n">
        <v>46296</v>
      </c>
      <c r="O3" s="48" t="n">
        <v>46327</v>
      </c>
      <c r="P3" s="48" t="n">
        <v>46357</v>
      </c>
      <c r="Q3" s="48" t="n">
        <v>46388</v>
      </c>
      <c r="R3" s="48" t="n">
        <v>46419</v>
      </c>
      <c r="S3" s="48" t="n">
        <v>46447</v>
      </c>
      <c r="T3" s="48" t="n">
        <v>46478</v>
      </c>
      <c r="U3" s="48" t="n">
        <v>46508</v>
      </c>
      <c r="V3" s="48" t="n">
        <v>46539</v>
      </c>
      <c r="W3" s="48" t="n">
        <v>46569</v>
      </c>
      <c r="X3" s="48" t="n">
        <v>46600</v>
      </c>
      <c r="Y3" s="48" t="n">
        <v>46631</v>
      </c>
      <c r="Z3" s="48" t="n">
        <v>46661</v>
      </c>
      <c r="AA3" s="48" t="n">
        <v>46692</v>
      </c>
      <c r="AB3" s="48" t="n">
        <v>46722</v>
      </c>
      <c r="AC3" s="48" t="n">
        <v>46753</v>
      </c>
      <c r="AD3" s="48" t="n">
        <v>46784</v>
      </c>
      <c r="AE3" s="48" t="n">
        <v>46813</v>
      </c>
      <c r="AF3" s="48" t="n">
        <v>46844</v>
      </c>
      <c r="AG3" s="48" t="n">
        <v>46874</v>
      </c>
      <c r="AH3" s="48" t="n">
        <v>46905</v>
      </c>
      <c r="AI3" s="48" t="n">
        <v>46935</v>
      </c>
      <c r="AJ3" s="48" t="n">
        <v>46966</v>
      </c>
      <c r="AK3" s="48" t="n">
        <v>46997</v>
      </c>
      <c r="AL3" s="48" t="n">
        <v>47027</v>
      </c>
      <c r="AM3" s="48" t="n">
        <v>47058</v>
      </c>
      <c r="AN3" s="48" t="n">
        <v>47088</v>
      </c>
      <c r="AO3" s="48" t="n">
        <v>47119</v>
      </c>
      <c r="AP3" s="48" t="n">
        <v>47150</v>
      </c>
      <c r="AQ3" s="48" t="n">
        <v>47178</v>
      </c>
      <c r="AR3" s="48" t="n">
        <v>47209</v>
      </c>
      <c r="AS3" s="48" t="n">
        <v>47239</v>
      </c>
      <c r="AT3" s="48" t="n">
        <v>47270</v>
      </c>
      <c r="AU3" s="48" t="n">
        <v>47300</v>
      </c>
      <c r="AV3" s="48" t="n">
        <v>47331</v>
      </c>
      <c r="AW3" s="48" t="n">
        <v>47362</v>
      </c>
      <c r="AX3" s="48" t="n">
        <v>47392</v>
      </c>
      <c r="AY3" s="48" t="n">
        <v>47423</v>
      </c>
      <c r="AZ3" s="48" t="n">
        <v>47453</v>
      </c>
      <c r="BA3" s="48" t="n">
        <v>47484</v>
      </c>
      <c r="BB3" s="48" t="n">
        <v>47515</v>
      </c>
      <c r="BC3" s="48" t="n">
        <v>47543</v>
      </c>
      <c r="BD3" s="48" t="n">
        <v>47574</v>
      </c>
      <c r="BE3" s="48" t="n">
        <v>47604</v>
      </c>
      <c r="BF3" s="48" t="n">
        <v>47635</v>
      </c>
      <c r="BG3" s="48" t="n">
        <v>47665</v>
      </c>
      <c r="BH3" s="48" t="n">
        <v>47696</v>
      </c>
      <c r="BI3" s="48" t="n">
        <v>47727</v>
      </c>
      <c r="BJ3" s="48" t="n">
        <v>47757</v>
      </c>
      <c r="BK3" s="48" t="n">
        <v>47788</v>
      </c>
      <c r="BL3" s="48" t="n">
        <v>47818</v>
      </c>
      <c r="BM3" s="2" t="n"/>
      <c r="BN3" s="49" t="n">
        <v>2026</v>
      </c>
      <c r="BO3" s="49" t="n">
        <v>2027</v>
      </c>
      <c r="BP3" s="49" t="n">
        <v>2028</v>
      </c>
      <c r="BQ3" s="49" t="n">
        <v>2029</v>
      </c>
      <c r="BR3" s="49" t="n">
        <v>2030</v>
      </c>
      <c r="BS3" s="2" t="n"/>
      <c r="BT3" s="3" t="inlineStr">
        <is>
          <t>what this row does</t>
        </is>
      </c>
    </row>
    <row r="5">
      <c r="B5" s="15" t="inlineStr">
        <is>
          <t>DEMAND</t>
        </is>
      </c>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c r="AA5" s="1" t="n"/>
      <c r="AB5" s="1" t="n"/>
      <c r="AC5" s="1" t="n"/>
      <c r="AD5" s="1" t="n"/>
      <c r="AE5" s="1" t="n"/>
      <c r="AF5" s="1" t="n"/>
      <c r="AG5" s="1" t="n"/>
      <c r="AH5" s="1" t="n"/>
      <c r="AI5" s="1" t="n"/>
      <c r="AJ5" s="1" t="n"/>
      <c r="AK5" s="1" t="n"/>
      <c r="AL5" s="1" t="n"/>
      <c r="AM5" s="1" t="n"/>
      <c r="AN5" s="1" t="n"/>
      <c r="AO5" s="1" t="n"/>
      <c r="AP5" s="1" t="n"/>
      <c r="AQ5" s="1" t="n"/>
      <c r="AR5" s="1" t="n"/>
      <c r="AS5" s="1" t="n"/>
      <c r="AT5" s="1" t="n"/>
      <c r="AU5" s="1" t="n"/>
      <c r="AV5" s="1" t="n"/>
      <c r="AW5" s="1" t="n"/>
      <c r="AX5" s="1" t="n"/>
      <c r="AY5" s="1" t="n"/>
      <c r="AZ5" s="1" t="n"/>
      <c r="BA5" s="1" t="n"/>
      <c r="BB5" s="1" t="n"/>
      <c r="BC5" s="1" t="n"/>
      <c r="BD5" s="1" t="n"/>
      <c r="BE5" s="1" t="n"/>
      <c r="BF5" s="1" t="n"/>
      <c r="BG5" s="1" t="n"/>
      <c r="BH5" s="1" t="n"/>
      <c r="BI5" s="1" t="n"/>
      <c r="BJ5" s="1" t="n"/>
      <c r="BK5" s="1" t="n"/>
      <c r="BL5" s="1" t="n"/>
      <c r="BM5" s="1" t="n"/>
      <c r="BN5" s="1" t="n"/>
      <c r="BO5" s="1" t="n"/>
      <c r="BP5" s="1" t="n"/>
      <c r="BQ5" s="1" t="n"/>
      <c r="BR5" s="1" t="n"/>
      <c r="BS5" s="1" t="n"/>
    </row>
    <row r="6">
      <c r="B6" s="6" t="inlineStr">
        <is>
          <t>Marketing spend</t>
        </is>
      </c>
      <c r="C6" s="17" t="inlineStr">
        <is>
          <t>EUR/mo</t>
        </is>
      </c>
      <c r="E6" s="10">
        <f>IF(E$3&lt;Assumptions!$D$11,0,HLOOKUP(YEAR(E$3),Assumptions!$D$44:$H$45,2,FALSE))</f>
        <v/>
      </c>
      <c r="F6" s="10">
        <f>IF(F$3&lt;Assumptions!$D$11,0,HLOOKUP(YEAR(F$3),Assumptions!$D$44:$H$45,2,FALSE))</f>
        <v/>
      </c>
      <c r="G6" s="10">
        <f>IF(G$3&lt;Assumptions!$D$11,0,HLOOKUP(YEAR(G$3),Assumptions!$D$44:$H$45,2,FALSE))</f>
        <v/>
      </c>
      <c r="H6" s="10">
        <f>IF(H$3&lt;Assumptions!$D$11,0,HLOOKUP(YEAR(H$3),Assumptions!$D$44:$H$45,2,FALSE))</f>
        <v/>
      </c>
      <c r="I6" s="10">
        <f>IF(I$3&lt;Assumptions!$D$11,0,HLOOKUP(YEAR(I$3),Assumptions!$D$44:$H$45,2,FALSE))</f>
        <v/>
      </c>
      <c r="J6" s="10">
        <f>IF(J$3&lt;Assumptions!$D$11,0,HLOOKUP(YEAR(J$3),Assumptions!$D$44:$H$45,2,FALSE))</f>
        <v/>
      </c>
      <c r="K6" s="10">
        <f>IF(K$3&lt;Assumptions!$D$11,0,HLOOKUP(YEAR(K$3),Assumptions!$D$44:$H$45,2,FALSE))</f>
        <v/>
      </c>
      <c r="L6" s="10">
        <f>IF(L$3&lt;Assumptions!$D$11,0,HLOOKUP(YEAR(L$3),Assumptions!$D$44:$H$45,2,FALSE))</f>
        <v/>
      </c>
      <c r="M6" s="10">
        <f>IF(M$3&lt;Assumptions!$D$11,0,HLOOKUP(YEAR(M$3),Assumptions!$D$44:$H$45,2,FALSE))</f>
        <v/>
      </c>
      <c r="N6" s="10">
        <f>IF(N$3&lt;Assumptions!$D$11,0,HLOOKUP(YEAR(N$3),Assumptions!$D$44:$H$45,2,FALSE))</f>
        <v/>
      </c>
      <c r="O6" s="10">
        <f>IF(O$3&lt;Assumptions!$D$11,0,HLOOKUP(YEAR(O$3),Assumptions!$D$44:$H$45,2,FALSE))</f>
        <v/>
      </c>
      <c r="P6" s="10">
        <f>IF(P$3&lt;Assumptions!$D$11,0,HLOOKUP(YEAR(P$3),Assumptions!$D$44:$H$45,2,FALSE))</f>
        <v/>
      </c>
      <c r="Q6" s="10">
        <f>IF(Q$3&lt;Assumptions!$D$11,0,HLOOKUP(YEAR(Q$3),Assumptions!$D$44:$H$45,2,FALSE))</f>
        <v/>
      </c>
      <c r="R6" s="10">
        <f>IF(R$3&lt;Assumptions!$D$11,0,HLOOKUP(YEAR(R$3),Assumptions!$D$44:$H$45,2,FALSE))</f>
        <v/>
      </c>
      <c r="S6" s="10">
        <f>IF(S$3&lt;Assumptions!$D$11,0,HLOOKUP(YEAR(S$3),Assumptions!$D$44:$H$45,2,FALSE))</f>
        <v/>
      </c>
      <c r="T6" s="10">
        <f>IF(T$3&lt;Assumptions!$D$11,0,HLOOKUP(YEAR(T$3),Assumptions!$D$44:$H$45,2,FALSE))</f>
        <v/>
      </c>
      <c r="U6" s="10">
        <f>IF(U$3&lt;Assumptions!$D$11,0,HLOOKUP(YEAR(U$3),Assumptions!$D$44:$H$45,2,FALSE))</f>
        <v/>
      </c>
      <c r="V6" s="10">
        <f>IF(V$3&lt;Assumptions!$D$11,0,HLOOKUP(YEAR(V$3),Assumptions!$D$44:$H$45,2,FALSE))</f>
        <v/>
      </c>
      <c r="W6" s="10">
        <f>IF(W$3&lt;Assumptions!$D$11,0,HLOOKUP(YEAR(W$3),Assumptions!$D$44:$H$45,2,FALSE))</f>
        <v/>
      </c>
      <c r="X6" s="10">
        <f>IF(X$3&lt;Assumptions!$D$11,0,HLOOKUP(YEAR(X$3),Assumptions!$D$44:$H$45,2,FALSE))</f>
        <v/>
      </c>
      <c r="Y6" s="10">
        <f>IF(Y$3&lt;Assumptions!$D$11,0,HLOOKUP(YEAR(Y$3),Assumptions!$D$44:$H$45,2,FALSE))</f>
        <v/>
      </c>
      <c r="Z6" s="10">
        <f>IF(Z$3&lt;Assumptions!$D$11,0,HLOOKUP(YEAR(Z$3),Assumptions!$D$44:$H$45,2,FALSE))</f>
        <v/>
      </c>
      <c r="AA6" s="10">
        <f>IF(AA$3&lt;Assumptions!$D$11,0,HLOOKUP(YEAR(AA$3),Assumptions!$D$44:$H$45,2,FALSE))</f>
        <v/>
      </c>
      <c r="AB6" s="10">
        <f>IF(AB$3&lt;Assumptions!$D$11,0,HLOOKUP(YEAR(AB$3),Assumptions!$D$44:$H$45,2,FALSE))</f>
        <v/>
      </c>
      <c r="AC6" s="10">
        <f>IF(AC$3&lt;Assumptions!$D$11,0,HLOOKUP(YEAR(AC$3),Assumptions!$D$44:$H$45,2,FALSE))</f>
        <v/>
      </c>
      <c r="AD6" s="10">
        <f>IF(AD$3&lt;Assumptions!$D$11,0,HLOOKUP(YEAR(AD$3),Assumptions!$D$44:$H$45,2,FALSE))</f>
        <v/>
      </c>
      <c r="AE6" s="10">
        <f>IF(AE$3&lt;Assumptions!$D$11,0,HLOOKUP(YEAR(AE$3),Assumptions!$D$44:$H$45,2,FALSE))</f>
        <v/>
      </c>
      <c r="AF6" s="10">
        <f>IF(AF$3&lt;Assumptions!$D$11,0,HLOOKUP(YEAR(AF$3),Assumptions!$D$44:$H$45,2,FALSE))</f>
        <v/>
      </c>
      <c r="AG6" s="10">
        <f>IF(AG$3&lt;Assumptions!$D$11,0,HLOOKUP(YEAR(AG$3),Assumptions!$D$44:$H$45,2,FALSE))</f>
        <v/>
      </c>
      <c r="AH6" s="10">
        <f>IF(AH$3&lt;Assumptions!$D$11,0,HLOOKUP(YEAR(AH$3),Assumptions!$D$44:$H$45,2,FALSE))</f>
        <v/>
      </c>
      <c r="AI6" s="10">
        <f>IF(AI$3&lt;Assumptions!$D$11,0,HLOOKUP(YEAR(AI$3),Assumptions!$D$44:$H$45,2,FALSE))</f>
        <v/>
      </c>
      <c r="AJ6" s="10">
        <f>IF(AJ$3&lt;Assumptions!$D$11,0,HLOOKUP(YEAR(AJ$3),Assumptions!$D$44:$H$45,2,FALSE))</f>
        <v/>
      </c>
      <c r="AK6" s="10">
        <f>IF(AK$3&lt;Assumptions!$D$11,0,HLOOKUP(YEAR(AK$3),Assumptions!$D$44:$H$45,2,FALSE))</f>
        <v/>
      </c>
      <c r="AL6" s="10">
        <f>IF(AL$3&lt;Assumptions!$D$11,0,HLOOKUP(YEAR(AL$3),Assumptions!$D$44:$H$45,2,FALSE))</f>
        <v/>
      </c>
      <c r="AM6" s="10">
        <f>IF(AM$3&lt;Assumptions!$D$11,0,HLOOKUP(YEAR(AM$3),Assumptions!$D$44:$H$45,2,FALSE))</f>
        <v/>
      </c>
      <c r="AN6" s="10">
        <f>IF(AN$3&lt;Assumptions!$D$11,0,HLOOKUP(YEAR(AN$3),Assumptions!$D$44:$H$45,2,FALSE))</f>
        <v/>
      </c>
      <c r="AO6" s="10">
        <f>IF(AO$3&lt;Assumptions!$D$11,0,HLOOKUP(YEAR(AO$3),Assumptions!$D$44:$H$45,2,FALSE))</f>
        <v/>
      </c>
      <c r="AP6" s="10">
        <f>IF(AP$3&lt;Assumptions!$D$11,0,HLOOKUP(YEAR(AP$3),Assumptions!$D$44:$H$45,2,FALSE))</f>
        <v/>
      </c>
      <c r="AQ6" s="10">
        <f>IF(AQ$3&lt;Assumptions!$D$11,0,HLOOKUP(YEAR(AQ$3),Assumptions!$D$44:$H$45,2,FALSE))</f>
        <v/>
      </c>
      <c r="AR6" s="10">
        <f>IF(AR$3&lt;Assumptions!$D$11,0,HLOOKUP(YEAR(AR$3),Assumptions!$D$44:$H$45,2,FALSE))</f>
        <v/>
      </c>
      <c r="AS6" s="10">
        <f>IF(AS$3&lt;Assumptions!$D$11,0,HLOOKUP(YEAR(AS$3),Assumptions!$D$44:$H$45,2,FALSE))</f>
        <v/>
      </c>
      <c r="AT6" s="10">
        <f>IF(AT$3&lt;Assumptions!$D$11,0,HLOOKUP(YEAR(AT$3),Assumptions!$D$44:$H$45,2,FALSE))</f>
        <v/>
      </c>
      <c r="AU6" s="10">
        <f>IF(AU$3&lt;Assumptions!$D$11,0,HLOOKUP(YEAR(AU$3),Assumptions!$D$44:$H$45,2,FALSE))</f>
        <v/>
      </c>
      <c r="AV6" s="10">
        <f>IF(AV$3&lt;Assumptions!$D$11,0,HLOOKUP(YEAR(AV$3),Assumptions!$D$44:$H$45,2,FALSE))</f>
        <v/>
      </c>
      <c r="AW6" s="10">
        <f>IF(AW$3&lt;Assumptions!$D$11,0,HLOOKUP(YEAR(AW$3),Assumptions!$D$44:$H$45,2,FALSE))</f>
        <v/>
      </c>
      <c r="AX6" s="10">
        <f>IF(AX$3&lt;Assumptions!$D$11,0,HLOOKUP(YEAR(AX$3),Assumptions!$D$44:$H$45,2,FALSE))</f>
        <v/>
      </c>
      <c r="AY6" s="10">
        <f>IF(AY$3&lt;Assumptions!$D$11,0,HLOOKUP(YEAR(AY$3),Assumptions!$D$44:$H$45,2,FALSE))</f>
        <v/>
      </c>
      <c r="AZ6" s="10">
        <f>IF(AZ$3&lt;Assumptions!$D$11,0,HLOOKUP(YEAR(AZ$3),Assumptions!$D$44:$H$45,2,FALSE))</f>
        <v/>
      </c>
      <c r="BA6" s="10">
        <f>IF(BA$3&lt;Assumptions!$D$11,0,HLOOKUP(YEAR(BA$3),Assumptions!$D$44:$H$45,2,FALSE))</f>
        <v/>
      </c>
      <c r="BB6" s="10">
        <f>IF(BB$3&lt;Assumptions!$D$11,0,HLOOKUP(YEAR(BB$3),Assumptions!$D$44:$H$45,2,FALSE))</f>
        <v/>
      </c>
      <c r="BC6" s="10">
        <f>IF(BC$3&lt;Assumptions!$D$11,0,HLOOKUP(YEAR(BC$3),Assumptions!$D$44:$H$45,2,FALSE))</f>
        <v/>
      </c>
      <c r="BD6" s="10">
        <f>IF(BD$3&lt;Assumptions!$D$11,0,HLOOKUP(YEAR(BD$3),Assumptions!$D$44:$H$45,2,FALSE))</f>
        <v/>
      </c>
      <c r="BE6" s="10">
        <f>IF(BE$3&lt;Assumptions!$D$11,0,HLOOKUP(YEAR(BE$3),Assumptions!$D$44:$H$45,2,FALSE))</f>
        <v/>
      </c>
      <c r="BF6" s="10">
        <f>IF(BF$3&lt;Assumptions!$D$11,0,HLOOKUP(YEAR(BF$3),Assumptions!$D$44:$H$45,2,FALSE))</f>
        <v/>
      </c>
      <c r="BG6" s="10">
        <f>IF(BG$3&lt;Assumptions!$D$11,0,HLOOKUP(YEAR(BG$3),Assumptions!$D$44:$H$45,2,FALSE))</f>
        <v/>
      </c>
      <c r="BH6" s="10">
        <f>IF(BH$3&lt;Assumptions!$D$11,0,HLOOKUP(YEAR(BH$3),Assumptions!$D$44:$H$45,2,FALSE))</f>
        <v/>
      </c>
      <c r="BI6" s="10">
        <f>IF(BI$3&lt;Assumptions!$D$11,0,HLOOKUP(YEAR(BI$3),Assumptions!$D$44:$H$45,2,FALSE))</f>
        <v/>
      </c>
      <c r="BJ6" s="10">
        <f>IF(BJ$3&lt;Assumptions!$D$11,0,HLOOKUP(YEAR(BJ$3),Assumptions!$D$44:$H$45,2,FALSE))</f>
        <v/>
      </c>
      <c r="BK6" s="10">
        <f>IF(BK$3&lt;Assumptions!$D$11,0,HLOOKUP(YEAR(BK$3),Assumptions!$D$44:$H$45,2,FALSE))</f>
        <v/>
      </c>
      <c r="BL6" s="10">
        <f>IF(BL$3&lt;Assumptions!$D$11,0,HLOOKUP(YEAR(BL$3),Assumptions!$D$44:$H$45,2,FALSE))</f>
        <v/>
      </c>
      <c r="BN6" s="50">
        <f>SUM(E6:P6)</f>
        <v/>
      </c>
      <c r="BO6" s="50">
        <f>SUM(Q6:AB6)</f>
        <v/>
      </c>
      <c r="BP6" s="50">
        <f>SUM(AC6:AN6)</f>
        <v/>
      </c>
      <c r="BQ6" s="50">
        <f>SUM(AO6:AZ6)</f>
        <v/>
      </c>
      <c r="BR6" s="50">
        <f>SUM(BA6:BL6)</f>
        <v/>
      </c>
      <c r="BT6" s="32" t="inlineStr">
        <is>
          <t>from the Assumptions year table</t>
        </is>
      </c>
    </row>
    <row r="7">
      <c r="B7" s="6" t="inlineStr">
        <is>
          <t>Installed base at start of month</t>
        </is>
      </c>
      <c r="C7" s="17" t="inlineStr">
        <is>
          <t>units</t>
        </is>
      </c>
      <c r="E7" s="9">
        <f>0</f>
        <v/>
      </c>
      <c r="F7" s="9">
        <f>E41</f>
        <v/>
      </c>
      <c r="G7" s="9">
        <f>F41</f>
        <v/>
      </c>
      <c r="H7" s="9">
        <f>G41</f>
        <v/>
      </c>
      <c r="I7" s="9">
        <f>H41</f>
        <v/>
      </c>
      <c r="J7" s="9">
        <f>I41</f>
        <v/>
      </c>
      <c r="K7" s="9">
        <f>J41</f>
        <v/>
      </c>
      <c r="L7" s="9">
        <f>K41</f>
        <v/>
      </c>
      <c r="M7" s="9">
        <f>L41</f>
        <v/>
      </c>
      <c r="N7" s="9">
        <f>M41</f>
        <v/>
      </c>
      <c r="O7" s="9">
        <f>N41</f>
        <v/>
      </c>
      <c r="P7" s="9">
        <f>O41</f>
        <v/>
      </c>
      <c r="Q7" s="9">
        <f>P41</f>
        <v/>
      </c>
      <c r="R7" s="9">
        <f>Q41</f>
        <v/>
      </c>
      <c r="S7" s="9">
        <f>R41</f>
        <v/>
      </c>
      <c r="T7" s="9">
        <f>S41</f>
        <v/>
      </c>
      <c r="U7" s="9">
        <f>T41</f>
        <v/>
      </c>
      <c r="V7" s="9">
        <f>U41</f>
        <v/>
      </c>
      <c r="W7" s="9">
        <f>V41</f>
        <v/>
      </c>
      <c r="X7" s="9">
        <f>W41</f>
        <v/>
      </c>
      <c r="Y7" s="9">
        <f>X41</f>
        <v/>
      </c>
      <c r="Z7" s="9">
        <f>Y41</f>
        <v/>
      </c>
      <c r="AA7" s="9">
        <f>Z41</f>
        <v/>
      </c>
      <c r="AB7" s="9">
        <f>AA41</f>
        <v/>
      </c>
      <c r="AC7" s="9">
        <f>AB41</f>
        <v/>
      </c>
      <c r="AD7" s="9">
        <f>AC41</f>
        <v/>
      </c>
      <c r="AE7" s="9">
        <f>AD41</f>
        <v/>
      </c>
      <c r="AF7" s="9">
        <f>AE41</f>
        <v/>
      </c>
      <c r="AG7" s="9">
        <f>AF41</f>
        <v/>
      </c>
      <c r="AH7" s="9">
        <f>AG41</f>
        <v/>
      </c>
      <c r="AI7" s="9">
        <f>AH41</f>
        <v/>
      </c>
      <c r="AJ7" s="9">
        <f>AI41</f>
        <v/>
      </c>
      <c r="AK7" s="9">
        <f>AJ41</f>
        <v/>
      </c>
      <c r="AL7" s="9">
        <f>AK41</f>
        <v/>
      </c>
      <c r="AM7" s="9">
        <f>AL41</f>
        <v/>
      </c>
      <c r="AN7" s="9">
        <f>AM41</f>
        <v/>
      </c>
      <c r="AO7" s="9">
        <f>AN41</f>
        <v/>
      </c>
      <c r="AP7" s="9">
        <f>AO41</f>
        <v/>
      </c>
      <c r="AQ7" s="9">
        <f>AP41</f>
        <v/>
      </c>
      <c r="AR7" s="9">
        <f>AQ41</f>
        <v/>
      </c>
      <c r="AS7" s="9">
        <f>AR41</f>
        <v/>
      </c>
      <c r="AT7" s="9">
        <f>AS41</f>
        <v/>
      </c>
      <c r="AU7" s="9">
        <f>AT41</f>
        <v/>
      </c>
      <c r="AV7" s="9">
        <f>AU41</f>
        <v/>
      </c>
      <c r="AW7" s="9">
        <f>AV41</f>
        <v/>
      </c>
      <c r="AX7" s="9">
        <f>AW41</f>
        <v/>
      </c>
      <c r="AY7" s="9">
        <f>AX41</f>
        <v/>
      </c>
      <c r="AZ7" s="9">
        <f>AY41</f>
        <v/>
      </c>
      <c r="BA7" s="9">
        <f>AZ41</f>
        <v/>
      </c>
      <c r="BB7" s="9">
        <f>BA41</f>
        <v/>
      </c>
      <c r="BC7" s="9">
        <f>BB41</f>
        <v/>
      </c>
      <c r="BD7" s="9">
        <f>BC41</f>
        <v/>
      </c>
      <c r="BE7" s="9">
        <f>BD41</f>
        <v/>
      </c>
      <c r="BF7" s="9">
        <f>BE41</f>
        <v/>
      </c>
      <c r="BG7" s="9">
        <f>BF41</f>
        <v/>
      </c>
      <c r="BH7" s="9">
        <f>BG41</f>
        <v/>
      </c>
      <c r="BI7" s="9">
        <f>BH41</f>
        <v/>
      </c>
      <c r="BJ7" s="9">
        <f>BI41</f>
        <v/>
      </c>
      <c r="BK7" s="9">
        <f>BJ41</f>
        <v/>
      </c>
      <c r="BL7" s="9">
        <f>BK41</f>
        <v/>
      </c>
      <c r="BN7" s="60">
        <f>P7</f>
        <v/>
      </c>
      <c r="BO7" s="60">
        <f>AB7</f>
        <v/>
      </c>
      <c r="BP7" s="60">
        <f>AN7</f>
        <v/>
      </c>
      <c r="BQ7" s="60">
        <f>AZ7</f>
        <v/>
      </c>
      <c r="BR7" s="60">
        <f>BL7</f>
        <v/>
      </c>
    </row>
    <row r="8">
      <c r="B8" s="6" t="inlineStr">
        <is>
          <t>Cost per lead</t>
        </is>
      </c>
      <c r="C8" s="17" t="inlineStr">
        <is>
          <t>EUR</t>
        </is>
      </c>
      <c r="E8" s="10">
        <f>Assumptions!$D$47</f>
        <v/>
      </c>
      <c r="F8" s="10">
        <f>Assumptions!$D$47</f>
        <v/>
      </c>
      <c r="G8" s="10">
        <f>Assumptions!$D$47</f>
        <v/>
      </c>
      <c r="H8" s="10">
        <f>Assumptions!$D$47</f>
        <v/>
      </c>
      <c r="I8" s="10">
        <f>Assumptions!$D$47</f>
        <v/>
      </c>
      <c r="J8" s="10">
        <f>Assumptions!$D$47</f>
        <v/>
      </c>
      <c r="K8" s="10">
        <f>Assumptions!$D$47</f>
        <v/>
      </c>
      <c r="L8" s="10">
        <f>Assumptions!$D$47</f>
        <v/>
      </c>
      <c r="M8" s="10">
        <f>Assumptions!$D$47</f>
        <v/>
      </c>
      <c r="N8" s="10">
        <f>Assumptions!$D$47</f>
        <v/>
      </c>
      <c r="O8" s="10">
        <f>Assumptions!$D$47</f>
        <v/>
      </c>
      <c r="P8" s="10">
        <f>Assumptions!$D$47</f>
        <v/>
      </c>
      <c r="Q8" s="10">
        <f>Assumptions!$D$47</f>
        <v/>
      </c>
      <c r="R8" s="10">
        <f>Assumptions!$D$47</f>
        <v/>
      </c>
      <c r="S8" s="10">
        <f>Assumptions!$D$47</f>
        <v/>
      </c>
      <c r="T8" s="10">
        <f>Assumptions!$D$47</f>
        <v/>
      </c>
      <c r="U8" s="10">
        <f>Assumptions!$D$47</f>
        <v/>
      </c>
      <c r="V8" s="10">
        <f>Assumptions!$D$47</f>
        <v/>
      </c>
      <c r="W8" s="10">
        <f>Assumptions!$D$47</f>
        <v/>
      </c>
      <c r="X8" s="10">
        <f>Assumptions!$D$47</f>
        <v/>
      </c>
      <c r="Y8" s="10">
        <f>Assumptions!$D$47</f>
        <v/>
      </c>
      <c r="Z8" s="10">
        <f>Assumptions!$D$47</f>
        <v/>
      </c>
      <c r="AA8" s="10">
        <f>Assumptions!$D$47</f>
        <v/>
      </c>
      <c r="AB8" s="10">
        <f>Assumptions!$D$47</f>
        <v/>
      </c>
      <c r="AC8" s="10">
        <f>Assumptions!$D$47</f>
        <v/>
      </c>
      <c r="AD8" s="10">
        <f>Assumptions!$D$47</f>
        <v/>
      </c>
      <c r="AE8" s="10">
        <f>Assumptions!$D$47</f>
        <v/>
      </c>
      <c r="AF8" s="10">
        <f>Assumptions!$D$47</f>
        <v/>
      </c>
      <c r="AG8" s="10">
        <f>Assumptions!$D$47</f>
        <v/>
      </c>
      <c r="AH8" s="10">
        <f>Assumptions!$D$47</f>
        <v/>
      </c>
      <c r="AI8" s="10">
        <f>Assumptions!$D$47</f>
        <v/>
      </c>
      <c r="AJ8" s="10">
        <f>Assumptions!$D$47</f>
        <v/>
      </c>
      <c r="AK8" s="10">
        <f>Assumptions!$D$47</f>
        <v/>
      </c>
      <c r="AL8" s="10">
        <f>Assumptions!$D$47</f>
        <v/>
      </c>
      <c r="AM8" s="10">
        <f>Assumptions!$D$47</f>
        <v/>
      </c>
      <c r="AN8" s="10">
        <f>Assumptions!$D$47</f>
        <v/>
      </c>
      <c r="AO8" s="10">
        <f>Assumptions!$D$47</f>
        <v/>
      </c>
      <c r="AP8" s="10">
        <f>Assumptions!$D$47</f>
        <v/>
      </c>
      <c r="AQ8" s="10">
        <f>Assumptions!$D$47</f>
        <v/>
      </c>
      <c r="AR8" s="10">
        <f>Assumptions!$D$47</f>
        <v/>
      </c>
      <c r="AS8" s="10">
        <f>Assumptions!$D$47</f>
        <v/>
      </c>
      <c r="AT8" s="10">
        <f>Assumptions!$D$47</f>
        <v/>
      </c>
      <c r="AU8" s="10">
        <f>Assumptions!$D$47</f>
        <v/>
      </c>
      <c r="AV8" s="10">
        <f>Assumptions!$D$47</f>
        <v/>
      </c>
      <c r="AW8" s="10">
        <f>Assumptions!$D$47</f>
        <v/>
      </c>
      <c r="AX8" s="10">
        <f>Assumptions!$D$47</f>
        <v/>
      </c>
      <c r="AY8" s="10">
        <f>Assumptions!$D$47</f>
        <v/>
      </c>
      <c r="AZ8" s="10">
        <f>Assumptions!$D$47</f>
        <v/>
      </c>
      <c r="BA8" s="10">
        <f>Assumptions!$D$47</f>
        <v/>
      </c>
      <c r="BB8" s="10">
        <f>Assumptions!$D$47</f>
        <v/>
      </c>
      <c r="BC8" s="10">
        <f>Assumptions!$D$47</f>
        <v/>
      </c>
      <c r="BD8" s="10">
        <f>Assumptions!$D$47</f>
        <v/>
      </c>
      <c r="BE8" s="10">
        <f>Assumptions!$D$47</f>
        <v/>
      </c>
      <c r="BF8" s="10">
        <f>Assumptions!$D$47</f>
        <v/>
      </c>
      <c r="BG8" s="10">
        <f>Assumptions!$D$47</f>
        <v/>
      </c>
      <c r="BH8" s="10">
        <f>Assumptions!$D$47</f>
        <v/>
      </c>
      <c r="BI8" s="10">
        <f>Assumptions!$D$47</f>
        <v/>
      </c>
      <c r="BJ8" s="10">
        <f>Assumptions!$D$47</f>
        <v/>
      </c>
      <c r="BK8" s="10">
        <f>Assumptions!$D$47</f>
        <v/>
      </c>
      <c r="BL8" s="10">
        <f>Assumptions!$D$47</f>
        <v/>
      </c>
      <c r="BN8" s="50">
        <f>IFERROR(AVERAGE(E8:P8),0)</f>
        <v/>
      </c>
      <c r="BO8" s="50">
        <f>IFERROR(AVERAGE(Q8:AB8),0)</f>
        <v/>
      </c>
      <c r="BP8" s="50">
        <f>IFERROR(AVERAGE(AC8:AN8),0)</f>
        <v/>
      </c>
      <c r="BQ8" s="50">
        <f>IFERROR(AVERAGE(AO8:AZ8),0)</f>
        <v/>
      </c>
      <c r="BR8" s="50">
        <f>IFERROR(AVERAGE(BA8:BL8),0)</f>
        <v/>
      </c>
      <c r="BT8" s="32" t="inlineStr">
        <is>
          <t>held flat: marketing per unit only falls as installers bring in more of the orders</t>
        </is>
      </c>
    </row>
    <row r="9">
      <c r="B9" s="6" t="inlineStr">
        <is>
          <t>Qualified leads</t>
        </is>
      </c>
      <c r="C9" s="17" t="inlineStr">
        <is>
          <t>leads</t>
        </is>
      </c>
      <c r="E9" s="9">
        <f>IFERROR(E6/E8,0)*Assumptions!$D$48</f>
        <v/>
      </c>
      <c r="F9" s="9">
        <f>IFERROR(F6/F8,0)*Assumptions!$D$48</f>
        <v/>
      </c>
      <c r="G9" s="9">
        <f>IFERROR(G6/G8,0)*Assumptions!$D$48</f>
        <v/>
      </c>
      <c r="H9" s="9">
        <f>IFERROR(H6/H8,0)*Assumptions!$D$48</f>
        <v/>
      </c>
      <c r="I9" s="9">
        <f>IFERROR(I6/I8,0)*Assumptions!$D$48</f>
        <v/>
      </c>
      <c r="J9" s="9">
        <f>IFERROR(J6/J8,0)*Assumptions!$D$48</f>
        <v/>
      </c>
      <c r="K9" s="9">
        <f>IFERROR(K6/K8,0)*Assumptions!$D$48</f>
        <v/>
      </c>
      <c r="L9" s="9">
        <f>IFERROR(L6/L8,0)*Assumptions!$D$48</f>
        <v/>
      </c>
      <c r="M9" s="9">
        <f>IFERROR(M6/M8,0)*Assumptions!$D$48</f>
        <v/>
      </c>
      <c r="N9" s="9">
        <f>IFERROR(N6/N8,0)*Assumptions!$D$48</f>
        <v/>
      </c>
      <c r="O9" s="9">
        <f>IFERROR(O6/O8,0)*Assumptions!$D$48</f>
        <v/>
      </c>
      <c r="P9" s="9">
        <f>IFERROR(P6/P8,0)*Assumptions!$D$48</f>
        <v/>
      </c>
      <c r="Q9" s="9">
        <f>IFERROR(Q6/Q8,0)*Assumptions!$D$48</f>
        <v/>
      </c>
      <c r="R9" s="9">
        <f>IFERROR(R6/R8,0)*Assumptions!$D$48</f>
        <v/>
      </c>
      <c r="S9" s="9">
        <f>IFERROR(S6/S8,0)*Assumptions!$D$48</f>
        <v/>
      </c>
      <c r="T9" s="9">
        <f>IFERROR(T6/T8,0)*Assumptions!$D$48</f>
        <v/>
      </c>
      <c r="U9" s="9">
        <f>IFERROR(U6/U8,0)*Assumptions!$D$48</f>
        <v/>
      </c>
      <c r="V9" s="9">
        <f>IFERROR(V6/V8,0)*Assumptions!$D$48</f>
        <v/>
      </c>
      <c r="W9" s="9">
        <f>IFERROR(W6/W8,0)*Assumptions!$D$48</f>
        <v/>
      </c>
      <c r="X9" s="9">
        <f>IFERROR(X6/X8,0)*Assumptions!$D$48</f>
        <v/>
      </c>
      <c r="Y9" s="9">
        <f>IFERROR(Y6/Y8,0)*Assumptions!$D$48</f>
        <v/>
      </c>
      <c r="Z9" s="9">
        <f>IFERROR(Z6/Z8,0)*Assumptions!$D$48</f>
        <v/>
      </c>
      <c r="AA9" s="9">
        <f>IFERROR(AA6/AA8,0)*Assumptions!$D$48</f>
        <v/>
      </c>
      <c r="AB9" s="9">
        <f>IFERROR(AB6/AB8,0)*Assumptions!$D$48</f>
        <v/>
      </c>
      <c r="AC9" s="9">
        <f>IFERROR(AC6/AC8,0)*Assumptions!$D$48</f>
        <v/>
      </c>
      <c r="AD9" s="9">
        <f>IFERROR(AD6/AD8,0)*Assumptions!$D$48</f>
        <v/>
      </c>
      <c r="AE9" s="9">
        <f>IFERROR(AE6/AE8,0)*Assumptions!$D$48</f>
        <v/>
      </c>
      <c r="AF9" s="9">
        <f>IFERROR(AF6/AF8,0)*Assumptions!$D$48</f>
        <v/>
      </c>
      <c r="AG9" s="9">
        <f>IFERROR(AG6/AG8,0)*Assumptions!$D$48</f>
        <v/>
      </c>
      <c r="AH9" s="9">
        <f>IFERROR(AH6/AH8,0)*Assumptions!$D$48</f>
        <v/>
      </c>
      <c r="AI9" s="9">
        <f>IFERROR(AI6/AI8,0)*Assumptions!$D$48</f>
        <v/>
      </c>
      <c r="AJ9" s="9">
        <f>IFERROR(AJ6/AJ8,0)*Assumptions!$D$48</f>
        <v/>
      </c>
      <c r="AK9" s="9">
        <f>IFERROR(AK6/AK8,0)*Assumptions!$D$48</f>
        <v/>
      </c>
      <c r="AL9" s="9">
        <f>IFERROR(AL6/AL8,0)*Assumptions!$D$48</f>
        <v/>
      </c>
      <c r="AM9" s="9">
        <f>IFERROR(AM6/AM8,0)*Assumptions!$D$48</f>
        <v/>
      </c>
      <c r="AN9" s="9">
        <f>IFERROR(AN6/AN8,0)*Assumptions!$D$48</f>
        <v/>
      </c>
      <c r="AO9" s="9">
        <f>IFERROR(AO6/AO8,0)*Assumptions!$D$48</f>
        <v/>
      </c>
      <c r="AP9" s="9">
        <f>IFERROR(AP6/AP8,0)*Assumptions!$D$48</f>
        <v/>
      </c>
      <c r="AQ9" s="9">
        <f>IFERROR(AQ6/AQ8,0)*Assumptions!$D$48</f>
        <v/>
      </c>
      <c r="AR9" s="9">
        <f>IFERROR(AR6/AR8,0)*Assumptions!$D$48</f>
        <v/>
      </c>
      <c r="AS9" s="9">
        <f>IFERROR(AS6/AS8,0)*Assumptions!$D$48</f>
        <v/>
      </c>
      <c r="AT9" s="9">
        <f>IFERROR(AT6/AT8,0)*Assumptions!$D$48</f>
        <v/>
      </c>
      <c r="AU9" s="9">
        <f>IFERROR(AU6/AU8,0)*Assumptions!$D$48</f>
        <v/>
      </c>
      <c r="AV9" s="9">
        <f>IFERROR(AV6/AV8,0)*Assumptions!$D$48</f>
        <v/>
      </c>
      <c r="AW9" s="9">
        <f>IFERROR(AW6/AW8,0)*Assumptions!$D$48</f>
        <v/>
      </c>
      <c r="AX9" s="9">
        <f>IFERROR(AX6/AX8,0)*Assumptions!$D$48</f>
        <v/>
      </c>
      <c r="AY9" s="9">
        <f>IFERROR(AY6/AY8,0)*Assumptions!$D$48</f>
        <v/>
      </c>
      <c r="AZ9" s="9">
        <f>IFERROR(AZ6/AZ8,0)*Assumptions!$D$48</f>
        <v/>
      </c>
      <c r="BA9" s="9">
        <f>IFERROR(BA6/BA8,0)*Assumptions!$D$48</f>
        <v/>
      </c>
      <c r="BB9" s="9">
        <f>IFERROR(BB6/BB8,0)*Assumptions!$D$48</f>
        <v/>
      </c>
      <c r="BC9" s="9">
        <f>IFERROR(BC6/BC8,0)*Assumptions!$D$48</f>
        <v/>
      </c>
      <c r="BD9" s="9">
        <f>IFERROR(BD6/BD8,0)*Assumptions!$D$48</f>
        <v/>
      </c>
      <c r="BE9" s="9">
        <f>IFERROR(BE6/BE8,0)*Assumptions!$D$48</f>
        <v/>
      </c>
      <c r="BF9" s="9">
        <f>IFERROR(BF6/BF8,0)*Assumptions!$D$48</f>
        <v/>
      </c>
      <c r="BG9" s="9">
        <f>IFERROR(BG6/BG8,0)*Assumptions!$D$48</f>
        <v/>
      </c>
      <c r="BH9" s="9">
        <f>IFERROR(BH6/BH8,0)*Assumptions!$D$48</f>
        <v/>
      </c>
      <c r="BI9" s="9">
        <f>IFERROR(BI6/BI8,0)*Assumptions!$D$48</f>
        <v/>
      </c>
      <c r="BJ9" s="9">
        <f>IFERROR(BJ6/BJ8,0)*Assumptions!$D$48</f>
        <v/>
      </c>
      <c r="BK9" s="9">
        <f>IFERROR(BK6/BK8,0)*Assumptions!$D$48</f>
        <v/>
      </c>
      <c r="BL9" s="9">
        <f>IFERROR(BL6/BL8,0)*Assumptions!$D$48</f>
        <v/>
      </c>
      <c r="BN9" s="60">
        <f>SUM(E9:P9)</f>
        <v/>
      </c>
      <c r="BO9" s="60">
        <f>SUM(Q9:AB9)</f>
        <v/>
      </c>
      <c r="BP9" s="60">
        <f>SUM(AC9:AN9)</f>
        <v/>
      </c>
      <c r="BQ9" s="60">
        <f>SUM(AO9:AZ9)</f>
        <v/>
      </c>
      <c r="BR9" s="60">
        <f>SUM(BA9:BL9)</f>
        <v/>
      </c>
      <c r="BT9" s="32" t="inlineStr">
        <is>
          <t>marketing spend divided by cost per lead, then the lead to qualified rate</t>
        </is>
      </c>
    </row>
    <row r="10">
      <c r="B10" s="6" t="inlineStr">
        <is>
          <t>Orders the funnel generates</t>
        </is>
      </c>
      <c r="C10" s="17" t="inlineStr">
        <is>
          <t>units</t>
        </is>
      </c>
      <c r="E10" s="9">
        <f>E9*Assumptions!$D$49</f>
        <v/>
      </c>
      <c r="F10" s="9">
        <f>F9*Assumptions!$D$49</f>
        <v/>
      </c>
      <c r="G10" s="9">
        <f>G9*Assumptions!$D$49</f>
        <v/>
      </c>
      <c r="H10" s="9">
        <f>H9*Assumptions!$D$49</f>
        <v/>
      </c>
      <c r="I10" s="9">
        <f>I9*Assumptions!$D$49</f>
        <v/>
      </c>
      <c r="J10" s="9">
        <f>J9*Assumptions!$D$49</f>
        <v/>
      </c>
      <c r="K10" s="9">
        <f>K9*Assumptions!$D$49</f>
        <v/>
      </c>
      <c r="L10" s="9">
        <f>L9*Assumptions!$D$49</f>
        <v/>
      </c>
      <c r="M10" s="9">
        <f>M9*Assumptions!$D$49</f>
        <v/>
      </c>
      <c r="N10" s="9">
        <f>N9*Assumptions!$D$49</f>
        <v/>
      </c>
      <c r="O10" s="9">
        <f>O9*Assumptions!$D$49</f>
        <v/>
      </c>
      <c r="P10" s="9">
        <f>P9*Assumptions!$D$49</f>
        <v/>
      </c>
      <c r="Q10" s="9">
        <f>Q9*Assumptions!$D$49</f>
        <v/>
      </c>
      <c r="R10" s="9">
        <f>R9*Assumptions!$D$49</f>
        <v/>
      </c>
      <c r="S10" s="9">
        <f>S9*Assumptions!$D$49</f>
        <v/>
      </c>
      <c r="T10" s="9">
        <f>T9*Assumptions!$D$49</f>
        <v/>
      </c>
      <c r="U10" s="9">
        <f>U9*Assumptions!$D$49</f>
        <v/>
      </c>
      <c r="V10" s="9">
        <f>V9*Assumptions!$D$49</f>
        <v/>
      </c>
      <c r="W10" s="9">
        <f>W9*Assumptions!$D$49</f>
        <v/>
      </c>
      <c r="X10" s="9">
        <f>X9*Assumptions!$D$49</f>
        <v/>
      </c>
      <c r="Y10" s="9">
        <f>Y9*Assumptions!$D$49</f>
        <v/>
      </c>
      <c r="Z10" s="9">
        <f>Z9*Assumptions!$D$49</f>
        <v/>
      </c>
      <c r="AA10" s="9">
        <f>AA9*Assumptions!$D$49</f>
        <v/>
      </c>
      <c r="AB10" s="9">
        <f>AB9*Assumptions!$D$49</f>
        <v/>
      </c>
      <c r="AC10" s="9">
        <f>AC9*Assumptions!$D$49</f>
        <v/>
      </c>
      <c r="AD10" s="9">
        <f>AD9*Assumptions!$D$49</f>
        <v/>
      </c>
      <c r="AE10" s="9">
        <f>AE9*Assumptions!$D$49</f>
        <v/>
      </c>
      <c r="AF10" s="9">
        <f>AF9*Assumptions!$D$49</f>
        <v/>
      </c>
      <c r="AG10" s="9">
        <f>AG9*Assumptions!$D$49</f>
        <v/>
      </c>
      <c r="AH10" s="9">
        <f>AH9*Assumptions!$D$49</f>
        <v/>
      </c>
      <c r="AI10" s="9">
        <f>AI9*Assumptions!$D$49</f>
        <v/>
      </c>
      <c r="AJ10" s="9">
        <f>AJ9*Assumptions!$D$49</f>
        <v/>
      </c>
      <c r="AK10" s="9">
        <f>AK9*Assumptions!$D$49</f>
        <v/>
      </c>
      <c r="AL10" s="9">
        <f>AL9*Assumptions!$D$49</f>
        <v/>
      </c>
      <c r="AM10" s="9">
        <f>AM9*Assumptions!$D$49</f>
        <v/>
      </c>
      <c r="AN10" s="9">
        <f>AN9*Assumptions!$D$49</f>
        <v/>
      </c>
      <c r="AO10" s="9">
        <f>AO9*Assumptions!$D$49</f>
        <v/>
      </c>
      <c r="AP10" s="9">
        <f>AP9*Assumptions!$D$49</f>
        <v/>
      </c>
      <c r="AQ10" s="9">
        <f>AQ9*Assumptions!$D$49</f>
        <v/>
      </c>
      <c r="AR10" s="9">
        <f>AR9*Assumptions!$D$49</f>
        <v/>
      </c>
      <c r="AS10" s="9">
        <f>AS9*Assumptions!$D$49</f>
        <v/>
      </c>
      <c r="AT10" s="9">
        <f>AT9*Assumptions!$D$49</f>
        <v/>
      </c>
      <c r="AU10" s="9">
        <f>AU9*Assumptions!$D$49</f>
        <v/>
      </c>
      <c r="AV10" s="9">
        <f>AV9*Assumptions!$D$49</f>
        <v/>
      </c>
      <c r="AW10" s="9">
        <f>AW9*Assumptions!$D$49</f>
        <v/>
      </c>
      <c r="AX10" s="9">
        <f>AX9*Assumptions!$D$49</f>
        <v/>
      </c>
      <c r="AY10" s="9">
        <f>AY9*Assumptions!$D$49</f>
        <v/>
      </c>
      <c r="AZ10" s="9">
        <f>AZ9*Assumptions!$D$49</f>
        <v/>
      </c>
      <c r="BA10" s="9">
        <f>BA9*Assumptions!$D$49</f>
        <v/>
      </c>
      <c r="BB10" s="9">
        <f>BB9*Assumptions!$D$49</f>
        <v/>
      </c>
      <c r="BC10" s="9">
        <f>BC9*Assumptions!$D$49</f>
        <v/>
      </c>
      <c r="BD10" s="9">
        <f>BD9*Assumptions!$D$49</f>
        <v/>
      </c>
      <c r="BE10" s="9">
        <f>BE9*Assumptions!$D$49</f>
        <v/>
      </c>
      <c r="BF10" s="9">
        <f>BF9*Assumptions!$D$49</f>
        <v/>
      </c>
      <c r="BG10" s="9">
        <f>BG9*Assumptions!$D$49</f>
        <v/>
      </c>
      <c r="BH10" s="9">
        <f>BH9*Assumptions!$D$49</f>
        <v/>
      </c>
      <c r="BI10" s="9">
        <f>BI9*Assumptions!$D$49</f>
        <v/>
      </c>
      <c r="BJ10" s="9">
        <f>BJ9*Assumptions!$D$49</f>
        <v/>
      </c>
      <c r="BK10" s="9">
        <f>BK9*Assumptions!$D$49</f>
        <v/>
      </c>
      <c r="BL10" s="9">
        <f>BL9*Assumptions!$D$49</f>
        <v/>
      </c>
      <c r="BN10" s="60">
        <f>SUM(E10:P10)</f>
        <v/>
      </c>
      <c r="BO10" s="60">
        <f>SUM(Q10:AB10)</f>
        <v/>
      </c>
      <c r="BP10" s="60">
        <f>SUM(AC10:AN10)</f>
        <v/>
      </c>
      <c r="BQ10" s="60">
        <f>SUM(AO10:AZ10)</f>
        <v/>
      </c>
      <c r="BR10" s="60">
        <f>SUM(BA10:BL10)</f>
        <v/>
      </c>
    </row>
    <row r="11">
      <c r="B11" s="6" t="inlineStr">
        <is>
          <t>Orders installer partners bring in</t>
        </is>
      </c>
      <c r="C11" s="17" t="inlineStr">
        <is>
          <t>units</t>
        </is>
      </c>
      <c r="E11" s="9">
        <f>E20*HLOOKUP(YEAR(E$3),Assumptions!$D$57:$H$58,2,FALSE)</f>
        <v/>
      </c>
      <c r="F11" s="9">
        <f>F20*HLOOKUP(YEAR(F$3),Assumptions!$D$57:$H$58,2,FALSE)</f>
        <v/>
      </c>
      <c r="G11" s="9">
        <f>G20*HLOOKUP(YEAR(G$3),Assumptions!$D$57:$H$58,2,FALSE)</f>
        <v/>
      </c>
      <c r="H11" s="9">
        <f>H20*HLOOKUP(YEAR(H$3),Assumptions!$D$57:$H$58,2,FALSE)</f>
        <v/>
      </c>
      <c r="I11" s="9">
        <f>I20*HLOOKUP(YEAR(I$3),Assumptions!$D$57:$H$58,2,FALSE)</f>
        <v/>
      </c>
      <c r="J11" s="9">
        <f>J20*HLOOKUP(YEAR(J$3),Assumptions!$D$57:$H$58,2,FALSE)</f>
        <v/>
      </c>
      <c r="K11" s="9">
        <f>K20*HLOOKUP(YEAR(K$3),Assumptions!$D$57:$H$58,2,FALSE)</f>
        <v/>
      </c>
      <c r="L11" s="9">
        <f>L20*HLOOKUP(YEAR(L$3),Assumptions!$D$57:$H$58,2,FALSE)</f>
        <v/>
      </c>
      <c r="M11" s="9">
        <f>M20*HLOOKUP(YEAR(M$3),Assumptions!$D$57:$H$58,2,FALSE)</f>
        <v/>
      </c>
      <c r="N11" s="9">
        <f>N20*HLOOKUP(YEAR(N$3),Assumptions!$D$57:$H$58,2,FALSE)</f>
        <v/>
      </c>
      <c r="O11" s="9">
        <f>O20*HLOOKUP(YEAR(O$3),Assumptions!$D$57:$H$58,2,FALSE)</f>
        <v/>
      </c>
      <c r="P11" s="9">
        <f>P20*HLOOKUP(YEAR(P$3),Assumptions!$D$57:$H$58,2,FALSE)</f>
        <v/>
      </c>
      <c r="Q11" s="9">
        <f>Q20*HLOOKUP(YEAR(Q$3),Assumptions!$D$57:$H$58,2,FALSE)</f>
        <v/>
      </c>
      <c r="R11" s="9">
        <f>R20*HLOOKUP(YEAR(R$3),Assumptions!$D$57:$H$58,2,FALSE)</f>
        <v/>
      </c>
      <c r="S11" s="9">
        <f>S20*HLOOKUP(YEAR(S$3),Assumptions!$D$57:$H$58,2,FALSE)</f>
        <v/>
      </c>
      <c r="T11" s="9">
        <f>T20*HLOOKUP(YEAR(T$3),Assumptions!$D$57:$H$58,2,FALSE)</f>
        <v/>
      </c>
      <c r="U11" s="9">
        <f>U20*HLOOKUP(YEAR(U$3),Assumptions!$D$57:$H$58,2,FALSE)</f>
        <v/>
      </c>
      <c r="V11" s="9">
        <f>V20*HLOOKUP(YEAR(V$3),Assumptions!$D$57:$H$58,2,FALSE)</f>
        <v/>
      </c>
      <c r="W11" s="9">
        <f>W20*HLOOKUP(YEAR(W$3),Assumptions!$D$57:$H$58,2,FALSE)</f>
        <v/>
      </c>
      <c r="X11" s="9">
        <f>X20*HLOOKUP(YEAR(X$3),Assumptions!$D$57:$H$58,2,FALSE)</f>
        <v/>
      </c>
      <c r="Y11" s="9">
        <f>Y20*HLOOKUP(YEAR(Y$3),Assumptions!$D$57:$H$58,2,FALSE)</f>
        <v/>
      </c>
      <c r="Z11" s="9">
        <f>Z20*HLOOKUP(YEAR(Z$3),Assumptions!$D$57:$H$58,2,FALSE)</f>
        <v/>
      </c>
      <c r="AA11" s="9">
        <f>AA20*HLOOKUP(YEAR(AA$3),Assumptions!$D$57:$H$58,2,FALSE)</f>
        <v/>
      </c>
      <c r="AB11" s="9">
        <f>AB20*HLOOKUP(YEAR(AB$3),Assumptions!$D$57:$H$58,2,FALSE)</f>
        <v/>
      </c>
      <c r="AC11" s="9">
        <f>AC20*HLOOKUP(YEAR(AC$3),Assumptions!$D$57:$H$58,2,FALSE)</f>
        <v/>
      </c>
      <c r="AD11" s="9">
        <f>AD20*HLOOKUP(YEAR(AD$3),Assumptions!$D$57:$H$58,2,FALSE)</f>
        <v/>
      </c>
      <c r="AE11" s="9">
        <f>AE20*HLOOKUP(YEAR(AE$3),Assumptions!$D$57:$H$58,2,FALSE)</f>
        <v/>
      </c>
      <c r="AF11" s="9">
        <f>AF20*HLOOKUP(YEAR(AF$3),Assumptions!$D$57:$H$58,2,FALSE)</f>
        <v/>
      </c>
      <c r="AG11" s="9">
        <f>AG20*HLOOKUP(YEAR(AG$3),Assumptions!$D$57:$H$58,2,FALSE)</f>
        <v/>
      </c>
      <c r="AH11" s="9">
        <f>AH20*HLOOKUP(YEAR(AH$3),Assumptions!$D$57:$H$58,2,FALSE)</f>
        <v/>
      </c>
      <c r="AI11" s="9">
        <f>AI20*HLOOKUP(YEAR(AI$3),Assumptions!$D$57:$H$58,2,FALSE)</f>
        <v/>
      </c>
      <c r="AJ11" s="9">
        <f>AJ20*HLOOKUP(YEAR(AJ$3),Assumptions!$D$57:$H$58,2,FALSE)</f>
        <v/>
      </c>
      <c r="AK11" s="9">
        <f>AK20*HLOOKUP(YEAR(AK$3),Assumptions!$D$57:$H$58,2,FALSE)</f>
        <v/>
      </c>
      <c r="AL11" s="9">
        <f>AL20*HLOOKUP(YEAR(AL$3),Assumptions!$D$57:$H$58,2,FALSE)</f>
        <v/>
      </c>
      <c r="AM11" s="9">
        <f>AM20*HLOOKUP(YEAR(AM$3),Assumptions!$D$57:$H$58,2,FALSE)</f>
        <v/>
      </c>
      <c r="AN11" s="9">
        <f>AN20*HLOOKUP(YEAR(AN$3),Assumptions!$D$57:$H$58,2,FALSE)</f>
        <v/>
      </c>
      <c r="AO11" s="9">
        <f>AO20*HLOOKUP(YEAR(AO$3),Assumptions!$D$57:$H$58,2,FALSE)</f>
        <v/>
      </c>
      <c r="AP11" s="9">
        <f>AP20*HLOOKUP(YEAR(AP$3),Assumptions!$D$57:$H$58,2,FALSE)</f>
        <v/>
      </c>
      <c r="AQ11" s="9">
        <f>AQ20*HLOOKUP(YEAR(AQ$3),Assumptions!$D$57:$H$58,2,FALSE)</f>
        <v/>
      </c>
      <c r="AR11" s="9">
        <f>AR20*HLOOKUP(YEAR(AR$3),Assumptions!$D$57:$H$58,2,FALSE)</f>
        <v/>
      </c>
      <c r="AS11" s="9">
        <f>AS20*HLOOKUP(YEAR(AS$3),Assumptions!$D$57:$H$58,2,FALSE)</f>
        <v/>
      </c>
      <c r="AT11" s="9">
        <f>AT20*HLOOKUP(YEAR(AT$3),Assumptions!$D$57:$H$58,2,FALSE)</f>
        <v/>
      </c>
      <c r="AU11" s="9">
        <f>AU20*HLOOKUP(YEAR(AU$3),Assumptions!$D$57:$H$58,2,FALSE)</f>
        <v/>
      </c>
      <c r="AV11" s="9">
        <f>AV20*HLOOKUP(YEAR(AV$3),Assumptions!$D$57:$H$58,2,FALSE)</f>
        <v/>
      </c>
      <c r="AW11" s="9">
        <f>AW20*HLOOKUP(YEAR(AW$3),Assumptions!$D$57:$H$58,2,FALSE)</f>
        <v/>
      </c>
      <c r="AX11" s="9">
        <f>AX20*HLOOKUP(YEAR(AX$3),Assumptions!$D$57:$H$58,2,FALSE)</f>
        <v/>
      </c>
      <c r="AY11" s="9">
        <f>AY20*HLOOKUP(YEAR(AY$3),Assumptions!$D$57:$H$58,2,FALSE)</f>
        <v/>
      </c>
      <c r="AZ11" s="9">
        <f>AZ20*HLOOKUP(YEAR(AZ$3),Assumptions!$D$57:$H$58,2,FALSE)</f>
        <v/>
      </c>
      <c r="BA11" s="9">
        <f>BA20*HLOOKUP(YEAR(BA$3),Assumptions!$D$57:$H$58,2,FALSE)</f>
        <v/>
      </c>
      <c r="BB11" s="9">
        <f>BB20*HLOOKUP(YEAR(BB$3),Assumptions!$D$57:$H$58,2,FALSE)</f>
        <v/>
      </c>
      <c r="BC11" s="9">
        <f>BC20*HLOOKUP(YEAR(BC$3),Assumptions!$D$57:$H$58,2,FALSE)</f>
        <v/>
      </c>
      <c r="BD11" s="9">
        <f>BD20*HLOOKUP(YEAR(BD$3),Assumptions!$D$57:$H$58,2,FALSE)</f>
        <v/>
      </c>
      <c r="BE11" s="9">
        <f>BE20*HLOOKUP(YEAR(BE$3),Assumptions!$D$57:$H$58,2,FALSE)</f>
        <v/>
      </c>
      <c r="BF11" s="9">
        <f>BF20*HLOOKUP(YEAR(BF$3),Assumptions!$D$57:$H$58,2,FALSE)</f>
        <v/>
      </c>
      <c r="BG11" s="9">
        <f>BG20*HLOOKUP(YEAR(BG$3),Assumptions!$D$57:$H$58,2,FALSE)</f>
        <v/>
      </c>
      <c r="BH11" s="9">
        <f>BH20*HLOOKUP(YEAR(BH$3),Assumptions!$D$57:$H$58,2,FALSE)</f>
        <v/>
      </c>
      <c r="BI11" s="9">
        <f>BI20*HLOOKUP(YEAR(BI$3),Assumptions!$D$57:$H$58,2,FALSE)</f>
        <v/>
      </c>
      <c r="BJ11" s="9">
        <f>BJ20*HLOOKUP(YEAR(BJ$3),Assumptions!$D$57:$H$58,2,FALSE)</f>
        <v/>
      </c>
      <c r="BK11" s="9">
        <f>BK20*HLOOKUP(YEAR(BK$3),Assumptions!$D$57:$H$58,2,FALSE)</f>
        <v/>
      </c>
      <c r="BL11" s="9">
        <f>BL20*HLOOKUP(YEAR(BL$3),Assumptions!$D$57:$H$58,2,FALSE)</f>
        <v/>
      </c>
      <c r="BN11" s="60">
        <f>SUM(E11:P11)</f>
        <v/>
      </c>
      <c r="BO11" s="60">
        <f>SUM(Q11:AB11)</f>
        <v/>
      </c>
      <c r="BP11" s="60">
        <f>SUM(AC11:AN11)</f>
        <v/>
      </c>
      <c r="BQ11" s="60">
        <f>SUM(AO11:AZ11)</f>
        <v/>
      </c>
      <c r="BR11" s="60">
        <f>SUM(BA11:BL11)</f>
        <v/>
      </c>
      <c r="BT11" s="32" t="inlineStr">
        <is>
          <t>partners on the books times the orders each finds on their own jobs</t>
        </is>
      </c>
    </row>
    <row r="12">
      <c r="B12" s="56" t="inlineStr">
        <is>
          <t>Demand</t>
        </is>
      </c>
      <c r="C12" s="57" t="inlineStr">
        <is>
          <t>units</t>
        </is>
      </c>
      <c r="E12" s="61">
        <f>E10+E11</f>
        <v/>
      </c>
      <c r="F12" s="61">
        <f>F10+F11</f>
        <v/>
      </c>
      <c r="G12" s="61">
        <f>G10+G11</f>
        <v/>
      </c>
      <c r="H12" s="61">
        <f>H10+H11</f>
        <v/>
      </c>
      <c r="I12" s="61">
        <f>I10+I11</f>
        <v/>
      </c>
      <c r="J12" s="61">
        <f>J10+J11</f>
        <v/>
      </c>
      <c r="K12" s="61">
        <f>K10+K11</f>
        <v/>
      </c>
      <c r="L12" s="61">
        <f>L10+L11</f>
        <v/>
      </c>
      <c r="M12" s="61">
        <f>M10+M11</f>
        <v/>
      </c>
      <c r="N12" s="61">
        <f>N10+N11</f>
        <v/>
      </c>
      <c r="O12" s="61">
        <f>O10+O11</f>
        <v/>
      </c>
      <c r="P12" s="61">
        <f>P10+P11</f>
        <v/>
      </c>
      <c r="Q12" s="61">
        <f>Q10+Q11</f>
        <v/>
      </c>
      <c r="R12" s="61">
        <f>R10+R11</f>
        <v/>
      </c>
      <c r="S12" s="61">
        <f>S10+S11</f>
        <v/>
      </c>
      <c r="T12" s="61">
        <f>T10+T11</f>
        <v/>
      </c>
      <c r="U12" s="61">
        <f>U10+U11</f>
        <v/>
      </c>
      <c r="V12" s="61">
        <f>V10+V11</f>
        <v/>
      </c>
      <c r="W12" s="61">
        <f>W10+W11</f>
        <v/>
      </c>
      <c r="X12" s="61">
        <f>X10+X11</f>
        <v/>
      </c>
      <c r="Y12" s="61">
        <f>Y10+Y11</f>
        <v/>
      </c>
      <c r="Z12" s="61">
        <f>Z10+Z11</f>
        <v/>
      </c>
      <c r="AA12" s="61">
        <f>AA10+AA11</f>
        <v/>
      </c>
      <c r="AB12" s="61">
        <f>AB10+AB11</f>
        <v/>
      </c>
      <c r="AC12" s="61">
        <f>AC10+AC11</f>
        <v/>
      </c>
      <c r="AD12" s="61">
        <f>AD10+AD11</f>
        <v/>
      </c>
      <c r="AE12" s="61">
        <f>AE10+AE11</f>
        <v/>
      </c>
      <c r="AF12" s="61">
        <f>AF10+AF11</f>
        <v/>
      </c>
      <c r="AG12" s="61">
        <f>AG10+AG11</f>
        <v/>
      </c>
      <c r="AH12" s="61">
        <f>AH10+AH11</f>
        <v/>
      </c>
      <c r="AI12" s="61">
        <f>AI10+AI11</f>
        <v/>
      </c>
      <c r="AJ12" s="61">
        <f>AJ10+AJ11</f>
        <v/>
      </c>
      <c r="AK12" s="61">
        <f>AK10+AK11</f>
        <v/>
      </c>
      <c r="AL12" s="61">
        <f>AL10+AL11</f>
        <v/>
      </c>
      <c r="AM12" s="61">
        <f>AM10+AM11</f>
        <v/>
      </c>
      <c r="AN12" s="61">
        <f>AN10+AN11</f>
        <v/>
      </c>
      <c r="AO12" s="61">
        <f>AO10+AO11</f>
        <v/>
      </c>
      <c r="AP12" s="61">
        <f>AP10+AP11</f>
        <v/>
      </c>
      <c r="AQ12" s="61">
        <f>AQ10+AQ11</f>
        <v/>
      </c>
      <c r="AR12" s="61">
        <f>AR10+AR11</f>
        <v/>
      </c>
      <c r="AS12" s="61">
        <f>AS10+AS11</f>
        <v/>
      </c>
      <c r="AT12" s="61">
        <f>AT10+AT11</f>
        <v/>
      </c>
      <c r="AU12" s="61">
        <f>AU10+AU11</f>
        <v/>
      </c>
      <c r="AV12" s="61">
        <f>AV10+AV11</f>
        <v/>
      </c>
      <c r="AW12" s="61">
        <f>AW10+AW11</f>
        <v/>
      </c>
      <c r="AX12" s="61">
        <f>AX10+AX11</f>
        <v/>
      </c>
      <c r="AY12" s="61">
        <f>AY10+AY11</f>
        <v/>
      </c>
      <c r="AZ12" s="61">
        <f>AZ10+AZ11</f>
        <v/>
      </c>
      <c r="BA12" s="61">
        <f>BA10+BA11</f>
        <v/>
      </c>
      <c r="BB12" s="61">
        <f>BB10+BB11</f>
        <v/>
      </c>
      <c r="BC12" s="61">
        <f>BC10+BC11</f>
        <v/>
      </c>
      <c r="BD12" s="61">
        <f>BD10+BD11</f>
        <v/>
      </c>
      <c r="BE12" s="61">
        <f>BE10+BE11</f>
        <v/>
      </c>
      <c r="BF12" s="61">
        <f>BF10+BF11</f>
        <v/>
      </c>
      <c r="BG12" s="61">
        <f>BG10+BG11</f>
        <v/>
      </c>
      <c r="BH12" s="61">
        <f>BH10+BH11</f>
        <v/>
      </c>
      <c r="BI12" s="61">
        <f>BI10+BI11</f>
        <v/>
      </c>
      <c r="BJ12" s="61">
        <f>BJ10+BJ11</f>
        <v/>
      </c>
      <c r="BK12" s="61">
        <f>BK10+BK11</f>
        <v/>
      </c>
      <c r="BL12" s="61">
        <f>BL10+BL11</f>
        <v/>
      </c>
      <c r="BN12" s="61">
        <f>SUM(E12:P12)</f>
        <v/>
      </c>
      <c r="BO12" s="61">
        <f>SUM(Q12:AB12)</f>
        <v/>
      </c>
      <c r="BP12" s="61">
        <f>SUM(AC12:AN12)</f>
        <v/>
      </c>
      <c r="BQ12" s="61">
        <f>SUM(AO12:AZ12)</f>
        <v/>
      </c>
      <c r="BR12" s="61">
        <f>SUM(BA12:BL12)</f>
        <v/>
      </c>
    </row>
    <row r="14">
      <c r="B14" s="15" t="inlineStr">
        <is>
          <t>SELLING CAPACITY</t>
        </is>
      </c>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c r="AA14" s="1" t="n"/>
      <c r="AB14" s="1" t="n"/>
      <c r="AC14" s="1" t="n"/>
      <c r="AD14" s="1" t="n"/>
      <c r="AE14" s="1" t="n"/>
      <c r="AF14" s="1" t="n"/>
      <c r="AG14" s="1" t="n"/>
      <c r="AH14" s="1" t="n"/>
      <c r="AI14" s="1" t="n"/>
      <c r="AJ14" s="1" t="n"/>
      <c r="AK14" s="1" t="n"/>
      <c r="AL14" s="1" t="n"/>
      <c r="AM14" s="1" t="n"/>
      <c r="AN14" s="1" t="n"/>
      <c r="AO14" s="1" t="n"/>
      <c r="AP14" s="1" t="n"/>
      <c r="AQ14" s="1" t="n"/>
      <c r="AR14" s="1" t="n"/>
      <c r="AS14" s="1" t="n"/>
      <c r="AT14" s="1" t="n"/>
      <c r="AU14" s="1" t="n"/>
      <c r="AV14" s="1" t="n"/>
      <c r="AW14" s="1" t="n"/>
      <c r="AX14" s="1" t="n"/>
      <c r="AY14" s="1" t="n"/>
      <c r="AZ14" s="1" t="n"/>
      <c r="BA14" s="1" t="n"/>
      <c r="BB14" s="1" t="n"/>
      <c r="BC14" s="1" t="n"/>
      <c r="BD14" s="1" t="n"/>
      <c r="BE14" s="1" t="n"/>
      <c r="BF14" s="1" t="n"/>
      <c r="BG14" s="1" t="n"/>
      <c r="BH14" s="1" t="n"/>
      <c r="BI14" s="1" t="n"/>
      <c r="BJ14" s="1" t="n"/>
      <c r="BK14" s="1" t="n"/>
      <c r="BL14" s="1" t="n"/>
      <c r="BM14" s="1" t="n"/>
      <c r="BN14" s="1" t="n"/>
      <c r="BO14" s="1" t="n"/>
      <c r="BP14" s="1" t="n"/>
      <c r="BQ14" s="1" t="n"/>
      <c r="BR14" s="1" t="n"/>
      <c r="BS14" s="1" t="n"/>
    </row>
    <row r="15">
      <c r="B15" s="6" t="inlineStr">
        <is>
          <t>Share sold direct</t>
        </is>
      </c>
      <c r="C15" s="17" t="inlineStr">
        <is>
          <t>%</t>
        </is>
      </c>
      <c r="E15" s="62">
        <f>HLOOKUP(YEAR(E$3),Assumptions!$D$51:$H$52,2,FALSE)</f>
        <v/>
      </c>
      <c r="F15" s="62">
        <f>HLOOKUP(YEAR(F$3),Assumptions!$D$51:$H$52,2,FALSE)</f>
        <v/>
      </c>
      <c r="G15" s="62">
        <f>HLOOKUP(YEAR(G$3),Assumptions!$D$51:$H$52,2,FALSE)</f>
        <v/>
      </c>
      <c r="H15" s="62">
        <f>HLOOKUP(YEAR(H$3),Assumptions!$D$51:$H$52,2,FALSE)</f>
        <v/>
      </c>
      <c r="I15" s="62">
        <f>HLOOKUP(YEAR(I$3),Assumptions!$D$51:$H$52,2,FALSE)</f>
        <v/>
      </c>
      <c r="J15" s="62">
        <f>HLOOKUP(YEAR(J$3),Assumptions!$D$51:$H$52,2,FALSE)</f>
        <v/>
      </c>
      <c r="K15" s="62">
        <f>HLOOKUP(YEAR(K$3),Assumptions!$D$51:$H$52,2,FALSE)</f>
        <v/>
      </c>
      <c r="L15" s="62">
        <f>HLOOKUP(YEAR(L$3),Assumptions!$D$51:$H$52,2,FALSE)</f>
        <v/>
      </c>
      <c r="M15" s="62">
        <f>HLOOKUP(YEAR(M$3),Assumptions!$D$51:$H$52,2,FALSE)</f>
        <v/>
      </c>
      <c r="N15" s="62">
        <f>HLOOKUP(YEAR(N$3),Assumptions!$D$51:$H$52,2,FALSE)</f>
        <v/>
      </c>
      <c r="O15" s="62">
        <f>HLOOKUP(YEAR(O$3),Assumptions!$D$51:$H$52,2,FALSE)</f>
        <v/>
      </c>
      <c r="P15" s="62">
        <f>HLOOKUP(YEAR(P$3),Assumptions!$D$51:$H$52,2,FALSE)</f>
        <v/>
      </c>
      <c r="Q15" s="62">
        <f>HLOOKUP(YEAR(Q$3),Assumptions!$D$51:$H$52,2,FALSE)</f>
        <v/>
      </c>
      <c r="R15" s="62">
        <f>HLOOKUP(YEAR(R$3),Assumptions!$D$51:$H$52,2,FALSE)</f>
        <v/>
      </c>
      <c r="S15" s="62">
        <f>HLOOKUP(YEAR(S$3),Assumptions!$D$51:$H$52,2,FALSE)</f>
        <v/>
      </c>
      <c r="T15" s="62">
        <f>HLOOKUP(YEAR(T$3),Assumptions!$D$51:$H$52,2,FALSE)</f>
        <v/>
      </c>
      <c r="U15" s="62">
        <f>HLOOKUP(YEAR(U$3),Assumptions!$D$51:$H$52,2,FALSE)</f>
        <v/>
      </c>
      <c r="V15" s="62">
        <f>HLOOKUP(YEAR(V$3),Assumptions!$D$51:$H$52,2,FALSE)</f>
        <v/>
      </c>
      <c r="W15" s="62">
        <f>HLOOKUP(YEAR(W$3),Assumptions!$D$51:$H$52,2,FALSE)</f>
        <v/>
      </c>
      <c r="X15" s="62">
        <f>HLOOKUP(YEAR(X$3),Assumptions!$D$51:$H$52,2,FALSE)</f>
        <v/>
      </c>
      <c r="Y15" s="62">
        <f>HLOOKUP(YEAR(Y$3),Assumptions!$D$51:$H$52,2,FALSE)</f>
        <v/>
      </c>
      <c r="Z15" s="62">
        <f>HLOOKUP(YEAR(Z$3),Assumptions!$D$51:$H$52,2,FALSE)</f>
        <v/>
      </c>
      <c r="AA15" s="62">
        <f>HLOOKUP(YEAR(AA$3),Assumptions!$D$51:$H$52,2,FALSE)</f>
        <v/>
      </c>
      <c r="AB15" s="62">
        <f>HLOOKUP(YEAR(AB$3),Assumptions!$D$51:$H$52,2,FALSE)</f>
        <v/>
      </c>
      <c r="AC15" s="62">
        <f>HLOOKUP(YEAR(AC$3),Assumptions!$D$51:$H$52,2,FALSE)</f>
        <v/>
      </c>
      <c r="AD15" s="62">
        <f>HLOOKUP(YEAR(AD$3),Assumptions!$D$51:$H$52,2,FALSE)</f>
        <v/>
      </c>
      <c r="AE15" s="62">
        <f>HLOOKUP(YEAR(AE$3),Assumptions!$D$51:$H$52,2,FALSE)</f>
        <v/>
      </c>
      <c r="AF15" s="62">
        <f>HLOOKUP(YEAR(AF$3),Assumptions!$D$51:$H$52,2,FALSE)</f>
        <v/>
      </c>
      <c r="AG15" s="62">
        <f>HLOOKUP(YEAR(AG$3),Assumptions!$D$51:$H$52,2,FALSE)</f>
        <v/>
      </c>
      <c r="AH15" s="62">
        <f>HLOOKUP(YEAR(AH$3),Assumptions!$D$51:$H$52,2,FALSE)</f>
        <v/>
      </c>
      <c r="AI15" s="62">
        <f>HLOOKUP(YEAR(AI$3),Assumptions!$D$51:$H$52,2,FALSE)</f>
        <v/>
      </c>
      <c r="AJ15" s="62">
        <f>HLOOKUP(YEAR(AJ$3),Assumptions!$D$51:$H$52,2,FALSE)</f>
        <v/>
      </c>
      <c r="AK15" s="62">
        <f>HLOOKUP(YEAR(AK$3),Assumptions!$D$51:$H$52,2,FALSE)</f>
        <v/>
      </c>
      <c r="AL15" s="62">
        <f>HLOOKUP(YEAR(AL$3),Assumptions!$D$51:$H$52,2,FALSE)</f>
        <v/>
      </c>
      <c r="AM15" s="62">
        <f>HLOOKUP(YEAR(AM$3),Assumptions!$D$51:$H$52,2,FALSE)</f>
        <v/>
      </c>
      <c r="AN15" s="62">
        <f>HLOOKUP(YEAR(AN$3),Assumptions!$D$51:$H$52,2,FALSE)</f>
        <v/>
      </c>
      <c r="AO15" s="62">
        <f>HLOOKUP(YEAR(AO$3),Assumptions!$D$51:$H$52,2,FALSE)</f>
        <v/>
      </c>
      <c r="AP15" s="62">
        <f>HLOOKUP(YEAR(AP$3),Assumptions!$D$51:$H$52,2,FALSE)</f>
        <v/>
      </c>
      <c r="AQ15" s="62">
        <f>HLOOKUP(YEAR(AQ$3),Assumptions!$D$51:$H$52,2,FALSE)</f>
        <v/>
      </c>
      <c r="AR15" s="62">
        <f>HLOOKUP(YEAR(AR$3),Assumptions!$D$51:$H$52,2,FALSE)</f>
        <v/>
      </c>
      <c r="AS15" s="62">
        <f>HLOOKUP(YEAR(AS$3),Assumptions!$D$51:$H$52,2,FALSE)</f>
        <v/>
      </c>
      <c r="AT15" s="62">
        <f>HLOOKUP(YEAR(AT$3),Assumptions!$D$51:$H$52,2,FALSE)</f>
        <v/>
      </c>
      <c r="AU15" s="62">
        <f>HLOOKUP(YEAR(AU$3),Assumptions!$D$51:$H$52,2,FALSE)</f>
        <v/>
      </c>
      <c r="AV15" s="62">
        <f>HLOOKUP(YEAR(AV$3),Assumptions!$D$51:$H$52,2,FALSE)</f>
        <v/>
      </c>
      <c r="AW15" s="62">
        <f>HLOOKUP(YEAR(AW$3),Assumptions!$D$51:$H$52,2,FALSE)</f>
        <v/>
      </c>
      <c r="AX15" s="62">
        <f>HLOOKUP(YEAR(AX$3),Assumptions!$D$51:$H$52,2,FALSE)</f>
        <v/>
      </c>
      <c r="AY15" s="62">
        <f>HLOOKUP(YEAR(AY$3),Assumptions!$D$51:$H$52,2,FALSE)</f>
        <v/>
      </c>
      <c r="AZ15" s="62">
        <f>HLOOKUP(YEAR(AZ$3),Assumptions!$D$51:$H$52,2,FALSE)</f>
        <v/>
      </c>
      <c r="BA15" s="62">
        <f>HLOOKUP(YEAR(BA$3),Assumptions!$D$51:$H$52,2,FALSE)</f>
        <v/>
      </c>
      <c r="BB15" s="62">
        <f>HLOOKUP(YEAR(BB$3),Assumptions!$D$51:$H$52,2,FALSE)</f>
        <v/>
      </c>
      <c r="BC15" s="62">
        <f>HLOOKUP(YEAR(BC$3),Assumptions!$D$51:$H$52,2,FALSE)</f>
        <v/>
      </c>
      <c r="BD15" s="62">
        <f>HLOOKUP(YEAR(BD$3),Assumptions!$D$51:$H$52,2,FALSE)</f>
        <v/>
      </c>
      <c r="BE15" s="62">
        <f>HLOOKUP(YEAR(BE$3),Assumptions!$D$51:$H$52,2,FALSE)</f>
        <v/>
      </c>
      <c r="BF15" s="62">
        <f>HLOOKUP(YEAR(BF$3),Assumptions!$D$51:$H$52,2,FALSE)</f>
        <v/>
      </c>
      <c r="BG15" s="62">
        <f>HLOOKUP(YEAR(BG$3),Assumptions!$D$51:$H$52,2,FALSE)</f>
        <v/>
      </c>
      <c r="BH15" s="62">
        <f>HLOOKUP(YEAR(BH$3),Assumptions!$D$51:$H$52,2,FALSE)</f>
        <v/>
      </c>
      <c r="BI15" s="62">
        <f>HLOOKUP(YEAR(BI$3),Assumptions!$D$51:$H$52,2,FALSE)</f>
        <v/>
      </c>
      <c r="BJ15" s="62">
        <f>HLOOKUP(YEAR(BJ$3),Assumptions!$D$51:$H$52,2,FALSE)</f>
        <v/>
      </c>
      <c r="BK15" s="62">
        <f>HLOOKUP(YEAR(BK$3),Assumptions!$D$51:$H$52,2,FALSE)</f>
        <v/>
      </c>
      <c r="BL15" s="62">
        <f>HLOOKUP(YEAR(BL$3),Assumptions!$D$51:$H$52,2,FALSE)</f>
        <v/>
      </c>
      <c r="BN15" s="63">
        <f>IFERROR(AVERAGE(E15:P15),0)</f>
        <v/>
      </c>
      <c r="BO15" s="63">
        <f>IFERROR(AVERAGE(Q15:AB15),0)</f>
        <v/>
      </c>
      <c r="BP15" s="63">
        <f>IFERROR(AVERAGE(AC15:AN15),0)</f>
        <v/>
      </c>
      <c r="BQ15" s="63">
        <f>IFERROR(AVERAGE(AO15:AZ15),0)</f>
        <v/>
      </c>
      <c r="BR15" s="63">
        <f>IFERROR(AVERAGE(BA15:BL15),0)</f>
        <v/>
      </c>
      <c r="BT15" s="32" t="inlineStr">
        <is>
          <t>the rest is sold by trained installer partners</t>
        </is>
      </c>
    </row>
    <row r="16">
      <c r="B16" s="6" t="inlineStr">
        <is>
          <t>Rep hiring rate</t>
        </is>
      </c>
      <c r="C16" s="17" t="inlineStr">
        <is>
          <t>FTE/month</t>
        </is>
      </c>
      <c r="E16" s="64">
        <f>IF(E$3&lt;Assumptions!$D$11,0,HLOOKUP(YEAR(E$3),Assumptions!$D$53:$H$54,2,FALSE))</f>
        <v/>
      </c>
      <c r="F16" s="64">
        <f>IF(F$3&lt;Assumptions!$D$11,0,HLOOKUP(YEAR(F$3),Assumptions!$D$53:$H$54,2,FALSE))</f>
        <v/>
      </c>
      <c r="G16" s="64">
        <f>IF(G$3&lt;Assumptions!$D$11,0,HLOOKUP(YEAR(G$3),Assumptions!$D$53:$H$54,2,FALSE))</f>
        <v/>
      </c>
      <c r="H16" s="64">
        <f>IF(H$3&lt;Assumptions!$D$11,0,HLOOKUP(YEAR(H$3),Assumptions!$D$53:$H$54,2,FALSE))</f>
        <v/>
      </c>
      <c r="I16" s="64">
        <f>IF(I$3&lt;Assumptions!$D$11,0,HLOOKUP(YEAR(I$3),Assumptions!$D$53:$H$54,2,FALSE))</f>
        <v/>
      </c>
      <c r="J16" s="64">
        <f>IF(J$3&lt;Assumptions!$D$11,0,HLOOKUP(YEAR(J$3),Assumptions!$D$53:$H$54,2,FALSE))</f>
        <v/>
      </c>
      <c r="K16" s="64">
        <f>IF(K$3&lt;Assumptions!$D$11,0,HLOOKUP(YEAR(K$3),Assumptions!$D$53:$H$54,2,FALSE))</f>
        <v/>
      </c>
      <c r="L16" s="64">
        <f>IF(L$3&lt;Assumptions!$D$11,0,HLOOKUP(YEAR(L$3),Assumptions!$D$53:$H$54,2,FALSE))</f>
        <v/>
      </c>
      <c r="M16" s="64">
        <f>IF(M$3&lt;Assumptions!$D$11,0,HLOOKUP(YEAR(M$3),Assumptions!$D$53:$H$54,2,FALSE))</f>
        <v/>
      </c>
      <c r="N16" s="64">
        <f>IF(N$3&lt;Assumptions!$D$11,0,HLOOKUP(YEAR(N$3),Assumptions!$D$53:$H$54,2,FALSE))</f>
        <v/>
      </c>
      <c r="O16" s="64">
        <f>IF(O$3&lt;Assumptions!$D$11,0,HLOOKUP(YEAR(O$3),Assumptions!$D$53:$H$54,2,FALSE))</f>
        <v/>
      </c>
      <c r="P16" s="64">
        <f>IF(P$3&lt;Assumptions!$D$11,0,HLOOKUP(YEAR(P$3),Assumptions!$D$53:$H$54,2,FALSE))</f>
        <v/>
      </c>
      <c r="Q16" s="64">
        <f>IF(Q$3&lt;Assumptions!$D$11,0,HLOOKUP(YEAR(Q$3),Assumptions!$D$53:$H$54,2,FALSE))</f>
        <v/>
      </c>
      <c r="R16" s="64">
        <f>IF(R$3&lt;Assumptions!$D$11,0,HLOOKUP(YEAR(R$3),Assumptions!$D$53:$H$54,2,FALSE))</f>
        <v/>
      </c>
      <c r="S16" s="64">
        <f>IF(S$3&lt;Assumptions!$D$11,0,HLOOKUP(YEAR(S$3),Assumptions!$D$53:$H$54,2,FALSE))</f>
        <v/>
      </c>
      <c r="T16" s="64">
        <f>IF(T$3&lt;Assumptions!$D$11,0,HLOOKUP(YEAR(T$3),Assumptions!$D$53:$H$54,2,FALSE))</f>
        <v/>
      </c>
      <c r="U16" s="64">
        <f>IF(U$3&lt;Assumptions!$D$11,0,HLOOKUP(YEAR(U$3),Assumptions!$D$53:$H$54,2,FALSE))</f>
        <v/>
      </c>
      <c r="V16" s="64">
        <f>IF(V$3&lt;Assumptions!$D$11,0,HLOOKUP(YEAR(V$3),Assumptions!$D$53:$H$54,2,FALSE))</f>
        <v/>
      </c>
      <c r="W16" s="64">
        <f>IF(W$3&lt;Assumptions!$D$11,0,HLOOKUP(YEAR(W$3),Assumptions!$D$53:$H$54,2,FALSE))</f>
        <v/>
      </c>
      <c r="X16" s="64">
        <f>IF(X$3&lt;Assumptions!$D$11,0,HLOOKUP(YEAR(X$3),Assumptions!$D$53:$H$54,2,FALSE))</f>
        <v/>
      </c>
      <c r="Y16" s="64">
        <f>IF(Y$3&lt;Assumptions!$D$11,0,HLOOKUP(YEAR(Y$3),Assumptions!$D$53:$H$54,2,FALSE))</f>
        <v/>
      </c>
      <c r="Z16" s="64">
        <f>IF(Z$3&lt;Assumptions!$D$11,0,HLOOKUP(YEAR(Z$3),Assumptions!$D$53:$H$54,2,FALSE))</f>
        <v/>
      </c>
      <c r="AA16" s="64">
        <f>IF(AA$3&lt;Assumptions!$D$11,0,HLOOKUP(YEAR(AA$3),Assumptions!$D$53:$H$54,2,FALSE))</f>
        <v/>
      </c>
      <c r="AB16" s="64">
        <f>IF(AB$3&lt;Assumptions!$D$11,0,HLOOKUP(YEAR(AB$3),Assumptions!$D$53:$H$54,2,FALSE))</f>
        <v/>
      </c>
      <c r="AC16" s="64">
        <f>IF(AC$3&lt;Assumptions!$D$11,0,HLOOKUP(YEAR(AC$3),Assumptions!$D$53:$H$54,2,FALSE))</f>
        <v/>
      </c>
      <c r="AD16" s="64">
        <f>IF(AD$3&lt;Assumptions!$D$11,0,HLOOKUP(YEAR(AD$3),Assumptions!$D$53:$H$54,2,FALSE))</f>
        <v/>
      </c>
      <c r="AE16" s="64">
        <f>IF(AE$3&lt;Assumptions!$D$11,0,HLOOKUP(YEAR(AE$3),Assumptions!$D$53:$H$54,2,FALSE))</f>
        <v/>
      </c>
      <c r="AF16" s="64">
        <f>IF(AF$3&lt;Assumptions!$D$11,0,HLOOKUP(YEAR(AF$3),Assumptions!$D$53:$H$54,2,FALSE))</f>
        <v/>
      </c>
      <c r="AG16" s="64">
        <f>IF(AG$3&lt;Assumptions!$D$11,0,HLOOKUP(YEAR(AG$3),Assumptions!$D$53:$H$54,2,FALSE))</f>
        <v/>
      </c>
      <c r="AH16" s="64">
        <f>IF(AH$3&lt;Assumptions!$D$11,0,HLOOKUP(YEAR(AH$3),Assumptions!$D$53:$H$54,2,FALSE))</f>
        <v/>
      </c>
      <c r="AI16" s="64">
        <f>IF(AI$3&lt;Assumptions!$D$11,0,HLOOKUP(YEAR(AI$3),Assumptions!$D$53:$H$54,2,FALSE))</f>
        <v/>
      </c>
      <c r="AJ16" s="64">
        <f>IF(AJ$3&lt;Assumptions!$D$11,0,HLOOKUP(YEAR(AJ$3),Assumptions!$D$53:$H$54,2,FALSE))</f>
        <v/>
      </c>
      <c r="AK16" s="64">
        <f>IF(AK$3&lt;Assumptions!$D$11,0,HLOOKUP(YEAR(AK$3),Assumptions!$D$53:$H$54,2,FALSE))</f>
        <v/>
      </c>
      <c r="AL16" s="64">
        <f>IF(AL$3&lt;Assumptions!$D$11,0,HLOOKUP(YEAR(AL$3),Assumptions!$D$53:$H$54,2,FALSE))</f>
        <v/>
      </c>
      <c r="AM16" s="64">
        <f>IF(AM$3&lt;Assumptions!$D$11,0,HLOOKUP(YEAR(AM$3),Assumptions!$D$53:$H$54,2,FALSE))</f>
        <v/>
      </c>
      <c r="AN16" s="64">
        <f>IF(AN$3&lt;Assumptions!$D$11,0,HLOOKUP(YEAR(AN$3),Assumptions!$D$53:$H$54,2,FALSE))</f>
        <v/>
      </c>
      <c r="AO16" s="64">
        <f>IF(AO$3&lt;Assumptions!$D$11,0,HLOOKUP(YEAR(AO$3),Assumptions!$D$53:$H$54,2,FALSE))</f>
        <v/>
      </c>
      <c r="AP16" s="64">
        <f>IF(AP$3&lt;Assumptions!$D$11,0,HLOOKUP(YEAR(AP$3),Assumptions!$D$53:$H$54,2,FALSE))</f>
        <v/>
      </c>
      <c r="AQ16" s="64">
        <f>IF(AQ$3&lt;Assumptions!$D$11,0,HLOOKUP(YEAR(AQ$3),Assumptions!$D$53:$H$54,2,FALSE))</f>
        <v/>
      </c>
      <c r="AR16" s="64">
        <f>IF(AR$3&lt;Assumptions!$D$11,0,HLOOKUP(YEAR(AR$3),Assumptions!$D$53:$H$54,2,FALSE))</f>
        <v/>
      </c>
      <c r="AS16" s="64">
        <f>IF(AS$3&lt;Assumptions!$D$11,0,HLOOKUP(YEAR(AS$3),Assumptions!$D$53:$H$54,2,FALSE))</f>
        <v/>
      </c>
      <c r="AT16" s="64">
        <f>IF(AT$3&lt;Assumptions!$D$11,0,HLOOKUP(YEAR(AT$3),Assumptions!$D$53:$H$54,2,FALSE))</f>
        <v/>
      </c>
      <c r="AU16" s="64">
        <f>IF(AU$3&lt;Assumptions!$D$11,0,HLOOKUP(YEAR(AU$3),Assumptions!$D$53:$H$54,2,FALSE))</f>
        <v/>
      </c>
      <c r="AV16" s="64">
        <f>IF(AV$3&lt;Assumptions!$D$11,0,HLOOKUP(YEAR(AV$3),Assumptions!$D$53:$H$54,2,FALSE))</f>
        <v/>
      </c>
      <c r="AW16" s="64">
        <f>IF(AW$3&lt;Assumptions!$D$11,0,HLOOKUP(YEAR(AW$3),Assumptions!$D$53:$H$54,2,FALSE))</f>
        <v/>
      </c>
      <c r="AX16" s="64">
        <f>IF(AX$3&lt;Assumptions!$D$11,0,HLOOKUP(YEAR(AX$3),Assumptions!$D$53:$H$54,2,FALSE))</f>
        <v/>
      </c>
      <c r="AY16" s="64">
        <f>IF(AY$3&lt;Assumptions!$D$11,0,HLOOKUP(YEAR(AY$3),Assumptions!$D$53:$H$54,2,FALSE))</f>
        <v/>
      </c>
      <c r="AZ16" s="64">
        <f>IF(AZ$3&lt;Assumptions!$D$11,0,HLOOKUP(YEAR(AZ$3),Assumptions!$D$53:$H$54,2,FALSE))</f>
        <v/>
      </c>
      <c r="BA16" s="64">
        <f>IF(BA$3&lt;Assumptions!$D$11,0,HLOOKUP(YEAR(BA$3),Assumptions!$D$53:$H$54,2,FALSE))</f>
        <v/>
      </c>
      <c r="BB16" s="64">
        <f>IF(BB$3&lt;Assumptions!$D$11,0,HLOOKUP(YEAR(BB$3),Assumptions!$D$53:$H$54,2,FALSE))</f>
        <v/>
      </c>
      <c r="BC16" s="64">
        <f>IF(BC$3&lt;Assumptions!$D$11,0,HLOOKUP(YEAR(BC$3),Assumptions!$D$53:$H$54,2,FALSE))</f>
        <v/>
      </c>
      <c r="BD16" s="64">
        <f>IF(BD$3&lt;Assumptions!$D$11,0,HLOOKUP(YEAR(BD$3),Assumptions!$D$53:$H$54,2,FALSE))</f>
        <v/>
      </c>
      <c r="BE16" s="64">
        <f>IF(BE$3&lt;Assumptions!$D$11,0,HLOOKUP(YEAR(BE$3),Assumptions!$D$53:$H$54,2,FALSE))</f>
        <v/>
      </c>
      <c r="BF16" s="64">
        <f>IF(BF$3&lt;Assumptions!$D$11,0,HLOOKUP(YEAR(BF$3),Assumptions!$D$53:$H$54,2,FALSE))</f>
        <v/>
      </c>
      <c r="BG16" s="64">
        <f>IF(BG$3&lt;Assumptions!$D$11,0,HLOOKUP(YEAR(BG$3),Assumptions!$D$53:$H$54,2,FALSE))</f>
        <v/>
      </c>
      <c r="BH16" s="64">
        <f>IF(BH$3&lt;Assumptions!$D$11,0,HLOOKUP(YEAR(BH$3),Assumptions!$D$53:$H$54,2,FALSE))</f>
        <v/>
      </c>
      <c r="BI16" s="64">
        <f>IF(BI$3&lt;Assumptions!$D$11,0,HLOOKUP(YEAR(BI$3),Assumptions!$D$53:$H$54,2,FALSE))</f>
        <v/>
      </c>
      <c r="BJ16" s="64">
        <f>IF(BJ$3&lt;Assumptions!$D$11,0,HLOOKUP(YEAR(BJ$3),Assumptions!$D$53:$H$54,2,FALSE))</f>
        <v/>
      </c>
      <c r="BK16" s="64">
        <f>IF(BK$3&lt;Assumptions!$D$11,0,HLOOKUP(YEAR(BK$3),Assumptions!$D$53:$H$54,2,FALSE))</f>
        <v/>
      </c>
      <c r="BL16" s="64">
        <f>IF(BL$3&lt;Assumptions!$D$11,0,HLOOKUP(YEAR(BL$3),Assumptions!$D$53:$H$54,2,FALSE))</f>
        <v/>
      </c>
      <c r="BN16" s="65">
        <f>SUM(E16:P16)</f>
        <v/>
      </c>
      <c r="BO16" s="65">
        <f>SUM(Q16:AB16)</f>
        <v/>
      </c>
      <c r="BP16" s="65">
        <f>SUM(AC16:AN16)</f>
        <v/>
      </c>
      <c r="BQ16" s="65">
        <f>SUM(AO16:AZ16)</f>
        <v/>
      </c>
      <c r="BR16" s="65">
        <f>SUM(BA16:BL16)</f>
        <v/>
      </c>
      <c r="BT16" s="32" t="inlineStr">
        <is>
          <t>the planned rate, which can be less than one a month</t>
        </is>
      </c>
    </row>
    <row r="17">
      <c r="B17" s="6" t="inlineStr">
        <is>
          <t>Reps in post</t>
        </is>
      </c>
      <c r="C17" s="17" t="inlineStr">
        <is>
          <t>FTE</t>
        </is>
      </c>
      <c r="E17" s="13">
        <f>ROUNDDOWN(Assumptions!$D$60+SUM($E16:E16),0)</f>
        <v/>
      </c>
      <c r="F17" s="13">
        <f>ROUNDDOWN(Assumptions!$D$60+SUM($E16:F16),0)</f>
        <v/>
      </c>
      <c r="G17" s="13">
        <f>ROUNDDOWN(Assumptions!$D$60+SUM($E16:G16),0)</f>
        <v/>
      </c>
      <c r="H17" s="13">
        <f>ROUNDDOWN(Assumptions!$D$60+SUM($E16:H16),0)</f>
        <v/>
      </c>
      <c r="I17" s="13">
        <f>ROUNDDOWN(Assumptions!$D$60+SUM($E16:I16),0)</f>
        <v/>
      </c>
      <c r="J17" s="13">
        <f>ROUNDDOWN(Assumptions!$D$60+SUM($E16:J16),0)</f>
        <v/>
      </c>
      <c r="K17" s="13">
        <f>ROUNDDOWN(Assumptions!$D$60+SUM($E16:K16),0)</f>
        <v/>
      </c>
      <c r="L17" s="13">
        <f>ROUNDDOWN(Assumptions!$D$60+SUM($E16:L16),0)</f>
        <v/>
      </c>
      <c r="M17" s="13">
        <f>ROUNDDOWN(Assumptions!$D$60+SUM($E16:M16),0)</f>
        <v/>
      </c>
      <c r="N17" s="13">
        <f>ROUNDDOWN(Assumptions!$D$60+SUM($E16:N16),0)</f>
        <v/>
      </c>
      <c r="O17" s="13">
        <f>ROUNDDOWN(Assumptions!$D$60+SUM($E16:O16),0)</f>
        <v/>
      </c>
      <c r="P17" s="13">
        <f>ROUNDDOWN(Assumptions!$D$60+SUM($E16:P16),0)</f>
        <v/>
      </c>
      <c r="Q17" s="13">
        <f>ROUNDDOWN(Assumptions!$D$60+SUM($E16:Q16),0)</f>
        <v/>
      </c>
      <c r="R17" s="13">
        <f>ROUNDDOWN(Assumptions!$D$60+SUM($E16:R16),0)</f>
        <v/>
      </c>
      <c r="S17" s="13">
        <f>ROUNDDOWN(Assumptions!$D$60+SUM($E16:S16),0)</f>
        <v/>
      </c>
      <c r="T17" s="13">
        <f>ROUNDDOWN(Assumptions!$D$60+SUM($E16:T16),0)</f>
        <v/>
      </c>
      <c r="U17" s="13">
        <f>ROUNDDOWN(Assumptions!$D$60+SUM($E16:U16),0)</f>
        <v/>
      </c>
      <c r="V17" s="13">
        <f>ROUNDDOWN(Assumptions!$D$60+SUM($E16:V16),0)</f>
        <v/>
      </c>
      <c r="W17" s="13">
        <f>ROUNDDOWN(Assumptions!$D$60+SUM($E16:W16),0)</f>
        <v/>
      </c>
      <c r="X17" s="13">
        <f>ROUNDDOWN(Assumptions!$D$60+SUM($E16:X16),0)</f>
        <v/>
      </c>
      <c r="Y17" s="13">
        <f>ROUNDDOWN(Assumptions!$D$60+SUM($E16:Y16),0)</f>
        <v/>
      </c>
      <c r="Z17" s="13">
        <f>ROUNDDOWN(Assumptions!$D$60+SUM($E16:Z16),0)</f>
        <v/>
      </c>
      <c r="AA17" s="13">
        <f>ROUNDDOWN(Assumptions!$D$60+SUM($E16:AA16),0)</f>
        <v/>
      </c>
      <c r="AB17" s="13">
        <f>ROUNDDOWN(Assumptions!$D$60+SUM($E16:AB16),0)</f>
        <v/>
      </c>
      <c r="AC17" s="13">
        <f>ROUNDDOWN(Assumptions!$D$60+SUM($E16:AC16),0)</f>
        <v/>
      </c>
      <c r="AD17" s="13">
        <f>ROUNDDOWN(Assumptions!$D$60+SUM($E16:AD16),0)</f>
        <v/>
      </c>
      <c r="AE17" s="13">
        <f>ROUNDDOWN(Assumptions!$D$60+SUM($E16:AE16),0)</f>
        <v/>
      </c>
      <c r="AF17" s="13">
        <f>ROUNDDOWN(Assumptions!$D$60+SUM($E16:AF16),0)</f>
        <v/>
      </c>
      <c r="AG17" s="13">
        <f>ROUNDDOWN(Assumptions!$D$60+SUM($E16:AG16),0)</f>
        <v/>
      </c>
      <c r="AH17" s="13">
        <f>ROUNDDOWN(Assumptions!$D$60+SUM($E16:AH16),0)</f>
        <v/>
      </c>
      <c r="AI17" s="13">
        <f>ROUNDDOWN(Assumptions!$D$60+SUM($E16:AI16),0)</f>
        <v/>
      </c>
      <c r="AJ17" s="13">
        <f>ROUNDDOWN(Assumptions!$D$60+SUM($E16:AJ16),0)</f>
        <v/>
      </c>
      <c r="AK17" s="13">
        <f>ROUNDDOWN(Assumptions!$D$60+SUM($E16:AK16),0)</f>
        <v/>
      </c>
      <c r="AL17" s="13">
        <f>ROUNDDOWN(Assumptions!$D$60+SUM($E16:AL16),0)</f>
        <v/>
      </c>
      <c r="AM17" s="13">
        <f>ROUNDDOWN(Assumptions!$D$60+SUM($E16:AM16),0)</f>
        <v/>
      </c>
      <c r="AN17" s="13">
        <f>ROUNDDOWN(Assumptions!$D$60+SUM($E16:AN16),0)</f>
        <v/>
      </c>
      <c r="AO17" s="13">
        <f>ROUNDDOWN(Assumptions!$D$60+SUM($E16:AO16),0)</f>
        <v/>
      </c>
      <c r="AP17" s="13">
        <f>ROUNDDOWN(Assumptions!$D$60+SUM($E16:AP16),0)</f>
        <v/>
      </c>
      <c r="AQ17" s="13">
        <f>ROUNDDOWN(Assumptions!$D$60+SUM($E16:AQ16),0)</f>
        <v/>
      </c>
      <c r="AR17" s="13">
        <f>ROUNDDOWN(Assumptions!$D$60+SUM($E16:AR16),0)</f>
        <v/>
      </c>
      <c r="AS17" s="13">
        <f>ROUNDDOWN(Assumptions!$D$60+SUM($E16:AS16),0)</f>
        <v/>
      </c>
      <c r="AT17" s="13">
        <f>ROUNDDOWN(Assumptions!$D$60+SUM($E16:AT16),0)</f>
        <v/>
      </c>
      <c r="AU17" s="13">
        <f>ROUNDDOWN(Assumptions!$D$60+SUM($E16:AU16),0)</f>
        <v/>
      </c>
      <c r="AV17" s="13">
        <f>ROUNDDOWN(Assumptions!$D$60+SUM($E16:AV16),0)</f>
        <v/>
      </c>
      <c r="AW17" s="13">
        <f>ROUNDDOWN(Assumptions!$D$60+SUM($E16:AW16),0)</f>
        <v/>
      </c>
      <c r="AX17" s="13">
        <f>ROUNDDOWN(Assumptions!$D$60+SUM($E16:AX16),0)</f>
        <v/>
      </c>
      <c r="AY17" s="13">
        <f>ROUNDDOWN(Assumptions!$D$60+SUM($E16:AY16),0)</f>
        <v/>
      </c>
      <c r="AZ17" s="13">
        <f>ROUNDDOWN(Assumptions!$D$60+SUM($E16:AZ16),0)</f>
        <v/>
      </c>
      <c r="BA17" s="13">
        <f>ROUNDDOWN(Assumptions!$D$60+SUM($E16:BA16),0)</f>
        <v/>
      </c>
      <c r="BB17" s="13">
        <f>ROUNDDOWN(Assumptions!$D$60+SUM($E16:BB16),0)</f>
        <v/>
      </c>
      <c r="BC17" s="13">
        <f>ROUNDDOWN(Assumptions!$D$60+SUM($E16:BC16),0)</f>
        <v/>
      </c>
      <c r="BD17" s="13">
        <f>ROUNDDOWN(Assumptions!$D$60+SUM($E16:BD16),0)</f>
        <v/>
      </c>
      <c r="BE17" s="13">
        <f>ROUNDDOWN(Assumptions!$D$60+SUM($E16:BE16),0)</f>
        <v/>
      </c>
      <c r="BF17" s="13">
        <f>ROUNDDOWN(Assumptions!$D$60+SUM($E16:BF16),0)</f>
        <v/>
      </c>
      <c r="BG17" s="13">
        <f>ROUNDDOWN(Assumptions!$D$60+SUM($E16:BG16),0)</f>
        <v/>
      </c>
      <c r="BH17" s="13">
        <f>ROUNDDOWN(Assumptions!$D$60+SUM($E16:BH16),0)</f>
        <v/>
      </c>
      <c r="BI17" s="13">
        <f>ROUNDDOWN(Assumptions!$D$60+SUM($E16:BI16),0)</f>
        <v/>
      </c>
      <c r="BJ17" s="13">
        <f>ROUNDDOWN(Assumptions!$D$60+SUM($E16:BJ16),0)</f>
        <v/>
      </c>
      <c r="BK17" s="13">
        <f>ROUNDDOWN(Assumptions!$D$60+SUM($E16:BK16),0)</f>
        <v/>
      </c>
      <c r="BL17" s="13">
        <f>ROUNDDOWN(Assumptions!$D$60+SUM($E16:BL16),0)</f>
        <v/>
      </c>
      <c r="BN17" s="66">
        <f>P17</f>
        <v/>
      </c>
      <c r="BO17" s="66">
        <f>AB17</f>
        <v/>
      </c>
      <c r="BP17" s="66">
        <f>AN17</f>
        <v/>
      </c>
      <c r="BQ17" s="66">
        <f>AZ17</f>
        <v/>
      </c>
      <c r="BR17" s="66">
        <f>BL17</f>
        <v/>
      </c>
      <c r="BT17" s="32" t="inlineStr">
        <is>
          <t>whole people only, so half a rep a month means one every second month</t>
        </is>
      </c>
    </row>
    <row r="18">
      <c r="B18" s="6" t="inlineStr">
        <is>
          <t>Capacity from our own reps</t>
        </is>
      </c>
      <c r="C18" s="17" t="inlineStr">
        <is>
          <t>units/mo</t>
        </is>
      </c>
      <c r="E18" s="9">
        <f>E17*Assumptions!$D$61</f>
        <v/>
      </c>
      <c r="F18" s="9">
        <f>F17*Assumptions!$D$61</f>
        <v/>
      </c>
      <c r="G18" s="9">
        <f>G17*Assumptions!$D$61</f>
        <v/>
      </c>
      <c r="H18" s="9">
        <f>H17*Assumptions!$D$61</f>
        <v/>
      </c>
      <c r="I18" s="9">
        <f>I17*Assumptions!$D$61</f>
        <v/>
      </c>
      <c r="J18" s="9">
        <f>J17*Assumptions!$D$61</f>
        <v/>
      </c>
      <c r="K18" s="9">
        <f>K17*Assumptions!$D$61</f>
        <v/>
      </c>
      <c r="L18" s="9">
        <f>L17*Assumptions!$D$61</f>
        <v/>
      </c>
      <c r="M18" s="9">
        <f>M17*Assumptions!$D$61</f>
        <v/>
      </c>
      <c r="N18" s="9">
        <f>N17*Assumptions!$D$61</f>
        <v/>
      </c>
      <c r="O18" s="9">
        <f>O17*Assumptions!$D$61</f>
        <v/>
      </c>
      <c r="P18" s="9">
        <f>P17*Assumptions!$D$61</f>
        <v/>
      </c>
      <c r="Q18" s="9">
        <f>Q17*Assumptions!$D$61</f>
        <v/>
      </c>
      <c r="R18" s="9">
        <f>R17*Assumptions!$D$61</f>
        <v/>
      </c>
      <c r="S18" s="9">
        <f>S17*Assumptions!$D$61</f>
        <v/>
      </c>
      <c r="T18" s="9">
        <f>T17*Assumptions!$D$61</f>
        <v/>
      </c>
      <c r="U18" s="9">
        <f>U17*Assumptions!$D$61</f>
        <v/>
      </c>
      <c r="V18" s="9">
        <f>V17*Assumptions!$D$61</f>
        <v/>
      </c>
      <c r="W18" s="9">
        <f>W17*Assumptions!$D$61</f>
        <v/>
      </c>
      <c r="X18" s="9">
        <f>X17*Assumptions!$D$61</f>
        <v/>
      </c>
      <c r="Y18" s="9">
        <f>Y17*Assumptions!$D$61</f>
        <v/>
      </c>
      <c r="Z18" s="9">
        <f>Z17*Assumptions!$D$61</f>
        <v/>
      </c>
      <c r="AA18" s="9">
        <f>AA17*Assumptions!$D$61</f>
        <v/>
      </c>
      <c r="AB18" s="9">
        <f>AB17*Assumptions!$D$61</f>
        <v/>
      </c>
      <c r="AC18" s="9">
        <f>AC17*Assumptions!$D$61</f>
        <v/>
      </c>
      <c r="AD18" s="9">
        <f>AD17*Assumptions!$D$61</f>
        <v/>
      </c>
      <c r="AE18" s="9">
        <f>AE17*Assumptions!$D$61</f>
        <v/>
      </c>
      <c r="AF18" s="9">
        <f>AF17*Assumptions!$D$61</f>
        <v/>
      </c>
      <c r="AG18" s="9">
        <f>AG17*Assumptions!$D$61</f>
        <v/>
      </c>
      <c r="AH18" s="9">
        <f>AH17*Assumptions!$D$61</f>
        <v/>
      </c>
      <c r="AI18" s="9">
        <f>AI17*Assumptions!$D$61</f>
        <v/>
      </c>
      <c r="AJ18" s="9">
        <f>AJ17*Assumptions!$D$61</f>
        <v/>
      </c>
      <c r="AK18" s="9">
        <f>AK17*Assumptions!$D$61</f>
        <v/>
      </c>
      <c r="AL18" s="9">
        <f>AL17*Assumptions!$D$61</f>
        <v/>
      </c>
      <c r="AM18" s="9">
        <f>AM17*Assumptions!$D$61</f>
        <v/>
      </c>
      <c r="AN18" s="9">
        <f>AN17*Assumptions!$D$61</f>
        <v/>
      </c>
      <c r="AO18" s="9">
        <f>AO17*Assumptions!$D$61</f>
        <v/>
      </c>
      <c r="AP18" s="9">
        <f>AP17*Assumptions!$D$61</f>
        <v/>
      </c>
      <c r="AQ18" s="9">
        <f>AQ17*Assumptions!$D$61</f>
        <v/>
      </c>
      <c r="AR18" s="9">
        <f>AR17*Assumptions!$D$61</f>
        <v/>
      </c>
      <c r="AS18" s="9">
        <f>AS17*Assumptions!$D$61</f>
        <v/>
      </c>
      <c r="AT18" s="9">
        <f>AT17*Assumptions!$D$61</f>
        <v/>
      </c>
      <c r="AU18" s="9">
        <f>AU17*Assumptions!$D$61</f>
        <v/>
      </c>
      <c r="AV18" s="9">
        <f>AV17*Assumptions!$D$61</f>
        <v/>
      </c>
      <c r="AW18" s="9">
        <f>AW17*Assumptions!$D$61</f>
        <v/>
      </c>
      <c r="AX18" s="9">
        <f>AX17*Assumptions!$D$61</f>
        <v/>
      </c>
      <c r="AY18" s="9">
        <f>AY17*Assumptions!$D$61</f>
        <v/>
      </c>
      <c r="AZ18" s="9">
        <f>AZ17*Assumptions!$D$61</f>
        <v/>
      </c>
      <c r="BA18" s="9">
        <f>BA17*Assumptions!$D$61</f>
        <v/>
      </c>
      <c r="BB18" s="9">
        <f>BB17*Assumptions!$D$61</f>
        <v/>
      </c>
      <c r="BC18" s="9">
        <f>BC17*Assumptions!$D$61</f>
        <v/>
      </c>
      <c r="BD18" s="9">
        <f>BD17*Assumptions!$D$61</f>
        <v/>
      </c>
      <c r="BE18" s="9">
        <f>BE17*Assumptions!$D$61</f>
        <v/>
      </c>
      <c r="BF18" s="9">
        <f>BF17*Assumptions!$D$61</f>
        <v/>
      </c>
      <c r="BG18" s="9">
        <f>BG17*Assumptions!$D$61</f>
        <v/>
      </c>
      <c r="BH18" s="9">
        <f>BH17*Assumptions!$D$61</f>
        <v/>
      </c>
      <c r="BI18" s="9">
        <f>BI17*Assumptions!$D$61</f>
        <v/>
      </c>
      <c r="BJ18" s="9">
        <f>BJ17*Assumptions!$D$61</f>
        <v/>
      </c>
      <c r="BK18" s="9">
        <f>BK17*Assumptions!$D$61</f>
        <v/>
      </c>
      <c r="BL18" s="9">
        <f>BL17*Assumptions!$D$61</f>
        <v/>
      </c>
      <c r="BN18" s="60">
        <f>SUM(E18:P18)</f>
        <v/>
      </c>
      <c r="BO18" s="60">
        <f>SUM(Q18:AB18)</f>
        <v/>
      </c>
      <c r="BP18" s="60">
        <f>SUM(AC18:AN18)</f>
        <v/>
      </c>
      <c r="BQ18" s="60">
        <f>SUM(AO18:AZ18)</f>
        <v/>
      </c>
      <c r="BR18" s="60">
        <f>SUM(BA18:BL18)</f>
        <v/>
      </c>
      <c r="BT18" s="32" t="inlineStr">
        <is>
          <t>every rep in post carries full quota from the month they are hired</t>
        </is>
      </c>
    </row>
    <row r="19">
      <c r="B19" s="6" t="inlineStr">
        <is>
          <t>Partner signing rate</t>
        </is>
      </c>
      <c r="C19" s="17" t="inlineStr">
        <is>
          <t>partners/month</t>
        </is>
      </c>
      <c r="E19" s="64">
        <f>IF(E$3&lt;Assumptions!$D$11,0,HLOOKUP(YEAR(E$3),Assumptions!$D$55:$H$56,2,FALSE))</f>
        <v/>
      </c>
      <c r="F19" s="64">
        <f>IF(F$3&lt;Assumptions!$D$11,0,HLOOKUP(YEAR(F$3),Assumptions!$D$55:$H$56,2,FALSE))</f>
        <v/>
      </c>
      <c r="G19" s="64">
        <f>IF(G$3&lt;Assumptions!$D$11,0,HLOOKUP(YEAR(G$3),Assumptions!$D$55:$H$56,2,FALSE))</f>
        <v/>
      </c>
      <c r="H19" s="64">
        <f>IF(H$3&lt;Assumptions!$D$11,0,HLOOKUP(YEAR(H$3),Assumptions!$D$55:$H$56,2,FALSE))</f>
        <v/>
      </c>
      <c r="I19" s="64">
        <f>IF(I$3&lt;Assumptions!$D$11,0,HLOOKUP(YEAR(I$3),Assumptions!$D$55:$H$56,2,FALSE))</f>
        <v/>
      </c>
      <c r="J19" s="64">
        <f>IF(J$3&lt;Assumptions!$D$11,0,HLOOKUP(YEAR(J$3),Assumptions!$D$55:$H$56,2,FALSE))</f>
        <v/>
      </c>
      <c r="K19" s="64">
        <f>IF(K$3&lt;Assumptions!$D$11,0,HLOOKUP(YEAR(K$3),Assumptions!$D$55:$H$56,2,FALSE))</f>
        <v/>
      </c>
      <c r="L19" s="64">
        <f>IF(L$3&lt;Assumptions!$D$11,0,HLOOKUP(YEAR(L$3),Assumptions!$D$55:$H$56,2,FALSE))</f>
        <v/>
      </c>
      <c r="M19" s="64">
        <f>IF(M$3&lt;Assumptions!$D$11,0,HLOOKUP(YEAR(M$3),Assumptions!$D$55:$H$56,2,FALSE))</f>
        <v/>
      </c>
      <c r="N19" s="64">
        <f>IF(N$3&lt;Assumptions!$D$11,0,HLOOKUP(YEAR(N$3),Assumptions!$D$55:$H$56,2,FALSE))</f>
        <v/>
      </c>
      <c r="O19" s="64">
        <f>IF(O$3&lt;Assumptions!$D$11,0,HLOOKUP(YEAR(O$3),Assumptions!$D$55:$H$56,2,FALSE))</f>
        <v/>
      </c>
      <c r="P19" s="64">
        <f>IF(P$3&lt;Assumptions!$D$11,0,HLOOKUP(YEAR(P$3),Assumptions!$D$55:$H$56,2,FALSE))</f>
        <v/>
      </c>
      <c r="Q19" s="64">
        <f>IF(Q$3&lt;Assumptions!$D$11,0,HLOOKUP(YEAR(Q$3),Assumptions!$D$55:$H$56,2,FALSE))</f>
        <v/>
      </c>
      <c r="R19" s="64">
        <f>IF(R$3&lt;Assumptions!$D$11,0,HLOOKUP(YEAR(R$3),Assumptions!$D$55:$H$56,2,FALSE))</f>
        <v/>
      </c>
      <c r="S19" s="64">
        <f>IF(S$3&lt;Assumptions!$D$11,0,HLOOKUP(YEAR(S$3),Assumptions!$D$55:$H$56,2,FALSE))</f>
        <v/>
      </c>
      <c r="T19" s="64">
        <f>IF(T$3&lt;Assumptions!$D$11,0,HLOOKUP(YEAR(T$3),Assumptions!$D$55:$H$56,2,FALSE))</f>
        <v/>
      </c>
      <c r="U19" s="64">
        <f>IF(U$3&lt;Assumptions!$D$11,0,HLOOKUP(YEAR(U$3),Assumptions!$D$55:$H$56,2,FALSE))</f>
        <v/>
      </c>
      <c r="V19" s="64">
        <f>IF(V$3&lt;Assumptions!$D$11,0,HLOOKUP(YEAR(V$3),Assumptions!$D$55:$H$56,2,FALSE))</f>
        <v/>
      </c>
      <c r="W19" s="64">
        <f>IF(W$3&lt;Assumptions!$D$11,0,HLOOKUP(YEAR(W$3),Assumptions!$D$55:$H$56,2,FALSE))</f>
        <v/>
      </c>
      <c r="X19" s="64">
        <f>IF(X$3&lt;Assumptions!$D$11,0,HLOOKUP(YEAR(X$3),Assumptions!$D$55:$H$56,2,FALSE))</f>
        <v/>
      </c>
      <c r="Y19" s="64">
        <f>IF(Y$3&lt;Assumptions!$D$11,0,HLOOKUP(YEAR(Y$3),Assumptions!$D$55:$H$56,2,FALSE))</f>
        <v/>
      </c>
      <c r="Z19" s="64">
        <f>IF(Z$3&lt;Assumptions!$D$11,0,HLOOKUP(YEAR(Z$3),Assumptions!$D$55:$H$56,2,FALSE))</f>
        <v/>
      </c>
      <c r="AA19" s="64">
        <f>IF(AA$3&lt;Assumptions!$D$11,0,HLOOKUP(YEAR(AA$3),Assumptions!$D$55:$H$56,2,FALSE))</f>
        <v/>
      </c>
      <c r="AB19" s="64">
        <f>IF(AB$3&lt;Assumptions!$D$11,0,HLOOKUP(YEAR(AB$3),Assumptions!$D$55:$H$56,2,FALSE))</f>
        <v/>
      </c>
      <c r="AC19" s="64">
        <f>IF(AC$3&lt;Assumptions!$D$11,0,HLOOKUP(YEAR(AC$3),Assumptions!$D$55:$H$56,2,FALSE))</f>
        <v/>
      </c>
      <c r="AD19" s="64">
        <f>IF(AD$3&lt;Assumptions!$D$11,0,HLOOKUP(YEAR(AD$3),Assumptions!$D$55:$H$56,2,FALSE))</f>
        <v/>
      </c>
      <c r="AE19" s="64">
        <f>IF(AE$3&lt;Assumptions!$D$11,0,HLOOKUP(YEAR(AE$3),Assumptions!$D$55:$H$56,2,FALSE))</f>
        <v/>
      </c>
      <c r="AF19" s="64">
        <f>IF(AF$3&lt;Assumptions!$D$11,0,HLOOKUP(YEAR(AF$3),Assumptions!$D$55:$H$56,2,FALSE))</f>
        <v/>
      </c>
      <c r="AG19" s="64">
        <f>IF(AG$3&lt;Assumptions!$D$11,0,HLOOKUP(YEAR(AG$3),Assumptions!$D$55:$H$56,2,FALSE))</f>
        <v/>
      </c>
      <c r="AH19" s="64">
        <f>IF(AH$3&lt;Assumptions!$D$11,0,HLOOKUP(YEAR(AH$3),Assumptions!$D$55:$H$56,2,FALSE))</f>
        <v/>
      </c>
      <c r="AI19" s="64">
        <f>IF(AI$3&lt;Assumptions!$D$11,0,HLOOKUP(YEAR(AI$3),Assumptions!$D$55:$H$56,2,FALSE))</f>
        <v/>
      </c>
      <c r="AJ19" s="64">
        <f>IF(AJ$3&lt;Assumptions!$D$11,0,HLOOKUP(YEAR(AJ$3),Assumptions!$D$55:$H$56,2,FALSE))</f>
        <v/>
      </c>
      <c r="AK19" s="64">
        <f>IF(AK$3&lt;Assumptions!$D$11,0,HLOOKUP(YEAR(AK$3),Assumptions!$D$55:$H$56,2,FALSE))</f>
        <v/>
      </c>
      <c r="AL19" s="64">
        <f>IF(AL$3&lt;Assumptions!$D$11,0,HLOOKUP(YEAR(AL$3),Assumptions!$D$55:$H$56,2,FALSE))</f>
        <v/>
      </c>
      <c r="AM19" s="64">
        <f>IF(AM$3&lt;Assumptions!$D$11,0,HLOOKUP(YEAR(AM$3),Assumptions!$D$55:$H$56,2,FALSE))</f>
        <v/>
      </c>
      <c r="AN19" s="64">
        <f>IF(AN$3&lt;Assumptions!$D$11,0,HLOOKUP(YEAR(AN$3),Assumptions!$D$55:$H$56,2,FALSE))</f>
        <v/>
      </c>
      <c r="AO19" s="64">
        <f>IF(AO$3&lt;Assumptions!$D$11,0,HLOOKUP(YEAR(AO$3),Assumptions!$D$55:$H$56,2,FALSE))</f>
        <v/>
      </c>
      <c r="AP19" s="64">
        <f>IF(AP$3&lt;Assumptions!$D$11,0,HLOOKUP(YEAR(AP$3),Assumptions!$D$55:$H$56,2,FALSE))</f>
        <v/>
      </c>
      <c r="AQ19" s="64">
        <f>IF(AQ$3&lt;Assumptions!$D$11,0,HLOOKUP(YEAR(AQ$3),Assumptions!$D$55:$H$56,2,FALSE))</f>
        <v/>
      </c>
      <c r="AR19" s="64">
        <f>IF(AR$3&lt;Assumptions!$D$11,0,HLOOKUP(YEAR(AR$3),Assumptions!$D$55:$H$56,2,FALSE))</f>
        <v/>
      </c>
      <c r="AS19" s="64">
        <f>IF(AS$3&lt;Assumptions!$D$11,0,HLOOKUP(YEAR(AS$3),Assumptions!$D$55:$H$56,2,FALSE))</f>
        <v/>
      </c>
      <c r="AT19" s="64">
        <f>IF(AT$3&lt;Assumptions!$D$11,0,HLOOKUP(YEAR(AT$3),Assumptions!$D$55:$H$56,2,FALSE))</f>
        <v/>
      </c>
      <c r="AU19" s="64">
        <f>IF(AU$3&lt;Assumptions!$D$11,0,HLOOKUP(YEAR(AU$3),Assumptions!$D$55:$H$56,2,FALSE))</f>
        <v/>
      </c>
      <c r="AV19" s="64">
        <f>IF(AV$3&lt;Assumptions!$D$11,0,HLOOKUP(YEAR(AV$3),Assumptions!$D$55:$H$56,2,FALSE))</f>
        <v/>
      </c>
      <c r="AW19" s="64">
        <f>IF(AW$3&lt;Assumptions!$D$11,0,HLOOKUP(YEAR(AW$3),Assumptions!$D$55:$H$56,2,FALSE))</f>
        <v/>
      </c>
      <c r="AX19" s="64">
        <f>IF(AX$3&lt;Assumptions!$D$11,0,HLOOKUP(YEAR(AX$3),Assumptions!$D$55:$H$56,2,FALSE))</f>
        <v/>
      </c>
      <c r="AY19" s="64">
        <f>IF(AY$3&lt;Assumptions!$D$11,0,HLOOKUP(YEAR(AY$3),Assumptions!$D$55:$H$56,2,FALSE))</f>
        <v/>
      </c>
      <c r="AZ19" s="64">
        <f>IF(AZ$3&lt;Assumptions!$D$11,0,HLOOKUP(YEAR(AZ$3),Assumptions!$D$55:$H$56,2,FALSE))</f>
        <v/>
      </c>
      <c r="BA19" s="64">
        <f>IF(BA$3&lt;Assumptions!$D$11,0,HLOOKUP(YEAR(BA$3),Assumptions!$D$55:$H$56,2,FALSE))</f>
        <v/>
      </c>
      <c r="BB19" s="64">
        <f>IF(BB$3&lt;Assumptions!$D$11,0,HLOOKUP(YEAR(BB$3),Assumptions!$D$55:$H$56,2,FALSE))</f>
        <v/>
      </c>
      <c r="BC19" s="64">
        <f>IF(BC$3&lt;Assumptions!$D$11,0,HLOOKUP(YEAR(BC$3),Assumptions!$D$55:$H$56,2,FALSE))</f>
        <v/>
      </c>
      <c r="BD19" s="64">
        <f>IF(BD$3&lt;Assumptions!$D$11,0,HLOOKUP(YEAR(BD$3),Assumptions!$D$55:$H$56,2,FALSE))</f>
        <v/>
      </c>
      <c r="BE19" s="64">
        <f>IF(BE$3&lt;Assumptions!$D$11,0,HLOOKUP(YEAR(BE$3),Assumptions!$D$55:$H$56,2,FALSE))</f>
        <v/>
      </c>
      <c r="BF19" s="64">
        <f>IF(BF$3&lt;Assumptions!$D$11,0,HLOOKUP(YEAR(BF$3),Assumptions!$D$55:$H$56,2,FALSE))</f>
        <v/>
      </c>
      <c r="BG19" s="64">
        <f>IF(BG$3&lt;Assumptions!$D$11,0,HLOOKUP(YEAR(BG$3),Assumptions!$D$55:$H$56,2,FALSE))</f>
        <v/>
      </c>
      <c r="BH19" s="64">
        <f>IF(BH$3&lt;Assumptions!$D$11,0,HLOOKUP(YEAR(BH$3),Assumptions!$D$55:$H$56,2,FALSE))</f>
        <v/>
      </c>
      <c r="BI19" s="64">
        <f>IF(BI$3&lt;Assumptions!$D$11,0,HLOOKUP(YEAR(BI$3),Assumptions!$D$55:$H$56,2,FALSE))</f>
        <v/>
      </c>
      <c r="BJ19" s="64">
        <f>IF(BJ$3&lt;Assumptions!$D$11,0,HLOOKUP(YEAR(BJ$3),Assumptions!$D$55:$H$56,2,FALSE))</f>
        <v/>
      </c>
      <c r="BK19" s="64">
        <f>IF(BK$3&lt;Assumptions!$D$11,0,HLOOKUP(YEAR(BK$3),Assumptions!$D$55:$H$56,2,FALSE))</f>
        <v/>
      </c>
      <c r="BL19" s="64">
        <f>IF(BL$3&lt;Assumptions!$D$11,0,HLOOKUP(YEAR(BL$3),Assumptions!$D$55:$H$56,2,FALSE))</f>
        <v/>
      </c>
      <c r="BN19" s="65">
        <f>SUM(E19:P19)</f>
        <v/>
      </c>
      <c r="BO19" s="65">
        <f>SUM(Q19:AB19)</f>
        <v/>
      </c>
      <c r="BP19" s="65">
        <f>SUM(AC19:AN19)</f>
        <v/>
      </c>
      <c r="BQ19" s="65">
        <f>SUM(AO19:AZ19)</f>
        <v/>
      </c>
      <c r="BR19" s="65">
        <f>SUM(BA19:BL19)</f>
        <v/>
      </c>
      <c r="BT19" s="32" t="inlineStr">
        <is>
          <t>the planned rate, which can be less than one a month</t>
        </is>
      </c>
    </row>
    <row r="20">
      <c r="B20" s="6" t="inlineStr">
        <is>
          <t>Installer partners on the books</t>
        </is>
      </c>
      <c r="C20" s="17" t="inlineStr">
        <is>
          <t>partners</t>
        </is>
      </c>
      <c r="E20" s="13">
        <f>ROUNDDOWN(Assumptions!$D$62+SUM($E19:E19),0)</f>
        <v/>
      </c>
      <c r="F20" s="13">
        <f>ROUNDDOWN(Assumptions!$D$62+SUM($E19:F19),0)</f>
        <v/>
      </c>
      <c r="G20" s="13">
        <f>ROUNDDOWN(Assumptions!$D$62+SUM($E19:G19),0)</f>
        <v/>
      </c>
      <c r="H20" s="13">
        <f>ROUNDDOWN(Assumptions!$D$62+SUM($E19:H19),0)</f>
        <v/>
      </c>
      <c r="I20" s="13">
        <f>ROUNDDOWN(Assumptions!$D$62+SUM($E19:I19),0)</f>
        <v/>
      </c>
      <c r="J20" s="13">
        <f>ROUNDDOWN(Assumptions!$D$62+SUM($E19:J19),0)</f>
        <v/>
      </c>
      <c r="K20" s="13">
        <f>ROUNDDOWN(Assumptions!$D$62+SUM($E19:K19),0)</f>
        <v/>
      </c>
      <c r="L20" s="13">
        <f>ROUNDDOWN(Assumptions!$D$62+SUM($E19:L19),0)</f>
        <v/>
      </c>
      <c r="M20" s="13">
        <f>ROUNDDOWN(Assumptions!$D$62+SUM($E19:M19),0)</f>
        <v/>
      </c>
      <c r="N20" s="13">
        <f>ROUNDDOWN(Assumptions!$D$62+SUM($E19:N19),0)</f>
        <v/>
      </c>
      <c r="O20" s="13">
        <f>ROUNDDOWN(Assumptions!$D$62+SUM($E19:O19),0)</f>
        <v/>
      </c>
      <c r="P20" s="13">
        <f>ROUNDDOWN(Assumptions!$D$62+SUM($E19:P19),0)</f>
        <v/>
      </c>
      <c r="Q20" s="13">
        <f>ROUNDDOWN(Assumptions!$D$62+SUM($E19:Q19),0)</f>
        <v/>
      </c>
      <c r="R20" s="13">
        <f>ROUNDDOWN(Assumptions!$D$62+SUM($E19:R19),0)</f>
        <v/>
      </c>
      <c r="S20" s="13">
        <f>ROUNDDOWN(Assumptions!$D$62+SUM($E19:S19),0)</f>
        <v/>
      </c>
      <c r="T20" s="13">
        <f>ROUNDDOWN(Assumptions!$D$62+SUM($E19:T19),0)</f>
        <v/>
      </c>
      <c r="U20" s="13">
        <f>ROUNDDOWN(Assumptions!$D$62+SUM($E19:U19),0)</f>
        <v/>
      </c>
      <c r="V20" s="13">
        <f>ROUNDDOWN(Assumptions!$D$62+SUM($E19:V19),0)</f>
        <v/>
      </c>
      <c r="W20" s="13">
        <f>ROUNDDOWN(Assumptions!$D$62+SUM($E19:W19),0)</f>
        <v/>
      </c>
      <c r="X20" s="13">
        <f>ROUNDDOWN(Assumptions!$D$62+SUM($E19:X19),0)</f>
        <v/>
      </c>
      <c r="Y20" s="13">
        <f>ROUNDDOWN(Assumptions!$D$62+SUM($E19:Y19),0)</f>
        <v/>
      </c>
      <c r="Z20" s="13">
        <f>ROUNDDOWN(Assumptions!$D$62+SUM($E19:Z19),0)</f>
        <v/>
      </c>
      <c r="AA20" s="13">
        <f>ROUNDDOWN(Assumptions!$D$62+SUM($E19:AA19),0)</f>
        <v/>
      </c>
      <c r="AB20" s="13">
        <f>ROUNDDOWN(Assumptions!$D$62+SUM($E19:AB19),0)</f>
        <v/>
      </c>
      <c r="AC20" s="13">
        <f>ROUNDDOWN(Assumptions!$D$62+SUM($E19:AC19),0)</f>
        <v/>
      </c>
      <c r="AD20" s="13">
        <f>ROUNDDOWN(Assumptions!$D$62+SUM($E19:AD19),0)</f>
        <v/>
      </c>
      <c r="AE20" s="13">
        <f>ROUNDDOWN(Assumptions!$D$62+SUM($E19:AE19),0)</f>
        <v/>
      </c>
      <c r="AF20" s="13">
        <f>ROUNDDOWN(Assumptions!$D$62+SUM($E19:AF19),0)</f>
        <v/>
      </c>
      <c r="AG20" s="13">
        <f>ROUNDDOWN(Assumptions!$D$62+SUM($E19:AG19),0)</f>
        <v/>
      </c>
      <c r="AH20" s="13">
        <f>ROUNDDOWN(Assumptions!$D$62+SUM($E19:AH19),0)</f>
        <v/>
      </c>
      <c r="AI20" s="13">
        <f>ROUNDDOWN(Assumptions!$D$62+SUM($E19:AI19),0)</f>
        <v/>
      </c>
      <c r="AJ20" s="13">
        <f>ROUNDDOWN(Assumptions!$D$62+SUM($E19:AJ19),0)</f>
        <v/>
      </c>
      <c r="AK20" s="13">
        <f>ROUNDDOWN(Assumptions!$D$62+SUM($E19:AK19),0)</f>
        <v/>
      </c>
      <c r="AL20" s="13">
        <f>ROUNDDOWN(Assumptions!$D$62+SUM($E19:AL19),0)</f>
        <v/>
      </c>
      <c r="AM20" s="13">
        <f>ROUNDDOWN(Assumptions!$D$62+SUM($E19:AM19),0)</f>
        <v/>
      </c>
      <c r="AN20" s="13">
        <f>ROUNDDOWN(Assumptions!$D$62+SUM($E19:AN19),0)</f>
        <v/>
      </c>
      <c r="AO20" s="13">
        <f>ROUNDDOWN(Assumptions!$D$62+SUM($E19:AO19),0)</f>
        <v/>
      </c>
      <c r="AP20" s="13">
        <f>ROUNDDOWN(Assumptions!$D$62+SUM($E19:AP19),0)</f>
        <v/>
      </c>
      <c r="AQ20" s="13">
        <f>ROUNDDOWN(Assumptions!$D$62+SUM($E19:AQ19),0)</f>
        <v/>
      </c>
      <c r="AR20" s="13">
        <f>ROUNDDOWN(Assumptions!$D$62+SUM($E19:AR19),0)</f>
        <v/>
      </c>
      <c r="AS20" s="13">
        <f>ROUNDDOWN(Assumptions!$D$62+SUM($E19:AS19),0)</f>
        <v/>
      </c>
      <c r="AT20" s="13">
        <f>ROUNDDOWN(Assumptions!$D$62+SUM($E19:AT19),0)</f>
        <v/>
      </c>
      <c r="AU20" s="13">
        <f>ROUNDDOWN(Assumptions!$D$62+SUM($E19:AU19),0)</f>
        <v/>
      </c>
      <c r="AV20" s="13">
        <f>ROUNDDOWN(Assumptions!$D$62+SUM($E19:AV19),0)</f>
        <v/>
      </c>
      <c r="AW20" s="13">
        <f>ROUNDDOWN(Assumptions!$D$62+SUM($E19:AW19),0)</f>
        <v/>
      </c>
      <c r="AX20" s="13">
        <f>ROUNDDOWN(Assumptions!$D$62+SUM($E19:AX19),0)</f>
        <v/>
      </c>
      <c r="AY20" s="13">
        <f>ROUNDDOWN(Assumptions!$D$62+SUM($E19:AY19),0)</f>
        <v/>
      </c>
      <c r="AZ20" s="13">
        <f>ROUNDDOWN(Assumptions!$D$62+SUM($E19:AZ19),0)</f>
        <v/>
      </c>
      <c r="BA20" s="13">
        <f>ROUNDDOWN(Assumptions!$D$62+SUM($E19:BA19),0)</f>
        <v/>
      </c>
      <c r="BB20" s="13">
        <f>ROUNDDOWN(Assumptions!$D$62+SUM($E19:BB19),0)</f>
        <v/>
      </c>
      <c r="BC20" s="13">
        <f>ROUNDDOWN(Assumptions!$D$62+SUM($E19:BC19),0)</f>
        <v/>
      </c>
      <c r="BD20" s="13">
        <f>ROUNDDOWN(Assumptions!$D$62+SUM($E19:BD19),0)</f>
        <v/>
      </c>
      <c r="BE20" s="13">
        <f>ROUNDDOWN(Assumptions!$D$62+SUM($E19:BE19),0)</f>
        <v/>
      </c>
      <c r="BF20" s="13">
        <f>ROUNDDOWN(Assumptions!$D$62+SUM($E19:BF19),0)</f>
        <v/>
      </c>
      <c r="BG20" s="13">
        <f>ROUNDDOWN(Assumptions!$D$62+SUM($E19:BG19),0)</f>
        <v/>
      </c>
      <c r="BH20" s="13">
        <f>ROUNDDOWN(Assumptions!$D$62+SUM($E19:BH19),0)</f>
        <v/>
      </c>
      <c r="BI20" s="13">
        <f>ROUNDDOWN(Assumptions!$D$62+SUM($E19:BI19),0)</f>
        <v/>
      </c>
      <c r="BJ20" s="13">
        <f>ROUNDDOWN(Assumptions!$D$62+SUM($E19:BJ19),0)</f>
        <v/>
      </c>
      <c r="BK20" s="13">
        <f>ROUNDDOWN(Assumptions!$D$62+SUM($E19:BK19),0)</f>
        <v/>
      </c>
      <c r="BL20" s="13">
        <f>ROUNDDOWN(Assumptions!$D$62+SUM($E19:BL19),0)</f>
        <v/>
      </c>
      <c r="BN20" s="66">
        <f>P20</f>
        <v/>
      </c>
      <c r="BO20" s="66">
        <f>AB20</f>
        <v/>
      </c>
      <c r="BP20" s="66">
        <f>AN20</f>
        <v/>
      </c>
      <c r="BQ20" s="66">
        <f>AZ20</f>
        <v/>
      </c>
      <c r="BR20" s="66">
        <f>BL20</f>
        <v/>
      </c>
      <c r="BT20" s="32" t="inlineStr">
        <is>
          <t>whole partners only, signed as the running total passes each whole number</t>
        </is>
      </c>
    </row>
    <row r="21">
      <c r="B21" s="6" t="inlineStr">
        <is>
          <t>Capacity from the installer channel</t>
        </is>
      </c>
      <c r="C21" s="17" t="inlineStr">
        <is>
          <t>units/mo</t>
        </is>
      </c>
      <c r="E21" s="9">
        <f>E20*Assumptions!$D$63</f>
        <v/>
      </c>
      <c r="F21" s="9">
        <f>F20*Assumptions!$D$63</f>
        <v/>
      </c>
      <c r="G21" s="9">
        <f>G20*Assumptions!$D$63</f>
        <v/>
      </c>
      <c r="H21" s="9">
        <f>H20*Assumptions!$D$63</f>
        <v/>
      </c>
      <c r="I21" s="9">
        <f>I20*Assumptions!$D$63</f>
        <v/>
      </c>
      <c r="J21" s="9">
        <f>J20*Assumptions!$D$63</f>
        <v/>
      </c>
      <c r="K21" s="9">
        <f>K20*Assumptions!$D$63</f>
        <v/>
      </c>
      <c r="L21" s="9">
        <f>L20*Assumptions!$D$63</f>
        <v/>
      </c>
      <c r="M21" s="9">
        <f>M20*Assumptions!$D$63</f>
        <v/>
      </c>
      <c r="N21" s="9">
        <f>N20*Assumptions!$D$63</f>
        <v/>
      </c>
      <c r="O21" s="9">
        <f>O20*Assumptions!$D$63</f>
        <v/>
      </c>
      <c r="P21" s="9">
        <f>P20*Assumptions!$D$63</f>
        <v/>
      </c>
      <c r="Q21" s="9">
        <f>Q20*Assumptions!$D$63</f>
        <v/>
      </c>
      <c r="R21" s="9">
        <f>R20*Assumptions!$D$63</f>
        <v/>
      </c>
      <c r="S21" s="9">
        <f>S20*Assumptions!$D$63</f>
        <v/>
      </c>
      <c r="T21" s="9">
        <f>T20*Assumptions!$D$63</f>
        <v/>
      </c>
      <c r="U21" s="9">
        <f>U20*Assumptions!$D$63</f>
        <v/>
      </c>
      <c r="V21" s="9">
        <f>V20*Assumptions!$D$63</f>
        <v/>
      </c>
      <c r="W21" s="9">
        <f>W20*Assumptions!$D$63</f>
        <v/>
      </c>
      <c r="X21" s="9">
        <f>X20*Assumptions!$D$63</f>
        <v/>
      </c>
      <c r="Y21" s="9">
        <f>Y20*Assumptions!$D$63</f>
        <v/>
      </c>
      <c r="Z21" s="9">
        <f>Z20*Assumptions!$D$63</f>
        <v/>
      </c>
      <c r="AA21" s="9">
        <f>AA20*Assumptions!$D$63</f>
        <v/>
      </c>
      <c r="AB21" s="9">
        <f>AB20*Assumptions!$D$63</f>
        <v/>
      </c>
      <c r="AC21" s="9">
        <f>AC20*Assumptions!$D$63</f>
        <v/>
      </c>
      <c r="AD21" s="9">
        <f>AD20*Assumptions!$D$63</f>
        <v/>
      </c>
      <c r="AE21" s="9">
        <f>AE20*Assumptions!$D$63</f>
        <v/>
      </c>
      <c r="AF21" s="9">
        <f>AF20*Assumptions!$D$63</f>
        <v/>
      </c>
      <c r="AG21" s="9">
        <f>AG20*Assumptions!$D$63</f>
        <v/>
      </c>
      <c r="AH21" s="9">
        <f>AH20*Assumptions!$D$63</f>
        <v/>
      </c>
      <c r="AI21" s="9">
        <f>AI20*Assumptions!$D$63</f>
        <v/>
      </c>
      <c r="AJ21" s="9">
        <f>AJ20*Assumptions!$D$63</f>
        <v/>
      </c>
      <c r="AK21" s="9">
        <f>AK20*Assumptions!$D$63</f>
        <v/>
      </c>
      <c r="AL21" s="9">
        <f>AL20*Assumptions!$D$63</f>
        <v/>
      </c>
      <c r="AM21" s="9">
        <f>AM20*Assumptions!$D$63</f>
        <v/>
      </c>
      <c r="AN21" s="9">
        <f>AN20*Assumptions!$D$63</f>
        <v/>
      </c>
      <c r="AO21" s="9">
        <f>AO20*Assumptions!$D$63</f>
        <v/>
      </c>
      <c r="AP21" s="9">
        <f>AP20*Assumptions!$D$63</f>
        <v/>
      </c>
      <c r="AQ21" s="9">
        <f>AQ20*Assumptions!$D$63</f>
        <v/>
      </c>
      <c r="AR21" s="9">
        <f>AR20*Assumptions!$D$63</f>
        <v/>
      </c>
      <c r="AS21" s="9">
        <f>AS20*Assumptions!$D$63</f>
        <v/>
      </c>
      <c r="AT21" s="9">
        <f>AT20*Assumptions!$D$63</f>
        <v/>
      </c>
      <c r="AU21" s="9">
        <f>AU20*Assumptions!$D$63</f>
        <v/>
      </c>
      <c r="AV21" s="9">
        <f>AV20*Assumptions!$D$63</f>
        <v/>
      </c>
      <c r="AW21" s="9">
        <f>AW20*Assumptions!$D$63</f>
        <v/>
      </c>
      <c r="AX21" s="9">
        <f>AX20*Assumptions!$D$63</f>
        <v/>
      </c>
      <c r="AY21" s="9">
        <f>AY20*Assumptions!$D$63</f>
        <v/>
      </c>
      <c r="AZ21" s="9">
        <f>AZ20*Assumptions!$D$63</f>
        <v/>
      </c>
      <c r="BA21" s="9">
        <f>BA20*Assumptions!$D$63</f>
        <v/>
      </c>
      <c r="BB21" s="9">
        <f>BB20*Assumptions!$D$63</f>
        <v/>
      </c>
      <c r="BC21" s="9">
        <f>BC20*Assumptions!$D$63</f>
        <v/>
      </c>
      <c r="BD21" s="9">
        <f>BD20*Assumptions!$D$63</f>
        <v/>
      </c>
      <c r="BE21" s="9">
        <f>BE20*Assumptions!$D$63</f>
        <v/>
      </c>
      <c r="BF21" s="9">
        <f>BF20*Assumptions!$D$63</f>
        <v/>
      </c>
      <c r="BG21" s="9">
        <f>BG20*Assumptions!$D$63</f>
        <v/>
      </c>
      <c r="BH21" s="9">
        <f>BH20*Assumptions!$D$63</f>
        <v/>
      </c>
      <c r="BI21" s="9">
        <f>BI20*Assumptions!$D$63</f>
        <v/>
      </c>
      <c r="BJ21" s="9">
        <f>BJ20*Assumptions!$D$63</f>
        <v/>
      </c>
      <c r="BK21" s="9">
        <f>BK20*Assumptions!$D$63</f>
        <v/>
      </c>
      <c r="BL21" s="9">
        <f>BL20*Assumptions!$D$63</f>
        <v/>
      </c>
      <c r="BN21" s="60">
        <f>SUM(E21:P21)</f>
        <v/>
      </c>
      <c r="BO21" s="60">
        <f>SUM(Q21:AB21)</f>
        <v/>
      </c>
      <c r="BP21" s="60">
        <f>SUM(AC21:AN21)</f>
        <v/>
      </c>
      <c r="BQ21" s="60">
        <f>SUM(AO21:AZ21)</f>
        <v/>
      </c>
      <c r="BR21" s="60">
        <f>SUM(BA21:BL21)</f>
        <v/>
      </c>
      <c r="BT21" s="32" t="inlineStr">
        <is>
          <t>every partner on the books sells full volume from the month they are signed</t>
        </is>
      </c>
    </row>
    <row r="22">
      <c r="B22" s="56" t="inlineStr">
        <is>
          <t>Selling capacity</t>
        </is>
      </c>
      <c r="C22" s="57" t="inlineStr">
        <is>
          <t>units/mo</t>
        </is>
      </c>
      <c r="E22" s="61">
        <f>MIN(IFERROR(E18/E15,1000000),IFERROR(E21/(1-E15),1000000))</f>
        <v/>
      </c>
      <c r="F22" s="61">
        <f>MIN(IFERROR(F18/F15,1000000),IFERROR(F21/(1-F15),1000000))</f>
        <v/>
      </c>
      <c r="G22" s="61">
        <f>MIN(IFERROR(G18/G15,1000000),IFERROR(G21/(1-G15),1000000))</f>
        <v/>
      </c>
      <c r="H22" s="61">
        <f>MIN(IFERROR(H18/H15,1000000),IFERROR(H21/(1-H15),1000000))</f>
        <v/>
      </c>
      <c r="I22" s="61">
        <f>MIN(IFERROR(I18/I15,1000000),IFERROR(I21/(1-I15),1000000))</f>
        <v/>
      </c>
      <c r="J22" s="61">
        <f>MIN(IFERROR(J18/J15,1000000),IFERROR(J21/(1-J15),1000000))</f>
        <v/>
      </c>
      <c r="K22" s="61">
        <f>MIN(IFERROR(K18/K15,1000000),IFERROR(K21/(1-K15),1000000))</f>
        <v/>
      </c>
      <c r="L22" s="61">
        <f>MIN(IFERROR(L18/L15,1000000),IFERROR(L21/(1-L15),1000000))</f>
        <v/>
      </c>
      <c r="M22" s="61">
        <f>MIN(IFERROR(M18/M15,1000000),IFERROR(M21/(1-M15),1000000))</f>
        <v/>
      </c>
      <c r="N22" s="61">
        <f>MIN(IFERROR(N18/N15,1000000),IFERROR(N21/(1-N15),1000000))</f>
        <v/>
      </c>
      <c r="O22" s="61">
        <f>MIN(IFERROR(O18/O15,1000000),IFERROR(O21/(1-O15),1000000))</f>
        <v/>
      </c>
      <c r="P22" s="61">
        <f>MIN(IFERROR(P18/P15,1000000),IFERROR(P21/(1-P15),1000000))</f>
        <v/>
      </c>
      <c r="Q22" s="61">
        <f>MIN(IFERROR(Q18/Q15,1000000),IFERROR(Q21/(1-Q15),1000000))</f>
        <v/>
      </c>
      <c r="R22" s="61">
        <f>MIN(IFERROR(R18/R15,1000000),IFERROR(R21/(1-R15),1000000))</f>
        <v/>
      </c>
      <c r="S22" s="61">
        <f>MIN(IFERROR(S18/S15,1000000),IFERROR(S21/(1-S15),1000000))</f>
        <v/>
      </c>
      <c r="T22" s="61">
        <f>MIN(IFERROR(T18/T15,1000000),IFERROR(T21/(1-T15),1000000))</f>
        <v/>
      </c>
      <c r="U22" s="61">
        <f>MIN(IFERROR(U18/U15,1000000),IFERROR(U21/(1-U15),1000000))</f>
        <v/>
      </c>
      <c r="V22" s="61">
        <f>MIN(IFERROR(V18/V15,1000000),IFERROR(V21/(1-V15),1000000))</f>
        <v/>
      </c>
      <c r="W22" s="61">
        <f>MIN(IFERROR(W18/W15,1000000),IFERROR(W21/(1-W15),1000000))</f>
        <v/>
      </c>
      <c r="X22" s="61">
        <f>MIN(IFERROR(X18/X15,1000000),IFERROR(X21/(1-X15),1000000))</f>
        <v/>
      </c>
      <c r="Y22" s="61">
        <f>MIN(IFERROR(Y18/Y15,1000000),IFERROR(Y21/(1-Y15),1000000))</f>
        <v/>
      </c>
      <c r="Z22" s="61">
        <f>MIN(IFERROR(Z18/Z15,1000000),IFERROR(Z21/(1-Z15),1000000))</f>
        <v/>
      </c>
      <c r="AA22" s="61">
        <f>MIN(IFERROR(AA18/AA15,1000000),IFERROR(AA21/(1-AA15),1000000))</f>
        <v/>
      </c>
      <c r="AB22" s="61">
        <f>MIN(IFERROR(AB18/AB15,1000000),IFERROR(AB21/(1-AB15),1000000))</f>
        <v/>
      </c>
      <c r="AC22" s="61">
        <f>MIN(IFERROR(AC18/AC15,1000000),IFERROR(AC21/(1-AC15),1000000))</f>
        <v/>
      </c>
      <c r="AD22" s="61">
        <f>MIN(IFERROR(AD18/AD15,1000000),IFERROR(AD21/(1-AD15),1000000))</f>
        <v/>
      </c>
      <c r="AE22" s="61">
        <f>MIN(IFERROR(AE18/AE15,1000000),IFERROR(AE21/(1-AE15),1000000))</f>
        <v/>
      </c>
      <c r="AF22" s="61">
        <f>MIN(IFERROR(AF18/AF15,1000000),IFERROR(AF21/(1-AF15),1000000))</f>
        <v/>
      </c>
      <c r="AG22" s="61">
        <f>MIN(IFERROR(AG18/AG15,1000000),IFERROR(AG21/(1-AG15),1000000))</f>
        <v/>
      </c>
      <c r="AH22" s="61">
        <f>MIN(IFERROR(AH18/AH15,1000000),IFERROR(AH21/(1-AH15),1000000))</f>
        <v/>
      </c>
      <c r="AI22" s="61">
        <f>MIN(IFERROR(AI18/AI15,1000000),IFERROR(AI21/(1-AI15),1000000))</f>
        <v/>
      </c>
      <c r="AJ22" s="61">
        <f>MIN(IFERROR(AJ18/AJ15,1000000),IFERROR(AJ21/(1-AJ15),1000000))</f>
        <v/>
      </c>
      <c r="AK22" s="61">
        <f>MIN(IFERROR(AK18/AK15,1000000),IFERROR(AK21/(1-AK15),1000000))</f>
        <v/>
      </c>
      <c r="AL22" s="61">
        <f>MIN(IFERROR(AL18/AL15,1000000),IFERROR(AL21/(1-AL15),1000000))</f>
        <v/>
      </c>
      <c r="AM22" s="61">
        <f>MIN(IFERROR(AM18/AM15,1000000),IFERROR(AM21/(1-AM15),1000000))</f>
        <v/>
      </c>
      <c r="AN22" s="61">
        <f>MIN(IFERROR(AN18/AN15,1000000),IFERROR(AN21/(1-AN15),1000000))</f>
        <v/>
      </c>
      <c r="AO22" s="61">
        <f>MIN(IFERROR(AO18/AO15,1000000),IFERROR(AO21/(1-AO15),1000000))</f>
        <v/>
      </c>
      <c r="AP22" s="61">
        <f>MIN(IFERROR(AP18/AP15,1000000),IFERROR(AP21/(1-AP15),1000000))</f>
        <v/>
      </c>
      <c r="AQ22" s="61">
        <f>MIN(IFERROR(AQ18/AQ15,1000000),IFERROR(AQ21/(1-AQ15),1000000))</f>
        <v/>
      </c>
      <c r="AR22" s="61">
        <f>MIN(IFERROR(AR18/AR15,1000000),IFERROR(AR21/(1-AR15),1000000))</f>
        <v/>
      </c>
      <c r="AS22" s="61">
        <f>MIN(IFERROR(AS18/AS15,1000000),IFERROR(AS21/(1-AS15),1000000))</f>
        <v/>
      </c>
      <c r="AT22" s="61">
        <f>MIN(IFERROR(AT18/AT15,1000000),IFERROR(AT21/(1-AT15),1000000))</f>
        <v/>
      </c>
      <c r="AU22" s="61">
        <f>MIN(IFERROR(AU18/AU15,1000000),IFERROR(AU21/(1-AU15),1000000))</f>
        <v/>
      </c>
      <c r="AV22" s="61">
        <f>MIN(IFERROR(AV18/AV15,1000000),IFERROR(AV21/(1-AV15),1000000))</f>
        <v/>
      </c>
      <c r="AW22" s="61">
        <f>MIN(IFERROR(AW18/AW15,1000000),IFERROR(AW21/(1-AW15),1000000))</f>
        <v/>
      </c>
      <c r="AX22" s="61">
        <f>MIN(IFERROR(AX18/AX15,1000000),IFERROR(AX21/(1-AX15),1000000))</f>
        <v/>
      </c>
      <c r="AY22" s="61">
        <f>MIN(IFERROR(AY18/AY15,1000000),IFERROR(AY21/(1-AY15),1000000))</f>
        <v/>
      </c>
      <c r="AZ22" s="61">
        <f>MIN(IFERROR(AZ18/AZ15,1000000),IFERROR(AZ21/(1-AZ15),1000000))</f>
        <v/>
      </c>
      <c r="BA22" s="61">
        <f>MIN(IFERROR(BA18/BA15,1000000),IFERROR(BA21/(1-BA15),1000000))</f>
        <v/>
      </c>
      <c r="BB22" s="61">
        <f>MIN(IFERROR(BB18/BB15,1000000),IFERROR(BB21/(1-BB15),1000000))</f>
        <v/>
      </c>
      <c r="BC22" s="61">
        <f>MIN(IFERROR(BC18/BC15,1000000),IFERROR(BC21/(1-BC15),1000000))</f>
        <v/>
      </c>
      <c r="BD22" s="61">
        <f>MIN(IFERROR(BD18/BD15,1000000),IFERROR(BD21/(1-BD15),1000000))</f>
        <v/>
      </c>
      <c r="BE22" s="61">
        <f>MIN(IFERROR(BE18/BE15,1000000),IFERROR(BE21/(1-BE15),1000000))</f>
        <v/>
      </c>
      <c r="BF22" s="61">
        <f>MIN(IFERROR(BF18/BF15,1000000),IFERROR(BF21/(1-BF15),1000000))</f>
        <v/>
      </c>
      <c r="BG22" s="61">
        <f>MIN(IFERROR(BG18/BG15,1000000),IFERROR(BG21/(1-BG15),1000000))</f>
        <v/>
      </c>
      <c r="BH22" s="61">
        <f>MIN(IFERROR(BH18/BH15,1000000),IFERROR(BH21/(1-BH15),1000000))</f>
        <v/>
      </c>
      <c r="BI22" s="61">
        <f>MIN(IFERROR(BI18/BI15,1000000),IFERROR(BI21/(1-BI15),1000000))</f>
        <v/>
      </c>
      <c r="BJ22" s="61">
        <f>MIN(IFERROR(BJ18/BJ15,1000000),IFERROR(BJ21/(1-BJ15),1000000))</f>
        <v/>
      </c>
      <c r="BK22" s="61">
        <f>MIN(IFERROR(BK18/BK15,1000000),IFERROR(BK21/(1-BK15),1000000))</f>
        <v/>
      </c>
      <c r="BL22" s="61">
        <f>MIN(IFERROR(BL18/BL15,1000000),IFERROR(BL21/(1-BL15),1000000))</f>
        <v/>
      </c>
      <c r="BN22" s="61">
        <f>SUM(E22:P22)</f>
        <v/>
      </c>
      <c r="BO22" s="61">
        <f>SUM(Q22:AB22)</f>
        <v/>
      </c>
      <c r="BP22" s="61">
        <f>SUM(AC22:AN22)</f>
        <v/>
      </c>
      <c r="BQ22" s="61">
        <f>SUM(AO22:AZ22)</f>
        <v/>
      </c>
      <c r="BR22" s="61">
        <f>SUM(BA22:BL22)</f>
        <v/>
      </c>
      <c r="BT22" s="32" t="inlineStr">
        <is>
          <t>our reps must cover the direct share and the partners the rest, so the mix caps it</t>
        </is>
      </c>
    </row>
    <row r="23">
      <c r="B23" s="6" t="inlineStr">
        <is>
          <t>Partner managers needed</t>
        </is>
      </c>
      <c r="C23" s="17" t="inlineStr">
        <is>
          <t>FTE</t>
        </is>
      </c>
      <c r="E23" s="9">
        <f>ROUND(E20/Assumptions!$D$65,0)</f>
        <v/>
      </c>
      <c r="F23" s="9">
        <f>ROUND(F20/Assumptions!$D$65,0)</f>
        <v/>
      </c>
      <c r="G23" s="9">
        <f>ROUND(G20/Assumptions!$D$65,0)</f>
        <v/>
      </c>
      <c r="H23" s="9">
        <f>ROUND(H20/Assumptions!$D$65,0)</f>
        <v/>
      </c>
      <c r="I23" s="9">
        <f>ROUND(I20/Assumptions!$D$65,0)</f>
        <v/>
      </c>
      <c r="J23" s="9">
        <f>ROUND(J20/Assumptions!$D$65,0)</f>
        <v/>
      </c>
      <c r="K23" s="9">
        <f>ROUND(K20/Assumptions!$D$65,0)</f>
        <v/>
      </c>
      <c r="L23" s="9">
        <f>ROUND(L20/Assumptions!$D$65,0)</f>
        <v/>
      </c>
      <c r="M23" s="9">
        <f>ROUND(M20/Assumptions!$D$65,0)</f>
        <v/>
      </c>
      <c r="N23" s="9">
        <f>ROUND(N20/Assumptions!$D$65,0)</f>
        <v/>
      </c>
      <c r="O23" s="9">
        <f>ROUND(O20/Assumptions!$D$65,0)</f>
        <v/>
      </c>
      <c r="P23" s="9">
        <f>ROUND(P20/Assumptions!$D$65,0)</f>
        <v/>
      </c>
      <c r="Q23" s="9">
        <f>ROUND(Q20/Assumptions!$D$65,0)</f>
        <v/>
      </c>
      <c r="R23" s="9">
        <f>ROUND(R20/Assumptions!$D$65,0)</f>
        <v/>
      </c>
      <c r="S23" s="9">
        <f>ROUND(S20/Assumptions!$D$65,0)</f>
        <v/>
      </c>
      <c r="T23" s="9">
        <f>ROUND(T20/Assumptions!$D$65,0)</f>
        <v/>
      </c>
      <c r="U23" s="9">
        <f>ROUND(U20/Assumptions!$D$65,0)</f>
        <v/>
      </c>
      <c r="V23" s="9">
        <f>ROUND(V20/Assumptions!$D$65,0)</f>
        <v/>
      </c>
      <c r="W23" s="9">
        <f>ROUND(W20/Assumptions!$D$65,0)</f>
        <v/>
      </c>
      <c r="X23" s="9">
        <f>ROUND(X20/Assumptions!$D$65,0)</f>
        <v/>
      </c>
      <c r="Y23" s="9">
        <f>ROUND(Y20/Assumptions!$D$65,0)</f>
        <v/>
      </c>
      <c r="Z23" s="9">
        <f>ROUND(Z20/Assumptions!$D$65,0)</f>
        <v/>
      </c>
      <c r="AA23" s="9">
        <f>ROUND(AA20/Assumptions!$D$65,0)</f>
        <v/>
      </c>
      <c r="AB23" s="9">
        <f>ROUND(AB20/Assumptions!$D$65,0)</f>
        <v/>
      </c>
      <c r="AC23" s="9">
        <f>ROUND(AC20/Assumptions!$D$65,0)</f>
        <v/>
      </c>
      <c r="AD23" s="9">
        <f>ROUND(AD20/Assumptions!$D$65,0)</f>
        <v/>
      </c>
      <c r="AE23" s="9">
        <f>ROUND(AE20/Assumptions!$D$65,0)</f>
        <v/>
      </c>
      <c r="AF23" s="9">
        <f>ROUND(AF20/Assumptions!$D$65,0)</f>
        <v/>
      </c>
      <c r="AG23" s="9">
        <f>ROUND(AG20/Assumptions!$D$65,0)</f>
        <v/>
      </c>
      <c r="AH23" s="9">
        <f>ROUND(AH20/Assumptions!$D$65,0)</f>
        <v/>
      </c>
      <c r="AI23" s="9">
        <f>ROUND(AI20/Assumptions!$D$65,0)</f>
        <v/>
      </c>
      <c r="AJ23" s="9">
        <f>ROUND(AJ20/Assumptions!$D$65,0)</f>
        <v/>
      </c>
      <c r="AK23" s="9">
        <f>ROUND(AK20/Assumptions!$D$65,0)</f>
        <v/>
      </c>
      <c r="AL23" s="9">
        <f>ROUND(AL20/Assumptions!$D$65,0)</f>
        <v/>
      </c>
      <c r="AM23" s="9">
        <f>ROUND(AM20/Assumptions!$D$65,0)</f>
        <v/>
      </c>
      <c r="AN23" s="9">
        <f>ROUND(AN20/Assumptions!$D$65,0)</f>
        <v/>
      </c>
      <c r="AO23" s="9">
        <f>ROUND(AO20/Assumptions!$D$65,0)</f>
        <v/>
      </c>
      <c r="AP23" s="9">
        <f>ROUND(AP20/Assumptions!$D$65,0)</f>
        <v/>
      </c>
      <c r="AQ23" s="9">
        <f>ROUND(AQ20/Assumptions!$D$65,0)</f>
        <v/>
      </c>
      <c r="AR23" s="9">
        <f>ROUND(AR20/Assumptions!$D$65,0)</f>
        <v/>
      </c>
      <c r="AS23" s="9">
        <f>ROUND(AS20/Assumptions!$D$65,0)</f>
        <v/>
      </c>
      <c r="AT23" s="9">
        <f>ROUND(AT20/Assumptions!$D$65,0)</f>
        <v/>
      </c>
      <c r="AU23" s="9">
        <f>ROUND(AU20/Assumptions!$D$65,0)</f>
        <v/>
      </c>
      <c r="AV23" s="9">
        <f>ROUND(AV20/Assumptions!$D$65,0)</f>
        <v/>
      </c>
      <c r="AW23" s="9">
        <f>ROUND(AW20/Assumptions!$D$65,0)</f>
        <v/>
      </c>
      <c r="AX23" s="9">
        <f>ROUND(AX20/Assumptions!$D$65,0)</f>
        <v/>
      </c>
      <c r="AY23" s="9">
        <f>ROUND(AY20/Assumptions!$D$65,0)</f>
        <v/>
      </c>
      <c r="AZ23" s="9">
        <f>ROUND(AZ20/Assumptions!$D$65,0)</f>
        <v/>
      </c>
      <c r="BA23" s="9">
        <f>ROUND(BA20/Assumptions!$D$65,0)</f>
        <v/>
      </c>
      <c r="BB23" s="9">
        <f>ROUND(BB20/Assumptions!$D$65,0)</f>
        <v/>
      </c>
      <c r="BC23" s="9">
        <f>ROUND(BC20/Assumptions!$D$65,0)</f>
        <v/>
      </c>
      <c r="BD23" s="9">
        <f>ROUND(BD20/Assumptions!$D$65,0)</f>
        <v/>
      </c>
      <c r="BE23" s="9">
        <f>ROUND(BE20/Assumptions!$D$65,0)</f>
        <v/>
      </c>
      <c r="BF23" s="9">
        <f>ROUND(BF20/Assumptions!$D$65,0)</f>
        <v/>
      </c>
      <c r="BG23" s="9">
        <f>ROUND(BG20/Assumptions!$D$65,0)</f>
        <v/>
      </c>
      <c r="BH23" s="9">
        <f>ROUND(BH20/Assumptions!$D$65,0)</f>
        <v/>
      </c>
      <c r="BI23" s="9">
        <f>ROUND(BI20/Assumptions!$D$65,0)</f>
        <v/>
      </c>
      <c r="BJ23" s="9">
        <f>ROUND(BJ20/Assumptions!$D$65,0)</f>
        <v/>
      </c>
      <c r="BK23" s="9">
        <f>ROUND(BK20/Assumptions!$D$65,0)</f>
        <v/>
      </c>
      <c r="BL23" s="9">
        <f>ROUND(BL20/Assumptions!$D$65,0)</f>
        <v/>
      </c>
      <c r="BN23" s="60">
        <f>P23</f>
        <v/>
      </c>
      <c r="BO23" s="60">
        <f>AB23</f>
        <v/>
      </c>
      <c r="BP23" s="60">
        <f>AN23</f>
        <v/>
      </c>
      <c r="BQ23" s="60">
        <f>AZ23</f>
        <v/>
      </c>
      <c r="BR23" s="60">
        <f>BL23</f>
        <v/>
      </c>
    </row>
    <row r="24">
      <c r="B24" s="53" t="inlineStr">
        <is>
          <t>Selling capacity used</t>
        </is>
      </c>
      <c r="C24" s="17" t="inlineStr">
        <is>
          <t>%</t>
        </is>
      </c>
      <c r="E24" s="67">
        <f>IFERROR(E34/E22,0)</f>
        <v/>
      </c>
      <c r="F24" s="67">
        <f>IFERROR(F34/F22,0)</f>
        <v/>
      </c>
      <c r="G24" s="67">
        <f>IFERROR(G34/G22,0)</f>
        <v/>
      </c>
      <c r="H24" s="67">
        <f>IFERROR(H34/H22,0)</f>
        <v/>
      </c>
      <c r="I24" s="67">
        <f>IFERROR(I34/I22,0)</f>
        <v/>
      </c>
      <c r="J24" s="67">
        <f>IFERROR(J34/J22,0)</f>
        <v/>
      </c>
      <c r="K24" s="67">
        <f>IFERROR(K34/K22,0)</f>
        <v/>
      </c>
      <c r="L24" s="67">
        <f>IFERROR(L34/L22,0)</f>
        <v/>
      </c>
      <c r="M24" s="67">
        <f>IFERROR(M34/M22,0)</f>
        <v/>
      </c>
      <c r="N24" s="67">
        <f>IFERROR(N34/N22,0)</f>
        <v/>
      </c>
      <c r="O24" s="67">
        <f>IFERROR(O34/O22,0)</f>
        <v/>
      </c>
      <c r="P24" s="67">
        <f>IFERROR(P34/P22,0)</f>
        <v/>
      </c>
      <c r="Q24" s="67">
        <f>IFERROR(Q34/Q22,0)</f>
        <v/>
      </c>
      <c r="R24" s="67">
        <f>IFERROR(R34/R22,0)</f>
        <v/>
      </c>
      <c r="S24" s="67">
        <f>IFERROR(S34/S22,0)</f>
        <v/>
      </c>
      <c r="T24" s="67">
        <f>IFERROR(T34/T22,0)</f>
        <v/>
      </c>
      <c r="U24" s="67">
        <f>IFERROR(U34/U22,0)</f>
        <v/>
      </c>
      <c r="V24" s="67">
        <f>IFERROR(V34/V22,0)</f>
        <v/>
      </c>
      <c r="W24" s="67">
        <f>IFERROR(W34/W22,0)</f>
        <v/>
      </c>
      <c r="X24" s="67">
        <f>IFERROR(X34/X22,0)</f>
        <v/>
      </c>
      <c r="Y24" s="67">
        <f>IFERROR(Y34/Y22,0)</f>
        <v/>
      </c>
      <c r="Z24" s="67">
        <f>IFERROR(Z34/Z22,0)</f>
        <v/>
      </c>
      <c r="AA24" s="67">
        <f>IFERROR(AA34/AA22,0)</f>
        <v/>
      </c>
      <c r="AB24" s="67">
        <f>IFERROR(AB34/AB22,0)</f>
        <v/>
      </c>
      <c r="AC24" s="67">
        <f>IFERROR(AC34/AC22,0)</f>
        <v/>
      </c>
      <c r="AD24" s="67">
        <f>IFERROR(AD34/AD22,0)</f>
        <v/>
      </c>
      <c r="AE24" s="67">
        <f>IFERROR(AE34/AE22,0)</f>
        <v/>
      </c>
      <c r="AF24" s="67">
        <f>IFERROR(AF34/AF22,0)</f>
        <v/>
      </c>
      <c r="AG24" s="67">
        <f>IFERROR(AG34/AG22,0)</f>
        <v/>
      </c>
      <c r="AH24" s="67">
        <f>IFERROR(AH34/AH22,0)</f>
        <v/>
      </c>
      <c r="AI24" s="67">
        <f>IFERROR(AI34/AI22,0)</f>
        <v/>
      </c>
      <c r="AJ24" s="67">
        <f>IFERROR(AJ34/AJ22,0)</f>
        <v/>
      </c>
      <c r="AK24" s="67">
        <f>IFERROR(AK34/AK22,0)</f>
        <v/>
      </c>
      <c r="AL24" s="67">
        <f>IFERROR(AL34/AL22,0)</f>
        <v/>
      </c>
      <c r="AM24" s="67">
        <f>IFERROR(AM34/AM22,0)</f>
        <v/>
      </c>
      <c r="AN24" s="67">
        <f>IFERROR(AN34/AN22,0)</f>
        <v/>
      </c>
      <c r="AO24" s="67">
        <f>IFERROR(AO34/AO22,0)</f>
        <v/>
      </c>
      <c r="AP24" s="67">
        <f>IFERROR(AP34/AP22,0)</f>
        <v/>
      </c>
      <c r="AQ24" s="67">
        <f>IFERROR(AQ34/AQ22,0)</f>
        <v/>
      </c>
      <c r="AR24" s="67">
        <f>IFERROR(AR34/AR22,0)</f>
        <v/>
      </c>
      <c r="AS24" s="67">
        <f>IFERROR(AS34/AS22,0)</f>
        <v/>
      </c>
      <c r="AT24" s="67">
        <f>IFERROR(AT34/AT22,0)</f>
        <v/>
      </c>
      <c r="AU24" s="67">
        <f>IFERROR(AU34/AU22,0)</f>
        <v/>
      </c>
      <c r="AV24" s="67">
        <f>IFERROR(AV34/AV22,0)</f>
        <v/>
      </c>
      <c r="AW24" s="67">
        <f>IFERROR(AW34/AW22,0)</f>
        <v/>
      </c>
      <c r="AX24" s="67">
        <f>IFERROR(AX34/AX22,0)</f>
        <v/>
      </c>
      <c r="AY24" s="67">
        <f>IFERROR(AY34/AY22,0)</f>
        <v/>
      </c>
      <c r="AZ24" s="67">
        <f>IFERROR(AZ34/AZ22,0)</f>
        <v/>
      </c>
      <c r="BA24" s="67">
        <f>IFERROR(BA34/BA22,0)</f>
        <v/>
      </c>
      <c r="BB24" s="67">
        <f>IFERROR(BB34/BB22,0)</f>
        <v/>
      </c>
      <c r="BC24" s="67">
        <f>IFERROR(BC34/BC22,0)</f>
        <v/>
      </c>
      <c r="BD24" s="67">
        <f>IFERROR(BD34/BD22,0)</f>
        <v/>
      </c>
      <c r="BE24" s="67">
        <f>IFERROR(BE34/BE22,0)</f>
        <v/>
      </c>
      <c r="BF24" s="67">
        <f>IFERROR(BF34/BF22,0)</f>
        <v/>
      </c>
      <c r="BG24" s="67">
        <f>IFERROR(BG34/BG22,0)</f>
        <v/>
      </c>
      <c r="BH24" s="67">
        <f>IFERROR(BH34/BH22,0)</f>
        <v/>
      </c>
      <c r="BI24" s="67">
        <f>IFERROR(BI34/BI22,0)</f>
        <v/>
      </c>
      <c r="BJ24" s="67">
        <f>IFERROR(BJ34/BJ22,0)</f>
        <v/>
      </c>
      <c r="BK24" s="67">
        <f>IFERROR(BK34/BK22,0)</f>
        <v/>
      </c>
      <c r="BL24" s="67">
        <f>IFERROR(BL34/BL22,0)</f>
        <v/>
      </c>
      <c r="BN24" s="68">
        <f>IFERROR(BN34/BN22,0)</f>
        <v/>
      </c>
      <c r="BO24" s="68">
        <f>IFERROR(BO34/BO22,0)</f>
        <v/>
      </c>
      <c r="BP24" s="68">
        <f>IFERROR(BP34/BP22,0)</f>
        <v/>
      </c>
      <c r="BQ24" s="68">
        <f>IFERROR(BQ34/BQ22,0)</f>
        <v/>
      </c>
      <c r="BR24" s="68">
        <f>IFERROR(BR34/BR22,0)</f>
        <v/>
      </c>
    </row>
    <row r="27">
      <c r="B27" s="15" t="inlineStr">
        <is>
          <t>BUILD CAPACITY</t>
        </is>
      </c>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c r="AJ27" s="1" t="n"/>
      <c r="AK27" s="1" t="n"/>
      <c r="AL27" s="1" t="n"/>
      <c r="AM27" s="1" t="n"/>
      <c r="AN27" s="1" t="n"/>
      <c r="AO27" s="1" t="n"/>
      <c r="AP27" s="1" t="n"/>
      <c r="AQ27" s="1" t="n"/>
      <c r="AR27" s="1" t="n"/>
      <c r="AS27" s="1" t="n"/>
      <c r="AT27" s="1" t="n"/>
      <c r="AU27" s="1" t="n"/>
      <c r="AV27" s="1" t="n"/>
      <c r="AW27" s="1" t="n"/>
      <c r="AX27" s="1" t="n"/>
      <c r="AY27" s="1" t="n"/>
      <c r="AZ27" s="1" t="n"/>
      <c r="BA27" s="1" t="n"/>
      <c r="BB27" s="1" t="n"/>
      <c r="BC27" s="1" t="n"/>
      <c r="BD27" s="1" t="n"/>
      <c r="BE27" s="1" t="n"/>
      <c r="BF27" s="1" t="n"/>
      <c r="BG27" s="1" t="n"/>
      <c r="BH27" s="1" t="n"/>
      <c r="BI27" s="1" t="n"/>
      <c r="BJ27" s="1" t="n"/>
      <c r="BK27" s="1" t="n"/>
      <c r="BL27" s="1" t="n"/>
      <c r="BM27" s="1" t="n"/>
      <c r="BN27" s="1" t="n"/>
      <c r="BO27" s="1" t="n"/>
      <c r="BP27" s="1" t="n"/>
      <c r="BQ27" s="1" t="n"/>
      <c r="BR27" s="1" t="n"/>
      <c r="BS27" s="1" t="n"/>
    </row>
    <row r="28">
      <c r="B28" s="6" t="inlineStr">
        <is>
          <t>Assembly partner</t>
        </is>
      </c>
      <c r="C28" s="17" t="inlineStr">
        <is>
          <t>units/mo</t>
        </is>
      </c>
      <c r="E28" s="9">
        <f>Assumptions!$D$68</f>
        <v/>
      </c>
      <c r="F28" s="9">
        <f>Assumptions!$D$68</f>
        <v/>
      </c>
      <c r="G28" s="9">
        <f>Assumptions!$D$68</f>
        <v/>
      </c>
      <c r="H28" s="9">
        <f>Assumptions!$D$68</f>
        <v/>
      </c>
      <c r="I28" s="9">
        <f>Assumptions!$D$68</f>
        <v/>
      </c>
      <c r="J28" s="9">
        <f>Assumptions!$D$68</f>
        <v/>
      </c>
      <c r="K28" s="9">
        <f>Assumptions!$D$68</f>
        <v/>
      </c>
      <c r="L28" s="9">
        <f>Assumptions!$D$68</f>
        <v/>
      </c>
      <c r="M28" s="9">
        <f>Assumptions!$D$68</f>
        <v/>
      </c>
      <c r="N28" s="9">
        <f>Assumptions!$D$68</f>
        <v/>
      </c>
      <c r="O28" s="9">
        <f>Assumptions!$D$68</f>
        <v/>
      </c>
      <c r="P28" s="9">
        <f>Assumptions!$D$68</f>
        <v/>
      </c>
      <c r="Q28" s="9">
        <f>Assumptions!$D$68</f>
        <v/>
      </c>
      <c r="R28" s="9">
        <f>Assumptions!$D$68</f>
        <v/>
      </c>
      <c r="S28" s="9">
        <f>Assumptions!$D$68</f>
        <v/>
      </c>
      <c r="T28" s="9">
        <f>Assumptions!$D$68</f>
        <v/>
      </c>
      <c r="U28" s="9">
        <f>Assumptions!$D$68</f>
        <v/>
      </c>
      <c r="V28" s="9">
        <f>Assumptions!$D$68</f>
        <v/>
      </c>
      <c r="W28" s="9">
        <f>Assumptions!$D$68</f>
        <v/>
      </c>
      <c r="X28" s="9">
        <f>Assumptions!$D$68</f>
        <v/>
      </c>
      <c r="Y28" s="9">
        <f>Assumptions!$D$68</f>
        <v/>
      </c>
      <c r="Z28" s="9">
        <f>Assumptions!$D$68</f>
        <v/>
      </c>
      <c r="AA28" s="9">
        <f>Assumptions!$D$68</f>
        <v/>
      </c>
      <c r="AB28" s="9">
        <f>Assumptions!$D$68</f>
        <v/>
      </c>
      <c r="AC28" s="9">
        <f>Assumptions!$D$68</f>
        <v/>
      </c>
      <c r="AD28" s="9">
        <f>Assumptions!$D$68</f>
        <v/>
      </c>
      <c r="AE28" s="9">
        <f>Assumptions!$D$68</f>
        <v/>
      </c>
      <c r="AF28" s="9">
        <f>Assumptions!$D$68</f>
        <v/>
      </c>
      <c r="AG28" s="9">
        <f>Assumptions!$D$68</f>
        <v/>
      </c>
      <c r="AH28" s="9">
        <f>Assumptions!$D$68</f>
        <v/>
      </c>
      <c r="AI28" s="9">
        <f>Assumptions!$D$68</f>
        <v/>
      </c>
      <c r="AJ28" s="9">
        <f>Assumptions!$D$68</f>
        <v/>
      </c>
      <c r="AK28" s="9">
        <f>Assumptions!$D$68</f>
        <v/>
      </c>
      <c r="AL28" s="9">
        <f>Assumptions!$D$68</f>
        <v/>
      </c>
      <c r="AM28" s="9">
        <f>Assumptions!$D$68</f>
        <v/>
      </c>
      <c r="AN28" s="9">
        <f>Assumptions!$D$68</f>
        <v/>
      </c>
      <c r="AO28" s="9">
        <f>Assumptions!$D$68</f>
        <v/>
      </c>
      <c r="AP28" s="9">
        <f>Assumptions!$D$68</f>
        <v/>
      </c>
      <c r="AQ28" s="9">
        <f>Assumptions!$D$68</f>
        <v/>
      </c>
      <c r="AR28" s="9">
        <f>Assumptions!$D$68</f>
        <v/>
      </c>
      <c r="AS28" s="9">
        <f>Assumptions!$D$68</f>
        <v/>
      </c>
      <c r="AT28" s="9">
        <f>Assumptions!$D$68</f>
        <v/>
      </c>
      <c r="AU28" s="9">
        <f>Assumptions!$D$68</f>
        <v/>
      </c>
      <c r="AV28" s="9">
        <f>Assumptions!$D$68</f>
        <v/>
      </c>
      <c r="AW28" s="9">
        <f>Assumptions!$D$68</f>
        <v/>
      </c>
      <c r="AX28" s="9">
        <f>Assumptions!$D$68</f>
        <v/>
      </c>
      <c r="AY28" s="9">
        <f>Assumptions!$D$68</f>
        <v/>
      </c>
      <c r="AZ28" s="9">
        <f>Assumptions!$D$68</f>
        <v/>
      </c>
      <c r="BA28" s="9">
        <f>Assumptions!$D$68</f>
        <v/>
      </c>
      <c r="BB28" s="9">
        <f>Assumptions!$D$68</f>
        <v/>
      </c>
      <c r="BC28" s="9">
        <f>Assumptions!$D$68</f>
        <v/>
      </c>
      <c r="BD28" s="9">
        <f>Assumptions!$D$68</f>
        <v/>
      </c>
      <c r="BE28" s="9">
        <f>Assumptions!$D$68</f>
        <v/>
      </c>
      <c r="BF28" s="9">
        <f>Assumptions!$D$68</f>
        <v/>
      </c>
      <c r="BG28" s="9">
        <f>Assumptions!$D$68</f>
        <v/>
      </c>
      <c r="BH28" s="9">
        <f>Assumptions!$D$68</f>
        <v/>
      </c>
      <c r="BI28" s="9">
        <f>Assumptions!$D$68</f>
        <v/>
      </c>
      <c r="BJ28" s="9">
        <f>Assumptions!$D$68</f>
        <v/>
      </c>
      <c r="BK28" s="9">
        <f>Assumptions!$D$68</f>
        <v/>
      </c>
      <c r="BL28" s="9">
        <f>Assumptions!$D$68</f>
        <v/>
      </c>
      <c r="BN28" s="60">
        <f>SUM(E28:P28)</f>
        <v/>
      </c>
      <c r="BO28" s="60">
        <f>SUM(Q28:AB28)</f>
        <v/>
      </c>
      <c r="BP28" s="60">
        <f>SUM(AC28:AN28)</f>
        <v/>
      </c>
      <c r="BQ28" s="60">
        <f>SUM(AO28:AZ28)</f>
        <v/>
      </c>
      <c r="BR28" s="60">
        <f>SUM(BA28:BL28)</f>
        <v/>
      </c>
      <c r="BT28" s="32" t="inlineStr">
        <is>
          <t>the partner builds every unit in this case</t>
        </is>
      </c>
    </row>
    <row r="31">
      <c r="B31" s="56" t="inlineStr">
        <is>
          <t>Build capacity</t>
        </is>
      </c>
      <c r="C31" s="57" t="inlineStr">
        <is>
          <t>units/mo</t>
        </is>
      </c>
      <c r="E31" s="61">
        <f>E28</f>
        <v/>
      </c>
      <c r="F31" s="61">
        <f>F28</f>
        <v/>
      </c>
      <c r="G31" s="61">
        <f>G28</f>
        <v/>
      </c>
      <c r="H31" s="61">
        <f>H28</f>
        <v/>
      </c>
      <c r="I31" s="61">
        <f>I28</f>
        <v/>
      </c>
      <c r="J31" s="61">
        <f>J28</f>
        <v/>
      </c>
      <c r="K31" s="61">
        <f>K28</f>
        <v/>
      </c>
      <c r="L31" s="61">
        <f>L28</f>
        <v/>
      </c>
      <c r="M31" s="61">
        <f>M28</f>
        <v/>
      </c>
      <c r="N31" s="61">
        <f>N28</f>
        <v/>
      </c>
      <c r="O31" s="61">
        <f>O28</f>
        <v/>
      </c>
      <c r="P31" s="61">
        <f>P28</f>
        <v/>
      </c>
      <c r="Q31" s="61">
        <f>Q28</f>
        <v/>
      </c>
      <c r="R31" s="61">
        <f>R28</f>
        <v/>
      </c>
      <c r="S31" s="61">
        <f>S28</f>
        <v/>
      </c>
      <c r="T31" s="61">
        <f>T28</f>
        <v/>
      </c>
      <c r="U31" s="61">
        <f>U28</f>
        <v/>
      </c>
      <c r="V31" s="61">
        <f>V28</f>
        <v/>
      </c>
      <c r="W31" s="61">
        <f>W28</f>
        <v/>
      </c>
      <c r="X31" s="61">
        <f>X28</f>
        <v/>
      </c>
      <c r="Y31" s="61">
        <f>Y28</f>
        <v/>
      </c>
      <c r="Z31" s="61">
        <f>Z28</f>
        <v/>
      </c>
      <c r="AA31" s="61">
        <f>AA28</f>
        <v/>
      </c>
      <c r="AB31" s="61">
        <f>AB28</f>
        <v/>
      </c>
      <c r="AC31" s="61">
        <f>AC28</f>
        <v/>
      </c>
      <c r="AD31" s="61">
        <f>AD28</f>
        <v/>
      </c>
      <c r="AE31" s="61">
        <f>AE28</f>
        <v/>
      </c>
      <c r="AF31" s="61">
        <f>AF28</f>
        <v/>
      </c>
      <c r="AG31" s="61">
        <f>AG28</f>
        <v/>
      </c>
      <c r="AH31" s="61">
        <f>AH28</f>
        <v/>
      </c>
      <c r="AI31" s="61">
        <f>AI28</f>
        <v/>
      </c>
      <c r="AJ31" s="61">
        <f>AJ28</f>
        <v/>
      </c>
      <c r="AK31" s="61">
        <f>AK28</f>
        <v/>
      </c>
      <c r="AL31" s="61">
        <f>AL28</f>
        <v/>
      </c>
      <c r="AM31" s="61">
        <f>AM28</f>
        <v/>
      </c>
      <c r="AN31" s="61">
        <f>AN28</f>
        <v/>
      </c>
      <c r="AO31" s="61">
        <f>AO28</f>
        <v/>
      </c>
      <c r="AP31" s="61">
        <f>AP28</f>
        <v/>
      </c>
      <c r="AQ31" s="61">
        <f>AQ28</f>
        <v/>
      </c>
      <c r="AR31" s="61">
        <f>AR28</f>
        <v/>
      </c>
      <c r="AS31" s="61">
        <f>AS28</f>
        <v/>
      </c>
      <c r="AT31" s="61">
        <f>AT28</f>
        <v/>
      </c>
      <c r="AU31" s="61">
        <f>AU28</f>
        <v/>
      </c>
      <c r="AV31" s="61">
        <f>AV28</f>
        <v/>
      </c>
      <c r="AW31" s="61">
        <f>AW28</f>
        <v/>
      </c>
      <c r="AX31" s="61">
        <f>AX28</f>
        <v/>
      </c>
      <c r="AY31" s="61">
        <f>AY28</f>
        <v/>
      </c>
      <c r="AZ31" s="61">
        <f>AZ28</f>
        <v/>
      </c>
      <c r="BA31" s="61">
        <f>BA28</f>
        <v/>
      </c>
      <c r="BB31" s="61">
        <f>BB28</f>
        <v/>
      </c>
      <c r="BC31" s="61">
        <f>BC28</f>
        <v/>
      </c>
      <c r="BD31" s="61">
        <f>BD28</f>
        <v/>
      </c>
      <c r="BE31" s="61">
        <f>BE28</f>
        <v/>
      </c>
      <c r="BF31" s="61">
        <f>BF28</f>
        <v/>
      </c>
      <c r="BG31" s="61">
        <f>BG28</f>
        <v/>
      </c>
      <c r="BH31" s="61">
        <f>BH28</f>
        <v/>
      </c>
      <c r="BI31" s="61">
        <f>BI28</f>
        <v/>
      </c>
      <c r="BJ31" s="61">
        <f>BJ28</f>
        <v/>
      </c>
      <c r="BK31" s="61">
        <f>BK28</f>
        <v/>
      </c>
      <c r="BL31" s="61">
        <f>BL28</f>
        <v/>
      </c>
      <c r="BN31" s="61">
        <f>SUM(E31:P31)</f>
        <v/>
      </c>
      <c r="BO31" s="61">
        <f>SUM(Q31:AB31)</f>
        <v/>
      </c>
      <c r="BP31" s="61">
        <f>SUM(AC31:AN31)</f>
        <v/>
      </c>
      <c r="BQ31" s="61">
        <f>SUM(AO31:AZ31)</f>
        <v/>
      </c>
      <c r="BR31" s="61">
        <f>SUM(BA31:BL31)</f>
        <v/>
      </c>
    </row>
    <row r="33">
      <c r="B33" s="15" t="inlineStr">
        <is>
          <t>UNITS SOLD</t>
        </is>
      </c>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c r="AA33" s="1" t="n"/>
      <c r="AB33" s="1" t="n"/>
      <c r="AC33" s="1" t="n"/>
      <c r="AD33" s="1" t="n"/>
      <c r="AE33" s="1" t="n"/>
      <c r="AF33" s="1" t="n"/>
      <c r="AG33" s="1" t="n"/>
      <c r="AH33" s="1" t="n"/>
      <c r="AI33" s="1" t="n"/>
      <c r="AJ33" s="1" t="n"/>
      <c r="AK33" s="1" t="n"/>
      <c r="AL33" s="1" t="n"/>
      <c r="AM33" s="1" t="n"/>
      <c r="AN33" s="1" t="n"/>
      <c r="AO33" s="1" t="n"/>
      <c r="AP33" s="1" t="n"/>
      <c r="AQ33" s="1" t="n"/>
      <c r="AR33" s="1" t="n"/>
      <c r="AS33" s="1" t="n"/>
      <c r="AT33" s="1" t="n"/>
      <c r="AU33" s="1" t="n"/>
      <c r="AV33" s="1" t="n"/>
      <c r="AW33" s="1" t="n"/>
      <c r="AX33" s="1" t="n"/>
      <c r="AY33" s="1" t="n"/>
      <c r="AZ33" s="1" t="n"/>
      <c r="BA33" s="1" t="n"/>
      <c r="BB33" s="1" t="n"/>
      <c r="BC33" s="1" t="n"/>
      <c r="BD33" s="1" t="n"/>
      <c r="BE33" s="1" t="n"/>
      <c r="BF33" s="1" t="n"/>
      <c r="BG33" s="1" t="n"/>
      <c r="BH33" s="1" t="n"/>
      <c r="BI33" s="1" t="n"/>
      <c r="BJ33" s="1" t="n"/>
      <c r="BK33" s="1" t="n"/>
      <c r="BL33" s="1" t="n"/>
      <c r="BM33" s="1" t="n"/>
      <c r="BN33" s="1" t="n"/>
      <c r="BO33" s="1" t="n"/>
      <c r="BP33" s="1" t="n"/>
      <c r="BQ33" s="1" t="n"/>
      <c r="BR33" s="1" t="n"/>
      <c r="BS33" s="1" t="n"/>
    </row>
    <row r="34">
      <c r="B34" s="15" t="inlineStr">
        <is>
          <t>Units sold</t>
        </is>
      </c>
      <c r="C34" s="51" t="inlineStr">
        <is>
          <t>units</t>
        </is>
      </c>
      <c r="D34" s="2" t="n"/>
      <c r="E34" s="69">
        <f>IF(E$3&lt;Assumptions!$D$11,0,ROUND(MIN(E12,E22,E31),0))</f>
        <v/>
      </c>
      <c r="F34" s="69">
        <f>IF(F$3&lt;Assumptions!$D$11,0,ROUND(MIN(F12,F22,F31),0))</f>
        <v/>
      </c>
      <c r="G34" s="69">
        <f>IF(G$3&lt;Assumptions!$D$11,0,ROUND(MIN(G12,G22,G31),0))</f>
        <v/>
      </c>
      <c r="H34" s="69">
        <f>IF(H$3&lt;Assumptions!$D$11,0,ROUND(MIN(H12,H22,H31),0))</f>
        <v/>
      </c>
      <c r="I34" s="69">
        <f>IF(I$3&lt;Assumptions!$D$11,0,ROUND(MIN(I12,I22,I31),0))</f>
        <v/>
      </c>
      <c r="J34" s="69">
        <f>IF(J$3&lt;Assumptions!$D$11,0,ROUND(MIN(J12,J22,J31),0))</f>
        <v/>
      </c>
      <c r="K34" s="69">
        <f>IF(K$3&lt;Assumptions!$D$11,0,ROUND(MIN(K12,K22,K31),0))</f>
        <v/>
      </c>
      <c r="L34" s="69">
        <f>IF(L$3&lt;Assumptions!$D$11,0,ROUND(MIN(L12,L22,L31),0))</f>
        <v/>
      </c>
      <c r="M34" s="69">
        <f>IF(M$3&lt;Assumptions!$D$11,0,ROUND(MIN(M12,M22,M31),0))</f>
        <v/>
      </c>
      <c r="N34" s="69">
        <f>IF(N$3&lt;Assumptions!$D$11,0,ROUND(MIN(N12,N22,N31),0))</f>
        <v/>
      </c>
      <c r="O34" s="69">
        <f>IF(O$3&lt;Assumptions!$D$11,0,ROUND(MIN(O12,O22,O31),0))</f>
        <v/>
      </c>
      <c r="P34" s="69">
        <f>IF(P$3&lt;Assumptions!$D$11,0,ROUND(MIN(P12,P22,P31),0))</f>
        <v/>
      </c>
      <c r="Q34" s="69">
        <f>IF(Q$3&lt;Assumptions!$D$11,0,ROUND(MIN(Q12,Q22,Q31),0))</f>
        <v/>
      </c>
      <c r="R34" s="69">
        <f>IF(R$3&lt;Assumptions!$D$11,0,ROUND(MIN(R12,R22,R31),0))</f>
        <v/>
      </c>
      <c r="S34" s="69">
        <f>IF(S$3&lt;Assumptions!$D$11,0,ROUND(MIN(S12,S22,S31),0))</f>
        <v/>
      </c>
      <c r="T34" s="69">
        <f>IF(T$3&lt;Assumptions!$D$11,0,ROUND(MIN(T12,T22,T31),0))</f>
        <v/>
      </c>
      <c r="U34" s="69">
        <f>IF(U$3&lt;Assumptions!$D$11,0,ROUND(MIN(U12,U22,U31),0))</f>
        <v/>
      </c>
      <c r="V34" s="69">
        <f>IF(V$3&lt;Assumptions!$D$11,0,ROUND(MIN(V12,V22,V31),0))</f>
        <v/>
      </c>
      <c r="W34" s="69">
        <f>IF(W$3&lt;Assumptions!$D$11,0,ROUND(MIN(W12,W22,W31),0))</f>
        <v/>
      </c>
      <c r="X34" s="69">
        <f>IF(X$3&lt;Assumptions!$D$11,0,ROUND(MIN(X12,X22,X31),0))</f>
        <v/>
      </c>
      <c r="Y34" s="69">
        <f>IF(Y$3&lt;Assumptions!$D$11,0,ROUND(MIN(Y12,Y22,Y31),0))</f>
        <v/>
      </c>
      <c r="Z34" s="69">
        <f>IF(Z$3&lt;Assumptions!$D$11,0,ROUND(MIN(Z12,Z22,Z31),0))</f>
        <v/>
      </c>
      <c r="AA34" s="69">
        <f>IF(AA$3&lt;Assumptions!$D$11,0,ROUND(MIN(AA12,AA22,AA31),0))</f>
        <v/>
      </c>
      <c r="AB34" s="69">
        <f>IF(AB$3&lt;Assumptions!$D$11,0,ROUND(MIN(AB12,AB22,AB31),0))</f>
        <v/>
      </c>
      <c r="AC34" s="69">
        <f>IF(AC$3&lt;Assumptions!$D$11,0,ROUND(MIN(AC12,AC22,AC31),0))</f>
        <v/>
      </c>
      <c r="AD34" s="69">
        <f>IF(AD$3&lt;Assumptions!$D$11,0,ROUND(MIN(AD12,AD22,AD31),0))</f>
        <v/>
      </c>
      <c r="AE34" s="69">
        <f>IF(AE$3&lt;Assumptions!$D$11,0,ROUND(MIN(AE12,AE22,AE31),0))</f>
        <v/>
      </c>
      <c r="AF34" s="69">
        <f>IF(AF$3&lt;Assumptions!$D$11,0,ROUND(MIN(AF12,AF22,AF31),0))</f>
        <v/>
      </c>
      <c r="AG34" s="69">
        <f>IF(AG$3&lt;Assumptions!$D$11,0,ROUND(MIN(AG12,AG22,AG31),0))</f>
        <v/>
      </c>
      <c r="AH34" s="69">
        <f>IF(AH$3&lt;Assumptions!$D$11,0,ROUND(MIN(AH12,AH22,AH31),0))</f>
        <v/>
      </c>
      <c r="AI34" s="69">
        <f>IF(AI$3&lt;Assumptions!$D$11,0,ROUND(MIN(AI12,AI22,AI31),0))</f>
        <v/>
      </c>
      <c r="AJ34" s="69">
        <f>IF(AJ$3&lt;Assumptions!$D$11,0,ROUND(MIN(AJ12,AJ22,AJ31),0))</f>
        <v/>
      </c>
      <c r="AK34" s="69">
        <f>IF(AK$3&lt;Assumptions!$D$11,0,ROUND(MIN(AK12,AK22,AK31),0))</f>
        <v/>
      </c>
      <c r="AL34" s="69">
        <f>IF(AL$3&lt;Assumptions!$D$11,0,ROUND(MIN(AL12,AL22,AL31),0))</f>
        <v/>
      </c>
      <c r="AM34" s="69">
        <f>IF(AM$3&lt;Assumptions!$D$11,0,ROUND(MIN(AM12,AM22,AM31),0))</f>
        <v/>
      </c>
      <c r="AN34" s="69">
        <f>IF(AN$3&lt;Assumptions!$D$11,0,ROUND(MIN(AN12,AN22,AN31),0))</f>
        <v/>
      </c>
      <c r="AO34" s="69">
        <f>IF(AO$3&lt;Assumptions!$D$11,0,ROUND(MIN(AO12,AO22,AO31),0))</f>
        <v/>
      </c>
      <c r="AP34" s="69">
        <f>IF(AP$3&lt;Assumptions!$D$11,0,ROUND(MIN(AP12,AP22,AP31),0))</f>
        <v/>
      </c>
      <c r="AQ34" s="69">
        <f>IF(AQ$3&lt;Assumptions!$D$11,0,ROUND(MIN(AQ12,AQ22,AQ31),0))</f>
        <v/>
      </c>
      <c r="AR34" s="69">
        <f>IF(AR$3&lt;Assumptions!$D$11,0,ROUND(MIN(AR12,AR22,AR31),0))</f>
        <v/>
      </c>
      <c r="AS34" s="69">
        <f>IF(AS$3&lt;Assumptions!$D$11,0,ROUND(MIN(AS12,AS22,AS31),0))</f>
        <v/>
      </c>
      <c r="AT34" s="69">
        <f>IF(AT$3&lt;Assumptions!$D$11,0,ROUND(MIN(AT12,AT22,AT31),0))</f>
        <v/>
      </c>
      <c r="AU34" s="69">
        <f>IF(AU$3&lt;Assumptions!$D$11,0,ROUND(MIN(AU12,AU22,AU31),0))</f>
        <v/>
      </c>
      <c r="AV34" s="69">
        <f>IF(AV$3&lt;Assumptions!$D$11,0,ROUND(MIN(AV12,AV22,AV31),0))</f>
        <v/>
      </c>
      <c r="AW34" s="69">
        <f>IF(AW$3&lt;Assumptions!$D$11,0,ROUND(MIN(AW12,AW22,AW31),0))</f>
        <v/>
      </c>
      <c r="AX34" s="69">
        <f>IF(AX$3&lt;Assumptions!$D$11,0,ROUND(MIN(AX12,AX22,AX31),0))</f>
        <v/>
      </c>
      <c r="AY34" s="69">
        <f>IF(AY$3&lt;Assumptions!$D$11,0,ROUND(MIN(AY12,AY22,AY31),0))</f>
        <v/>
      </c>
      <c r="AZ34" s="69">
        <f>IF(AZ$3&lt;Assumptions!$D$11,0,ROUND(MIN(AZ12,AZ22,AZ31),0))</f>
        <v/>
      </c>
      <c r="BA34" s="69">
        <f>IF(BA$3&lt;Assumptions!$D$11,0,ROUND(MIN(BA12,BA22,BA31),0))</f>
        <v/>
      </c>
      <c r="BB34" s="69">
        <f>IF(BB$3&lt;Assumptions!$D$11,0,ROUND(MIN(BB12,BB22,BB31),0))</f>
        <v/>
      </c>
      <c r="BC34" s="69">
        <f>IF(BC$3&lt;Assumptions!$D$11,0,ROUND(MIN(BC12,BC22,BC31),0))</f>
        <v/>
      </c>
      <c r="BD34" s="69">
        <f>IF(BD$3&lt;Assumptions!$D$11,0,ROUND(MIN(BD12,BD22,BD31),0))</f>
        <v/>
      </c>
      <c r="BE34" s="69">
        <f>IF(BE$3&lt;Assumptions!$D$11,0,ROUND(MIN(BE12,BE22,BE31),0))</f>
        <v/>
      </c>
      <c r="BF34" s="69">
        <f>IF(BF$3&lt;Assumptions!$D$11,0,ROUND(MIN(BF12,BF22,BF31),0))</f>
        <v/>
      </c>
      <c r="BG34" s="69">
        <f>IF(BG$3&lt;Assumptions!$D$11,0,ROUND(MIN(BG12,BG22,BG31),0))</f>
        <v/>
      </c>
      <c r="BH34" s="69">
        <f>IF(BH$3&lt;Assumptions!$D$11,0,ROUND(MIN(BH12,BH22,BH31),0))</f>
        <v/>
      </c>
      <c r="BI34" s="69">
        <f>IF(BI$3&lt;Assumptions!$D$11,0,ROUND(MIN(BI12,BI22,BI31),0))</f>
        <v/>
      </c>
      <c r="BJ34" s="69">
        <f>IF(BJ$3&lt;Assumptions!$D$11,0,ROUND(MIN(BJ12,BJ22,BJ31),0))</f>
        <v/>
      </c>
      <c r="BK34" s="69">
        <f>IF(BK$3&lt;Assumptions!$D$11,0,ROUND(MIN(BK12,BK22,BK31),0))</f>
        <v/>
      </c>
      <c r="BL34" s="69">
        <f>IF(BL$3&lt;Assumptions!$D$11,0,ROUND(MIN(BL12,BL22,BL31),0))</f>
        <v/>
      </c>
      <c r="BM34" s="2" t="n"/>
      <c r="BN34" s="69">
        <f>SUM(E34:P34)</f>
        <v/>
      </c>
      <c r="BO34" s="69">
        <f>SUM(Q34:AB34)</f>
        <v/>
      </c>
      <c r="BP34" s="69">
        <f>SUM(AC34:AN34)</f>
        <v/>
      </c>
      <c r="BQ34" s="69">
        <f>SUM(AO34:AZ34)</f>
        <v/>
      </c>
      <c r="BR34" s="69">
        <f>SUM(BA34:BL34)</f>
        <v/>
      </c>
      <c r="BS34" s="2" t="n"/>
      <c r="BT34" s="32" t="inlineStr">
        <is>
          <t>nil until the first month we can sell, then the smallest of demand, selling and build capacity</t>
        </is>
      </c>
    </row>
    <row r="35">
      <c r="B35" s="53" t="inlineStr">
        <is>
          <t>Build capacity used</t>
        </is>
      </c>
      <c r="C35" s="17" t="inlineStr">
        <is>
          <t>%</t>
        </is>
      </c>
      <c r="E35" s="67">
        <f>IFERROR(E34/E31,0)</f>
        <v/>
      </c>
      <c r="F35" s="67">
        <f>IFERROR(F34/F31,0)</f>
        <v/>
      </c>
      <c r="G35" s="67">
        <f>IFERROR(G34/G31,0)</f>
        <v/>
      </c>
      <c r="H35" s="67">
        <f>IFERROR(H34/H31,0)</f>
        <v/>
      </c>
      <c r="I35" s="67">
        <f>IFERROR(I34/I31,0)</f>
        <v/>
      </c>
      <c r="J35" s="67">
        <f>IFERROR(J34/J31,0)</f>
        <v/>
      </c>
      <c r="K35" s="67">
        <f>IFERROR(K34/K31,0)</f>
        <v/>
      </c>
      <c r="L35" s="67">
        <f>IFERROR(L34/L31,0)</f>
        <v/>
      </c>
      <c r="M35" s="67">
        <f>IFERROR(M34/M31,0)</f>
        <v/>
      </c>
      <c r="N35" s="67">
        <f>IFERROR(N34/N31,0)</f>
        <v/>
      </c>
      <c r="O35" s="67">
        <f>IFERROR(O34/O31,0)</f>
        <v/>
      </c>
      <c r="P35" s="67">
        <f>IFERROR(P34/P31,0)</f>
        <v/>
      </c>
      <c r="Q35" s="67">
        <f>IFERROR(Q34/Q31,0)</f>
        <v/>
      </c>
      <c r="R35" s="67">
        <f>IFERROR(R34/R31,0)</f>
        <v/>
      </c>
      <c r="S35" s="67">
        <f>IFERROR(S34/S31,0)</f>
        <v/>
      </c>
      <c r="T35" s="67">
        <f>IFERROR(T34/T31,0)</f>
        <v/>
      </c>
      <c r="U35" s="67">
        <f>IFERROR(U34/U31,0)</f>
        <v/>
      </c>
      <c r="V35" s="67">
        <f>IFERROR(V34/V31,0)</f>
        <v/>
      </c>
      <c r="W35" s="67">
        <f>IFERROR(W34/W31,0)</f>
        <v/>
      </c>
      <c r="X35" s="67">
        <f>IFERROR(X34/X31,0)</f>
        <v/>
      </c>
      <c r="Y35" s="67">
        <f>IFERROR(Y34/Y31,0)</f>
        <v/>
      </c>
      <c r="Z35" s="67">
        <f>IFERROR(Z34/Z31,0)</f>
        <v/>
      </c>
      <c r="AA35" s="67">
        <f>IFERROR(AA34/AA31,0)</f>
        <v/>
      </c>
      <c r="AB35" s="67">
        <f>IFERROR(AB34/AB31,0)</f>
        <v/>
      </c>
      <c r="AC35" s="67">
        <f>IFERROR(AC34/AC31,0)</f>
        <v/>
      </c>
      <c r="AD35" s="67">
        <f>IFERROR(AD34/AD31,0)</f>
        <v/>
      </c>
      <c r="AE35" s="67">
        <f>IFERROR(AE34/AE31,0)</f>
        <v/>
      </c>
      <c r="AF35" s="67">
        <f>IFERROR(AF34/AF31,0)</f>
        <v/>
      </c>
      <c r="AG35" s="67">
        <f>IFERROR(AG34/AG31,0)</f>
        <v/>
      </c>
      <c r="AH35" s="67">
        <f>IFERROR(AH34/AH31,0)</f>
        <v/>
      </c>
      <c r="AI35" s="67">
        <f>IFERROR(AI34/AI31,0)</f>
        <v/>
      </c>
      <c r="AJ35" s="67">
        <f>IFERROR(AJ34/AJ31,0)</f>
        <v/>
      </c>
      <c r="AK35" s="67">
        <f>IFERROR(AK34/AK31,0)</f>
        <v/>
      </c>
      <c r="AL35" s="67">
        <f>IFERROR(AL34/AL31,0)</f>
        <v/>
      </c>
      <c r="AM35" s="67">
        <f>IFERROR(AM34/AM31,0)</f>
        <v/>
      </c>
      <c r="AN35" s="67">
        <f>IFERROR(AN34/AN31,0)</f>
        <v/>
      </c>
      <c r="AO35" s="67">
        <f>IFERROR(AO34/AO31,0)</f>
        <v/>
      </c>
      <c r="AP35" s="67">
        <f>IFERROR(AP34/AP31,0)</f>
        <v/>
      </c>
      <c r="AQ35" s="67">
        <f>IFERROR(AQ34/AQ31,0)</f>
        <v/>
      </c>
      <c r="AR35" s="67">
        <f>IFERROR(AR34/AR31,0)</f>
        <v/>
      </c>
      <c r="AS35" s="67">
        <f>IFERROR(AS34/AS31,0)</f>
        <v/>
      </c>
      <c r="AT35" s="67">
        <f>IFERROR(AT34/AT31,0)</f>
        <v/>
      </c>
      <c r="AU35" s="67">
        <f>IFERROR(AU34/AU31,0)</f>
        <v/>
      </c>
      <c r="AV35" s="67">
        <f>IFERROR(AV34/AV31,0)</f>
        <v/>
      </c>
      <c r="AW35" s="67">
        <f>IFERROR(AW34/AW31,0)</f>
        <v/>
      </c>
      <c r="AX35" s="67">
        <f>IFERROR(AX34/AX31,0)</f>
        <v/>
      </c>
      <c r="AY35" s="67">
        <f>IFERROR(AY34/AY31,0)</f>
        <v/>
      </c>
      <c r="AZ35" s="67">
        <f>IFERROR(AZ34/AZ31,0)</f>
        <v/>
      </c>
      <c r="BA35" s="67">
        <f>IFERROR(BA34/BA31,0)</f>
        <v/>
      </c>
      <c r="BB35" s="67">
        <f>IFERROR(BB34/BB31,0)</f>
        <v/>
      </c>
      <c r="BC35" s="67">
        <f>IFERROR(BC34/BC31,0)</f>
        <v/>
      </c>
      <c r="BD35" s="67">
        <f>IFERROR(BD34/BD31,0)</f>
        <v/>
      </c>
      <c r="BE35" s="67">
        <f>IFERROR(BE34/BE31,0)</f>
        <v/>
      </c>
      <c r="BF35" s="67">
        <f>IFERROR(BF34/BF31,0)</f>
        <v/>
      </c>
      <c r="BG35" s="67">
        <f>IFERROR(BG34/BG31,0)</f>
        <v/>
      </c>
      <c r="BH35" s="67">
        <f>IFERROR(BH34/BH31,0)</f>
        <v/>
      </c>
      <c r="BI35" s="67">
        <f>IFERROR(BI34/BI31,0)</f>
        <v/>
      </c>
      <c r="BJ35" s="67">
        <f>IFERROR(BJ34/BJ31,0)</f>
        <v/>
      </c>
      <c r="BK35" s="67">
        <f>IFERROR(BK34/BK31,0)</f>
        <v/>
      </c>
      <c r="BL35" s="67">
        <f>IFERROR(BL34/BL31,0)</f>
        <v/>
      </c>
      <c r="BN35" s="68">
        <f>IFERROR(BN34/BN31,0)</f>
        <v/>
      </c>
      <c r="BO35" s="68">
        <f>IFERROR(BO34/BO31,0)</f>
        <v/>
      </c>
      <c r="BP35" s="68">
        <f>IFERROR(BP34/BP31,0)</f>
        <v/>
      </c>
      <c r="BQ35" s="68">
        <f>IFERROR(BQ34/BQ31,0)</f>
        <v/>
      </c>
      <c r="BR35" s="68">
        <f>IFERROR(BR34/BR31,0)</f>
        <v/>
      </c>
    </row>
    <row r="38">
      <c r="B38" s="15" t="inlineStr">
        <is>
          <t>UNIT SPLIT AND INSTALLED BASE</t>
        </is>
      </c>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c r="AA38" s="1" t="n"/>
      <c r="AB38" s="1" t="n"/>
      <c r="AC38" s="1" t="n"/>
      <c r="AD38" s="1" t="n"/>
      <c r="AE38" s="1" t="n"/>
      <c r="AF38" s="1" t="n"/>
      <c r="AG38" s="1" t="n"/>
      <c r="AH38" s="1" t="n"/>
      <c r="AI38" s="1" t="n"/>
      <c r="AJ38" s="1" t="n"/>
      <c r="AK38" s="1" t="n"/>
      <c r="AL38" s="1" t="n"/>
      <c r="AM38" s="1" t="n"/>
      <c r="AN38" s="1" t="n"/>
      <c r="AO38" s="1" t="n"/>
      <c r="AP38" s="1" t="n"/>
      <c r="AQ38" s="1" t="n"/>
      <c r="AR38" s="1" t="n"/>
      <c r="AS38" s="1" t="n"/>
      <c r="AT38" s="1" t="n"/>
      <c r="AU38" s="1" t="n"/>
      <c r="AV38" s="1" t="n"/>
      <c r="AW38" s="1" t="n"/>
      <c r="AX38" s="1" t="n"/>
      <c r="AY38" s="1" t="n"/>
      <c r="AZ38" s="1" t="n"/>
      <c r="BA38" s="1" t="n"/>
      <c r="BB38" s="1" t="n"/>
      <c r="BC38" s="1" t="n"/>
      <c r="BD38" s="1" t="n"/>
      <c r="BE38" s="1" t="n"/>
      <c r="BF38" s="1" t="n"/>
      <c r="BG38" s="1" t="n"/>
      <c r="BH38" s="1" t="n"/>
      <c r="BI38" s="1" t="n"/>
      <c r="BJ38" s="1" t="n"/>
      <c r="BK38" s="1" t="n"/>
      <c r="BL38" s="1" t="n"/>
      <c r="BM38" s="1" t="n"/>
      <c r="BN38" s="1" t="n"/>
      <c r="BO38" s="1" t="n"/>
      <c r="BP38" s="1" t="n"/>
      <c r="BQ38" s="1" t="n"/>
      <c r="BR38" s="1" t="n"/>
      <c r="BS38" s="1" t="n"/>
    </row>
    <row r="39">
      <c r="B39" s="6" t="inlineStr">
        <is>
          <t>TTK units</t>
        </is>
      </c>
      <c r="C39" s="17" t="inlineStr">
        <is>
          <t>units</t>
        </is>
      </c>
      <c r="E39" s="9">
        <f>ROUND(E34*Assumptions!$D$25,0)</f>
        <v/>
      </c>
      <c r="F39" s="9">
        <f>ROUND(F34*Assumptions!$D$25,0)</f>
        <v/>
      </c>
      <c r="G39" s="9">
        <f>ROUND(G34*Assumptions!$D$25,0)</f>
        <v/>
      </c>
      <c r="H39" s="9">
        <f>ROUND(H34*Assumptions!$D$25,0)</f>
        <v/>
      </c>
      <c r="I39" s="9">
        <f>ROUND(I34*Assumptions!$D$25,0)</f>
        <v/>
      </c>
      <c r="J39" s="9">
        <f>ROUND(J34*Assumptions!$D$25,0)</f>
        <v/>
      </c>
      <c r="K39" s="9">
        <f>ROUND(K34*Assumptions!$D$25,0)</f>
        <v/>
      </c>
      <c r="L39" s="9">
        <f>ROUND(L34*Assumptions!$D$25,0)</f>
        <v/>
      </c>
      <c r="M39" s="9">
        <f>ROUND(M34*Assumptions!$D$25,0)</f>
        <v/>
      </c>
      <c r="N39" s="9">
        <f>ROUND(N34*Assumptions!$D$25,0)</f>
        <v/>
      </c>
      <c r="O39" s="9">
        <f>ROUND(O34*Assumptions!$D$25,0)</f>
        <v/>
      </c>
      <c r="P39" s="9">
        <f>ROUND(P34*Assumptions!$D$25,0)</f>
        <v/>
      </c>
      <c r="Q39" s="9">
        <f>ROUND(Q34*Assumptions!$D$25,0)</f>
        <v/>
      </c>
      <c r="R39" s="9">
        <f>ROUND(R34*Assumptions!$D$25,0)</f>
        <v/>
      </c>
      <c r="S39" s="9">
        <f>ROUND(S34*Assumptions!$D$25,0)</f>
        <v/>
      </c>
      <c r="T39" s="9">
        <f>ROUND(T34*Assumptions!$D$25,0)</f>
        <v/>
      </c>
      <c r="U39" s="9">
        <f>ROUND(U34*Assumptions!$D$25,0)</f>
        <v/>
      </c>
      <c r="V39" s="9">
        <f>ROUND(V34*Assumptions!$D$25,0)</f>
        <v/>
      </c>
      <c r="W39" s="9">
        <f>ROUND(W34*Assumptions!$D$25,0)</f>
        <v/>
      </c>
      <c r="X39" s="9">
        <f>ROUND(X34*Assumptions!$D$25,0)</f>
        <v/>
      </c>
      <c r="Y39" s="9">
        <f>ROUND(Y34*Assumptions!$D$25,0)</f>
        <v/>
      </c>
      <c r="Z39" s="9">
        <f>ROUND(Z34*Assumptions!$D$25,0)</f>
        <v/>
      </c>
      <c r="AA39" s="9">
        <f>ROUND(AA34*Assumptions!$D$25,0)</f>
        <v/>
      </c>
      <c r="AB39" s="9">
        <f>ROUND(AB34*Assumptions!$D$25,0)</f>
        <v/>
      </c>
      <c r="AC39" s="9">
        <f>ROUND(AC34*Assumptions!$D$25,0)</f>
        <v/>
      </c>
      <c r="AD39" s="9">
        <f>ROUND(AD34*Assumptions!$D$25,0)</f>
        <v/>
      </c>
      <c r="AE39" s="9">
        <f>ROUND(AE34*Assumptions!$D$25,0)</f>
        <v/>
      </c>
      <c r="AF39" s="9">
        <f>ROUND(AF34*Assumptions!$D$25,0)</f>
        <v/>
      </c>
      <c r="AG39" s="9">
        <f>ROUND(AG34*Assumptions!$D$25,0)</f>
        <v/>
      </c>
      <c r="AH39" s="9">
        <f>ROUND(AH34*Assumptions!$D$25,0)</f>
        <v/>
      </c>
      <c r="AI39" s="9">
        <f>ROUND(AI34*Assumptions!$D$25,0)</f>
        <v/>
      </c>
      <c r="AJ39" s="9">
        <f>ROUND(AJ34*Assumptions!$D$25,0)</f>
        <v/>
      </c>
      <c r="AK39" s="9">
        <f>ROUND(AK34*Assumptions!$D$25,0)</f>
        <v/>
      </c>
      <c r="AL39" s="9">
        <f>ROUND(AL34*Assumptions!$D$25,0)</f>
        <v/>
      </c>
      <c r="AM39" s="9">
        <f>ROUND(AM34*Assumptions!$D$25,0)</f>
        <v/>
      </c>
      <c r="AN39" s="9">
        <f>ROUND(AN34*Assumptions!$D$25,0)</f>
        <v/>
      </c>
      <c r="AO39" s="9">
        <f>ROUND(AO34*Assumptions!$D$25,0)</f>
        <v/>
      </c>
      <c r="AP39" s="9">
        <f>ROUND(AP34*Assumptions!$D$25,0)</f>
        <v/>
      </c>
      <c r="AQ39" s="9">
        <f>ROUND(AQ34*Assumptions!$D$25,0)</f>
        <v/>
      </c>
      <c r="AR39" s="9">
        <f>ROUND(AR34*Assumptions!$D$25,0)</f>
        <v/>
      </c>
      <c r="AS39" s="9">
        <f>ROUND(AS34*Assumptions!$D$25,0)</f>
        <v/>
      </c>
      <c r="AT39" s="9">
        <f>ROUND(AT34*Assumptions!$D$25,0)</f>
        <v/>
      </c>
      <c r="AU39" s="9">
        <f>ROUND(AU34*Assumptions!$D$25,0)</f>
        <v/>
      </c>
      <c r="AV39" s="9">
        <f>ROUND(AV34*Assumptions!$D$25,0)</f>
        <v/>
      </c>
      <c r="AW39" s="9">
        <f>ROUND(AW34*Assumptions!$D$25,0)</f>
        <v/>
      </c>
      <c r="AX39" s="9">
        <f>ROUND(AX34*Assumptions!$D$25,0)</f>
        <v/>
      </c>
      <c r="AY39" s="9">
        <f>ROUND(AY34*Assumptions!$D$25,0)</f>
        <v/>
      </c>
      <c r="AZ39" s="9">
        <f>ROUND(AZ34*Assumptions!$D$25,0)</f>
        <v/>
      </c>
      <c r="BA39" s="9">
        <f>ROUND(BA34*Assumptions!$D$25,0)</f>
        <v/>
      </c>
      <c r="BB39" s="9">
        <f>ROUND(BB34*Assumptions!$D$25,0)</f>
        <v/>
      </c>
      <c r="BC39" s="9">
        <f>ROUND(BC34*Assumptions!$D$25,0)</f>
        <v/>
      </c>
      <c r="BD39" s="9">
        <f>ROUND(BD34*Assumptions!$D$25,0)</f>
        <v/>
      </c>
      <c r="BE39" s="9">
        <f>ROUND(BE34*Assumptions!$D$25,0)</f>
        <v/>
      </c>
      <c r="BF39" s="9">
        <f>ROUND(BF34*Assumptions!$D$25,0)</f>
        <v/>
      </c>
      <c r="BG39" s="9">
        <f>ROUND(BG34*Assumptions!$D$25,0)</f>
        <v/>
      </c>
      <c r="BH39" s="9">
        <f>ROUND(BH34*Assumptions!$D$25,0)</f>
        <v/>
      </c>
      <c r="BI39" s="9">
        <f>ROUND(BI34*Assumptions!$D$25,0)</f>
        <v/>
      </c>
      <c r="BJ39" s="9">
        <f>ROUND(BJ34*Assumptions!$D$25,0)</f>
        <v/>
      </c>
      <c r="BK39" s="9">
        <f>ROUND(BK34*Assumptions!$D$25,0)</f>
        <v/>
      </c>
      <c r="BL39" s="9">
        <f>ROUND(BL34*Assumptions!$D$25,0)</f>
        <v/>
      </c>
      <c r="BN39" s="60">
        <f>SUM(E39:P39)</f>
        <v/>
      </c>
      <c r="BO39" s="60">
        <f>SUM(Q39:AB39)</f>
        <v/>
      </c>
      <c r="BP39" s="60">
        <f>SUM(AC39:AN39)</f>
        <v/>
      </c>
      <c r="BQ39" s="60">
        <f>SUM(AO39:AZ39)</f>
        <v/>
      </c>
      <c r="BR39" s="60">
        <f>SUM(BA39:BL39)</f>
        <v/>
      </c>
      <c r="BT39" s="32" t="inlineStr">
        <is>
          <t>whole units, and the Combi+ row takes the remainder so the two add to units sold</t>
        </is>
      </c>
    </row>
    <row r="40">
      <c r="B40" s="6" t="inlineStr">
        <is>
          <t>Combi+ units</t>
        </is>
      </c>
      <c r="C40" s="17" t="inlineStr">
        <is>
          <t>units</t>
        </is>
      </c>
      <c r="E40" s="9">
        <f>E34-E39</f>
        <v/>
      </c>
      <c r="F40" s="9">
        <f>F34-F39</f>
        <v/>
      </c>
      <c r="G40" s="9">
        <f>G34-G39</f>
        <v/>
      </c>
      <c r="H40" s="9">
        <f>H34-H39</f>
        <v/>
      </c>
      <c r="I40" s="9">
        <f>I34-I39</f>
        <v/>
      </c>
      <c r="J40" s="9">
        <f>J34-J39</f>
        <v/>
      </c>
      <c r="K40" s="9">
        <f>K34-K39</f>
        <v/>
      </c>
      <c r="L40" s="9">
        <f>L34-L39</f>
        <v/>
      </c>
      <c r="M40" s="9">
        <f>M34-M39</f>
        <v/>
      </c>
      <c r="N40" s="9">
        <f>N34-N39</f>
        <v/>
      </c>
      <c r="O40" s="9">
        <f>O34-O39</f>
        <v/>
      </c>
      <c r="P40" s="9">
        <f>P34-P39</f>
        <v/>
      </c>
      <c r="Q40" s="9">
        <f>Q34-Q39</f>
        <v/>
      </c>
      <c r="R40" s="9">
        <f>R34-R39</f>
        <v/>
      </c>
      <c r="S40" s="9">
        <f>S34-S39</f>
        <v/>
      </c>
      <c r="T40" s="9">
        <f>T34-T39</f>
        <v/>
      </c>
      <c r="U40" s="9">
        <f>U34-U39</f>
        <v/>
      </c>
      <c r="V40" s="9">
        <f>V34-V39</f>
        <v/>
      </c>
      <c r="W40" s="9">
        <f>W34-W39</f>
        <v/>
      </c>
      <c r="X40" s="9">
        <f>X34-X39</f>
        <v/>
      </c>
      <c r="Y40" s="9">
        <f>Y34-Y39</f>
        <v/>
      </c>
      <c r="Z40" s="9">
        <f>Z34-Z39</f>
        <v/>
      </c>
      <c r="AA40" s="9">
        <f>AA34-AA39</f>
        <v/>
      </c>
      <c r="AB40" s="9">
        <f>AB34-AB39</f>
        <v/>
      </c>
      <c r="AC40" s="9">
        <f>AC34-AC39</f>
        <v/>
      </c>
      <c r="AD40" s="9">
        <f>AD34-AD39</f>
        <v/>
      </c>
      <c r="AE40" s="9">
        <f>AE34-AE39</f>
        <v/>
      </c>
      <c r="AF40" s="9">
        <f>AF34-AF39</f>
        <v/>
      </c>
      <c r="AG40" s="9">
        <f>AG34-AG39</f>
        <v/>
      </c>
      <c r="AH40" s="9">
        <f>AH34-AH39</f>
        <v/>
      </c>
      <c r="AI40" s="9">
        <f>AI34-AI39</f>
        <v/>
      </c>
      <c r="AJ40" s="9">
        <f>AJ34-AJ39</f>
        <v/>
      </c>
      <c r="AK40" s="9">
        <f>AK34-AK39</f>
        <v/>
      </c>
      <c r="AL40" s="9">
        <f>AL34-AL39</f>
        <v/>
      </c>
      <c r="AM40" s="9">
        <f>AM34-AM39</f>
        <v/>
      </c>
      <c r="AN40" s="9">
        <f>AN34-AN39</f>
        <v/>
      </c>
      <c r="AO40" s="9">
        <f>AO34-AO39</f>
        <v/>
      </c>
      <c r="AP40" s="9">
        <f>AP34-AP39</f>
        <v/>
      </c>
      <c r="AQ40" s="9">
        <f>AQ34-AQ39</f>
        <v/>
      </c>
      <c r="AR40" s="9">
        <f>AR34-AR39</f>
        <v/>
      </c>
      <c r="AS40" s="9">
        <f>AS34-AS39</f>
        <v/>
      </c>
      <c r="AT40" s="9">
        <f>AT34-AT39</f>
        <v/>
      </c>
      <c r="AU40" s="9">
        <f>AU34-AU39</f>
        <v/>
      </c>
      <c r="AV40" s="9">
        <f>AV34-AV39</f>
        <v/>
      </c>
      <c r="AW40" s="9">
        <f>AW34-AW39</f>
        <v/>
      </c>
      <c r="AX40" s="9">
        <f>AX34-AX39</f>
        <v/>
      </c>
      <c r="AY40" s="9">
        <f>AY34-AY39</f>
        <v/>
      </c>
      <c r="AZ40" s="9">
        <f>AZ34-AZ39</f>
        <v/>
      </c>
      <c r="BA40" s="9">
        <f>BA34-BA39</f>
        <v/>
      </c>
      <c r="BB40" s="9">
        <f>BB34-BB39</f>
        <v/>
      </c>
      <c r="BC40" s="9">
        <f>BC34-BC39</f>
        <v/>
      </c>
      <c r="BD40" s="9">
        <f>BD34-BD39</f>
        <v/>
      </c>
      <c r="BE40" s="9">
        <f>BE34-BE39</f>
        <v/>
      </c>
      <c r="BF40" s="9">
        <f>BF34-BF39</f>
        <v/>
      </c>
      <c r="BG40" s="9">
        <f>BG34-BG39</f>
        <v/>
      </c>
      <c r="BH40" s="9">
        <f>BH34-BH39</f>
        <v/>
      </c>
      <c r="BI40" s="9">
        <f>BI34-BI39</f>
        <v/>
      </c>
      <c r="BJ40" s="9">
        <f>BJ34-BJ39</f>
        <v/>
      </c>
      <c r="BK40" s="9">
        <f>BK34-BK39</f>
        <v/>
      </c>
      <c r="BL40" s="9">
        <f>BL34-BL39</f>
        <v/>
      </c>
      <c r="BN40" s="60">
        <f>SUM(E40:P40)</f>
        <v/>
      </c>
      <c r="BO40" s="60">
        <f>SUM(Q40:AB40)</f>
        <v/>
      </c>
      <c r="BP40" s="60">
        <f>SUM(AC40:AN40)</f>
        <v/>
      </c>
      <c r="BQ40" s="60">
        <f>SUM(AO40:AZ40)</f>
        <v/>
      </c>
      <c r="BR40" s="60">
        <f>SUM(BA40:BL40)</f>
        <v/>
      </c>
    </row>
    <row r="41">
      <c r="B41" s="56" t="inlineStr">
        <is>
          <t>Installed base at end of month</t>
        </is>
      </c>
      <c r="C41" s="57" t="inlineStr">
        <is>
          <t>units</t>
        </is>
      </c>
      <c r="E41" s="61">
        <f>E7+E34</f>
        <v/>
      </c>
      <c r="F41" s="61">
        <f>F7+F34</f>
        <v/>
      </c>
      <c r="G41" s="61">
        <f>G7+G34</f>
        <v/>
      </c>
      <c r="H41" s="61">
        <f>H7+H34</f>
        <v/>
      </c>
      <c r="I41" s="61">
        <f>I7+I34</f>
        <v/>
      </c>
      <c r="J41" s="61">
        <f>J7+J34</f>
        <v/>
      </c>
      <c r="K41" s="61">
        <f>K7+K34</f>
        <v/>
      </c>
      <c r="L41" s="61">
        <f>L7+L34</f>
        <v/>
      </c>
      <c r="M41" s="61">
        <f>M7+M34</f>
        <v/>
      </c>
      <c r="N41" s="61">
        <f>N7+N34</f>
        <v/>
      </c>
      <c r="O41" s="61">
        <f>O7+O34</f>
        <v/>
      </c>
      <c r="P41" s="61">
        <f>P7+P34</f>
        <v/>
      </c>
      <c r="Q41" s="61">
        <f>Q7+Q34</f>
        <v/>
      </c>
      <c r="R41" s="61">
        <f>R7+R34</f>
        <v/>
      </c>
      <c r="S41" s="61">
        <f>S7+S34</f>
        <v/>
      </c>
      <c r="T41" s="61">
        <f>T7+T34</f>
        <v/>
      </c>
      <c r="U41" s="61">
        <f>U7+U34</f>
        <v/>
      </c>
      <c r="V41" s="61">
        <f>V7+V34</f>
        <v/>
      </c>
      <c r="W41" s="61">
        <f>W7+W34</f>
        <v/>
      </c>
      <c r="X41" s="61">
        <f>X7+X34</f>
        <v/>
      </c>
      <c r="Y41" s="61">
        <f>Y7+Y34</f>
        <v/>
      </c>
      <c r="Z41" s="61">
        <f>Z7+Z34</f>
        <v/>
      </c>
      <c r="AA41" s="61">
        <f>AA7+AA34</f>
        <v/>
      </c>
      <c r="AB41" s="61">
        <f>AB7+AB34</f>
        <v/>
      </c>
      <c r="AC41" s="61">
        <f>AC7+AC34</f>
        <v/>
      </c>
      <c r="AD41" s="61">
        <f>AD7+AD34</f>
        <v/>
      </c>
      <c r="AE41" s="61">
        <f>AE7+AE34</f>
        <v/>
      </c>
      <c r="AF41" s="61">
        <f>AF7+AF34</f>
        <v/>
      </c>
      <c r="AG41" s="61">
        <f>AG7+AG34</f>
        <v/>
      </c>
      <c r="AH41" s="61">
        <f>AH7+AH34</f>
        <v/>
      </c>
      <c r="AI41" s="61">
        <f>AI7+AI34</f>
        <v/>
      </c>
      <c r="AJ41" s="61">
        <f>AJ7+AJ34</f>
        <v/>
      </c>
      <c r="AK41" s="61">
        <f>AK7+AK34</f>
        <v/>
      </c>
      <c r="AL41" s="61">
        <f>AL7+AL34</f>
        <v/>
      </c>
      <c r="AM41" s="61">
        <f>AM7+AM34</f>
        <v/>
      </c>
      <c r="AN41" s="61">
        <f>AN7+AN34</f>
        <v/>
      </c>
      <c r="AO41" s="61">
        <f>AO7+AO34</f>
        <v/>
      </c>
      <c r="AP41" s="61">
        <f>AP7+AP34</f>
        <v/>
      </c>
      <c r="AQ41" s="61">
        <f>AQ7+AQ34</f>
        <v/>
      </c>
      <c r="AR41" s="61">
        <f>AR7+AR34</f>
        <v/>
      </c>
      <c r="AS41" s="61">
        <f>AS7+AS34</f>
        <v/>
      </c>
      <c r="AT41" s="61">
        <f>AT7+AT34</f>
        <v/>
      </c>
      <c r="AU41" s="61">
        <f>AU7+AU34</f>
        <v/>
      </c>
      <c r="AV41" s="61">
        <f>AV7+AV34</f>
        <v/>
      </c>
      <c r="AW41" s="61">
        <f>AW7+AW34</f>
        <v/>
      </c>
      <c r="AX41" s="61">
        <f>AX7+AX34</f>
        <v/>
      </c>
      <c r="AY41" s="61">
        <f>AY7+AY34</f>
        <v/>
      </c>
      <c r="AZ41" s="61">
        <f>AZ7+AZ34</f>
        <v/>
      </c>
      <c r="BA41" s="61">
        <f>BA7+BA34</f>
        <v/>
      </c>
      <c r="BB41" s="61">
        <f>BB7+BB34</f>
        <v/>
      </c>
      <c r="BC41" s="61">
        <f>BC7+BC34</f>
        <v/>
      </c>
      <c r="BD41" s="61">
        <f>BD7+BD34</f>
        <v/>
      </c>
      <c r="BE41" s="61">
        <f>BE7+BE34</f>
        <v/>
      </c>
      <c r="BF41" s="61">
        <f>BF7+BF34</f>
        <v/>
      </c>
      <c r="BG41" s="61">
        <f>BG7+BG34</f>
        <v/>
      </c>
      <c r="BH41" s="61">
        <f>BH7+BH34</f>
        <v/>
      </c>
      <c r="BI41" s="61">
        <f>BI7+BI34</f>
        <v/>
      </c>
      <c r="BJ41" s="61">
        <f>BJ7+BJ34</f>
        <v/>
      </c>
      <c r="BK41" s="61">
        <f>BK7+BK34</f>
        <v/>
      </c>
      <c r="BL41" s="61">
        <f>BL7+BL34</f>
        <v/>
      </c>
      <c r="BN41" s="61">
        <f>P41</f>
        <v/>
      </c>
      <c r="BO41" s="61">
        <f>AB41</f>
        <v/>
      </c>
      <c r="BP41" s="61">
        <f>AN41</f>
        <v/>
      </c>
      <c r="BQ41" s="61">
        <f>AZ41</f>
        <v/>
      </c>
      <c r="BR41" s="61">
        <f>BL41</f>
        <v/>
      </c>
    </row>
    <row r="43">
      <c r="B43" s="15" t="inlineStr">
        <is>
          <t>REVENUE</t>
        </is>
      </c>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c r="AM43" s="1" t="n"/>
      <c r="AN43" s="1" t="n"/>
      <c r="AO43" s="1" t="n"/>
      <c r="AP43" s="1" t="n"/>
      <c r="AQ43" s="1" t="n"/>
      <c r="AR43" s="1" t="n"/>
      <c r="AS43" s="1" t="n"/>
      <c r="AT43" s="1" t="n"/>
      <c r="AU43" s="1" t="n"/>
      <c r="AV43" s="1" t="n"/>
      <c r="AW43" s="1" t="n"/>
      <c r="AX43" s="1" t="n"/>
      <c r="AY43" s="1" t="n"/>
      <c r="AZ43" s="1" t="n"/>
      <c r="BA43" s="1" t="n"/>
      <c r="BB43" s="1" t="n"/>
      <c r="BC43" s="1" t="n"/>
      <c r="BD43" s="1" t="n"/>
      <c r="BE43" s="1" t="n"/>
      <c r="BF43" s="1" t="n"/>
      <c r="BG43" s="1" t="n"/>
      <c r="BH43" s="1" t="n"/>
      <c r="BI43" s="1" t="n"/>
      <c r="BJ43" s="1" t="n"/>
      <c r="BK43" s="1" t="n"/>
      <c r="BL43" s="1" t="n"/>
      <c r="BM43" s="1" t="n"/>
      <c r="BN43" s="1" t="n"/>
      <c r="BO43" s="1" t="n"/>
      <c r="BP43" s="1" t="n"/>
      <c r="BQ43" s="1" t="n"/>
      <c r="BR43" s="1" t="n"/>
      <c r="BS43" s="1" t="n"/>
    </row>
    <row r="44">
      <c r="B44" s="6" t="inlineStr">
        <is>
          <t>Turbineketel</t>
        </is>
      </c>
      <c r="C44" s="17" t="inlineStr">
        <is>
          <t>EUR</t>
        </is>
      </c>
      <c r="E44" s="10">
        <f>E39*Assumptions!$D$20</f>
        <v/>
      </c>
      <c r="F44" s="10">
        <f>F39*Assumptions!$D$20</f>
        <v/>
      </c>
      <c r="G44" s="10">
        <f>G39*Assumptions!$D$20</f>
        <v/>
      </c>
      <c r="H44" s="10">
        <f>H39*Assumptions!$D$20</f>
        <v/>
      </c>
      <c r="I44" s="10">
        <f>I39*Assumptions!$D$20</f>
        <v/>
      </c>
      <c r="J44" s="10">
        <f>J39*Assumptions!$D$20</f>
        <v/>
      </c>
      <c r="K44" s="10">
        <f>K39*Assumptions!$D$20</f>
        <v/>
      </c>
      <c r="L44" s="10">
        <f>L39*Assumptions!$D$20</f>
        <v/>
      </c>
      <c r="M44" s="10">
        <f>M39*Assumptions!$D$20</f>
        <v/>
      </c>
      <c r="N44" s="10">
        <f>N39*Assumptions!$D$20</f>
        <v/>
      </c>
      <c r="O44" s="10">
        <f>O39*Assumptions!$D$20</f>
        <v/>
      </c>
      <c r="P44" s="10">
        <f>P39*Assumptions!$D$20</f>
        <v/>
      </c>
      <c r="Q44" s="10">
        <f>Q39*Assumptions!$D$20</f>
        <v/>
      </c>
      <c r="R44" s="10">
        <f>R39*Assumptions!$D$20</f>
        <v/>
      </c>
      <c r="S44" s="10">
        <f>S39*Assumptions!$D$20</f>
        <v/>
      </c>
      <c r="T44" s="10">
        <f>T39*Assumptions!$D$20</f>
        <v/>
      </c>
      <c r="U44" s="10">
        <f>U39*Assumptions!$D$20</f>
        <v/>
      </c>
      <c r="V44" s="10">
        <f>V39*Assumptions!$D$20</f>
        <v/>
      </c>
      <c r="W44" s="10">
        <f>W39*Assumptions!$D$20</f>
        <v/>
      </c>
      <c r="X44" s="10">
        <f>X39*Assumptions!$D$20</f>
        <v/>
      </c>
      <c r="Y44" s="10">
        <f>Y39*Assumptions!$D$20</f>
        <v/>
      </c>
      <c r="Z44" s="10">
        <f>Z39*Assumptions!$D$20</f>
        <v/>
      </c>
      <c r="AA44" s="10">
        <f>AA39*Assumptions!$D$20</f>
        <v/>
      </c>
      <c r="AB44" s="10">
        <f>AB39*Assumptions!$D$20</f>
        <v/>
      </c>
      <c r="AC44" s="10">
        <f>AC39*Assumptions!$D$20</f>
        <v/>
      </c>
      <c r="AD44" s="10">
        <f>AD39*Assumptions!$D$20</f>
        <v/>
      </c>
      <c r="AE44" s="10">
        <f>AE39*Assumptions!$D$20</f>
        <v/>
      </c>
      <c r="AF44" s="10">
        <f>AF39*Assumptions!$D$20</f>
        <v/>
      </c>
      <c r="AG44" s="10">
        <f>AG39*Assumptions!$D$20</f>
        <v/>
      </c>
      <c r="AH44" s="10">
        <f>AH39*Assumptions!$D$20</f>
        <v/>
      </c>
      <c r="AI44" s="10">
        <f>AI39*Assumptions!$D$20</f>
        <v/>
      </c>
      <c r="AJ44" s="10">
        <f>AJ39*Assumptions!$D$20</f>
        <v/>
      </c>
      <c r="AK44" s="10">
        <f>AK39*Assumptions!$D$20</f>
        <v/>
      </c>
      <c r="AL44" s="10">
        <f>AL39*Assumptions!$D$20</f>
        <v/>
      </c>
      <c r="AM44" s="10">
        <f>AM39*Assumptions!$D$20</f>
        <v/>
      </c>
      <c r="AN44" s="10">
        <f>AN39*Assumptions!$D$20</f>
        <v/>
      </c>
      <c r="AO44" s="10">
        <f>AO39*Assumptions!$D$20</f>
        <v/>
      </c>
      <c r="AP44" s="10">
        <f>AP39*Assumptions!$D$20</f>
        <v/>
      </c>
      <c r="AQ44" s="10">
        <f>AQ39*Assumptions!$D$20</f>
        <v/>
      </c>
      <c r="AR44" s="10">
        <f>AR39*Assumptions!$D$20</f>
        <v/>
      </c>
      <c r="AS44" s="10">
        <f>AS39*Assumptions!$D$20</f>
        <v/>
      </c>
      <c r="AT44" s="10">
        <f>AT39*Assumptions!$D$20</f>
        <v/>
      </c>
      <c r="AU44" s="10">
        <f>AU39*Assumptions!$D$20</f>
        <v/>
      </c>
      <c r="AV44" s="10">
        <f>AV39*Assumptions!$D$20</f>
        <v/>
      </c>
      <c r="AW44" s="10">
        <f>AW39*Assumptions!$D$20</f>
        <v/>
      </c>
      <c r="AX44" s="10">
        <f>AX39*Assumptions!$D$20</f>
        <v/>
      </c>
      <c r="AY44" s="10">
        <f>AY39*Assumptions!$D$20</f>
        <v/>
      </c>
      <c r="AZ44" s="10">
        <f>AZ39*Assumptions!$D$20</f>
        <v/>
      </c>
      <c r="BA44" s="10">
        <f>BA39*Assumptions!$D$20</f>
        <v/>
      </c>
      <c r="BB44" s="10">
        <f>BB39*Assumptions!$D$20</f>
        <v/>
      </c>
      <c r="BC44" s="10">
        <f>BC39*Assumptions!$D$20</f>
        <v/>
      </c>
      <c r="BD44" s="10">
        <f>BD39*Assumptions!$D$20</f>
        <v/>
      </c>
      <c r="BE44" s="10">
        <f>BE39*Assumptions!$D$20</f>
        <v/>
      </c>
      <c r="BF44" s="10">
        <f>BF39*Assumptions!$D$20</f>
        <v/>
      </c>
      <c r="BG44" s="10">
        <f>BG39*Assumptions!$D$20</f>
        <v/>
      </c>
      <c r="BH44" s="10">
        <f>BH39*Assumptions!$D$20</f>
        <v/>
      </c>
      <c r="BI44" s="10">
        <f>BI39*Assumptions!$D$20</f>
        <v/>
      </c>
      <c r="BJ44" s="10">
        <f>BJ39*Assumptions!$D$20</f>
        <v/>
      </c>
      <c r="BK44" s="10">
        <f>BK39*Assumptions!$D$20</f>
        <v/>
      </c>
      <c r="BL44" s="10">
        <f>BL39*Assumptions!$D$20</f>
        <v/>
      </c>
      <c r="BN44" s="50">
        <f>SUM(E44:P44)</f>
        <v/>
      </c>
      <c r="BO44" s="50">
        <f>SUM(Q44:AB44)</f>
        <v/>
      </c>
      <c r="BP44" s="50">
        <f>SUM(AC44:AN44)</f>
        <v/>
      </c>
      <c r="BQ44" s="50">
        <f>SUM(AO44:AZ44)</f>
        <v/>
      </c>
      <c r="BR44" s="50">
        <f>SUM(BA44:BL44)</f>
        <v/>
      </c>
    </row>
    <row r="45">
      <c r="B45" s="6" t="inlineStr">
        <is>
          <t>Combi+</t>
        </is>
      </c>
      <c r="C45" s="17" t="inlineStr">
        <is>
          <t>EUR</t>
        </is>
      </c>
      <c r="E45" s="10">
        <f>E40*Assumptions!$D$22</f>
        <v/>
      </c>
      <c r="F45" s="10">
        <f>F40*Assumptions!$D$22</f>
        <v/>
      </c>
      <c r="G45" s="10">
        <f>G40*Assumptions!$D$22</f>
        <v/>
      </c>
      <c r="H45" s="10">
        <f>H40*Assumptions!$D$22</f>
        <v/>
      </c>
      <c r="I45" s="10">
        <f>I40*Assumptions!$D$22</f>
        <v/>
      </c>
      <c r="J45" s="10">
        <f>J40*Assumptions!$D$22</f>
        <v/>
      </c>
      <c r="K45" s="10">
        <f>K40*Assumptions!$D$22</f>
        <v/>
      </c>
      <c r="L45" s="10">
        <f>L40*Assumptions!$D$22</f>
        <v/>
      </c>
      <c r="M45" s="10">
        <f>M40*Assumptions!$D$22</f>
        <v/>
      </c>
      <c r="N45" s="10">
        <f>N40*Assumptions!$D$22</f>
        <v/>
      </c>
      <c r="O45" s="10">
        <f>O40*Assumptions!$D$22</f>
        <v/>
      </c>
      <c r="P45" s="10">
        <f>P40*Assumptions!$D$22</f>
        <v/>
      </c>
      <c r="Q45" s="10">
        <f>Q40*Assumptions!$D$22</f>
        <v/>
      </c>
      <c r="R45" s="10">
        <f>R40*Assumptions!$D$22</f>
        <v/>
      </c>
      <c r="S45" s="10">
        <f>S40*Assumptions!$D$22</f>
        <v/>
      </c>
      <c r="T45" s="10">
        <f>T40*Assumptions!$D$22</f>
        <v/>
      </c>
      <c r="U45" s="10">
        <f>U40*Assumptions!$D$22</f>
        <v/>
      </c>
      <c r="V45" s="10">
        <f>V40*Assumptions!$D$22</f>
        <v/>
      </c>
      <c r="W45" s="10">
        <f>W40*Assumptions!$D$22</f>
        <v/>
      </c>
      <c r="X45" s="10">
        <f>X40*Assumptions!$D$22</f>
        <v/>
      </c>
      <c r="Y45" s="10">
        <f>Y40*Assumptions!$D$22</f>
        <v/>
      </c>
      <c r="Z45" s="10">
        <f>Z40*Assumptions!$D$22</f>
        <v/>
      </c>
      <c r="AA45" s="10">
        <f>AA40*Assumptions!$D$22</f>
        <v/>
      </c>
      <c r="AB45" s="10">
        <f>AB40*Assumptions!$D$22</f>
        <v/>
      </c>
      <c r="AC45" s="10">
        <f>AC40*Assumptions!$D$22</f>
        <v/>
      </c>
      <c r="AD45" s="10">
        <f>AD40*Assumptions!$D$22</f>
        <v/>
      </c>
      <c r="AE45" s="10">
        <f>AE40*Assumptions!$D$22</f>
        <v/>
      </c>
      <c r="AF45" s="10">
        <f>AF40*Assumptions!$D$22</f>
        <v/>
      </c>
      <c r="AG45" s="10">
        <f>AG40*Assumptions!$D$22</f>
        <v/>
      </c>
      <c r="AH45" s="10">
        <f>AH40*Assumptions!$D$22</f>
        <v/>
      </c>
      <c r="AI45" s="10">
        <f>AI40*Assumptions!$D$22</f>
        <v/>
      </c>
      <c r="AJ45" s="10">
        <f>AJ40*Assumptions!$D$22</f>
        <v/>
      </c>
      <c r="AK45" s="10">
        <f>AK40*Assumptions!$D$22</f>
        <v/>
      </c>
      <c r="AL45" s="10">
        <f>AL40*Assumptions!$D$22</f>
        <v/>
      </c>
      <c r="AM45" s="10">
        <f>AM40*Assumptions!$D$22</f>
        <v/>
      </c>
      <c r="AN45" s="10">
        <f>AN40*Assumptions!$D$22</f>
        <v/>
      </c>
      <c r="AO45" s="10">
        <f>AO40*Assumptions!$D$22</f>
        <v/>
      </c>
      <c r="AP45" s="10">
        <f>AP40*Assumptions!$D$22</f>
        <v/>
      </c>
      <c r="AQ45" s="10">
        <f>AQ40*Assumptions!$D$22</f>
        <v/>
      </c>
      <c r="AR45" s="10">
        <f>AR40*Assumptions!$D$22</f>
        <v/>
      </c>
      <c r="AS45" s="10">
        <f>AS40*Assumptions!$D$22</f>
        <v/>
      </c>
      <c r="AT45" s="10">
        <f>AT40*Assumptions!$D$22</f>
        <v/>
      </c>
      <c r="AU45" s="10">
        <f>AU40*Assumptions!$D$22</f>
        <v/>
      </c>
      <c r="AV45" s="10">
        <f>AV40*Assumptions!$D$22</f>
        <v/>
      </c>
      <c r="AW45" s="10">
        <f>AW40*Assumptions!$D$22</f>
        <v/>
      </c>
      <c r="AX45" s="10">
        <f>AX40*Assumptions!$D$22</f>
        <v/>
      </c>
      <c r="AY45" s="10">
        <f>AY40*Assumptions!$D$22</f>
        <v/>
      </c>
      <c r="AZ45" s="10">
        <f>AZ40*Assumptions!$D$22</f>
        <v/>
      </c>
      <c r="BA45" s="10">
        <f>BA40*Assumptions!$D$22</f>
        <v/>
      </c>
      <c r="BB45" s="10">
        <f>BB40*Assumptions!$D$22</f>
        <v/>
      </c>
      <c r="BC45" s="10">
        <f>BC40*Assumptions!$D$22</f>
        <v/>
      </c>
      <c r="BD45" s="10">
        <f>BD40*Assumptions!$D$22</f>
        <v/>
      </c>
      <c r="BE45" s="10">
        <f>BE40*Assumptions!$D$22</f>
        <v/>
      </c>
      <c r="BF45" s="10">
        <f>BF40*Assumptions!$D$22</f>
        <v/>
      </c>
      <c r="BG45" s="10">
        <f>BG40*Assumptions!$D$22</f>
        <v/>
      </c>
      <c r="BH45" s="10">
        <f>BH40*Assumptions!$D$22</f>
        <v/>
      </c>
      <c r="BI45" s="10">
        <f>BI40*Assumptions!$D$22</f>
        <v/>
      </c>
      <c r="BJ45" s="10">
        <f>BJ40*Assumptions!$D$22</f>
        <v/>
      </c>
      <c r="BK45" s="10">
        <f>BK40*Assumptions!$D$22</f>
        <v/>
      </c>
      <c r="BL45" s="10">
        <f>BL40*Assumptions!$D$22</f>
        <v/>
      </c>
      <c r="BN45" s="50">
        <f>SUM(E45:P45)</f>
        <v/>
      </c>
      <c r="BO45" s="50">
        <f>SUM(Q45:AB45)</f>
        <v/>
      </c>
      <c r="BP45" s="50">
        <f>SUM(AC45:AN45)</f>
        <v/>
      </c>
      <c r="BQ45" s="50">
        <f>SUM(AO45:AZ45)</f>
        <v/>
      </c>
      <c r="BR45" s="50">
        <f>SUM(BA45:BL45)</f>
        <v/>
      </c>
    </row>
    <row r="46">
      <c r="B46" s="6" t="inlineStr">
        <is>
          <t>Upsell basket</t>
        </is>
      </c>
      <c r="C46" s="17" t="inlineStr">
        <is>
          <t>EUR</t>
        </is>
      </c>
      <c r="E46" s="10">
        <f>E34*Assumptions!$D$32</f>
        <v/>
      </c>
      <c r="F46" s="10">
        <f>F34*Assumptions!$D$32</f>
        <v/>
      </c>
      <c r="G46" s="10">
        <f>G34*Assumptions!$D$32</f>
        <v/>
      </c>
      <c r="H46" s="10">
        <f>H34*Assumptions!$D$32</f>
        <v/>
      </c>
      <c r="I46" s="10">
        <f>I34*Assumptions!$D$32</f>
        <v/>
      </c>
      <c r="J46" s="10">
        <f>J34*Assumptions!$D$32</f>
        <v/>
      </c>
      <c r="K46" s="10">
        <f>K34*Assumptions!$D$32</f>
        <v/>
      </c>
      <c r="L46" s="10">
        <f>L34*Assumptions!$D$32</f>
        <v/>
      </c>
      <c r="M46" s="10">
        <f>M34*Assumptions!$D$32</f>
        <v/>
      </c>
      <c r="N46" s="10">
        <f>N34*Assumptions!$D$32</f>
        <v/>
      </c>
      <c r="O46" s="10">
        <f>O34*Assumptions!$D$32</f>
        <v/>
      </c>
      <c r="P46" s="10">
        <f>P34*Assumptions!$D$32</f>
        <v/>
      </c>
      <c r="Q46" s="10">
        <f>Q34*Assumptions!$D$32</f>
        <v/>
      </c>
      <c r="R46" s="10">
        <f>R34*Assumptions!$D$32</f>
        <v/>
      </c>
      <c r="S46" s="10">
        <f>S34*Assumptions!$D$32</f>
        <v/>
      </c>
      <c r="T46" s="10">
        <f>T34*Assumptions!$D$32</f>
        <v/>
      </c>
      <c r="U46" s="10">
        <f>U34*Assumptions!$D$32</f>
        <v/>
      </c>
      <c r="V46" s="10">
        <f>V34*Assumptions!$D$32</f>
        <v/>
      </c>
      <c r="W46" s="10">
        <f>W34*Assumptions!$D$32</f>
        <v/>
      </c>
      <c r="X46" s="10">
        <f>X34*Assumptions!$D$32</f>
        <v/>
      </c>
      <c r="Y46" s="10">
        <f>Y34*Assumptions!$D$32</f>
        <v/>
      </c>
      <c r="Z46" s="10">
        <f>Z34*Assumptions!$D$32</f>
        <v/>
      </c>
      <c r="AA46" s="10">
        <f>AA34*Assumptions!$D$32</f>
        <v/>
      </c>
      <c r="AB46" s="10">
        <f>AB34*Assumptions!$D$32</f>
        <v/>
      </c>
      <c r="AC46" s="10">
        <f>AC34*Assumptions!$D$32</f>
        <v/>
      </c>
      <c r="AD46" s="10">
        <f>AD34*Assumptions!$D$32</f>
        <v/>
      </c>
      <c r="AE46" s="10">
        <f>AE34*Assumptions!$D$32</f>
        <v/>
      </c>
      <c r="AF46" s="10">
        <f>AF34*Assumptions!$D$32</f>
        <v/>
      </c>
      <c r="AG46" s="10">
        <f>AG34*Assumptions!$D$32</f>
        <v/>
      </c>
      <c r="AH46" s="10">
        <f>AH34*Assumptions!$D$32</f>
        <v/>
      </c>
      <c r="AI46" s="10">
        <f>AI34*Assumptions!$D$32</f>
        <v/>
      </c>
      <c r="AJ46" s="10">
        <f>AJ34*Assumptions!$D$32</f>
        <v/>
      </c>
      <c r="AK46" s="10">
        <f>AK34*Assumptions!$D$32</f>
        <v/>
      </c>
      <c r="AL46" s="10">
        <f>AL34*Assumptions!$D$32</f>
        <v/>
      </c>
      <c r="AM46" s="10">
        <f>AM34*Assumptions!$D$32</f>
        <v/>
      </c>
      <c r="AN46" s="10">
        <f>AN34*Assumptions!$D$32</f>
        <v/>
      </c>
      <c r="AO46" s="10">
        <f>AO34*Assumptions!$D$32</f>
        <v/>
      </c>
      <c r="AP46" s="10">
        <f>AP34*Assumptions!$D$32</f>
        <v/>
      </c>
      <c r="AQ46" s="10">
        <f>AQ34*Assumptions!$D$32</f>
        <v/>
      </c>
      <c r="AR46" s="10">
        <f>AR34*Assumptions!$D$32</f>
        <v/>
      </c>
      <c r="AS46" s="10">
        <f>AS34*Assumptions!$D$32</f>
        <v/>
      </c>
      <c r="AT46" s="10">
        <f>AT34*Assumptions!$D$32</f>
        <v/>
      </c>
      <c r="AU46" s="10">
        <f>AU34*Assumptions!$D$32</f>
        <v/>
      </c>
      <c r="AV46" s="10">
        <f>AV34*Assumptions!$D$32</f>
        <v/>
      </c>
      <c r="AW46" s="10">
        <f>AW34*Assumptions!$D$32</f>
        <v/>
      </c>
      <c r="AX46" s="10">
        <f>AX34*Assumptions!$D$32</f>
        <v/>
      </c>
      <c r="AY46" s="10">
        <f>AY34*Assumptions!$D$32</f>
        <v/>
      </c>
      <c r="AZ46" s="10">
        <f>AZ34*Assumptions!$D$32</f>
        <v/>
      </c>
      <c r="BA46" s="10">
        <f>BA34*Assumptions!$D$32</f>
        <v/>
      </c>
      <c r="BB46" s="10">
        <f>BB34*Assumptions!$D$32</f>
        <v/>
      </c>
      <c r="BC46" s="10">
        <f>BC34*Assumptions!$D$32</f>
        <v/>
      </c>
      <c r="BD46" s="10">
        <f>BD34*Assumptions!$D$32</f>
        <v/>
      </c>
      <c r="BE46" s="10">
        <f>BE34*Assumptions!$D$32</f>
        <v/>
      </c>
      <c r="BF46" s="10">
        <f>BF34*Assumptions!$D$32</f>
        <v/>
      </c>
      <c r="BG46" s="10">
        <f>BG34*Assumptions!$D$32</f>
        <v/>
      </c>
      <c r="BH46" s="10">
        <f>BH34*Assumptions!$D$32</f>
        <v/>
      </c>
      <c r="BI46" s="10">
        <f>BI34*Assumptions!$D$32</f>
        <v/>
      </c>
      <c r="BJ46" s="10">
        <f>BJ34*Assumptions!$D$32</f>
        <v/>
      </c>
      <c r="BK46" s="10">
        <f>BK34*Assumptions!$D$32</f>
        <v/>
      </c>
      <c r="BL46" s="10">
        <f>BL34*Assumptions!$D$32</f>
        <v/>
      </c>
      <c r="BN46" s="50">
        <f>SUM(E46:P46)</f>
        <v/>
      </c>
      <c r="BO46" s="50">
        <f>SUM(Q46:AB46)</f>
        <v/>
      </c>
      <c r="BP46" s="50">
        <f>SUM(AC46:AN46)</f>
        <v/>
      </c>
      <c r="BQ46" s="50">
        <f>SUM(AO46:AZ46)</f>
        <v/>
      </c>
      <c r="BR46" s="50">
        <f>SUM(BA46:BL46)</f>
        <v/>
      </c>
    </row>
    <row r="47">
      <c r="B47" s="6" t="inlineStr">
        <is>
          <t>Installation (pass-through)</t>
        </is>
      </c>
      <c r="C47" s="17" t="inlineStr">
        <is>
          <t>EUR</t>
        </is>
      </c>
      <c r="E47" s="10">
        <f>E39*Assumptions!$D$23+E40*Assumptions!$D$24</f>
        <v/>
      </c>
      <c r="F47" s="10">
        <f>F39*Assumptions!$D$23+F40*Assumptions!$D$24</f>
        <v/>
      </c>
      <c r="G47" s="10">
        <f>G39*Assumptions!$D$23+G40*Assumptions!$D$24</f>
        <v/>
      </c>
      <c r="H47" s="10">
        <f>H39*Assumptions!$D$23+H40*Assumptions!$D$24</f>
        <v/>
      </c>
      <c r="I47" s="10">
        <f>I39*Assumptions!$D$23+I40*Assumptions!$D$24</f>
        <v/>
      </c>
      <c r="J47" s="10">
        <f>J39*Assumptions!$D$23+J40*Assumptions!$D$24</f>
        <v/>
      </c>
      <c r="K47" s="10">
        <f>K39*Assumptions!$D$23+K40*Assumptions!$D$24</f>
        <v/>
      </c>
      <c r="L47" s="10">
        <f>L39*Assumptions!$D$23+L40*Assumptions!$D$24</f>
        <v/>
      </c>
      <c r="M47" s="10">
        <f>M39*Assumptions!$D$23+M40*Assumptions!$D$24</f>
        <v/>
      </c>
      <c r="N47" s="10">
        <f>N39*Assumptions!$D$23+N40*Assumptions!$D$24</f>
        <v/>
      </c>
      <c r="O47" s="10">
        <f>O39*Assumptions!$D$23+O40*Assumptions!$D$24</f>
        <v/>
      </c>
      <c r="P47" s="10">
        <f>P39*Assumptions!$D$23+P40*Assumptions!$D$24</f>
        <v/>
      </c>
      <c r="Q47" s="10">
        <f>Q39*Assumptions!$D$23+Q40*Assumptions!$D$24</f>
        <v/>
      </c>
      <c r="R47" s="10">
        <f>R39*Assumptions!$D$23+R40*Assumptions!$D$24</f>
        <v/>
      </c>
      <c r="S47" s="10">
        <f>S39*Assumptions!$D$23+S40*Assumptions!$D$24</f>
        <v/>
      </c>
      <c r="T47" s="10">
        <f>T39*Assumptions!$D$23+T40*Assumptions!$D$24</f>
        <v/>
      </c>
      <c r="U47" s="10">
        <f>U39*Assumptions!$D$23+U40*Assumptions!$D$24</f>
        <v/>
      </c>
      <c r="V47" s="10">
        <f>V39*Assumptions!$D$23+V40*Assumptions!$D$24</f>
        <v/>
      </c>
      <c r="W47" s="10">
        <f>W39*Assumptions!$D$23+W40*Assumptions!$D$24</f>
        <v/>
      </c>
      <c r="X47" s="10">
        <f>X39*Assumptions!$D$23+X40*Assumptions!$D$24</f>
        <v/>
      </c>
      <c r="Y47" s="10">
        <f>Y39*Assumptions!$D$23+Y40*Assumptions!$D$24</f>
        <v/>
      </c>
      <c r="Z47" s="10">
        <f>Z39*Assumptions!$D$23+Z40*Assumptions!$D$24</f>
        <v/>
      </c>
      <c r="AA47" s="10">
        <f>AA39*Assumptions!$D$23+AA40*Assumptions!$D$24</f>
        <v/>
      </c>
      <c r="AB47" s="10">
        <f>AB39*Assumptions!$D$23+AB40*Assumptions!$D$24</f>
        <v/>
      </c>
      <c r="AC47" s="10">
        <f>AC39*Assumptions!$D$23+AC40*Assumptions!$D$24</f>
        <v/>
      </c>
      <c r="AD47" s="10">
        <f>AD39*Assumptions!$D$23+AD40*Assumptions!$D$24</f>
        <v/>
      </c>
      <c r="AE47" s="10">
        <f>AE39*Assumptions!$D$23+AE40*Assumptions!$D$24</f>
        <v/>
      </c>
      <c r="AF47" s="10">
        <f>AF39*Assumptions!$D$23+AF40*Assumptions!$D$24</f>
        <v/>
      </c>
      <c r="AG47" s="10">
        <f>AG39*Assumptions!$D$23+AG40*Assumptions!$D$24</f>
        <v/>
      </c>
      <c r="AH47" s="10">
        <f>AH39*Assumptions!$D$23+AH40*Assumptions!$D$24</f>
        <v/>
      </c>
      <c r="AI47" s="10">
        <f>AI39*Assumptions!$D$23+AI40*Assumptions!$D$24</f>
        <v/>
      </c>
      <c r="AJ47" s="10">
        <f>AJ39*Assumptions!$D$23+AJ40*Assumptions!$D$24</f>
        <v/>
      </c>
      <c r="AK47" s="10">
        <f>AK39*Assumptions!$D$23+AK40*Assumptions!$D$24</f>
        <v/>
      </c>
      <c r="AL47" s="10">
        <f>AL39*Assumptions!$D$23+AL40*Assumptions!$D$24</f>
        <v/>
      </c>
      <c r="AM47" s="10">
        <f>AM39*Assumptions!$D$23+AM40*Assumptions!$D$24</f>
        <v/>
      </c>
      <c r="AN47" s="10">
        <f>AN39*Assumptions!$D$23+AN40*Assumptions!$D$24</f>
        <v/>
      </c>
      <c r="AO47" s="10">
        <f>AO39*Assumptions!$D$23+AO40*Assumptions!$D$24</f>
        <v/>
      </c>
      <c r="AP47" s="10">
        <f>AP39*Assumptions!$D$23+AP40*Assumptions!$D$24</f>
        <v/>
      </c>
      <c r="AQ47" s="10">
        <f>AQ39*Assumptions!$D$23+AQ40*Assumptions!$D$24</f>
        <v/>
      </c>
      <c r="AR47" s="10">
        <f>AR39*Assumptions!$D$23+AR40*Assumptions!$D$24</f>
        <v/>
      </c>
      <c r="AS47" s="10">
        <f>AS39*Assumptions!$D$23+AS40*Assumptions!$D$24</f>
        <v/>
      </c>
      <c r="AT47" s="10">
        <f>AT39*Assumptions!$D$23+AT40*Assumptions!$D$24</f>
        <v/>
      </c>
      <c r="AU47" s="10">
        <f>AU39*Assumptions!$D$23+AU40*Assumptions!$D$24</f>
        <v/>
      </c>
      <c r="AV47" s="10">
        <f>AV39*Assumptions!$D$23+AV40*Assumptions!$D$24</f>
        <v/>
      </c>
      <c r="AW47" s="10">
        <f>AW39*Assumptions!$D$23+AW40*Assumptions!$D$24</f>
        <v/>
      </c>
      <c r="AX47" s="10">
        <f>AX39*Assumptions!$D$23+AX40*Assumptions!$D$24</f>
        <v/>
      </c>
      <c r="AY47" s="10">
        <f>AY39*Assumptions!$D$23+AY40*Assumptions!$D$24</f>
        <v/>
      </c>
      <c r="AZ47" s="10">
        <f>AZ39*Assumptions!$D$23+AZ40*Assumptions!$D$24</f>
        <v/>
      </c>
      <c r="BA47" s="10">
        <f>BA39*Assumptions!$D$23+BA40*Assumptions!$D$24</f>
        <v/>
      </c>
      <c r="BB47" s="10">
        <f>BB39*Assumptions!$D$23+BB40*Assumptions!$D$24</f>
        <v/>
      </c>
      <c r="BC47" s="10">
        <f>BC39*Assumptions!$D$23+BC40*Assumptions!$D$24</f>
        <v/>
      </c>
      <c r="BD47" s="10">
        <f>BD39*Assumptions!$D$23+BD40*Assumptions!$D$24</f>
        <v/>
      </c>
      <c r="BE47" s="10">
        <f>BE39*Assumptions!$D$23+BE40*Assumptions!$D$24</f>
        <v/>
      </c>
      <c r="BF47" s="10">
        <f>BF39*Assumptions!$D$23+BF40*Assumptions!$D$24</f>
        <v/>
      </c>
      <c r="BG47" s="10">
        <f>BG39*Assumptions!$D$23+BG40*Assumptions!$D$24</f>
        <v/>
      </c>
      <c r="BH47" s="10">
        <f>BH39*Assumptions!$D$23+BH40*Assumptions!$D$24</f>
        <v/>
      </c>
      <c r="BI47" s="10">
        <f>BI39*Assumptions!$D$23+BI40*Assumptions!$D$24</f>
        <v/>
      </c>
      <c r="BJ47" s="10">
        <f>BJ39*Assumptions!$D$23+BJ40*Assumptions!$D$24</f>
        <v/>
      </c>
      <c r="BK47" s="10">
        <f>BK39*Assumptions!$D$23+BK40*Assumptions!$D$24</f>
        <v/>
      </c>
      <c r="BL47" s="10">
        <f>BL39*Assumptions!$D$23+BL40*Assumptions!$D$24</f>
        <v/>
      </c>
      <c r="BN47" s="50">
        <f>SUM(E47:P47)</f>
        <v/>
      </c>
      <c r="BO47" s="50">
        <f>SUM(Q47:AB47)</f>
        <v/>
      </c>
      <c r="BP47" s="50">
        <f>SUM(AC47:AN47)</f>
        <v/>
      </c>
      <c r="BQ47" s="50">
        <f>SUM(AO47:AZ47)</f>
        <v/>
      </c>
      <c r="BR47" s="50">
        <f>SUM(BA47:BL47)</f>
        <v/>
      </c>
      <c r="BT47" s="32" t="inlineStr">
        <is>
          <t>revenue equals cost, so it adds no margin</t>
        </is>
      </c>
    </row>
    <row r="48">
      <c r="B48" s="6" t="inlineStr">
        <is>
          <t>Service contracts</t>
        </is>
      </c>
      <c r="C48" s="17" t="inlineStr">
        <is>
          <t>EUR</t>
        </is>
      </c>
      <c r="E48" s="10">
        <f>E7*Assumptions!$D$40/12</f>
        <v/>
      </c>
      <c r="F48" s="10">
        <f>F7*Assumptions!$D$40/12</f>
        <v/>
      </c>
      <c r="G48" s="10">
        <f>G7*Assumptions!$D$40/12</f>
        <v/>
      </c>
      <c r="H48" s="10">
        <f>H7*Assumptions!$D$40/12</f>
        <v/>
      </c>
      <c r="I48" s="10">
        <f>I7*Assumptions!$D$40/12</f>
        <v/>
      </c>
      <c r="J48" s="10">
        <f>J7*Assumptions!$D$40/12</f>
        <v/>
      </c>
      <c r="K48" s="10">
        <f>K7*Assumptions!$D$40/12</f>
        <v/>
      </c>
      <c r="L48" s="10">
        <f>L7*Assumptions!$D$40/12</f>
        <v/>
      </c>
      <c r="M48" s="10">
        <f>M7*Assumptions!$D$40/12</f>
        <v/>
      </c>
      <c r="N48" s="10">
        <f>N7*Assumptions!$D$40/12</f>
        <v/>
      </c>
      <c r="O48" s="10">
        <f>O7*Assumptions!$D$40/12</f>
        <v/>
      </c>
      <c r="P48" s="10">
        <f>P7*Assumptions!$D$40/12</f>
        <v/>
      </c>
      <c r="Q48" s="10">
        <f>Q7*Assumptions!$D$40/12</f>
        <v/>
      </c>
      <c r="R48" s="10">
        <f>R7*Assumptions!$D$40/12</f>
        <v/>
      </c>
      <c r="S48" s="10">
        <f>S7*Assumptions!$D$40/12</f>
        <v/>
      </c>
      <c r="T48" s="10">
        <f>T7*Assumptions!$D$40/12</f>
        <v/>
      </c>
      <c r="U48" s="10">
        <f>U7*Assumptions!$D$40/12</f>
        <v/>
      </c>
      <c r="V48" s="10">
        <f>V7*Assumptions!$D$40/12</f>
        <v/>
      </c>
      <c r="W48" s="10">
        <f>W7*Assumptions!$D$40/12</f>
        <v/>
      </c>
      <c r="X48" s="10">
        <f>X7*Assumptions!$D$40/12</f>
        <v/>
      </c>
      <c r="Y48" s="10">
        <f>Y7*Assumptions!$D$40/12</f>
        <v/>
      </c>
      <c r="Z48" s="10">
        <f>Z7*Assumptions!$D$40/12</f>
        <v/>
      </c>
      <c r="AA48" s="10">
        <f>AA7*Assumptions!$D$40/12</f>
        <v/>
      </c>
      <c r="AB48" s="10">
        <f>AB7*Assumptions!$D$40/12</f>
        <v/>
      </c>
      <c r="AC48" s="10">
        <f>AC7*Assumptions!$D$40/12</f>
        <v/>
      </c>
      <c r="AD48" s="10">
        <f>AD7*Assumptions!$D$40/12</f>
        <v/>
      </c>
      <c r="AE48" s="10">
        <f>AE7*Assumptions!$D$40/12</f>
        <v/>
      </c>
      <c r="AF48" s="10">
        <f>AF7*Assumptions!$D$40/12</f>
        <v/>
      </c>
      <c r="AG48" s="10">
        <f>AG7*Assumptions!$D$40/12</f>
        <v/>
      </c>
      <c r="AH48" s="10">
        <f>AH7*Assumptions!$D$40/12</f>
        <v/>
      </c>
      <c r="AI48" s="10">
        <f>AI7*Assumptions!$D$40/12</f>
        <v/>
      </c>
      <c r="AJ48" s="10">
        <f>AJ7*Assumptions!$D$40/12</f>
        <v/>
      </c>
      <c r="AK48" s="10">
        <f>AK7*Assumptions!$D$40/12</f>
        <v/>
      </c>
      <c r="AL48" s="10">
        <f>AL7*Assumptions!$D$40/12</f>
        <v/>
      </c>
      <c r="AM48" s="10">
        <f>AM7*Assumptions!$D$40/12</f>
        <v/>
      </c>
      <c r="AN48" s="10">
        <f>AN7*Assumptions!$D$40/12</f>
        <v/>
      </c>
      <c r="AO48" s="10">
        <f>AO7*Assumptions!$D$40/12</f>
        <v/>
      </c>
      <c r="AP48" s="10">
        <f>AP7*Assumptions!$D$40/12</f>
        <v/>
      </c>
      <c r="AQ48" s="10">
        <f>AQ7*Assumptions!$D$40/12</f>
        <v/>
      </c>
      <c r="AR48" s="10">
        <f>AR7*Assumptions!$D$40/12</f>
        <v/>
      </c>
      <c r="AS48" s="10">
        <f>AS7*Assumptions!$D$40/12</f>
        <v/>
      </c>
      <c r="AT48" s="10">
        <f>AT7*Assumptions!$D$40/12</f>
        <v/>
      </c>
      <c r="AU48" s="10">
        <f>AU7*Assumptions!$D$40/12</f>
        <v/>
      </c>
      <c r="AV48" s="10">
        <f>AV7*Assumptions!$D$40/12</f>
        <v/>
      </c>
      <c r="AW48" s="10">
        <f>AW7*Assumptions!$D$40/12</f>
        <v/>
      </c>
      <c r="AX48" s="10">
        <f>AX7*Assumptions!$D$40/12</f>
        <v/>
      </c>
      <c r="AY48" s="10">
        <f>AY7*Assumptions!$D$40/12</f>
        <v/>
      </c>
      <c r="AZ48" s="10">
        <f>AZ7*Assumptions!$D$40/12</f>
        <v/>
      </c>
      <c r="BA48" s="10">
        <f>BA7*Assumptions!$D$40/12</f>
        <v/>
      </c>
      <c r="BB48" s="10">
        <f>BB7*Assumptions!$D$40/12</f>
        <v/>
      </c>
      <c r="BC48" s="10">
        <f>BC7*Assumptions!$D$40/12</f>
        <v/>
      </c>
      <c r="BD48" s="10">
        <f>BD7*Assumptions!$D$40/12</f>
        <v/>
      </c>
      <c r="BE48" s="10">
        <f>BE7*Assumptions!$D$40/12</f>
        <v/>
      </c>
      <c r="BF48" s="10">
        <f>BF7*Assumptions!$D$40/12</f>
        <v/>
      </c>
      <c r="BG48" s="10">
        <f>BG7*Assumptions!$D$40/12</f>
        <v/>
      </c>
      <c r="BH48" s="10">
        <f>BH7*Assumptions!$D$40/12</f>
        <v/>
      </c>
      <c r="BI48" s="10">
        <f>BI7*Assumptions!$D$40/12</f>
        <v/>
      </c>
      <c r="BJ48" s="10">
        <f>BJ7*Assumptions!$D$40/12</f>
        <v/>
      </c>
      <c r="BK48" s="10">
        <f>BK7*Assumptions!$D$40/12</f>
        <v/>
      </c>
      <c r="BL48" s="10">
        <f>BL7*Assumptions!$D$40/12</f>
        <v/>
      </c>
      <c r="BN48" s="50">
        <f>SUM(E48:P48)</f>
        <v/>
      </c>
      <c r="BO48" s="50">
        <f>SUM(Q48:AB48)</f>
        <v/>
      </c>
      <c r="BP48" s="50">
        <f>SUM(AC48:AN48)</f>
        <v/>
      </c>
      <c r="BQ48" s="50">
        <f>SUM(AO48:AZ48)</f>
        <v/>
      </c>
      <c r="BR48" s="50">
        <f>SUM(BA48:BL48)</f>
        <v/>
      </c>
      <c r="BT48" s="32" t="inlineStr">
        <is>
          <t>charged on the installed base at the start of the month</t>
        </is>
      </c>
    </row>
    <row r="49">
      <c r="B49" s="6" t="inlineStr">
        <is>
          <t>Subsidies and grants</t>
        </is>
      </c>
      <c r="C49" s="17" t="inlineStr">
        <is>
          <t>EUR</t>
        </is>
      </c>
      <c r="E49" s="10">
        <f>IF(AND(YEAR(E$3)=YEAR(Assumptions!$D$14),MONTH(E$3)=MONTH(Assumptions!$D$14)),Assumptions!$D$13,0)</f>
        <v/>
      </c>
      <c r="F49" s="10">
        <f>IF(AND(YEAR(F$3)=YEAR(Assumptions!$D$14),MONTH(F$3)=MONTH(Assumptions!$D$14)),Assumptions!$D$13,0)</f>
        <v/>
      </c>
      <c r="G49" s="10">
        <f>IF(AND(YEAR(G$3)=YEAR(Assumptions!$D$14),MONTH(G$3)=MONTH(Assumptions!$D$14)),Assumptions!$D$13,0)</f>
        <v/>
      </c>
      <c r="H49" s="10">
        <f>IF(AND(YEAR(H$3)=YEAR(Assumptions!$D$14),MONTH(H$3)=MONTH(Assumptions!$D$14)),Assumptions!$D$13,0)</f>
        <v/>
      </c>
      <c r="I49" s="10">
        <f>IF(AND(YEAR(I$3)=YEAR(Assumptions!$D$14),MONTH(I$3)=MONTH(Assumptions!$D$14)),Assumptions!$D$13,0)</f>
        <v/>
      </c>
      <c r="J49" s="10">
        <f>IF(AND(YEAR(J$3)=YEAR(Assumptions!$D$14),MONTH(J$3)=MONTH(Assumptions!$D$14)),Assumptions!$D$13,0)</f>
        <v/>
      </c>
      <c r="K49" s="10">
        <f>IF(AND(YEAR(K$3)=YEAR(Assumptions!$D$14),MONTH(K$3)=MONTH(Assumptions!$D$14)),Assumptions!$D$13,0)</f>
        <v/>
      </c>
      <c r="L49" s="10">
        <f>IF(AND(YEAR(L$3)=YEAR(Assumptions!$D$14),MONTH(L$3)=MONTH(Assumptions!$D$14)),Assumptions!$D$13,0)</f>
        <v/>
      </c>
      <c r="M49" s="10">
        <f>IF(AND(YEAR(M$3)=YEAR(Assumptions!$D$14),MONTH(M$3)=MONTH(Assumptions!$D$14)),Assumptions!$D$13,0)</f>
        <v/>
      </c>
      <c r="N49" s="10">
        <f>IF(AND(YEAR(N$3)=YEAR(Assumptions!$D$14),MONTH(N$3)=MONTH(Assumptions!$D$14)),Assumptions!$D$13,0)</f>
        <v/>
      </c>
      <c r="O49" s="10">
        <f>IF(AND(YEAR(O$3)=YEAR(Assumptions!$D$14),MONTH(O$3)=MONTH(Assumptions!$D$14)),Assumptions!$D$13,0)</f>
        <v/>
      </c>
      <c r="P49" s="10">
        <f>IF(AND(YEAR(P$3)=YEAR(Assumptions!$D$14),MONTH(P$3)=MONTH(Assumptions!$D$14)),Assumptions!$D$13,0)</f>
        <v/>
      </c>
      <c r="Q49" s="10">
        <f>IF(AND(YEAR(Q$3)=YEAR(Assumptions!$D$14),MONTH(Q$3)=MONTH(Assumptions!$D$14)),Assumptions!$D$13,0)</f>
        <v/>
      </c>
      <c r="R49" s="10">
        <f>IF(AND(YEAR(R$3)=YEAR(Assumptions!$D$14),MONTH(R$3)=MONTH(Assumptions!$D$14)),Assumptions!$D$13,0)</f>
        <v/>
      </c>
      <c r="S49" s="10">
        <f>IF(AND(YEAR(S$3)=YEAR(Assumptions!$D$14),MONTH(S$3)=MONTH(Assumptions!$D$14)),Assumptions!$D$13,0)</f>
        <v/>
      </c>
      <c r="T49" s="10">
        <f>IF(AND(YEAR(T$3)=YEAR(Assumptions!$D$14),MONTH(T$3)=MONTH(Assumptions!$D$14)),Assumptions!$D$13,0)</f>
        <v/>
      </c>
      <c r="U49" s="10">
        <f>IF(AND(YEAR(U$3)=YEAR(Assumptions!$D$14),MONTH(U$3)=MONTH(Assumptions!$D$14)),Assumptions!$D$13,0)</f>
        <v/>
      </c>
      <c r="V49" s="10">
        <f>IF(AND(YEAR(V$3)=YEAR(Assumptions!$D$14),MONTH(V$3)=MONTH(Assumptions!$D$14)),Assumptions!$D$13,0)</f>
        <v/>
      </c>
      <c r="W49" s="10">
        <f>IF(AND(YEAR(W$3)=YEAR(Assumptions!$D$14),MONTH(W$3)=MONTH(Assumptions!$D$14)),Assumptions!$D$13,0)</f>
        <v/>
      </c>
      <c r="X49" s="10">
        <f>IF(AND(YEAR(X$3)=YEAR(Assumptions!$D$14),MONTH(X$3)=MONTH(Assumptions!$D$14)),Assumptions!$D$13,0)</f>
        <v/>
      </c>
      <c r="Y49" s="10">
        <f>IF(AND(YEAR(Y$3)=YEAR(Assumptions!$D$14),MONTH(Y$3)=MONTH(Assumptions!$D$14)),Assumptions!$D$13,0)</f>
        <v/>
      </c>
      <c r="Z49" s="10">
        <f>IF(AND(YEAR(Z$3)=YEAR(Assumptions!$D$14),MONTH(Z$3)=MONTH(Assumptions!$D$14)),Assumptions!$D$13,0)</f>
        <v/>
      </c>
      <c r="AA49" s="10">
        <f>IF(AND(YEAR(AA$3)=YEAR(Assumptions!$D$14),MONTH(AA$3)=MONTH(Assumptions!$D$14)),Assumptions!$D$13,0)</f>
        <v/>
      </c>
      <c r="AB49" s="10">
        <f>IF(AND(YEAR(AB$3)=YEAR(Assumptions!$D$14),MONTH(AB$3)=MONTH(Assumptions!$D$14)),Assumptions!$D$13,0)</f>
        <v/>
      </c>
      <c r="AC49" s="10">
        <f>IF(AND(YEAR(AC$3)=YEAR(Assumptions!$D$14),MONTH(AC$3)=MONTH(Assumptions!$D$14)),Assumptions!$D$13,0)</f>
        <v/>
      </c>
      <c r="AD49" s="10">
        <f>IF(AND(YEAR(AD$3)=YEAR(Assumptions!$D$14),MONTH(AD$3)=MONTH(Assumptions!$D$14)),Assumptions!$D$13,0)</f>
        <v/>
      </c>
      <c r="AE49" s="10">
        <f>IF(AND(YEAR(AE$3)=YEAR(Assumptions!$D$14),MONTH(AE$3)=MONTH(Assumptions!$D$14)),Assumptions!$D$13,0)</f>
        <v/>
      </c>
      <c r="AF49" s="10">
        <f>IF(AND(YEAR(AF$3)=YEAR(Assumptions!$D$14),MONTH(AF$3)=MONTH(Assumptions!$D$14)),Assumptions!$D$13,0)</f>
        <v/>
      </c>
      <c r="AG49" s="10">
        <f>IF(AND(YEAR(AG$3)=YEAR(Assumptions!$D$14),MONTH(AG$3)=MONTH(Assumptions!$D$14)),Assumptions!$D$13,0)</f>
        <v/>
      </c>
      <c r="AH49" s="10">
        <f>IF(AND(YEAR(AH$3)=YEAR(Assumptions!$D$14),MONTH(AH$3)=MONTH(Assumptions!$D$14)),Assumptions!$D$13,0)</f>
        <v/>
      </c>
      <c r="AI49" s="10">
        <f>IF(AND(YEAR(AI$3)=YEAR(Assumptions!$D$14),MONTH(AI$3)=MONTH(Assumptions!$D$14)),Assumptions!$D$13,0)</f>
        <v/>
      </c>
      <c r="AJ49" s="10">
        <f>IF(AND(YEAR(AJ$3)=YEAR(Assumptions!$D$14),MONTH(AJ$3)=MONTH(Assumptions!$D$14)),Assumptions!$D$13,0)</f>
        <v/>
      </c>
      <c r="AK49" s="10">
        <f>IF(AND(YEAR(AK$3)=YEAR(Assumptions!$D$14),MONTH(AK$3)=MONTH(Assumptions!$D$14)),Assumptions!$D$13,0)</f>
        <v/>
      </c>
      <c r="AL49" s="10">
        <f>IF(AND(YEAR(AL$3)=YEAR(Assumptions!$D$14),MONTH(AL$3)=MONTH(Assumptions!$D$14)),Assumptions!$D$13,0)</f>
        <v/>
      </c>
      <c r="AM49" s="10">
        <f>IF(AND(YEAR(AM$3)=YEAR(Assumptions!$D$14),MONTH(AM$3)=MONTH(Assumptions!$D$14)),Assumptions!$D$13,0)</f>
        <v/>
      </c>
      <c r="AN49" s="10">
        <f>IF(AND(YEAR(AN$3)=YEAR(Assumptions!$D$14),MONTH(AN$3)=MONTH(Assumptions!$D$14)),Assumptions!$D$13,0)</f>
        <v/>
      </c>
      <c r="AO49" s="10">
        <f>IF(AND(YEAR(AO$3)=YEAR(Assumptions!$D$14),MONTH(AO$3)=MONTH(Assumptions!$D$14)),Assumptions!$D$13,0)</f>
        <v/>
      </c>
      <c r="AP49" s="10">
        <f>IF(AND(YEAR(AP$3)=YEAR(Assumptions!$D$14),MONTH(AP$3)=MONTH(Assumptions!$D$14)),Assumptions!$D$13,0)</f>
        <v/>
      </c>
      <c r="AQ49" s="10">
        <f>IF(AND(YEAR(AQ$3)=YEAR(Assumptions!$D$14),MONTH(AQ$3)=MONTH(Assumptions!$D$14)),Assumptions!$D$13,0)</f>
        <v/>
      </c>
      <c r="AR49" s="10">
        <f>IF(AND(YEAR(AR$3)=YEAR(Assumptions!$D$14),MONTH(AR$3)=MONTH(Assumptions!$D$14)),Assumptions!$D$13,0)</f>
        <v/>
      </c>
      <c r="AS49" s="10">
        <f>IF(AND(YEAR(AS$3)=YEAR(Assumptions!$D$14),MONTH(AS$3)=MONTH(Assumptions!$D$14)),Assumptions!$D$13,0)</f>
        <v/>
      </c>
      <c r="AT49" s="10">
        <f>IF(AND(YEAR(AT$3)=YEAR(Assumptions!$D$14),MONTH(AT$3)=MONTH(Assumptions!$D$14)),Assumptions!$D$13,0)</f>
        <v/>
      </c>
      <c r="AU49" s="10">
        <f>IF(AND(YEAR(AU$3)=YEAR(Assumptions!$D$14),MONTH(AU$3)=MONTH(Assumptions!$D$14)),Assumptions!$D$13,0)</f>
        <v/>
      </c>
      <c r="AV49" s="10">
        <f>IF(AND(YEAR(AV$3)=YEAR(Assumptions!$D$14),MONTH(AV$3)=MONTH(Assumptions!$D$14)),Assumptions!$D$13,0)</f>
        <v/>
      </c>
      <c r="AW49" s="10">
        <f>IF(AND(YEAR(AW$3)=YEAR(Assumptions!$D$14),MONTH(AW$3)=MONTH(Assumptions!$D$14)),Assumptions!$D$13,0)</f>
        <v/>
      </c>
      <c r="AX49" s="10">
        <f>IF(AND(YEAR(AX$3)=YEAR(Assumptions!$D$14),MONTH(AX$3)=MONTH(Assumptions!$D$14)),Assumptions!$D$13,0)</f>
        <v/>
      </c>
      <c r="AY49" s="10">
        <f>IF(AND(YEAR(AY$3)=YEAR(Assumptions!$D$14),MONTH(AY$3)=MONTH(Assumptions!$D$14)),Assumptions!$D$13,0)</f>
        <v/>
      </c>
      <c r="AZ49" s="10">
        <f>IF(AND(YEAR(AZ$3)=YEAR(Assumptions!$D$14),MONTH(AZ$3)=MONTH(Assumptions!$D$14)),Assumptions!$D$13,0)</f>
        <v/>
      </c>
      <c r="BA49" s="10">
        <f>IF(AND(YEAR(BA$3)=YEAR(Assumptions!$D$14),MONTH(BA$3)=MONTH(Assumptions!$D$14)),Assumptions!$D$13,0)</f>
        <v/>
      </c>
      <c r="BB49" s="10">
        <f>IF(AND(YEAR(BB$3)=YEAR(Assumptions!$D$14),MONTH(BB$3)=MONTH(Assumptions!$D$14)),Assumptions!$D$13,0)</f>
        <v/>
      </c>
      <c r="BC49" s="10">
        <f>IF(AND(YEAR(BC$3)=YEAR(Assumptions!$D$14),MONTH(BC$3)=MONTH(Assumptions!$D$14)),Assumptions!$D$13,0)</f>
        <v/>
      </c>
      <c r="BD49" s="10">
        <f>IF(AND(YEAR(BD$3)=YEAR(Assumptions!$D$14),MONTH(BD$3)=MONTH(Assumptions!$D$14)),Assumptions!$D$13,0)</f>
        <v/>
      </c>
      <c r="BE49" s="10">
        <f>IF(AND(YEAR(BE$3)=YEAR(Assumptions!$D$14),MONTH(BE$3)=MONTH(Assumptions!$D$14)),Assumptions!$D$13,0)</f>
        <v/>
      </c>
      <c r="BF49" s="10">
        <f>IF(AND(YEAR(BF$3)=YEAR(Assumptions!$D$14),MONTH(BF$3)=MONTH(Assumptions!$D$14)),Assumptions!$D$13,0)</f>
        <v/>
      </c>
      <c r="BG49" s="10">
        <f>IF(AND(YEAR(BG$3)=YEAR(Assumptions!$D$14),MONTH(BG$3)=MONTH(Assumptions!$D$14)),Assumptions!$D$13,0)</f>
        <v/>
      </c>
      <c r="BH49" s="10">
        <f>IF(AND(YEAR(BH$3)=YEAR(Assumptions!$D$14),MONTH(BH$3)=MONTH(Assumptions!$D$14)),Assumptions!$D$13,0)</f>
        <v/>
      </c>
      <c r="BI49" s="10">
        <f>IF(AND(YEAR(BI$3)=YEAR(Assumptions!$D$14),MONTH(BI$3)=MONTH(Assumptions!$D$14)),Assumptions!$D$13,0)</f>
        <v/>
      </c>
      <c r="BJ49" s="10">
        <f>IF(AND(YEAR(BJ$3)=YEAR(Assumptions!$D$14),MONTH(BJ$3)=MONTH(Assumptions!$D$14)),Assumptions!$D$13,0)</f>
        <v/>
      </c>
      <c r="BK49" s="10">
        <f>IF(AND(YEAR(BK$3)=YEAR(Assumptions!$D$14),MONTH(BK$3)=MONTH(Assumptions!$D$14)),Assumptions!$D$13,0)</f>
        <v/>
      </c>
      <c r="BL49" s="10">
        <f>IF(AND(YEAR(BL$3)=YEAR(Assumptions!$D$14),MONTH(BL$3)=MONTH(Assumptions!$D$14)),Assumptions!$D$13,0)</f>
        <v/>
      </c>
      <c r="BN49" s="50">
        <f>SUM(E49:P49)</f>
        <v/>
      </c>
      <c r="BO49" s="50">
        <f>SUM(Q49:AB49)</f>
        <v/>
      </c>
      <c r="BP49" s="50">
        <f>SUM(AC49:AN49)</f>
        <v/>
      </c>
      <c r="BQ49" s="50">
        <f>SUM(AO49:AZ49)</f>
        <v/>
      </c>
      <c r="BR49" s="50">
        <f>SUM(BA49:BL49)</f>
        <v/>
      </c>
      <c r="BT49" s="32" t="inlineStr">
        <is>
          <t>the 2026 subsidy already in the committed plan</t>
        </is>
      </c>
    </row>
    <row r="50">
      <c r="B50" s="15" t="inlineStr">
        <is>
          <t>Total revenue</t>
        </is>
      </c>
      <c r="C50" s="51" t="inlineStr">
        <is>
          <t>EUR</t>
        </is>
      </c>
      <c r="D50" s="2" t="n"/>
      <c r="E50" s="52">
        <f>SUM(E44:E49)</f>
        <v/>
      </c>
      <c r="F50" s="52">
        <f>SUM(F44:F49)</f>
        <v/>
      </c>
      <c r="G50" s="52">
        <f>SUM(G44:G49)</f>
        <v/>
      </c>
      <c r="H50" s="52">
        <f>SUM(H44:H49)</f>
        <v/>
      </c>
      <c r="I50" s="52">
        <f>SUM(I44:I49)</f>
        <v/>
      </c>
      <c r="J50" s="52">
        <f>SUM(J44:J49)</f>
        <v/>
      </c>
      <c r="K50" s="52">
        <f>SUM(K44:K49)</f>
        <v/>
      </c>
      <c r="L50" s="52">
        <f>SUM(L44:L49)</f>
        <v/>
      </c>
      <c r="M50" s="52">
        <f>SUM(M44:M49)</f>
        <v/>
      </c>
      <c r="N50" s="52">
        <f>SUM(N44:N49)</f>
        <v/>
      </c>
      <c r="O50" s="52">
        <f>SUM(O44:O49)</f>
        <v/>
      </c>
      <c r="P50" s="52">
        <f>SUM(P44:P49)</f>
        <v/>
      </c>
      <c r="Q50" s="52">
        <f>SUM(Q44:Q49)</f>
        <v/>
      </c>
      <c r="R50" s="52">
        <f>SUM(R44:R49)</f>
        <v/>
      </c>
      <c r="S50" s="52">
        <f>SUM(S44:S49)</f>
        <v/>
      </c>
      <c r="T50" s="52">
        <f>SUM(T44:T49)</f>
        <v/>
      </c>
      <c r="U50" s="52">
        <f>SUM(U44:U49)</f>
        <v/>
      </c>
      <c r="V50" s="52">
        <f>SUM(V44:V49)</f>
        <v/>
      </c>
      <c r="W50" s="52">
        <f>SUM(W44:W49)</f>
        <v/>
      </c>
      <c r="X50" s="52">
        <f>SUM(X44:X49)</f>
        <v/>
      </c>
      <c r="Y50" s="52">
        <f>SUM(Y44:Y49)</f>
        <v/>
      </c>
      <c r="Z50" s="52">
        <f>SUM(Z44:Z49)</f>
        <v/>
      </c>
      <c r="AA50" s="52">
        <f>SUM(AA44:AA49)</f>
        <v/>
      </c>
      <c r="AB50" s="52">
        <f>SUM(AB44:AB49)</f>
        <v/>
      </c>
      <c r="AC50" s="52">
        <f>SUM(AC44:AC49)</f>
        <v/>
      </c>
      <c r="AD50" s="52">
        <f>SUM(AD44:AD49)</f>
        <v/>
      </c>
      <c r="AE50" s="52">
        <f>SUM(AE44:AE49)</f>
        <v/>
      </c>
      <c r="AF50" s="52">
        <f>SUM(AF44:AF49)</f>
        <v/>
      </c>
      <c r="AG50" s="52">
        <f>SUM(AG44:AG49)</f>
        <v/>
      </c>
      <c r="AH50" s="52">
        <f>SUM(AH44:AH49)</f>
        <v/>
      </c>
      <c r="AI50" s="52">
        <f>SUM(AI44:AI49)</f>
        <v/>
      </c>
      <c r="AJ50" s="52">
        <f>SUM(AJ44:AJ49)</f>
        <v/>
      </c>
      <c r="AK50" s="52">
        <f>SUM(AK44:AK49)</f>
        <v/>
      </c>
      <c r="AL50" s="52">
        <f>SUM(AL44:AL49)</f>
        <v/>
      </c>
      <c r="AM50" s="52">
        <f>SUM(AM44:AM49)</f>
        <v/>
      </c>
      <c r="AN50" s="52">
        <f>SUM(AN44:AN49)</f>
        <v/>
      </c>
      <c r="AO50" s="52">
        <f>SUM(AO44:AO49)</f>
        <v/>
      </c>
      <c r="AP50" s="52">
        <f>SUM(AP44:AP49)</f>
        <v/>
      </c>
      <c r="AQ50" s="52">
        <f>SUM(AQ44:AQ49)</f>
        <v/>
      </c>
      <c r="AR50" s="52">
        <f>SUM(AR44:AR49)</f>
        <v/>
      </c>
      <c r="AS50" s="52">
        <f>SUM(AS44:AS49)</f>
        <v/>
      </c>
      <c r="AT50" s="52">
        <f>SUM(AT44:AT49)</f>
        <v/>
      </c>
      <c r="AU50" s="52">
        <f>SUM(AU44:AU49)</f>
        <v/>
      </c>
      <c r="AV50" s="52">
        <f>SUM(AV44:AV49)</f>
        <v/>
      </c>
      <c r="AW50" s="52">
        <f>SUM(AW44:AW49)</f>
        <v/>
      </c>
      <c r="AX50" s="52">
        <f>SUM(AX44:AX49)</f>
        <v/>
      </c>
      <c r="AY50" s="52">
        <f>SUM(AY44:AY49)</f>
        <v/>
      </c>
      <c r="AZ50" s="52">
        <f>SUM(AZ44:AZ49)</f>
        <v/>
      </c>
      <c r="BA50" s="52">
        <f>SUM(BA44:BA49)</f>
        <v/>
      </c>
      <c r="BB50" s="52">
        <f>SUM(BB44:BB49)</f>
        <v/>
      </c>
      <c r="BC50" s="52">
        <f>SUM(BC44:BC49)</f>
        <v/>
      </c>
      <c r="BD50" s="52">
        <f>SUM(BD44:BD49)</f>
        <v/>
      </c>
      <c r="BE50" s="52">
        <f>SUM(BE44:BE49)</f>
        <v/>
      </c>
      <c r="BF50" s="52">
        <f>SUM(BF44:BF49)</f>
        <v/>
      </c>
      <c r="BG50" s="52">
        <f>SUM(BG44:BG49)</f>
        <v/>
      </c>
      <c r="BH50" s="52">
        <f>SUM(BH44:BH49)</f>
        <v/>
      </c>
      <c r="BI50" s="52">
        <f>SUM(BI44:BI49)</f>
        <v/>
      </c>
      <c r="BJ50" s="52">
        <f>SUM(BJ44:BJ49)</f>
        <v/>
      </c>
      <c r="BK50" s="52">
        <f>SUM(BK44:BK49)</f>
        <v/>
      </c>
      <c r="BL50" s="52">
        <f>SUM(BL44:BL49)</f>
        <v/>
      </c>
      <c r="BM50" s="2" t="n"/>
      <c r="BN50" s="52">
        <f>SUM(E50:P50)</f>
        <v/>
      </c>
      <c r="BO50" s="52">
        <f>SUM(Q50:AB50)</f>
        <v/>
      </c>
      <c r="BP50" s="52">
        <f>SUM(AC50:AN50)</f>
        <v/>
      </c>
      <c r="BQ50" s="52">
        <f>SUM(AO50:AZ50)</f>
        <v/>
      </c>
      <c r="BR50" s="52">
        <f>SUM(BA50:BL50)</f>
        <v/>
      </c>
      <c r="BS50" s="2" t="n"/>
    </row>
    <row r="51">
      <c r="B51" s="53" t="inlineStr">
        <is>
          <t>Revenue per unit</t>
        </is>
      </c>
      <c r="C51" s="17" t="inlineStr">
        <is>
          <t>EUR/unit</t>
        </is>
      </c>
      <c r="E51" s="70">
        <f>IFERROR((E50-E49)/E34,0)</f>
        <v/>
      </c>
      <c r="F51" s="70">
        <f>IFERROR((F50-F49)/F34,0)</f>
        <v/>
      </c>
      <c r="G51" s="70">
        <f>IFERROR((G50-G49)/G34,0)</f>
        <v/>
      </c>
      <c r="H51" s="70">
        <f>IFERROR((H50-H49)/H34,0)</f>
        <v/>
      </c>
      <c r="I51" s="70">
        <f>IFERROR((I50-I49)/I34,0)</f>
        <v/>
      </c>
      <c r="J51" s="70">
        <f>IFERROR((J50-J49)/J34,0)</f>
        <v/>
      </c>
      <c r="K51" s="70">
        <f>IFERROR((K50-K49)/K34,0)</f>
        <v/>
      </c>
      <c r="L51" s="70">
        <f>IFERROR((L50-L49)/L34,0)</f>
        <v/>
      </c>
      <c r="M51" s="70">
        <f>IFERROR((M50-M49)/M34,0)</f>
        <v/>
      </c>
      <c r="N51" s="70">
        <f>IFERROR((N50-N49)/N34,0)</f>
        <v/>
      </c>
      <c r="O51" s="70">
        <f>IFERROR((O50-O49)/O34,0)</f>
        <v/>
      </c>
      <c r="P51" s="70">
        <f>IFERROR((P50-P49)/P34,0)</f>
        <v/>
      </c>
      <c r="Q51" s="70">
        <f>IFERROR((Q50-Q49)/Q34,0)</f>
        <v/>
      </c>
      <c r="R51" s="70">
        <f>IFERROR((R50-R49)/R34,0)</f>
        <v/>
      </c>
      <c r="S51" s="70">
        <f>IFERROR((S50-S49)/S34,0)</f>
        <v/>
      </c>
      <c r="T51" s="70">
        <f>IFERROR((T50-T49)/T34,0)</f>
        <v/>
      </c>
      <c r="U51" s="70">
        <f>IFERROR((U50-U49)/U34,0)</f>
        <v/>
      </c>
      <c r="V51" s="70">
        <f>IFERROR((V50-V49)/V34,0)</f>
        <v/>
      </c>
      <c r="W51" s="70">
        <f>IFERROR((W50-W49)/W34,0)</f>
        <v/>
      </c>
      <c r="X51" s="70">
        <f>IFERROR((X50-X49)/X34,0)</f>
        <v/>
      </c>
      <c r="Y51" s="70">
        <f>IFERROR((Y50-Y49)/Y34,0)</f>
        <v/>
      </c>
      <c r="Z51" s="70">
        <f>IFERROR((Z50-Z49)/Z34,0)</f>
        <v/>
      </c>
      <c r="AA51" s="70">
        <f>IFERROR((AA50-AA49)/AA34,0)</f>
        <v/>
      </c>
      <c r="AB51" s="70">
        <f>IFERROR((AB50-AB49)/AB34,0)</f>
        <v/>
      </c>
      <c r="AC51" s="70">
        <f>IFERROR((AC50-AC49)/AC34,0)</f>
        <v/>
      </c>
      <c r="AD51" s="70">
        <f>IFERROR((AD50-AD49)/AD34,0)</f>
        <v/>
      </c>
      <c r="AE51" s="70">
        <f>IFERROR((AE50-AE49)/AE34,0)</f>
        <v/>
      </c>
      <c r="AF51" s="70">
        <f>IFERROR((AF50-AF49)/AF34,0)</f>
        <v/>
      </c>
      <c r="AG51" s="70">
        <f>IFERROR((AG50-AG49)/AG34,0)</f>
        <v/>
      </c>
      <c r="AH51" s="70">
        <f>IFERROR((AH50-AH49)/AH34,0)</f>
        <v/>
      </c>
      <c r="AI51" s="70">
        <f>IFERROR((AI50-AI49)/AI34,0)</f>
        <v/>
      </c>
      <c r="AJ51" s="70">
        <f>IFERROR((AJ50-AJ49)/AJ34,0)</f>
        <v/>
      </c>
      <c r="AK51" s="70">
        <f>IFERROR((AK50-AK49)/AK34,0)</f>
        <v/>
      </c>
      <c r="AL51" s="70">
        <f>IFERROR((AL50-AL49)/AL34,0)</f>
        <v/>
      </c>
      <c r="AM51" s="70">
        <f>IFERROR((AM50-AM49)/AM34,0)</f>
        <v/>
      </c>
      <c r="AN51" s="70">
        <f>IFERROR((AN50-AN49)/AN34,0)</f>
        <v/>
      </c>
      <c r="AO51" s="70">
        <f>IFERROR((AO50-AO49)/AO34,0)</f>
        <v/>
      </c>
      <c r="AP51" s="70">
        <f>IFERROR((AP50-AP49)/AP34,0)</f>
        <v/>
      </c>
      <c r="AQ51" s="70">
        <f>IFERROR((AQ50-AQ49)/AQ34,0)</f>
        <v/>
      </c>
      <c r="AR51" s="70">
        <f>IFERROR((AR50-AR49)/AR34,0)</f>
        <v/>
      </c>
      <c r="AS51" s="70">
        <f>IFERROR((AS50-AS49)/AS34,0)</f>
        <v/>
      </c>
      <c r="AT51" s="70">
        <f>IFERROR((AT50-AT49)/AT34,0)</f>
        <v/>
      </c>
      <c r="AU51" s="70">
        <f>IFERROR((AU50-AU49)/AU34,0)</f>
        <v/>
      </c>
      <c r="AV51" s="70">
        <f>IFERROR((AV50-AV49)/AV34,0)</f>
        <v/>
      </c>
      <c r="AW51" s="70">
        <f>IFERROR((AW50-AW49)/AW34,0)</f>
        <v/>
      </c>
      <c r="AX51" s="70">
        <f>IFERROR((AX50-AX49)/AX34,0)</f>
        <v/>
      </c>
      <c r="AY51" s="70">
        <f>IFERROR((AY50-AY49)/AY34,0)</f>
        <v/>
      </c>
      <c r="AZ51" s="70">
        <f>IFERROR((AZ50-AZ49)/AZ34,0)</f>
        <v/>
      </c>
      <c r="BA51" s="70">
        <f>IFERROR((BA50-BA49)/BA34,0)</f>
        <v/>
      </c>
      <c r="BB51" s="70">
        <f>IFERROR((BB50-BB49)/BB34,0)</f>
        <v/>
      </c>
      <c r="BC51" s="70">
        <f>IFERROR((BC50-BC49)/BC34,0)</f>
        <v/>
      </c>
      <c r="BD51" s="70">
        <f>IFERROR((BD50-BD49)/BD34,0)</f>
        <v/>
      </c>
      <c r="BE51" s="70">
        <f>IFERROR((BE50-BE49)/BE34,0)</f>
        <v/>
      </c>
      <c r="BF51" s="70">
        <f>IFERROR((BF50-BF49)/BF34,0)</f>
        <v/>
      </c>
      <c r="BG51" s="70">
        <f>IFERROR((BG50-BG49)/BG34,0)</f>
        <v/>
      </c>
      <c r="BH51" s="70">
        <f>IFERROR((BH50-BH49)/BH34,0)</f>
        <v/>
      </c>
      <c r="BI51" s="70">
        <f>IFERROR((BI50-BI49)/BI34,0)</f>
        <v/>
      </c>
      <c r="BJ51" s="70">
        <f>IFERROR((BJ50-BJ49)/BJ34,0)</f>
        <v/>
      </c>
      <c r="BK51" s="70">
        <f>IFERROR((BK50-BK49)/BK34,0)</f>
        <v/>
      </c>
      <c r="BL51" s="70">
        <f>IFERROR((BL50-BL49)/BL34,0)</f>
        <v/>
      </c>
      <c r="BN51" s="71">
        <f>IFERROR((BN50-BN49)/BN34,0)</f>
        <v/>
      </c>
      <c r="BO51" s="71">
        <f>IFERROR((BO50-BO49)/BO34,0)</f>
        <v/>
      </c>
      <c r="BP51" s="71">
        <f>IFERROR((BP50-BP49)/BP34,0)</f>
        <v/>
      </c>
      <c r="BQ51" s="71">
        <f>IFERROR((BQ50-BQ49)/BQ34,0)</f>
        <v/>
      </c>
      <c r="BR51" s="71">
        <f>IFERROR((BR50-BR49)/BR34,0)</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B1:BT21"/>
  <sheetViews>
    <sheetView showGridLines="0" workbookViewId="0">
      <pane xSplit="4" ySplit="3" topLeftCell="E4" activePane="bottomRight" state="frozen"/>
      <selection pane="topRight"/>
      <selection pane="bottomLeft"/>
      <selection pane="bottomRight" activeCell="A1" sqref="A1"/>
    </sheetView>
  </sheetViews>
  <sheetFormatPr baseColWidth="8" defaultRowHeight="15"/>
  <cols>
    <col width="3" customWidth="1" min="1" max="1"/>
    <col width="44" customWidth="1" min="2" max="2"/>
    <col width="13" customWidth="1" min="3" max="3"/>
    <col width="2"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0" customWidth="1" min="39" max="39"/>
    <col width="10" customWidth="1" min="40" max="40"/>
    <col width="10" customWidth="1" min="41" max="41"/>
    <col width="10" customWidth="1" min="42" max="42"/>
    <col width="10" customWidth="1" min="43" max="43"/>
    <col width="10" customWidth="1" min="44" max="44"/>
    <col width="10" customWidth="1" min="45" max="45"/>
    <col width="10" customWidth="1" min="46" max="46"/>
    <col width="10" customWidth="1" min="47" max="47"/>
    <col width="10" customWidth="1" min="48" max="48"/>
    <col width="10" customWidth="1" min="49" max="49"/>
    <col width="10" customWidth="1" min="50" max="50"/>
    <col width="10" customWidth="1" min="51" max="51"/>
    <col width="10" customWidth="1" min="52" max="52"/>
    <col width="10" customWidth="1" min="53" max="53"/>
    <col width="10" customWidth="1" min="54" max="54"/>
    <col width="10" customWidth="1" min="55" max="55"/>
    <col width="10" customWidth="1" min="56" max="56"/>
    <col width="10" customWidth="1" min="57" max="57"/>
    <col width="10" customWidth="1" min="58" max="58"/>
    <col width="10" customWidth="1" min="59" max="59"/>
    <col width="10" customWidth="1" min="60" max="60"/>
    <col width="10" customWidth="1" min="61" max="61"/>
    <col width="10" customWidth="1" min="62" max="62"/>
    <col width="10" customWidth="1" min="63" max="63"/>
    <col width="10" customWidth="1" min="64" max="64"/>
    <col width="2" customWidth="1" min="65" max="65"/>
    <col width="12" customWidth="1" min="66" max="66"/>
    <col width="12" customWidth="1" min="67" max="67"/>
    <col width="12" customWidth="1" min="68" max="68"/>
    <col width="12" customWidth="1" min="69" max="69"/>
    <col width="12" customWidth="1" min="70" max="70"/>
    <col width="2" customWidth="1" min="71" max="71"/>
    <col width="62" customWidth="1" min="72" max="72"/>
  </cols>
  <sheetData>
    <row r="1">
      <c r="B1" s="15" t="inlineStr">
        <is>
          <t>Tarnoc B.V.  Cost of Goods Sold</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row>
    <row r="2">
      <c r="B2" s="3" t="inlineStr">
        <is>
          <t>Unit cost falls as volume crosses each tier. The tier is set on this year plus next year's units, a two-year volume commitment to the supplier.</t>
        </is>
      </c>
    </row>
    <row r="3">
      <c r="B3" s="2" t="n"/>
      <c r="C3" s="2" t="n"/>
      <c r="D3" s="2" t="n"/>
      <c r="E3" s="48" t="n">
        <v>46023</v>
      </c>
      <c r="F3" s="48" t="n">
        <v>46054</v>
      </c>
      <c r="G3" s="48" t="n">
        <v>46082</v>
      </c>
      <c r="H3" s="48" t="n">
        <v>46113</v>
      </c>
      <c r="I3" s="48" t="n">
        <v>46143</v>
      </c>
      <c r="J3" s="48" t="n">
        <v>46174</v>
      </c>
      <c r="K3" s="48" t="n">
        <v>46204</v>
      </c>
      <c r="L3" s="48" t="n">
        <v>46235</v>
      </c>
      <c r="M3" s="48" t="n">
        <v>46266</v>
      </c>
      <c r="N3" s="48" t="n">
        <v>46296</v>
      </c>
      <c r="O3" s="48" t="n">
        <v>46327</v>
      </c>
      <c r="P3" s="48" t="n">
        <v>46357</v>
      </c>
      <c r="Q3" s="48" t="n">
        <v>46388</v>
      </c>
      <c r="R3" s="48" t="n">
        <v>46419</v>
      </c>
      <c r="S3" s="48" t="n">
        <v>46447</v>
      </c>
      <c r="T3" s="48" t="n">
        <v>46478</v>
      </c>
      <c r="U3" s="48" t="n">
        <v>46508</v>
      </c>
      <c r="V3" s="48" t="n">
        <v>46539</v>
      </c>
      <c r="W3" s="48" t="n">
        <v>46569</v>
      </c>
      <c r="X3" s="48" t="n">
        <v>46600</v>
      </c>
      <c r="Y3" s="48" t="n">
        <v>46631</v>
      </c>
      <c r="Z3" s="48" t="n">
        <v>46661</v>
      </c>
      <c r="AA3" s="48" t="n">
        <v>46692</v>
      </c>
      <c r="AB3" s="48" t="n">
        <v>46722</v>
      </c>
      <c r="AC3" s="48" t="n">
        <v>46753</v>
      </c>
      <c r="AD3" s="48" t="n">
        <v>46784</v>
      </c>
      <c r="AE3" s="48" t="n">
        <v>46813</v>
      </c>
      <c r="AF3" s="48" t="n">
        <v>46844</v>
      </c>
      <c r="AG3" s="48" t="n">
        <v>46874</v>
      </c>
      <c r="AH3" s="48" t="n">
        <v>46905</v>
      </c>
      <c r="AI3" s="48" t="n">
        <v>46935</v>
      </c>
      <c r="AJ3" s="48" t="n">
        <v>46966</v>
      </c>
      <c r="AK3" s="48" t="n">
        <v>46997</v>
      </c>
      <c r="AL3" s="48" t="n">
        <v>47027</v>
      </c>
      <c r="AM3" s="48" t="n">
        <v>47058</v>
      </c>
      <c r="AN3" s="48" t="n">
        <v>47088</v>
      </c>
      <c r="AO3" s="48" t="n">
        <v>47119</v>
      </c>
      <c r="AP3" s="48" t="n">
        <v>47150</v>
      </c>
      <c r="AQ3" s="48" t="n">
        <v>47178</v>
      </c>
      <c r="AR3" s="48" t="n">
        <v>47209</v>
      </c>
      <c r="AS3" s="48" t="n">
        <v>47239</v>
      </c>
      <c r="AT3" s="48" t="n">
        <v>47270</v>
      </c>
      <c r="AU3" s="48" t="n">
        <v>47300</v>
      </c>
      <c r="AV3" s="48" t="n">
        <v>47331</v>
      </c>
      <c r="AW3" s="48" t="n">
        <v>47362</v>
      </c>
      <c r="AX3" s="48" t="n">
        <v>47392</v>
      </c>
      <c r="AY3" s="48" t="n">
        <v>47423</v>
      </c>
      <c r="AZ3" s="48" t="n">
        <v>47453</v>
      </c>
      <c r="BA3" s="48" t="n">
        <v>47484</v>
      </c>
      <c r="BB3" s="48" t="n">
        <v>47515</v>
      </c>
      <c r="BC3" s="48" t="n">
        <v>47543</v>
      </c>
      <c r="BD3" s="48" t="n">
        <v>47574</v>
      </c>
      <c r="BE3" s="48" t="n">
        <v>47604</v>
      </c>
      <c r="BF3" s="48" t="n">
        <v>47635</v>
      </c>
      <c r="BG3" s="48" t="n">
        <v>47665</v>
      </c>
      <c r="BH3" s="48" t="n">
        <v>47696</v>
      </c>
      <c r="BI3" s="48" t="n">
        <v>47727</v>
      </c>
      <c r="BJ3" s="48" t="n">
        <v>47757</v>
      </c>
      <c r="BK3" s="48" t="n">
        <v>47788</v>
      </c>
      <c r="BL3" s="48" t="n">
        <v>47818</v>
      </c>
      <c r="BM3" s="2" t="n"/>
      <c r="BN3" s="49" t="n">
        <v>2026</v>
      </c>
      <c r="BO3" s="49" t="n">
        <v>2027</v>
      </c>
      <c r="BP3" s="49" t="n">
        <v>2028</v>
      </c>
      <c r="BQ3" s="49" t="n">
        <v>2029</v>
      </c>
      <c r="BR3" s="49" t="n">
        <v>2030</v>
      </c>
      <c r="BS3" s="2" t="n"/>
      <c r="BT3" s="3" t="inlineStr">
        <is>
          <t>what this row does</t>
        </is>
      </c>
    </row>
    <row r="5">
      <c r="B5" s="15" t="inlineStr">
        <is>
          <t>VOLUME TIER</t>
        </is>
      </c>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c r="AA5" s="1" t="n"/>
      <c r="AB5" s="1" t="n"/>
      <c r="AC5" s="1" t="n"/>
      <c r="AD5" s="1" t="n"/>
      <c r="AE5" s="1" t="n"/>
      <c r="AF5" s="1" t="n"/>
      <c r="AG5" s="1" t="n"/>
      <c r="AH5" s="1" t="n"/>
      <c r="AI5" s="1" t="n"/>
      <c r="AJ5" s="1" t="n"/>
      <c r="AK5" s="1" t="n"/>
      <c r="AL5" s="1" t="n"/>
      <c r="AM5" s="1" t="n"/>
      <c r="AN5" s="1" t="n"/>
      <c r="AO5" s="1" t="n"/>
      <c r="AP5" s="1" t="n"/>
      <c r="AQ5" s="1" t="n"/>
      <c r="AR5" s="1" t="n"/>
      <c r="AS5" s="1" t="n"/>
      <c r="AT5" s="1" t="n"/>
      <c r="AU5" s="1" t="n"/>
      <c r="AV5" s="1" t="n"/>
      <c r="AW5" s="1" t="n"/>
      <c r="AX5" s="1" t="n"/>
      <c r="AY5" s="1" t="n"/>
      <c r="AZ5" s="1" t="n"/>
      <c r="BA5" s="1" t="n"/>
      <c r="BB5" s="1" t="n"/>
      <c r="BC5" s="1" t="n"/>
      <c r="BD5" s="1" t="n"/>
      <c r="BE5" s="1" t="n"/>
      <c r="BF5" s="1" t="n"/>
      <c r="BG5" s="1" t="n"/>
      <c r="BH5" s="1" t="n"/>
      <c r="BI5" s="1" t="n"/>
      <c r="BJ5" s="1" t="n"/>
      <c r="BK5" s="1" t="n"/>
      <c r="BL5" s="1" t="n"/>
      <c r="BM5" s="1" t="n"/>
      <c r="BN5" s="1" t="n"/>
      <c r="BO5" s="1" t="n"/>
      <c r="BP5" s="1" t="n"/>
      <c r="BQ5" s="1" t="n"/>
      <c r="BR5" s="1" t="n"/>
      <c r="BS5" s="1" t="n"/>
    </row>
    <row r="6">
      <c r="B6" s="6" t="inlineStr">
        <is>
          <t>Units sold this calendar year</t>
        </is>
      </c>
      <c r="C6" s="17" t="inlineStr">
        <is>
          <t>units</t>
        </is>
      </c>
      <c r="E6" s="9">
        <f>IFERROR(HLOOKUP(YEAR(E$3),'Revenue Forecast'!$BN$3:$BR$34,32,FALSE),0)</f>
        <v/>
      </c>
      <c r="F6" s="9">
        <f>IFERROR(HLOOKUP(YEAR(F$3),'Revenue Forecast'!$BN$3:$BR$34,32,FALSE),0)</f>
        <v/>
      </c>
      <c r="G6" s="9">
        <f>IFERROR(HLOOKUP(YEAR(G$3),'Revenue Forecast'!$BN$3:$BR$34,32,FALSE),0)</f>
        <v/>
      </c>
      <c r="H6" s="9">
        <f>IFERROR(HLOOKUP(YEAR(H$3),'Revenue Forecast'!$BN$3:$BR$34,32,FALSE),0)</f>
        <v/>
      </c>
      <c r="I6" s="9">
        <f>IFERROR(HLOOKUP(YEAR(I$3),'Revenue Forecast'!$BN$3:$BR$34,32,FALSE),0)</f>
        <v/>
      </c>
      <c r="J6" s="9">
        <f>IFERROR(HLOOKUP(YEAR(J$3),'Revenue Forecast'!$BN$3:$BR$34,32,FALSE),0)</f>
        <v/>
      </c>
      <c r="K6" s="9">
        <f>IFERROR(HLOOKUP(YEAR(K$3),'Revenue Forecast'!$BN$3:$BR$34,32,FALSE),0)</f>
        <v/>
      </c>
      <c r="L6" s="9">
        <f>IFERROR(HLOOKUP(YEAR(L$3),'Revenue Forecast'!$BN$3:$BR$34,32,FALSE),0)</f>
        <v/>
      </c>
      <c r="M6" s="9">
        <f>IFERROR(HLOOKUP(YEAR(M$3),'Revenue Forecast'!$BN$3:$BR$34,32,FALSE),0)</f>
        <v/>
      </c>
      <c r="N6" s="9">
        <f>IFERROR(HLOOKUP(YEAR(N$3),'Revenue Forecast'!$BN$3:$BR$34,32,FALSE),0)</f>
        <v/>
      </c>
      <c r="O6" s="9">
        <f>IFERROR(HLOOKUP(YEAR(O$3),'Revenue Forecast'!$BN$3:$BR$34,32,FALSE),0)</f>
        <v/>
      </c>
      <c r="P6" s="9">
        <f>IFERROR(HLOOKUP(YEAR(P$3),'Revenue Forecast'!$BN$3:$BR$34,32,FALSE),0)</f>
        <v/>
      </c>
      <c r="Q6" s="9">
        <f>IFERROR(HLOOKUP(YEAR(Q$3),'Revenue Forecast'!$BN$3:$BR$34,32,FALSE),0)</f>
        <v/>
      </c>
      <c r="R6" s="9">
        <f>IFERROR(HLOOKUP(YEAR(R$3),'Revenue Forecast'!$BN$3:$BR$34,32,FALSE),0)</f>
        <v/>
      </c>
      <c r="S6" s="9">
        <f>IFERROR(HLOOKUP(YEAR(S$3),'Revenue Forecast'!$BN$3:$BR$34,32,FALSE),0)</f>
        <v/>
      </c>
      <c r="T6" s="9">
        <f>IFERROR(HLOOKUP(YEAR(T$3),'Revenue Forecast'!$BN$3:$BR$34,32,FALSE),0)</f>
        <v/>
      </c>
      <c r="U6" s="9">
        <f>IFERROR(HLOOKUP(YEAR(U$3),'Revenue Forecast'!$BN$3:$BR$34,32,FALSE),0)</f>
        <v/>
      </c>
      <c r="V6" s="9">
        <f>IFERROR(HLOOKUP(YEAR(V$3),'Revenue Forecast'!$BN$3:$BR$34,32,FALSE),0)</f>
        <v/>
      </c>
      <c r="W6" s="9">
        <f>IFERROR(HLOOKUP(YEAR(W$3),'Revenue Forecast'!$BN$3:$BR$34,32,FALSE),0)</f>
        <v/>
      </c>
      <c r="X6" s="9">
        <f>IFERROR(HLOOKUP(YEAR(X$3),'Revenue Forecast'!$BN$3:$BR$34,32,FALSE),0)</f>
        <v/>
      </c>
      <c r="Y6" s="9">
        <f>IFERROR(HLOOKUP(YEAR(Y$3),'Revenue Forecast'!$BN$3:$BR$34,32,FALSE),0)</f>
        <v/>
      </c>
      <c r="Z6" s="9">
        <f>IFERROR(HLOOKUP(YEAR(Z$3),'Revenue Forecast'!$BN$3:$BR$34,32,FALSE),0)</f>
        <v/>
      </c>
      <c r="AA6" s="9">
        <f>IFERROR(HLOOKUP(YEAR(AA$3),'Revenue Forecast'!$BN$3:$BR$34,32,FALSE),0)</f>
        <v/>
      </c>
      <c r="AB6" s="9">
        <f>IFERROR(HLOOKUP(YEAR(AB$3),'Revenue Forecast'!$BN$3:$BR$34,32,FALSE),0)</f>
        <v/>
      </c>
      <c r="AC6" s="9">
        <f>IFERROR(HLOOKUP(YEAR(AC$3),'Revenue Forecast'!$BN$3:$BR$34,32,FALSE),0)</f>
        <v/>
      </c>
      <c r="AD6" s="9">
        <f>IFERROR(HLOOKUP(YEAR(AD$3),'Revenue Forecast'!$BN$3:$BR$34,32,FALSE),0)</f>
        <v/>
      </c>
      <c r="AE6" s="9">
        <f>IFERROR(HLOOKUP(YEAR(AE$3),'Revenue Forecast'!$BN$3:$BR$34,32,FALSE),0)</f>
        <v/>
      </c>
      <c r="AF6" s="9">
        <f>IFERROR(HLOOKUP(YEAR(AF$3),'Revenue Forecast'!$BN$3:$BR$34,32,FALSE),0)</f>
        <v/>
      </c>
      <c r="AG6" s="9">
        <f>IFERROR(HLOOKUP(YEAR(AG$3),'Revenue Forecast'!$BN$3:$BR$34,32,FALSE),0)</f>
        <v/>
      </c>
      <c r="AH6" s="9">
        <f>IFERROR(HLOOKUP(YEAR(AH$3),'Revenue Forecast'!$BN$3:$BR$34,32,FALSE),0)</f>
        <v/>
      </c>
      <c r="AI6" s="9">
        <f>IFERROR(HLOOKUP(YEAR(AI$3),'Revenue Forecast'!$BN$3:$BR$34,32,FALSE),0)</f>
        <v/>
      </c>
      <c r="AJ6" s="9">
        <f>IFERROR(HLOOKUP(YEAR(AJ$3),'Revenue Forecast'!$BN$3:$BR$34,32,FALSE),0)</f>
        <v/>
      </c>
      <c r="AK6" s="9">
        <f>IFERROR(HLOOKUP(YEAR(AK$3),'Revenue Forecast'!$BN$3:$BR$34,32,FALSE),0)</f>
        <v/>
      </c>
      <c r="AL6" s="9">
        <f>IFERROR(HLOOKUP(YEAR(AL$3),'Revenue Forecast'!$BN$3:$BR$34,32,FALSE),0)</f>
        <v/>
      </c>
      <c r="AM6" s="9">
        <f>IFERROR(HLOOKUP(YEAR(AM$3),'Revenue Forecast'!$BN$3:$BR$34,32,FALSE),0)</f>
        <v/>
      </c>
      <c r="AN6" s="9">
        <f>IFERROR(HLOOKUP(YEAR(AN$3),'Revenue Forecast'!$BN$3:$BR$34,32,FALSE),0)</f>
        <v/>
      </c>
      <c r="AO6" s="9">
        <f>IFERROR(HLOOKUP(YEAR(AO$3),'Revenue Forecast'!$BN$3:$BR$34,32,FALSE),0)</f>
        <v/>
      </c>
      <c r="AP6" s="9">
        <f>IFERROR(HLOOKUP(YEAR(AP$3),'Revenue Forecast'!$BN$3:$BR$34,32,FALSE),0)</f>
        <v/>
      </c>
      <c r="AQ6" s="9">
        <f>IFERROR(HLOOKUP(YEAR(AQ$3),'Revenue Forecast'!$BN$3:$BR$34,32,FALSE),0)</f>
        <v/>
      </c>
      <c r="AR6" s="9">
        <f>IFERROR(HLOOKUP(YEAR(AR$3),'Revenue Forecast'!$BN$3:$BR$34,32,FALSE),0)</f>
        <v/>
      </c>
      <c r="AS6" s="9">
        <f>IFERROR(HLOOKUP(YEAR(AS$3),'Revenue Forecast'!$BN$3:$BR$34,32,FALSE),0)</f>
        <v/>
      </c>
      <c r="AT6" s="9">
        <f>IFERROR(HLOOKUP(YEAR(AT$3),'Revenue Forecast'!$BN$3:$BR$34,32,FALSE),0)</f>
        <v/>
      </c>
      <c r="AU6" s="9">
        <f>IFERROR(HLOOKUP(YEAR(AU$3),'Revenue Forecast'!$BN$3:$BR$34,32,FALSE),0)</f>
        <v/>
      </c>
      <c r="AV6" s="9">
        <f>IFERROR(HLOOKUP(YEAR(AV$3),'Revenue Forecast'!$BN$3:$BR$34,32,FALSE),0)</f>
        <v/>
      </c>
      <c r="AW6" s="9">
        <f>IFERROR(HLOOKUP(YEAR(AW$3),'Revenue Forecast'!$BN$3:$BR$34,32,FALSE),0)</f>
        <v/>
      </c>
      <c r="AX6" s="9">
        <f>IFERROR(HLOOKUP(YEAR(AX$3),'Revenue Forecast'!$BN$3:$BR$34,32,FALSE),0)</f>
        <v/>
      </c>
      <c r="AY6" s="9">
        <f>IFERROR(HLOOKUP(YEAR(AY$3),'Revenue Forecast'!$BN$3:$BR$34,32,FALSE),0)</f>
        <v/>
      </c>
      <c r="AZ6" s="9">
        <f>IFERROR(HLOOKUP(YEAR(AZ$3),'Revenue Forecast'!$BN$3:$BR$34,32,FALSE),0)</f>
        <v/>
      </c>
      <c r="BA6" s="9">
        <f>IFERROR(HLOOKUP(YEAR(BA$3),'Revenue Forecast'!$BN$3:$BR$34,32,FALSE),0)</f>
        <v/>
      </c>
      <c r="BB6" s="9">
        <f>IFERROR(HLOOKUP(YEAR(BB$3),'Revenue Forecast'!$BN$3:$BR$34,32,FALSE),0)</f>
        <v/>
      </c>
      <c r="BC6" s="9">
        <f>IFERROR(HLOOKUP(YEAR(BC$3),'Revenue Forecast'!$BN$3:$BR$34,32,FALSE),0)</f>
        <v/>
      </c>
      <c r="BD6" s="9">
        <f>IFERROR(HLOOKUP(YEAR(BD$3),'Revenue Forecast'!$BN$3:$BR$34,32,FALSE),0)</f>
        <v/>
      </c>
      <c r="BE6" s="9">
        <f>IFERROR(HLOOKUP(YEAR(BE$3),'Revenue Forecast'!$BN$3:$BR$34,32,FALSE),0)</f>
        <v/>
      </c>
      <c r="BF6" s="9">
        <f>IFERROR(HLOOKUP(YEAR(BF$3),'Revenue Forecast'!$BN$3:$BR$34,32,FALSE),0)</f>
        <v/>
      </c>
      <c r="BG6" s="9">
        <f>IFERROR(HLOOKUP(YEAR(BG$3),'Revenue Forecast'!$BN$3:$BR$34,32,FALSE),0)</f>
        <v/>
      </c>
      <c r="BH6" s="9">
        <f>IFERROR(HLOOKUP(YEAR(BH$3),'Revenue Forecast'!$BN$3:$BR$34,32,FALSE),0)</f>
        <v/>
      </c>
      <c r="BI6" s="9">
        <f>IFERROR(HLOOKUP(YEAR(BI$3),'Revenue Forecast'!$BN$3:$BR$34,32,FALSE),0)</f>
        <v/>
      </c>
      <c r="BJ6" s="9">
        <f>IFERROR(HLOOKUP(YEAR(BJ$3),'Revenue Forecast'!$BN$3:$BR$34,32,FALSE),0)</f>
        <v/>
      </c>
      <c r="BK6" s="9">
        <f>IFERROR(HLOOKUP(YEAR(BK$3),'Revenue Forecast'!$BN$3:$BR$34,32,FALSE),0)</f>
        <v/>
      </c>
      <c r="BL6" s="9">
        <f>IFERROR(HLOOKUP(YEAR(BL$3),'Revenue Forecast'!$BN$3:$BR$34,32,FALSE),0)</f>
        <v/>
      </c>
      <c r="BN6" s="60">
        <f>P6</f>
        <v/>
      </c>
      <c r="BO6" s="60">
        <f>AB6</f>
        <v/>
      </c>
      <c r="BP6" s="60">
        <f>AN6</f>
        <v/>
      </c>
      <c r="BQ6" s="60">
        <f>AZ6</f>
        <v/>
      </c>
      <c r="BR6" s="60">
        <f>BL6</f>
        <v/>
      </c>
    </row>
    <row r="7">
      <c r="B7" s="6" t="inlineStr">
        <is>
          <t>Units sold next calendar year</t>
        </is>
      </c>
      <c r="C7" s="17" t="inlineStr">
        <is>
          <t>units</t>
        </is>
      </c>
      <c r="E7" s="9">
        <f>IFERROR(HLOOKUP(YEAR(E$3)+1,'Revenue Forecast'!$BN$3:$BR$34,32,FALSE),E6)</f>
        <v/>
      </c>
      <c r="F7" s="9">
        <f>IFERROR(HLOOKUP(YEAR(F$3)+1,'Revenue Forecast'!$BN$3:$BR$34,32,FALSE),F6)</f>
        <v/>
      </c>
      <c r="G7" s="9">
        <f>IFERROR(HLOOKUP(YEAR(G$3)+1,'Revenue Forecast'!$BN$3:$BR$34,32,FALSE),G6)</f>
        <v/>
      </c>
      <c r="H7" s="9">
        <f>IFERROR(HLOOKUP(YEAR(H$3)+1,'Revenue Forecast'!$BN$3:$BR$34,32,FALSE),H6)</f>
        <v/>
      </c>
      <c r="I7" s="9">
        <f>IFERROR(HLOOKUP(YEAR(I$3)+1,'Revenue Forecast'!$BN$3:$BR$34,32,FALSE),I6)</f>
        <v/>
      </c>
      <c r="J7" s="9">
        <f>IFERROR(HLOOKUP(YEAR(J$3)+1,'Revenue Forecast'!$BN$3:$BR$34,32,FALSE),J6)</f>
        <v/>
      </c>
      <c r="K7" s="9">
        <f>IFERROR(HLOOKUP(YEAR(K$3)+1,'Revenue Forecast'!$BN$3:$BR$34,32,FALSE),K6)</f>
        <v/>
      </c>
      <c r="L7" s="9">
        <f>IFERROR(HLOOKUP(YEAR(L$3)+1,'Revenue Forecast'!$BN$3:$BR$34,32,FALSE),L6)</f>
        <v/>
      </c>
      <c r="M7" s="9">
        <f>IFERROR(HLOOKUP(YEAR(M$3)+1,'Revenue Forecast'!$BN$3:$BR$34,32,FALSE),M6)</f>
        <v/>
      </c>
      <c r="N7" s="9">
        <f>IFERROR(HLOOKUP(YEAR(N$3)+1,'Revenue Forecast'!$BN$3:$BR$34,32,FALSE),N6)</f>
        <v/>
      </c>
      <c r="O7" s="9">
        <f>IFERROR(HLOOKUP(YEAR(O$3)+1,'Revenue Forecast'!$BN$3:$BR$34,32,FALSE),O6)</f>
        <v/>
      </c>
      <c r="P7" s="9">
        <f>IFERROR(HLOOKUP(YEAR(P$3)+1,'Revenue Forecast'!$BN$3:$BR$34,32,FALSE),P6)</f>
        <v/>
      </c>
      <c r="Q7" s="9">
        <f>IFERROR(HLOOKUP(YEAR(Q$3)+1,'Revenue Forecast'!$BN$3:$BR$34,32,FALSE),Q6)</f>
        <v/>
      </c>
      <c r="R7" s="9">
        <f>IFERROR(HLOOKUP(YEAR(R$3)+1,'Revenue Forecast'!$BN$3:$BR$34,32,FALSE),R6)</f>
        <v/>
      </c>
      <c r="S7" s="9">
        <f>IFERROR(HLOOKUP(YEAR(S$3)+1,'Revenue Forecast'!$BN$3:$BR$34,32,FALSE),S6)</f>
        <v/>
      </c>
      <c r="T7" s="9">
        <f>IFERROR(HLOOKUP(YEAR(T$3)+1,'Revenue Forecast'!$BN$3:$BR$34,32,FALSE),T6)</f>
        <v/>
      </c>
      <c r="U7" s="9">
        <f>IFERROR(HLOOKUP(YEAR(U$3)+1,'Revenue Forecast'!$BN$3:$BR$34,32,FALSE),U6)</f>
        <v/>
      </c>
      <c r="V7" s="9">
        <f>IFERROR(HLOOKUP(YEAR(V$3)+1,'Revenue Forecast'!$BN$3:$BR$34,32,FALSE),V6)</f>
        <v/>
      </c>
      <c r="W7" s="9">
        <f>IFERROR(HLOOKUP(YEAR(W$3)+1,'Revenue Forecast'!$BN$3:$BR$34,32,FALSE),W6)</f>
        <v/>
      </c>
      <c r="X7" s="9">
        <f>IFERROR(HLOOKUP(YEAR(X$3)+1,'Revenue Forecast'!$BN$3:$BR$34,32,FALSE),X6)</f>
        <v/>
      </c>
      <c r="Y7" s="9">
        <f>IFERROR(HLOOKUP(YEAR(Y$3)+1,'Revenue Forecast'!$BN$3:$BR$34,32,FALSE),Y6)</f>
        <v/>
      </c>
      <c r="Z7" s="9">
        <f>IFERROR(HLOOKUP(YEAR(Z$3)+1,'Revenue Forecast'!$BN$3:$BR$34,32,FALSE),Z6)</f>
        <v/>
      </c>
      <c r="AA7" s="9">
        <f>IFERROR(HLOOKUP(YEAR(AA$3)+1,'Revenue Forecast'!$BN$3:$BR$34,32,FALSE),AA6)</f>
        <v/>
      </c>
      <c r="AB7" s="9">
        <f>IFERROR(HLOOKUP(YEAR(AB$3)+1,'Revenue Forecast'!$BN$3:$BR$34,32,FALSE),AB6)</f>
        <v/>
      </c>
      <c r="AC7" s="9">
        <f>IFERROR(HLOOKUP(YEAR(AC$3)+1,'Revenue Forecast'!$BN$3:$BR$34,32,FALSE),AC6)</f>
        <v/>
      </c>
      <c r="AD7" s="9">
        <f>IFERROR(HLOOKUP(YEAR(AD$3)+1,'Revenue Forecast'!$BN$3:$BR$34,32,FALSE),AD6)</f>
        <v/>
      </c>
      <c r="AE7" s="9">
        <f>IFERROR(HLOOKUP(YEAR(AE$3)+1,'Revenue Forecast'!$BN$3:$BR$34,32,FALSE),AE6)</f>
        <v/>
      </c>
      <c r="AF7" s="9">
        <f>IFERROR(HLOOKUP(YEAR(AF$3)+1,'Revenue Forecast'!$BN$3:$BR$34,32,FALSE),AF6)</f>
        <v/>
      </c>
      <c r="AG7" s="9">
        <f>IFERROR(HLOOKUP(YEAR(AG$3)+1,'Revenue Forecast'!$BN$3:$BR$34,32,FALSE),AG6)</f>
        <v/>
      </c>
      <c r="AH7" s="9">
        <f>IFERROR(HLOOKUP(YEAR(AH$3)+1,'Revenue Forecast'!$BN$3:$BR$34,32,FALSE),AH6)</f>
        <v/>
      </c>
      <c r="AI7" s="9">
        <f>IFERROR(HLOOKUP(YEAR(AI$3)+1,'Revenue Forecast'!$BN$3:$BR$34,32,FALSE),AI6)</f>
        <v/>
      </c>
      <c r="AJ7" s="9">
        <f>IFERROR(HLOOKUP(YEAR(AJ$3)+1,'Revenue Forecast'!$BN$3:$BR$34,32,FALSE),AJ6)</f>
        <v/>
      </c>
      <c r="AK7" s="9">
        <f>IFERROR(HLOOKUP(YEAR(AK$3)+1,'Revenue Forecast'!$BN$3:$BR$34,32,FALSE),AK6)</f>
        <v/>
      </c>
      <c r="AL7" s="9">
        <f>IFERROR(HLOOKUP(YEAR(AL$3)+1,'Revenue Forecast'!$BN$3:$BR$34,32,FALSE),AL6)</f>
        <v/>
      </c>
      <c r="AM7" s="9">
        <f>IFERROR(HLOOKUP(YEAR(AM$3)+1,'Revenue Forecast'!$BN$3:$BR$34,32,FALSE),AM6)</f>
        <v/>
      </c>
      <c r="AN7" s="9">
        <f>IFERROR(HLOOKUP(YEAR(AN$3)+1,'Revenue Forecast'!$BN$3:$BR$34,32,FALSE),AN6)</f>
        <v/>
      </c>
      <c r="AO7" s="9">
        <f>IFERROR(HLOOKUP(YEAR(AO$3)+1,'Revenue Forecast'!$BN$3:$BR$34,32,FALSE),AO6)</f>
        <v/>
      </c>
      <c r="AP7" s="9">
        <f>IFERROR(HLOOKUP(YEAR(AP$3)+1,'Revenue Forecast'!$BN$3:$BR$34,32,FALSE),AP6)</f>
        <v/>
      </c>
      <c r="AQ7" s="9">
        <f>IFERROR(HLOOKUP(YEAR(AQ$3)+1,'Revenue Forecast'!$BN$3:$BR$34,32,FALSE),AQ6)</f>
        <v/>
      </c>
      <c r="AR7" s="9">
        <f>IFERROR(HLOOKUP(YEAR(AR$3)+1,'Revenue Forecast'!$BN$3:$BR$34,32,FALSE),AR6)</f>
        <v/>
      </c>
      <c r="AS7" s="9">
        <f>IFERROR(HLOOKUP(YEAR(AS$3)+1,'Revenue Forecast'!$BN$3:$BR$34,32,FALSE),AS6)</f>
        <v/>
      </c>
      <c r="AT7" s="9">
        <f>IFERROR(HLOOKUP(YEAR(AT$3)+1,'Revenue Forecast'!$BN$3:$BR$34,32,FALSE),AT6)</f>
        <v/>
      </c>
      <c r="AU7" s="9">
        <f>IFERROR(HLOOKUP(YEAR(AU$3)+1,'Revenue Forecast'!$BN$3:$BR$34,32,FALSE),AU6)</f>
        <v/>
      </c>
      <c r="AV7" s="9">
        <f>IFERROR(HLOOKUP(YEAR(AV$3)+1,'Revenue Forecast'!$BN$3:$BR$34,32,FALSE),AV6)</f>
        <v/>
      </c>
      <c r="AW7" s="9">
        <f>IFERROR(HLOOKUP(YEAR(AW$3)+1,'Revenue Forecast'!$BN$3:$BR$34,32,FALSE),AW6)</f>
        <v/>
      </c>
      <c r="AX7" s="9">
        <f>IFERROR(HLOOKUP(YEAR(AX$3)+1,'Revenue Forecast'!$BN$3:$BR$34,32,FALSE),AX6)</f>
        <v/>
      </c>
      <c r="AY7" s="9">
        <f>IFERROR(HLOOKUP(YEAR(AY$3)+1,'Revenue Forecast'!$BN$3:$BR$34,32,FALSE),AY6)</f>
        <v/>
      </c>
      <c r="AZ7" s="9">
        <f>IFERROR(HLOOKUP(YEAR(AZ$3)+1,'Revenue Forecast'!$BN$3:$BR$34,32,FALSE),AZ6)</f>
        <v/>
      </c>
      <c r="BA7" s="9">
        <f>IFERROR(HLOOKUP(YEAR(BA$3)+1,'Revenue Forecast'!$BN$3:$BR$34,32,FALSE),BA6)</f>
        <v/>
      </c>
      <c r="BB7" s="9">
        <f>IFERROR(HLOOKUP(YEAR(BB$3)+1,'Revenue Forecast'!$BN$3:$BR$34,32,FALSE),BB6)</f>
        <v/>
      </c>
      <c r="BC7" s="9">
        <f>IFERROR(HLOOKUP(YEAR(BC$3)+1,'Revenue Forecast'!$BN$3:$BR$34,32,FALSE),BC6)</f>
        <v/>
      </c>
      <c r="BD7" s="9">
        <f>IFERROR(HLOOKUP(YEAR(BD$3)+1,'Revenue Forecast'!$BN$3:$BR$34,32,FALSE),BD6)</f>
        <v/>
      </c>
      <c r="BE7" s="9">
        <f>IFERROR(HLOOKUP(YEAR(BE$3)+1,'Revenue Forecast'!$BN$3:$BR$34,32,FALSE),BE6)</f>
        <v/>
      </c>
      <c r="BF7" s="9">
        <f>IFERROR(HLOOKUP(YEAR(BF$3)+1,'Revenue Forecast'!$BN$3:$BR$34,32,FALSE),BF6)</f>
        <v/>
      </c>
      <c r="BG7" s="9">
        <f>IFERROR(HLOOKUP(YEAR(BG$3)+1,'Revenue Forecast'!$BN$3:$BR$34,32,FALSE),BG6)</f>
        <v/>
      </c>
      <c r="BH7" s="9">
        <f>IFERROR(HLOOKUP(YEAR(BH$3)+1,'Revenue Forecast'!$BN$3:$BR$34,32,FALSE),BH6)</f>
        <v/>
      </c>
      <c r="BI7" s="9">
        <f>IFERROR(HLOOKUP(YEAR(BI$3)+1,'Revenue Forecast'!$BN$3:$BR$34,32,FALSE),BI6)</f>
        <v/>
      </c>
      <c r="BJ7" s="9">
        <f>IFERROR(HLOOKUP(YEAR(BJ$3)+1,'Revenue Forecast'!$BN$3:$BR$34,32,FALSE),BJ6)</f>
        <v/>
      </c>
      <c r="BK7" s="9">
        <f>IFERROR(HLOOKUP(YEAR(BK$3)+1,'Revenue Forecast'!$BN$3:$BR$34,32,FALSE),BK6)</f>
        <v/>
      </c>
      <c r="BL7" s="9">
        <f>IFERROR(HLOOKUP(YEAR(BL$3)+1,'Revenue Forecast'!$BN$3:$BR$34,32,FALSE),BL6)</f>
        <v/>
      </c>
      <c r="BN7" s="60">
        <f>P7</f>
        <v/>
      </c>
      <c r="BO7" s="60">
        <f>AB7</f>
        <v/>
      </c>
      <c r="BP7" s="60">
        <f>AN7</f>
        <v/>
      </c>
      <c r="BQ7" s="60">
        <f>AZ7</f>
        <v/>
      </c>
      <c r="BR7" s="60">
        <f>BL7</f>
        <v/>
      </c>
      <c r="BT7" s="32" t="inlineStr">
        <is>
          <t>beyond the horizon, next year is taken as at least this year</t>
        </is>
      </c>
    </row>
    <row r="8">
      <c r="B8" s="56" t="inlineStr">
        <is>
          <t>Two-year volume, sets the tier</t>
        </is>
      </c>
      <c r="C8" s="57" t="inlineStr">
        <is>
          <t>units</t>
        </is>
      </c>
      <c r="E8" s="61">
        <f>E6+E7</f>
        <v/>
      </c>
      <c r="F8" s="61">
        <f>F6+F7</f>
        <v/>
      </c>
      <c r="G8" s="61">
        <f>G6+G7</f>
        <v/>
      </c>
      <c r="H8" s="61">
        <f>H6+H7</f>
        <v/>
      </c>
      <c r="I8" s="61">
        <f>I6+I7</f>
        <v/>
      </c>
      <c r="J8" s="61">
        <f>J6+J7</f>
        <v/>
      </c>
      <c r="K8" s="61">
        <f>K6+K7</f>
        <v/>
      </c>
      <c r="L8" s="61">
        <f>L6+L7</f>
        <v/>
      </c>
      <c r="M8" s="61">
        <f>M6+M7</f>
        <v/>
      </c>
      <c r="N8" s="61">
        <f>N6+N7</f>
        <v/>
      </c>
      <c r="O8" s="61">
        <f>O6+O7</f>
        <v/>
      </c>
      <c r="P8" s="61">
        <f>P6+P7</f>
        <v/>
      </c>
      <c r="Q8" s="61">
        <f>Q6+Q7</f>
        <v/>
      </c>
      <c r="R8" s="61">
        <f>R6+R7</f>
        <v/>
      </c>
      <c r="S8" s="61">
        <f>S6+S7</f>
        <v/>
      </c>
      <c r="T8" s="61">
        <f>T6+T7</f>
        <v/>
      </c>
      <c r="U8" s="61">
        <f>U6+U7</f>
        <v/>
      </c>
      <c r="V8" s="61">
        <f>V6+V7</f>
        <v/>
      </c>
      <c r="W8" s="61">
        <f>W6+W7</f>
        <v/>
      </c>
      <c r="X8" s="61">
        <f>X6+X7</f>
        <v/>
      </c>
      <c r="Y8" s="61">
        <f>Y6+Y7</f>
        <v/>
      </c>
      <c r="Z8" s="61">
        <f>Z6+Z7</f>
        <v/>
      </c>
      <c r="AA8" s="61">
        <f>AA6+AA7</f>
        <v/>
      </c>
      <c r="AB8" s="61">
        <f>AB6+AB7</f>
        <v/>
      </c>
      <c r="AC8" s="61">
        <f>AC6+AC7</f>
        <v/>
      </c>
      <c r="AD8" s="61">
        <f>AD6+AD7</f>
        <v/>
      </c>
      <c r="AE8" s="61">
        <f>AE6+AE7</f>
        <v/>
      </c>
      <c r="AF8" s="61">
        <f>AF6+AF7</f>
        <v/>
      </c>
      <c r="AG8" s="61">
        <f>AG6+AG7</f>
        <v/>
      </c>
      <c r="AH8" s="61">
        <f>AH6+AH7</f>
        <v/>
      </c>
      <c r="AI8" s="61">
        <f>AI6+AI7</f>
        <v/>
      </c>
      <c r="AJ8" s="61">
        <f>AJ6+AJ7</f>
        <v/>
      </c>
      <c r="AK8" s="61">
        <f>AK6+AK7</f>
        <v/>
      </c>
      <c r="AL8" s="61">
        <f>AL6+AL7</f>
        <v/>
      </c>
      <c r="AM8" s="61">
        <f>AM6+AM7</f>
        <v/>
      </c>
      <c r="AN8" s="61">
        <f>AN6+AN7</f>
        <v/>
      </c>
      <c r="AO8" s="61">
        <f>AO6+AO7</f>
        <v/>
      </c>
      <c r="AP8" s="61">
        <f>AP6+AP7</f>
        <v/>
      </c>
      <c r="AQ8" s="61">
        <f>AQ6+AQ7</f>
        <v/>
      </c>
      <c r="AR8" s="61">
        <f>AR6+AR7</f>
        <v/>
      </c>
      <c r="AS8" s="61">
        <f>AS6+AS7</f>
        <v/>
      </c>
      <c r="AT8" s="61">
        <f>AT6+AT7</f>
        <v/>
      </c>
      <c r="AU8" s="61">
        <f>AU6+AU7</f>
        <v/>
      </c>
      <c r="AV8" s="61">
        <f>AV6+AV7</f>
        <v/>
      </c>
      <c r="AW8" s="61">
        <f>AW6+AW7</f>
        <v/>
      </c>
      <c r="AX8" s="61">
        <f>AX6+AX7</f>
        <v/>
      </c>
      <c r="AY8" s="61">
        <f>AY6+AY7</f>
        <v/>
      </c>
      <c r="AZ8" s="61">
        <f>AZ6+AZ7</f>
        <v/>
      </c>
      <c r="BA8" s="61">
        <f>BA6+BA7</f>
        <v/>
      </c>
      <c r="BB8" s="61">
        <f>BB6+BB7</f>
        <v/>
      </c>
      <c r="BC8" s="61">
        <f>BC6+BC7</f>
        <v/>
      </c>
      <c r="BD8" s="61">
        <f>BD6+BD7</f>
        <v/>
      </c>
      <c r="BE8" s="61">
        <f>BE6+BE7</f>
        <v/>
      </c>
      <c r="BF8" s="61">
        <f>BF6+BF7</f>
        <v/>
      </c>
      <c r="BG8" s="61">
        <f>BG6+BG7</f>
        <v/>
      </c>
      <c r="BH8" s="61">
        <f>BH6+BH7</f>
        <v/>
      </c>
      <c r="BI8" s="61">
        <f>BI6+BI7</f>
        <v/>
      </c>
      <c r="BJ8" s="61">
        <f>BJ6+BJ7</f>
        <v/>
      </c>
      <c r="BK8" s="61">
        <f>BK6+BK7</f>
        <v/>
      </c>
      <c r="BL8" s="61">
        <f>BL6+BL7</f>
        <v/>
      </c>
      <c r="BN8" s="61">
        <f>P8</f>
        <v/>
      </c>
      <c r="BO8" s="61">
        <f>AB8</f>
        <v/>
      </c>
      <c r="BP8" s="61">
        <f>AN8</f>
        <v/>
      </c>
      <c r="BQ8" s="61">
        <f>AZ8</f>
        <v/>
      </c>
      <c r="BR8" s="61">
        <f>BL8</f>
        <v/>
      </c>
      <c r="BT8" s="32" t="inlineStr">
        <is>
          <t>the supplier prices on a two-year volume commitment: this year plus next</t>
        </is>
      </c>
    </row>
    <row r="9">
      <c r="B9" s="6" t="inlineStr">
        <is>
          <t>Turbineketel cost per unit</t>
        </is>
      </c>
      <c r="C9" s="17" t="inlineStr">
        <is>
          <t>EUR/unit</t>
        </is>
      </c>
      <c r="E9" s="10">
        <f>VLOOKUP(E8,Assumptions!$D$71:$E$73,2,TRUE)</f>
        <v/>
      </c>
      <c r="F9" s="10">
        <f>VLOOKUP(F8,Assumptions!$D$71:$E$73,2,TRUE)</f>
        <v/>
      </c>
      <c r="G9" s="10">
        <f>VLOOKUP(G8,Assumptions!$D$71:$E$73,2,TRUE)</f>
        <v/>
      </c>
      <c r="H9" s="10">
        <f>VLOOKUP(H8,Assumptions!$D$71:$E$73,2,TRUE)</f>
        <v/>
      </c>
      <c r="I9" s="10">
        <f>VLOOKUP(I8,Assumptions!$D$71:$E$73,2,TRUE)</f>
        <v/>
      </c>
      <c r="J9" s="10">
        <f>VLOOKUP(J8,Assumptions!$D$71:$E$73,2,TRUE)</f>
        <v/>
      </c>
      <c r="K9" s="10">
        <f>VLOOKUP(K8,Assumptions!$D$71:$E$73,2,TRUE)</f>
        <v/>
      </c>
      <c r="L9" s="10">
        <f>VLOOKUP(L8,Assumptions!$D$71:$E$73,2,TRUE)</f>
        <v/>
      </c>
      <c r="M9" s="10">
        <f>VLOOKUP(M8,Assumptions!$D$71:$E$73,2,TRUE)</f>
        <v/>
      </c>
      <c r="N9" s="10">
        <f>VLOOKUP(N8,Assumptions!$D$71:$E$73,2,TRUE)</f>
        <v/>
      </c>
      <c r="O9" s="10">
        <f>VLOOKUP(O8,Assumptions!$D$71:$E$73,2,TRUE)</f>
        <v/>
      </c>
      <c r="P9" s="10">
        <f>VLOOKUP(P8,Assumptions!$D$71:$E$73,2,TRUE)</f>
        <v/>
      </c>
      <c r="Q9" s="10">
        <f>VLOOKUP(Q8,Assumptions!$D$71:$E$73,2,TRUE)</f>
        <v/>
      </c>
      <c r="R9" s="10">
        <f>VLOOKUP(R8,Assumptions!$D$71:$E$73,2,TRUE)</f>
        <v/>
      </c>
      <c r="S9" s="10">
        <f>VLOOKUP(S8,Assumptions!$D$71:$E$73,2,TRUE)</f>
        <v/>
      </c>
      <c r="T9" s="10">
        <f>VLOOKUP(T8,Assumptions!$D$71:$E$73,2,TRUE)</f>
        <v/>
      </c>
      <c r="U9" s="10">
        <f>VLOOKUP(U8,Assumptions!$D$71:$E$73,2,TRUE)</f>
        <v/>
      </c>
      <c r="V9" s="10">
        <f>VLOOKUP(V8,Assumptions!$D$71:$E$73,2,TRUE)</f>
        <v/>
      </c>
      <c r="W9" s="10">
        <f>VLOOKUP(W8,Assumptions!$D$71:$E$73,2,TRUE)</f>
        <v/>
      </c>
      <c r="X9" s="10">
        <f>VLOOKUP(X8,Assumptions!$D$71:$E$73,2,TRUE)</f>
        <v/>
      </c>
      <c r="Y9" s="10">
        <f>VLOOKUP(Y8,Assumptions!$D$71:$E$73,2,TRUE)</f>
        <v/>
      </c>
      <c r="Z9" s="10">
        <f>VLOOKUP(Z8,Assumptions!$D$71:$E$73,2,TRUE)</f>
        <v/>
      </c>
      <c r="AA9" s="10">
        <f>VLOOKUP(AA8,Assumptions!$D$71:$E$73,2,TRUE)</f>
        <v/>
      </c>
      <c r="AB9" s="10">
        <f>VLOOKUP(AB8,Assumptions!$D$71:$E$73,2,TRUE)</f>
        <v/>
      </c>
      <c r="AC9" s="10">
        <f>VLOOKUP(AC8,Assumptions!$D$71:$E$73,2,TRUE)</f>
        <v/>
      </c>
      <c r="AD9" s="10">
        <f>VLOOKUP(AD8,Assumptions!$D$71:$E$73,2,TRUE)</f>
        <v/>
      </c>
      <c r="AE9" s="10">
        <f>VLOOKUP(AE8,Assumptions!$D$71:$E$73,2,TRUE)</f>
        <v/>
      </c>
      <c r="AF9" s="10">
        <f>VLOOKUP(AF8,Assumptions!$D$71:$E$73,2,TRUE)</f>
        <v/>
      </c>
      <c r="AG9" s="10">
        <f>VLOOKUP(AG8,Assumptions!$D$71:$E$73,2,TRUE)</f>
        <v/>
      </c>
      <c r="AH9" s="10">
        <f>VLOOKUP(AH8,Assumptions!$D$71:$E$73,2,TRUE)</f>
        <v/>
      </c>
      <c r="AI9" s="10">
        <f>VLOOKUP(AI8,Assumptions!$D$71:$E$73,2,TRUE)</f>
        <v/>
      </c>
      <c r="AJ9" s="10">
        <f>VLOOKUP(AJ8,Assumptions!$D$71:$E$73,2,TRUE)</f>
        <v/>
      </c>
      <c r="AK9" s="10">
        <f>VLOOKUP(AK8,Assumptions!$D$71:$E$73,2,TRUE)</f>
        <v/>
      </c>
      <c r="AL9" s="10">
        <f>VLOOKUP(AL8,Assumptions!$D$71:$E$73,2,TRUE)</f>
        <v/>
      </c>
      <c r="AM9" s="10">
        <f>VLOOKUP(AM8,Assumptions!$D$71:$E$73,2,TRUE)</f>
        <v/>
      </c>
      <c r="AN9" s="10">
        <f>VLOOKUP(AN8,Assumptions!$D$71:$E$73,2,TRUE)</f>
        <v/>
      </c>
      <c r="AO9" s="10">
        <f>VLOOKUP(AO8,Assumptions!$D$71:$E$73,2,TRUE)</f>
        <v/>
      </c>
      <c r="AP9" s="10">
        <f>VLOOKUP(AP8,Assumptions!$D$71:$E$73,2,TRUE)</f>
        <v/>
      </c>
      <c r="AQ9" s="10">
        <f>VLOOKUP(AQ8,Assumptions!$D$71:$E$73,2,TRUE)</f>
        <v/>
      </c>
      <c r="AR9" s="10">
        <f>VLOOKUP(AR8,Assumptions!$D$71:$E$73,2,TRUE)</f>
        <v/>
      </c>
      <c r="AS9" s="10">
        <f>VLOOKUP(AS8,Assumptions!$D$71:$E$73,2,TRUE)</f>
        <v/>
      </c>
      <c r="AT9" s="10">
        <f>VLOOKUP(AT8,Assumptions!$D$71:$E$73,2,TRUE)</f>
        <v/>
      </c>
      <c r="AU9" s="10">
        <f>VLOOKUP(AU8,Assumptions!$D$71:$E$73,2,TRUE)</f>
        <v/>
      </c>
      <c r="AV9" s="10">
        <f>VLOOKUP(AV8,Assumptions!$D$71:$E$73,2,TRUE)</f>
        <v/>
      </c>
      <c r="AW9" s="10">
        <f>VLOOKUP(AW8,Assumptions!$D$71:$E$73,2,TRUE)</f>
        <v/>
      </c>
      <c r="AX9" s="10">
        <f>VLOOKUP(AX8,Assumptions!$D$71:$E$73,2,TRUE)</f>
        <v/>
      </c>
      <c r="AY9" s="10">
        <f>VLOOKUP(AY8,Assumptions!$D$71:$E$73,2,TRUE)</f>
        <v/>
      </c>
      <c r="AZ9" s="10">
        <f>VLOOKUP(AZ8,Assumptions!$D$71:$E$73,2,TRUE)</f>
        <v/>
      </c>
      <c r="BA9" s="10">
        <f>VLOOKUP(BA8,Assumptions!$D$71:$E$73,2,TRUE)</f>
        <v/>
      </c>
      <c r="BB9" s="10">
        <f>VLOOKUP(BB8,Assumptions!$D$71:$E$73,2,TRUE)</f>
        <v/>
      </c>
      <c r="BC9" s="10">
        <f>VLOOKUP(BC8,Assumptions!$D$71:$E$73,2,TRUE)</f>
        <v/>
      </c>
      <c r="BD9" s="10">
        <f>VLOOKUP(BD8,Assumptions!$D$71:$E$73,2,TRUE)</f>
        <v/>
      </c>
      <c r="BE9" s="10">
        <f>VLOOKUP(BE8,Assumptions!$D$71:$E$73,2,TRUE)</f>
        <v/>
      </c>
      <c r="BF9" s="10">
        <f>VLOOKUP(BF8,Assumptions!$D$71:$E$73,2,TRUE)</f>
        <v/>
      </c>
      <c r="BG9" s="10">
        <f>VLOOKUP(BG8,Assumptions!$D$71:$E$73,2,TRUE)</f>
        <v/>
      </c>
      <c r="BH9" s="10">
        <f>VLOOKUP(BH8,Assumptions!$D$71:$E$73,2,TRUE)</f>
        <v/>
      </c>
      <c r="BI9" s="10">
        <f>VLOOKUP(BI8,Assumptions!$D$71:$E$73,2,TRUE)</f>
        <v/>
      </c>
      <c r="BJ9" s="10">
        <f>VLOOKUP(BJ8,Assumptions!$D$71:$E$73,2,TRUE)</f>
        <v/>
      </c>
      <c r="BK9" s="10">
        <f>VLOOKUP(BK8,Assumptions!$D$71:$E$73,2,TRUE)</f>
        <v/>
      </c>
      <c r="BL9" s="10">
        <f>VLOOKUP(BL8,Assumptions!$D$71:$E$73,2,TRUE)</f>
        <v/>
      </c>
      <c r="BN9" s="50">
        <f>IFERROR(AVERAGE(E9:P9),0)</f>
        <v/>
      </c>
      <c r="BO9" s="50">
        <f>IFERROR(AVERAGE(Q9:AB9),0)</f>
        <v/>
      </c>
      <c r="BP9" s="50">
        <f>IFERROR(AVERAGE(AC9:AN9),0)</f>
        <v/>
      </c>
      <c r="BQ9" s="50">
        <f>IFERROR(AVERAGE(AO9:AZ9),0)</f>
        <v/>
      </c>
      <c r="BR9" s="50">
        <f>IFERROR(AVERAGE(BA9:BL9),0)</f>
        <v/>
      </c>
      <c r="BT9" s="32" t="inlineStr">
        <is>
          <t>EUR9,984 below 5,000 units, EUR7,069 from 5,000, EUR4,998 from 10,000</t>
        </is>
      </c>
    </row>
    <row r="10">
      <c r="B10" s="6" t="inlineStr">
        <is>
          <t>Outdoor unit cost per unit</t>
        </is>
      </c>
      <c r="C10" s="17" t="inlineStr">
        <is>
          <t>EUR/unit</t>
        </is>
      </c>
      <c r="E10" s="10">
        <f>VLOOKUP(E8,Assumptions!$D$71:$F$73,3,TRUE)</f>
        <v/>
      </c>
      <c r="F10" s="10">
        <f>VLOOKUP(F8,Assumptions!$D$71:$F$73,3,TRUE)</f>
        <v/>
      </c>
      <c r="G10" s="10">
        <f>VLOOKUP(G8,Assumptions!$D$71:$F$73,3,TRUE)</f>
        <v/>
      </c>
      <c r="H10" s="10">
        <f>VLOOKUP(H8,Assumptions!$D$71:$F$73,3,TRUE)</f>
        <v/>
      </c>
      <c r="I10" s="10">
        <f>VLOOKUP(I8,Assumptions!$D$71:$F$73,3,TRUE)</f>
        <v/>
      </c>
      <c r="J10" s="10">
        <f>VLOOKUP(J8,Assumptions!$D$71:$F$73,3,TRUE)</f>
        <v/>
      </c>
      <c r="K10" s="10">
        <f>VLOOKUP(K8,Assumptions!$D$71:$F$73,3,TRUE)</f>
        <v/>
      </c>
      <c r="L10" s="10">
        <f>VLOOKUP(L8,Assumptions!$D$71:$F$73,3,TRUE)</f>
        <v/>
      </c>
      <c r="M10" s="10">
        <f>VLOOKUP(M8,Assumptions!$D$71:$F$73,3,TRUE)</f>
        <v/>
      </c>
      <c r="N10" s="10">
        <f>VLOOKUP(N8,Assumptions!$D$71:$F$73,3,TRUE)</f>
        <v/>
      </c>
      <c r="O10" s="10">
        <f>VLOOKUP(O8,Assumptions!$D$71:$F$73,3,TRUE)</f>
        <v/>
      </c>
      <c r="P10" s="10">
        <f>VLOOKUP(P8,Assumptions!$D$71:$F$73,3,TRUE)</f>
        <v/>
      </c>
      <c r="Q10" s="10">
        <f>VLOOKUP(Q8,Assumptions!$D$71:$F$73,3,TRUE)</f>
        <v/>
      </c>
      <c r="R10" s="10">
        <f>VLOOKUP(R8,Assumptions!$D$71:$F$73,3,TRUE)</f>
        <v/>
      </c>
      <c r="S10" s="10">
        <f>VLOOKUP(S8,Assumptions!$D$71:$F$73,3,TRUE)</f>
        <v/>
      </c>
      <c r="T10" s="10">
        <f>VLOOKUP(T8,Assumptions!$D$71:$F$73,3,TRUE)</f>
        <v/>
      </c>
      <c r="U10" s="10">
        <f>VLOOKUP(U8,Assumptions!$D$71:$F$73,3,TRUE)</f>
        <v/>
      </c>
      <c r="V10" s="10">
        <f>VLOOKUP(V8,Assumptions!$D$71:$F$73,3,TRUE)</f>
        <v/>
      </c>
      <c r="W10" s="10">
        <f>VLOOKUP(W8,Assumptions!$D$71:$F$73,3,TRUE)</f>
        <v/>
      </c>
      <c r="X10" s="10">
        <f>VLOOKUP(X8,Assumptions!$D$71:$F$73,3,TRUE)</f>
        <v/>
      </c>
      <c r="Y10" s="10">
        <f>VLOOKUP(Y8,Assumptions!$D$71:$F$73,3,TRUE)</f>
        <v/>
      </c>
      <c r="Z10" s="10">
        <f>VLOOKUP(Z8,Assumptions!$D$71:$F$73,3,TRUE)</f>
        <v/>
      </c>
      <c r="AA10" s="10">
        <f>VLOOKUP(AA8,Assumptions!$D$71:$F$73,3,TRUE)</f>
        <v/>
      </c>
      <c r="AB10" s="10">
        <f>VLOOKUP(AB8,Assumptions!$D$71:$F$73,3,TRUE)</f>
        <v/>
      </c>
      <c r="AC10" s="10">
        <f>VLOOKUP(AC8,Assumptions!$D$71:$F$73,3,TRUE)</f>
        <v/>
      </c>
      <c r="AD10" s="10">
        <f>VLOOKUP(AD8,Assumptions!$D$71:$F$73,3,TRUE)</f>
        <v/>
      </c>
      <c r="AE10" s="10">
        <f>VLOOKUP(AE8,Assumptions!$D$71:$F$73,3,TRUE)</f>
        <v/>
      </c>
      <c r="AF10" s="10">
        <f>VLOOKUP(AF8,Assumptions!$D$71:$F$73,3,TRUE)</f>
        <v/>
      </c>
      <c r="AG10" s="10">
        <f>VLOOKUP(AG8,Assumptions!$D$71:$F$73,3,TRUE)</f>
        <v/>
      </c>
      <c r="AH10" s="10">
        <f>VLOOKUP(AH8,Assumptions!$D$71:$F$73,3,TRUE)</f>
        <v/>
      </c>
      <c r="AI10" s="10">
        <f>VLOOKUP(AI8,Assumptions!$D$71:$F$73,3,TRUE)</f>
        <v/>
      </c>
      <c r="AJ10" s="10">
        <f>VLOOKUP(AJ8,Assumptions!$D$71:$F$73,3,TRUE)</f>
        <v/>
      </c>
      <c r="AK10" s="10">
        <f>VLOOKUP(AK8,Assumptions!$D$71:$F$73,3,TRUE)</f>
        <v/>
      </c>
      <c r="AL10" s="10">
        <f>VLOOKUP(AL8,Assumptions!$D$71:$F$73,3,TRUE)</f>
        <v/>
      </c>
      <c r="AM10" s="10">
        <f>VLOOKUP(AM8,Assumptions!$D$71:$F$73,3,TRUE)</f>
        <v/>
      </c>
      <c r="AN10" s="10">
        <f>VLOOKUP(AN8,Assumptions!$D$71:$F$73,3,TRUE)</f>
        <v/>
      </c>
      <c r="AO10" s="10">
        <f>VLOOKUP(AO8,Assumptions!$D$71:$F$73,3,TRUE)</f>
        <v/>
      </c>
      <c r="AP10" s="10">
        <f>VLOOKUP(AP8,Assumptions!$D$71:$F$73,3,TRUE)</f>
        <v/>
      </c>
      <c r="AQ10" s="10">
        <f>VLOOKUP(AQ8,Assumptions!$D$71:$F$73,3,TRUE)</f>
        <v/>
      </c>
      <c r="AR10" s="10">
        <f>VLOOKUP(AR8,Assumptions!$D$71:$F$73,3,TRUE)</f>
        <v/>
      </c>
      <c r="AS10" s="10">
        <f>VLOOKUP(AS8,Assumptions!$D$71:$F$73,3,TRUE)</f>
        <v/>
      </c>
      <c r="AT10" s="10">
        <f>VLOOKUP(AT8,Assumptions!$D$71:$F$73,3,TRUE)</f>
        <v/>
      </c>
      <c r="AU10" s="10">
        <f>VLOOKUP(AU8,Assumptions!$D$71:$F$73,3,TRUE)</f>
        <v/>
      </c>
      <c r="AV10" s="10">
        <f>VLOOKUP(AV8,Assumptions!$D$71:$F$73,3,TRUE)</f>
        <v/>
      </c>
      <c r="AW10" s="10">
        <f>VLOOKUP(AW8,Assumptions!$D$71:$F$73,3,TRUE)</f>
        <v/>
      </c>
      <c r="AX10" s="10">
        <f>VLOOKUP(AX8,Assumptions!$D$71:$F$73,3,TRUE)</f>
        <v/>
      </c>
      <c r="AY10" s="10">
        <f>VLOOKUP(AY8,Assumptions!$D$71:$F$73,3,TRUE)</f>
        <v/>
      </c>
      <c r="AZ10" s="10">
        <f>VLOOKUP(AZ8,Assumptions!$D$71:$F$73,3,TRUE)</f>
        <v/>
      </c>
      <c r="BA10" s="10">
        <f>VLOOKUP(BA8,Assumptions!$D$71:$F$73,3,TRUE)</f>
        <v/>
      </c>
      <c r="BB10" s="10">
        <f>VLOOKUP(BB8,Assumptions!$D$71:$F$73,3,TRUE)</f>
        <v/>
      </c>
      <c r="BC10" s="10">
        <f>VLOOKUP(BC8,Assumptions!$D$71:$F$73,3,TRUE)</f>
        <v/>
      </c>
      <c r="BD10" s="10">
        <f>VLOOKUP(BD8,Assumptions!$D$71:$F$73,3,TRUE)</f>
        <v/>
      </c>
      <c r="BE10" s="10">
        <f>VLOOKUP(BE8,Assumptions!$D$71:$F$73,3,TRUE)</f>
        <v/>
      </c>
      <c r="BF10" s="10">
        <f>VLOOKUP(BF8,Assumptions!$D$71:$F$73,3,TRUE)</f>
        <v/>
      </c>
      <c r="BG10" s="10">
        <f>VLOOKUP(BG8,Assumptions!$D$71:$F$73,3,TRUE)</f>
        <v/>
      </c>
      <c r="BH10" s="10">
        <f>VLOOKUP(BH8,Assumptions!$D$71:$F$73,3,TRUE)</f>
        <v/>
      </c>
      <c r="BI10" s="10">
        <f>VLOOKUP(BI8,Assumptions!$D$71:$F$73,3,TRUE)</f>
        <v/>
      </c>
      <c r="BJ10" s="10">
        <f>VLOOKUP(BJ8,Assumptions!$D$71:$F$73,3,TRUE)</f>
        <v/>
      </c>
      <c r="BK10" s="10">
        <f>VLOOKUP(BK8,Assumptions!$D$71:$F$73,3,TRUE)</f>
        <v/>
      </c>
      <c r="BL10" s="10">
        <f>VLOOKUP(BL8,Assumptions!$D$71:$F$73,3,TRUE)</f>
        <v/>
      </c>
      <c r="BN10" s="50">
        <f>IFERROR(AVERAGE(E10:P10),0)</f>
        <v/>
      </c>
      <c r="BO10" s="50">
        <f>IFERROR(AVERAGE(Q10:AB10),0)</f>
        <v/>
      </c>
      <c r="BP10" s="50">
        <f>IFERROR(AVERAGE(AC10:AN10),0)</f>
        <v/>
      </c>
      <c r="BQ10" s="50">
        <f>IFERROR(AVERAGE(AO10:AZ10),0)</f>
        <v/>
      </c>
      <c r="BR10" s="50">
        <f>IFERROR(AVERAGE(BA10:BL10),0)</f>
        <v/>
      </c>
    </row>
    <row r="12">
      <c r="B12" s="15" t="inlineStr">
        <is>
          <t>COST OF GOODS SOLD</t>
        </is>
      </c>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c r="BF12" s="1" t="n"/>
      <c r="BG12" s="1" t="n"/>
      <c r="BH12" s="1" t="n"/>
      <c r="BI12" s="1" t="n"/>
      <c r="BJ12" s="1" t="n"/>
      <c r="BK12" s="1" t="n"/>
      <c r="BL12" s="1" t="n"/>
      <c r="BM12" s="1" t="n"/>
      <c r="BN12" s="1" t="n"/>
      <c r="BO12" s="1" t="n"/>
      <c r="BP12" s="1" t="n"/>
      <c r="BQ12" s="1" t="n"/>
      <c r="BR12" s="1" t="n"/>
      <c r="BS12" s="1" t="n"/>
    </row>
    <row r="13">
      <c r="B13" s="6" t="inlineStr">
        <is>
          <t>Turbineketel</t>
        </is>
      </c>
      <c r="C13" s="17" t="inlineStr">
        <is>
          <t>EUR</t>
        </is>
      </c>
      <c r="E13" s="10">
        <f>'Revenue Forecast'!E39*E9</f>
        <v/>
      </c>
      <c r="F13" s="10">
        <f>'Revenue Forecast'!F39*F9</f>
        <v/>
      </c>
      <c r="G13" s="10">
        <f>'Revenue Forecast'!G39*G9</f>
        <v/>
      </c>
      <c r="H13" s="10">
        <f>'Revenue Forecast'!H39*H9</f>
        <v/>
      </c>
      <c r="I13" s="10">
        <f>'Revenue Forecast'!I39*I9</f>
        <v/>
      </c>
      <c r="J13" s="10">
        <f>'Revenue Forecast'!J39*J9</f>
        <v/>
      </c>
      <c r="K13" s="10">
        <f>'Revenue Forecast'!K39*K9</f>
        <v/>
      </c>
      <c r="L13" s="10">
        <f>'Revenue Forecast'!L39*L9</f>
        <v/>
      </c>
      <c r="M13" s="10">
        <f>'Revenue Forecast'!M39*M9</f>
        <v/>
      </c>
      <c r="N13" s="10">
        <f>'Revenue Forecast'!N39*N9</f>
        <v/>
      </c>
      <c r="O13" s="10">
        <f>'Revenue Forecast'!O39*O9</f>
        <v/>
      </c>
      <c r="P13" s="10">
        <f>'Revenue Forecast'!P39*P9</f>
        <v/>
      </c>
      <c r="Q13" s="10">
        <f>'Revenue Forecast'!Q39*Q9</f>
        <v/>
      </c>
      <c r="R13" s="10">
        <f>'Revenue Forecast'!R39*R9</f>
        <v/>
      </c>
      <c r="S13" s="10">
        <f>'Revenue Forecast'!S39*S9</f>
        <v/>
      </c>
      <c r="T13" s="10">
        <f>'Revenue Forecast'!T39*T9</f>
        <v/>
      </c>
      <c r="U13" s="10">
        <f>'Revenue Forecast'!U39*U9</f>
        <v/>
      </c>
      <c r="V13" s="10">
        <f>'Revenue Forecast'!V39*V9</f>
        <v/>
      </c>
      <c r="W13" s="10">
        <f>'Revenue Forecast'!W39*W9</f>
        <v/>
      </c>
      <c r="X13" s="10">
        <f>'Revenue Forecast'!X39*X9</f>
        <v/>
      </c>
      <c r="Y13" s="10">
        <f>'Revenue Forecast'!Y39*Y9</f>
        <v/>
      </c>
      <c r="Z13" s="10">
        <f>'Revenue Forecast'!Z39*Z9</f>
        <v/>
      </c>
      <c r="AA13" s="10">
        <f>'Revenue Forecast'!AA39*AA9</f>
        <v/>
      </c>
      <c r="AB13" s="10">
        <f>'Revenue Forecast'!AB39*AB9</f>
        <v/>
      </c>
      <c r="AC13" s="10">
        <f>'Revenue Forecast'!AC39*AC9</f>
        <v/>
      </c>
      <c r="AD13" s="10">
        <f>'Revenue Forecast'!AD39*AD9</f>
        <v/>
      </c>
      <c r="AE13" s="10">
        <f>'Revenue Forecast'!AE39*AE9</f>
        <v/>
      </c>
      <c r="AF13" s="10">
        <f>'Revenue Forecast'!AF39*AF9</f>
        <v/>
      </c>
      <c r="AG13" s="10">
        <f>'Revenue Forecast'!AG39*AG9</f>
        <v/>
      </c>
      <c r="AH13" s="10">
        <f>'Revenue Forecast'!AH39*AH9</f>
        <v/>
      </c>
      <c r="AI13" s="10">
        <f>'Revenue Forecast'!AI39*AI9</f>
        <v/>
      </c>
      <c r="AJ13" s="10">
        <f>'Revenue Forecast'!AJ39*AJ9</f>
        <v/>
      </c>
      <c r="AK13" s="10">
        <f>'Revenue Forecast'!AK39*AK9</f>
        <v/>
      </c>
      <c r="AL13" s="10">
        <f>'Revenue Forecast'!AL39*AL9</f>
        <v/>
      </c>
      <c r="AM13" s="10">
        <f>'Revenue Forecast'!AM39*AM9</f>
        <v/>
      </c>
      <c r="AN13" s="10">
        <f>'Revenue Forecast'!AN39*AN9</f>
        <v/>
      </c>
      <c r="AO13" s="10">
        <f>'Revenue Forecast'!AO39*AO9</f>
        <v/>
      </c>
      <c r="AP13" s="10">
        <f>'Revenue Forecast'!AP39*AP9</f>
        <v/>
      </c>
      <c r="AQ13" s="10">
        <f>'Revenue Forecast'!AQ39*AQ9</f>
        <v/>
      </c>
      <c r="AR13" s="10">
        <f>'Revenue Forecast'!AR39*AR9</f>
        <v/>
      </c>
      <c r="AS13" s="10">
        <f>'Revenue Forecast'!AS39*AS9</f>
        <v/>
      </c>
      <c r="AT13" s="10">
        <f>'Revenue Forecast'!AT39*AT9</f>
        <v/>
      </c>
      <c r="AU13" s="10">
        <f>'Revenue Forecast'!AU39*AU9</f>
        <v/>
      </c>
      <c r="AV13" s="10">
        <f>'Revenue Forecast'!AV39*AV9</f>
        <v/>
      </c>
      <c r="AW13" s="10">
        <f>'Revenue Forecast'!AW39*AW9</f>
        <v/>
      </c>
      <c r="AX13" s="10">
        <f>'Revenue Forecast'!AX39*AX9</f>
        <v/>
      </c>
      <c r="AY13" s="10">
        <f>'Revenue Forecast'!AY39*AY9</f>
        <v/>
      </c>
      <c r="AZ13" s="10">
        <f>'Revenue Forecast'!AZ39*AZ9</f>
        <v/>
      </c>
      <c r="BA13" s="10">
        <f>'Revenue Forecast'!BA39*BA9</f>
        <v/>
      </c>
      <c r="BB13" s="10">
        <f>'Revenue Forecast'!BB39*BB9</f>
        <v/>
      </c>
      <c r="BC13" s="10">
        <f>'Revenue Forecast'!BC39*BC9</f>
        <v/>
      </c>
      <c r="BD13" s="10">
        <f>'Revenue Forecast'!BD39*BD9</f>
        <v/>
      </c>
      <c r="BE13" s="10">
        <f>'Revenue Forecast'!BE39*BE9</f>
        <v/>
      </c>
      <c r="BF13" s="10">
        <f>'Revenue Forecast'!BF39*BF9</f>
        <v/>
      </c>
      <c r="BG13" s="10">
        <f>'Revenue Forecast'!BG39*BG9</f>
        <v/>
      </c>
      <c r="BH13" s="10">
        <f>'Revenue Forecast'!BH39*BH9</f>
        <v/>
      </c>
      <c r="BI13" s="10">
        <f>'Revenue Forecast'!BI39*BI9</f>
        <v/>
      </c>
      <c r="BJ13" s="10">
        <f>'Revenue Forecast'!BJ39*BJ9</f>
        <v/>
      </c>
      <c r="BK13" s="10">
        <f>'Revenue Forecast'!BK39*BK9</f>
        <v/>
      </c>
      <c r="BL13" s="10">
        <f>'Revenue Forecast'!BL39*BL9</f>
        <v/>
      </c>
      <c r="BN13" s="50">
        <f>SUM(E13:P13)</f>
        <v/>
      </c>
      <c r="BO13" s="50">
        <f>SUM(Q13:AB13)</f>
        <v/>
      </c>
      <c r="BP13" s="50">
        <f>SUM(AC13:AN13)</f>
        <v/>
      </c>
      <c r="BQ13" s="50">
        <f>SUM(AO13:AZ13)</f>
        <v/>
      </c>
      <c r="BR13" s="50">
        <f>SUM(BA13:BL13)</f>
        <v/>
      </c>
    </row>
    <row r="14">
      <c r="B14" s="6" t="inlineStr">
        <is>
          <t>Combi+</t>
        </is>
      </c>
      <c r="C14" s="17" t="inlineStr">
        <is>
          <t>EUR</t>
        </is>
      </c>
      <c r="E14" s="10">
        <f>'Revenue Forecast'!E40*(E9+E10+Assumptions!$D$75)</f>
        <v/>
      </c>
      <c r="F14" s="10">
        <f>'Revenue Forecast'!F40*(F9+F10+Assumptions!$D$75)</f>
        <v/>
      </c>
      <c r="G14" s="10">
        <f>'Revenue Forecast'!G40*(G9+G10+Assumptions!$D$75)</f>
        <v/>
      </c>
      <c r="H14" s="10">
        <f>'Revenue Forecast'!H40*(H9+H10+Assumptions!$D$75)</f>
        <v/>
      </c>
      <c r="I14" s="10">
        <f>'Revenue Forecast'!I40*(I9+I10+Assumptions!$D$75)</f>
        <v/>
      </c>
      <c r="J14" s="10">
        <f>'Revenue Forecast'!J40*(J9+J10+Assumptions!$D$75)</f>
        <v/>
      </c>
      <c r="K14" s="10">
        <f>'Revenue Forecast'!K40*(K9+K10+Assumptions!$D$75)</f>
        <v/>
      </c>
      <c r="L14" s="10">
        <f>'Revenue Forecast'!L40*(L9+L10+Assumptions!$D$75)</f>
        <v/>
      </c>
      <c r="M14" s="10">
        <f>'Revenue Forecast'!M40*(M9+M10+Assumptions!$D$75)</f>
        <v/>
      </c>
      <c r="N14" s="10">
        <f>'Revenue Forecast'!N40*(N9+N10+Assumptions!$D$75)</f>
        <v/>
      </c>
      <c r="O14" s="10">
        <f>'Revenue Forecast'!O40*(O9+O10+Assumptions!$D$75)</f>
        <v/>
      </c>
      <c r="P14" s="10">
        <f>'Revenue Forecast'!P40*(P9+P10+Assumptions!$D$75)</f>
        <v/>
      </c>
      <c r="Q14" s="10">
        <f>'Revenue Forecast'!Q40*(Q9+Q10+Assumptions!$D$75)</f>
        <v/>
      </c>
      <c r="R14" s="10">
        <f>'Revenue Forecast'!R40*(R9+R10+Assumptions!$D$75)</f>
        <v/>
      </c>
      <c r="S14" s="10">
        <f>'Revenue Forecast'!S40*(S9+S10+Assumptions!$D$75)</f>
        <v/>
      </c>
      <c r="T14" s="10">
        <f>'Revenue Forecast'!T40*(T9+T10+Assumptions!$D$75)</f>
        <v/>
      </c>
      <c r="U14" s="10">
        <f>'Revenue Forecast'!U40*(U9+U10+Assumptions!$D$75)</f>
        <v/>
      </c>
      <c r="V14" s="10">
        <f>'Revenue Forecast'!V40*(V9+V10+Assumptions!$D$75)</f>
        <v/>
      </c>
      <c r="W14" s="10">
        <f>'Revenue Forecast'!W40*(W9+W10+Assumptions!$D$75)</f>
        <v/>
      </c>
      <c r="X14" s="10">
        <f>'Revenue Forecast'!X40*(X9+X10+Assumptions!$D$75)</f>
        <v/>
      </c>
      <c r="Y14" s="10">
        <f>'Revenue Forecast'!Y40*(Y9+Y10+Assumptions!$D$75)</f>
        <v/>
      </c>
      <c r="Z14" s="10">
        <f>'Revenue Forecast'!Z40*(Z9+Z10+Assumptions!$D$75)</f>
        <v/>
      </c>
      <c r="AA14" s="10">
        <f>'Revenue Forecast'!AA40*(AA9+AA10+Assumptions!$D$75)</f>
        <v/>
      </c>
      <c r="AB14" s="10">
        <f>'Revenue Forecast'!AB40*(AB9+AB10+Assumptions!$D$75)</f>
        <v/>
      </c>
      <c r="AC14" s="10">
        <f>'Revenue Forecast'!AC40*(AC9+AC10+Assumptions!$D$75)</f>
        <v/>
      </c>
      <c r="AD14" s="10">
        <f>'Revenue Forecast'!AD40*(AD9+AD10+Assumptions!$D$75)</f>
        <v/>
      </c>
      <c r="AE14" s="10">
        <f>'Revenue Forecast'!AE40*(AE9+AE10+Assumptions!$D$75)</f>
        <v/>
      </c>
      <c r="AF14" s="10">
        <f>'Revenue Forecast'!AF40*(AF9+AF10+Assumptions!$D$75)</f>
        <v/>
      </c>
      <c r="AG14" s="10">
        <f>'Revenue Forecast'!AG40*(AG9+AG10+Assumptions!$D$75)</f>
        <v/>
      </c>
      <c r="AH14" s="10">
        <f>'Revenue Forecast'!AH40*(AH9+AH10+Assumptions!$D$75)</f>
        <v/>
      </c>
      <c r="AI14" s="10">
        <f>'Revenue Forecast'!AI40*(AI9+AI10+Assumptions!$D$75)</f>
        <v/>
      </c>
      <c r="AJ14" s="10">
        <f>'Revenue Forecast'!AJ40*(AJ9+AJ10+Assumptions!$D$75)</f>
        <v/>
      </c>
      <c r="AK14" s="10">
        <f>'Revenue Forecast'!AK40*(AK9+AK10+Assumptions!$D$75)</f>
        <v/>
      </c>
      <c r="AL14" s="10">
        <f>'Revenue Forecast'!AL40*(AL9+AL10+Assumptions!$D$75)</f>
        <v/>
      </c>
      <c r="AM14" s="10">
        <f>'Revenue Forecast'!AM40*(AM9+AM10+Assumptions!$D$75)</f>
        <v/>
      </c>
      <c r="AN14" s="10">
        <f>'Revenue Forecast'!AN40*(AN9+AN10+Assumptions!$D$75)</f>
        <v/>
      </c>
      <c r="AO14" s="10">
        <f>'Revenue Forecast'!AO40*(AO9+AO10+Assumptions!$D$75)</f>
        <v/>
      </c>
      <c r="AP14" s="10">
        <f>'Revenue Forecast'!AP40*(AP9+AP10+Assumptions!$D$75)</f>
        <v/>
      </c>
      <c r="AQ14" s="10">
        <f>'Revenue Forecast'!AQ40*(AQ9+AQ10+Assumptions!$D$75)</f>
        <v/>
      </c>
      <c r="AR14" s="10">
        <f>'Revenue Forecast'!AR40*(AR9+AR10+Assumptions!$D$75)</f>
        <v/>
      </c>
      <c r="AS14" s="10">
        <f>'Revenue Forecast'!AS40*(AS9+AS10+Assumptions!$D$75)</f>
        <v/>
      </c>
      <c r="AT14" s="10">
        <f>'Revenue Forecast'!AT40*(AT9+AT10+Assumptions!$D$75)</f>
        <v/>
      </c>
      <c r="AU14" s="10">
        <f>'Revenue Forecast'!AU40*(AU9+AU10+Assumptions!$D$75)</f>
        <v/>
      </c>
      <c r="AV14" s="10">
        <f>'Revenue Forecast'!AV40*(AV9+AV10+Assumptions!$D$75)</f>
        <v/>
      </c>
      <c r="AW14" s="10">
        <f>'Revenue Forecast'!AW40*(AW9+AW10+Assumptions!$D$75)</f>
        <v/>
      </c>
      <c r="AX14" s="10">
        <f>'Revenue Forecast'!AX40*(AX9+AX10+Assumptions!$D$75)</f>
        <v/>
      </c>
      <c r="AY14" s="10">
        <f>'Revenue Forecast'!AY40*(AY9+AY10+Assumptions!$D$75)</f>
        <v/>
      </c>
      <c r="AZ14" s="10">
        <f>'Revenue Forecast'!AZ40*(AZ9+AZ10+Assumptions!$D$75)</f>
        <v/>
      </c>
      <c r="BA14" s="10">
        <f>'Revenue Forecast'!BA40*(BA9+BA10+Assumptions!$D$75)</f>
        <v/>
      </c>
      <c r="BB14" s="10">
        <f>'Revenue Forecast'!BB40*(BB9+BB10+Assumptions!$D$75)</f>
        <v/>
      </c>
      <c r="BC14" s="10">
        <f>'Revenue Forecast'!BC40*(BC9+BC10+Assumptions!$D$75)</f>
        <v/>
      </c>
      <c r="BD14" s="10">
        <f>'Revenue Forecast'!BD40*(BD9+BD10+Assumptions!$D$75)</f>
        <v/>
      </c>
      <c r="BE14" s="10">
        <f>'Revenue Forecast'!BE40*(BE9+BE10+Assumptions!$D$75)</f>
        <v/>
      </c>
      <c r="BF14" s="10">
        <f>'Revenue Forecast'!BF40*(BF9+BF10+Assumptions!$D$75)</f>
        <v/>
      </c>
      <c r="BG14" s="10">
        <f>'Revenue Forecast'!BG40*(BG9+BG10+Assumptions!$D$75)</f>
        <v/>
      </c>
      <c r="BH14" s="10">
        <f>'Revenue Forecast'!BH40*(BH9+BH10+Assumptions!$D$75)</f>
        <v/>
      </c>
      <c r="BI14" s="10">
        <f>'Revenue Forecast'!BI40*(BI9+BI10+Assumptions!$D$75)</f>
        <v/>
      </c>
      <c r="BJ14" s="10">
        <f>'Revenue Forecast'!BJ40*(BJ9+BJ10+Assumptions!$D$75)</f>
        <v/>
      </c>
      <c r="BK14" s="10">
        <f>'Revenue Forecast'!BK40*(BK9+BK10+Assumptions!$D$75)</f>
        <v/>
      </c>
      <c r="BL14" s="10">
        <f>'Revenue Forecast'!BL40*(BL9+BL10+Assumptions!$D$75)</f>
        <v/>
      </c>
      <c r="BN14" s="50">
        <f>SUM(E14:P14)</f>
        <v/>
      </c>
      <c r="BO14" s="50">
        <f>SUM(Q14:AB14)</f>
        <v/>
      </c>
      <c r="BP14" s="50">
        <f>SUM(AC14:AN14)</f>
        <v/>
      </c>
      <c r="BQ14" s="50">
        <f>SUM(AO14:AZ14)</f>
        <v/>
      </c>
      <c r="BR14" s="50">
        <f>SUM(BA14:BL14)</f>
        <v/>
      </c>
      <c r="BT14" s="32" t="inlineStr">
        <is>
          <t>ketel plus outdoor unit plus inbound shipping</t>
        </is>
      </c>
    </row>
    <row r="15">
      <c r="B15" s="6" t="inlineStr">
        <is>
          <t>Upsell basket</t>
        </is>
      </c>
      <c r="C15" s="17" t="inlineStr">
        <is>
          <t>EUR</t>
        </is>
      </c>
      <c r="E15" s="10">
        <f>'Revenue Forecast'!E34*Assumptions!$D$33</f>
        <v/>
      </c>
      <c r="F15" s="10">
        <f>'Revenue Forecast'!F34*Assumptions!$D$33</f>
        <v/>
      </c>
      <c r="G15" s="10">
        <f>'Revenue Forecast'!G34*Assumptions!$D$33</f>
        <v/>
      </c>
      <c r="H15" s="10">
        <f>'Revenue Forecast'!H34*Assumptions!$D$33</f>
        <v/>
      </c>
      <c r="I15" s="10">
        <f>'Revenue Forecast'!I34*Assumptions!$D$33</f>
        <v/>
      </c>
      <c r="J15" s="10">
        <f>'Revenue Forecast'!J34*Assumptions!$D$33</f>
        <v/>
      </c>
      <c r="K15" s="10">
        <f>'Revenue Forecast'!K34*Assumptions!$D$33</f>
        <v/>
      </c>
      <c r="L15" s="10">
        <f>'Revenue Forecast'!L34*Assumptions!$D$33</f>
        <v/>
      </c>
      <c r="M15" s="10">
        <f>'Revenue Forecast'!M34*Assumptions!$D$33</f>
        <v/>
      </c>
      <c r="N15" s="10">
        <f>'Revenue Forecast'!N34*Assumptions!$D$33</f>
        <v/>
      </c>
      <c r="O15" s="10">
        <f>'Revenue Forecast'!O34*Assumptions!$D$33</f>
        <v/>
      </c>
      <c r="P15" s="10">
        <f>'Revenue Forecast'!P34*Assumptions!$D$33</f>
        <v/>
      </c>
      <c r="Q15" s="10">
        <f>'Revenue Forecast'!Q34*Assumptions!$D$33</f>
        <v/>
      </c>
      <c r="R15" s="10">
        <f>'Revenue Forecast'!R34*Assumptions!$D$33</f>
        <v/>
      </c>
      <c r="S15" s="10">
        <f>'Revenue Forecast'!S34*Assumptions!$D$33</f>
        <v/>
      </c>
      <c r="T15" s="10">
        <f>'Revenue Forecast'!T34*Assumptions!$D$33</f>
        <v/>
      </c>
      <c r="U15" s="10">
        <f>'Revenue Forecast'!U34*Assumptions!$D$33</f>
        <v/>
      </c>
      <c r="V15" s="10">
        <f>'Revenue Forecast'!V34*Assumptions!$D$33</f>
        <v/>
      </c>
      <c r="W15" s="10">
        <f>'Revenue Forecast'!W34*Assumptions!$D$33</f>
        <v/>
      </c>
      <c r="X15" s="10">
        <f>'Revenue Forecast'!X34*Assumptions!$D$33</f>
        <v/>
      </c>
      <c r="Y15" s="10">
        <f>'Revenue Forecast'!Y34*Assumptions!$D$33</f>
        <v/>
      </c>
      <c r="Z15" s="10">
        <f>'Revenue Forecast'!Z34*Assumptions!$D$33</f>
        <v/>
      </c>
      <c r="AA15" s="10">
        <f>'Revenue Forecast'!AA34*Assumptions!$D$33</f>
        <v/>
      </c>
      <c r="AB15" s="10">
        <f>'Revenue Forecast'!AB34*Assumptions!$D$33</f>
        <v/>
      </c>
      <c r="AC15" s="10">
        <f>'Revenue Forecast'!AC34*Assumptions!$D$33</f>
        <v/>
      </c>
      <c r="AD15" s="10">
        <f>'Revenue Forecast'!AD34*Assumptions!$D$33</f>
        <v/>
      </c>
      <c r="AE15" s="10">
        <f>'Revenue Forecast'!AE34*Assumptions!$D$33</f>
        <v/>
      </c>
      <c r="AF15" s="10">
        <f>'Revenue Forecast'!AF34*Assumptions!$D$33</f>
        <v/>
      </c>
      <c r="AG15" s="10">
        <f>'Revenue Forecast'!AG34*Assumptions!$D$33</f>
        <v/>
      </c>
      <c r="AH15" s="10">
        <f>'Revenue Forecast'!AH34*Assumptions!$D$33</f>
        <v/>
      </c>
      <c r="AI15" s="10">
        <f>'Revenue Forecast'!AI34*Assumptions!$D$33</f>
        <v/>
      </c>
      <c r="AJ15" s="10">
        <f>'Revenue Forecast'!AJ34*Assumptions!$D$33</f>
        <v/>
      </c>
      <c r="AK15" s="10">
        <f>'Revenue Forecast'!AK34*Assumptions!$D$33</f>
        <v/>
      </c>
      <c r="AL15" s="10">
        <f>'Revenue Forecast'!AL34*Assumptions!$D$33</f>
        <v/>
      </c>
      <c r="AM15" s="10">
        <f>'Revenue Forecast'!AM34*Assumptions!$D$33</f>
        <v/>
      </c>
      <c r="AN15" s="10">
        <f>'Revenue Forecast'!AN34*Assumptions!$D$33</f>
        <v/>
      </c>
      <c r="AO15" s="10">
        <f>'Revenue Forecast'!AO34*Assumptions!$D$33</f>
        <v/>
      </c>
      <c r="AP15" s="10">
        <f>'Revenue Forecast'!AP34*Assumptions!$D$33</f>
        <v/>
      </c>
      <c r="AQ15" s="10">
        <f>'Revenue Forecast'!AQ34*Assumptions!$D$33</f>
        <v/>
      </c>
      <c r="AR15" s="10">
        <f>'Revenue Forecast'!AR34*Assumptions!$D$33</f>
        <v/>
      </c>
      <c r="AS15" s="10">
        <f>'Revenue Forecast'!AS34*Assumptions!$D$33</f>
        <v/>
      </c>
      <c r="AT15" s="10">
        <f>'Revenue Forecast'!AT34*Assumptions!$D$33</f>
        <v/>
      </c>
      <c r="AU15" s="10">
        <f>'Revenue Forecast'!AU34*Assumptions!$D$33</f>
        <v/>
      </c>
      <c r="AV15" s="10">
        <f>'Revenue Forecast'!AV34*Assumptions!$D$33</f>
        <v/>
      </c>
      <c r="AW15" s="10">
        <f>'Revenue Forecast'!AW34*Assumptions!$D$33</f>
        <v/>
      </c>
      <c r="AX15" s="10">
        <f>'Revenue Forecast'!AX34*Assumptions!$D$33</f>
        <v/>
      </c>
      <c r="AY15" s="10">
        <f>'Revenue Forecast'!AY34*Assumptions!$D$33</f>
        <v/>
      </c>
      <c r="AZ15" s="10">
        <f>'Revenue Forecast'!AZ34*Assumptions!$D$33</f>
        <v/>
      </c>
      <c r="BA15" s="10">
        <f>'Revenue Forecast'!BA34*Assumptions!$D$33</f>
        <v/>
      </c>
      <c r="BB15" s="10">
        <f>'Revenue Forecast'!BB34*Assumptions!$D$33</f>
        <v/>
      </c>
      <c r="BC15" s="10">
        <f>'Revenue Forecast'!BC34*Assumptions!$D$33</f>
        <v/>
      </c>
      <c r="BD15" s="10">
        <f>'Revenue Forecast'!BD34*Assumptions!$D$33</f>
        <v/>
      </c>
      <c r="BE15" s="10">
        <f>'Revenue Forecast'!BE34*Assumptions!$D$33</f>
        <v/>
      </c>
      <c r="BF15" s="10">
        <f>'Revenue Forecast'!BF34*Assumptions!$D$33</f>
        <v/>
      </c>
      <c r="BG15" s="10">
        <f>'Revenue Forecast'!BG34*Assumptions!$D$33</f>
        <v/>
      </c>
      <c r="BH15" s="10">
        <f>'Revenue Forecast'!BH34*Assumptions!$D$33</f>
        <v/>
      </c>
      <c r="BI15" s="10">
        <f>'Revenue Forecast'!BI34*Assumptions!$D$33</f>
        <v/>
      </c>
      <c r="BJ15" s="10">
        <f>'Revenue Forecast'!BJ34*Assumptions!$D$33</f>
        <v/>
      </c>
      <c r="BK15" s="10">
        <f>'Revenue Forecast'!BK34*Assumptions!$D$33</f>
        <v/>
      </c>
      <c r="BL15" s="10">
        <f>'Revenue Forecast'!BL34*Assumptions!$D$33</f>
        <v/>
      </c>
      <c r="BN15" s="50">
        <f>SUM(E15:P15)</f>
        <v/>
      </c>
      <c r="BO15" s="50">
        <f>SUM(Q15:AB15)</f>
        <v/>
      </c>
      <c r="BP15" s="50">
        <f>SUM(AC15:AN15)</f>
        <v/>
      </c>
      <c r="BQ15" s="50">
        <f>SUM(AO15:AZ15)</f>
        <v/>
      </c>
      <c r="BR15" s="50">
        <f>SUM(BA15:BL15)</f>
        <v/>
      </c>
    </row>
    <row r="16">
      <c r="B16" s="6" t="inlineStr">
        <is>
          <t>Installation (pass-through)</t>
        </is>
      </c>
      <c r="C16" s="17" t="inlineStr">
        <is>
          <t>EUR</t>
        </is>
      </c>
      <c r="E16" s="10">
        <f>'Revenue Forecast'!E47</f>
        <v/>
      </c>
      <c r="F16" s="10">
        <f>'Revenue Forecast'!F47</f>
        <v/>
      </c>
      <c r="G16" s="10">
        <f>'Revenue Forecast'!G47</f>
        <v/>
      </c>
      <c r="H16" s="10">
        <f>'Revenue Forecast'!H47</f>
        <v/>
      </c>
      <c r="I16" s="10">
        <f>'Revenue Forecast'!I47</f>
        <v/>
      </c>
      <c r="J16" s="10">
        <f>'Revenue Forecast'!J47</f>
        <v/>
      </c>
      <c r="K16" s="10">
        <f>'Revenue Forecast'!K47</f>
        <v/>
      </c>
      <c r="L16" s="10">
        <f>'Revenue Forecast'!L47</f>
        <v/>
      </c>
      <c r="M16" s="10">
        <f>'Revenue Forecast'!M47</f>
        <v/>
      </c>
      <c r="N16" s="10">
        <f>'Revenue Forecast'!N47</f>
        <v/>
      </c>
      <c r="O16" s="10">
        <f>'Revenue Forecast'!O47</f>
        <v/>
      </c>
      <c r="P16" s="10">
        <f>'Revenue Forecast'!P47</f>
        <v/>
      </c>
      <c r="Q16" s="10">
        <f>'Revenue Forecast'!Q47</f>
        <v/>
      </c>
      <c r="R16" s="10">
        <f>'Revenue Forecast'!R47</f>
        <v/>
      </c>
      <c r="S16" s="10">
        <f>'Revenue Forecast'!S47</f>
        <v/>
      </c>
      <c r="T16" s="10">
        <f>'Revenue Forecast'!T47</f>
        <v/>
      </c>
      <c r="U16" s="10">
        <f>'Revenue Forecast'!U47</f>
        <v/>
      </c>
      <c r="V16" s="10">
        <f>'Revenue Forecast'!V47</f>
        <v/>
      </c>
      <c r="W16" s="10">
        <f>'Revenue Forecast'!W47</f>
        <v/>
      </c>
      <c r="X16" s="10">
        <f>'Revenue Forecast'!X47</f>
        <v/>
      </c>
      <c r="Y16" s="10">
        <f>'Revenue Forecast'!Y47</f>
        <v/>
      </c>
      <c r="Z16" s="10">
        <f>'Revenue Forecast'!Z47</f>
        <v/>
      </c>
      <c r="AA16" s="10">
        <f>'Revenue Forecast'!AA47</f>
        <v/>
      </c>
      <c r="AB16" s="10">
        <f>'Revenue Forecast'!AB47</f>
        <v/>
      </c>
      <c r="AC16" s="10">
        <f>'Revenue Forecast'!AC47</f>
        <v/>
      </c>
      <c r="AD16" s="10">
        <f>'Revenue Forecast'!AD47</f>
        <v/>
      </c>
      <c r="AE16" s="10">
        <f>'Revenue Forecast'!AE47</f>
        <v/>
      </c>
      <c r="AF16" s="10">
        <f>'Revenue Forecast'!AF47</f>
        <v/>
      </c>
      <c r="AG16" s="10">
        <f>'Revenue Forecast'!AG47</f>
        <v/>
      </c>
      <c r="AH16" s="10">
        <f>'Revenue Forecast'!AH47</f>
        <v/>
      </c>
      <c r="AI16" s="10">
        <f>'Revenue Forecast'!AI47</f>
        <v/>
      </c>
      <c r="AJ16" s="10">
        <f>'Revenue Forecast'!AJ47</f>
        <v/>
      </c>
      <c r="AK16" s="10">
        <f>'Revenue Forecast'!AK47</f>
        <v/>
      </c>
      <c r="AL16" s="10">
        <f>'Revenue Forecast'!AL47</f>
        <v/>
      </c>
      <c r="AM16" s="10">
        <f>'Revenue Forecast'!AM47</f>
        <v/>
      </c>
      <c r="AN16" s="10">
        <f>'Revenue Forecast'!AN47</f>
        <v/>
      </c>
      <c r="AO16" s="10">
        <f>'Revenue Forecast'!AO47</f>
        <v/>
      </c>
      <c r="AP16" s="10">
        <f>'Revenue Forecast'!AP47</f>
        <v/>
      </c>
      <c r="AQ16" s="10">
        <f>'Revenue Forecast'!AQ47</f>
        <v/>
      </c>
      <c r="AR16" s="10">
        <f>'Revenue Forecast'!AR47</f>
        <v/>
      </c>
      <c r="AS16" s="10">
        <f>'Revenue Forecast'!AS47</f>
        <v/>
      </c>
      <c r="AT16" s="10">
        <f>'Revenue Forecast'!AT47</f>
        <v/>
      </c>
      <c r="AU16" s="10">
        <f>'Revenue Forecast'!AU47</f>
        <v/>
      </c>
      <c r="AV16" s="10">
        <f>'Revenue Forecast'!AV47</f>
        <v/>
      </c>
      <c r="AW16" s="10">
        <f>'Revenue Forecast'!AW47</f>
        <v/>
      </c>
      <c r="AX16" s="10">
        <f>'Revenue Forecast'!AX47</f>
        <v/>
      </c>
      <c r="AY16" s="10">
        <f>'Revenue Forecast'!AY47</f>
        <v/>
      </c>
      <c r="AZ16" s="10">
        <f>'Revenue Forecast'!AZ47</f>
        <v/>
      </c>
      <c r="BA16" s="10">
        <f>'Revenue Forecast'!BA47</f>
        <v/>
      </c>
      <c r="BB16" s="10">
        <f>'Revenue Forecast'!BB47</f>
        <v/>
      </c>
      <c r="BC16" s="10">
        <f>'Revenue Forecast'!BC47</f>
        <v/>
      </c>
      <c r="BD16" s="10">
        <f>'Revenue Forecast'!BD47</f>
        <v/>
      </c>
      <c r="BE16" s="10">
        <f>'Revenue Forecast'!BE47</f>
        <v/>
      </c>
      <c r="BF16" s="10">
        <f>'Revenue Forecast'!BF47</f>
        <v/>
      </c>
      <c r="BG16" s="10">
        <f>'Revenue Forecast'!BG47</f>
        <v/>
      </c>
      <c r="BH16" s="10">
        <f>'Revenue Forecast'!BH47</f>
        <v/>
      </c>
      <c r="BI16" s="10">
        <f>'Revenue Forecast'!BI47</f>
        <v/>
      </c>
      <c r="BJ16" s="10">
        <f>'Revenue Forecast'!BJ47</f>
        <v/>
      </c>
      <c r="BK16" s="10">
        <f>'Revenue Forecast'!BK47</f>
        <v/>
      </c>
      <c r="BL16" s="10">
        <f>'Revenue Forecast'!BL47</f>
        <v/>
      </c>
      <c r="BN16" s="50">
        <f>SUM(E16:P16)</f>
        <v/>
      </c>
      <c r="BO16" s="50">
        <f>SUM(Q16:AB16)</f>
        <v/>
      </c>
      <c r="BP16" s="50">
        <f>SUM(AC16:AN16)</f>
        <v/>
      </c>
      <c r="BQ16" s="50">
        <f>SUM(AO16:AZ16)</f>
        <v/>
      </c>
      <c r="BR16" s="50">
        <f>SUM(BA16:BL16)</f>
        <v/>
      </c>
      <c r="BT16" s="32" t="inlineStr">
        <is>
          <t>identical to the installation revenue, so it nets to nil</t>
        </is>
      </c>
    </row>
    <row r="17">
      <c r="B17" s="6" t="inlineStr">
        <is>
          <t>Service delivery</t>
        </is>
      </c>
      <c r="C17" s="17" t="inlineStr">
        <is>
          <t>EUR</t>
        </is>
      </c>
      <c r="E17" s="10">
        <f>'Revenue Forecast'!E7*Assumptions!$D$41/12</f>
        <v/>
      </c>
      <c r="F17" s="10">
        <f>'Revenue Forecast'!F7*Assumptions!$D$41/12</f>
        <v/>
      </c>
      <c r="G17" s="10">
        <f>'Revenue Forecast'!G7*Assumptions!$D$41/12</f>
        <v/>
      </c>
      <c r="H17" s="10">
        <f>'Revenue Forecast'!H7*Assumptions!$D$41/12</f>
        <v/>
      </c>
      <c r="I17" s="10">
        <f>'Revenue Forecast'!I7*Assumptions!$D$41/12</f>
        <v/>
      </c>
      <c r="J17" s="10">
        <f>'Revenue Forecast'!J7*Assumptions!$D$41/12</f>
        <v/>
      </c>
      <c r="K17" s="10">
        <f>'Revenue Forecast'!K7*Assumptions!$D$41/12</f>
        <v/>
      </c>
      <c r="L17" s="10">
        <f>'Revenue Forecast'!L7*Assumptions!$D$41/12</f>
        <v/>
      </c>
      <c r="M17" s="10">
        <f>'Revenue Forecast'!M7*Assumptions!$D$41/12</f>
        <v/>
      </c>
      <c r="N17" s="10">
        <f>'Revenue Forecast'!N7*Assumptions!$D$41/12</f>
        <v/>
      </c>
      <c r="O17" s="10">
        <f>'Revenue Forecast'!O7*Assumptions!$D$41/12</f>
        <v/>
      </c>
      <c r="P17" s="10">
        <f>'Revenue Forecast'!P7*Assumptions!$D$41/12</f>
        <v/>
      </c>
      <c r="Q17" s="10">
        <f>'Revenue Forecast'!Q7*Assumptions!$D$41/12</f>
        <v/>
      </c>
      <c r="R17" s="10">
        <f>'Revenue Forecast'!R7*Assumptions!$D$41/12</f>
        <v/>
      </c>
      <c r="S17" s="10">
        <f>'Revenue Forecast'!S7*Assumptions!$D$41/12</f>
        <v/>
      </c>
      <c r="T17" s="10">
        <f>'Revenue Forecast'!T7*Assumptions!$D$41/12</f>
        <v/>
      </c>
      <c r="U17" s="10">
        <f>'Revenue Forecast'!U7*Assumptions!$D$41/12</f>
        <v/>
      </c>
      <c r="V17" s="10">
        <f>'Revenue Forecast'!V7*Assumptions!$D$41/12</f>
        <v/>
      </c>
      <c r="W17" s="10">
        <f>'Revenue Forecast'!W7*Assumptions!$D$41/12</f>
        <v/>
      </c>
      <c r="X17" s="10">
        <f>'Revenue Forecast'!X7*Assumptions!$D$41/12</f>
        <v/>
      </c>
      <c r="Y17" s="10">
        <f>'Revenue Forecast'!Y7*Assumptions!$D$41/12</f>
        <v/>
      </c>
      <c r="Z17" s="10">
        <f>'Revenue Forecast'!Z7*Assumptions!$D$41/12</f>
        <v/>
      </c>
      <c r="AA17" s="10">
        <f>'Revenue Forecast'!AA7*Assumptions!$D$41/12</f>
        <v/>
      </c>
      <c r="AB17" s="10">
        <f>'Revenue Forecast'!AB7*Assumptions!$D$41/12</f>
        <v/>
      </c>
      <c r="AC17" s="10">
        <f>'Revenue Forecast'!AC7*Assumptions!$D$41/12</f>
        <v/>
      </c>
      <c r="AD17" s="10">
        <f>'Revenue Forecast'!AD7*Assumptions!$D$41/12</f>
        <v/>
      </c>
      <c r="AE17" s="10">
        <f>'Revenue Forecast'!AE7*Assumptions!$D$41/12</f>
        <v/>
      </c>
      <c r="AF17" s="10">
        <f>'Revenue Forecast'!AF7*Assumptions!$D$41/12</f>
        <v/>
      </c>
      <c r="AG17" s="10">
        <f>'Revenue Forecast'!AG7*Assumptions!$D$41/12</f>
        <v/>
      </c>
      <c r="AH17" s="10">
        <f>'Revenue Forecast'!AH7*Assumptions!$D$41/12</f>
        <v/>
      </c>
      <c r="AI17" s="10">
        <f>'Revenue Forecast'!AI7*Assumptions!$D$41/12</f>
        <v/>
      </c>
      <c r="AJ17" s="10">
        <f>'Revenue Forecast'!AJ7*Assumptions!$D$41/12</f>
        <v/>
      </c>
      <c r="AK17" s="10">
        <f>'Revenue Forecast'!AK7*Assumptions!$D$41/12</f>
        <v/>
      </c>
      <c r="AL17" s="10">
        <f>'Revenue Forecast'!AL7*Assumptions!$D$41/12</f>
        <v/>
      </c>
      <c r="AM17" s="10">
        <f>'Revenue Forecast'!AM7*Assumptions!$D$41/12</f>
        <v/>
      </c>
      <c r="AN17" s="10">
        <f>'Revenue Forecast'!AN7*Assumptions!$D$41/12</f>
        <v/>
      </c>
      <c r="AO17" s="10">
        <f>'Revenue Forecast'!AO7*Assumptions!$D$41/12</f>
        <v/>
      </c>
      <c r="AP17" s="10">
        <f>'Revenue Forecast'!AP7*Assumptions!$D$41/12</f>
        <v/>
      </c>
      <c r="AQ17" s="10">
        <f>'Revenue Forecast'!AQ7*Assumptions!$D$41/12</f>
        <v/>
      </c>
      <c r="AR17" s="10">
        <f>'Revenue Forecast'!AR7*Assumptions!$D$41/12</f>
        <v/>
      </c>
      <c r="AS17" s="10">
        <f>'Revenue Forecast'!AS7*Assumptions!$D$41/12</f>
        <v/>
      </c>
      <c r="AT17" s="10">
        <f>'Revenue Forecast'!AT7*Assumptions!$D$41/12</f>
        <v/>
      </c>
      <c r="AU17" s="10">
        <f>'Revenue Forecast'!AU7*Assumptions!$D$41/12</f>
        <v/>
      </c>
      <c r="AV17" s="10">
        <f>'Revenue Forecast'!AV7*Assumptions!$D$41/12</f>
        <v/>
      </c>
      <c r="AW17" s="10">
        <f>'Revenue Forecast'!AW7*Assumptions!$D$41/12</f>
        <v/>
      </c>
      <c r="AX17" s="10">
        <f>'Revenue Forecast'!AX7*Assumptions!$D$41/12</f>
        <v/>
      </c>
      <c r="AY17" s="10">
        <f>'Revenue Forecast'!AY7*Assumptions!$D$41/12</f>
        <v/>
      </c>
      <c r="AZ17" s="10">
        <f>'Revenue Forecast'!AZ7*Assumptions!$D$41/12</f>
        <v/>
      </c>
      <c r="BA17" s="10">
        <f>'Revenue Forecast'!BA7*Assumptions!$D$41/12</f>
        <v/>
      </c>
      <c r="BB17" s="10">
        <f>'Revenue Forecast'!BB7*Assumptions!$D$41/12</f>
        <v/>
      </c>
      <c r="BC17" s="10">
        <f>'Revenue Forecast'!BC7*Assumptions!$D$41/12</f>
        <v/>
      </c>
      <c r="BD17" s="10">
        <f>'Revenue Forecast'!BD7*Assumptions!$D$41/12</f>
        <v/>
      </c>
      <c r="BE17" s="10">
        <f>'Revenue Forecast'!BE7*Assumptions!$D$41/12</f>
        <v/>
      </c>
      <c r="BF17" s="10">
        <f>'Revenue Forecast'!BF7*Assumptions!$D$41/12</f>
        <v/>
      </c>
      <c r="BG17" s="10">
        <f>'Revenue Forecast'!BG7*Assumptions!$D$41/12</f>
        <v/>
      </c>
      <c r="BH17" s="10">
        <f>'Revenue Forecast'!BH7*Assumptions!$D$41/12</f>
        <v/>
      </c>
      <c r="BI17" s="10">
        <f>'Revenue Forecast'!BI7*Assumptions!$D$41/12</f>
        <v/>
      </c>
      <c r="BJ17" s="10">
        <f>'Revenue Forecast'!BJ7*Assumptions!$D$41/12</f>
        <v/>
      </c>
      <c r="BK17" s="10">
        <f>'Revenue Forecast'!BK7*Assumptions!$D$41/12</f>
        <v/>
      </c>
      <c r="BL17" s="10">
        <f>'Revenue Forecast'!BL7*Assumptions!$D$41/12</f>
        <v/>
      </c>
      <c r="BN17" s="50">
        <f>SUM(E17:P17)</f>
        <v/>
      </c>
      <c r="BO17" s="50">
        <f>SUM(Q17:AB17)</f>
        <v/>
      </c>
      <c r="BP17" s="50">
        <f>SUM(AC17:AN17)</f>
        <v/>
      </c>
      <c r="BQ17" s="50">
        <f>SUM(AO17:AZ17)</f>
        <v/>
      </c>
      <c r="BR17" s="50">
        <f>SUM(BA17:BL17)</f>
        <v/>
      </c>
      <c r="BT17" s="32" t="inlineStr">
        <is>
          <t>parts, consumables and travel per contract, from the service table; the engineers are on Personnel</t>
        </is>
      </c>
    </row>
    <row r="18">
      <c r="B18" s="6" t="inlineStr">
        <is>
          <t>Installer partner commission</t>
        </is>
      </c>
      <c r="C18" s="17" t="inlineStr">
        <is>
          <t>EUR</t>
        </is>
      </c>
      <c r="E18" s="10">
        <f>('Revenue Forecast'!E44+'Revenue Forecast'!E45)*(1-'Revenue Forecast'!E15)*Assumptions!$D$64</f>
        <v/>
      </c>
      <c r="F18" s="10">
        <f>('Revenue Forecast'!F44+'Revenue Forecast'!F45)*(1-'Revenue Forecast'!F15)*Assumptions!$D$64</f>
        <v/>
      </c>
      <c r="G18" s="10">
        <f>('Revenue Forecast'!G44+'Revenue Forecast'!G45)*(1-'Revenue Forecast'!G15)*Assumptions!$D$64</f>
        <v/>
      </c>
      <c r="H18" s="10">
        <f>('Revenue Forecast'!H44+'Revenue Forecast'!H45)*(1-'Revenue Forecast'!H15)*Assumptions!$D$64</f>
        <v/>
      </c>
      <c r="I18" s="10">
        <f>('Revenue Forecast'!I44+'Revenue Forecast'!I45)*(1-'Revenue Forecast'!I15)*Assumptions!$D$64</f>
        <v/>
      </c>
      <c r="J18" s="10">
        <f>('Revenue Forecast'!J44+'Revenue Forecast'!J45)*(1-'Revenue Forecast'!J15)*Assumptions!$D$64</f>
        <v/>
      </c>
      <c r="K18" s="10">
        <f>('Revenue Forecast'!K44+'Revenue Forecast'!K45)*(1-'Revenue Forecast'!K15)*Assumptions!$D$64</f>
        <v/>
      </c>
      <c r="L18" s="10">
        <f>('Revenue Forecast'!L44+'Revenue Forecast'!L45)*(1-'Revenue Forecast'!L15)*Assumptions!$D$64</f>
        <v/>
      </c>
      <c r="M18" s="10">
        <f>('Revenue Forecast'!M44+'Revenue Forecast'!M45)*(1-'Revenue Forecast'!M15)*Assumptions!$D$64</f>
        <v/>
      </c>
      <c r="N18" s="10">
        <f>('Revenue Forecast'!N44+'Revenue Forecast'!N45)*(1-'Revenue Forecast'!N15)*Assumptions!$D$64</f>
        <v/>
      </c>
      <c r="O18" s="10">
        <f>('Revenue Forecast'!O44+'Revenue Forecast'!O45)*(1-'Revenue Forecast'!O15)*Assumptions!$D$64</f>
        <v/>
      </c>
      <c r="P18" s="10">
        <f>('Revenue Forecast'!P44+'Revenue Forecast'!P45)*(1-'Revenue Forecast'!P15)*Assumptions!$D$64</f>
        <v/>
      </c>
      <c r="Q18" s="10">
        <f>('Revenue Forecast'!Q44+'Revenue Forecast'!Q45)*(1-'Revenue Forecast'!Q15)*Assumptions!$D$64</f>
        <v/>
      </c>
      <c r="R18" s="10">
        <f>('Revenue Forecast'!R44+'Revenue Forecast'!R45)*(1-'Revenue Forecast'!R15)*Assumptions!$D$64</f>
        <v/>
      </c>
      <c r="S18" s="10">
        <f>('Revenue Forecast'!S44+'Revenue Forecast'!S45)*(1-'Revenue Forecast'!S15)*Assumptions!$D$64</f>
        <v/>
      </c>
      <c r="T18" s="10">
        <f>('Revenue Forecast'!T44+'Revenue Forecast'!T45)*(1-'Revenue Forecast'!T15)*Assumptions!$D$64</f>
        <v/>
      </c>
      <c r="U18" s="10">
        <f>('Revenue Forecast'!U44+'Revenue Forecast'!U45)*(1-'Revenue Forecast'!U15)*Assumptions!$D$64</f>
        <v/>
      </c>
      <c r="V18" s="10">
        <f>('Revenue Forecast'!V44+'Revenue Forecast'!V45)*(1-'Revenue Forecast'!V15)*Assumptions!$D$64</f>
        <v/>
      </c>
      <c r="W18" s="10">
        <f>('Revenue Forecast'!W44+'Revenue Forecast'!W45)*(1-'Revenue Forecast'!W15)*Assumptions!$D$64</f>
        <v/>
      </c>
      <c r="X18" s="10">
        <f>('Revenue Forecast'!X44+'Revenue Forecast'!X45)*(1-'Revenue Forecast'!X15)*Assumptions!$D$64</f>
        <v/>
      </c>
      <c r="Y18" s="10">
        <f>('Revenue Forecast'!Y44+'Revenue Forecast'!Y45)*(1-'Revenue Forecast'!Y15)*Assumptions!$D$64</f>
        <v/>
      </c>
      <c r="Z18" s="10">
        <f>('Revenue Forecast'!Z44+'Revenue Forecast'!Z45)*(1-'Revenue Forecast'!Z15)*Assumptions!$D$64</f>
        <v/>
      </c>
      <c r="AA18" s="10">
        <f>('Revenue Forecast'!AA44+'Revenue Forecast'!AA45)*(1-'Revenue Forecast'!AA15)*Assumptions!$D$64</f>
        <v/>
      </c>
      <c r="AB18" s="10">
        <f>('Revenue Forecast'!AB44+'Revenue Forecast'!AB45)*(1-'Revenue Forecast'!AB15)*Assumptions!$D$64</f>
        <v/>
      </c>
      <c r="AC18" s="10">
        <f>('Revenue Forecast'!AC44+'Revenue Forecast'!AC45)*(1-'Revenue Forecast'!AC15)*Assumptions!$D$64</f>
        <v/>
      </c>
      <c r="AD18" s="10">
        <f>('Revenue Forecast'!AD44+'Revenue Forecast'!AD45)*(1-'Revenue Forecast'!AD15)*Assumptions!$D$64</f>
        <v/>
      </c>
      <c r="AE18" s="10">
        <f>('Revenue Forecast'!AE44+'Revenue Forecast'!AE45)*(1-'Revenue Forecast'!AE15)*Assumptions!$D$64</f>
        <v/>
      </c>
      <c r="AF18" s="10">
        <f>('Revenue Forecast'!AF44+'Revenue Forecast'!AF45)*(1-'Revenue Forecast'!AF15)*Assumptions!$D$64</f>
        <v/>
      </c>
      <c r="AG18" s="10">
        <f>('Revenue Forecast'!AG44+'Revenue Forecast'!AG45)*(1-'Revenue Forecast'!AG15)*Assumptions!$D$64</f>
        <v/>
      </c>
      <c r="AH18" s="10">
        <f>('Revenue Forecast'!AH44+'Revenue Forecast'!AH45)*(1-'Revenue Forecast'!AH15)*Assumptions!$D$64</f>
        <v/>
      </c>
      <c r="AI18" s="10">
        <f>('Revenue Forecast'!AI44+'Revenue Forecast'!AI45)*(1-'Revenue Forecast'!AI15)*Assumptions!$D$64</f>
        <v/>
      </c>
      <c r="AJ18" s="10">
        <f>('Revenue Forecast'!AJ44+'Revenue Forecast'!AJ45)*(1-'Revenue Forecast'!AJ15)*Assumptions!$D$64</f>
        <v/>
      </c>
      <c r="AK18" s="10">
        <f>('Revenue Forecast'!AK44+'Revenue Forecast'!AK45)*(1-'Revenue Forecast'!AK15)*Assumptions!$D$64</f>
        <v/>
      </c>
      <c r="AL18" s="10">
        <f>('Revenue Forecast'!AL44+'Revenue Forecast'!AL45)*(1-'Revenue Forecast'!AL15)*Assumptions!$D$64</f>
        <v/>
      </c>
      <c r="AM18" s="10">
        <f>('Revenue Forecast'!AM44+'Revenue Forecast'!AM45)*(1-'Revenue Forecast'!AM15)*Assumptions!$D$64</f>
        <v/>
      </c>
      <c r="AN18" s="10">
        <f>('Revenue Forecast'!AN44+'Revenue Forecast'!AN45)*(1-'Revenue Forecast'!AN15)*Assumptions!$D$64</f>
        <v/>
      </c>
      <c r="AO18" s="10">
        <f>('Revenue Forecast'!AO44+'Revenue Forecast'!AO45)*(1-'Revenue Forecast'!AO15)*Assumptions!$D$64</f>
        <v/>
      </c>
      <c r="AP18" s="10">
        <f>('Revenue Forecast'!AP44+'Revenue Forecast'!AP45)*(1-'Revenue Forecast'!AP15)*Assumptions!$D$64</f>
        <v/>
      </c>
      <c r="AQ18" s="10">
        <f>('Revenue Forecast'!AQ44+'Revenue Forecast'!AQ45)*(1-'Revenue Forecast'!AQ15)*Assumptions!$D$64</f>
        <v/>
      </c>
      <c r="AR18" s="10">
        <f>('Revenue Forecast'!AR44+'Revenue Forecast'!AR45)*(1-'Revenue Forecast'!AR15)*Assumptions!$D$64</f>
        <v/>
      </c>
      <c r="AS18" s="10">
        <f>('Revenue Forecast'!AS44+'Revenue Forecast'!AS45)*(1-'Revenue Forecast'!AS15)*Assumptions!$D$64</f>
        <v/>
      </c>
      <c r="AT18" s="10">
        <f>('Revenue Forecast'!AT44+'Revenue Forecast'!AT45)*(1-'Revenue Forecast'!AT15)*Assumptions!$D$64</f>
        <v/>
      </c>
      <c r="AU18" s="10">
        <f>('Revenue Forecast'!AU44+'Revenue Forecast'!AU45)*(1-'Revenue Forecast'!AU15)*Assumptions!$D$64</f>
        <v/>
      </c>
      <c r="AV18" s="10">
        <f>('Revenue Forecast'!AV44+'Revenue Forecast'!AV45)*(1-'Revenue Forecast'!AV15)*Assumptions!$D$64</f>
        <v/>
      </c>
      <c r="AW18" s="10">
        <f>('Revenue Forecast'!AW44+'Revenue Forecast'!AW45)*(1-'Revenue Forecast'!AW15)*Assumptions!$D$64</f>
        <v/>
      </c>
      <c r="AX18" s="10">
        <f>('Revenue Forecast'!AX44+'Revenue Forecast'!AX45)*(1-'Revenue Forecast'!AX15)*Assumptions!$D$64</f>
        <v/>
      </c>
      <c r="AY18" s="10">
        <f>('Revenue Forecast'!AY44+'Revenue Forecast'!AY45)*(1-'Revenue Forecast'!AY15)*Assumptions!$D$64</f>
        <v/>
      </c>
      <c r="AZ18" s="10">
        <f>('Revenue Forecast'!AZ44+'Revenue Forecast'!AZ45)*(1-'Revenue Forecast'!AZ15)*Assumptions!$D$64</f>
        <v/>
      </c>
      <c r="BA18" s="10">
        <f>('Revenue Forecast'!BA44+'Revenue Forecast'!BA45)*(1-'Revenue Forecast'!BA15)*Assumptions!$D$64</f>
        <v/>
      </c>
      <c r="BB18" s="10">
        <f>('Revenue Forecast'!BB44+'Revenue Forecast'!BB45)*(1-'Revenue Forecast'!BB15)*Assumptions!$D$64</f>
        <v/>
      </c>
      <c r="BC18" s="10">
        <f>('Revenue Forecast'!BC44+'Revenue Forecast'!BC45)*(1-'Revenue Forecast'!BC15)*Assumptions!$D$64</f>
        <v/>
      </c>
      <c r="BD18" s="10">
        <f>('Revenue Forecast'!BD44+'Revenue Forecast'!BD45)*(1-'Revenue Forecast'!BD15)*Assumptions!$D$64</f>
        <v/>
      </c>
      <c r="BE18" s="10">
        <f>('Revenue Forecast'!BE44+'Revenue Forecast'!BE45)*(1-'Revenue Forecast'!BE15)*Assumptions!$D$64</f>
        <v/>
      </c>
      <c r="BF18" s="10">
        <f>('Revenue Forecast'!BF44+'Revenue Forecast'!BF45)*(1-'Revenue Forecast'!BF15)*Assumptions!$D$64</f>
        <v/>
      </c>
      <c r="BG18" s="10">
        <f>('Revenue Forecast'!BG44+'Revenue Forecast'!BG45)*(1-'Revenue Forecast'!BG15)*Assumptions!$D$64</f>
        <v/>
      </c>
      <c r="BH18" s="10">
        <f>('Revenue Forecast'!BH44+'Revenue Forecast'!BH45)*(1-'Revenue Forecast'!BH15)*Assumptions!$D$64</f>
        <v/>
      </c>
      <c r="BI18" s="10">
        <f>('Revenue Forecast'!BI44+'Revenue Forecast'!BI45)*(1-'Revenue Forecast'!BI15)*Assumptions!$D$64</f>
        <v/>
      </c>
      <c r="BJ18" s="10">
        <f>('Revenue Forecast'!BJ44+'Revenue Forecast'!BJ45)*(1-'Revenue Forecast'!BJ15)*Assumptions!$D$64</f>
        <v/>
      </c>
      <c r="BK18" s="10">
        <f>('Revenue Forecast'!BK44+'Revenue Forecast'!BK45)*(1-'Revenue Forecast'!BK15)*Assumptions!$D$64</f>
        <v/>
      </c>
      <c r="BL18" s="10">
        <f>('Revenue Forecast'!BL44+'Revenue Forecast'!BL45)*(1-'Revenue Forecast'!BL15)*Assumptions!$D$64</f>
        <v/>
      </c>
      <c r="BN18" s="50">
        <f>SUM(E18:P18)</f>
        <v/>
      </c>
      <c r="BO18" s="50">
        <f>SUM(Q18:AB18)</f>
        <v/>
      </c>
      <c r="BP18" s="50">
        <f>SUM(AC18:AN18)</f>
        <v/>
      </c>
      <c r="BQ18" s="50">
        <f>SUM(AO18:AZ18)</f>
        <v/>
      </c>
      <c r="BR18" s="50">
        <f>SUM(BA18:BL18)</f>
        <v/>
      </c>
      <c r="BT18" s="32" t="inlineStr">
        <is>
          <t>turbineketel and Combi+ revenue on the channel share of units, times the commission rate</t>
        </is>
      </c>
    </row>
    <row r="19">
      <c r="B19" s="15" t="inlineStr">
        <is>
          <t>Total cost of goods sold</t>
        </is>
      </c>
      <c r="C19" s="51" t="inlineStr">
        <is>
          <t>EUR</t>
        </is>
      </c>
      <c r="D19" s="2" t="n"/>
      <c r="E19" s="52">
        <f>SUM(E13:E18)</f>
        <v/>
      </c>
      <c r="F19" s="52">
        <f>SUM(F13:F18)</f>
        <v/>
      </c>
      <c r="G19" s="52">
        <f>SUM(G13:G18)</f>
        <v/>
      </c>
      <c r="H19" s="52">
        <f>SUM(H13:H18)</f>
        <v/>
      </c>
      <c r="I19" s="52">
        <f>SUM(I13:I18)</f>
        <v/>
      </c>
      <c r="J19" s="52">
        <f>SUM(J13:J18)</f>
        <v/>
      </c>
      <c r="K19" s="52">
        <f>SUM(K13:K18)</f>
        <v/>
      </c>
      <c r="L19" s="52">
        <f>SUM(L13:L18)</f>
        <v/>
      </c>
      <c r="M19" s="52">
        <f>SUM(M13:M18)</f>
        <v/>
      </c>
      <c r="N19" s="52">
        <f>SUM(N13:N18)</f>
        <v/>
      </c>
      <c r="O19" s="52">
        <f>SUM(O13:O18)</f>
        <v/>
      </c>
      <c r="P19" s="52">
        <f>SUM(P13:P18)</f>
        <v/>
      </c>
      <c r="Q19" s="52">
        <f>SUM(Q13:Q18)</f>
        <v/>
      </c>
      <c r="R19" s="52">
        <f>SUM(R13:R18)</f>
        <v/>
      </c>
      <c r="S19" s="52">
        <f>SUM(S13:S18)</f>
        <v/>
      </c>
      <c r="T19" s="52">
        <f>SUM(T13:T18)</f>
        <v/>
      </c>
      <c r="U19" s="52">
        <f>SUM(U13:U18)</f>
        <v/>
      </c>
      <c r="V19" s="52">
        <f>SUM(V13:V18)</f>
        <v/>
      </c>
      <c r="W19" s="52">
        <f>SUM(W13:W18)</f>
        <v/>
      </c>
      <c r="X19" s="52">
        <f>SUM(X13:X18)</f>
        <v/>
      </c>
      <c r="Y19" s="52">
        <f>SUM(Y13:Y18)</f>
        <v/>
      </c>
      <c r="Z19" s="52">
        <f>SUM(Z13:Z18)</f>
        <v/>
      </c>
      <c r="AA19" s="52">
        <f>SUM(AA13:AA18)</f>
        <v/>
      </c>
      <c r="AB19" s="52">
        <f>SUM(AB13:AB18)</f>
        <v/>
      </c>
      <c r="AC19" s="52">
        <f>SUM(AC13:AC18)</f>
        <v/>
      </c>
      <c r="AD19" s="52">
        <f>SUM(AD13:AD18)</f>
        <v/>
      </c>
      <c r="AE19" s="52">
        <f>SUM(AE13:AE18)</f>
        <v/>
      </c>
      <c r="AF19" s="52">
        <f>SUM(AF13:AF18)</f>
        <v/>
      </c>
      <c r="AG19" s="52">
        <f>SUM(AG13:AG18)</f>
        <v/>
      </c>
      <c r="AH19" s="52">
        <f>SUM(AH13:AH18)</f>
        <v/>
      </c>
      <c r="AI19" s="52">
        <f>SUM(AI13:AI18)</f>
        <v/>
      </c>
      <c r="AJ19" s="52">
        <f>SUM(AJ13:AJ18)</f>
        <v/>
      </c>
      <c r="AK19" s="52">
        <f>SUM(AK13:AK18)</f>
        <v/>
      </c>
      <c r="AL19" s="52">
        <f>SUM(AL13:AL18)</f>
        <v/>
      </c>
      <c r="AM19" s="52">
        <f>SUM(AM13:AM18)</f>
        <v/>
      </c>
      <c r="AN19" s="52">
        <f>SUM(AN13:AN18)</f>
        <v/>
      </c>
      <c r="AO19" s="52">
        <f>SUM(AO13:AO18)</f>
        <v/>
      </c>
      <c r="AP19" s="52">
        <f>SUM(AP13:AP18)</f>
        <v/>
      </c>
      <c r="AQ19" s="52">
        <f>SUM(AQ13:AQ18)</f>
        <v/>
      </c>
      <c r="AR19" s="52">
        <f>SUM(AR13:AR18)</f>
        <v/>
      </c>
      <c r="AS19" s="52">
        <f>SUM(AS13:AS18)</f>
        <v/>
      </c>
      <c r="AT19" s="52">
        <f>SUM(AT13:AT18)</f>
        <v/>
      </c>
      <c r="AU19" s="52">
        <f>SUM(AU13:AU18)</f>
        <v/>
      </c>
      <c r="AV19" s="52">
        <f>SUM(AV13:AV18)</f>
        <v/>
      </c>
      <c r="AW19" s="52">
        <f>SUM(AW13:AW18)</f>
        <v/>
      </c>
      <c r="AX19" s="52">
        <f>SUM(AX13:AX18)</f>
        <v/>
      </c>
      <c r="AY19" s="52">
        <f>SUM(AY13:AY18)</f>
        <v/>
      </c>
      <c r="AZ19" s="52">
        <f>SUM(AZ13:AZ18)</f>
        <v/>
      </c>
      <c r="BA19" s="52">
        <f>SUM(BA13:BA18)</f>
        <v/>
      </c>
      <c r="BB19" s="52">
        <f>SUM(BB13:BB18)</f>
        <v/>
      </c>
      <c r="BC19" s="52">
        <f>SUM(BC13:BC18)</f>
        <v/>
      </c>
      <c r="BD19" s="52">
        <f>SUM(BD13:BD18)</f>
        <v/>
      </c>
      <c r="BE19" s="52">
        <f>SUM(BE13:BE18)</f>
        <v/>
      </c>
      <c r="BF19" s="52">
        <f>SUM(BF13:BF18)</f>
        <v/>
      </c>
      <c r="BG19" s="52">
        <f>SUM(BG13:BG18)</f>
        <v/>
      </c>
      <c r="BH19" s="52">
        <f>SUM(BH13:BH18)</f>
        <v/>
      </c>
      <c r="BI19" s="52">
        <f>SUM(BI13:BI18)</f>
        <v/>
      </c>
      <c r="BJ19" s="52">
        <f>SUM(BJ13:BJ18)</f>
        <v/>
      </c>
      <c r="BK19" s="52">
        <f>SUM(BK13:BK18)</f>
        <v/>
      </c>
      <c r="BL19" s="52">
        <f>SUM(BL13:BL18)</f>
        <v/>
      </c>
      <c r="BM19" s="2" t="n"/>
      <c r="BN19" s="52">
        <f>SUM(E19:P19)</f>
        <v/>
      </c>
      <c r="BO19" s="52">
        <f>SUM(Q19:AB19)</f>
        <v/>
      </c>
      <c r="BP19" s="52">
        <f>SUM(AC19:AN19)</f>
        <v/>
      </c>
      <c r="BQ19" s="52">
        <f>SUM(AO19:AZ19)</f>
        <v/>
      </c>
      <c r="BR19" s="52">
        <f>SUM(BA19:BL19)</f>
        <v/>
      </c>
      <c r="BS19" s="2" t="n"/>
    </row>
    <row r="21">
      <c r="B21" s="53" t="inlineStr">
        <is>
          <t>Gross profit per unit</t>
        </is>
      </c>
      <c r="C21" s="17" t="inlineStr">
        <is>
          <t>EUR/unit</t>
        </is>
      </c>
      <c r="E21" s="70">
        <f>IFERROR(('Revenue Forecast'!E50-'Revenue Forecast'!E49-E19)/'Revenue Forecast'!E34,0)</f>
        <v/>
      </c>
      <c r="F21" s="70">
        <f>IFERROR(('Revenue Forecast'!F50-'Revenue Forecast'!F49-F19)/'Revenue Forecast'!F34,0)</f>
        <v/>
      </c>
      <c r="G21" s="70">
        <f>IFERROR(('Revenue Forecast'!G50-'Revenue Forecast'!G49-G19)/'Revenue Forecast'!G34,0)</f>
        <v/>
      </c>
      <c r="H21" s="70">
        <f>IFERROR(('Revenue Forecast'!H50-'Revenue Forecast'!H49-H19)/'Revenue Forecast'!H34,0)</f>
        <v/>
      </c>
      <c r="I21" s="70">
        <f>IFERROR(('Revenue Forecast'!I50-'Revenue Forecast'!I49-I19)/'Revenue Forecast'!I34,0)</f>
        <v/>
      </c>
      <c r="J21" s="70">
        <f>IFERROR(('Revenue Forecast'!J50-'Revenue Forecast'!J49-J19)/'Revenue Forecast'!J34,0)</f>
        <v/>
      </c>
      <c r="K21" s="70">
        <f>IFERROR(('Revenue Forecast'!K50-'Revenue Forecast'!K49-K19)/'Revenue Forecast'!K34,0)</f>
        <v/>
      </c>
      <c r="L21" s="70">
        <f>IFERROR(('Revenue Forecast'!L50-'Revenue Forecast'!L49-L19)/'Revenue Forecast'!L34,0)</f>
        <v/>
      </c>
      <c r="M21" s="70">
        <f>IFERROR(('Revenue Forecast'!M50-'Revenue Forecast'!M49-M19)/'Revenue Forecast'!M34,0)</f>
        <v/>
      </c>
      <c r="N21" s="70">
        <f>IFERROR(('Revenue Forecast'!N50-'Revenue Forecast'!N49-N19)/'Revenue Forecast'!N34,0)</f>
        <v/>
      </c>
      <c r="O21" s="70">
        <f>IFERROR(('Revenue Forecast'!O50-'Revenue Forecast'!O49-O19)/'Revenue Forecast'!O34,0)</f>
        <v/>
      </c>
      <c r="P21" s="70">
        <f>IFERROR(('Revenue Forecast'!P50-'Revenue Forecast'!P49-P19)/'Revenue Forecast'!P34,0)</f>
        <v/>
      </c>
      <c r="Q21" s="70">
        <f>IFERROR(('Revenue Forecast'!Q50-'Revenue Forecast'!Q49-Q19)/'Revenue Forecast'!Q34,0)</f>
        <v/>
      </c>
      <c r="R21" s="70">
        <f>IFERROR(('Revenue Forecast'!R50-'Revenue Forecast'!R49-R19)/'Revenue Forecast'!R34,0)</f>
        <v/>
      </c>
      <c r="S21" s="70">
        <f>IFERROR(('Revenue Forecast'!S50-'Revenue Forecast'!S49-S19)/'Revenue Forecast'!S34,0)</f>
        <v/>
      </c>
      <c r="T21" s="70">
        <f>IFERROR(('Revenue Forecast'!T50-'Revenue Forecast'!T49-T19)/'Revenue Forecast'!T34,0)</f>
        <v/>
      </c>
      <c r="U21" s="70">
        <f>IFERROR(('Revenue Forecast'!U50-'Revenue Forecast'!U49-U19)/'Revenue Forecast'!U34,0)</f>
        <v/>
      </c>
      <c r="V21" s="70">
        <f>IFERROR(('Revenue Forecast'!V50-'Revenue Forecast'!V49-V19)/'Revenue Forecast'!V34,0)</f>
        <v/>
      </c>
      <c r="W21" s="70">
        <f>IFERROR(('Revenue Forecast'!W50-'Revenue Forecast'!W49-W19)/'Revenue Forecast'!W34,0)</f>
        <v/>
      </c>
      <c r="X21" s="70">
        <f>IFERROR(('Revenue Forecast'!X50-'Revenue Forecast'!X49-X19)/'Revenue Forecast'!X34,0)</f>
        <v/>
      </c>
      <c r="Y21" s="70">
        <f>IFERROR(('Revenue Forecast'!Y50-'Revenue Forecast'!Y49-Y19)/'Revenue Forecast'!Y34,0)</f>
        <v/>
      </c>
      <c r="Z21" s="70">
        <f>IFERROR(('Revenue Forecast'!Z50-'Revenue Forecast'!Z49-Z19)/'Revenue Forecast'!Z34,0)</f>
        <v/>
      </c>
      <c r="AA21" s="70">
        <f>IFERROR(('Revenue Forecast'!AA50-'Revenue Forecast'!AA49-AA19)/'Revenue Forecast'!AA34,0)</f>
        <v/>
      </c>
      <c r="AB21" s="70">
        <f>IFERROR(('Revenue Forecast'!AB50-'Revenue Forecast'!AB49-AB19)/'Revenue Forecast'!AB34,0)</f>
        <v/>
      </c>
      <c r="AC21" s="70">
        <f>IFERROR(('Revenue Forecast'!AC50-'Revenue Forecast'!AC49-AC19)/'Revenue Forecast'!AC34,0)</f>
        <v/>
      </c>
      <c r="AD21" s="70">
        <f>IFERROR(('Revenue Forecast'!AD50-'Revenue Forecast'!AD49-AD19)/'Revenue Forecast'!AD34,0)</f>
        <v/>
      </c>
      <c r="AE21" s="70">
        <f>IFERROR(('Revenue Forecast'!AE50-'Revenue Forecast'!AE49-AE19)/'Revenue Forecast'!AE34,0)</f>
        <v/>
      </c>
      <c r="AF21" s="70">
        <f>IFERROR(('Revenue Forecast'!AF50-'Revenue Forecast'!AF49-AF19)/'Revenue Forecast'!AF34,0)</f>
        <v/>
      </c>
      <c r="AG21" s="70">
        <f>IFERROR(('Revenue Forecast'!AG50-'Revenue Forecast'!AG49-AG19)/'Revenue Forecast'!AG34,0)</f>
        <v/>
      </c>
      <c r="AH21" s="70">
        <f>IFERROR(('Revenue Forecast'!AH50-'Revenue Forecast'!AH49-AH19)/'Revenue Forecast'!AH34,0)</f>
        <v/>
      </c>
      <c r="AI21" s="70">
        <f>IFERROR(('Revenue Forecast'!AI50-'Revenue Forecast'!AI49-AI19)/'Revenue Forecast'!AI34,0)</f>
        <v/>
      </c>
      <c r="AJ21" s="70">
        <f>IFERROR(('Revenue Forecast'!AJ50-'Revenue Forecast'!AJ49-AJ19)/'Revenue Forecast'!AJ34,0)</f>
        <v/>
      </c>
      <c r="AK21" s="70">
        <f>IFERROR(('Revenue Forecast'!AK50-'Revenue Forecast'!AK49-AK19)/'Revenue Forecast'!AK34,0)</f>
        <v/>
      </c>
      <c r="AL21" s="70">
        <f>IFERROR(('Revenue Forecast'!AL50-'Revenue Forecast'!AL49-AL19)/'Revenue Forecast'!AL34,0)</f>
        <v/>
      </c>
      <c r="AM21" s="70">
        <f>IFERROR(('Revenue Forecast'!AM50-'Revenue Forecast'!AM49-AM19)/'Revenue Forecast'!AM34,0)</f>
        <v/>
      </c>
      <c r="AN21" s="70">
        <f>IFERROR(('Revenue Forecast'!AN50-'Revenue Forecast'!AN49-AN19)/'Revenue Forecast'!AN34,0)</f>
        <v/>
      </c>
      <c r="AO21" s="70">
        <f>IFERROR(('Revenue Forecast'!AO50-'Revenue Forecast'!AO49-AO19)/'Revenue Forecast'!AO34,0)</f>
        <v/>
      </c>
      <c r="AP21" s="70">
        <f>IFERROR(('Revenue Forecast'!AP50-'Revenue Forecast'!AP49-AP19)/'Revenue Forecast'!AP34,0)</f>
        <v/>
      </c>
      <c r="AQ21" s="70">
        <f>IFERROR(('Revenue Forecast'!AQ50-'Revenue Forecast'!AQ49-AQ19)/'Revenue Forecast'!AQ34,0)</f>
        <v/>
      </c>
      <c r="AR21" s="70">
        <f>IFERROR(('Revenue Forecast'!AR50-'Revenue Forecast'!AR49-AR19)/'Revenue Forecast'!AR34,0)</f>
        <v/>
      </c>
      <c r="AS21" s="70">
        <f>IFERROR(('Revenue Forecast'!AS50-'Revenue Forecast'!AS49-AS19)/'Revenue Forecast'!AS34,0)</f>
        <v/>
      </c>
      <c r="AT21" s="70">
        <f>IFERROR(('Revenue Forecast'!AT50-'Revenue Forecast'!AT49-AT19)/'Revenue Forecast'!AT34,0)</f>
        <v/>
      </c>
      <c r="AU21" s="70">
        <f>IFERROR(('Revenue Forecast'!AU50-'Revenue Forecast'!AU49-AU19)/'Revenue Forecast'!AU34,0)</f>
        <v/>
      </c>
      <c r="AV21" s="70">
        <f>IFERROR(('Revenue Forecast'!AV50-'Revenue Forecast'!AV49-AV19)/'Revenue Forecast'!AV34,0)</f>
        <v/>
      </c>
      <c r="AW21" s="70">
        <f>IFERROR(('Revenue Forecast'!AW50-'Revenue Forecast'!AW49-AW19)/'Revenue Forecast'!AW34,0)</f>
        <v/>
      </c>
      <c r="AX21" s="70">
        <f>IFERROR(('Revenue Forecast'!AX50-'Revenue Forecast'!AX49-AX19)/'Revenue Forecast'!AX34,0)</f>
        <v/>
      </c>
      <c r="AY21" s="70">
        <f>IFERROR(('Revenue Forecast'!AY50-'Revenue Forecast'!AY49-AY19)/'Revenue Forecast'!AY34,0)</f>
        <v/>
      </c>
      <c r="AZ21" s="70">
        <f>IFERROR(('Revenue Forecast'!AZ50-'Revenue Forecast'!AZ49-AZ19)/'Revenue Forecast'!AZ34,0)</f>
        <v/>
      </c>
      <c r="BA21" s="70">
        <f>IFERROR(('Revenue Forecast'!BA50-'Revenue Forecast'!BA49-BA19)/'Revenue Forecast'!BA34,0)</f>
        <v/>
      </c>
      <c r="BB21" s="70">
        <f>IFERROR(('Revenue Forecast'!BB50-'Revenue Forecast'!BB49-BB19)/'Revenue Forecast'!BB34,0)</f>
        <v/>
      </c>
      <c r="BC21" s="70">
        <f>IFERROR(('Revenue Forecast'!BC50-'Revenue Forecast'!BC49-BC19)/'Revenue Forecast'!BC34,0)</f>
        <v/>
      </c>
      <c r="BD21" s="70">
        <f>IFERROR(('Revenue Forecast'!BD50-'Revenue Forecast'!BD49-BD19)/'Revenue Forecast'!BD34,0)</f>
        <v/>
      </c>
      <c r="BE21" s="70">
        <f>IFERROR(('Revenue Forecast'!BE50-'Revenue Forecast'!BE49-BE19)/'Revenue Forecast'!BE34,0)</f>
        <v/>
      </c>
      <c r="BF21" s="70">
        <f>IFERROR(('Revenue Forecast'!BF50-'Revenue Forecast'!BF49-BF19)/'Revenue Forecast'!BF34,0)</f>
        <v/>
      </c>
      <c r="BG21" s="70">
        <f>IFERROR(('Revenue Forecast'!BG50-'Revenue Forecast'!BG49-BG19)/'Revenue Forecast'!BG34,0)</f>
        <v/>
      </c>
      <c r="BH21" s="70">
        <f>IFERROR(('Revenue Forecast'!BH50-'Revenue Forecast'!BH49-BH19)/'Revenue Forecast'!BH34,0)</f>
        <v/>
      </c>
      <c r="BI21" s="70">
        <f>IFERROR(('Revenue Forecast'!BI50-'Revenue Forecast'!BI49-BI19)/'Revenue Forecast'!BI34,0)</f>
        <v/>
      </c>
      <c r="BJ21" s="70">
        <f>IFERROR(('Revenue Forecast'!BJ50-'Revenue Forecast'!BJ49-BJ19)/'Revenue Forecast'!BJ34,0)</f>
        <v/>
      </c>
      <c r="BK21" s="70">
        <f>IFERROR(('Revenue Forecast'!BK50-'Revenue Forecast'!BK49-BK19)/'Revenue Forecast'!BK34,0)</f>
        <v/>
      </c>
      <c r="BL21" s="70">
        <f>IFERROR(('Revenue Forecast'!BL50-'Revenue Forecast'!BL49-BL19)/'Revenue Forecast'!BL34,0)</f>
        <v/>
      </c>
      <c r="BN21" s="71">
        <f>IFERROR(('Revenue Forecast'!BN50-'Revenue Forecast'!BN49-BN19)/'Revenue Forecast'!BN34,0)</f>
        <v/>
      </c>
      <c r="BO21" s="71">
        <f>IFERROR(('Revenue Forecast'!BO50-'Revenue Forecast'!BO49-BO19)/'Revenue Forecast'!BO34,0)</f>
        <v/>
      </c>
      <c r="BP21" s="71">
        <f>IFERROR(('Revenue Forecast'!BP50-'Revenue Forecast'!BP49-BP19)/'Revenue Forecast'!BP34,0)</f>
        <v/>
      </c>
      <c r="BQ21" s="71">
        <f>IFERROR(('Revenue Forecast'!BQ50-'Revenue Forecast'!BQ49-BQ19)/'Revenue Forecast'!BQ34,0)</f>
        <v/>
      </c>
      <c r="BR21" s="71">
        <f>IFERROR(('Revenue Forecast'!BR50-'Revenue Forecast'!BR49-BR19)/'Revenue Forecast'!BR34,0)</f>
        <v/>
      </c>
      <c r="BT21" s="32" t="inlineStr">
        <is>
          <t>trading revenue less cost of sales, per unit; the subsidy is left out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B1:BT44"/>
  <sheetViews>
    <sheetView showGridLines="0" workbookViewId="0">
      <pane xSplit="4" ySplit="3" topLeftCell="E4" activePane="bottomRight" state="frozen"/>
      <selection pane="topRight"/>
      <selection pane="bottomLeft"/>
      <selection pane="bottomRight" activeCell="A1" sqref="A1"/>
    </sheetView>
  </sheetViews>
  <sheetFormatPr baseColWidth="8" defaultRowHeight="15"/>
  <cols>
    <col width="3" customWidth="1" min="1" max="1"/>
    <col width="44" customWidth="1" min="2" max="2"/>
    <col width="13" customWidth="1" min="3" max="3"/>
    <col width="2"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0" customWidth="1" min="39" max="39"/>
    <col width="10" customWidth="1" min="40" max="40"/>
    <col width="10" customWidth="1" min="41" max="41"/>
    <col width="10" customWidth="1" min="42" max="42"/>
    <col width="10" customWidth="1" min="43" max="43"/>
    <col width="10" customWidth="1" min="44" max="44"/>
    <col width="10" customWidth="1" min="45" max="45"/>
    <col width="10" customWidth="1" min="46" max="46"/>
    <col width="10" customWidth="1" min="47" max="47"/>
    <col width="10" customWidth="1" min="48" max="48"/>
    <col width="10" customWidth="1" min="49" max="49"/>
    <col width="10" customWidth="1" min="50" max="50"/>
    <col width="10" customWidth="1" min="51" max="51"/>
    <col width="10" customWidth="1" min="52" max="52"/>
    <col width="10" customWidth="1" min="53" max="53"/>
    <col width="10" customWidth="1" min="54" max="54"/>
    <col width="10" customWidth="1" min="55" max="55"/>
    <col width="10" customWidth="1" min="56" max="56"/>
    <col width="10" customWidth="1" min="57" max="57"/>
    <col width="10" customWidth="1" min="58" max="58"/>
    <col width="10" customWidth="1" min="59" max="59"/>
    <col width="10" customWidth="1" min="60" max="60"/>
    <col width="10" customWidth="1" min="61" max="61"/>
    <col width="10" customWidth="1" min="62" max="62"/>
    <col width="10" customWidth="1" min="63" max="63"/>
    <col width="10" customWidth="1" min="64" max="64"/>
    <col width="2" customWidth="1" min="65" max="65"/>
    <col width="12" customWidth="1" min="66" max="66"/>
    <col width="12" customWidth="1" min="67" max="67"/>
    <col width="12" customWidth="1" min="68" max="68"/>
    <col width="12" customWidth="1" min="69" max="69"/>
    <col width="12" customWidth="1" min="70" max="70"/>
    <col width="2" customWidth="1" min="71" max="71"/>
    <col width="62" customWidth="1" min="72" max="72"/>
  </cols>
  <sheetData>
    <row r="1">
      <c r="B1" s="15" t="inlineStr">
        <is>
          <t>Tarnoc B.V.  Operating Expenses</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row>
    <row r="2">
      <c r="B2" s="3" t="inlineStr">
        <is>
          <t>People come from the Personnel tab. Everything else scales with headcount or partners signed.</t>
        </is>
      </c>
    </row>
    <row r="3">
      <c r="B3" s="2" t="n"/>
      <c r="C3" s="2" t="n"/>
      <c r="D3" s="2" t="n"/>
      <c r="E3" s="48" t="n">
        <v>46023</v>
      </c>
      <c r="F3" s="48" t="n">
        <v>46054</v>
      </c>
      <c r="G3" s="48" t="n">
        <v>46082</v>
      </c>
      <c r="H3" s="48" t="n">
        <v>46113</v>
      </c>
      <c r="I3" s="48" t="n">
        <v>46143</v>
      </c>
      <c r="J3" s="48" t="n">
        <v>46174</v>
      </c>
      <c r="K3" s="48" t="n">
        <v>46204</v>
      </c>
      <c r="L3" s="48" t="n">
        <v>46235</v>
      </c>
      <c r="M3" s="48" t="n">
        <v>46266</v>
      </c>
      <c r="N3" s="48" t="n">
        <v>46296</v>
      </c>
      <c r="O3" s="48" t="n">
        <v>46327</v>
      </c>
      <c r="P3" s="48" t="n">
        <v>46357</v>
      </c>
      <c r="Q3" s="48" t="n">
        <v>46388</v>
      </c>
      <c r="R3" s="48" t="n">
        <v>46419</v>
      </c>
      <c r="S3" s="48" t="n">
        <v>46447</v>
      </c>
      <c r="T3" s="48" t="n">
        <v>46478</v>
      </c>
      <c r="U3" s="48" t="n">
        <v>46508</v>
      </c>
      <c r="V3" s="48" t="n">
        <v>46539</v>
      </c>
      <c r="W3" s="48" t="n">
        <v>46569</v>
      </c>
      <c r="X3" s="48" t="n">
        <v>46600</v>
      </c>
      <c r="Y3" s="48" t="n">
        <v>46631</v>
      </c>
      <c r="Z3" s="48" t="n">
        <v>46661</v>
      </c>
      <c r="AA3" s="48" t="n">
        <v>46692</v>
      </c>
      <c r="AB3" s="48" t="n">
        <v>46722</v>
      </c>
      <c r="AC3" s="48" t="n">
        <v>46753</v>
      </c>
      <c r="AD3" s="48" t="n">
        <v>46784</v>
      </c>
      <c r="AE3" s="48" t="n">
        <v>46813</v>
      </c>
      <c r="AF3" s="48" t="n">
        <v>46844</v>
      </c>
      <c r="AG3" s="48" t="n">
        <v>46874</v>
      </c>
      <c r="AH3" s="48" t="n">
        <v>46905</v>
      </c>
      <c r="AI3" s="48" t="n">
        <v>46935</v>
      </c>
      <c r="AJ3" s="48" t="n">
        <v>46966</v>
      </c>
      <c r="AK3" s="48" t="n">
        <v>46997</v>
      </c>
      <c r="AL3" s="48" t="n">
        <v>47027</v>
      </c>
      <c r="AM3" s="48" t="n">
        <v>47058</v>
      </c>
      <c r="AN3" s="48" t="n">
        <v>47088</v>
      </c>
      <c r="AO3" s="48" t="n">
        <v>47119</v>
      </c>
      <c r="AP3" s="48" t="n">
        <v>47150</v>
      </c>
      <c r="AQ3" s="48" t="n">
        <v>47178</v>
      </c>
      <c r="AR3" s="48" t="n">
        <v>47209</v>
      </c>
      <c r="AS3" s="48" t="n">
        <v>47239</v>
      </c>
      <c r="AT3" s="48" t="n">
        <v>47270</v>
      </c>
      <c r="AU3" s="48" t="n">
        <v>47300</v>
      </c>
      <c r="AV3" s="48" t="n">
        <v>47331</v>
      </c>
      <c r="AW3" s="48" t="n">
        <v>47362</v>
      </c>
      <c r="AX3" s="48" t="n">
        <v>47392</v>
      </c>
      <c r="AY3" s="48" t="n">
        <v>47423</v>
      </c>
      <c r="AZ3" s="48" t="n">
        <v>47453</v>
      </c>
      <c r="BA3" s="48" t="n">
        <v>47484</v>
      </c>
      <c r="BB3" s="48" t="n">
        <v>47515</v>
      </c>
      <c r="BC3" s="48" t="n">
        <v>47543</v>
      </c>
      <c r="BD3" s="48" t="n">
        <v>47574</v>
      </c>
      <c r="BE3" s="48" t="n">
        <v>47604</v>
      </c>
      <c r="BF3" s="48" t="n">
        <v>47635</v>
      </c>
      <c r="BG3" s="48" t="n">
        <v>47665</v>
      </c>
      <c r="BH3" s="48" t="n">
        <v>47696</v>
      </c>
      <c r="BI3" s="48" t="n">
        <v>47727</v>
      </c>
      <c r="BJ3" s="48" t="n">
        <v>47757</v>
      </c>
      <c r="BK3" s="48" t="n">
        <v>47788</v>
      </c>
      <c r="BL3" s="48" t="n">
        <v>47818</v>
      </c>
      <c r="BM3" s="2" t="n"/>
      <c r="BN3" s="49" t="n">
        <v>2026</v>
      </c>
      <c r="BO3" s="49" t="n">
        <v>2027</v>
      </c>
      <c r="BP3" s="49" t="n">
        <v>2028</v>
      </c>
      <c r="BQ3" s="49" t="n">
        <v>2029</v>
      </c>
      <c r="BR3" s="49" t="n">
        <v>2030</v>
      </c>
      <c r="BS3" s="2" t="n"/>
      <c r="BT3" s="3" t="inlineStr">
        <is>
          <t>what this row does</t>
        </is>
      </c>
    </row>
    <row r="5">
      <c r="B5" s="15" t="inlineStr">
        <is>
          <t>PEOPLE</t>
        </is>
      </c>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c r="AA5" s="1" t="n"/>
      <c r="AB5" s="1" t="n"/>
      <c r="AC5" s="1" t="n"/>
      <c r="AD5" s="1" t="n"/>
      <c r="AE5" s="1" t="n"/>
      <c r="AF5" s="1" t="n"/>
      <c r="AG5" s="1" t="n"/>
      <c r="AH5" s="1" t="n"/>
      <c r="AI5" s="1" t="n"/>
      <c r="AJ5" s="1" t="n"/>
      <c r="AK5" s="1" t="n"/>
      <c r="AL5" s="1" t="n"/>
      <c r="AM5" s="1" t="n"/>
      <c r="AN5" s="1" t="n"/>
      <c r="AO5" s="1" t="n"/>
      <c r="AP5" s="1" t="n"/>
      <c r="AQ5" s="1" t="n"/>
      <c r="AR5" s="1" t="n"/>
      <c r="AS5" s="1" t="n"/>
      <c r="AT5" s="1" t="n"/>
      <c r="AU5" s="1" t="n"/>
      <c r="AV5" s="1" t="n"/>
      <c r="AW5" s="1" t="n"/>
      <c r="AX5" s="1" t="n"/>
      <c r="AY5" s="1" t="n"/>
      <c r="AZ5" s="1" t="n"/>
      <c r="BA5" s="1" t="n"/>
      <c r="BB5" s="1" t="n"/>
      <c r="BC5" s="1" t="n"/>
      <c r="BD5" s="1" t="n"/>
      <c r="BE5" s="1" t="n"/>
      <c r="BF5" s="1" t="n"/>
      <c r="BG5" s="1" t="n"/>
      <c r="BH5" s="1" t="n"/>
      <c r="BI5" s="1" t="n"/>
      <c r="BJ5" s="1" t="n"/>
      <c r="BK5" s="1" t="n"/>
      <c r="BL5" s="1" t="n"/>
      <c r="BM5" s="1" t="n"/>
      <c r="BN5" s="1" t="n"/>
      <c r="BO5" s="1" t="n"/>
      <c r="BP5" s="1" t="n"/>
      <c r="BQ5" s="1" t="n"/>
      <c r="BR5" s="1" t="n"/>
      <c r="BS5" s="1" t="n"/>
    </row>
    <row r="6">
      <c r="B6" s="6" t="inlineStr">
        <is>
          <t>Research and development</t>
        </is>
      </c>
      <c r="C6" s="17" t="inlineStr">
        <is>
          <t>EUR</t>
        </is>
      </c>
      <c r="E6" s="10">
        <f>IF(E$3&lt;=Assumptions!$D$12,E38,Personnel!E26)</f>
        <v/>
      </c>
      <c r="F6" s="10">
        <f>IF(F$3&lt;=Assumptions!$D$12,F38,Personnel!F26)</f>
        <v/>
      </c>
      <c r="G6" s="10">
        <f>IF(G$3&lt;=Assumptions!$D$12,G38,Personnel!G26)</f>
        <v/>
      </c>
      <c r="H6" s="10">
        <f>IF(H$3&lt;=Assumptions!$D$12,H38,Personnel!H26)</f>
        <v/>
      </c>
      <c r="I6" s="10">
        <f>IF(I$3&lt;=Assumptions!$D$12,I38,Personnel!I26)</f>
        <v/>
      </c>
      <c r="J6" s="10">
        <f>IF(J$3&lt;=Assumptions!$D$12,J38,Personnel!J26)</f>
        <v/>
      </c>
      <c r="K6" s="10">
        <f>IF(K$3&lt;=Assumptions!$D$12,K38,Personnel!K26)</f>
        <v/>
      </c>
      <c r="L6" s="10">
        <f>IF(L$3&lt;=Assumptions!$D$12,L38,Personnel!L26)</f>
        <v/>
      </c>
      <c r="M6" s="10">
        <f>IF(M$3&lt;=Assumptions!$D$12,M38,Personnel!M26)</f>
        <v/>
      </c>
      <c r="N6" s="10">
        <f>IF(N$3&lt;=Assumptions!$D$12,N38,Personnel!N26)</f>
        <v/>
      </c>
      <c r="O6" s="10">
        <f>IF(O$3&lt;=Assumptions!$D$12,O38,Personnel!O26)</f>
        <v/>
      </c>
      <c r="P6" s="10">
        <f>IF(P$3&lt;=Assumptions!$D$12,P38,Personnel!P26)</f>
        <v/>
      </c>
      <c r="Q6" s="10">
        <f>IF(Q$3&lt;=Assumptions!$D$12,Q38,Personnel!Q26)</f>
        <v/>
      </c>
      <c r="R6" s="10">
        <f>IF(R$3&lt;=Assumptions!$D$12,R38,Personnel!R26)</f>
        <v/>
      </c>
      <c r="S6" s="10">
        <f>IF(S$3&lt;=Assumptions!$D$12,S38,Personnel!S26)</f>
        <v/>
      </c>
      <c r="T6" s="10">
        <f>IF(T$3&lt;=Assumptions!$D$12,T38,Personnel!T26)</f>
        <v/>
      </c>
      <c r="U6" s="10">
        <f>IF(U$3&lt;=Assumptions!$D$12,U38,Personnel!U26)</f>
        <v/>
      </c>
      <c r="V6" s="10">
        <f>IF(V$3&lt;=Assumptions!$D$12,V38,Personnel!V26)</f>
        <v/>
      </c>
      <c r="W6" s="10">
        <f>IF(W$3&lt;=Assumptions!$D$12,W38,Personnel!W26)</f>
        <v/>
      </c>
      <c r="X6" s="10">
        <f>IF(X$3&lt;=Assumptions!$D$12,X38,Personnel!X26)</f>
        <v/>
      </c>
      <c r="Y6" s="10">
        <f>IF(Y$3&lt;=Assumptions!$D$12,Y38,Personnel!Y26)</f>
        <v/>
      </c>
      <c r="Z6" s="10">
        <f>IF(Z$3&lt;=Assumptions!$D$12,Z38,Personnel!Z26)</f>
        <v/>
      </c>
      <c r="AA6" s="10">
        <f>IF(AA$3&lt;=Assumptions!$D$12,AA38,Personnel!AA26)</f>
        <v/>
      </c>
      <c r="AB6" s="10">
        <f>IF(AB$3&lt;=Assumptions!$D$12,AB38,Personnel!AB26)</f>
        <v/>
      </c>
      <c r="AC6" s="10">
        <f>IF(AC$3&lt;=Assumptions!$D$12,AC38,Personnel!AC26)</f>
        <v/>
      </c>
      <c r="AD6" s="10">
        <f>IF(AD$3&lt;=Assumptions!$D$12,AD38,Personnel!AD26)</f>
        <v/>
      </c>
      <c r="AE6" s="10">
        <f>IF(AE$3&lt;=Assumptions!$D$12,AE38,Personnel!AE26)</f>
        <v/>
      </c>
      <c r="AF6" s="10">
        <f>IF(AF$3&lt;=Assumptions!$D$12,AF38,Personnel!AF26)</f>
        <v/>
      </c>
      <c r="AG6" s="10">
        <f>IF(AG$3&lt;=Assumptions!$D$12,AG38,Personnel!AG26)</f>
        <v/>
      </c>
      <c r="AH6" s="10">
        <f>IF(AH$3&lt;=Assumptions!$D$12,AH38,Personnel!AH26)</f>
        <v/>
      </c>
      <c r="AI6" s="10">
        <f>IF(AI$3&lt;=Assumptions!$D$12,AI38,Personnel!AI26)</f>
        <v/>
      </c>
      <c r="AJ6" s="10">
        <f>IF(AJ$3&lt;=Assumptions!$D$12,AJ38,Personnel!AJ26)</f>
        <v/>
      </c>
      <c r="AK6" s="10">
        <f>IF(AK$3&lt;=Assumptions!$D$12,AK38,Personnel!AK26)</f>
        <v/>
      </c>
      <c r="AL6" s="10">
        <f>IF(AL$3&lt;=Assumptions!$D$12,AL38,Personnel!AL26)</f>
        <v/>
      </c>
      <c r="AM6" s="10">
        <f>IF(AM$3&lt;=Assumptions!$D$12,AM38,Personnel!AM26)</f>
        <v/>
      </c>
      <c r="AN6" s="10">
        <f>IF(AN$3&lt;=Assumptions!$D$12,AN38,Personnel!AN26)</f>
        <v/>
      </c>
      <c r="AO6" s="10">
        <f>IF(AO$3&lt;=Assumptions!$D$12,AO38,Personnel!AO26)</f>
        <v/>
      </c>
      <c r="AP6" s="10">
        <f>IF(AP$3&lt;=Assumptions!$D$12,AP38,Personnel!AP26)</f>
        <v/>
      </c>
      <c r="AQ6" s="10">
        <f>IF(AQ$3&lt;=Assumptions!$D$12,AQ38,Personnel!AQ26)</f>
        <v/>
      </c>
      <c r="AR6" s="10">
        <f>IF(AR$3&lt;=Assumptions!$D$12,AR38,Personnel!AR26)</f>
        <v/>
      </c>
      <c r="AS6" s="10">
        <f>IF(AS$3&lt;=Assumptions!$D$12,AS38,Personnel!AS26)</f>
        <v/>
      </c>
      <c r="AT6" s="10">
        <f>IF(AT$3&lt;=Assumptions!$D$12,AT38,Personnel!AT26)</f>
        <v/>
      </c>
      <c r="AU6" s="10">
        <f>IF(AU$3&lt;=Assumptions!$D$12,AU38,Personnel!AU26)</f>
        <v/>
      </c>
      <c r="AV6" s="10">
        <f>IF(AV$3&lt;=Assumptions!$D$12,AV38,Personnel!AV26)</f>
        <v/>
      </c>
      <c r="AW6" s="10">
        <f>IF(AW$3&lt;=Assumptions!$D$12,AW38,Personnel!AW26)</f>
        <v/>
      </c>
      <c r="AX6" s="10">
        <f>IF(AX$3&lt;=Assumptions!$D$12,AX38,Personnel!AX26)</f>
        <v/>
      </c>
      <c r="AY6" s="10">
        <f>IF(AY$3&lt;=Assumptions!$D$12,AY38,Personnel!AY26)</f>
        <v/>
      </c>
      <c r="AZ6" s="10">
        <f>IF(AZ$3&lt;=Assumptions!$D$12,AZ38,Personnel!AZ26)</f>
        <v/>
      </c>
      <c r="BA6" s="10">
        <f>IF(BA$3&lt;=Assumptions!$D$12,BA38,Personnel!BA26)</f>
        <v/>
      </c>
      <c r="BB6" s="10">
        <f>IF(BB$3&lt;=Assumptions!$D$12,BB38,Personnel!BB26)</f>
        <v/>
      </c>
      <c r="BC6" s="10">
        <f>IF(BC$3&lt;=Assumptions!$D$12,BC38,Personnel!BC26)</f>
        <v/>
      </c>
      <c r="BD6" s="10">
        <f>IF(BD$3&lt;=Assumptions!$D$12,BD38,Personnel!BD26)</f>
        <v/>
      </c>
      <c r="BE6" s="10">
        <f>IF(BE$3&lt;=Assumptions!$D$12,BE38,Personnel!BE26)</f>
        <v/>
      </c>
      <c r="BF6" s="10">
        <f>IF(BF$3&lt;=Assumptions!$D$12,BF38,Personnel!BF26)</f>
        <v/>
      </c>
      <c r="BG6" s="10">
        <f>IF(BG$3&lt;=Assumptions!$D$12,BG38,Personnel!BG26)</f>
        <v/>
      </c>
      <c r="BH6" s="10">
        <f>IF(BH$3&lt;=Assumptions!$D$12,BH38,Personnel!BH26)</f>
        <v/>
      </c>
      <c r="BI6" s="10">
        <f>IF(BI$3&lt;=Assumptions!$D$12,BI38,Personnel!BI26)</f>
        <v/>
      </c>
      <c r="BJ6" s="10">
        <f>IF(BJ$3&lt;=Assumptions!$D$12,BJ38,Personnel!BJ26)</f>
        <v/>
      </c>
      <c r="BK6" s="10">
        <f>IF(BK$3&lt;=Assumptions!$D$12,BK38,Personnel!BK26)</f>
        <v/>
      </c>
      <c r="BL6" s="10">
        <f>IF(BL$3&lt;=Assumptions!$D$12,BL38,Personnel!BL26)</f>
        <v/>
      </c>
      <c r="BN6" s="50">
        <f>SUM(E6:P6)</f>
        <v/>
      </c>
      <c r="BO6" s="50">
        <f>SUM(Q6:AB6)</f>
        <v/>
      </c>
      <c r="BP6" s="50">
        <f>SUM(AC6:AN6)</f>
        <v/>
      </c>
      <c r="BQ6" s="50">
        <f>SUM(AO6:AZ6)</f>
        <v/>
      </c>
      <c r="BR6" s="50">
        <f>SUM(BA6:BL6)</f>
        <v/>
      </c>
    </row>
    <row r="7">
      <c r="B7" s="6" t="inlineStr">
        <is>
          <t>Sales and marketing</t>
        </is>
      </c>
      <c r="C7" s="17" t="inlineStr">
        <is>
          <t>EUR</t>
        </is>
      </c>
      <c r="E7" s="10">
        <f>IF(E$3&lt;=Assumptions!$D$12,E39,Personnel!E27)</f>
        <v/>
      </c>
      <c r="F7" s="10">
        <f>IF(F$3&lt;=Assumptions!$D$12,F39,Personnel!F27)</f>
        <v/>
      </c>
      <c r="G7" s="10">
        <f>IF(G$3&lt;=Assumptions!$D$12,G39,Personnel!G27)</f>
        <v/>
      </c>
      <c r="H7" s="10">
        <f>IF(H$3&lt;=Assumptions!$D$12,H39,Personnel!H27)</f>
        <v/>
      </c>
      <c r="I7" s="10">
        <f>IF(I$3&lt;=Assumptions!$D$12,I39,Personnel!I27)</f>
        <v/>
      </c>
      <c r="J7" s="10">
        <f>IF(J$3&lt;=Assumptions!$D$12,J39,Personnel!J27)</f>
        <v/>
      </c>
      <c r="K7" s="10">
        <f>IF(K$3&lt;=Assumptions!$D$12,K39,Personnel!K27)</f>
        <v/>
      </c>
      <c r="L7" s="10">
        <f>IF(L$3&lt;=Assumptions!$D$12,L39,Personnel!L27)</f>
        <v/>
      </c>
      <c r="M7" s="10">
        <f>IF(M$3&lt;=Assumptions!$D$12,M39,Personnel!M27)</f>
        <v/>
      </c>
      <c r="N7" s="10">
        <f>IF(N$3&lt;=Assumptions!$D$12,N39,Personnel!N27)</f>
        <v/>
      </c>
      <c r="O7" s="10">
        <f>IF(O$3&lt;=Assumptions!$D$12,O39,Personnel!O27)</f>
        <v/>
      </c>
      <c r="P7" s="10">
        <f>IF(P$3&lt;=Assumptions!$D$12,P39,Personnel!P27)</f>
        <v/>
      </c>
      <c r="Q7" s="10">
        <f>IF(Q$3&lt;=Assumptions!$D$12,Q39,Personnel!Q27)</f>
        <v/>
      </c>
      <c r="R7" s="10">
        <f>IF(R$3&lt;=Assumptions!$D$12,R39,Personnel!R27)</f>
        <v/>
      </c>
      <c r="S7" s="10">
        <f>IF(S$3&lt;=Assumptions!$D$12,S39,Personnel!S27)</f>
        <v/>
      </c>
      <c r="T7" s="10">
        <f>IF(T$3&lt;=Assumptions!$D$12,T39,Personnel!T27)</f>
        <v/>
      </c>
      <c r="U7" s="10">
        <f>IF(U$3&lt;=Assumptions!$D$12,U39,Personnel!U27)</f>
        <v/>
      </c>
      <c r="V7" s="10">
        <f>IF(V$3&lt;=Assumptions!$D$12,V39,Personnel!V27)</f>
        <v/>
      </c>
      <c r="W7" s="10">
        <f>IF(W$3&lt;=Assumptions!$D$12,W39,Personnel!W27)</f>
        <v/>
      </c>
      <c r="X7" s="10">
        <f>IF(X$3&lt;=Assumptions!$D$12,X39,Personnel!X27)</f>
        <v/>
      </c>
      <c r="Y7" s="10">
        <f>IF(Y$3&lt;=Assumptions!$D$12,Y39,Personnel!Y27)</f>
        <v/>
      </c>
      <c r="Z7" s="10">
        <f>IF(Z$3&lt;=Assumptions!$D$12,Z39,Personnel!Z27)</f>
        <v/>
      </c>
      <c r="AA7" s="10">
        <f>IF(AA$3&lt;=Assumptions!$D$12,AA39,Personnel!AA27)</f>
        <v/>
      </c>
      <c r="AB7" s="10">
        <f>IF(AB$3&lt;=Assumptions!$D$12,AB39,Personnel!AB27)</f>
        <v/>
      </c>
      <c r="AC7" s="10">
        <f>IF(AC$3&lt;=Assumptions!$D$12,AC39,Personnel!AC27)</f>
        <v/>
      </c>
      <c r="AD7" s="10">
        <f>IF(AD$3&lt;=Assumptions!$D$12,AD39,Personnel!AD27)</f>
        <v/>
      </c>
      <c r="AE7" s="10">
        <f>IF(AE$3&lt;=Assumptions!$D$12,AE39,Personnel!AE27)</f>
        <v/>
      </c>
      <c r="AF7" s="10">
        <f>IF(AF$3&lt;=Assumptions!$D$12,AF39,Personnel!AF27)</f>
        <v/>
      </c>
      <c r="AG7" s="10">
        <f>IF(AG$3&lt;=Assumptions!$D$12,AG39,Personnel!AG27)</f>
        <v/>
      </c>
      <c r="AH7" s="10">
        <f>IF(AH$3&lt;=Assumptions!$D$12,AH39,Personnel!AH27)</f>
        <v/>
      </c>
      <c r="AI7" s="10">
        <f>IF(AI$3&lt;=Assumptions!$D$12,AI39,Personnel!AI27)</f>
        <v/>
      </c>
      <c r="AJ7" s="10">
        <f>IF(AJ$3&lt;=Assumptions!$D$12,AJ39,Personnel!AJ27)</f>
        <v/>
      </c>
      <c r="AK7" s="10">
        <f>IF(AK$3&lt;=Assumptions!$D$12,AK39,Personnel!AK27)</f>
        <v/>
      </c>
      <c r="AL7" s="10">
        <f>IF(AL$3&lt;=Assumptions!$D$12,AL39,Personnel!AL27)</f>
        <v/>
      </c>
      <c r="AM7" s="10">
        <f>IF(AM$3&lt;=Assumptions!$D$12,AM39,Personnel!AM27)</f>
        <v/>
      </c>
      <c r="AN7" s="10">
        <f>IF(AN$3&lt;=Assumptions!$D$12,AN39,Personnel!AN27)</f>
        <v/>
      </c>
      <c r="AO7" s="10">
        <f>IF(AO$3&lt;=Assumptions!$D$12,AO39,Personnel!AO27)</f>
        <v/>
      </c>
      <c r="AP7" s="10">
        <f>IF(AP$3&lt;=Assumptions!$D$12,AP39,Personnel!AP27)</f>
        <v/>
      </c>
      <c r="AQ7" s="10">
        <f>IF(AQ$3&lt;=Assumptions!$D$12,AQ39,Personnel!AQ27)</f>
        <v/>
      </c>
      <c r="AR7" s="10">
        <f>IF(AR$3&lt;=Assumptions!$D$12,AR39,Personnel!AR27)</f>
        <v/>
      </c>
      <c r="AS7" s="10">
        <f>IF(AS$3&lt;=Assumptions!$D$12,AS39,Personnel!AS27)</f>
        <v/>
      </c>
      <c r="AT7" s="10">
        <f>IF(AT$3&lt;=Assumptions!$D$12,AT39,Personnel!AT27)</f>
        <v/>
      </c>
      <c r="AU7" s="10">
        <f>IF(AU$3&lt;=Assumptions!$D$12,AU39,Personnel!AU27)</f>
        <v/>
      </c>
      <c r="AV7" s="10">
        <f>IF(AV$3&lt;=Assumptions!$D$12,AV39,Personnel!AV27)</f>
        <v/>
      </c>
      <c r="AW7" s="10">
        <f>IF(AW$3&lt;=Assumptions!$D$12,AW39,Personnel!AW27)</f>
        <v/>
      </c>
      <c r="AX7" s="10">
        <f>IF(AX$3&lt;=Assumptions!$D$12,AX39,Personnel!AX27)</f>
        <v/>
      </c>
      <c r="AY7" s="10">
        <f>IF(AY$3&lt;=Assumptions!$D$12,AY39,Personnel!AY27)</f>
        <v/>
      </c>
      <c r="AZ7" s="10">
        <f>IF(AZ$3&lt;=Assumptions!$D$12,AZ39,Personnel!AZ27)</f>
        <v/>
      </c>
      <c r="BA7" s="10">
        <f>IF(BA$3&lt;=Assumptions!$D$12,BA39,Personnel!BA27)</f>
        <v/>
      </c>
      <c r="BB7" s="10">
        <f>IF(BB$3&lt;=Assumptions!$D$12,BB39,Personnel!BB27)</f>
        <v/>
      </c>
      <c r="BC7" s="10">
        <f>IF(BC$3&lt;=Assumptions!$D$12,BC39,Personnel!BC27)</f>
        <v/>
      </c>
      <c r="BD7" s="10">
        <f>IF(BD$3&lt;=Assumptions!$D$12,BD39,Personnel!BD27)</f>
        <v/>
      </c>
      <c r="BE7" s="10">
        <f>IF(BE$3&lt;=Assumptions!$D$12,BE39,Personnel!BE27)</f>
        <v/>
      </c>
      <c r="BF7" s="10">
        <f>IF(BF$3&lt;=Assumptions!$D$12,BF39,Personnel!BF27)</f>
        <v/>
      </c>
      <c r="BG7" s="10">
        <f>IF(BG$3&lt;=Assumptions!$D$12,BG39,Personnel!BG27)</f>
        <v/>
      </c>
      <c r="BH7" s="10">
        <f>IF(BH$3&lt;=Assumptions!$D$12,BH39,Personnel!BH27)</f>
        <v/>
      </c>
      <c r="BI7" s="10">
        <f>IF(BI$3&lt;=Assumptions!$D$12,BI39,Personnel!BI27)</f>
        <v/>
      </c>
      <c r="BJ7" s="10">
        <f>IF(BJ$3&lt;=Assumptions!$D$12,BJ39,Personnel!BJ27)</f>
        <v/>
      </c>
      <c r="BK7" s="10">
        <f>IF(BK$3&lt;=Assumptions!$D$12,BK39,Personnel!BK27)</f>
        <v/>
      </c>
      <c r="BL7" s="10">
        <f>IF(BL$3&lt;=Assumptions!$D$12,BL39,Personnel!BL27)</f>
        <v/>
      </c>
      <c r="BN7" s="50">
        <f>SUM(E7:P7)</f>
        <v/>
      </c>
      <c r="BO7" s="50">
        <f>SUM(Q7:AB7)</f>
        <v/>
      </c>
      <c r="BP7" s="50">
        <f>SUM(AC7:AN7)</f>
        <v/>
      </c>
      <c r="BQ7" s="50">
        <f>SUM(AO7:AZ7)</f>
        <v/>
      </c>
      <c r="BR7" s="50">
        <f>SUM(BA7:BL7)</f>
        <v/>
      </c>
    </row>
    <row r="8">
      <c r="B8" s="6" t="inlineStr">
        <is>
          <t>General and administrative</t>
        </is>
      </c>
      <c r="C8" s="17" t="inlineStr">
        <is>
          <t>EUR</t>
        </is>
      </c>
      <c r="E8" s="10">
        <f>IF(E$3&lt;=Assumptions!$D$12,E40,Personnel!E28)</f>
        <v/>
      </c>
      <c r="F8" s="10">
        <f>IF(F$3&lt;=Assumptions!$D$12,F40,Personnel!F28)</f>
        <v/>
      </c>
      <c r="G8" s="10">
        <f>IF(G$3&lt;=Assumptions!$D$12,G40,Personnel!G28)</f>
        <v/>
      </c>
      <c r="H8" s="10">
        <f>IF(H$3&lt;=Assumptions!$D$12,H40,Personnel!H28)</f>
        <v/>
      </c>
      <c r="I8" s="10">
        <f>IF(I$3&lt;=Assumptions!$D$12,I40,Personnel!I28)</f>
        <v/>
      </c>
      <c r="J8" s="10">
        <f>IF(J$3&lt;=Assumptions!$D$12,J40,Personnel!J28)</f>
        <v/>
      </c>
      <c r="K8" s="10">
        <f>IF(K$3&lt;=Assumptions!$D$12,K40,Personnel!K28)</f>
        <v/>
      </c>
      <c r="L8" s="10">
        <f>IF(L$3&lt;=Assumptions!$D$12,L40,Personnel!L28)</f>
        <v/>
      </c>
      <c r="M8" s="10">
        <f>IF(M$3&lt;=Assumptions!$D$12,M40,Personnel!M28)</f>
        <v/>
      </c>
      <c r="N8" s="10">
        <f>IF(N$3&lt;=Assumptions!$D$12,N40,Personnel!N28)</f>
        <v/>
      </c>
      <c r="O8" s="10">
        <f>IF(O$3&lt;=Assumptions!$D$12,O40,Personnel!O28)</f>
        <v/>
      </c>
      <c r="P8" s="10">
        <f>IF(P$3&lt;=Assumptions!$D$12,P40,Personnel!P28)</f>
        <v/>
      </c>
      <c r="Q8" s="10">
        <f>IF(Q$3&lt;=Assumptions!$D$12,Q40,Personnel!Q28)</f>
        <v/>
      </c>
      <c r="R8" s="10">
        <f>IF(R$3&lt;=Assumptions!$D$12,R40,Personnel!R28)</f>
        <v/>
      </c>
      <c r="S8" s="10">
        <f>IF(S$3&lt;=Assumptions!$D$12,S40,Personnel!S28)</f>
        <v/>
      </c>
      <c r="T8" s="10">
        <f>IF(T$3&lt;=Assumptions!$D$12,T40,Personnel!T28)</f>
        <v/>
      </c>
      <c r="U8" s="10">
        <f>IF(U$3&lt;=Assumptions!$D$12,U40,Personnel!U28)</f>
        <v/>
      </c>
      <c r="V8" s="10">
        <f>IF(V$3&lt;=Assumptions!$D$12,V40,Personnel!V28)</f>
        <v/>
      </c>
      <c r="W8" s="10">
        <f>IF(W$3&lt;=Assumptions!$D$12,W40,Personnel!W28)</f>
        <v/>
      </c>
      <c r="X8" s="10">
        <f>IF(X$3&lt;=Assumptions!$D$12,X40,Personnel!X28)</f>
        <v/>
      </c>
      <c r="Y8" s="10">
        <f>IF(Y$3&lt;=Assumptions!$D$12,Y40,Personnel!Y28)</f>
        <v/>
      </c>
      <c r="Z8" s="10">
        <f>IF(Z$3&lt;=Assumptions!$D$12,Z40,Personnel!Z28)</f>
        <v/>
      </c>
      <c r="AA8" s="10">
        <f>IF(AA$3&lt;=Assumptions!$D$12,AA40,Personnel!AA28)</f>
        <v/>
      </c>
      <c r="AB8" s="10">
        <f>IF(AB$3&lt;=Assumptions!$D$12,AB40,Personnel!AB28)</f>
        <v/>
      </c>
      <c r="AC8" s="10">
        <f>IF(AC$3&lt;=Assumptions!$D$12,AC40,Personnel!AC28)</f>
        <v/>
      </c>
      <c r="AD8" s="10">
        <f>IF(AD$3&lt;=Assumptions!$D$12,AD40,Personnel!AD28)</f>
        <v/>
      </c>
      <c r="AE8" s="10">
        <f>IF(AE$3&lt;=Assumptions!$D$12,AE40,Personnel!AE28)</f>
        <v/>
      </c>
      <c r="AF8" s="10">
        <f>IF(AF$3&lt;=Assumptions!$D$12,AF40,Personnel!AF28)</f>
        <v/>
      </c>
      <c r="AG8" s="10">
        <f>IF(AG$3&lt;=Assumptions!$D$12,AG40,Personnel!AG28)</f>
        <v/>
      </c>
      <c r="AH8" s="10">
        <f>IF(AH$3&lt;=Assumptions!$D$12,AH40,Personnel!AH28)</f>
        <v/>
      </c>
      <c r="AI8" s="10">
        <f>IF(AI$3&lt;=Assumptions!$D$12,AI40,Personnel!AI28)</f>
        <v/>
      </c>
      <c r="AJ8" s="10">
        <f>IF(AJ$3&lt;=Assumptions!$D$12,AJ40,Personnel!AJ28)</f>
        <v/>
      </c>
      <c r="AK8" s="10">
        <f>IF(AK$3&lt;=Assumptions!$D$12,AK40,Personnel!AK28)</f>
        <v/>
      </c>
      <c r="AL8" s="10">
        <f>IF(AL$3&lt;=Assumptions!$D$12,AL40,Personnel!AL28)</f>
        <v/>
      </c>
      <c r="AM8" s="10">
        <f>IF(AM$3&lt;=Assumptions!$D$12,AM40,Personnel!AM28)</f>
        <v/>
      </c>
      <c r="AN8" s="10">
        <f>IF(AN$3&lt;=Assumptions!$D$12,AN40,Personnel!AN28)</f>
        <v/>
      </c>
      <c r="AO8" s="10">
        <f>IF(AO$3&lt;=Assumptions!$D$12,AO40,Personnel!AO28)</f>
        <v/>
      </c>
      <c r="AP8" s="10">
        <f>IF(AP$3&lt;=Assumptions!$D$12,AP40,Personnel!AP28)</f>
        <v/>
      </c>
      <c r="AQ8" s="10">
        <f>IF(AQ$3&lt;=Assumptions!$D$12,AQ40,Personnel!AQ28)</f>
        <v/>
      </c>
      <c r="AR8" s="10">
        <f>IF(AR$3&lt;=Assumptions!$D$12,AR40,Personnel!AR28)</f>
        <v/>
      </c>
      <c r="AS8" s="10">
        <f>IF(AS$3&lt;=Assumptions!$D$12,AS40,Personnel!AS28)</f>
        <v/>
      </c>
      <c r="AT8" s="10">
        <f>IF(AT$3&lt;=Assumptions!$D$12,AT40,Personnel!AT28)</f>
        <v/>
      </c>
      <c r="AU8" s="10">
        <f>IF(AU$3&lt;=Assumptions!$D$12,AU40,Personnel!AU28)</f>
        <v/>
      </c>
      <c r="AV8" s="10">
        <f>IF(AV$3&lt;=Assumptions!$D$12,AV40,Personnel!AV28)</f>
        <v/>
      </c>
      <c r="AW8" s="10">
        <f>IF(AW$3&lt;=Assumptions!$D$12,AW40,Personnel!AW28)</f>
        <v/>
      </c>
      <c r="AX8" s="10">
        <f>IF(AX$3&lt;=Assumptions!$D$12,AX40,Personnel!AX28)</f>
        <v/>
      </c>
      <c r="AY8" s="10">
        <f>IF(AY$3&lt;=Assumptions!$D$12,AY40,Personnel!AY28)</f>
        <v/>
      </c>
      <c r="AZ8" s="10">
        <f>IF(AZ$3&lt;=Assumptions!$D$12,AZ40,Personnel!AZ28)</f>
        <v/>
      </c>
      <c r="BA8" s="10">
        <f>IF(BA$3&lt;=Assumptions!$D$12,BA40,Personnel!BA28)</f>
        <v/>
      </c>
      <c r="BB8" s="10">
        <f>IF(BB$3&lt;=Assumptions!$D$12,BB40,Personnel!BB28)</f>
        <v/>
      </c>
      <c r="BC8" s="10">
        <f>IF(BC$3&lt;=Assumptions!$D$12,BC40,Personnel!BC28)</f>
        <v/>
      </c>
      <c r="BD8" s="10">
        <f>IF(BD$3&lt;=Assumptions!$D$12,BD40,Personnel!BD28)</f>
        <v/>
      </c>
      <c r="BE8" s="10">
        <f>IF(BE$3&lt;=Assumptions!$D$12,BE40,Personnel!BE28)</f>
        <v/>
      </c>
      <c r="BF8" s="10">
        <f>IF(BF$3&lt;=Assumptions!$D$12,BF40,Personnel!BF28)</f>
        <v/>
      </c>
      <c r="BG8" s="10">
        <f>IF(BG$3&lt;=Assumptions!$D$12,BG40,Personnel!BG28)</f>
        <v/>
      </c>
      <c r="BH8" s="10">
        <f>IF(BH$3&lt;=Assumptions!$D$12,BH40,Personnel!BH28)</f>
        <v/>
      </c>
      <c r="BI8" s="10">
        <f>IF(BI$3&lt;=Assumptions!$D$12,BI40,Personnel!BI28)</f>
        <v/>
      </c>
      <c r="BJ8" s="10">
        <f>IF(BJ$3&lt;=Assumptions!$D$12,BJ40,Personnel!BJ28)</f>
        <v/>
      </c>
      <c r="BK8" s="10">
        <f>IF(BK$3&lt;=Assumptions!$D$12,BK40,Personnel!BK28)</f>
        <v/>
      </c>
      <c r="BL8" s="10">
        <f>IF(BL$3&lt;=Assumptions!$D$12,BL40,Personnel!BL28)</f>
        <v/>
      </c>
      <c r="BN8" s="50">
        <f>SUM(E8:P8)</f>
        <v/>
      </c>
      <c r="BO8" s="50">
        <f>SUM(Q8:AB8)</f>
        <v/>
      </c>
      <c r="BP8" s="50">
        <f>SUM(AC8:AN8)</f>
        <v/>
      </c>
      <c r="BQ8" s="50">
        <f>SUM(AO8:AZ8)</f>
        <v/>
      </c>
      <c r="BR8" s="50">
        <f>SUM(BA8:BL8)</f>
        <v/>
      </c>
    </row>
    <row r="9">
      <c r="B9" s="56" t="inlineStr">
        <is>
          <t>Total people cost</t>
        </is>
      </c>
      <c r="C9" s="57" t="inlineStr">
        <is>
          <t>EUR</t>
        </is>
      </c>
      <c r="E9" s="37">
        <f>SUM(E6:E8)</f>
        <v/>
      </c>
      <c r="F9" s="37">
        <f>SUM(F6:F8)</f>
        <v/>
      </c>
      <c r="G9" s="37">
        <f>SUM(G6:G8)</f>
        <v/>
      </c>
      <c r="H9" s="37">
        <f>SUM(H6:H8)</f>
        <v/>
      </c>
      <c r="I9" s="37">
        <f>SUM(I6:I8)</f>
        <v/>
      </c>
      <c r="J9" s="37">
        <f>SUM(J6:J8)</f>
        <v/>
      </c>
      <c r="K9" s="37">
        <f>SUM(K6:K8)</f>
        <v/>
      </c>
      <c r="L9" s="37">
        <f>SUM(L6:L8)</f>
        <v/>
      </c>
      <c r="M9" s="37">
        <f>SUM(M6:M8)</f>
        <v/>
      </c>
      <c r="N9" s="37">
        <f>SUM(N6:N8)</f>
        <v/>
      </c>
      <c r="O9" s="37">
        <f>SUM(O6:O8)</f>
        <v/>
      </c>
      <c r="P9" s="37">
        <f>SUM(P6:P8)</f>
        <v/>
      </c>
      <c r="Q9" s="37">
        <f>SUM(Q6:Q8)</f>
        <v/>
      </c>
      <c r="R9" s="37">
        <f>SUM(R6:R8)</f>
        <v/>
      </c>
      <c r="S9" s="37">
        <f>SUM(S6:S8)</f>
        <v/>
      </c>
      <c r="T9" s="37">
        <f>SUM(T6:T8)</f>
        <v/>
      </c>
      <c r="U9" s="37">
        <f>SUM(U6:U8)</f>
        <v/>
      </c>
      <c r="V9" s="37">
        <f>SUM(V6:V8)</f>
        <v/>
      </c>
      <c r="W9" s="37">
        <f>SUM(W6:W8)</f>
        <v/>
      </c>
      <c r="X9" s="37">
        <f>SUM(X6:X8)</f>
        <v/>
      </c>
      <c r="Y9" s="37">
        <f>SUM(Y6:Y8)</f>
        <v/>
      </c>
      <c r="Z9" s="37">
        <f>SUM(Z6:Z8)</f>
        <v/>
      </c>
      <c r="AA9" s="37">
        <f>SUM(AA6:AA8)</f>
        <v/>
      </c>
      <c r="AB9" s="37">
        <f>SUM(AB6:AB8)</f>
        <v/>
      </c>
      <c r="AC9" s="37">
        <f>SUM(AC6:AC8)</f>
        <v/>
      </c>
      <c r="AD9" s="37">
        <f>SUM(AD6:AD8)</f>
        <v/>
      </c>
      <c r="AE9" s="37">
        <f>SUM(AE6:AE8)</f>
        <v/>
      </c>
      <c r="AF9" s="37">
        <f>SUM(AF6:AF8)</f>
        <v/>
      </c>
      <c r="AG9" s="37">
        <f>SUM(AG6:AG8)</f>
        <v/>
      </c>
      <c r="AH9" s="37">
        <f>SUM(AH6:AH8)</f>
        <v/>
      </c>
      <c r="AI9" s="37">
        <f>SUM(AI6:AI8)</f>
        <v/>
      </c>
      <c r="AJ9" s="37">
        <f>SUM(AJ6:AJ8)</f>
        <v/>
      </c>
      <c r="AK9" s="37">
        <f>SUM(AK6:AK8)</f>
        <v/>
      </c>
      <c r="AL9" s="37">
        <f>SUM(AL6:AL8)</f>
        <v/>
      </c>
      <c r="AM9" s="37">
        <f>SUM(AM6:AM8)</f>
        <v/>
      </c>
      <c r="AN9" s="37">
        <f>SUM(AN6:AN8)</f>
        <v/>
      </c>
      <c r="AO9" s="37">
        <f>SUM(AO6:AO8)</f>
        <v/>
      </c>
      <c r="AP9" s="37">
        <f>SUM(AP6:AP8)</f>
        <v/>
      </c>
      <c r="AQ9" s="37">
        <f>SUM(AQ6:AQ8)</f>
        <v/>
      </c>
      <c r="AR9" s="37">
        <f>SUM(AR6:AR8)</f>
        <v/>
      </c>
      <c r="AS9" s="37">
        <f>SUM(AS6:AS8)</f>
        <v/>
      </c>
      <c r="AT9" s="37">
        <f>SUM(AT6:AT8)</f>
        <v/>
      </c>
      <c r="AU9" s="37">
        <f>SUM(AU6:AU8)</f>
        <v/>
      </c>
      <c r="AV9" s="37">
        <f>SUM(AV6:AV8)</f>
        <v/>
      </c>
      <c r="AW9" s="37">
        <f>SUM(AW6:AW8)</f>
        <v/>
      </c>
      <c r="AX9" s="37">
        <f>SUM(AX6:AX8)</f>
        <v/>
      </c>
      <c r="AY9" s="37">
        <f>SUM(AY6:AY8)</f>
        <v/>
      </c>
      <c r="AZ9" s="37">
        <f>SUM(AZ6:AZ8)</f>
        <v/>
      </c>
      <c r="BA9" s="37">
        <f>SUM(BA6:BA8)</f>
        <v/>
      </c>
      <c r="BB9" s="37">
        <f>SUM(BB6:BB8)</f>
        <v/>
      </c>
      <c r="BC9" s="37">
        <f>SUM(BC6:BC8)</f>
        <v/>
      </c>
      <c r="BD9" s="37">
        <f>SUM(BD6:BD8)</f>
        <v/>
      </c>
      <c r="BE9" s="37">
        <f>SUM(BE6:BE8)</f>
        <v/>
      </c>
      <c r="BF9" s="37">
        <f>SUM(BF6:BF8)</f>
        <v/>
      </c>
      <c r="BG9" s="37">
        <f>SUM(BG6:BG8)</f>
        <v/>
      </c>
      <c r="BH9" s="37">
        <f>SUM(BH6:BH8)</f>
        <v/>
      </c>
      <c r="BI9" s="37">
        <f>SUM(BI6:BI8)</f>
        <v/>
      </c>
      <c r="BJ9" s="37">
        <f>SUM(BJ6:BJ8)</f>
        <v/>
      </c>
      <c r="BK9" s="37">
        <f>SUM(BK6:BK8)</f>
        <v/>
      </c>
      <c r="BL9" s="37">
        <f>SUM(BL6:BL8)</f>
        <v/>
      </c>
      <c r="BN9" s="37">
        <f>SUM(E9:P9)</f>
        <v/>
      </c>
      <c r="BO9" s="37">
        <f>SUM(Q9:AB9)</f>
        <v/>
      </c>
      <c r="BP9" s="37">
        <f>SUM(AC9:AN9)</f>
        <v/>
      </c>
      <c r="BQ9" s="37">
        <f>SUM(AO9:AZ9)</f>
        <v/>
      </c>
      <c r="BR9" s="37">
        <f>SUM(BA9:BL9)</f>
        <v/>
      </c>
    </row>
    <row r="11">
      <c r="B11" s="15" t="inlineStr">
        <is>
          <t>SALES AND MARKETING, EVERYTHING ELSE</t>
        </is>
      </c>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c r="AA11" s="1" t="n"/>
      <c r="AB11" s="1" t="n"/>
      <c r="AC11" s="1" t="n"/>
      <c r="AD11" s="1" t="n"/>
      <c r="AE11" s="1" t="n"/>
      <c r="AF11" s="1" t="n"/>
      <c r="AG11" s="1" t="n"/>
      <c r="AH11" s="1" t="n"/>
      <c r="AI11" s="1" t="n"/>
      <c r="AJ11" s="1" t="n"/>
      <c r="AK11" s="1" t="n"/>
      <c r="AL11" s="1" t="n"/>
      <c r="AM11" s="1" t="n"/>
      <c r="AN11" s="1" t="n"/>
      <c r="AO11" s="1" t="n"/>
      <c r="AP11" s="1" t="n"/>
      <c r="AQ11" s="1" t="n"/>
      <c r="AR11" s="1" t="n"/>
      <c r="AS11" s="1" t="n"/>
      <c r="AT11" s="1" t="n"/>
      <c r="AU11" s="1" t="n"/>
      <c r="AV11" s="1" t="n"/>
      <c r="AW11" s="1" t="n"/>
      <c r="AX11" s="1" t="n"/>
      <c r="AY11" s="1" t="n"/>
      <c r="AZ11" s="1" t="n"/>
      <c r="BA11" s="1" t="n"/>
      <c r="BB11" s="1" t="n"/>
      <c r="BC11" s="1" t="n"/>
      <c r="BD11" s="1" t="n"/>
      <c r="BE11" s="1" t="n"/>
      <c r="BF11" s="1" t="n"/>
      <c r="BG11" s="1" t="n"/>
      <c r="BH11" s="1" t="n"/>
      <c r="BI11" s="1" t="n"/>
      <c r="BJ11" s="1" t="n"/>
      <c r="BK11" s="1" t="n"/>
      <c r="BL11" s="1" t="n"/>
      <c r="BM11" s="1" t="n"/>
      <c r="BN11" s="1" t="n"/>
      <c r="BO11" s="1" t="n"/>
      <c r="BP11" s="1" t="n"/>
      <c r="BQ11" s="1" t="n"/>
      <c r="BR11" s="1" t="n"/>
      <c r="BS11" s="1" t="n"/>
    </row>
    <row r="12">
      <c r="B12" s="6" t="inlineStr">
        <is>
          <t>Performance marketing</t>
        </is>
      </c>
      <c r="C12" s="17" t="inlineStr">
        <is>
          <t>EUR</t>
        </is>
      </c>
      <c r="E12" s="10">
        <f>'Revenue Forecast'!E6</f>
        <v/>
      </c>
      <c r="F12" s="10">
        <f>'Revenue Forecast'!F6</f>
        <v/>
      </c>
      <c r="G12" s="10">
        <f>'Revenue Forecast'!G6</f>
        <v/>
      </c>
      <c r="H12" s="10">
        <f>'Revenue Forecast'!H6</f>
        <v/>
      </c>
      <c r="I12" s="10">
        <f>'Revenue Forecast'!I6</f>
        <v/>
      </c>
      <c r="J12" s="10">
        <f>'Revenue Forecast'!J6</f>
        <v/>
      </c>
      <c r="K12" s="10">
        <f>'Revenue Forecast'!K6</f>
        <v/>
      </c>
      <c r="L12" s="10">
        <f>'Revenue Forecast'!L6</f>
        <v/>
      </c>
      <c r="M12" s="10">
        <f>'Revenue Forecast'!M6</f>
        <v/>
      </c>
      <c r="N12" s="10">
        <f>'Revenue Forecast'!N6</f>
        <v/>
      </c>
      <c r="O12" s="10">
        <f>'Revenue Forecast'!O6</f>
        <v/>
      </c>
      <c r="P12" s="10">
        <f>'Revenue Forecast'!P6</f>
        <v/>
      </c>
      <c r="Q12" s="10">
        <f>'Revenue Forecast'!Q6</f>
        <v/>
      </c>
      <c r="R12" s="10">
        <f>'Revenue Forecast'!R6</f>
        <v/>
      </c>
      <c r="S12" s="10">
        <f>'Revenue Forecast'!S6</f>
        <v/>
      </c>
      <c r="T12" s="10">
        <f>'Revenue Forecast'!T6</f>
        <v/>
      </c>
      <c r="U12" s="10">
        <f>'Revenue Forecast'!U6</f>
        <v/>
      </c>
      <c r="V12" s="10">
        <f>'Revenue Forecast'!V6</f>
        <v/>
      </c>
      <c r="W12" s="10">
        <f>'Revenue Forecast'!W6</f>
        <v/>
      </c>
      <c r="X12" s="10">
        <f>'Revenue Forecast'!X6</f>
        <v/>
      </c>
      <c r="Y12" s="10">
        <f>'Revenue Forecast'!Y6</f>
        <v/>
      </c>
      <c r="Z12" s="10">
        <f>'Revenue Forecast'!Z6</f>
        <v/>
      </c>
      <c r="AA12" s="10">
        <f>'Revenue Forecast'!AA6</f>
        <v/>
      </c>
      <c r="AB12" s="10">
        <f>'Revenue Forecast'!AB6</f>
        <v/>
      </c>
      <c r="AC12" s="10">
        <f>'Revenue Forecast'!AC6</f>
        <v/>
      </c>
      <c r="AD12" s="10">
        <f>'Revenue Forecast'!AD6</f>
        <v/>
      </c>
      <c r="AE12" s="10">
        <f>'Revenue Forecast'!AE6</f>
        <v/>
      </c>
      <c r="AF12" s="10">
        <f>'Revenue Forecast'!AF6</f>
        <v/>
      </c>
      <c r="AG12" s="10">
        <f>'Revenue Forecast'!AG6</f>
        <v/>
      </c>
      <c r="AH12" s="10">
        <f>'Revenue Forecast'!AH6</f>
        <v/>
      </c>
      <c r="AI12" s="10">
        <f>'Revenue Forecast'!AI6</f>
        <v/>
      </c>
      <c r="AJ12" s="10">
        <f>'Revenue Forecast'!AJ6</f>
        <v/>
      </c>
      <c r="AK12" s="10">
        <f>'Revenue Forecast'!AK6</f>
        <v/>
      </c>
      <c r="AL12" s="10">
        <f>'Revenue Forecast'!AL6</f>
        <v/>
      </c>
      <c r="AM12" s="10">
        <f>'Revenue Forecast'!AM6</f>
        <v/>
      </c>
      <c r="AN12" s="10">
        <f>'Revenue Forecast'!AN6</f>
        <v/>
      </c>
      <c r="AO12" s="10">
        <f>'Revenue Forecast'!AO6</f>
        <v/>
      </c>
      <c r="AP12" s="10">
        <f>'Revenue Forecast'!AP6</f>
        <v/>
      </c>
      <c r="AQ12" s="10">
        <f>'Revenue Forecast'!AQ6</f>
        <v/>
      </c>
      <c r="AR12" s="10">
        <f>'Revenue Forecast'!AR6</f>
        <v/>
      </c>
      <c r="AS12" s="10">
        <f>'Revenue Forecast'!AS6</f>
        <v/>
      </c>
      <c r="AT12" s="10">
        <f>'Revenue Forecast'!AT6</f>
        <v/>
      </c>
      <c r="AU12" s="10">
        <f>'Revenue Forecast'!AU6</f>
        <v/>
      </c>
      <c r="AV12" s="10">
        <f>'Revenue Forecast'!AV6</f>
        <v/>
      </c>
      <c r="AW12" s="10">
        <f>'Revenue Forecast'!AW6</f>
        <v/>
      </c>
      <c r="AX12" s="10">
        <f>'Revenue Forecast'!AX6</f>
        <v/>
      </c>
      <c r="AY12" s="10">
        <f>'Revenue Forecast'!AY6</f>
        <v/>
      </c>
      <c r="AZ12" s="10">
        <f>'Revenue Forecast'!AZ6</f>
        <v/>
      </c>
      <c r="BA12" s="10">
        <f>'Revenue Forecast'!BA6</f>
        <v/>
      </c>
      <c r="BB12" s="10">
        <f>'Revenue Forecast'!BB6</f>
        <v/>
      </c>
      <c r="BC12" s="10">
        <f>'Revenue Forecast'!BC6</f>
        <v/>
      </c>
      <c r="BD12" s="10">
        <f>'Revenue Forecast'!BD6</f>
        <v/>
      </c>
      <c r="BE12" s="10">
        <f>'Revenue Forecast'!BE6</f>
        <v/>
      </c>
      <c r="BF12" s="10">
        <f>'Revenue Forecast'!BF6</f>
        <v/>
      </c>
      <c r="BG12" s="10">
        <f>'Revenue Forecast'!BG6</f>
        <v/>
      </c>
      <c r="BH12" s="10">
        <f>'Revenue Forecast'!BH6</f>
        <v/>
      </c>
      <c r="BI12" s="10">
        <f>'Revenue Forecast'!BI6</f>
        <v/>
      </c>
      <c r="BJ12" s="10">
        <f>'Revenue Forecast'!BJ6</f>
        <v/>
      </c>
      <c r="BK12" s="10">
        <f>'Revenue Forecast'!BK6</f>
        <v/>
      </c>
      <c r="BL12" s="10">
        <f>'Revenue Forecast'!BL6</f>
        <v/>
      </c>
      <c r="BN12" s="50">
        <f>SUM(E12:P12)</f>
        <v/>
      </c>
      <c r="BO12" s="50">
        <f>SUM(Q12:AB12)</f>
        <v/>
      </c>
      <c r="BP12" s="50">
        <f>SUM(AC12:AN12)</f>
        <v/>
      </c>
      <c r="BQ12" s="50">
        <f>SUM(AO12:AZ12)</f>
        <v/>
      </c>
      <c r="BR12" s="50">
        <f>SUM(BA12:BL12)</f>
        <v/>
      </c>
      <c r="BT12" s="32" t="inlineStr">
        <is>
          <t>the same spend that drives the funnel, so it can never be double counted</t>
        </is>
      </c>
    </row>
    <row r="13">
      <c r="B13" s="6" t="inlineStr">
        <is>
          <t>Installer training and demo units</t>
        </is>
      </c>
      <c r="C13" s="17" t="inlineStr">
        <is>
          <t>EUR</t>
        </is>
      </c>
      <c r="E13" s="10">
        <f>'Revenue Forecast'!E19*Assumptions!$D$106*(1+Assumptions!$D$111)^(YEAR(E$3)-Assumptions!$D$7)</f>
        <v/>
      </c>
      <c r="F13" s="10">
        <f>'Revenue Forecast'!F19*Assumptions!$D$106*(1+Assumptions!$D$111)^(YEAR(F$3)-Assumptions!$D$7)</f>
        <v/>
      </c>
      <c r="G13" s="10">
        <f>'Revenue Forecast'!G19*Assumptions!$D$106*(1+Assumptions!$D$111)^(YEAR(G$3)-Assumptions!$D$7)</f>
        <v/>
      </c>
      <c r="H13" s="10">
        <f>'Revenue Forecast'!H19*Assumptions!$D$106*(1+Assumptions!$D$111)^(YEAR(H$3)-Assumptions!$D$7)</f>
        <v/>
      </c>
      <c r="I13" s="10">
        <f>'Revenue Forecast'!I19*Assumptions!$D$106*(1+Assumptions!$D$111)^(YEAR(I$3)-Assumptions!$D$7)</f>
        <v/>
      </c>
      <c r="J13" s="10">
        <f>'Revenue Forecast'!J19*Assumptions!$D$106*(1+Assumptions!$D$111)^(YEAR(J$3)-Assumptions!$D$7)</f>
        <v/>
      </c>
      <c r="K13" s="10">
        <f>'Revenue Forecast'!K19*Assumptions!$D$106*(1+Assumptions!$D$111)^(YEAR(K$3)-Assumptions!$D$7)</f>
        <v/>
      </c>
      <c r="L13" s="10">
        <f>'Revenue Forecast'!L19*Assumptions!$D$106*(1+Assumptions!$D$111)^(YEAR(L$3)-Assumptions!$D$7)</f>
        <v/>
      </c>
      <c r="M13" s="10">
        <f>'Revenue Forecast'!M19*Assumptions!$D$106*(1+Assumptions!$D$111)^(YEAR(M$3)-Assumptions!$D$7)</f>
        <v/>
      </c>
      <c r="N13" s="10">
        <f>'Revenue Forecast'!N19*Assumptions!$D$106*(1+Assumptions!$D$111)^(YEAR(N$3)-Assumptions!$D$7)</f>
        <v/>
      </c>
      <c r="O13" s="10">
        <f>'Revenue Forecast'!O19*Assumptions!$D$106*(1+Assumptions!$D$111)^(YEAR(O$3)-Assumptions!$D$7)</f>
        <v/>
      </c>
      <c r="P13" s="10">
        <f>'Revenue Forecast'!P19*Assumptions!$D$106*(1+Assumptions!$D$111)^(YEAR(P$3)-Assumptions!$D$7)</f>
        <v/>
      </c>
      <c r="Q13" s="10">
        <f>'Revenue Forecast'!Q19*Assumptions!$D$106*(1+Assumptions!$D$111)^(YEAR(Q$3)-Assumptions!$D$7)</f>
        <v/>
      </c>
      <c r="R13" s="10">
        <f>'Revenue Forecast'!R19*Assumptions!$D$106*(1+Assumptions!$D$111)^(YEAR(R$3)-Assumptions!$D$7)</f>
        <v/>
      </c>
      <c r="S13" s="10">
        <f>'Revenue Forecast'!S19*Assumptions!$D$106*(1+Assumptions!$D$111)^(YEAR(S$3)-Assumptions!$D$7)</f>
        <v/>
      </c>
      <c r="T13" s="10">
        <f>'Revenue Forecast'!T19*Assumptions!$D$106*(1+Assumptions!$D$111)^(YEAR(T$3)-Assumptions!$D$7)</f>
        <v/>
      </c>
      <c r="U13" s="10">
        <f>'Revenue Forecast'!U19*Assumptions!$D$106*(1+Assumptions!$D$111)^(YEAR(U$3)-Assumptions!$D$7)</f>
        <v/>
      </c>
      <c r="V13" s="10">
        <f>'Revenue Forecast'!V19*Assumptions!$D$106*(1+Assumptions!$D$111)^(YEAR(V$3)-Assumptions!$D$7)</f>
        <v/>
      </c>
      <c r="W13" s="10">
        <f>'Revenue Forecast'!W19*Assumptions!$D$106*(1+Assumptions!$D$111)^(YEAR(W$3)-Assumptions!$D$7)</f>
        <v/>
      </c>
      <c r="X13" s="10">
        <f>'Revenue Forecast'!X19*Assumptions!$D$106*(1+Assumptions!$D$111)^(YEAR(X$3)-Assumptions!$D$7)</f>
        <v/>
      </c>
      <c r="Y13" s="10">
        <f>'Revenue Forecast'!Y19*Assumptions!$D$106*(1+Assumptions!$D$111)^(YEAR(Y$3)-Assumptions!$D$7)</f>
        <v/>
      </c>
      <c r="Z13" s="10">
        <f>'Revenue Forecast'!Z19*Assumptions!$D$106*(1+Assumptions!$D$111)^(YEAR(Z$3)-Assumptions!$D$7)</f>
        <v/>
      </c>
      <c r="AA13" s="10">
        <f>'Revenue Forecast'!AA19*Assumptions!$D$106*(1+Assumptions!$D$111)^(YEAR(AA$3)-Assumptions!$D$7)</f>
        <v/>
      </c>
      <c r="AB13" s="10">
        <f>'Revenue Forecast'!AB19*Assumptions!$D$106*(1+Assumptions!$D$111)^(YEAR(AB$3)-Assumptions!$D$7)</f>
        <v/>
      </c>
      <c r="AC13" s="10">
        <f>'Revenue Forecast'!AC19*Assumptions!$D$106*(1+Assumptions!$D$111)^(YEAR(AC$3)-Assumptions!$D$7)</f>
        <v/>
      </c>
      <c r="AD13" s="10">
        <f>'Revenue Forecast'!AD19*Assumptions!$D$106*(1+Assumptions!$D$111)^(YEAR(AD$3)-Assumptions!$D$7)</f>
        <v/>
      </c>
      <c r="AE13" s="10">
        <f>'Revenue Forecast'!AE19*Assumptions!$D$106*(1+Assumptions!$D$111)^(YEAR(AE$3)-Assumptions!$D$7)</f>
        <v/>
      </c>
      <c r="AF13" s="10">
        <f>'Revenue Forecast'!AF19*Assumptions!$D$106*(1+Assumptions!$D$111)^(YEAR(AF$3)-Assumptions!$D$7)</f>
        <v/>
      </c>
      <c r="AG13" s="10">
        <f>'Revenue Forecast'!AG19*Assumptions!$D$106*(1+Assumptions!$D$111)^(YEAR(AG$3)-Assumptions!$D$7)</f>
        <v/>
      </c>
      <c r="AH13" s="10">
        <f>'Revenue Forecast'!AH19*Assumptions!$D$106*(1+Assumptions!$D$111)^(YEAR(AH$3)-Assumptions!$D$7)</f>
        <v/>
      </c>
      <c r="AI13" s="10">
        <f>'Revenue Forecast'!AI19*Assumptions!$D$106*(1+Assumptions!$D$111)^(YEAR(AI$3)-Assumptions!$D$7)</f>
        <v/>
      </c>
      <c r="AJ13" s="10">
        <f>'Revenue Forecast'!AJ19*Assumptions!$D$106*(1+Assumptions!$D$111)^(YEAR(AJ$3)-Assumptions!$D$7)</f>
        <v/>
      </c>
      <c r="AK13" s="10">
        <f>'Revenue Forecast'!AK19*Assumptions!$D$106*(1+Assumptions!$D$111)^(YEAR(AK$3)-Assumptions!$D$7)</f>
        <v/>
      </c>
      <c r="AL13" s="10">
        <f>'Revenue Forecast'!AL19*Assumptions!$D$106*(1+Assumptions!$D$111)^(YEAR(AL$3)-Assumptions!$D$7)</f>
        <v/>
      </c>
      <c r="AM13" s="10">
        <f>'Revenue Forecast'!AM19*Assumptions!$D$106*(1+Assumptions!$D$111)^(YEAR(AM$3)-Assumptions!$D$7)</f>
        <v/>
      </c>
      <c r="AN13" s="10">
        <f>'Revenue Forecast'!AN19*Assumptions!$D$106*(1+Assumptions!$D$111)^(YEAR(AN$3)-Assumptions!$D$7)</f>
        <v/>
      </c>
      <c r="AO13" s="10">
        <f>'Revenue Forecast'!AO19*Assumptions!$D$106*(1+Assumptions!$D$111)^(YEAR(AO$3)-Assumptions!$D$7)</f>
        <v/>
      </c>
      <c r="AP13" s="10">
        <f>'Revenue Forecast'!AP19*Assumptions!$D$106*(1+Assumptions!$D$111)^(YEAR(AP$3)-Assumptions!$D$7)</f>
        <v/>
      </c>
      <c r="AQ13" s="10">
        <f>'Revenue Forecast'!AQ19*Assumptions!$D$106*(1+Assumptions!$D$111)^(YEAR(AQ$3)-Assumptions!$D$7)</f>
        <v/>
      </c>
      <c r="AR13" s="10">
        <f>'Revenue Forecast'!AR19*Assumptions!$D$106*(1+Assumptions!$D$111)^(YEAR(AR$3)-Assumptions!$D$7)</f>
        <v/>
      </c>
      <c r="AS13" s="10">
        <f>'Revenue Forecast'!AS19*Assumptions!$D$106*(1+Assumptions!$D$111)^(YEAR(AS$3)-Assumptions!$D$7)</f>
        <v/>
      </c>
      <c r="AT13" s="10">
        <f>'Revenue Forecast'!AT19*Assumptions!$D$106*(1+Assumptions!$D$111)^(YEAR(AT$3)-Assumptions!$D$7)</f>
        <v/>
      </c>
      <c r="AU13" s="10">
        <f>'Revenue Forecast'!AU19*Assumptions!$D$106*(1+Assumptions!$D$111)^(YEAR(AU$3)-Assumptions!$D$7)</f>
        <v/>
      </c>
      <c r="AV13" s="10">
        <f>'Revenue Forecast'!AV19*Assumptions!$D$106*(1+Assumptions!$D$111)^(YEAR(AV$3)-Assumptions!$D$7)</f>
        <v/>
      </c>
      <c r="AW13" s="10">
        <f>'Revenue Forecast'!AW19*Assumptions!$D$106*(1+Assumptions!$D$111)^(YEAR(AW$3)-Assumptions!$D$7)</f>
        <v/>
      </c>
      <c r="AX13" s="10">
        <f>'Revenue Forecast'!AX19*Assumptions!$D$106*(1+Assumptions!$D$111)^(YEAR(AX$3)-Assumptions!$D$7)</f>
        <v/>
      </c>
      <c r="AY13" s="10">
        <f>'Revenue Forecast'!AY19*Assumptions!$D$106*(1+Assumptions!$D$111)^(YEAR(AY$3)-Assumptions!$D$7)</f>
        <v/>
      </c>
      <c r="AZ13" s="10">
        <f>'Revenue Forecast'!AZ19*Assumptions!$D$106*(1+Assumptions!$D$111)^(YEAR(AZ$3)-Assumptions!$D$7)</f>
        <v/>
      </c>
      <c r="BA13" s="10">
        <f>'Revenue Forecast'!BA19*Assumptions!$D$106*(1+Assumptions!$D$111)^(YEAR(BA$3)-Assumptions!$D$7)</f>
        <v/>
      </c>
      <c r="BB13" s="10">
        <f>'Revenue Forecast'!BB19*Assumptions!$D$106*(1+Assumptions!$D$111)^(YEAR(BB$3)-Assumptions!$D$7)</f>
        <v/>
      </c>
      <c r="BC13" s="10">
        <f>'Revenue Forecast'!BC19*Assumptions!$D$106*(1+Assumptions!$D$111)^(YEAR(BC$3)-Assumptions!$D$7)</f>
        <v/>
      </c>
      <c r="BD13" s="10">
        <f>'Revenue Forecast'!BD19*Assumptions!$D$106*(1+Assumptions!$D$111)^(YEAR(BD$3)-Assumptions!$D$7)</f>
        <v/>
      </c>
      <c r="BE13" s="10">
        <f>'Revenue Forecast'!BE19*Assumptions!$D$106*(1+Assumptions!$D$111)^(YEAR(BE$3)-Assumptions!$D$7)</f>
        <v/>
      </c>
      <c r="BF13" s="10">
        <f>'Revenue Forecast'!BF19*Assumptions!$D$106*(1+Assumptions!$D$111)^(YEAR(BF$3)-Assumptions!$D$7)</f>
        <v/>
      </c>
      <c r="BG13" s="10">
        <f>'Revenue Forecast'!BG19*Assumptions!$D$106*(1+Assumptions!$D$111)^(YEAR(BG$3)-Assumptions!$D$7)</f>
        <v/>
      </c>
      <c r="BH13" s="10">
        <f>'Revenue Forecast'!BH19*Assumptions!$D$106*(1+Assumptions!$D$111)^(YEAR(BH$3)-Assumptions!$D$7)</f>
        <v/>
      </c>
      <c r="BI13" s="10">
        <f>'Revenue Forecast'!BI19*Assumptions!$D$106*(1+Assumptions!$D$111)^(YEAR(BI$3)-Assumptions!$D$7)</f>
        <v/>
      </c>
      <c r="BJ13" s="10">
        <f>'Revenue Forecast'!BJ19*Assumptions!$D$106*(1+Assumptions!$D$111)^(YEAR(BJ$3)-Assumptions!$D$7)</f>
        <v/>
      </c>
      <c r="BK13" s="10">
        <f>'Revenue Forecast'!BK19*Assumptions!$D$106*(1+Assumptions!$D$111)^(YEAR(BK$3)-Assumptions!$D$7)</f>
        <v/>
      </c>
      <c r="BL13" s="10">
        <f>'Revenue Forecast'!BL19*Assumptions!$D$106*(1+Assumptions!$D$111)^(YEAR(BL$3)-Assumptions!$D$7)</f>
        <v/>
      </c>
      <c r="BN13" s="50">
        <f>SUM(E13:P13)</f>
        <v/>
      </c>
      <c r="BO13" s="50">
        <f>SUM(Q13:AB13)</f>
        <v/>
      </c>
      <c r="BP13" s="50">
        <f>SUM(AC13:AN13)</f>
        <v/>
      </c>
      <c r="BQ13" s="50">
        <f>SUM(AO13:AZ13)</f>
        <v/>
      </c>
      <c r="BR13" s="50">
        <f>SUM(BA13:BL13)</f>
        <v/>
      </c>
    </row>
    <row r="14">
      <c r="B14" s="56" t="inlineStr">
        <is>
          <t>Total</t>
        </is>
      </c>
      <c r="C14" s="57" t="inlineStr">
        <is>
          <t>EUR</t>
        </is>
      </c>
      <c r="E14" s="37">
        <f>IF(E$3&lt;=Assumptions!$D$12,E42,SUM(E12:E13))</f>
        <v/>
      </c>
      <c r="F14" s="37">
        <f>IF(F$3&lt;=Assumptions!$D$12,F42,SUM(F12:F13))</f>
        <v/>
      </c>
      <c r="G14" s="37">
        <f>IF(G$3&lt;=Assumptions!$D$12,G42,SUM(G12:G13))</f>
        <v/>
      </c>
      <c r="H14" s="37">
        <f>IF(H$3&lt;=Assumptions!$D$12,H42,SUM(H12:H13))</f>
        <v/>
      </c>
      <c r="I14" s="37">
        <f>IF(I$3&lt;=Assumptions!$D$12,I42,SUM(I12:I13))</f>
        <v/>
      </c>
      <c r="J14" s="37">
        <f>IF(J$3&lt;=Assumptions!$D$12,J42,SUM(J12:J13))</f>
        <v/>
      </c>
      <c r="K14" s="37">
        <f>IF(K$3&lt;=Assumptions!$D$12,K42,SUM(K12:K13))</f>
        <v/>
      </c>
      <c r="L14" s="37">
        <f>IF(L$3&lt;=Assumptions!$D$12,L42,SUM(L12:L13))</f>
        <v/>
      </c>
      <c r="M14" s="37">
        <f>IF(M$3&lt;=Assumptions!$D$12,M42,SUM(M12:M13))</f>
        <v/>
      </c>
      <c r="N14" s="37">
        <f>IF(N$3&lt;=Assumptions!$D$12,N42,SUM(N12:N13))</f>
        <v/>
      </c>
      <c r="O14" s="37">
        <f>IF(O$3&lt;=Assumptions!$D$12,O42,SUM(O12:O13))</f>
        <v/>
      </c>
      <c r="P14" s="37">
        <f>IF(P$3&lt;=Assumptions!$D$12,P42,SUM(P12:P13))</f>
        <v/>
      </c>
      <c r="Q14" s="37">
        <f>IF(Q$3&lt;=Assumptions!$D$12,Q42,SUM(Q12:Q13))</f>
        <v/>
      </c>
      <c r="R14" s="37">
        <f>IF(R$3&lt;=Assumptions!$D$12,R42,SUM(R12:R13))</f>
        <v/>
      </c>
      <c r="S14" s="37">
        <f>IF(S$3&lt;=Assumptions!$D$12,S42,SUM(S12:S13))</f>
        <v/>
      </c>
      <c r="T14" s="37">
        <f>IF(T$3&lt;=Assumptions!$D$12,T42,SUM(T12:T13))</f>
        <v/>
      </c>
      <c r="U14" s="37">
        <f>IF(U$3&lt;=Assumptions!$D$12,U42,SUM(U12:U13))</f>
        <v/>
      </c>
      <c r="V14" s="37">
        <f>IF(V$3&lt;=Assumptions!$D$12,V42,SUM(V12:V13))</f>
        <v/>
      </c>
      <c r="W14" s="37">
        <f>IF(W$3&lt;=Assumptions!$D$12,W42,SUM(W12:W13))</f>
        <v/>
      </c>
      <c r="X14" s="37">
        <f>IF(X$3&lt;=Assumptions!$D$12,X42,SUM(X12:X13))</f>
        <v/>
      </c>
      <c r="Y14" s="37">
        <f>IF(Y$3&lt;=Assumptions!$D$12,Y42,SUM(Y12:Y13))</f>
        <v/>
      </c>
      <c r="Z14" s="37">
        <f>IF(Z$3&lt;=Assumptions!$D$12,Z42,SUM(Z12:Z13))</f>
        <v/>
      </c>
      <c r="AA14" s="37">
        <f>IF(AA$3&lt;=Assumptions!$D$12,AA42,SUM(AA12:AA13))</f>
        <v/>
      </c>
      <c r="AB14" s="37">
        <f>IF(AB$3&lt;=Assumptions!$D$12,AB42,SUM(AB12:AB13))</f>
        <v/>
      </c>
      <c r="AC14" s="37">
        <f>IF(AC$3&lt;=Assumptions!$D$12,AC42,SUM(AC12:AC13))</f>
        <v/>
      </c>
      <c r="AD14" s="37">
        <f>IF(AD$3&lt;=Assumptions!$D$12,AD42,SUM(AD12:AD13))</f>
        <v/>
      </c>
      <c r="AE14" s="37">
        <f>IF(AE$3&lt;=Assumptions!$D$12,AE42,SUM(AE12:AE13))</f>
        <v/>
      </c>
      <c r="AF14" s="37">
        <f>IF(AF$3&lt;=Assumptions!$D$12,AF42,SUM(AF12:AF13))</f>
        <v/>
      </c>
      <c r="AG14" s="37">
        <f>IF(AG$3&lt;=Assumptions!$D$12,AG42,SUM(AG12:AG13))</f>
        <v/>
      </c>
      <c r="AH14" s="37">
        <f>IF(AH$3&lt;=Assumptions!$D$12,AH42,SUM(AH12:AH13))</f>
        <v/>
      </c>
      <c r="AI14" s="37">
        <f>IF(AI$3&lt;=Assumptions!$D$12,AI42,SUM(AI12:AI13))</f>
        <v/>
      </c>
      <c r="AJ14" s="37">
        <f>IF(AJ$3&lt;=Assumptions!$D$12,AJ42,SUM(AJ12:AJ13))</f>
        <v/>
      </c>
      <c r="AK14" s="37">
        <f>IF(AK$3&lt;=Assumptions!$D$12,AK42,SUM(AK12:AK13))</f>
        <v/>
      </c>
      <c r="AL14" s="37">
        <f>IF(AL$3&lt;=Assumptions!$D$12,AL42,SUM(AL12:AL13))</f>
        <v/>
      </c>
      <c r="AM14" s="37">
        <f>IF(AM$3&lt;=Assumptions!$D$12,AM42,SUM(AM12:AM13))</f>
        <v/>
      </c>
      <c r="AN14" s="37">
        <f>IF(AN$3&lt;=Assumptions!$D$12,AN42,SUM(AN12:AN13))</f>
        <v/>
      </c>
      <c r="AO14" s="37">
        <f>IF(AO$3&lt;=Assumptions!$D$12,AO42,SUM(AO12:AO13))</f>
        <v/>
      </c>
      <c r="AP14" s="37">
        <f>IF(AP$3&lt;=Assumptions!$D$12,AP42,SUM(AP12:AP13))</f>
        <v/>
      </c>
      <c r="AQ14" s="37">
        <f>IF(AQ$3&lt;=Assumptions!$D$12,AQ42,SUM(AQ12:AQ13))</f>
        <v/>
      </c>
      <c r="AR14" s="37">
        <f>IF(AR$3&lt;=Assumptions!$D$12,AR42,SUM(AR12:AR13))</f>
        <v/>
      </c>
      <c r="AS14" s="37">
        <f>IF(AS$3&lt;=Assumptions!$D$12,AS42,SUM(AS12:AS13))</f>
        <v/>
      </c>
      <c r="AT14" s="37">
        <f>IF(AT$3&lt;=Assumptions!$D$12,AT42,SUM(AT12:AT13))</f>
        <v/>
      </c>
      <c r="AU14" s="37">
        <f>IF(AU$3&lt;=Assumptions!$D$12,AU42,SUM(AU12:AU13))</f>
        <v/>
      </c>
      <c r="AV14" s="37">
        <f>IF(AV$3&lt;=Assumptions!$D$12,AV42,SUM(AV12:AV13))</f>
        <v/>
      </c>
      <c r="AW14" s="37">
        <f>IF(AW$3&lt;=Assumptions!$D$12,AW42,SUM(AW12:AW13))</f>
        <v/>
      </c>
      <c r="AX14" s="37">
        <f>IF(AX$3&lt;=Assumptions!$D$12,AX42,SUM(AX12:AX13))</f>
        <v/>
      </c>
      <c r="AY14" s="37">
        <f>IF(AY$3&lt;=Assumptions!$D$12,AY42,SUM(AY12:AY13))</f>
        <v/>
      </c>
      <c r="AZ14" s="37">
        <f>IF(AZ$3&lt;=Assumptions!$D$12,AZ42,SUM(AZ12:AZ13))</f>
        <v/>
      </c>
      <c r="BA14" s="37">
        <f>IF(BA$3&lt;=Assumptions!$D$12,BA42,SUM(BA12:BA13))</f>
        <v/>
      </c>
      <c r="BB14" s="37">
        <f>IF(BB$3&lt;=Assumptions!$D$12,BB42,SUM(BB12:BB13))</f>
        <v/>
      </c>
      <c r="BC14" s="37">
        <f>IF(BC$3&lt;=Assumptions!$D$12,BC42,SUM(BC12:BC13))</f>
        <v/>
      </c>
      <c r="BD14" s="37">
        <f>IF(BD$3&lt;=Assumptions!$D$12,BD42,SUM(BD12:BD13))</f>
        <v/>
      </c>
      <c r="BE14" s="37">
        <f>IF(BE$3&lt;=Assumptions!$D$12,BE42,SUM(BE12:BE13))</f>
        <v/>
      </c>
      <c r="BF14" s="37">
        <f>IF(BF$3&lt;=Assumptions!$D$12,BF42,SUM(BF12:BF13))</f>
        <v/>
      </c>
      <c r="BG14" s="37">
        <f>IF(BG$3&lt;=Assumptions!$D$12,BG42,SUM(BG12:BG13))</f>
        <v/>
      </c>
      <c r="BH14" s="37">
        <f>IF(BH$3&lt;=Assumptions!$D$12,BH42,SUM(BH12:BH13))</f>
        <v/>
      </c>
      <c r="BI14" s="37">
        <f>IF(BI$3&lt;=Assumptions!$D$12,BI42,SUM(BI12:BI13))</f>
        <v/>
      </c>
      <c r="BJ14" s="37">
        <f>IF(BJ$3&lt;=Assumptions!$D$12,BJ42,SUM(BJ12:BJ13))</f>
        <v/>
      </c>
      <c r="BK14" s="37">
        <f>IF(BK$3&lt;=Assumptions!$D$12,BK42,SUM(BK12:BK13))</f>
        <v/>
      </c>
      <c r="BL14" s="37">
        <f>IF(BL$3&lt;=Assumptions!$D$12,BL42,SUM(BL12:BL13))</f>
        <v/>
      </c>
      <c r="BN14" s="37">
        <f>SUM(E14:P14)</f>
        <v/>
      </c>
      <c r="BO14" s="37">
        <f>SUM(Q14:AB14)</f>
        <v/>
      </c>
      <c r="BP14" s="37">
        <f>SUM(AC14:AN14)</f>
        <v/>
      </c>
      <c r="BQ14" s="37">
        <f>SUM(AO14:AZ14)</f>
        <v/>
      </c>
      <c r="BR14" s="37">
        <f>SUM(BA14:BL14)</f>
        <v/>
      </c>
    </row>
    <row r="16">
      <c r="B16" s="15" t="inlineStr">
        <is>
          <t>RESEARCH AND DEVELOPMENT, EVERYTHING ELSE</t>
        </is>
      </c>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c r="AA16" s="1" t="n"/>
      <c r="AB16" s="1" t="n"/>
      <c r="AC16" s="1" t="n"/>
      <c r="AD16" s="1" t="n"/>
      <c r="AE16" s="1" t="n"/>
      <c r="AF16" s="1" t="n"/>
      <c r="AG16" s="1" t="n"/>
      <c r="AH16" s="1" t="n"/>
      <c r="AI16" s="1" t="n"/>
      <c r="AJ16" s="1" t="n"/>
      <c r="AK16" s="1" t="n"/>
      <c r="AL16" s="1" t="n"/>
      <c r="AM16" s="1" t="n"/>
      <c r="AN16" s="1" t="n"/>
      <c r="AO16" s="1" t="n"/>
      <c r="AP16" s="1" t="n"/>
      <c r="AQ16" s="1" t="n"/>
      <c r="AR16" s="1" t="n"/>
      <c r="AS16" s="1" t="n"/>
      <c r="AT16" s="1" t="n"/>
      <c r="AU16" s="1" t="n"/>
      <c r="AV16" s="1" t="n"/>
      <c r="AW16" s="1" t="n"/>
      <c r="AX16" s="1" t="n"/>
      <c r="AY16" s="1" t="n"/>
      <c r="AZ16" s="1" t="n"/>
      <c r="BA16" s="1" t="n"/>
      <c r="BB16" s="1" t="n"/>
      <c r="BC16" s="1" t="n"/>
      <c r="BD16" s="1" t="n"/>
      <c r="BE16" s="1" t="n"/>
      <c r="BF16" s="1" t="n"/>
      <c r="BG16" s="1" t="n"/>
      <c r="BH16" s="1" t="n"/>
      <c r="BI16" s="1" t="n"/>
      <c r="BJ16" s="1" t="n"/>
      <c r="BK16" s="1" t="n"/>
      <c r="BL16" s="1" t="n"/>
      <c r="BM16" s="1" t="n"/>
      <c r="BN16" s="1" t="n"/>
      <c r="BO16" s="1" t="n"/>
      <c r="BP16" s="1" t="n"/>
      <c r="BQ16" s="1" t="n"/>
      <c r="BR16" s="1" t="n"/>
      <c r="BS16" s="1" t="n"/>
    </row>
    <row r="17">
      <c r="B17" s="6" t="inlineStr">
        <is>
          <t>Ongoing development</t>
        </is>
      </c>
      <c r="C17" s="17" t="inlineStr">
        <is>
          <t>EUR</t>
        </is>
      </c>
      <c r="E17" s="10">
        <f>Assumptions!$D$109*(1+Assumptions!$D$111)^(YEAR(E$3)-Assumptions!$D$7)</f>
        <v/>
      </c>
      <c r="F17" s="10">
        <f>Assumptions!$D$109*(1+Assumptions!$D$111)^(YEAR(F$3)-Assumptions!$D$7)</f>
        <v/>
      </c>
      <c r="G17" s="10">
        <f>Assumptions!$D$109*(1+Assumptions!$D$111)^(YEAR(G$3)-Assumptions!$D$7)</f>
        <v/>
      </c>
      <c r="H17" s="10">
        <f>Assumptions!$D$109*(1+Assumptions!$D$111)^(YEAR(H$3)-Assumptions!$D$7)</f>
        <v/>
      </c>
      <c r="I17" s="10">
        <f>Assumptions!$D$109*(1+Assumptions!$D$111)^(YEAR(I$3)-Assumptions!$D$7)</f>
        <v/>
      </c>
      <c r="J17" s="10">
        <f>Assumptions!$D$109*(1+Assumptions!$D$111)^(YEAR(J$3)-Assumptions!$D$7)</f>
        <v/>
      </c>
      <c r="K17" s="10">
        <f>Assumptions!$D$109*(1+Assumptions!$D$111)^(YEAR(K$3)-Assumptions!$D$7)</f>
        <v/>
      </c>
      <c r="L17" s="10">
        <f>Assumptions!$D$109*(1+Assumptions!$D$111)^(YEAR(L$3)-Assumptions!$D$7)</f>
        <v/>
      </c>
      <c r="M17" s="10">
        <f>Assumptions!$D$109*(1+Assumptions!$D$111)^(YEAR(M$3)-Assumptions!$D$7)</f>
        <v/>
      </c>
      <c r="N17" s="10">
        <f>Assumptions!$D$109*(1+Assumptions!$D$111)^(YEAR(N$3)-Assumptions!$D$7)</f>
        <v/>
      </c>
      <c r="O17" s="10">
        <f>Assumptions!$D$109*(1+Assumptions!$D$111)^(YEAR(O$3)-Assumptions!$D$7)</f>
        <v/>
      </c>
      <c r="P17" s="10">
        <f>Assumptions!$D$109*(1+Assumptions!$D$111)^(YEAR(P$3)-Assumptions!$D$7)</f>
        <v/>
      </c>
      <c r="Q17" s="10">
        <f>Assumptions!$D$109*(1+Assumptions!$D$111)^(YEAR(Q$3)-Assumptions!$D$7)</f>
        <v/>
      </c>
      <c r="R17" s="10">
        <f>Assumptions!$D$109*(1+Assumptions!$D$111)^(YEAR(R$3)-Assumptions!$D$7)</f>
        <v/>
      </c>
      <c r="S17" s="10">
        <f>Assumptions!$D$109*(1+Assumptions!$D$111)^(YEAR(S$3)-Assumptions!$D$7)</f>
        <v/>
      </c>
      <c r="T17" s="10">
        <f>Assumptions!$D$109*(1+Assumptions!$D$111)^(YEAR(T$3)-Assumptions!$D$7)</f>
        <v/>
      </c>
      <c r="U17" s="10">
        <f>Assumptions!$D$109*(1+Assumptions!$D$111)^(YEAR(U$3)-Assumptions!$D$7)</f>
        <v/>
      </c>
      <c r="V17" s="10">
        <f>Assumptions!$D$109*(1+Assumptions!$D$111)^(YEAR(V$3)-Assumptions!$D$7)</f>
        <v/>
      </c>
      <c r="W17" s="10">
        <f>Assumptions!$D$109*(1+Assumptions!$D$111)^(YEAR(W$3)-Assumptions!$D$7)</f>
        <v/>
      </c>
      <c r="X17" s="10">
        <f>Assumptions!$D$109*(1+Assumptions!$D$111)^(YEAR(X$3)-Assumptions!$D$7)</f>
        <v/>
      </c>
      <c r="Y17" s="10">
        <f>Assumptions!$D$109*(1+Assumptions!$D$111)^(YEAR(Y$3)-Assumptions!$D$7)</f>
        <v/>
      </c>
      <c r="Z17" s="10">
        <f>Assumptions!$D$109*(1+Assumptions!$D$111)^(YEAR(Z$3)-Assumptions!$D$7)</f>
        <v/>
      </c>
      <c r="AA17" s="10">
        <f>Assumptions!$D$109*(1+Assumptions!$D$111)^(YEAR(AA$3)-Assumptions!$D$7)</f>
        <v/>
      </c>
      <c r="AB17" s="10">
        <f>Assumptions!$D$109*(1+Assumptions!$D$111)^(YEAR(AB$3)-Assumptions!$D$7)</f>
        <v/>
      </c>
      <c r="AC17" s="10">
        <f>Assumptions!$D$109*(1+Assumptions!$D$111)^(YEAR(AC$3)-Assumptions!$D$7)</f>
        <v/>
      </c>
      <c r="AD17" s="10">
        <f>Assumptions!$D$109*(1+Assumptions!$D$111)^(YEAR(AD$3)-Assumptions!$D$7)</f>
        <v/>
      </c>
      <c r="AE17" s="10">
        <f>Assumptions!$D$109*(1+Assumptions!$D$111)^(YEAR(AE$3)-Assumptions!$D$7)</f>
        <v/>
      </c>
      <c r="AF17" s="10">
        <f>Assumptions!$D$109*(1+Assumptions!$D$111)^(YEAR(AF$3)-Assumptions!$D$7)</f>
        <v/>
      </c>
      <c r="AG17" s="10">
        <f>Assumptions!$D$109*(1+Assumptions!$D$111)^(YEAR(AG$3)-Assumptions!$D$7)</f>
        <v/>
      </c>
      <c r="AH17" s="10">
        <f>Assumptions!$D$109*(1+Assumptions!$D$111)^(YEAR(AH$3)-Assumptions!$D$7)</f>
        <v/>
      </c>
      <c r="AI17" s="10">
        <f>Assumptions!$D$109*(1+Assumptions!$D$111)^(YEAR(AI$3)-Assumptions!$D$7)</f>
        <v/>
      </c>
      <c r="AJ17" s="10">
        <f>Assumptions!$D$109*(1+Assumptions!$D$111)^(YEAR(AJ$3)-Assumptions!$D$7)</f>
        <v/>
      </c>
      <c r="AK17" s="10">
        <f>Assumptions!$D$109*(1+Assumptions!$D$111)^(YEAR(AK$3)-Assumptions!$D$7)</f>
        <v/>
      </c>
      <c r="AL17" s="10">
        <f>Assumptions!$D$109*(1+Assumptions!$D$111)^(YEAR(AL$3)-Assumptions!$D$7)</f>
        <v/>
      </c>
      <c r="AM17" s="10">
        <f>Assumptions!$D$109*(1+Assumptions!$D$111)^(YEAR(AM$3)-Assumptions!$D$7)</f>
        <v/>
      </c>
      <c r="AN17" s="10">
        <f>Assumptions!$D$109*(1+Assumptions!$D$111)^(YEAR(AN$3)-Assumptions!$D$7)</f>
        <v/>
      </c>
      <c r="AO17" s="10">
        <f>Assumptions!$D$109*(1+Assumptions!$D$111)^(YEAR(AO$3)-Assumptions!$D$7)</f>
        <v/>
      </c>
      <c r="AP17" s="10">
        <f>Assumptions!$D$109*(1+Assumptions!$D$111)^(YEAR(AP$3)-Assumptions!$D$7)</f>
        <v/>
      </c>
      <c r="AQ17" s="10">
        <f>Assumptions!$D$109*(1+Assumptions!$D$111)^(YEAR(AQ$3)-Assumptions!$D$7)</f>
        <v/>
      </c>
      <c r="AR17" s="10">
        <f>Assumptions!$D$109*(1+Assumptions!$D$111)^(YEAR(AR$3)-Assumptions!$D$7)</f>
        <v/>
      </c>
      <c r="AS17" s="10">
        <f>Assumptions!$D$109*(1+Assumptions!$D$111)^(YEAR(AS$3)-Assumptions!$D$7)</f>
        <v/>
      </c>
      <c r="AT17" s="10">
        <f>Assumptions!$D$109*(1+Assumptions!$D$111)^(YEAR(AT$3)-Assumptions!$D$7)</f>
        <v/>
      </c>
      <c r="AU17" s="10">
        <f>Assumptions!$D$109*(1+Assumptions!$D$111)^(YEAR(AU$3)-Assumptions!$D$7)</f>
        <v/>
      </c>
      <c r="AV17" s="10">
        <f>Assumptions!$D$109*(1+Assumptions!$D$111)^(YEAR(AV$3)-Assumptions!$D$7)</f>
        <v/>
      </c>
      <c r="AW17" s="10">
        <f>Assumptions!$D$109*(1+Assumptions!$D$111)^(YEAR(AW$3)-Assumptions!$D$7)</f>
        <v/>
      </c>
      <c r="AX17" s="10">
        <f>Assumptions!$D$109*(1+Assumptions!$D$111)^(YEAR(AX$3)-Assumptions!$D$7)</f>
        <v/>
      </c>
      <c r="AY17" s="10">
        <f>Assumptions!$D$109*(1+Assumptions!$D$111)^(YEAR(AY$3)-Assumptions!$D$7)</f>
        <v/>
      </c>
      <c r="AZ17" s="10">
        <f>Assumptions!$D$109*(1+Assumptions!$D$111)^(YEAR(AZ$3)-Assumptions!$D$7)</f>
        <v/>
      </c>
      <c r="BA17" s="10">
        <f>Assumptions!$D$109*(1+Assumptions!$D$111)^(YEAR(BA$3)-Assumptions!$D$7)</f>
        <v/>
      </c>
      <c r="BB17" s="10">
        <f>Assumptions!$D$109*(1+Assumptions!$D$111)^(YEAR(BB$3)-Assumptions!$D$7)</f>
        <v/>
      </c>
      <c r="BC17" s="10">
        <f>Assumptions!$D$109*(1+Assumptions!$D$111)^(YEAR(BC$3)-Assumptions!$D$7)</f>
        <v/>
      </c>
      <c r="BD17" s="10">
        <f>Assumptions!$D$109*(1+Assumptions!$D$111)^(YEAR(BD$3)-Assumptions!$D$7)</f>
        <v/>
      </c>
      <c r="BE17" s="10">
        <f>Assumptions!$D$109*(1+Assumptions!$D$111)^(YEAR(BE$3)-Assumptions!$D$7)</f>
        <v/>
      </c>
      <c r="BF17" s="10">
        <f>Assumptions!$D$109*(1+Assumptions!$D$111)^(YEAR(BF$3)-Assumptions!$D$7)</f>
        <v/>
      </c>
      <c r="BG17" s="10">
        <f>Assumptions!$D$109*(1+Assumptions!$D$111)^(YEAR(BG$3)-Assumptions!$D$7)</f>
        <v/>
      </c>
      <c r="BH17" s="10">
        <f>Assumptions!$D$109*(1+Assumptions!$D$111)^(YEAR(BH$3)-Assumptions!$D$7)</f>
        <v/>
      </c>
      <c r="BI17" s="10">
        <f>Assumptions!$D$109*(1+Assumptions!$D$111)^(YEAR(BI$3)-Assumptions!$D$7)</f>
        <v/>
      </c>
      <c r="BJ17" s="10">
        <f>Assumptions!$D$109*(1+Assumptions!$D$111)^(YEAR(BJ$3)-Assumptions!$D$7)</f>
        <v/>
      </c>
      <c r="BK17" s="10">
        <f>Assumptions!$D$109*(1+Assumptions!$D$111)^(YEAR(BK$3)-Assumptions!$D$7)</f>
        <v/>
      </c>
      <c r="BL17" s="10">
        <f>Assumptions!$D$109*(1+Assumptions!$D$111)^(YEAR(BL$3)-Assumptions!$D$7)</f>
        <v/>
      </c>
      <c r="BN17" s="50">
        <f>SUM(E17:P17)</f>
        <v/>
      </c>
      <c r="BO17" s="50">
        <f>SUM(Q17:AB17)</f>
        <v/>
      </c>
      <c r="BP17" s="50">
        <f>SUM(AC17:AN17)</f>
        <v/>
      </c>
      <c r="BQ17" s="50">
        <f>SUM(AO17:AZ17)</f>
        <v/>
      </c>
      <c r="BR17" s="50">
        <f>SUM(BA17:BL17)</f>
        <v/>
      </c>
    </row>
    <row r="18">
      <c r="B18" s="6" t="inlineStr">
        <is>
          <t>Third party product development</t>
        </is>
      </c>
      <c r="C18" s="17" t="inlineStr">
        <is>
          <t>EUR</t>
        </is>
      </c>
      <c r="E18" s="10">
        <f>Assumptions!$D$110*(1+Assumptions!$D$111)^(YEAR(E$3)-Assumptions!$D$7)</f>
        <v/>
      </c>
      <c r="F18" s="10">
        <f>Assumptions!$D$110*(1+Assumptions!$D$111)^(YEAR(F$3)-Assumptions!$D$7)</f>
        <v/>
      </c>
      <c r="G18" s="10">
        <f>Assumptions!$D$110*(1+Assumptions!$D$111)^(YEAR(G$3)-Assumptions!$D$7)</f>
        <v/>
      </c>
      <c r="H18" s="10">
        <f>Assumptions!$D$110*(1+Assumptions!$D$111)^(YEAR(H$3)-Assumptions!$D$7)</f>
        <v/>
      </c>
      <c r="I18" s="10">
        <f>Assumptions!$D$110*(1+Assumptions!$D$111)^(YEAR(I$3)-Assumptions!$D$7)</f>
        <v/>
      </c>
      <c r="J18" s="10">
        <f>Assumptions!$D$110*(1+Assumptions!$D$111)^(YEAR(J$3)-Assumptions!$D$7)</f>
        <v/>
      </c>
      <c r="K18" s="10">
        <f>Assumptions!$D$110*(1+Assumptions!$D$111)^(YEAR(K$3)-Assumptions!$D$7)</f>
        <v/>
      </c>
      <c r="L18" s="10">
        <f>Assumptions!$D$110*(1+Assumptions!$D$111)^(YEAR(L$3)-Assumptions!$D$7)</f>
        <v/>
      </c>
      <c r="M18" s="10">
        <f>Assumptions!$D$110*(1+Assumptions!$D$111)^(YEAR(M$3)-Assumptions!$D$7)</f>
        <v/>
      </c>
      <c r="N18" s="10">
        <f>Assumptions!$D$110*(1+Assumptions!$D$111)^(YEAR(N$3)-Assumptions!$D$7)</f>
        <v/>
      </c>
      <c r="O18" s="10">
        <f>Assumptions!$D$110*(1+Assumptions!$D$111)^(YEAR(O$3)-Assumptions!$D$7)</f>
        <v/>
      </c>
      <c r="P18" s="10">
        <f>Assumptions!$D$110*(1+Assumptions!$D$111)^(YEAR(P$3)-Assumptions!$D$7)</f>
        <v/>
      </c>
      <c r="Q18" s="10">
        <f>Assumptions!$D$110*(1+Assumptions!$D$111)^(YEAR(Q$3)-Assumptions!$D$7)</f>
        <v/>
      </c>
      <c r="R18" s="10">
        <f>Assumptions!$D$110*(1+Assumptions!$D$111)^(YEAR(R$3)-Assumptions!$D$7)</f>
        <v/>
      </c>
      <c r="S18" s="10">
        <f>Assumptions!$D$110*(1+Assumptions!$D$111)^(YEAR(S$3)-Assumptions!$D$7)</f>
        <v/>
      </c>
      <c r="T18" s="10">
        <f>Assumptions!$D$110*(1+Assumptions!$D$111)^(YEAR(T$3)-Assumptions!$D$7)</f>
        <v/>
      </c>
      <c r="U18" s="10">
        <f>Assumptions!$D$110*(1+Assumptions!$D$111)^(YEAR(U$3)-Assumptions!$D$7)</f>
        <v/>
      </c>
      <c r="V18" s="10">
        <f>Assumptions!$D$110*(1+Assumptions!$D$111)^(YEAR(V$3)-Assumptions!$D$7)</f>
        <v/>
      </c>
      <c r="W18" s="10">
        <f>Assumptions!$D$110*(1+Assumptions!$D$111)^(YEAR(W$3)-Assumptions!$D$7)</f>
        <v/>
      </c>
      <c r="X18" s="10">
        <f>Assumptions!$D$110*(1+Assumptions!$D$111)^(YEAR(X$3)-Assumptions!$D$7)</f>
        <v/>
      </c>
      <c r="Y18" s="10">
        <f>Assumptions!$D$110*(1+Assumptions!$D$111)^(YEAR(Y$3)-Assumptions!$D$7)</f>
        <v/>
      </c>
      <c r="Z18" s="10">
        <f>Assumptions!$D$110*(1+Assumptions!$D$111)^(YEAR(Z$3)-Assumptions!$D$7)</f>
        <v/>
      </c>
      <c r="AA18" s="10">
        <f>Assumptions!$D$110*(1+Assumptions!$D$111)^(YEAR(AA$3)-Assumptions!$D$7)</f>
        <v/>
      </c>
      <c r="AB18" s="10">
        <f>Assumptions!$D$110*(1+Assumptions!$D$111)^(YEAR(AB$3)-Assumptions!$D$7)</f>
        <v/>
      </c>
      <c r="AC18" s="10">
        <f>Assumptions!$D$110*(1+Assumptions!$D$111)^(YEAR(AC$3)-Assumptions!$D$7)</f>
        <v/>
      </c>
      <c r="AD18" s="10">
        <f>Assumptions!$D$110*(1+Assumptions!$D$111)^(YEAR(AD$3)-Assumptions!$D$7)</f>
        <v/>
      </c>
      <c r="AE18" s="10">
        <f>Assumptions!$D$110*(1+Assumptions!$D$111)^(YEAR(AE$3)-Assumptions!$D$7)</f>
        <v/>
      </c>
      <c r="AF18" s="10">
        <f>Assumptions!$D$110*(1+Assumptions!$D$111)^(YEAR(AF$3)-Assumptions!$D$7)</f>
        <v/>
      </c>
      <c r="AG18" s="10">
        <f>Assumptions!$D$110*(1+Assumptions!$D$111)^(YEAR(AG$3)-Assumptions!$D$7)</f>
        <v/>
      </c>
      <c r="AH18" s="10">
        <f>Assumptions!$D$110*(1+Assumptions!$D$111)^(YEAR(AH$3)-Assumptions!$D$7)</f>
        <v/>
      </c>
      <c r="AI18" s="10">
        <f>Assumptions!$D$110*(1+Assumptions!$D$111)^(YEAR(AI$3)-Assumptions!$D$7)</f>
        <v/>
      </c>
      <c r="AJ18" s="10">
        <f>Assumptions!$D$110*(1+Assumptions!$D$111)^(YEAR(AJ$3)-Assumptions!$D$7)</f>
        <v/>
      </c>
      <c r="AK18" s="10">
        <f>Assumptions!$D$110*(1+Assumptions!$D$111)^(YEAR(AK$3)-Assumptions!$D$7)</f>
        <v/>
      </c>
      <c r="AL18" s="10">
        <f>Assumptions!$D$110*(1+Assumptions!$D$111)^(YEAR(AL$3)-Assumptions!$D$7)</f>
        <v/>
      </c>
      <c r="AM18" s="10">
        <f>Assumptions!$D$110*(1+Assumptions!$D$111)^(YEAR(AM$3)-Assumptions!$D$7)</f>
        <v/>
      </c>
      <c r="AN18" s="10">
        <f>Assumptions!$D$110*(1+Assumptions!$D$111)^(YEAR(AN$3)-Assumptions!$D$7)</f>
        <v/>
      </c>
      <c r="AO18" s="10">
        <f>Assumptions!$D$110*(1+Assumptions!$D$111)^(YEAR(AO$3)-Assumptions!$D$7)</f>
        <v/>
      </c>
      <c r="AP18" s="10">
        <f>Assumptions!$D$110*(1+Assumptions!$D$111)^(YEAR(AP$3)-Assumptions!$D$7)</f>
        <v/>
      </c>
      <c r="AQ18" s="10">
        <f>Assumptions!$D$110*(1+Assumptions!$D$111)^(YEAR(AQ$3)-Assumptions!$D$7)</f>
        <v/>
      </c>
      <c r="AR18" s="10">
        <f>Assumptions!$D$110*(1+Assumptions!$D$111)^(YEAR(AR$3)-Assumptions!$D$7)</f>
        <v/>
      </c>
      <c r="AS18" s="10">
        <f>Assumptions!$D$110*(1+Assumptions!$D$111)^(YEAR(AS$3)-Assumptions!$D$7)</f>
        <v/>
      </c>
      <c r="AT18" s="10">
        <f>Assumptions!$D$110*(1+Assumptions!$D$111)^(YEAR(AT$3)-Assumptions!$D$7)</f>
        <v/>
      </c>
      <c r="AU18" s="10">
        <f>Assumptions!$D$110*(1+Assumptions!$D$111)^(YEAR(AU$3)-Assumptions!$D$7)</f>
        <v/>
      </c>
      <c r="AV18" s="10">
        <f>Assumptions!$D$110*(1+Assumptions!$D$111)^(YEAR(AV$3)-Assumptions!$D$7)</f>
        <v/>
      </c>
      <c r="AW18" s="10">
        <f>Assumptions!$D$110*(1+Assumptions!$D$111)^(YEAR(AW$3)-Assumptions!$D$7)</f>
        <v/>
      </c>
      <c r="AX18" s="10">
        <f>Assumptions!$D$110*(1+Assumptions!$D$111)^(YEAR(AX$3)-Assumptions!$D$7)</f>
        <v/>
      </c>
      <c r="AY18" s="10">
        <f>Assumptions!$D$110*(1+Assumptions!$D$111)^(YEAR(AY$3)-Assumptions!$D$7)</f>
        <v/>
      </c>
      <c r="AZ18" s="10">
        <f>Assumptions!$D$110*(1+Assumptions!$D$111)^(YEAR(AZ$3)-Assumptions!$D$7)</f>
        <v/>
      </c>
      <c r="BA18" s="10">
        <f>Assumptions!$D$110*(1+Assumptions!$D$111)^(YEAR(BA$3)-Assumptions!$D$7)</f>
        <v/>
      </c>
      <c r="BB18" s="10">
        <f>Assumptions!$D$110*(1+Assumptions!$D$111)^(YEAR(BB$3)-Assumptions!$D$7)</f>
        <v/>
      </c>
      <c r="BC18" s="10">
        <f>Assumptions!$D$110*(1+Assumptions!$D$111)^(YEAR(BC$3)-Assumptions!$D$7)</f>
        <v/>
      </c>
      <c r="BD18" s="10">
        <f>Assumptions!$D$110*(1+Assumptions!$D$111)^(YEAR(BD$3)-Assumptions!$D$7)</f>
        <v/>
      </c>
      <c r="BE18" s="10">
        <f>Assumptions!$D$110*(1+Assumptions!$D$111)^(YEAR(BE$3)-Assumptions!$D$7)</f>
        <v/>
      </c>
      <c r="BF18" s="10">
        <f>Assumptions!$D$110*(1+Assumptions!$D$111)^(YEAR(BF$3)-Assumptions!$D$7)</f>
        <v/>
      </c>
      <c r="BG18" s="10">
        <f>Assumptions!$D$110*(1+Assumptions!$D$111)^(YEAR(BG$3)-Assumptions!$D$7)</f>
        <v/>
      </c>
      <c r="BH18" s="10">
        <f>Assumptions!$D$110*(1+Assumptions!$D$111)^(YEAR(BH$3)-Assumptions!$D$7)</f>
        <v/>
      </c>
      <c r="BI18" s="10">
        <f>Assumptions!$D$110*(1+Assumptions!$D$111)^(YEAR(BI$3)-Assumptions!$D$7)</f>
        <v/>
      </c>
      <c r="BJ18" s="10">
        <f>Assumptions!$D$110*(1+Assumptions!$D$111)^(YEAR(BJ$3)-Assumptions!$D$7)</f>
        <v/>
      </c>
      <c r="BK18" s="10">
        <f>Assumptions!$D$110*(1+Assumptions!$D$111)^(YEAR(BK$3)-Assumptions!$D$7)</f>
        <v/>
      </c>
      <c r="BL18" s="10">
        <f>Assumptions!$D$110*(1+Assumptions!$D$111)^(YEAR(BL$3)-Assumptions!$D$7)</f>
        <v/>
      </c>
      <c r="BN18" s="50">
        <f>SUM(E18:P18)</f>
        <v/>
      </c>
      <c r="BO18" s="50">
        <f>SUM(Q18:AB18)</f>
        <v/>
      </c>
      <c r="BP18" s="50">
        <f>SUM(AC18:AN18)</f>
        <v/>
      </c>
      <c r="BQ18" s="50">
        <f>SUM(AO18:AZ18)</f>
        <v/>
      </c>
      <c r="BR18" s="50">
        <f>SUM(BA18:BL18)</f>
        <v/>
      </c>
    </row>
    <row r="19">
      <c r="B19" s="56" t="inlineStr">
        <is>
          <t>Total</t>
        </is>
      </c>
      <c r="C19" s="57" t="inlineStr">
        <is>
          <t>EUR</t>
        </is>
      </c>
      <c r="E19" s="37">
        <f>IF(E$3&lt;=Assumptions!$D$12,E41,SUM(E17:E18))</f>
        <v/>
      </c>
      <c r="F19" s="37">
        <f>IF(F$3&lt;=Assumptions!$D$12,F41,SUM(F17:F18))</f>
        <v/>
      </c>
      <c r="G19" s="37">
        <f>IF(G$3&lt;=Assumptions!$D$12,G41,SUM(G17:G18))</f>
        <v/>
      </c>
      <c r="H19" s="37">
        <f>IF(H$3&lt;=Assumptions!$D$12,H41,SUM(H17:H18))</f>
        <v/>
      </c>
      <c r="I19" s="37">
        <f>IF(I$3&lt;=Assumptions!$D$12,I41,SUM(I17:I18))</f>
        <v/>
      </c>
      <c r="J19" s="37">
        <f>IF(J$3&lt;=Assumptions!$D$12,J41,SUM(J17:J18))</f>
        <v/>
      </c>
      <c r="K19" s="37">
        <f>IF(K$3&lt;=Assumptions!$D$12,K41,SUM(K17:K18))</f>
        <v/>
      </c>
      <c r="L19" s="37">
        <f>IF(L$3&lt;=Assumptions!$D$12,L41,SUM(L17:L18))</f>
        <v/>
      </c>
      <c r="M19" s="37">
        <f>IF(M$3&lt;=Assumptions!$D$12,M41,SUM(M17:M18))</f>
        <v/>
      </c>
      <c r="N19" s="37">
        <f>IF(N$3&lt;=Assumptions!$D$12,N41,SUM(N17:N18))</f>
        <v/>
      </c>
      <c r="O19" s="37">
        <f>IF(O$3&lt;=Assumptions!$D$12,O41,SUM(O17:O18))</f>
        <v/>
      </c>
      <c r="P19" s="37">
        <f>IF(P$3&lt;=Assumptions!$D$12,P41,SUM(P17:P18))</f>
        <v/>
      </c>
      <c r="Q19" s="37">
        <f>IF(Q$3&lt;=Assumptions!$D$12,Q41,SUM(Q17:Q18))</f>
        <v/>
      </c>
      <c r="R19" s="37">
        <f>IF(R$3&lt;=Assumptions!$D$12,R41,SUM(R17:R18))</f>
        <v/>
      </c>
      <c r="S19" s="37">
        <f>IF(S$3&lt;=Assumptions!$D$12,S41,SUM(S17:S18))</f>
        <v/>
      </c>
      <c r="T19" s="37">
        <f>IF(T$3&lt;=Assumptions!$D$12,T41,SUM(T17:T18))</f>
        <v/>
      </c>
      <c r="U19" s="37">
        <f>IF(U$3&lt;=Assumptions!$D$12,U41,SUM(U17:U18))</f>
        <v/>
      </c>
      <c r="V19" s="37">
        <f>IF(V$3&lt;=Assumptions!$D$12,V41,SUM(V17:V18))</f>
        <v/>
      </c>
      <c r="W19" s="37">
        <f>IF(W$3&lt;=Assumptions!$D$12,W41,SUM(W17:W18))</f>
        <v/>
      </c>
      <c r="X19" s="37">
        <f>IF(X$3&lt;=Assumptions!$D$12,X41,SUM(X17:X18))</f>
        <v/>
      </c>
      <c r="Y19" s="37">
        <f>IF(Y$3&lt;=Assumptions!$D$12,Y41,SUM(Y17:Y18))</f>
        <v/>
      </c>
      <c r="Z19" s="37">
        <f>IF(Z$3&lt;=Assumptions!$D$12,Z41,SUM(Z17:Z18))</f>
        <v/>
      </c>
      <c r="AA19" s="37">
        <f>IF(AA$3&lt;=Assumptions!$D$12,AA41,SUM(AA17:AA18))</f>
        <v/>
      </c>
      <c r="AB19" s="37">
        <f>IF(AB$3&lt;=Assumptions!$D$12,AB41,SUM(AB17:AB18))</f>
        <v/>
      </c>
      <c r="AC19" s="37">
        <f>IF(AC$3&lt;=Assumptions!$D$12,AC41,SUM(AC17:AC18))</f>
        <v/>
      </c>
      <c r="AD19" s="37">
        <f>IF(AD$3&lt;=Assumptions!$D$12,AD41,SUM(AD17:AD18))</f>
        <v/>
      </c>
      <c r="AE19" s="37">
        <f>IF(AE$3&lt;=Assumptions!$D$12,AE41,SUM(AE17:AE18))</f>
        <v/>
      </c>
      <c r="AF19" s="37">
        <f>IF(AF$3&lt;=Assumptions!$D$12,AF41,SUM(AF17:AF18))</f>
        <v/>
      </c>
      <c r="AG19" s="37">
        <f>IF(AG$3&lt;=Assumptions!$D$12,AG41,SUM(AG17:AG18))</f>
        <v/>
      </c>
      <c r="AH19" s="37">
        <f>IF(AH$3&lt;=Assumptions!$D$12,AH41,SUM(AH17:AH18))</f>
        <v/>
      </c>
      <c r="AI19" s="37">
        <f>IF(AI$3&lt;=Assumptions!$D$12,AI41,SUM(AI17:AI18))</f>
        <v/>
      </c>
      <c r="AJ19" s="37">
        <f>IF(AJ$3&lt;=Assumptions!$D$12,AJ41,SUM(AJ17:AJ18))</f>
        <v/>
      </c>
      <c r="AK19" s="37">
        <f>IF(AK$3&lt;=Assumptions!$D$12,AK41,SUM(AK17:AK18))</f>
        <v/>
      </c>
      <c r="AL19" s="37">
        <f>IF(AL$3&lt;=Assumptions!$D$12,AL41,SUM(AL17:AL18))</f>
        <v/>
      </c>
      <c r="AM19" s="37">
        <f>IF(AM$3&lt;=Assumptions!$D$12,AM41,SUM(AM17:AM18))</f>
        <v/>
      </c>
      <c r="AN19" s="37">
        <f>IF(AN$3&lt;=Assumptions!$D$12,AN41,SUM(AN17:AN18))</f>
        <v/>
      </c>
      <c r="AO19" s="37">
        <f>IF(AO$3&lt;=Assumptions!$D$12,AO41,SUM(AO17:AO18))</f>
        <v/>
      </c>
      <c r="AP19" s="37">
        <f>IF(AP$3&lt;=Assumptions!$D$12,AP41,SUM(AP17:AP18))</f>
        <v/>
      </c>
      <c r="AQ19" s="37">
        <f>IF(AQ$3&lt;=Assumptions!$D$12,AQ41,SUM(AQ17:AQ18))</f>
        <v/>
      </c>
      <c r="AR19" s="37">
        <f>IF(AR$3&lt;=Assumptions!$D$12,AR41,SUM(AR17:AR18))</f>
        <v/>
      </c>
      <c r="AS19" s="37">
        <f>IF(AS$3&lt;=Assumptions!$D$12,AS41,SUM(AS17:AS18))</f>
        <v/>
      </c>
      <c r="AT19" s="37">
        <f>IF(AT$3&lt;=Assumptions!$D$12,AT41,SUM(AT17:AT18))</f>
        <v/>
      </c>
      <c r="AU19" s="37">
        <f>IF(AU$3&lt;=Assumptions!$D$12,AU41,SUM(AU17:AU18))</f>
        <v/>
      </c>
      <c r="AV19" s="37">
        <f>IF(AV$3&lt;=Assumptions!$D$12,AV41,SUM(AV17:AV18))</f>
        <v/>
      </c>
      <c r="AW19" s="37">
        <f>IF(AW$3&lt;=Assumptions!$D$12,AW41,SUM(AW17:AW18))</f>
        <v/>
      </c>
      <c r="AX19" s="37">
        <f>IF(AX$3&lt;=Assumptions!$D$12,AX41,SUM(AX17:AX18))</f>
        <v/>
      </c>
      <c r="AY19" s="37">
        <f>IF(AY$3&lt;=Assumptions!$D$12,AY41,SUM(AY17:AY18))</f>
        <v/>
      </c>
      <c r="AZ19" s="37">
        <f>IF(AZ$3&lt;=Assumptions!$D$12,AZ41,SUM(AZ17:AZ18))</f>
        <v/>
      </c>
      <c r="BA19" s="37">
        <f>IF(BA$3&lt;=Assumptions!$D$12,BA41,SUM(BA17:BA18))</f>
        <v/>
      </c>
      <c r="BB19" s="37">
        <f>IF(BB$3&lt;=Assumptions!$D$12,BB41,SUM(BB17:BB18))</f>
        <v/>
      </c>
      <c r="BC19" s="37">
        <f>IF(BC$3&lt;=Assumptions!$D$12,BC41,SUM(BC17:BC18))</f>
        <v/>
      </c>
      <c r="BD19" s="37">
        <f>IF(BD$3&lt;=Assumptions!$D$12,BD41,SUM(BD17:BD18))</f>
        <v/>
      </c>
      <c r="BE19" s="37">
        <f>IF(BE$3&lt;=Assumptions!$D$12,BE41,SUM(BE17:BE18))</f>
        <v/>
      </c>
      <c r="BF19" s="37">
        <f>IF(BF$3&lt;=Assumptions!$D$12,BF41,SUM(BF17:BF18))</f>
        <v/>
      </c>
      <c r="BG19" s="37">
        <f>IF(BG$3&lt;=Assumptions!$D$12,BG41,SUM(BG17:BG18))</f>
        <v/>
      </c>
      <c r="BH19" s="37">
        <f>IF(BH$3&lt;=Assumptions!$D$12,BH41,SUM(BH17:BH18))</f>
        <v/>
      </c>
      <c r="BI19" s="37">
        <f>IF(BI$3&lt;=Assumptions!$D$12,BI41,SUM(BI17:BI18))</f>
        <v/>
      </c>
      <c r="BJ19" s="37">
        <f>IF(BJ$3&lt;=Assumptions!$D$12,BJ41,SUM(BJ17:BJ18))</f>
        <v/>
      </c>
      <c r="BK19" s="37">
        <f>IF(BK$3&lt;=Assumptions!$D$12,BK41,SUM(BK17:BK18))</f>
        <v/>
      </c>
      <c r="BL19" s="37">
        <f>IF(BL$3&lt;=Assumptions!$D$12,BL41,SUM(BL17:BL18))</f>
        <v/>
      </c>
      <c r="BN19" s="37">
        <f>SUM(E19:P19)</f>
        <v/>
      </c>
      <c r="BO19" s="37">
        <f>SUM(Q19:AB19)</f>
        <v/>
      </c>
      <c r="BP19" s="37">
        <f>SUM(AC19:AN19)</f>
        <v/>
      </c>
      <c r="BQ19" s="37">
        <f>SUM(AO19:AZ19)</f>
        <v/>
      </c>
      <c r="BR19" s="37">
        <f>SUM(BA19:BL19)</f>
        <v/>
      </c>
    </row>
    <row r="21">
      <c r="B21" s="15" t="inlineStr">
        <is>
          <t>GENERAL AND ADMINISTRATIVE, EVERYTHING ELSE</t>
        </is>
      </c>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c r="AA21" s="1" t="n"/>
      <c r="AB21" s="1" t="n"/>
      <c r="AC21" s="1" t="n"/>
      <c r="AD21" s="1" t="n"/>
      <c r="AE21" s="1" t="n"/>
      <c r="AF21" s="1" t="n"/>
      <c r="AG21" s="1" t="n"/>
      <c r="AH21" s="1" t="n"/>
      <c r="AI21" s="1" t="n"/>
      <c r="AJ21" s="1" t="n"/>
      <c r="AK21" s="1" t="n"/>
      <c r="AL21" s="1" t="n"/>
      <c r="AM21" s="1" t="n"/>
      <c r="AN21" s="1" t="n"/>
      <c r="AO21" s="1" t="n"/>
      <c r="AP21" s="1" t="n"/>
      <c r="AQ21" s="1" t="n"/>
      <c r="AR21" s="1" t="n"/>
      <c r="AS21" s="1" t="n"/>
      <c r="AT21" s="1" t="n"/>
      <c r="AU21" s="1" t="n"/>
      <c r="AV21" s="1" t="n"/>
      <c r="AW21" s="1" t="n"/>
      <c r="AX21" s="1" t="n"/>
      <c r="AY21" s="1" t="n"/>
      <c r="AZ21" s="1" t="n"/>
      <c r="BA21" s="1" t="n"/>
      <c r="BB21" s="1" t="n"/>
      <c r="BC21" s="1" t="n"/>
      <c r="BD21" s="1" t="n"/>
      <c r="BE21" s="1" t="n"/>
      <c r="BF21" s="1" t="n"/>
      <c r="BG21" s="1" t="n"/>
      <c r="BH21" s="1" t="n"/>
      <c r="BI21" s="1" t="n"/>
      <c r="BJ21" s="1" t="n"/>
      <c r="BK21" s="1" t="n"/>
      <c r="BL21" s="1" t="n"/>
      <c r="BM21" s="1" t="n"/>
      <c r="BN21" s="1" t="n"/>
      <c r="BO21" s="1" t="n"/>
      <c r="BP21" s="1" t="n"/>
      <c r="BQ21" s="1" t="n"/>
      <c r="BR21" s="1" t="n"/>
      <c r="BS21" s="1" t="n"/>
    </row>
    <row r="22">
      <c r="B22" s="6" t="inlineStr">
        <is>
          <t>Offices, IT and travel</t>
        </is>
      </c>
      <c r="C22" s="17" t="inlineStr">
        <is>
          <t>EUR</t>
        </is>
      </c>
      <c r="E22" s="10">
        <f>Personnel!E20*(Assumptions!$D$102+Assumptions!$D$103+Assumptions!$D$104)*(1+Assumptions!$D$111)^(YEAR(E$3)-Assumptions!$D$7)</f>
        <v/>
      </c>
      <c r="F22" s="10">
        <f>Personnel!F20*(Assumptions!$D$102+Assumptions!$D$103+Assumptions!$D$104)*(1+Assumptions!$D$111)^(YEAR(F$3)-Assumptions!$D$7)</f>
        <v/>
      </c>
      <c r="G22" s="10">
        <f>Personnel!G20*(Assumptions!$D$102+Assumptions!$D$103+Assumptions!$D$104)*(1+Assumptions!$D$111)^(YEAR(G$3)-Assumptions!$D$7)</f>
        <v/>
      </c>
      <c r="H22" s="10">
        <f>Personnel!H20*(Assumptions!$D$102+Assumptions!$D$103+Assumptions!$D$104)*(1+Assumptions!$D$111)^(YEAR(H$3)-Assumptions!$D$7)</f>
        <v/>
      </c>
      <c r="I22" s="10">
        <f>Personnel!I20*(Assumptions!$D$102+Assumptions!$D$103+Assumptions!$D$104)*(1+Assumptions!$D$111)^(YEAR(I$3)-Assumptions!$D$7)</f>
        <v/>
      </c>
      <c r="J22" s="10">
        <f>Personnel!J20*(Assumptions!$D$102+Assumptions!$D$103+Assumptions!$D$104)*(1+Assumptions!$D$111)^(YEAR(J$3)-Assumptions!$D$7)</f>
        <v/>
      </c>
      <c r="K22" s="10">
        <f>Personnel!K20*(Assumptions!$D$102+Assumptions!$D$103+Assumptions!$D$104)*(1+Assumptions!$D$111)^(YEAR(K$3)-Assumptions!$D$7)</f>
        <v/>
      </c>
      <c r="L22" s="10">
        <f>Personnel!L20*(Assumptions!$D$102+Assumptions!$D$103+Assumptions!$D$104)*(1+Assumptions!$D$111)^(YEAR(L$3)-Assumptions!$D$7)</f>
        <v/>
      </c>
      <c r="M22" s="10">
        <f>Personnel!M20*(Assumptions!$D$102+Assumptions!$D$103+Assumptions!$D$104)*(1+Assumptions!$D$111)^(YEAR(M$3)-Assumptions!$D$7)</f>
        <v/>
      </c>
      <c r="N22" s="10">
        <f>Personnel!N20*(Assumptions!$D$102+Assumptions!$D$103+Assumptions!$D$104)*(1+Assumptions!$D$111)^(YEAR(N$3)-Assumptions!$D$7)</f>
        <v/>
      </c>
      <c r="O22" s="10">
        <f>Personnel!O20*(Assumptions!$D$102+Assumptions!$D$103+Assumptions!$D$104)*(1+Assumptions!$D$111)^(YEAR(O$3)-Assumptions!$D$7)</f>
        <v/>
      </c>
      <c r="P22" s="10">
        <f>Personnel!P20*(Assumptions!$D$102+Assumptions!$D$103+Assumptions!$D$104)*(1+Assumptions!$D$111)^(YEAR(P$3)-Assumptions!$D$7)</f>
        <v/>
      </c>
      <c r="Q22" s="10">
        <f>Personnel!Q20*(Assumptions!$D$102+Assumptions!$D$103+Assumptions!$D$104)*(1+Assumptions!$D$111)^(YEAR(Q$3)-Assumptions!$D$7)</f>
        <v/>
      </c>
      <c r="R22" s="10">
        <f>Personnel!R20*(Assumptions!$D$102+Assumptions!$D$103+Assumptions!$D$104)*(1+Assumptions!$D$111)^(YEAR(R$3)-Assumptions!$D$7)</f>
        <v/>
      </c>
      <c r="S22" s="10">
        <f>Personnel!S20*(Assumptions!$D$102+Assumptions!$D$103+Assumptions!$D$104)*(1+Assumptions!$D$111)^(YEAR(S$3)-Assumptions!$D$7)</f>
        <v/>
      </c>
      <c r="T22" s="10">
        <f>Personnel!T20*(Assumptions!$D$102+Assumptions!$D$103+Assumptions!$D$104)*(1+Assumptions!$D$111)^(YEAR(T$3)-Assumptions!$D$7)</f>
        <v/>
      </c>
      <c r="U22" s="10">
        <f>Personnel!U20*(Assumptions!$D$102+Assumptions!$D$103+Assumptions!$D$104)*(1+Assumptions!$D$111)^(YEAR(U$3)-Assumptions!$D$7)</f>
        <v/>
      </c>
      <c r="V22" s="10">
        <f>Personnel!V20*(Assumptions!$D$102+Assumptions!$D$103+Assumptions!$D$104)*(1+Assumptions!$D$111)^(YEAR(V$3)-Assumptions!$D$7)</f>
        <v/>
      </c>
      <c r="W22" s="10">
        <f>Personnel!W20*(Assumptions!$D$102+Assumptions!$D$103+Assumptions!$D$104)*(1+Assumptions!$D$111)^(YEAR(W$3)-Assumptions!$D$7)</f>
        <v/>
      </c>
      <c r="X22" s="10">
        <f>Personnel!X20*(Assumptions!$D$102+Assumptions!$D$103+Assumptions!$D$104)*(1+Assumptions!$D$111)^(YEAR(X$3)-Assumptions!$D$7)</f>
        <v/>
      </c>
      <c r="Y22" s="10">
        <f>Personnel!Y20*(Assumptions!$D$102+Assumptions!$D$103+Assumptions!$D$104)*(1+Assumptions!$D$111)^(YEAR(Y$3)-Assumptions!$D$7)</f>
        <v/>
      </c>
      <c r="Z22" s="10">
        <f>Personnel!Z20*(Assumptions!$D$102+Assumptions!$D$103+Assumptions!$D$104)*(1+Assumptions!$D$111)^(YEAR(Z$3)-Assumptions!$D$7)</f>
        <v/>
      </c>
      <c r="AA22" s="10">
        <f>Personnel!AA20*(Assumptions!$D$102+Assumptions!$D$103+Assumptions!$D$104)*(1+Assumptions!$D$111)^(YEAR(AA$3)-Assumptions!$D$7)</f>
        <v/>
      </c>
      <c r="AB22" s="10">
        <f>Personnel!AB20*(Assumptions!$D$102+Assumptions!$D$103+Assumptions!$D$104)*(1+Assumptions!$D$111)^(YEAR(AB$3)-Assumptions!$D$7)</f>
        <v/>
      </c>
      <c r="AC22" s="10">
        <f>Personnel!AC20*(Assumptions!$D$102+Assumptions!$D$103+Assumptions!$D$104)*(1+Assumptions!$D$111)^(YEAR(AC$3)-Assumptions!$D$7)</f>
        <v/>
      </c>
      <c r="AD22" s="10">
        <f>Personnel!AD20*(Assumptions!$D$102+Assumptions!$D$103+Assumptions!$D$104)*(1+Assumptions!$D$111)^(YEAR(AD$3)-Assumptions!$D$7)</f>
        <v/>
      </c>
      <c r="AE22" s="10">
        <f>Personnel!AE20*(Assumptions!$D$102+Assumptions!$D$103+Assumptions!$D$104)*(1+Assumptions!$D$111)^(YEAR(AE$3)-Assumptions!$D$7)</f>
        <v/>
      </c>
      <c r="AF22" s="10">
        <f>Personnel!AF20*(Assumptions!$D$102+Assumptions!$D$103+Assumptions!$D$104)*(1+Assumptions!$D$111)^(YEAR(AF$3)-Assumptions!$D$7)</f>
        <v/>
      </c>
      <c r="AG22" s="10">
        <f>Personnel!AG20*(Assumptions!$D$102+Assumptions!$D$103+Assumptions!$D$104)*(1+Assumptions!$D$111)^(YEAR(AG$3)-Assumptions!$D$7)</f>
        <v/>
      </c>
      <c r="AH22" s="10">
        <f>Personnel!AH20*(Assumptions!$D$102+Assumptions!$D$103+Assumptions!$D$104)*(1+Assumptions!$D$111)^(YEAR(AH$3)-Assumptions!$D$7)</f>
        <v/>
      </c>
      <c r="AI22" s="10">
        <f>Personnel!AI20*(Assumptions!$D$102+Assumptions!$D$103+Assumptions!$D$104)*(1+Assumptions!$D$111)^(YEAR(AI$3)-Assumptions!$D$7)</f>
        <v/>
      </c>
      <c r="AJ22" s="10">
        <f>Personnel!AJ20*(Assumptions!$D$102+Assumptions!$D$103+Assumptions!$D$104)*(1+Assumptions!$D$111)^(YEAR(AJ$3)-Assumptions!$D$7)</f>
        <v/>
      </c>
      <c r="AK22" s="10">
        <f>Personnel!AK20*(Assumptions!$D$102+Assumptions!$D$103+Assumptions!$D$104)*(1+Assumptions!$D$111)^(YEAR(AK$3)-Assumptions!$D$7)</f>
        <v/>
      </c>
      <c r="AL22" s="10">
        <f>Personnel!AL20*(Assumptions!$D$102+Assumptions!$D$103+Assumptions!$D$104)*(1+Assumptions!$D$111)^(YEAR(AL$3)-Assumptions!$D$7)</f>
        <v/>
      </c>
      <c r="AM22" s="10">
        <f>Personnel!AM20*(Assumptions!$D$102+Assumptions!$D$103+Assumptions!$D$104)*(1+Assumptions!$D$111)^(YEAR(AM$3)-Assumptions!$D$7)</f>
        <v/>
      </c>
      <c r="AN22" s="10">
        <f>Personnel!AN20*(Assumptions!$D$102+Assumptions!$D$103+Assumptions!$D$104)*(1+Assumptions!$D$111)^(YEAR(AN$3)-Assumptions!$D$7)</f>
        <v/>
      </c>
      <c r="AO22" s="10">
        <f>Personnel!AO20*(Assumptions!$D$102+Assumptions!$D$103+Assumptions!$D$104)*(1+Assumptions!$D$111)^(YEAR(AO$3)-Assumptions!$D$7)</f>
        <v/>
      </c>
      <c r="AP22" s="10">
        <f>Personnel!AP20*(Assumptions!$D$102+Assumptions!$D$103+Assumptions!$D$104)*(1+Assumptions!$D$111)^(YEAR(AP$3)-Assumptions!$D$7)</f>
        <v/>
      </c>
      <c r="AQ22" s="10">
        <f>Personnel!AQ20*(Assumptions!$D$102+Assumptions!$D$103+Assumptions!$D$104)*(1+Assumptions!$D$111)^(YEAR(AQ$3)-Assumptions!$D$7)</f>
        <v/>
      </c>
      <c r="AR22" s="10">
        <f>Personnel!AR20*(Assumptions!$D$102+Assumptions!$D$103+Assumptions!$D$104)*(1+Assumptions!$D$111)^(YEAR(AR$3)-Assumptions!$D$7)</f>
        <v/>
      </c>
      <c r="AS22" s="10">
        <f>Personnel!AS20*(Assumptions!$D$102+Assumptions!$D$103+Assumptions!$D$104)*(1+Assumptions!$D$111)^(YEAR(AS$3)-Assumptions!$D$7)</f>
        <v/>
      </c>
      <c r="AT22" s="10">
        <f>Personnel!AT20*(Assumptions!$D$102+Assumptions!$D$103+Assumptions!$D$104)*(1+Assumptions!$D$111)^(YEAR(AT$3)-Assumptions!$D$7)</f>
        <v/>
      </c>
      <c r="AU22" s="10">
        <f>Personnel!AU20*(Assumptions!$D$102+Assumptions!$D$103+Assumptions!$D$104)*(1+Assumptions!$D$111)^(YEAR(AU$3)-Assumptions!$D$7)</f>
        <v/>
      </c>
      <c r="AV22" s="10">
        <f>Personnel!AV20*(Assumptions!$D$102+Assumptions!$D$103+Assumptions!$D$104)*(1+Assumptions!$D$111)^(YEAR(AV$3)-Assumptions!$D$7)</f>
        <v/>
      </c>
      <c r="AW22" s="10">
        <f>Personnel!AW20*(Assumptions!$D$102+Assumptions!$D$103+Assumptions!$D$104)*(1+Assumptions!$D$111)^(YEAR(AW$3)-Assumptions!$D$7)</f>
        <v/>
      </c>
      <c r="AX22" s="10">
        <f>Personnel!AX20*(Assumptions!$D$102+Assumptions!$D$103+Assumptions!$D$104)*(1+Assumptions!$D$111)^(YEAR(AX$3)-Assumptions!$D$7)</f>
        <v/>
      </c>
      <c r="AY22" s="10">
        <f>Personnel!AY20*(Assumptions!$D$102+Assumptions!$D$103+Assumptions!$D$104)*(1+Assumptions!$D$111)^(YEAR(AY$3)-Assumptions!$D$7)</f>
        <v/>
      </c>
      <c r="AZ22" s="10">
        <f>Personnel!AZ20*(Assumptions!$D$102+Assumptions!$D$103+Assumptions!$D$104)*(1+Assumptions!$D$111)^(YEAR(AZ$3)-Assumptions!$D$7)</f>
        <v/>
      </c>
      <c r="BA22" s="10">
        <f>Personnel!BA20*(Assumptions!$D$102+Assumptions!$D$103+Assumptions!$D$104)*(1+Assumptions!$D$111)^(YEAR(BA$3)-Assumptions!$D$7)</f>
        <v/>
      </c>
      <c r="BB22" s="10">
        <f>Personnel!BB20*(Assumptions!$D$102+Assumptions!$D$103+Assumptions!$D$104)*(1+Assumptions!$D$111)^(YEAR(BB$3)-Assumptions!$D$7)</f>
        <v/>
      </c>
      <c r="BC22" s="10">
        <f>Personnel!BC20*(Assumptions!$D$102+Assumptions!$D$103+Assumptions!$D$104)*(1+Assumptions!$D$111)^(YEAR(BC$3)-Assumptions!$D$7)</f>
        <v/>
      </c>
      <c r="BD22" s="10">
        <f>Personnel!BD20*(Assumptions!$D$102+Assumptions!$D$103+Assumptions!$D$104)*(1+Assumptions!$D$111)^(YEAR(BD$3)-Assumptions!$D$7)</f>
        <v/>
      </c>
      <c r="BE22" s="10">
        <f>Personnel!BE20*(Assumptions!$D$102+Assumptions!$D$103+Assumptions!$D$104)*(1+Assumptions!$D$111)^(YEAR(BE$3)-Assumptions!$D$7)</f>
        <v/>
      </c>
      <c r="BF22" s="10">
        <f>Personnel!BF20*(Assumptions!$D$102+Assumptions!$D$103+Assumptions!$D$104)*(1+Assumptions!$D$111)^(YEAR(BF$3)-Assumptions!$D$7)</f>
        <v/>
      </c>
      <c r="BG22" s="10">
        <f>Personnel!BG20*(Assumptions!$D$102+Assumptions!$D$103+Assumptions!$D$104)*(1+Assumptions!$D$111)^(YEAR(BG$3)-Assumptions!$D$7)</f>
        <v/>
      </c>
      <c r="BH22" s="10">
        <f>Personnel!BH20*(Assumptions!$D$102+Assumptions!$D$103+Assumptions!$D$104)*(1+Assumptions!$D$111)^(YEAR(BH$3)-Assumptions!$D$7)</f>
        <v/>
      </c>
      <c r="BI22" s="10">
        <f>Personnel!BI20*(Assumptions!$D$102+Assumptions!$D$103+Assumptions!$D$104)*(1+Assumptions!$D$111)^(YEAR(BI$3)-Assumptions!$D$7)</f>
        <v/>
      </c>
      <c r="BJ22" s="10">
        <f>Personnel!BJ20*(Assumptions!$D$102+Assumptions!$D$103+Assumptions!$D$104)*(1+Assumptions!$D$111)^(YEAR(BJ$3)-Assumptions!$D$7)</f>
        <v/>
      </c>
      <c r="BK22" s="10">
        <f>Personnel!BK20*(Assumptions!$D$102+Assumptions!$D$103+Assumptions!$D$104)*(1+Assumptions!$D$111)^(YEAR(BK$3)-Assumptions!$D$7)</f>
        <v/>
      </c>
      <c r="BL22" s="10">
        <f>Personnel!BL20*(Assumptions!$D$102+Assumptions!$D$103+Assumptions!$D$104)*(1+Assumptions!$D$111)^(YEAR(BL$3)-Assumptions!$D$7)</f>
        <v/>
      </c>
      <c r="BN22" s="50">
        <f>SUM(E22:P22)</f>
        <v/>
      </c>
      <c r="BO22" s="50">
        <f>SUM(Q22:AB22)</f>
        <v/>
      </c>
      <c r="BP22" s="50">
        <f>SUM(AC22:AN22)</f>
        <v/>
      </c>
      <c r="BQ22" s="50">
        <f>SUM(AO22:AZ22)</f>
        <v/>
      </c>
      <c r="BR22" s="50">
        <f>SUM(BA22:BL22)</f>
        <v/>
      </c>
      <c r="BT22" s="32" t="inlineStr">
        <is>
          <t>scales with the number of people on the payroll, inflated like every other cost</t>
        </is>
      </c>
    </row>
    <row r="23">
      <c r="B23" s="6" t="inlineStr">
        <is>
          <t>Recruitment</t>
        </is>
      </c>
      <c r="C23" s="17" t="inlineStr">
        <is>
          <t>EUR</t>
        </is>
      </c>
      <c r="E23" s="10">
        <f>0</f>
        <v/>
      </c>
      <c r="F23" s="10">
        <f>MAX(0,Personnel!F20-Personnel!E20)*Assumptions!$D$105*(1+Assumptions!$D$111)^(YEAR(F$3)-Assumptions!$D$7)</f>
        <v/>
      </c>
      <c r="G23" s="10">
        <f>MAX(0,Personnel!G20-Personnel!F20)*Assumptions!$D$105*(1+Assumptions!$D$111)^(YEAR(G$3)-Assumptions!$D$7)</f>
        <v/>
      </c>
      <c r="H23" s="10">
        <f>MAX(0,Personnel!H20-Personnel!G20)*Assumptions!$D$105*(1+Assumptions!$D$111)^(YEAR(H$3)-Assumptions!$D$7)</f>
        <v/>
      </c>
      <c r="I23" s="10">
        <f>MAX(0,Personnel!I20-Personnel!H20)*Assumptions!$D$105*(1+Assumptions!$D$111)^(YEAR(I$3)-Assumptions!$D$7)</f>
        <v/>
      </c>
      <c r="J23" s="10">
        <f>MAX(0,Personnel!J20-Personnel!I20)*Assumptions!$D$105*(1+Assumptions!$D$111)^(YEAR(J$3)-Assumptions!$D$7)</f>
        <v/>
      </c>
      <c r="K23" s="10">
        <f>MAX(0,Personnel!K20-Personnel!J20)*Assumptions!$D$105*(1+Assumptions!$D$111)^(YEAR(K$3)-Assumptions!$D$7)</f>
        <v/>
      </c>
      <c r="L23" s="10">
        <f>MAX(0,Personnel!L20-Personnel!K20)*Assumptions!$D$105*(1+Assumptions!$D$111)^(YEAR(L$3)-Assumptions!$D$7)</f>
        <v/>
      </c>
      <c r="M23" s="10">
        <f>MAX(0,Personnel!M20-Personnel!L20)*Assumptions!$D$105*(1+Assumptions!$D$111)^(YEAR(M$3)-Assumptions!$D$7)</f>
        <v/>
      </c>
      <c r="N23" s="10">
        <f>MAX(0,Personnel!N20-Personnel!M20)*Assumptions!$D$105*(1+Assumptions!$D$111)^(YEAR(N$3)-Assumptions!$D$7)</f>
        <v/>
      </c>
      <c r="O23" s="10">
        <f>MAX(0,Personnel!O20-Personnel!N20)*Assumptions!$D$105*(1+Assumptions!$D$111)^(YEAR(O$3)-Assumptions!$D$7)</f>
        <v/>
      </c>
      <c r="P23" s="10">
        <f>MAX(0,Personnel!P20-Personnel!O20)*Assumptions!$D$105*(1+Assumptions!$D$111)^(YEAR(P$3)-Assumptions!$D$7)</f>
        <v/>
      </c>
      <c r="Q23" s="10">
        <f>MAX(0,Personnel!Q20-Personnel!P20)*Assumptions!$D$105*(1+Assumptions!$D$111)^(YEAR(Q$3)-Assumptions!$D$7)</f>
        <v/>
      </c>
      <c r="R23" s="10">
        <f>MAX(0,Personnel!R20-Personnel!Q20)*Assumptions!$D$105*(1+Assumptions!$D$111)^(YEAR(R$3)-Assumptions!$D$7)</f>
        <v/>
      </c>
      <c r="S23" s="10">
        <f>MAX(0,Personnel!S20-Personnel!R20)*Assumptions!$D$105*(1+Assumptions!$D$111)^(YEAR(S$3)-Assumptions!$D$7)</f>
        <v/>
      </c>
      <c r="T23" s="10">
        <f>MAX(0,Personnel!T20-Personnel!S20)*Assumptions!$D$105*(1+Assumptions!$D$111)^(YEAR(T$3)-Assumptions!$D$7)</f>
        <v/>
      </c>
      <c r="U23" s="10">
        <f>MAX(0,Personnel!U20-Personnel!T20)*Assumptions!$D$105*(1+Assumptions!$D$111)^(YEAR(U$3)-Assumptions!$D$7)</f>
        <v/>
      </c>
      <c r="V23" s="10">
        <f>MAX(0,Personnel!V20-Personnel!U20)*Assumptions!$D$105*(1+Assumptions!$D$111)^(YEAR(V$3)-Assumptions!$D$7)</f>
        <v/>
      </c>
      <c r="W23" s="10">
        <f>MAX(0,Personnel!W20-Personnel!V20)*Assumptions!$D$105*(1+Assumptions!$D$111)^(YEAR(W$3)-Assumptions!$D$7)</f>
        <v/>
      </c>
      <c r="X23" s="10">
        <f>MAX(0,Personnel!X20-Personnel!W20)*Assumptions!$D$105*(1+Assumptions!$D$111)^(YEAR(X$3)-Assumptions!$D$7)</f>
        <v/>
      </c>
      <c r="Y23" s="10">
        <f>MAX(0,Personnel!Y20-Personnel!X20)*Assumptions!$D$105*(1+Assumptions!$D$111)^(YEAR(Y$3)-Assumptions!$D$7)</f>
        <v/>
      </c>
      <c r="Z23" s="10">
        <f>MAX(0,Personnel!Z20-Personnel!Y20)*Assumptions!$D$105*(1+Assumptions!$D$111)^(YEAR(Z$3)-Assumptions!$D$7)</f>
        <v/>
      </c>
      <c r="AA23" s="10">
        <f>MAX(0,Personnel!AA20-Personnel!Z20)*Assumptions!$D$105*(1+Assumptions!$D$111)^(YEAR(AA$3)-Assumptions!$D$7)</f>
        <v/>
      </c>
      <c r="AB23" s="10">
        <f>MAX(0,Personnel!AB20-Personnel!AA20)*Assumptions!$D$105*(1+Assumptions!$D$111)^(YEAR(AB$3)-Assumptions!$D$7)</f>
        <v/>
      </c>
      <c r="AC23" s="10">
        <f>MAX(0,Personnel!AC20-Personnel!AB20)*Assumptions!$D$105*(1+Assumptions!$D$111)^(YEAR(AC$3)-Assumptions!$D$7)</f>
        <v/>
      </c>
      <c r="AD23" s="10">
        <f>MAX(0,Personnel!AD20-Personnel!AC20)*Assumptions!$D$105*(1+Assumptions!$D$111)^(YEAR(AD$3)-Assumptions!$D$7)</f>
        <v/>
      </c>
      <c r="AE23" s="10">
        <f>MAX(0,Personnel!AE20-Personnel!AD20)*Assumptions!$D$105*(1+Assumptions!$D$111)^(YEAR(AE$3)-Assumptions!$D$7)</f>
        <v/>
      </c>
      <c r="AF23" s="10">
        <f>MAX(0,Personnel!AF20-Personnel!AE20)*Assumptions!$D$105*(1+Assumptions!$D$111)^(YEAR(AF$3)-Assumptions!$D$7)</f>
        <v/>
      </c>
      <c r="AG23" s="10">
        <f>MAX(0,Personnel!AG20-Personnel!AF20)*Assumptions!$D$105*(1+Assumptions!$D$111)^(YEAR(AG$3)-Assumptions!$D$7)</f>
        <v/>
      </c>
      <c r="AH23" s="10">
        <f>MAX(0,Personnel!AH20-Personnel!AG20)*Assumptions!$D$105*(1+Assumptions!$D$111)^(YEAR(AH$3)-Assumptions!$D$7)</f>
        <v/>
      </c>
      <c r="AI23" s="10">
        <f>MAX(0,Personnel!AI20-Personnel!AH20)*Assumptions!$D$105*(1+Assumptions!$D$111)^(YEAR(AI$3)-Assumptions!$D$7)</f>
        <v/>
      </c>
      <c r="AJ23" s="10">
        <f>MAX(0,Personnel!AJ20-Personnel!AI20)*Assumptions!$D$105*(1+Assumptions!$D$111)^(YEAR(AJ$3)-Assumptions!$D$7)</f>
        <v/>
      </c>
      <c r="AK23" s="10">
        <f>MAX(0,Personnel!AK20-Personnel!AJ20)*Assumptions!$D$105*(1+Assumptions!$D$111)^(YEAR(AK$3)-Assumptions!$D$7)</f>
        <v/>
      </c>
      <c r="AL23" s="10">
        <f>MAX(0,Personnel!AL20-Personnel!AK20)*Assumptions!$D$105*(1+Assumptions!$D$111)^(YEAR(AL$3)-Assumptions!$D$7)</f>
        <v/>
      </c>
      <c r="AM23" s="10">
        <f>MAX(0,Personnel!AM20-Personnel!AL20)*Assumptions!$D$105*(1+Assumptions!$D$111)^(YEAR(AM$3)-Assumptions!$D$7)</f>
        <v/>
      </c>
      <c r="AN23" s="10">
        <f>MAX(0,Personnel!AN20-Personnel!AM20)*Assumptions!$D$105*(1+Assumptions!$D$111)^(YEAR(AN$3)-Assumptions!$D$7)</f>
        <v/>
      </c>
      <c r="AO23" s="10">
        <f>MAX(0,Personnel!AO20-Personnel!AN20)*Assumptions!$D$105*(1+Assumptions!$D$111)^(YEAR(AO$3)-Assumptions!$D$7)</f>
        <v/>
      </c>
      <c r="AP23" s="10">
        <f>MAX(0,Personnel!AP20-Personnel!AO20)*Assumptions!$D$105*(1+Assumptions!$D$111)^(YEAR(AP$3)-Assumptions!$D$7)</f>
        <v/>
      </c>
      <c r="AQ23" s="10">
        <f>MAX(0,Personnel!AQ20-Personnel!AP20)*Assumptions!$D$105*(1+Assumptions!$D$111)^(YEAR(AQ$3)-Assumptions!$D$7)</f>
        <v/>
      </c>
      <c r="AR23" s="10">
        <f>MAX(0,Personnel!AR20-Personnel!AQ20)*Assumptions!$D$105*(1+Assumptions!$D$111)^(YEAR(AR$3)-Assumptions!$D$7)</f>
        <v/>
      </c>
      <c r="AS23" s="10">
        <f>MAX(0,Personnel!AS20-Personnel!AR20)*Assumptions!$D$105*(1+Assumptions!$D$111)^(YEAR(AS$3)-Assumptions!$D$7)</f>
        <v/>
      </c>
      <c r="AT23" s="10">
        <f>MAX(0,Personnel!AT20-Personnel!AS20)*Assumptions!$D$105*(1+Assumptions!$D$111)^(YEAR(AT$3)-Assumptions!$D$7)</f>
        <v/>
      </c>
      <c r="AU23" s="10">
        <f>MAX(0,Personnel!AU20-Personnel!AT20)*Assumptions!$D$105*(1+Assumptions!$D$111)^(YEAR(AU$3)-Assumptions!$D$7)</f>
        <v/>
      </c>
      <c r="AV23" s="10">
        <f>MAX(0,Personnel!AV20-Personnel!AU20)*Assumptions!$D$105*(1+Assumptions!$D$111)^(YEAR(AV$3)-Assumptions!$D$7)</f>
        <v/>
      </c>
      <c r="AW23" s="10">
        <f>MAX(0,Personnel!AW20-Personnel!AV20)*Assumptions!$D$105*(1+Assumptions!$D$111)^(YEAR(AW$3)-Assumptions!$D$7)</f>
        <v/>
      </c>
      <c r="AX23" s="10">
        <f>MAX(0,Personnel!AX20-Personnel!AW20)*Assumptions!$D$105*(1+Assumptions!$D$111)^(YEAR(AX$3)-Assumptions!$D$7)</f>
        <v/>
      </c>
      <c r="AY23" s="10">
        <f>MAX(0,Personnel!AY20-Personnel!AX20)*Assumptions!$D$105*(1+Assumptions!$D$111)^(YEAR(AY$3)-Assumptions!$D$7)</f>
        <v/>
      </c>
      <c r="AZ23" s="10">
        <f>MAX(0,Personnel!AZ20-Personnel!AY20)*Assumptions!$D$105*(1+Assumptions!$D$111)^(YEAR(AZ$3)-Assumptions!$D$7)</f>
        <v/>
      </c>
      <c r="BA23" s="10">
        <f>MAX(0,Personnel!BA20-Personnel!AZ20)*Assumptions!$D$105*(1+Assumptions!$D$111)^(YEAR(BA$3)-Assumptions!$D$7)</f>
        <v/>
      </c>
      <c r="BB23" s="10">
        <f>MAX(0,Personnel!BB20-Personnel!BA20)*Assumptions!$D$105*(1+Assumptions!$D$111)^(YEAR(BB$3)-Assumptions!$D$7)</f>
        <v/>
      </c>
      <c r="BC23" s="10">
        <f>MAX(0,Personnel!BC20-Personnel!BB20)*Assumptions!$D$105*(1+Assumptions!$D$111)^(YEAR(BC$3)-Assumptions!$D$7)</f>
        <v/>
      </c>
      <c r="BD23" s="10">
        <f>MAX(0,Personnel!BD20-Personnel!BC20)*Assumptions!$D$105*(1+Assumptions!$D$111)^(YEAR(BD$3)-Assumptions!$D$7)</f>
        <v/>
      </c>
      <c r="BE23" s="10">
        <f>MAX(0,Personnel!BE20-Personnel!BD20)*Assumptions!$D$105*(1+Assumptions!$D$111)^(YEAR(BE$3)-Assumptions!$D$7)</f>
        <v/>
      </c>
      <c r="BF23" s="10">
        <f>MAX(0,Personnel!BF20-Personnel!BE20)*Assumptions!$D$105*(1+Assumptions!$D$111)^(YEAR(BF$3)-Assumptions!$D$7)</f>
        <v/>
      </c>
      <c r="BG23" s="10">
        <f>MAX(0,Personnel!BG20-Personnel!BF20)*Assumptions!$D$105*(1+Assumptions!$D$111)^(YEAR(BG$3)-Assumptions!$D$7)</f>
        <v/>
      </c>
      <c r="BH23" s="10">
        <f>MAX(0,Personnel!BH20-Personnel!BG20)*Assumptions!$D$105*(1+Assumptions!$D$111)^(YEAR(BH$3)-Assumptions!$D$7)</f>
        <v/>
      </c>
      <c r="BI23" s="10">
        <f>MAX(0,Personnel!BI20-Personnel!BH20)*Assumptions!$D$105*(1+Assumptions!$D$111)^(YEAR(BI$3)-Assumptions!$D$7)</f>
        <v/>
      </c>
      <c r="BJ23" s="10">
        <f>MAX(0,Personnel!BJ20-Personnel!BI20)*Assumptions!$D$105*(1+Assumptions!$D$111)^(YEAR(BJ$3)-Assumptions!$D$7)</f>
        <v/>
      </c>
      <c r="BK23" s="10">
        <f>MAX(0,Personnel!BK20-Personnel!BJ20)*Assumptions!$D$105*(1+Assumptions!$D$111)^(YEAR(BK$3)-Assumptions!$D$7)</f>
        <v/>
      </c>
      <c r="BL23" s="10">
        <f>MAX(0,Personnel!BL20-Personnel!BK20)*Assumptions!$D$105*(1+Assumptions!$D$111)^(YEAR(BL$3)-Assumptions!$D$7)</f>
        <v/>
      </c>
      <c r="BN23" s="50">
        <f>SUM(E23:P23)</f>
        <v/>
      </c>
      <c r="BO23" s="50">
        <f>SUM(Q23:AB23)</f>
        <v/>
      </c>
      <c r="BP23" s="50">
        <f>SUM(AC23:AN23)</f>
        <v/>
      </c>
      <c r="BQ23" s="50">
        <f>SUM(AO23:AZ23)</f>
        <v/>
      </c>
      <c r="BR23" s="50">
        <f>SUM(BA23:BL23)</f>
        <v/>
      </c>
    </row>
    <row r="25">
      <c r="B25" s="6" t="inlineStr">
        <is>
          <t>Finance and legal</t>
        </is>
      </c>
      <c r="C25" s="17" t="inlineStr">
        <is>
          <t>EUR</t>
        </is>
      </c>
      <c r="E25" s="10">
        <f>Assumptions!$D$107*(1+Assumptions!$D$111)^(YEAR(E$3)-Assumptions!$D$7)</f>
        <v/>
      </c>
      <c r="F25" s="10">
        <f>Assumptions!$D$107*(1+Assumptions!$D$111)^(YEAR(F$3)-Assumptions!$D$7)</f>
        <v/>
      </c>
      <c r="G25" s="10">
        <f>Assumptions!$D$107*(1+Assumptions!$D$111)^(YEAR(G$3)-Assumptions!$D$7)</f>
        <v/>
      </c>
      <c r="H25" s="10">
        <f>Assumptions!$D$107*(1+Assumptions!$D$111)^(YEAR(H$3)-Assumptions!$D$7)</f>
        <v/>
      </c>
      <c r="I25" s="10">
        <f>Assumptions!$D$107*(1+Assumptions!$D$111)^(YEAR(I$3)-Assumptions!$D$7)</f>
        <v/>
      </c>
      <c r="J25" s="10">
        <f>Assumptions!$D$107*(1+Assumptions!$D$111)^(YEAR(J$3)-Assumptions!$D$7)</f>
        <v/>
      </c>
      <c r="K25" s="10">
        <f>Assumptions!$D$107*(1+Assumptions!$D$111)^(YEAR(K$3)-Assumptions!$D$7)</f>
        <v/>
      </c>
      <c r="L25" s="10">
        <f>Assumptions!$D$107*(1+Assumptions!$D$111)^(YEAR(L$3)-Assumptions!$D$7)</f>
        <v/>
      </c>
      <c r="M25" s="10">
        <f>Assumptions!$D$107*(1+Assumptions!$D$111)^(YEAR(M$3)-Assumptions!$D$7)</f>
        <v/>
      </c>
      <c r="N25" s="10">
        <f>Assumptions!$D$107*(1+Assumptions!$D$111)^(YEAR(N$3)-Assumptions!$D$7)</f>
        <v/>
      </c>
      <c r="O25" s="10">
        <f>Assumptions!$D$107*(1+Assumptions!$D$111)^(YEAR(O$3)-Assumptions!$D$7)</f>
        <v/>
      </c>
      <c r="P25" s="10">
        <f>Assumptions!$D$107*(1+Assumptions!$D$111)^(YEAR(P$3)-Assumptions!$D$7)</f>
        <v/>
      </c>
      <c r="Q25" s="10">
        <f>Assumptions!$D$107*(1+Assumptions!$D$111)^(YEAR(Q$3)-Assumptions!$D$7)</f>
        <v/>
      </c>
      <c r="R25" s="10">
        <f>Assumptions!$D$107*(1+Assumptions!$D$111)^(YEAR(R$3)-Assumptions!$D$7)</f>
        <v/>
      </c>
      <c r="S25" s="10">
        <f>Assumptions!$D$107*(1+Assumptions!$D$111)^(YEAR(S$3)-Assumptions!$D$7)</f>
        <v/>
      </c>
      <c r="T25" s="10">
        <f>Assumptions!$D$107*(1+Assumptions!$D$111)^(YEAR(T$3)-Assumptions!$D$7)</f>
        <v/>
      </c>
      <c r="U25" s="10">
        <f>Assumptions!$D$107*(1+Assumptions!$D$111)^(YEAR(U$3)-Assumptions!$D$7)</f>
        <v/>
      </c>
      <c r="V25" s="10">
        <f>Assumptions!$D$107*(1+Assumptions!$D$111)^(YEAR(V$3)-Assumptions!$D$7)</f>
        <v/>
      </c>
      <c r="W25" s="10">
        <f>Assumptions!$D$107*(1+Assumptions!$D$111)^(YEAR(W$3)-Assumptions!$D$7)</f>
        <v/>
      </c>
      <c r="X25" s="10">
        <f>Assumptions!$D$107*(1+Assumptions!$D$111)^(YEAR(X$3)-Assumptions!$D$7)</f>
        <v/>
      </c>
      <c r="Y25" s="10">
        <f>Assumptions!$D$107*(1+Assumptions!$D$111)^(YEAR(Y$3)-Assumptions!$D$7)</f>
        <v/>
      </c>
      <c r="Z25" s="10">
        <f>Assumptions!$D$107*(1+Assumptions!$D$111)^(YEAR(Z$3)-Assumptions!$D$7)</f>
        <v/>
      </c>
      <c r="AA25" s="10">
        <f>Assumptions!$D$107*(1+Assumptions!$D$111)^(YEAR(AA$3)-Assumptions!$D$7)</f>
        <v/>
      </c>
      <c r="AB25" s="10">
        <f>Assumptions!$D$107*(1+Assumptions!$D$111)^(YEAR(AB$3)-Assumptions!$D$7)</f>
        <v/>
      </c>
      <c r="AC25" s="10">
        <f>Assumptions!$D$107*(1+Assumptions!$D$111)^(YEAR(AC$3)-Assumptions!$D$7)</f>
        <v/>
      </c>
      <c r="AD25" s="10">
        <f>Assumptions!$D$107*(1+Assumptions!$D$111)^(YEAR(AD$3)-Assumptions!$D$7)</f>
        <v/>
      </c>
      <c r="AE25" s="10">
        <f>Assumptions!$D$107*(1+Assumptions!$D$111)^(YEAR(AE$3)-Assumptions!$D$7)</f>
        <v/>
      </c>
      <c r="AF25" s="10">
        <f>Assumptions!$D$107*(1+Assumptions!$D$111)^(YEAR(AF$3)-Assumptions!$D$7)</f>
        <v/>
      </c>
      <c r="AG25" s="10">
        <f>Assumptions!$D$107*(1+Assumptions!$D$111)^(YEAR(AG$3)-Assumptions!$D$7)</f>
        <v/>
      </c>
      <c r="AH25" s="10">
        <f>Assumptions!$D$107*(1+Assumptions!$D$111)^(YEAR(AH$3)-Assumptions!$D$7)</f>
        <v/>
      </c>
      <c r="AI25" s="10">
        <f>Assumptions!$D$107*(1+Assumptions!$D$111)^(YEAR(AI$3)-Assumptions!$D$7)</f>
        <v/>
      </c>
      <c r="AJ25" s="10">
        <f>Assumptions!$D$107*(1+Assumptions!$D$111)^(YEAR(AJ$3)-Assumptions!$D$7)</f>
        <v/>
      </c>
      <c r="AK25" s="10">
        <f>Assumptions!$D$107*(1+Assumptions!$D$111)^(YEAR(AK$3)-Assumptions!$D$7)</f>
        <v/>
      </c>
      <c r="AL25" s="10">
        <f>Assumptions!$D$107*(1+Assumptions!$D$111)^(YEAR(AL$3)-Assumptions!$D$7)</f>
        <v/>
      </c>
      <c r="AM25" s="10">
        <f>Assumptions!$D$107*(1+Assumptions!$D$111)^(YEAR(AM$3)-Assumptions!$D$7)</f>
        <v/>
      </c>
      <c r="AN25" s="10">
        <f>Assumptions!$D$107*(1+Assumptions!$D$111)^(YEAR(AN$3)-Assumptions!$D$7)</f>
        <v/>
      </c>
      <c r="AO25" s="10">
        <f>Assumptions!$D$107*(1+Assumptions!$D$111)^(YEAR(AO$3)-Assumptions!$D$7)</f>
        <v/>
      </c>
      <c r="AP25" s="10">
        <f>Assumptions!$D$107*(1+Assumptions!$D$111)^(YEAR(AP$3)-Assumptions!$D$7)</f>
        <v/>
      </c>
      <c r="AQ25" s="10">
        <f>Assumptions!$D$107*(1+Assumptions!$D$111)^(YEAR(AQ$3)-Assumptions!$D$7)</f>
        <v/>
      </c>
      <c r="AR25" s="10">
        <f>Assumptions!$D$107*(1+Assumptions!$D$111)^(YEAR(AR$3)-Assumptions!$D$7)</f>
        <v/>
      </c>
      <c r="AS25" s="10">
        <f>Assumptions!$D$107*(1+Assumptions!$D$111)^(YEAR(AS$3)-Assumptions!$D$7)</f>
        <v/>
      </c>
      <c r="AT25" s="10">
        <f>Assumptions!$D$107*(1+Assumptions!$D$111)^(YEAR(AT$3)-Assumptions!$D$7)</f>
        <v/>
      </c>
      <c r="AU25" s="10">
        <f>Assumptions!$D$107*(1+Assumptions!$D$111)^(YEAR(AU$3)-Assumptions!$D$7)</f>
        <v/>
      </c>
      <c r="AV25" s="10">
        <f>Assumptions!$D$107*(1+Assumptions!$D$111)^(YEAR(AV$3)-Assumptions!$D$7)</f>
        <v/>
      </c>
      <c r="AW25" s="10">
        <f>Assumptions!$D$107*(1+Assumptions!$D$111)^(YEAR(AW$3)-Assumptions!$D$7)</f>
        <v/>
      </c>
      <c r="AX25" s="10">
        <f>Assumptions!$D$107*(1+Assumptions!$D$111)^(YEAR(AX$3)-Assumptions!$D$7)</f>
        <v/>
      </c>
      <c r="AY25" s="10">
        <f>Assumptions!$D$107*(1+Assumptions!$D$111)^(YEAR(AY$3)-Assumptions!$D$7)</f>
        <v/>
      </c>
      <c r="AZ25" s="10">
        <f>Assumptions!$D$107*(1+Assumptions!$D$111)^(YEAR(AZ$3)-Assumptions!$D$7)</f>
        <v/>
      </c>
      <c r="BA25" s="10">
        <f>Assumptions!$D$107*(1+Assumptions!$D$111)^(YEAR(BA$3)-Assumptions!$D$7)</f>
        <v/>
      </c>
      <c r="BB25" s="10">
        <f>Assumptions!$D$107*(1+Assumptions!$D$111)^(YEAR(BB$3)-Assumptions!$D$7)</f>
        <v/>
      </c>
      <c r="BC25" s="10">
        <f>Assumptions!$D$107*(1+Assumptions!$D$111)^(YEAR(BC$3)-Assumptions!$D$7)</f>
        <v/>
      </c>
      <c r="BD25" s="10">
        <f>Assumptions!$D$107*(1+Assumptions!$D$111)^(YEAR(BD$3)-Assumptions!$D$7)</f>
        <v/>
      </c>
      <c r="BE25" s="10">
        <f>Assumptions!$D$107*(1+Assumptions!$D$111)^(YEAR(BE$3)-Assumptions!$D$7)</f>
        <v/>
      </c>
      <c r="BF25" s="10">
        <f>Assumptions!$D$107*(1+Assumptions!$D$111)^(YEAR(BF$3)-Assumptions!$D$7)</f>
        <v/>
      </c>
      <c r="BG25" s="10">
        <f>Assumptions!$D$107*(1+Assumptions!$D$111)^(YEAR(BG$3)-Assumptions!$D$7)</f>
        <v/>
      </c>
      <c r="BH25" s="10">
        <f>Assumptions!$D$107*(1+Assumptions!$D$111)^(YEAR(BH$3)-Assumptions!$D$7)</f>
        <v/>
      </c>
      <c r="BI25" s="10">
        <f>Assumptions!$D$107*(1+Assumptions!$D$111)^(YEAR(BI$3)-Assumptions!$D$7)</f>
        <v/>
      </c>
      <c r="BJ25" s="10">
        <f>Assumptions!$D$107*(1+Assumptions!$D$111)^(YEAR(BJ$3)-Assumptions!$D$7)</f>
        <v/>
      </c>
      <c r="BK25" s="10">
        <f>Assumptions!$D$107*(1+Assumptions!$D$111)^(YEAR(BK$3)-Assumptions!$D$7)</f>
        <v/>
      </c>
      <c r="BL25" s="10">
        <f>Assumptions!$D$107*(1+Assumptions!$D$111)^(YEAR(BL$3)-Assumptions!$D$7)</f>
        <v/>
      </c>
      <c r="BN25" s="50">
        <f>SUM(E25:P25)</f>
        <v/>
      </c>
      <c r="BO25" s="50">
        <f>SUM(Q25:AB25)</f>
        <v/>
      </c>
      <c r="BP25" s="50">
        <f>SUM(AC25:AN25)</f>
        <v/>
      </c>
      <c r="BQ25" s="50">
        <f>SUM(AO25:AZ25)</f>
        <v/>
      </c>
      <c r="BR25" s="50">
        <f>SUM(BA25:BL25)</f>
        <v/>
      </c>
    </row>
    <row r="26">
      <c r="B26" s="6" t="inlineStr">
        <is>
          <t>Other general</t>
        </is>
      </c>
      <c r="C26" s="17" t="inlineStr">
        <is>
          <t>EUR</t>
        </is>
      </c>
      <c r="E26" s="10">
        <f>Assumptions!$D$108*(1+Assumptions!$D$111)^(YEAR(E$3)-Assumptions!$D$7)</f>
        <v/>
      </c>
      <c r="F26" s="10">
        <f>Assumptions!$D$108*(1+Assumptions!$D$111)^(YEAR(F$3)-Assumptions!$D$7)</f>
        <v/>
      </c>
      <c r="G26" s="10">
        <f>Assumptions!$D$108*(1+Assumptions!$D$111)^(YEAR(G$3)-Assumptions!$D$7)</f>
        <v/>
      </c>
      <c r="H26" s="10">
        <f>Assumptions!$D$108*(1+Assumptions!$D$111)^(YEAR(H$3)-Assumptions!$D$7)</f>
        <v/>
      </c>
      <c r="I26" s="10">
        <f>Assumptions!$D$108*(1+Assumptions!$D$111)^(YEAR(I$3)-Assumptions!$D$7)</f>
        <v/>
      </c>
      <c r="J26" s="10">
        <f>Assumptions!$D$108*(1+Assumptions!$D$111)^(YEAR(J$3)-Assumptions!$D$7)</f>
        <v/>
      </c>
      <c r="K26" s="10">
        <f>Assumptions!$D$108*(1+Assumptions!$D$111)^(YEAR(K$3)-Assumptions!$D$7)</f>
        <v/>
      </c>
      <c r="L26" s="10">
        <f>Assumptions!$D$108*(1+Assumptions!$D$111)^(YEAR(L$3)-Assumptions!$D$7)</f>
        <v/>
      </c>
      <c r="M26" s="10">
        <f>Assumptions!$D$108*(1+Assumptions!$D$111)^(YEAR(M$3)-Assumptions!$D$7)</f>
        <v/>
      </c>
      <c r="N26" s="10">
        <f>Assumptions!$D$108*(1+Assumptions!$D$111)^(YEAR(N$3)-Assumptions!$D$7)</f>
        <v/>
      </c>
      <c r="O26" s="10">
        <f>Assumptions!$D$108*(1+Assumptions!$D$111)^(YEAR(O$3)-Assumptions!$D$7)</f>
        <v/>
      </c>
      <c r="P26" s="10">
        <f>Assumptions!$D$108*(1+Assumptions!$D$111)^(YEAR(P$3)-Assumptions!$D$7)</f>
        <v/>
      </c>
      <c r="Q26" s="10">
        <f>Assumptions!$D$108*(1+Assumptions!$D$111)^(YEAR(Q$3)-Assumptions!$D$7)</f>
        <v/>
      </c>
      <c r="R26" s="10">
        <f>Assumptions!$D$108*(1+Assumptions!$D$111)^(YEAR(R$3)-Assumptions!$D$7)</f>
        <v/>
      </c>
      <c r="S26" s="10">
        <f>Assumptions!$D$108*(1+Assumptions!$D$111)^(YEAR(S$3)-Assumptions!$D$7)</f>
        <v/>
      </c>
      <c r="T26" s="10">
        <f>Assumptions!$D$108*(1+Assumptions!$D$111)^(YEAR(T$3)-Assumptions!$D$7)</f>
        <v/>
      </c>
      <c r="U26" s="10">
        <f>Assumptions!$D$108*(1+Assumptions!$D$111)^(YEAR(U$3)-Assumptions!$D$7)</f>
        <v/>
      </c>
      <c r="V26" s="10">
        <f>Assumptions!$D$108*(1+Assumptions!$D$111)^(YEAR(V$3)-Assumptions!$D$7)</f>
        <v/>
      </c>
      <c r="W26" s="10">
        <f>Assumptions!$D$108*(1+Assumptions!$D$111)^(YEAR(W$3)-Assumptions!$D$7)</f>
        <v/>
      </c>
      <c r="X26" s="10">
        <f>Assumptions!$D$108*(1+Assumptions!$D$111)^(YEAR(X$3)-Assumptions!$D$7)</f>
        <v/>
      </c>
      <c r="Y26" s="10">
        <f>Assumptions!$D$108*(1+Assumptions!$D$111)^(YEAR(Y$3)-Assumptions!$D$7)</f>
        <v/>
      </c>
      <c r="Z26" s="10">
        <f>Assumptions!$D$108*(1+Assumptions!$D$111)^(YEAR(Z$3)-Assumptions!$D$7)</f>
        <v/>
      </c>
      <c r="AA26" s="10">
        <f>Assumptions!$D$108*(1+Assumptions!$D$111)^(YEAR(AA$3)-Assumptions!$D$7)</f>
        <v/>
      </c>
      <c r="AB26" s="10">
        <f>Assumptions!$D$108*(1+Assumptions!$D$111)^(YEAR(AB$3)-Assumptions!$D$7)</f>
        <v/>
      </c>
      <c r="AC26" s="10">
        <f>Assumptions!$D$108*(1+Assumptions!$D$111)^(YEAR(AC$3)-Assumptions!$D$7)</f>
        <v/>
      </c>
      <c r="AD26" s="10">
        <f>Assumptions!$D$108*(1+Assumptions!$D$111)^(YEAR(AD$3)-Assumptions!$D$7)</f>
        <v/>
      </c>
      <c r="AE26" s="10">
        <f>Assumptions!$D$108*(1+Assumptions!$D$111)^(YEAR(AE$3)-Assumptions!$D$7)</f>
        <v/>
      </c>
      <c r="AF26" s="10">
        <f>Assumptions!$D$108*(1+Assumptions!$D$111)^(YEAR(AF$3)-Assumptions!$D$7)</f>
        <v/>
      </c>
      <c r="AG26" s="10">
        <f>Assumptions!$D$108*(1+Assumptions!$D$111)^(YEAR(AG$3)-Assumptions!$D$7)</f>
        <v/>
      </c>
      <c r="AH26" s="10">
        <f>Assumptions!$D$108*(1+Assumptions!$D$111)^(YEAR(AH$3)-Assumptions!$D$7)</f>
        <v/>
      </c>
      <c r="AI26" s="10">
        <f>Assumptions!$D$108*(1+Assumptions!$D$111)^(YEAR(AI$3)-Assumptions!$D$7)</f>
        <v/>
      </c>
      <c r="AJ26" s="10">
        <f>Assumptions!$D$108*(1+Assumptions!$D$111)^(YEAR(AJ$3)-Assumptions!$D$7)</f>
        <v/>
      </c>
      <c r="AK26" s="10">
        <f>Assumptions!$D$108*(1+Assumptions!$D$111)^(YEAR(AK$3)-Assumptions!$D$7)</f>
        <v/>
      </c>
      <c r="AL26" s="10">
        <f>Assumptions!$D$108*(1+Assumptions!$D$111)^(YEAR(AL$3)-Assumptions!$D$7)</f>
        <v/>
      </c>
      <c r="AM26" s="10">
        <f>Assumptions!$D$108*(1+Assumptions!$D$111)^(YEAR(AM$3)-Assumptions!$D$7)</f>
        <v/>
      </c>
      <c r="AN26" s="10">
        <f>Assumptions!$D$108*(1+Assumptions!$D$111)^(YEAR(AN$3)-Assumptions!$D$7)</f>
        <v/>
      </c>
      <c r="AO26" s="10">
        <f>Assumptions!$D$108*(1+Assumptions!$D$111)^(YEAR(AO$3)-Assumptions!$D$7)</f>
        <v/>
      </c>
      <c r="AP26" s="10">
        <f>Assumptions!$D$108*(1+Assumptions!$D$111)^(YEAR(AP$3)-Assumptions!$D$7)</f>
        <v/>
      </c>
      <c r="AQ26" s="10">
        <f>Assumptions!$D$108*(1+Assumptions!$D$111)^(YEAR(AQ$3)-Assumptions!$D$7)</f>
        <v/>
      </c>
      <c r="AR26" s="10">
        <f>Assumptions!$D$108*(1+Assumptions!$D$111)^(YEAR(AR$3)-Assumptions!$D$7)</f>
        <v/>
      </c>
      <c r="AS26" s="10">
        <f>Assumptions!$D$108*(1+Assumptions!$D$111)^(YEAR(AS$3)-Assumptions!$D$7)</f>
        <v/>
      </c>
      <c r="AT26" s="10">
        <f>Assumptions!$D$108*(1+Assumptions!$D$111)^(YEAR(AT$3)-Assumptions!$D$7)</f>
        <v/>
      </c>
      <c r="AU26" s="10">
        <f>Assumptions!$D$108*(1+Assumptions!$D$111)^(YEAR(AU$3)-Assumptions!$D$7)</f>
        <v/>
      </c>
      <c r="AV26" s="10">
        <f>Assumptions!$D$108*(1+Assumptions!$D$111)^(YEAR(AV$3)-Assumptions!$D$7)</f>
        <v/>
      </c>
      <c r="AW26" s="10">
        <f>Assumptions!$D$108*(1+Assumptions!$D$111)^(YEAR(AW$3)-Assumptions!$D$7)</f>
        <v/>
      </c>
      <c r="AX26" s="10">
        <f>Assumptions!$D$108*(1+Assumptions!$D$111)^(YEAR(AX$3)-Assumptions!$D$7)</f>
        <v/>
      </c>
      <c r="AY26" s="10">
        <f>Assumptions!$D$108*(1+Assumptions!$D$111)^(YEAR(AY$3)-Assumptions!$D$7)</f>
        <v/>
      </c>
      <c r="AZ26" s="10">
        <f>Assumptions!$D$108*(1+Assumptions!$D$111)^(YEAR(AZ$3)-Assumptions!$D$7)</f>
        <v/>
      </c>
      <c r="BA26" s="10">
        <f>Assumptions!$D$108*(1+Assumptions!$D$111)^(YEAR(BA$3)-Assumptions!$D$7)</f>
        <v/>
      </c>
      <c r="BB26" s="10">
        <f>Assumptions!$D$108*(1+Assumptions!$D$111)^(YEAR(BB$3)-Assumptions!$D$7)</f>
        <v/>
      </c>
      <c r="BC26" s="10">
        <f>Assumptions!$D$108*(1+Assumptions!$D$111)^(YEAR(BC$3)-Assumptions!$D$7)</f>
        <v/>
      </c>
      <c r="BD26" s="10">
        <f>Assumptions!$D$108*(1+Assumptions!$D$111)^(YEAR(BD$3)-Assumptions!$D$7)</f>
        <v/>
      </c>
      <c r="BE26" s="10">
        <f>Assumptions!$D$108*(1+Assumptions!$D$111)^(YEAR(BE$3)-Assumptions!$D$7)</f>
        <v/>
      </c>
      <c r="BF26" s="10">
        <f>Assumptions!$D$108*(1+Assumptions!$D$111)^(YEAR(BF$3)-Assumptions!$D$7)</f>
        <v/>
      </c>
      <c r="BG26" s="10">
        <f>Assumptions!$D$108*(1+Assumptions!$D$111)^(YEAR(BG$3)-Assumptions!$D$7)</f>
        <v/>
      </c>
      <c r="BH26" s="10">
        <f>Assumptions!$D$108*(1+Assumptions!$D$111)^(YEAR(BH$3)-Assumptions!$D$7)</f>
        <v/>
      </c>
      <c r="BI26" s="10">
        <f>Assumptions!$D$108*(1+Assumptions!$D$111)^(YEAR(BI$3)-Assumptions!$D$7)</f>
        <v/>
      </c>
      <c r="BJ26" s="10">
        <f>Assumptions!$D$108*(1+Assumptions!$D$111)^(YEAR(BJ$3)-Assumptions!$D$7)</f>
        <v/>
      </c>
      <c r="BK26" s="10">
        <f>Assumptions!$D$108*(1+Assumptions!$D$111)^(YEAR(BK$3)-Assumptions!$D$7)</f>
        <v/>
      </c>
      <c r="BL26" s="10">
        <f>Assumptions!$D$108*(1+Assumptions!$D$111)^(YEAR(BL$3)-Assumptions!$D$7)</f>
        <v/>
      </c>
      <c r="BN26" s="50">
        <f>SUM(E26:P26)</f>
        <v/>
      </c>
      <c r="BO26" s="50">
        <f>SUM(Q26:AB26)</f>
        <v/>
      </c>
      <c r="BP26" s="50">
        <f>SUM(AC26:AN26)</f>
        <v/>
      </c>
      <c r="BQ26" s="50">
        <f>SUM(AO26:AZ26)</f>
        <v/>
      </c>
      <c r="BR26" s="50">
        <f>SUM(BA26:BL26)</f>
        <v/>
      </c>
    </row>
    <row r="27">
      <c r="B27" s="56" t="inlineStr">
        <is>
          <t>Total</t>
        </is>
      </c>
      <c r="C27" s="57" t="inlineStr">
        <is>
          <t>EUR</t>
        </is>
      </c>
      <c r="E27" s="37">
        <f>IF(E$3&lt;=Assumptions!$D$12,E43,SUM(E22:E26))</f>
        <v/>
      </c>
      <c r="F27" s="37">
        <f>IF(F$3&lt;=Assumptions!$D$12,F43,SUM(F22:F26))</f>
        <v/>
      </c>
      <c r="G27" s="37">
        <f>IF(G$3&lt;=Assumptions!$D$12,G43,SUM(G22:G26))</f>
        <v/>
      </c>
      <c r="H27" s="37">
        <f>IF(H$3&lt;=Assumptions!$D$12,H43,SUM(H22:H26))</f>
        <v/>
      </c>
      <c r="I27" s="37">
        <f>IF(I$3&lt;=Assumptions!$D$12,I43,SUM(I22:I26))</f>
        <v/>
      </c>
      <c r="J27" s="37">
        <f>IF(J$3&lt;=Assumptions!$D$12,J43,SUM(J22:J26))</f>
        <v/>
      </c>
      <c r="K27" s="37">
        <f>IF(K$3&lt;=Assumptions!$D$12,K43,SUM(K22:K26))</f>
        <v/>
      </c>
      <c r="L27" s="37">
        <f>IF(L$3&lt;=Assumptions!$D$12,L43,SUM(L22:L26))</f>
        <v/>
      </c>
      <c r="M27" s="37">
        <f>IF(M$3&lt;=Assumptions!$D$12,M43,SUM(M22:M26))</f>
        <v/>
      </c>
      <c r="N27" s="37">
        <f>IF(N$3&lt;=Assumptions!$D$12,N43,SUM(N22:N26))</f>
        <v/>
      </c>
      <c r="O27" s="37">
        <f>IF(O$3&lt;=Assumptions!$D$12,O43,SUM(O22:O26))</f>
        <v/>
      </c>
      <c r="P27" s="37">
        <f>IF(P$3&lt;=Assumptions!$D$12,P43,SUM(P22:P26))</f>
        <v/>
      </c>
      <c r="Q27" s="37">
        <f>IF(Q$3&lt;=Assumptions!$D$12,Q43,SUM(Q22:Q26))</f>
        <v/>
      </c>
      <c r="R27" s="37">
        <f>IF(R$3&lt;=Assumptions!$D$12,R43,SUM(R22:R26))</f>
        <v/>
      </c>
      <c r="S27" s="37">
        <f>IF(S$3&lt;=Assumptions!$D$12,S43,SUM(S22:S26))</f>
        <v/>
      </c>
      <c r="T27" s="37">
        <f>IF(T$3&lt;=Assumptions!$D$12,T43,SUM(T22:T26))</f>
        <v/>
      </c>
      <c r="U27" s="37">
        <f>IF(U$3&lt;=Assumptions!$D$12,U43,SUM(U22:U26))</f>
        <v/>
      </c>
      <c r="V27" s="37">
        <f>IF(V$3&lt;=Assumptions!$D$12,V43,SUM(V22:V26))</f>
        <v/>
      </c>
      <c r="W27" s="37">
        <f>IF(W$3&lt;=Assumptions!$D$12,W43,SUM(W22:W26))</f>
        <v/>
      </c>
      <c r="X27" s="37">
        <f>IF(X$3&lt;=Assumptions!$D$12,X43,SUM(X22:X26))</f>
        <v/>
      </c>
      <c r="Y27" s="37">
        <f>IF(Y$3&lt;=Assumptions!$D$12,Y43,SUM(Y22:Y26))</f>
        <v/>
      </c>
      <c r="Z27" s="37">
        <f>IF(Z$3&lt;=Assumptions!$D$12,Z43,SUM(Z22:Z26))</f>
        <v/>
      </c>
      <c r="AA27" s="37">
        <f>IF(AA$3&lt;=Assumptions!$D$12,AA43,SUM(AA22:AA26))</f>
        <v/>
      </c>
      <c r="AB27" s="37">
        <f>IF(AB$3&lt;=Assumptions!$D$12,AB43,SUM(AB22:AB26))</f>
        <v/>
      </c>
      <c r="AC27" s="37">
        <f>IF(AC$3&lt;=Assumptions!$D$12,AC43,SUM(AC22:AC26))</f>
        <v/>
      </c>
      <c r="AD27" s="37">
        <f>IF(AD$3&lt;=Assumptions!$D$12,AD43,SUM(AD22:AD26))</f>
        <v/>
      </c>
      <c r="AE27" s="37">
        <f>IF(AE$3&lt;=Assumptions!$D$12,AE43,SUM(AE22:AE26))</f>
        <v/>
      </c>
      <c r="AF27" s="37">
        <f>IF(AF$3&lt;=Assumptions!$D$12,AF43,SUM(AF22:AF26))</f>
        <v/>
      </c>
      <c r="AG27" s="37">
        <f>IF(AG$3&lt;=Assumptions!$D$12,AG43,SUM(AG22:AG26))</f>
        <v/>
      </c>
      <c r="AH27" s="37">
        <f>IF(AH$3&lt;=Assumptions!$D$12,AH43,SUM(AH22:AH26))</f>
        <v/>
      </c>
      <c r="AI27" s="37">
        <f>IF(AI$3&lt;=Assumptions!$D$12,AI43,SUM(AI22:AI26))</f>
        <v/>
      </c>
      <c r="AJ27" s="37">
        <f>IF(AJ$3&lt;=Assumptions!$D$12,AJ43,SUM(AJ22:AJ26))</f>
        <v/>
      </c>
      <c r="AK27" s="37">
        <f>IF(AK$3&lt;=Assumptions!$D$12,AK43,SUM(AK22:AK26))</f>
        <v/>
      </c>
      <c r="AL27" s="37">
        <f>IF(AL$3&lt;=Assumptions!$D$12,AL43,SUM(AL22:AL26))</f>
        <v/>
      </c>
      <c r="AM27" s="37">
        <f>IF(AM$3&lt;=Assumptions!$D$12,AM43,SUM(AM22:AM26))</f>
        <v/>
      </c>
      <c r="AN27" s="37">
        <f>IF(AN$3&lt;=Assumptions!$D$12,AN43,SUM(AN22:AN26))</f>
        <v/>
      </c>
      <c r="AO27" s="37">
        <f>IF(AO$3&lt;=Assumptions!$D$12,AO43,SUM(AO22:AO26))</f>
        <v/>
      </c>
      <c r="AP27" s="37">
        <f>IF(AP$3&lt;=Assumptions!$D$12,AP43,SUM(AP22:AP26))</f>
        <v/>
      </c>
      <c r="AQ27" s="37">
        <f>IF(AQ$3&lt;=Assumptions!$D$12,AQ43,SUM(AQ22:AQ26))</f>
        <v/>
      </c>
      <c r="AR27" s="37">
        <f>IF(AR$3&lt;=Assumptions!$D$12,AR43,SUM(AR22:AR26))</f>
        <v/>
      </c>
      <c r="AS27" s="37">
        <f>IF(AS$3&lt;=Assumptions!$D$12,AS43,SUM(AS22:AS26))</f>
        <v/>
      </c>
      <c r="AT27" s="37">
        <f>IF(AT$3&lt;=Assumptions!$D$12,AT43,SUM(AT22:AT26))</f>
        <v/>
      </c>
      <c r="AU27" s="37">
        <f>IF(AU$3&lt;=Assumptions!$D$12,AU43,SUM(AU22:AU26))</f>
        <v/>
      </c>
      <c r="AV27" s="37">
        <f>IF(AV$3&lt;=Assumptions!$D$12,AV43,SUM(AV22:AV26))</f>
        <v/>
      </c>
      <c r="AW27" s="37">
        <f>IF(AW$3&lt;=Assumptions!$D$12,AW43,SUM(AW22:AW26))</f>
        <v/>
      </c>
      <c r="AX27" s="37">
        <f>IF(AX$3&lt;=Assumptions!$D$12,AX43,SUM(AX22:AX26))</f>
        <v/>
      </c>
      <c r="AY27" s="37">
        <f>IF(AY$3&lt;=Assumptions!$D$12,AY43,SUM(AY22:AY26))</f>
        <v/>
      </c>
      <c r="AZ27" s="37">
        <f>IF(AZ$3&lt;=Assumptions!$D$12,AZ43,SUM(AZ22:AZ26))</f>
        <v/>
      </c>
      <c r="BA27" s="37">
        <f>IF(BA$3&lt;=Assumptions!$D$12,BA43,SUM(BA22:BA26))</f>
        <v/>
      </c>
      <c r="BB27" s="37">
        <f>IF(BB$3&lt;=Assumptions!$D$12,BB43,SUM(BB22:BB26))</f>
        <v/>
      </c>
      <c r="BC27" s="37">
        <f>IF(BC$3&lt;=Assumptions!$D$12,BC43,SUM(BC22:BC26))</f>
        <v/>
      </c>
      <c r="BD27" s="37">
        <f>IF(BD$3&lt;=Assumptions!$D$12,BD43,SUM(BD22:BD26))</f>
        <v/>
      </c>
      <c r="BE27" s="37">
        <f>IF(BE$3&lt;=Assumptions!$D$12,BE43,SUM(BE22:BE26))</f>
        <v/>
      </c>
      <c r="BF27" s="37">
        <f>IF(BF$3&lt;=Assumptions!$D$12,BF43,SUM(BF22:BF26))</f>
        <v/>
      </c>
      <c r="BG27" s="37">
        <f>IF(BG$3&lt;=Assumptions!$D$12,BG43,SUM(BG22:BG26))</f>
        <v/>
      </c>
      <c r="BH27" s="37">
        <f>IF(BH$3&lt;=Assumptions!$D$12,BH43,SUM(BH22:BH26))</f>
        <v/>
      </c>
      <c r="BI27" s="37">
        <f>IF(BI$3&lt;=Assumptions!$D$12,BI43,SUM(BI22:BI26))</f>
        <v/>
      </c>
      <c r="BJ27" s="37">
        <f>IF(BJ$3&lt;=Assumptions!$D$12,BJ43,SUM(BJ22:BJ26))</f>
        <v/>
      </c>
      <c r="BK27" s="37">
        <f>IF(BK$3&lt;=Assumptions!$D$12,BK43,SUM(BK22:BK26))</f>
        <v/>
      </c>
      <c r="BL27" s="37">
        <f>IF(BL$3&lt;=Assumptions!$D$12,BL43,SUM(BL22:BL26))</f>
        <v/>
      </c>
      <c r="BN27" s="37">
        <f>SUM(E27:P27)</f>
        <v/>
      </c>
      <c r="BO27" s="37">
        <f>SUM(Q27:AB27)</f>
        <v/>
      </c>
      <c r="BP27" s="37">
        <f>SUM(AC27:AN27)</f>
        <v/>
      </c>
      <c r="BQ27" s="37">
        <f>SUM(AO27:AZ27)</f>
        <v/>
      </c>
      <c r="BR27" s="37">
        <f>SUM(BA27:BL27)</f>
        <v/>
      </c>
    </row>
    <row r="29">
      <c r="B29" s="15" t="inlineStr">
        <is>
          <t>TOTAL OPERATING EXPENSES</t>
        </is>
      </c>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c r="BF29" s="1" t="n"/>
      <c r="BG29" s="1" t="n"/>
      <c r="BH29" s="1" t="n"/>
      <c r="BI29" s="1" t="n"/>
      <c r="BJ29" s="1" t="n"/>
      <c r="BK29" s="1" t="n"/>
      <c r="BL29" s="1" t="n"/>
      <c r="BM29" s="1" t="n"/>
      <c r="BN29" s="1" t="n"/>
      <c r="BO29" s="1" t="n"/>
      <c r="BP29" s="1" t="n"/>
      <c r="BQ29" s="1" t="n"/>
      <c r="BR29" s="1" t="n"/>
      <c r="BS29" s="1" t="n"/>
    </row>
    <row r="30">
      <c r="B30" s="6" t="inlineStr">
        <is>
          <t>Research and development</t>
        </is>
      </c>
      <c r="C30" s="17" t="inlineStr">
        <is>
          <t>EUR</t>
        </is>
      </c>
      <c r="E30" s="10">
        <f>E6+E19</f>
        <v/>
      </c>
      <c r="F30" s="10">
        <f>F6+F19</f>
        <v/>
      </c>
      <c r="G30" s="10">
        <f>G6+G19</f>
        <v/>
      </c>
      <c r="H30" s="10">
        <f>H6+H19</f>
        <v/>
      </c>
      <c r="I30" s="10">
        <f>I6+I19</f>
        <v/>
      </c>
      <c r="J30" s="10">
        <f>J6+J19</f>
        <v/>
      </c>
      <c r="K30" s="10">
        <f>K6+K19</f>
        <v/>
      </c>
      <c r="L30" s="10">
        <f>L6+L19</f>
        <v/>
      </c>
      <c r="M30" s="10">
        <f>M6+M19</f>
        <v/>
      </c>
      <c r="N30" s="10">
        <f>N6+N19</f>
        <v/>
      </c>
      <c r="O30" s="10">
        <f>O6+O19</f>
        <v/>
      </c>
      <c r="P30" s="10">
        <f>P6+P19</f>
        <v/>
      </c>
      <c r="Q30" s="10">
        <f>Q6+Q19</f>
        <v/>
      </c>
      <c r="R30" s="10">
        <f>R6+R19</f>
        <v/>
      </c>
      <c r="S30" s="10">
        <f>S6+S19</f>
        <v/>
      </c>
      <c r="T30" s="10">
        <f>T6+T19</f>
        <v/>
      </c>
      <c r="U30" s="10">
        <f>U6+U19</f>
        <v/>
      </c>
      <c r="V30" s="10">
        <f>V6+V19</f>
        <v/>
      </c>
      <c r="W30" s="10">
        <f>W6+W19</f>
        <v/>
      </c>
      <c r="X30" s="10">
        <f>X6+X19</f>
        <v/>
      </c>
      <c r="Y30" s="10">
        <f>Y6+Y19</f>
        <v/>
      </c>
      <c r="Z30" s="10">
        <f>Z6+Z19</f>
        <v/>
      </c>
      <c r="AA30" s="10">
        <f>AA6+AA19</f>
        <v/>
      </c>
      <c r="AB30" s="10">
        <f>AB6+AB19</f>
        <v/>
      </c>
      <c r="AC30" s="10">
        <f>AC6+AC19</f>
        <v/>
      </c>
      <c r="AD30" s="10">
        <f>AD6+AD19</f>
        <v/>
      </c>
      <c r="AE30" s="10">
        <f>AE6+AE19</f>
        <v/>
      </c>
      <c r="AF30" s="10">
        <f>AF6+AF19</f>
        <v/>
      </c>
      <c r="AG30" s="10">
        <f>AG6+AG19</f>
        <v/>
      </c>
      <c r="AH30" s="10">
        <f>AH6+AH19</f>
        <v/>
      </c>
      <c r="AI30" s="10">
        <f>AI6+AI19</f>
        <v/>
      </c>
      <c r="AJ30" s="10">
        <f>AJ6+AJ19</f>
        <v/>
      </c>
      <c r="AK30" s="10">
        <f>AK6+AK19</f>
        <v/>
      </c>
      <c r="AL30" s="10">
        <f>AL6+AL19</f>
        <v/>
      </c>
      <c r="AM30" s="10">
        <f>AM6+AM19</f>
        <v/>
      </c>
      <c r="AN30" s="10">
        <f>AN6+AN19</f>
        <v/>
      </c>
      <c r="AO30" s="10">
        <f>AO6+AO19</f>
        <v/>
      </c>
      <c r="AP30" s="10">
        <f>AP6+AP19</f>
        <v/>
      </c>
      <c r="AQ30" s="10">
        <f>AQ6+AQ19</f>
        <v/>
      </c>
      <c r="AR30" s="10">
        <f>AR6+AR19</f>
        <v/>
      </c>
      <c r="AS30" s="10">
        <f>AS6+AS19</f>
        <v/>
      </c>
      <c r="AT30" s="10">
        <f>AT6+AT19</f>
        <v/>
      </c>
      <c r="AU30" s="10">
        <f>AU6+AU19</f>
        <v/>
      </c>
      <c r="AV30" s="10">
        <f>AV6+AV19</f>
        <v/>
      </c>
      <c r="AW30" s="10">
        <f>AW6+AW19</f>
        <v/>
      </c>
      <c r="AX30" s="10">
        <f>AX6+AX19</f>
        <v/>
      </c>
      <c r="AY30" s="10">
        <f>AY6+AY19</f>
        <v/>
      </c>
      <c r="AZ30" s="10">
        <f>AZ6+AZ19</f>
        <v/>
      </c>
      <c r="BA30" s="10">
        <f>BA6+BA19</f>
        <v/>
      </c>
      <c r="BB30" s="10">
        <f>BB6+BB19</f>
        <v/>
      </c>
      <c r="BC30" s="10">
        <f>BC6+BC19</f>
        <v/>
      </c>
      <c r="BD30" s="10">
        <f>BD6+BD19</f>
        <v/>
      </c>
      <c r="BE30" s="10">
        <f>BE6+BE19</f>
        <v/>
      </c>
      <c r="BF30" s="10">
        <f>BF6+BF19</f>
        <v/>
      </c>
      <c r="BG30" s="10">
        <f>BG6+BG19</f>
        <v/>
      </c>
      <c r="BH30" s="10">
        <f>BH6+BH19</f>
        <v/>
      </c>
      <c r="BI30" s="10">
        <f>BI6+BI19</f>
        <v/>
      </c>
      <c r="BJ30" s="10">
        <f>BJ6+BJ19</f>
        <v/>
      </c>
      <c r="BK30" s="10">
        <f>BK6+BK19</f>
        <v/>
      </c>
      <c r="BL30" s="10">
        <f>BL6+BL19</f>
        <v/>
      </c>
      <c r="BN30" s="50">
        <f>SUM(E30:P30)</f>
        <v/>
      </c>
      <c r="BO30" s="50">
        <f>SUM(Q30:AB30)</f>
        <v/>
      </c>
      <c r="BP30" s="50">
        <f>SUM(AC30:AN30)</f>
        <v/>
      </c>
      <c r="BQ30" s="50">
        <f>SUM(AO30:AZ30)</f>
        <v/>
      </c>
      <c r="BR30" s="50">
        <f>SUM(BA30:BL30)</f>
        <v/>
      </c>
    </row>
    <row r="31">
      <c r="B31" s="6" t="inlineStr">
        <is>
          <t>Sales and marketing</t>
        </is>
      </c>
      <c r="C31" s="17" t="inlineStr">
        <is>
          <t>EUR</t>
        </is>
      </c>
      <c r="E31" s="10">
        <f>E7+E14</f>
        <v/>
      </c>
      <c r="F31" s="10">
        <f>F7+F14</f>
        <v/>
      </c>
      <c r="G31" s="10">
        <f>G7+G14</f>
        <v/>
      </c>
      <c r="H31" s="10">
        <f>H7+H14</f>
        <v/>
      </c>
      <c r="I31" s="10">
        <f>I7+I14</f>
        <v/>
      </c>
      <c r="J31" s="10">
        <f>J7+J14</f>
        <v/>
      </c>
      <c r="K31" s="10">
        <f>K7+K14</f>
        <v/>
      </c>
      <c r="L31" s="10">
        <f>L7+L14</f>
        <v/>
      </c>
      <c r="M31" s="10">
        <f>M7+M14</f>
        <v/>
      </c>
      <c r="N31" s="10">
        <f>N7+N14</f>
        <v/>
      </c>
      <c r="O31" s="10">
        <f>O7+O14</f>
        <v/>
      </c>
      <c r="P31" s="10">
        <f>P7+P14</f>
        <v/>
      </c>
      <c r="Q31" s="10">
        <f>Q7+Q14</f>
        <v/>
      </c>
      <c r="R31" s="10">
        <f>R7+R14</f>
        <v/>
      </c>
      <c r="S31" s="10">
        <f>S7+S14</f>
        <v/>
      </c>
      <c r="T31" s="10">
        <f>T7+T14</f>
        <v/>
      </c>
      <c r="U31" s="10">
        <f>U7+U14</f>
        <v/>
      </c>
      <c r="V31" s="10">
        <f>V7+V14</f>
        <v/>
      </c>
      <c r="W31" s="10">
        <f>W7+W14</f>
        <v/>
      </c>
      <c r="X31" s="10">
        <f>X7+X14</f>
        <v/>
      </c>
      <c r="Y31" s="10">
        <f>Y7+Y14</f>
        <v/>
      </c>
      <c r="Z31" s="10">
        <f>Z7+Z14</f>
        <v/>
      </c>
      <c r="AA31" s="10">
        <f>AA7+AA14</f>
        <v/>
      </c>
      <c r="AB31" s="10">
        <f>AB7+AB14</f>
        <v/>
      </c>
      <c r="AC31" s="10">
        <f>AC7+AC14</f>
        <v/>
      </c>
      <c r="AD31" s="10">
        <f>AD7+AD14</f>
        <v/>
      </c>
      <c r="AE31" s="10">
        <f>AE7+AE14</f>
        <v/>
      </c>
      <c r="AF31" s="10">
        <f>AF7+AF14</f>
        <v/>
      </c>
      <c r="AG31" s="10">
        <f>AG7+AG14</f>
        <v/>
      </c>
      <c r="AH31" s="10">
        <f>AH7+AH14</f>
        <v/>
      </c>
      <c r="AI31" s="10">
        <f>AI7+AI14</f>
        <v/>
      </c>
      <c r="AJ31" s="10">
        <f>AJ7+AJ14</f>
        <v/>
      </c>
      <c r="AK31" s="10">
        <f>AK7+AK14</f>
        <v/>
      </c>
      <c r="AL31" s="10">
        <f>AL7+AL14</f>
        <v/>
      </c>
      <c r="AM31" s="10">
        <f>AM7+AM14</f>
        <v/>
      </c>
      <c r="AN31" s="10">
        <f>AN7+AN14</f>
        <v/>
      </c>
      <c r="AO31" s="10">
        <f>AO7+AO14</f>
        <v/>
      </c>
      <c r="AP31" s="10">
        <f>AP7+AP14</f>
        <v/>
      </c>
      <c r="AQ31" s="10">
        <f>AQ7+AQ14</f>
        <v/>
      </c>
      <c r="AR31" s="10">
        <f>AR7+AR14</f>
        <v/>
      </c>
      <c r="AS31" s="10">
        <f>AS7+AS14</f>
        <v/>
      </c>
      <c r="AT31" s="10">
        <f>AT7+AT14</f>
        <v/>
      </c>
      <c r="AU31" s="10">
        <f>AU7+AU14</f>
        <v/>
      </c>
      <c r="AV31" s="10">
        <f>AV7+AV14</f>
        <v/>
      </c>
      <c r="AW31" s="10">
        <f>AW7+AW14</f>
        <v/>
      </c>
      <c r="AX31" s="10">
        <f>AX7+AX14</f>
        <v/>
      </c>
      <c r="AY31" s="10">
        <f>AY7+AY14</f>
        <v/>
      </c>
      <c r="AZ31" s="10">
        <f>AZ7+AZ14</f>
        <v/>
      </c>
      <c r="BA31" s="10">
        <f>BA7+BA14</f>
        <v/>
      </c>
      <c r="BB31" s="10">
        <f>BB7+BB14</f>
        <v/>
      </c>
      <c r="BC31" s="10">
        <f>BC7+BC14</f>
        <v/>
      </c>
      <c r="BD31" s="10">
        <f>BD7+BD14</f>
        <v/>
      </c>
      <c r="BE31" s="10">
        <f>BE7+BE14</f>
        <v/>
      </c>
      <c r="BF31" s="10">
        <f>BF7+BF14</f>
        <v/>
      </c>
      <c r="BG31" s="10">
        <f>BG7+BG14</f>
        <v/>
      </c>
      <c r="BH31" s="10">
        <f>BH7+BH14</f>
        <v/>
      </c>
      <c r="BI31" s="10">
        <f>BI7+BI14</f>
        <v/>
      </c>
      <c r="BJ31" s="10">
        <f>BJ7+BJ14</f>
        <v/>
      </c>
      <c r="BK31" s="10">
        <f>BK7+BK14</f>
        <v/>
      </c>
      <c r="BL31" s="10">
        <f>BL7+BL14</f>
        <v/>
      </c>
      <c r="BN31" s="50">
        <f>SUM(E31:P31)</f>
        <v/>
      </c>
      <c r="BO31" s="50">
        <f>SUM(Q31:AB31)</f>
        <v/>
      </c>
      <c r="BP31" s="50">
        <f>SUM(AC31:AN31)</f>
        <v/>
      </c>
      <c r="BQ31" s="50">
        <f>SUM(AO31:AZ31)</f>
        <v/>
      </c>
      <c r="BR31" s="50">
        <f>SUM(BA31:BL31)</f>
        <v/>
      </c>
    </row>
    <row r="32">
      <c r="B32" s="6" t="inlineStr">
        <is>
          <t>General and administrative</t>
        </is>
      </c>
      <c r="C32" s="17" t="inlineStr">
        <is>
          <t>EUR</t>
        </is>
      </c>
      <c r="E32" s="10">
        <f>E8+E27</f>
        <v/>
      </c>
      <c r="F32" s="10">
        <f>F8+F27</f>
        <v/>
      </c>
      <c r="G32" s="10">
        <f>G8+G27</f>
        <v/>
      </c>
      <c r="H32" s="10">
        <f>H8+H27</f>
        <v/>
      </c>
      <c r="I32" s="10">
        <f>I8+I27</f>
        <v/>
      </c>
      <c r="J32" s="10">
        <f>J8+J27</f>
        <v/>
      </c>
      <c r="K32" s="10">
        <f>K8+K27</f>
        <v/>
      </c>
      <c r="L32" s="10">
        <f>L8+L27</f>
        <v/>
      </c>
      <c r="M32" s="10">
        <f>M8+M27</f>
        <v/>
      </c>
      <c r="N32" s="10">
        <f>N8+N27</f>
        <v/>
      </c>
      <c r="O32" s="10">
        <f>O8+O27</f>
        <v/>
      </c>
      <c r="P32" s="10">
        <f>P8+P27</f>
        <v/>
      </c>
      <c r="Q32" s="10">
        <f>Q8+Q27</f>
        <v/>
      </c>
      <c r="R32" s="10">
        <f>R8+R27</f>
        <v/>
      </c>
      <c r="S32" s="10">
        <f>S8+S27</f>
        <v/>
      </c>
      <c r="T32" s="10">
        <f>T8+T27</f>
        <v/>
      </c>
      <c r="U32" s="10">
        <f>U8+U27</f>
        <v/>
      </c>
      <c r="V32" s="10">
        <f>V8+V27</f>
        <v/>
      </c>
      <c r="W32" s="10">
        <f>W8+W27</f>
        <v/>
      </c>
      <c r="X32" s="10">
        <f>X8+X27</f>
        <v/>
      </c>
      <c r="Y32" s="10">
        <f>Y8+Y27</f>
        <v/>
      </c>
      <c r="Z32" s="10">
        <f>Z8+Z27</f>
        <v/>
      </c>
      <c r="AA32" s="10">
        <f>AA8+AA27</f>
        <v/>
      </c>
      <c r="AB32" s="10">
        <f>AB8+AB27</f>
        <v/>
      </c>
      <c r="AC32" s="10">
        <f>AC8+AC27</f>
        <v/>
      </c>
      <c r="AD32" s="10">
        <f>AD8+AD27</f>
        <v/>
      </c>
      <c r="AE32" s="10">
        <f>AE8+AE27</f>
        <v/>
      </c>
      <c r="AF32" s="10">
        <f>AF8+AF27</f>
        <v/>
      </c>
      <c r="AG32" s="10">
        <f>AG8+AG27</f>
        <v/>
      </c>
      <c r="AH32" s="10">
        <f>AH8+AH27</f>
        <v/>
      </c>
      <c r="AI32" s="10">
        <f>AI8+AI27</f>
        <v/>
      </c>
      <c r="AJ32" s="10">
        <f>AJ8+AJ27</f>
        <v/>
      </c>
      <c r="AK32" s="10">
        <f>AK8+AK27</f>
        <v/>
      </c>
      <c r="AL32" s="10">
        <f>AL8+AL27</f>
        <v/>
      </c>
      <c r="AM32" s="10">
        <f>AM8+AM27</f>
        <v/>
      </c>
      <c r="AN32" s="10">
        <f>AN8+AN27</f>
        <v/>
      </c>
      <c r="AO32" s="10">
        <f>AO8+AO27</f>
        <v/>
      </c>
      <c r="AP32" s="10">
        <f>AP8+AP27</f>
        <v/>
      </c>
      <c r="AQ32" s="10">
        <f>AQ8+AQ27</f>
        <v/>
      </c>
      <c r="AR32" s="10">
        <f>AR8+AR27</f>
        <v/>
      </c>
      <c r="AS32" s="10">
        <f>AS8+AS27</f>
        <v/>
      </c>
      <c r="AT32" s="10">
        <f>AT8+AT27</f>
        <v/>
      </c>
      <c r="AU32" s="10">
        <f>AU8+AU27</f>
        <v/>
      </c>
      <c r="AV32" s="10">
        <f>AV8+AV27</f>
        <v/>
      </c>
      <c r="AW32" s="10">
        <f>AW8+AW27</f>
        <v/>
      </c>
      <c r="AX32" s="10">
        <f>AX8+AX27</f>
        <v/>
      </c>
      <c r="AY32" s="10">
        <f>AY8+AY27</f>
        <v/>
      </c>
      <c r="AZ32" s="10">
        <f>AZ8+AZ27</f>
        <v/>
      </c>
      <c r="BA32" s="10">
        <f>BA8+BA27</f>
        <v/>
      </c>
      <c r="BB32" s="10">
        <f>BB8+BB27</f>
        <v/>
      </c>
      <c r="BC32" s="10">
        <f>BC8+BC27</f>
        <v/>
      </c>
      <c r="BD32" s="10">
        <f>BD8+BD27</f>
        <v/>
      </c>
      <c r="BE32" s="10">
        <f>BE8+BE27</f>
        <v/>
      </c>
      <c r="BF32" s="10">
        <f>BF8+BF27</f>
        <v/>
      </c>
      <c r="BG32" s="10">
        <f>BG8+BG27</f>
        <v/>
      </c>
      <c r="BH32" s="10">
        <f>BH8+BH27</f>
        <v/>
      </c>
      <c r="BI32" s="10">
        <f>BI8+BI27</f>
        <v/>
      </c>
      <c r="BJ32" s="10">
        <f>BJ8+BJ27</f>
        <v/>
      </c>
      <c r="BK32" s="10">
        <f>BK8+BK27</f>
        <v/>
      </c>
      <c r="BL32" s="10">
        <f>BL8+BL27</f>
        <v/>
      </c>
      <c r="BN32" s="50">
        <f>SUM(E32:P32)</f>
        <v/>
      </c>
      <c r="BO32" s="50">
        <f>SUM(Q32:AB32)</f>
        <v/>
      </c>
      <c r="BP32" s="50">
        <f>SUM(AC32:AN32)</f>
        <v/>
      </c>
      <c r="BQ32" s="50">
        <f>SUM(AO32:AZ32)</f>
        <v/>
      </c>
      <c r="BR32" s="50">
        <f>SUM(BA32:BL32)</f>
        <v/>
      </c>
    </row>
    <row r="33">
      <c r="B33" s="15" t="inlineStr">
        <is>
          <t>Total operating expenses</t>
        </is>
      </c>
      <c r="C33" s="51" t="inlineStr">
        <is>
          <t>EUR</t>
        </is>
      </c>
      <c r="D33" s="2" t="n"/>
      <c r="E33" s="52">
        <f>SUM(E30:E32)</f>
        <v/>
      </c>
      <c r="F33" s="52">
        <f>SUM(F30:F32)</f>
        <v/>
      </c>
      <c r="G33" s="52">
        <f>SUM(G30:G32)</f>
        <v/>
      </c>
      <c r="H33" s="52">
        <f>SUM(H30:H32)</f>
        <v/>
      </c>
      <c r="I33" s="52">
        <f>SUM(I30:I32)</f>
        <v/>
      </c>
      <c r="J33" s="52">
        <f>SUM(J30:J32)</f>
        <v/>
      </c>
      <c r="K33" s="52">
        <f>SUM(K30:K32)</f>
        <v/>
      </c>
      <c r="L33" s="52">
        <f>SUM(L30:L32)</f>
        <v/>
      </c>
      <c r="M33" s="52">
        <f>SUM(M30:M32)</f>
        <v/>
      </c>
      <c r="N33" s="52">
        <f>SUM(N30:N32)</f>
        <v/>
      </c>
      <c r="O33" s="52">
        <f>SUM(O30:O32)</f>
        <v/>
      </c>
      <c r="P33" s="52">
        <f>SUM(P30:P32)</f>
        <v/>
      </c>
      <c r="Q33" s="52">
        <f>SUM(Q30:Q32)</f>
        <v/>
      </c>
      <c r="R33" s="52">
        <f>SUM(R30:R32)</f>
        <v/>
      </c>
      <c r="S33" s="52">
        <f>SUM(S30:S32)</f>
        <v/>
      </c>
      <c r="T33" s="52">
        <f>SUM(T30:T32)</f>
        <v/>
      </c>
      <c r="U33" s="52">
        <f>SUM(U30:U32)</f>
        <v/>
      </c>
      <c r="V33" s="52">
        <f>SUM(V30:V32)</f>
        <v/>
      </c>
      <c r="W33" s="52">
        <f>SUM(W30:W32)</f>
        <v/>
      </c>
      <c r="X33" s="52">
        <f>SUM(X30:X32)</f>
        <v/>
      </c>
      <c r="Y33" s="52">
        <f>SUM(Y30:Y32)</f>
        <v/>
      </c>
      <c r="Z33" s="52">
        <f>SUM(Z30:Z32)</f>
        <v/>
      </c>
      <c r="AA33" s="52">
        <f>SUM(AA30:AA32)</f>
        <v/>
      </c>
      <c r="AB33" s="52">
        <f>SUM(AB30:AB32)</f>
        <v/>
      </c>
      <c r="AC33" s="52">
        <f>SUM(AC30:AC32)</f>
        <v/>
      </c>
      <c r="AD33" s="52">
        <f>SUM(AD30:AD32)</f>
        <v/>
      </c>
      <c r="AE33" s="52">
        <f>SUM(AE30:AE32)</f>
        <v/>
      </c>
      <c r="AF33" s="52">
        <f>SUM(AF30:AF32)</f>
        <v/>
      </c>
      <c r="AG33" s="52">
        <f>SUM(AG30:AG32)</f>
        <v/>
      </c>
      <c r="AH33" s="52">
        <f>SUM(AH30:AH32)</f>
        <v/>
      </c>
      <c r="AI33" s="52">
        <f>SUM(AI30:AI32)</f>
        <v/>
      </c>
      <c r="AJ33" s="52">
        <f>SUM(AJ30:AJ32)</f>
        <v/>
      </c>
      <c r="AK33" s="52">
        <f>SUM(AK30:AK32)</f>
        <v/>
      </c>
      <c r="AL33" s="52">
        <f>SUM(AL30:AL32)</f>
        <v/>
      </c>
      <c r="AM33" s="52">
        <f>SUM(AM30:AM32)</f>
        <v/>
      </c>
      <c r="AN33" s="52">
        <f>SUM(AN30:AN32)</f>
        <v/>
      </c>
      <c r="AO33" s="52">
        <f>SUM(AO30:AO32)</f>
        <v/>
      </c>
      <c r="AP33" s="52">
        <f>SUM(AP30:AP32)</f>
        <v/>
      </c>
      <c r="AQ33" s="52">
        <f>SUM(AQ30:AQ32)</f>
        <v/>
      </c>
      <c r="AR33" s="52">
        <f>SUM(AR30:AR32)</f>
        <v/>
      </c>
      <c r="AS33" s="52">
        <f>SUM(AS30:AS32)</f>
        <v/>
      </c>
      <c r="AT33" s="52">
        <f>SUM(AT30:AT32)</f>
        <v/>
      </c>
      <c r="AU33" s="52">
        <f>SUM(AU30:AU32)</f>
        <v/>
      </c>
      <c r="AV33" s="52">
        <f>SUM(AV30:AV32)</f>
        <v/>
      </c>
      <c r="AW33" s="52">
        <f>SUM(AW30:AW32)</f>
        <v/>
      </c>
      <c r="AX33" s="52">
        <f>SUM(AX30:AX32)</f>
        <v/>
      </c>
      <c r="AY33" s="52">
        <f>SUM(AY30:AY32)</f>
        <v/>
      </c>
      <c r="AZ33" s="52">
        <f>SUM(AZ30:AZ32)</f>
        <v/>
      </c>
      <c r="BA33" s="52">
        <f>SUM(BA30:BA32)</f>
        <v/>
      </c>
      <c r="BB33" s="52">
        <f>SUM(BB30:BB32)</f>
        <v/>
      </c>
      <c r="BC33" s="52">
        <f>SUM(BC30:BC32)</f>
        <v/>
      </c>
      <c r="BD33" s="52">
        <f>SUM(BD30:BD32)</f>
        <v/>
      </c>
      <c r="BE33" s="52">
        <f>SUM(BE30:BE32)</f>
        <v/>
      </c>
      <c r="BF33" s="52">
        <f>SUM(BF30:BF32)</f>
        <v/>
      </c>
      <c r="BG33" s="52">
        <f>SUM(BG30:BG32)</f>
        <v/>
      </c>
      <c r="BH33" s="52">
        <f>SUM(BH30:BH32)</f>
        <v/>
      </c>
      <c r="BI33" s="52">
        <f>SUM(BI30:BI32)</f>
        <v/>
      </c>
      <c r="BJ33" s="52">
        <f>SUM(BJ30:BJ32)</f>
        <v/>
      </c>
      <c r="BK33" s="52">
        <f>SUM(BK30:BK32)</f>
        <v/>
      </c>
      <c r="BL33" s="52">
        <f>SUM(BL30:BL32)</f>
        <v/>
      </c>
      <c r="BM33" s="2" t="n"/>
      <c r="BN33" s="52">
        <f>SUM(E33:P33)</f>
        <v/>
      </c>
      <c r="BO33" s="52">
        <f>SUM(Q33:AB33)</f>
        <v/>
      </c>
      <c r="BP33" s="52">
        <f>SUM(AC33:AN33)</f>
        <v/>
      </c>
      <c r="BQ33" s="52">
        <f>SUM(AO33:AZ33)</f>
        <v/>
      </c>
      <c r="BR33" s="52">
        <f>SUM(BA33:BL33)</f>
        <v/>
      </c>
      <c r="BS33" s="2" t="n"/>
    </row>
    <row r="35">
      <c r="B35" s="53" t="inlineStr">
        <is>
          <t>Operating expenses as a share of revenue</t>
        </is>
      </c>
      <c r="C35" s="17" t="inlineStr">
        <is>
          <t>%</t>
        </is>
      </c>
      <c r="E35" s="54">
        <f>IFERROR(E33/'Revenue Forecast'!E50,0)</f>
        <v/>
      </c>
      <c r="F35" s="54">
        <f>IFERROR(F33/'Revenue Forecast'!F50,0)</f>
        <v/>
      </c>
      <c r="G35" s="54">
        <f>IFERROR(G33/'Revenue Forecast'!G50,0)</f>
        <v/>
      </c>
      <c r="H35" s="54">
        <f>IFERROR(H33/'Revenue Forecast'!H50,0)</f>
        <v/>
      </c>
      <c r="I35" s="54">
        <f>IFERROR(I33/'Revenue Forecast'!I50,0)</f>
        <v/>
      </c>
      <c r="J35" s="54">
        <f>IFERROR(J33/'Revenue Forecast'!J50,0)</f>
        <v/>
      </c>
      <c r="K35" s="54">
        <f>IFERROR(K33/'Revenue Forecast'!K50,0)</f>
        <v/>
      </c>
      <c r="L35" s="54">
        <f>IFERROR(L33/'Revenue Forecast'!L50,0)</f>
        <v/>
      </c>
      <c r="M35" s="54">
        <f>IFERROR(M33/'Revenue Forecast'!M50,0)</f>
        <v/>
      </c>
      <c r="N35" s="54">
        <f>IFERROR(N33/'Revenue Forecast'!N50,0)</f>
        <v/>
      </c>
      <c r="O35" s="54">
        <f>IFERROR(O33/'Revenue Forecast'!O50,0)</f>
        <v/>
      </c>
      <c r="P35" s="54">
        <f>IFERROR(P33/'Revenue Forecast'!P50,0)</f>
        <v/>
      </c>
      <c r="Q35" s="54">
        <f>IFERROR(Q33/'Revenue Forecast'!Q50,0)</f>
        <v/>
      </c>
      <c r="R35" s="54">
        <f>IFERROR(R33/'Revenue Forecast'!R50,0)</f>
        <v/>
      </c>
      <c r="S35" s="54">
        <f>IFERROR(S33/'Revenue Forecast'!S50,0)</f>
        <v/>
      </c>
      <c r="T35" s="54">
        <f>IFERROR(T33/'Revenue Forecast'!T50,0)</f>
        <v/>
      </c>
      <c r="U35" s="54">
        <f>IFERROR(U33/'Revenue Forecast'!U50,0)</f>
        <v/>
      </c>
      <c r="V35" s="54">
        <f>IFERROR(V33/'Revenue Forecast'!V50,0)</f>
        <v/>
      </c>
      <c r="W35" s="54">
        <f>IFERROR(W33/'Revenue Forecast'!W50,0)</f>
        <v/>
      </c>
      <c r="X35" s="54">
        <f>IFERROR(X33/'Revenue Forecast'!X50,0)</f>
        <v/>
      </c>
      <c r="Y35" s="54">
        <f>IFERROR(Y33/'Revenue Forecast'!Y50,0)</f>
        <v/>
      </c>
      <c r="Z35" s="54">
        <f>IFERROR(Z33/'Revenue Forecast'!Z50,0)</f>
        <v/>
      </c>
      <c r="AA35" s="54">
        <f>IFERROR(AA33/'Revenue Forecast'!AA50,0)</f>
        <v/>
      </c>
      <c r="AB35" s="54">
        <f>IFERROR(AB33/'Revenue Forecast'!AB50,0)</f>
        <v/>
      </c>
      <c r="AC35" s="54">
        <f>IFERROR(AC33/'Revenue Forecast'!AC50,0)</f>
        <v/>
      </c>
      <c r="AD35" s="54">
        <f>IFERROR(AD33/'Revenue Forecast'!AD50,0)</f>
        <v/>
      </c>
      <c r="AE35" s="54">
        <f>IFERROR(AE33/'Revenue Forecast'!AE50,0)</f>
        <v/>
      </c>
      <c r="AF35" s="54">
        <f>IFERROR(AF33/'Revenue Forecast'!AF50,0)</f>
        <v/>
      </c>
      <c r="AG35" s="54">
        <f>IFERROR(AG33/'Revenue Forecast'!AG50,0)</f>
        <v/>
      </c>
      <c r="AH35" s="54">
        <f>IFERROR(AH33/'Revenue Forecast'!AH50,0)</f>
        <v/>
      </c>
      <c r="AI35" s="54">
        <f>IFERROR(AI33/'Revenue Forecast'!AI50,0)</f>
        <v/>
      </c>
      <c r="AJ35" s="54">
        <f>IFERROR(AJ33/'Revenue Forecast'!AJ50,0)</f>
        <v/>
      </c>
      <c r="AK35" s="54">
        <f>IFERROR(AK33/'Revenue Forecast'!AK50,0)</f>
        <v/>
      </c>
      <c r="AL35" s="54">
        <f>IFERROR(AL33/'Revenue Forecast'!AL50,0)</f>
        <v/>
      </c>
      <c r="AM35" s="54">
        <f>IFERROR(AM33/'Revenue Forecast'!AM50,0)</f>
        <v/>
      </c>
      <c r="AN35" s="54">
        <f>IFERROR(AN33/'Revenue Forecast'!AN50,0)</f>
        <v/>
      </c>
      <c r="AO35" s="54">
        <f>IFERROR(AO33/'Revenue Forecast'!AO50,0)</f>
        <v/>
      </c>
      <c r="AP35" s="54">
        <f>IFERROR(AP33/'Revenue Forecast'!AP50,0)</f>
        <v/>
      </c>
      <c r="AQ35" s="54">
        <f>IFERROR(AQ33/'Revenue Forecast'!AQ50,0)</f>
        <v/>
      </c>
      <c r="AR35" s="54">
        <f>IFERROR(AR33/'Revenue Forecast'!AR50,0)</f>
        <v/>
      </c>
      <c r="AS35" s="54">
        <f>IFERROR(AS33/'Revenue Forecast'!AS50,0)</f>
        <v/>
      </c>
      <c r="AT35" s="54">
        <f>IFERROR(AT33/'Revenue Forecast'!AT50,0)</f>
        <v/>
      </c>
      <c r="AU35" s="54">
        <f>IFERROR(AU33/'Revenue Forecast'!AU50,0)</f>
        <v/>
      </c>
      <c r="AV35" s="54">
        <f>IFERROR(AV33/'Revenue Forecast'!AV50,0)</f>
        <v/>
      </c>
      <c r="AW35" s="54">
        <f>IFERROR(AW33/'Revenue Forecast'!AW50,0)</f>
        <v/>
      </c>
      <c r="AX35" s="54">
        <f>IFERROR(AX33/'Revenue Forecast'!AX50,0)</f>
        <v/>
      </c>
      <c r="AY35" s="54">
        <f>IFERROR(AY33/'Revenue Forecast'!AY50,0)</f>
        <v/>
      </c>
      <c r="AZ35" s="54">
        <f>IFERROR(AZ33/'Revenue Forecast'!AZ50,0)</f>
        <v/>
      </c>
      <c r="BA35" s="54">
        <f>IFERROR(BA33/'Revenue Forecast'!BA50,0)</f>
        <v/>
      </c>
      <c r="BB35" s="54">
        <f>IFERROR(BB33/'Revenue Forecast'!BB50,0)</f>
        <v/>
      </c>
      <c r="BC35" s="54">
        <f>IFERROR(BC33/'Revenue Forecast'!BC50,0)</f>
        <v/>
      </c>
      <c r="BD35" s="54">
        <f>IFERROR(BD33/'Revenue Forecast'!BD50,0)</f>
        <v/>
      </c>
      <c r="BE35" s="54">
        <f>IFERROR(BE33/'Revenue Forecast'!BE50,0)</f>
        <v/>
      </c>
      <c r="BF35" s="54">
        <f>IFERROR(BF33/'Revenue Forecast'!BF50,0)</f>
        <v/>
      </c>
      <c r="BG35" s="54">
        <f>IFERROR(BG33/'Revenue Forecast'!BG50,0)</f>
        <v/>
      </c>
      <c r="BH35" s="54">
        <f>IFERROR(BH33/'Revenue Forecast'!BH50,0)</f>
        <v/>
      </c>
      <c r="BI35" s="54">
        <f>IFERROR(BI33/'Revenue Forecast'!BI50,0)</f>
        <v/>
      </c>
      <c r="BJ35" s="54">
        <f>IFERROR(BJ33/'Revenue Forecast'!BJ50,0)</f>
        <v/>
      </c>
      <c r="BK35" s="54">
        <f>IFERROR(BK33/'Revenue Forecast'!BK50,0)</f>
        <v/>
      </c>
      <c r="BL35" s="54">
        <f>IFERROR(BL33/'Revenue Forecast'!BL50,0)</f>
        <v/>
      </c>
      <c r="BN35" s="55">
        <f>IFERROR(BN33/'Revenue Forecast'!BN50,0)</f>
        <v/>
      </c>
      <c r="BO35" s="55">
        <f>IFERROR(BO33/'Revenue Forecast'!BO50,0)</f>
        <v/>
      </c>
      <c r="BP35" s="55">
        <f>IFERROR(BP33/'Revenue Forecast'!BP50,0)</f>
        <v/>
      </c>
      <c r="BQ35" s="55">
        <f>IFERROR(BQ33/'Revenue Forecast'!BQ50,0)</f>
        <v/>
      </c>
      <c r="BR35" s="55">
        <f>IFERROR(BR33/'Revenue Forecast'!BR50,0)</f>
        <v/>
      </c>
    </row>
    <row r="37">
      <c r="B37" s="15" t="inlineStr">
        <is>
          <t>COMMITTED 2026 PLAN, HELD FIXED  (January to October, from the existing model)</t>
        </is>
      </c>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c r="AA37" s="1" t="n"/>
      <c r="AB37" s="1" t="n"/>
      <c r="AC37" s="1" t="n"/>
      <c r="AD37" s="1" t="n"/>
      <c r="AE37" s="1" t="n"/>
      <c r="AF37" s="1" t="n"/>
      <c r="AG37" s="1" t="n"/>
      <c r="AH37" s="1" t="n"/>
      <c r="AI37" s="1" t="n"/>
      <c r="AJ37" s="1" t="n"/>
      <c r="AK37" s="1" t="n"/>
      <c r="AL37" s="1" t="n"/>
      <c r="AM37" s="1" t="n"/>
      <c r="AN37" s="1" t="n"/>
      <c r="AO37" s="1" t="n"/>
      <c r="AP37" s="1" t="n"/>
      <c r="AQ37" s="1" t="n"/>
      <c r="AR37" s="1" t="n"/>
      <c r="AS37" s="1" t="n"/>
      <c r="AT37" s="1" t="n"/>
      <c r="AU37" s="1" t="n"/>
      <c r="AV37" s="1" t="n"/>
      <c r="AW37" s="1" t="n"/>
      <c r="AX37" s="1" t="n"/>
      <c r="AY37" s="1" t="n"/>
      <c r="AZ37" s="1" t="n"/>
      <c r="BA37" s="1" t="n"/>
      <c r="BB37" s="1" t="n"/>
      <c r="BC37" s="1" t="n"/>
      <c r="BD37" s="1" t="n"/>
      <c r="BE37" s="1" t="n"/>
      <c r="BF37" s="1" t="n"/>
      <c r="BG37" s="1" t="n"/>
      <c r="BH37" s="1" t="n"/>
      <c r="BI37" s="1" t="n"/>
      <c r="BJ37" s="1" t="n"/>
      <c r="BK37" s="1" t="n"/>
      <c r="BL37" s="1" t="n"/>
      <c r="BM37" s="1" t="n"/>
      <c r="BN37" s="1" t="n"/>
      <c r="BO37" s="1" t="n"/>
      <c r="BP37" s="1" t="n"/>
      <c r="BQ37" s="1" t="n"/>
      <c r="BR37" s="1" t="n"/>
      <c r="BS37" s="1" t="n"/>
    </row>
    <row r="38">
      <c r="B38" s="6" t="inlineStr">
        <is>
          <t>People, research and development</t>
        </is>
      </c>
      <c r="C38" s="17" t="inlineStr">
        <is>
          <t>EUR</t>
        </is>
      </c>
      <c r="E38" s="40" t="n">
        <v>50700</v>
      </c>
      <c r="F38" s="40" t="n">
        <v>50700</v>
      </c>
      <c r="G38" s="40" t="n">
        <v>50700</v>
      </c>
      <c r="H38" s="40" t="n">
        <v>50700</v>
      </c>
      <c r="I38" s="40" t="n">
        <v>50700</v>
      </c>
      <c r="J38" s="40" t="n">
        <v>50700</v>
      </c>
      <c r="K38" s="40" t="n">
        <v>50700</v>
      </c>
      <c r="L38" s="40" t="n">
        <v>50700</v>
      </c>
      <c r="M38" s="40" t="n">
        <v>54700</v>
      </c>
      <c r="N38" s="40" t="n">
        <v>61620</v>
      </c>
      <c r="O38" s="10" t="n"/>
      <c r="P38" s="10" t="n"/>
      <c r="Q38" s="10" t="n"/>
      <c r="R38" s="10" t="n"/>
      <c r="S38" s="10" t="n"/>
      <c r="T38" s="10" t="n"/>
      <c r="U38" s="10" t="n"/>
      <c r="V38" s="10" t="n"/>
      <c r="W38" s="10" t="n"/>
      <c r="X38" s="10" t="n"/>
      <c r="Y38" s="10" t="n"/>
      <c r="Z38" s="10" t="n"/>
      <c r="AA38" s="10" t="n"/>
      <c r="AB38" s="10" t="n"/>
      <c r="AC38" s="10" t="n"/>
      <c r="AD38" s="10" t="n"/>
      <c r="AE38" s="10" t="n"/>
      <c r="AF38" s="10" t="n"/>
      <c r="AG38" s="10" t="n"/>
      <c r="AH38" s="10" t="n"/>
      <c r="AI38" s="10" t="n"/>
      <c r="AJ38" s="10" t="n"/>
      <c r="AK38" s="10" t="n"/>
      <c r="AL38" s="10" t="n"/>
      <c r="AM38" s="10" t="n"/>
      <c r="AN38" s="10" t="n"/>
      <c r="AO38" s="10" t="n"/>
      <c r="AP38" s="10" t="n"/>
      <c r="AQ38" s="10" t="n"/>
      <c r="AR38" s="10" t="n"/>
      <c r="AS38" s="10" t="n"/>
      <c r="AT38" s="10" t="n"/>
      <c r="AU38" s="10" t="n"/>
      <c r="AV38" s="10" t="n"/>
      <c r="AW38" s="10" t="n"/>
      <c r="AX38" s="10" t="n"/>
      <c r="AY38" s="10" t="n"/>
      <c r="AZ38" s="10" t="n"/>
      <c r="BA38" s="10" t="n"/>
      <c r="BB38" s="10" t="n"/>
      <c r="BC38" s="10" t="n"/>
      <c r="BD38" s="10" t="n"/>
      <c r="BE38" s="10" t="n"/>
      <c r="BF38" s="10" t="n"/>
      <c r="BG38" s="10" t="n"/>
      <c r="BH38" s="10" t="n"/>
      <c r="BI38" s="10" t="n"/>
      <c r="BJ38" s="10" t="n"/>
      <c r="BK38" s="10" t="n"/>
      <c r="BL38" s="10" t="n"/>
      <c r="BN38" s="50">
        <f>SUM(E38:P38)</f>
        <v/>
      </c>
      <c r="BO38" s="50">
        <f>SUM(Q38:AB38)</f>
        <v/>
      </c>
      <c r="BP38" s="50">
        <f>SUM(AC38:AN38)</f>
        <v/>
      </c>
      <c r="BQ38" s="50">
        <f>SUM(AO38:AZ38)</f>
        <v/>
      </c>
      <c r="BR38" s="50">
        <f>SUM(BA38:BL38)</f>
        <v/>
      </c>
      <c r="BT38" s="32" t="inlineStr">
        <is>
          <t>taken from the existing model and not recalculated</t>
        </is>
      </c>
    </row>
    <row r="39">
      <c r="B39" s="6" t="inlineStr">
        <is>
          <t>People, sales and marketing</t>
        </is>
      </c>
      <c r="C39" s="17" t="inlineStr">
        <is>
          <t>EUR</t>
        </is>
      </c>
      <c r="E39" s="40" t="n">
        <v>0</v>
      </c>
      <c r="F39" s="40" t="n">
        <v>10800</v>
      </c>
      <c r="G39" s="40" t="n">
        <v>10800</v>
      </c>
      <c r="H39" s="40" t="n">
        <v>10800</v>
      </c>
      <c r="I39" s="40" t="n">
        <v>10800</v>
      </c>
      <c r="J39" s="40" t="n">
        <v>10800</v>
      </c>
      <c r="K39" s="40" t="n">
        <v>10800</v>
      </c>
      <c r="L39" s="40" t="n">
        <v>10800</v>
      </c>
      <c r="M39" s="40" t="n">
        <v>10800</v>
      </c>
      <c r="N39" s="40" t="n">
        <v>19800</v>
      </c>
      <c r="O39" s="10" t="n"/>
      <c r="P39" s="10" t="n"/>
      <c r="Q39" s="10" t="n"/>
      <c r="R39" s="10" t="n"/>
      <c r="S39" s="10" t="n"/>
      <c r="T39" s="10" t="n"/>
      <c r="U39" s="10" t="n"/>
      <c r="V39" s="10" t="n"/>
      <c r="W39" s="10" t="n"/>
      <c r="X39" s="10" t="n"/>
      <c r="Y39" s="10" t="n"/>
      <c r="Z39" s="10" t="n"/>
      <c r="AA39" s="10" t="n"/>
      <c r="AB39" s="10" t="n"/>
      <c r="AC39" s="10" t="n"/>
      <c r="AD39" s="10" t="n"/>
      <c r="AE39" s="10" t="n"/>
      <c r="AF39" s="10" t="n"/>
      <c r="AG39" s="10" t="n"/>
      <c r="AH39" s="10" t="n"/>
      <c r="AI39" s="10" t="n"/>
      <c r="AJ39" s="10" t="n"/>
      <c r="AK39" s="10" t="n"/>
      <c r="AL39" s="10" t="n"/>
      <c r="AM39" s="10" t="n"/>
      <c r="AN39" s="10" t="n"/>
      <c r="AO39" s="10" t="n"/>
      <c r="AP39" s="10" t="n"/>
      <c r="AQ39" s="10" t="n"/>
      <c r="AR39" s="10" t="n"/>
      <c r="AS39" s="10" t="n"/>
      <c r="AT39" s="10" t="n"/>
      <c r="AU39" s="10" t="n"/>
      <c r="AV39" s="10" t="n"/>
      <c r="AW39" s="10" t="n"/>
      <c r="AX39" s="10" t="n"/>
      <c r="AY39" s="10" t="n"/>
      <c r="AZ39" s="10" t="n"/>
      <c r="BA39" s="10" t="n"/>
      <c r="BB39" s="10" t="n"/>
      <c r="BC39" s="10" t="n"/>
      <c r="BD39" s="10" t="n"/>
      <c r="BE39" s="10" t="n"/>
      <c r="BF39" s="10" t="n"/>
      <c r="BG39" s="10" t="n"/>
      <c r="BH39" s="10" t="n"/>
      <c r="BI39" s="10" t="n"/>
      <c r="BJ39" s="10" t="n"/>
      <c r="BK39" s="10" t="n"/>
      <c r="BL39" s="10" t="n"/>
      <c r="BN39" s="50">
        <f>SUM(E39:P39)</f>
        <v/>
      </c>
      <c r="BO39" s="50">
        <f>SUM(Q39:AB39)</f>
        <v/>
      </c>
      <c r="BP39" s="50">
        <f>SUM(AC39:AN39)</f>
        <v/>
      </c>
      <c r="BQ39" s="50">
        <f>SUM(AO39:AZ39)</f>
        <v/>
      </c>
      <c r="BR39" s="50">
        <f>SUM(BA39:BL39)</f>
        <v/>
      </c>
    </row>
    <row r="40">
      <c r="B40" s="6" t="inlineStr">
        <is>
          <t>People, general and administrative</t>
        </is>
      </c>
      <c r="C40" s="17" t="inlineStr">
        <is>
          <t>EUR</t>
        </is>
      </c>
      <c r="E40" s="40" t="n">
        <v>11820</v>
      </c>
      <c r="F40" s="40" t="n">
        <v>11820</v>
      </c>
      <c r="G40" s="40" t="n">
        <v>11820</v>
      </c>
      <c r="H40" s="40" t="n">
        <v>11820</v>
      </c>
      <c r="I40" s="40" t="n">
        <v>11820</v>
      </c>
      <c r="J40" s="40" t="n">
        <v>11820</v>
      </c>
      <c r="K40" s="40" t="n">
        <v>11820</v>
      </c>
      <c r="L40" s="40" t="n">
        <v>11820</v>
      </c>
      <c r="M40" s="40" t="n">
        <v>25740</v>
      </c>
      <c r="N40" s="40" t="n">
        <v>21420</v>
      </c>
      <c r="O40" s="10" t="n"/>
      <c r="P40" s="10" t="n"/>
      <c r="Q40" s="10" t="n"/>
      <c r="R40" s="10" t="n"/>
      <c r="S40" s="10" t="n"/>
      <c r="T40" s="10" t="n"/>
      <c r="U40" s="10" t="n"/>
      <c r="V40" s="10" t="n"/>
      <c r="W40" s="10" t="n"/>
      <c r="X40" s="10" t="n"/>
      <c r="Y40" s="10" t="n"/>
      <c r="Z40" s="10" t="n"/>
      <c r="AA40" s="10" t="n"/>
      <c r="AB40" s="10" t="n"/>
      <c r="AC40" s="10" t="n"/>
      <c r="AD40" s="10" t="n"/>
      <c r="AE40" s="10" t="n"/>
      <c r="AF40" s="10" t="n"/>
      <c r="AG40" s="10" t="n"/>
      <c r="AH40" s="10" t="n"/>
      <c r="AI40" s="10" t="n"/>
      <c r="AJ40" s="10" t="n"/>
      <c r="AK40" s="10" t="n"/>
      <c r="AL40" s="10" t="n"/>
      <c r="AM40" s="10" t="n"/>
      <c r="AN40" s="10" t="n"/>
      <c r="AO40" s="10" t="n"/>
      <c r="AP40" s="10" t="n"/>
      <c r="AQ40" s="10" t="n"/>
      <c r="AR40" s="10" t="n"/>
      <c r="AS40" s="10" t="n"/>
      <c r="AT40" s="10" t="n"/>
      <c r="AU40" s="10" t="n"/>
      <c r="AV40" s="10" t="n"/>
      <c r="AW40" s="10" t="n"/>
      <c r="AX40" s="10" t="n"/>
      <c r="AY40" s="10" t="n"/>
      <c r="AZ40" s="10" t="n"/>
      <c r="BA40" s="10" t="n"/>
      <c r="BB40" s="10" t="n"/>
      <c r="BC40" s="10" t="n"/>
      <c r="BD40" s="10" t="n"/>
      <c r="BE40" s="10" t="n"/>
      <c r="BF40" s="10" t="n"/>
      <c r="BG40" s="10" t="n"/>
      <c r="BH40" s="10" t="n"/>
      <c r="BI40" s="10" t="n"/>
      <c r="BJ40" s="10" t="n"/>
      <c r="BK40" s="10" t="n"/>
      <c r="BL40" s="10" t="n"/>
      <c r="BN40" s="50">
        <f>SUM(E40:P40)</f>
        <v/>
      </c>
      <c r="BO40" s="50">
        <f>SUM(Q40:AB40)</f>
        <v/>
      </c>
      <c r="BP40" s="50">
        <f>SUM(AC40:AN40)</f>
        <v/>
      </c>
      <c r="BQ40" s="50">
        <f>SUM(AO40:AZ40)</f>
        <v/>
      </c>
      <c r="BR40" s="50">
        <f>SUM(BA40:BL40)</f>
        <v/>
      </c>
    </row>
    <row r="41">
      <c r="B41" s="6" t="inlineStr">
        <is>
          <t>Everything else, research and development</t>
        </is>
      </c>
      <c r="C41" s="17" t="inlineStr">
        <is>
          <t>EUR</t>
        </is>
      </c>
      <c r="E41" s="40" t="n">
        <v>25000</v>
      </c>
      <c r="F41" s="40" t="n">
        <v>25000</v>
      </c>
      <c r="G41" s="40" t="n">
        <v>25000</v>
      </c>
      <c r="H41" s="40" t="n">
        <v>25000</v>
      </c>
      <c r="I41" s="40" t="n">
        <v>25000</v>
      </c>
      <c r="J41" s="40" t="n">
        <v>25000</v>
      </c>
      <c r="K41" s="40" t="n">
        <v>25000</v>
      </c>
      <c r="L41" s="40" t="n">
        <v>25000</v>
      </c>
      <c r="M41" s="40" t="n">
        <v>25000</v>
      </c>
      <c r="N41" s="40" t="n">
        <v>125000</v>
      </c>
      <c r="O41" s="10" t="n"/>
      <c r="P41" s="10" t="n"/>
      <c r="Q41" s="10" t="n"/>
      <c r="R41" s="10" t="n"/>
      <c r="S41" s="10" t="n"/>
      <c r="T41" s="10" t="n"/>
      <c r="U41" s="10" t="n"/>
      <c r="V41" s="10" t="n"/>
      <c r="W41" s="10" t="n"/>
      <c r="X41" s="10" t="n"/>
      <c r="Y41" s="10" t="n"/>
      <c r="Z41" s="10" t="n"/>
      <c r="AA41" s="10" t="n"/>
      <c r="AB41" s="10" t="n"/>
      <c r="AC41" s="10" t="n"/>
      <c r="AD41" s="10" t="n"/>
      <c r="AE41" s="10" t="n"/>
      <c r="AF41" s="10" t="n"/>
      <c r="AG41" s="10" t="n"/>
      <c r="AH41" s="10" t="n"/>
      <c r="AI41" s="10" t="n"/>
      <c r="AJ41" s="10" t="n"/>
      <c r="AK41" s="10" t="n"/>
      <c r="AL41" s="10" t="n"/>
      <c r="AM41" s="10" t="n"/>
      <c r="AN41" s="10" t="n"/>
      <c r="AO41" s="10" t="n"/>
      <c r="AP41" s="10" t="n"/>
      <c r="AQ41" s="10" t="n"/>
      <c r="AR41" s="10" t="n"/>
      <c r="AS41" s="10" t="n"/>
      <c r="AT41" s="10" t="n"/>
      <c r="AU41" s="10" t="n"/>
      <c r="AV41" s="10" t="n"/>
      <c r="AW41" s="10" t="n"/>
      <c r="AX41" s="10" t="n"/>
      <c r="AY41" s="10" t="n"/>
      <c r="AZ41" s="10" t="n"/>
      <c r="BA41" s="10" t="n"/>
      <c r="BB41" s="10" t="n"/>
      <c r="BC41" s="10" t="n"/>
      <c r="BD41" s="10" t="n"/>
      <c r="BE41" s="10" t="n"/>
      <c r="BF41" s="10" t="n"/>
      <c r="BG41" s="10" t="n"/>
      <c r="BH41" s="10" t="n"/>
      <c r="BI41" s="10" t="n"/>
      <c r="BJ41" s="10" t="n"/>
      <c r="BK41" s="10" t="n"/>
      <c r="BL41" s="10" t="n"/>
      <c r="BN41" s="50">
        <f>SUM(E41:P41)</f>
        <v/>
      </c>
      <c r="BO41" s="50">
        <f>SUM(Q41:AB41)</f>
        <v/>
      </c>
      <c r="BP41" s="50">
        <f>SUM(AC41:AN41)</f>
        <v/>
      </c>
      <c r="BQ41" s="50">
        <f>SUM(AO41:AZ41)</f>
        <v/>
      </c>
      <c r="BR41" s="50">
        <f>SUM(BA41:BL41)</f>
        <v/>
      </c>
    </row>
    <row r="42">
      <c r="B42" s="6" t="inlineStr">
        <is>
          <t>Everything else, sales and marketing</t>
        </is>
      </c>
      <c r="C42" s="17" t="inlineStr">
        <is>
          <t>EUR</t>
        </is>
      </c>
      <c r="E42" s="40" t="n">
        <v>21000</v>
      </c>
      <c r="F42" s="40" t="n">
        <v>21000</v>
      </c>
      <c r="G42" s="40" t="n">
        <v>21000</v>
      </c>
      <c r="H42" s="40" t="n">
        <v>21000</v>
      </c>
      <c r="I42" s="40" t="n">
        <v>31000</v>
      </c>
      <c r="J42" s="40" t="n">
        <v>31000</v>
      </c>
      <c r="K42" s="40" t="n">
        <v>21000</v>
      </c>
      <c r="L42" s="40" t="n">
        <v>21000</v>
      </c>
      <c r="M42" s="40" t="n">
        <v>21000</v>
      </c>
      <c r="N42" s="40" t="n">
        <v>24000</v>
      </c>
      <c r="O42" s="10" t="n"/>
      <c r="P42" s="10" t="n"/>
      <c r="Q42" s="10" t="n"/>
      <c r="R42" s="10" t="n"/>
      <c r="S42" s="10" t="n"/>
      <c r="T42" s="10" t="n"/>
      <c r="U42" s="10" t="n"/>
      <c r="V42" s="10" t="n"/>
      <c r="W42" s="10" t="n"/>
      <c r="X42" s="10" t="n"/>
      <c r="Y42" s="10" t="n"/>
      <c r="Z42" s="10" t="n"/>
      <c r="AA42" s="10" t="n"/>
      <c r="AB42" s="10" t="n"/>
      <c r="AC42" s="10" t="n"/>
      <c r="AD42" s="10" t="n"/>
      <c r="AE42" s="10" t="n"/>
      <c r="AF42" s="10" t="n"/>
      <c r="AG42" s="10" t="n"/>
      <c r="AH42" s="10" t="n"/>
      <c r="AI42" s="10" t="n"/>
      <c r="AJ42" s="10" t="n"/>
      <c r="AK42" s="10" t="n"/>
      <c r="AL42" s="10" t="n"/>
      <c r="AM42" s="10" t="n"/>
      <c r="AN42" s="10" t="n"/>
      <c r="AO42" s="10" t="n"/>
      <c r="AP42" s="10" t="n"/>
      <c r="AQ42" s="10" t="n"/>
      <c r="AR42" s="10" t="n"/>
      <c r="AS42" s="10" t="n"/>
      <c r="AT42" s="10" t="n"/>
      <c r="AU42" s="10" t="n"/>
      <c r="AV42" s="10" t="n"/>
      <c r="AW42" s="10" t="n"/>
      <c r="AX42" s="10" t="n"/>
      <c r="AY42" s="10" t="n"/>
      <c r="AZ42" s="10" t="n"/>
      <c r="BA42" s="10" t="n"/>
      <c r="BB42" s="10" t="n"/>
      <c r="BC42" s="10" t="n"/>
      <c r="BD42" s="10" t="n"/>
      <c r="BE42" s="10" t="n"/>
      <c r="BF42" s="10" t="n"/>
      <c r="BG42" s="10" t="n"/>
      <c r="BH42" s="10" t="n"/>
      <c r="BI42" s="10" t="n"/>
      <c r="BJ42" s="10" t="n"/>
      <c r="BK42" s="10" t="n"/>
      <c r="BL42" s="10" t="n"/>
      <c r="BN42" s="50">
        <f>SUM(E42:P42)</f>
        <v/>
      </c>
      <c r="BO42" s="50">
        <f>SUM(Q42:AB42)</f>
        <v/>
      </c>
      <c r="BP42" s="50">
        <f>SUM(AC42:AN42)</f>
        <v/>
      </c>
      <c r="BQ42" s="50">
        <f>SUM(AO42:AZ42)</f>
        <v/>
      </c>
      <c r="BR42" s="50">
        <f>SUM(BA42:BL42)</f>
        <v/>
      </c>
    </row>
    <row r="43">
      <c r="B43" s="6" t="inlineStr">
        <is>
          <t>Everything else, general and administrative</t>
        </is>
      </c>
      <c r="C43" s="17" t="inlineStr">
        <is>
          <t>EUR</t>
        </is>
      </c>
      <c r="E43" s="40" t="n">
        <v>20000</v>
      </c>
      <c r="F43" s="40" t="n">
        <v>20000</v>
      </c>
      <c r="G43" s="40" t="n">
        <v>20000</v>
      </c>
      <c r="H43" s="40" t="n">
        <v>20000</v>
      </c>
      <c r="I43" s="40" t="n">
        <v>20000</v>
      </c>
      <c r="J43" s="40" t="n">
        <v>20000</v>
      </c>
      <c r="K43" s="40" t="n">
        <v>20000</v>
      </c>
      <c r="L43" s="40" t="n">
        <v>20000</v>
      </c>
      <c r="M43" s="40" t="n">
        <v>20000</v>
      </c>
      <c r="N43" s="40" t="n">
        <v>20000</v>
      </c>
      <c r="O43" s="10" t="n"/>
      <c r="P43" s="10" t="n"/>
      <c r="Q43" s="10" t="n"/>
      <c r="R43" s="10" t="n"/>
      <c r="S43" s="10" t="n"/>
      <c r="T43" s="10" t="n"/>
      <c r="U43" s="10" t="n"/>
      <c r="V43" s="10" t="n"/>
      <c r="W43" s="10" t="n"/>
      <c r="X43" s="10" t="n"/>
      <c r="Y43" s="10" t="n"/>
      <c r="Z43" s="10" t="n"/>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0" t="n"/>
      <c r="BC43" s="10" t="n"/>
      <c r="BD43" s="10" t="n"/>
      <c r="BE43" s="10" t="n"/>
      <c r="BF43" s="10" t="n"/>
      <c r="BG43" s="10" t="n"/>
      <c r="BH43" s="10" t="n"/>
      <c r="BI43" s="10" t="n"/>
      <c r="BJ43" s="10" t="n"/>
      <c r="BK43" s="10" t="n"/>
      <c r="BL43" s="10" t="n"/>
      <c r="BN43" s="50">
        <f>SUM(E43:P43)</f>
        <v/>
      </c>
      <c r="BO43" s="50">
        <f>SUM(Q43:AB43)</f>
        <v/>
      </c>
      <c r="BP43" s="50">
        <f>SUM(AC43:AN43)</f>
        <v/>
      </c>
      <c r="BQ43" s="50">
        <f>SUM(AO43:AZ43)</f>
        <v/>
      </c>
      <c r="BR43" s="50">
        <f>SUM(BA43:BL43)</f>
        <v/>
      </c>
    </row>
    <row r="44">
      <c r="BT44" s="3" t="inlineStr">
        <is>
          <t>these ten months are committed. The drivers take over from November, the month after the raise lands.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B1:BT31"/>
  <sheetViews>
    <sheetView showGridLines="0" workbookViewId="0">
      <pane xSplit="4" ySplit="3" topLeftCell="E4" activePane="bottomRight" state="frozen"/>
      <selection pane="topRight"/>
      <selection pane="bottomLeft"/>
      <selection pane="bottomRight" activeCell="A1" sqref="A1"/>
    </sheetView>
  </sheetViews>
  <sheetFormatPr baseColWidth="8" defaultRowHeight="15"/>
  <cols>
    <col width="3" customWidth="1" min="1" max="1"/>
    <col width="44" customWidth="1" min="2" max="2"/>
    <col width="13" customWidth="1" min="3" max="3"/>
    <col width="2"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0" customWidth="1" min="39" max="39"/>
    <col width="10" customWidth="1" min="40" max="40"/>
    <col width="10" customWidth="1" min="41" max="41"/>
    <col width="10" customWidth="1" min="42" max="42"/>
    <col width="10" customWidth="1" min="43" max="43"/>
    <col width="10" customWidth="1" min="44" max="44"/>
    <col width="10" customWidth="1" min="45" max="45"/>
    <col width="10" customWidth="1" min="46" max="46"/>
    <col width="10" customWidth="1" min="47" max="47"/>
    <col width="10" customWidth="1" min="48" max="48"/>
    <col width="10" customWidth="1" min="49" max="49"/>
    <col width="10" customWidth="1" min="50" max="50"/>
    <col width="10" customWidth="1" min="51" max="51"/>
    <col width="10" customWidth="1" min="52" max="52"/>
    <col width="10" customWidth="1" min="53" max="53"/>
    <col width="10" customWidth="1" min="54" max="54"/>
    <col width="10" customWidth="1" min="55" max="55"/>
    <col width="10" customWidth="1" min="56" max="56"/>
    <col width="10" customWidth="1" min="57" max="57"/>
    <col width="10" customWidth="1" min="58" max="58"/>
    <col width="10" customWidth="1" min="59" max="59"/>
    <col width="10" customWidth="1" min="60" max="60"/>
    <col width="10" customWidth="1" min="61" max="61"/>
    <col width="10" customWidth="1" min="62" max="62"/>
    <col width="10" customWidth="1" min="63" max="63"/>
    <col width="10" customWidth="1" min="64" max="64"/>
    <col width="2" customWidth="1" min="65" max="65"/>
    <col width="12" customWidth="1" min="66" max="66"/>
    <col width="12" customWidth="1" min="67" max="67"/>
    <col width="12" customWidth="1" min="68" max="68"/>
    <col width="12" customWidth="1" min="69" max="69"/>
    <col width="12" customWidth="1" min="70" max="70"/>
    <col width="2" customWidth="1" min="71" max="71"/>
    <col width="62" customWidth="1" min="72" max="72"/>
  </cols>
  <sheetData>
    <row r="1">
      <c r="B1" s="15" t="inlineStr">
        <is>
          <t>Tarnoc B.V.  Personnel</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row>
    <row r="2">
      <c r="B2" s="3" t="inlineStr">
        <is>
          <t>Headcount by team. Every number is driven by whatever creates the work: units, installed base, partners signed or marketing spend. The back office is typed in directly.</t>
        </is>
      </c>
    </row>
    <row r="3">
      <c r="B3" s="2" t="n"/>
      <c r="C3" s="2" t="n"/>
      <c r="D3" s="2" t="n"/>
      <c r="E3" s="48" t="n">
        <v>46023</v>
      </c>
      <c r="F3" s="48" t="n">
        <v>46054</v>
      </c>
      <c r="G3" s="48" t="n">
        <v>46082</v>
      </c>
      <c r="H3" s="48" t="n">
        <v>46113</v>
      </c>
      <c r="I3" s="48" t="n">
        <v>46143</v>
      </c>
      <c r="J3" s="48" t="n">
        <v>46174</v>
      </c>
      <c r="K3" s="48" t="n">
        <v>46204</v>
      </c>
      <c r="L3" s="48" t="n">
        <v>46235</v>
      </c>
      <c r="M3" s="48" t="n">
        <v>46266</v>
      </c>
      <c r="N3" s="48" t="n">
        <v>46296</v>
      </c>
      <c r="O3" s="48" t="n">
        <v>46327</v>
      </c>
      <c r="P3" s="48" t="n">
        <v>46357</v>
      </c>
      <c r="Q3" s="48" t="n">
        <v>46388</v>
      </c>
      <c r="R3" s="48" t="n">
        <v>46419</v>
      </c>
      <c r="S3" s="48" t="n">
        <v>46447</v>
      </c>
      <c r="T3" s="48" t="n">
        <v>46478</v>
      </c>
      <c r="U3" s="48" t="n">
        <v>46508</v>
      </c>
      <c r="V3" s="48" t="n">
        <v>46539</v>
      </c>
      <c r="W3" s="48" t="n">
        <v>46569</v>
      </c>
      <c r="X3" s="48" t="n">
        <v>46600</v>
      </c>
      <c r="Y3" s="48" t="n">
        <v>46631</v>
      </c>
      <c r="Z3" s="48" t="n">
        <v>46661</v>
      </c>
      <c r="AA3" s="48" t="n">
        <v>46692</v>
      </c>
      <c r="AB3" s="48" t="n">
        <v>46722</v>
      </c>
      <c r="AC3" s="48" t="n">
        <v>46753</v>
      </c>
      <c r="AD3" s="48" t="n">
        <v>46784</v>
      </c>
      <c r="AE3" s="48" t="n">
        <v>46813</v>
      </c>
      <c r="AF3" s="48" t="n">
        <v>46844</v>
      </c>
      <c r="AG3" s="48" t="n">
        <v>46874</v>
      </c>
      <c r="AH3" s="48" t="n">
        <v>46905</v>
      </c>
      <c r="AI3" s="48" t="n">
        <v>46935</v>
      </c>
      <c r="AJ3" s="48" t="n">
        <v>46966</v>
      </c>
      <c r="AK3" s="48" t="n">
        <v>46997</v>
      </c>
      <c r="AL3" s="48" t="n">
        <v>47027</v>
      </c>
      <c r="AM3" s="48" t="n">
        <v>47058</v>
      </c>
      <c r="AN3" s="48" t="n">
        <v>47088</v>
      </c>
      <c r="AO3" s="48" t="n">
        <v>47119</v>
      </c>
      <c r="AP3" s="48" t="n">
        <v>47150</v>
      </c>
      <c r="AQ3" s="48" t="n">
        <v>47178</v>
      </c>
      <c r="AR3" s="48" t="n">
        <v>47209</v>
      </c>
      <c r="AS3" s="48" t="n">
        <v>47239</v>
      </c>
      <c r="AT3" s="48" t="n">
        <v>47270</v>
      </c>
      <c r="AU3" s="48" t="n">
        <v>47300</v>
      </c>
      <c r="AV3" s="48" t="n">
        <v>47331</v>
      </c>
      <c r="AW3" s="48" t="n">
        <v>47362</v>
      </c>
      <c r="AX3" s="48" t="n">
        <v>47392</v>
      </c>
      <c r="AY3" s="48" t="n">
        <v>47423</v>
      </c>
      <c r="AZ3" s="48" t="n">
        <v>47453</v>
      </c>
      <c r="BA3" s="48" t="n">
        <v>47484</v>
      </c>
      <c r="BB3" s="48" t="n">
        <v>47515</v>
      </c>
      <c r="BC3" s="48" t="n">
        <v>47543</v>
      </c>
      <c r="BD3" s="48" t="n">
        <v>47574</v>
      </c>
      <c r="BE3" s="48" t="n">
        <v>47604</v>
      </c>
      <c r="BF3" s="48" t="n">
        <v>47635</v>
      </c>
      <c r="BG3" s="48" t="n">
        <v>47665</v>
      </c>
      <c r="BH3" s="48" t="n">
        <v>47696</v>
      </c>
      <c r="BI3" s="48" t="n">
        <v>47727</v>
      </c>
      <c r="BJ3" s="48" t="n">
        <v>47757</v>
      </c>
      <c r="BK3" s="48" t="n">
        <v>47788</v>
      </c>
      <c r="BL3" s="48" t="n">
        <v>47818</v>
      </c>
      <c r="BM3" s="2" t="n"/>
      <c r="BN3" s="49" t="n">
        <v>2026</v>
      </c>
      <c r="BO3" s="49" t="n">
        <v>2027</v>
      </c>
      <c r="BP3" s="49" t="n">
        <v>2028</v>
      </c>
      <c r="BQ3" s="49" t="n">
        <v>2029</v>
      </c>
      <c r="BR3" s="49" t="n">
        <v>2030</v>
      </c>
      <c r="BS3" s="2" t="n"/>
      <c r="BT3" s="3" t="inlineStr">
        <is>
          <t>what this row does</t>
        </is>
      </c>
    </row>
    <row r="5">
      <c r="B5" s="15" t="inlineStr">
        <is>
          <t>HEADCOUNT</t>
        </is>
      </c>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c r="AA5" s="1" t="n"/>
      <c r="AB5" s="1" t="n"/>
      <c r="AC5" s="1" t="n"/>
      <c r="AD5" s="1" t="n"/>
      <c r="AE5" s="1" t="n"/>
      <c r="AF5" s="1" t="n"/>
      <c r="AG5" s="1" t="n"/>
      <c r="AH5" s="1" t="n"/>
      <c r="AI5" s="1" t="n"/>
      <c r="AJ5" s="1" t="n"/>
      <c r="AK5" s="1" t="n"/>
      <c r="AL5" s="1" t="n"/>
      <c r="AM5" s="1" t="n"/>
      <c r="AN5" s="1" t="n"/>
      <c r="AO5" s="1" t="n"/>
      <c r="AP5" s="1" t="n"/>
      <c r="AQ5" s="1" t="n"/>
      <c r="AR5" s="1" t="n"/>
      <c r="AS5" s="1" t="n"/>
      <c r="AT5" s="1" t="n"/>
      <c r="AU5" s="1" t="n"/>
      <c r="AV5" s="1" t="n"/>
      <c r="AW5" s="1" t="n"/>
      <c r="AX5" s="1" t="n"/>
      <c r="AY5" s="1" t="n"/>
      <c r="AZ5" s="1" t="n"/>
      <c r="BA5" s="1" t="n"/>
      <c r="BB5" s="1" t="n"/>
      <c r="BC5" s="1" t="n"/>
      <c r="BD5" s="1" t="n"/>
      <c r="BE5" s="1" t="n"/>
      <c r="BF5" s="1" t="n"/>
      <c r="BG5" s="1" t="n"/>
      <c r="BH5" s="1" t="n"/>
      <c r="BI5" s="1" t="n"/>
      <c r="BJ5" s="1" t="n"/>
      <c r="BK5" s="1" t="n"/>
      <c r="BL5" s="1" t="n"/>
      <c r="BM5" s="1" t="n"/>
      <c r="BN5" s="1" t="n"/>
      <c r="BO5" s="1" t="n"/>
      <c r="BP5" s="1" t="n"/>
      <c r="BQ5" s="1" t="n"/>
      <c r="BR5" s="1" t="n"/>
      <c r="BS5" s="1" t="n"/>
    </row>
    <row r="6">
      <c r="B6" s="6" t="inlineStr">
        <is>
          <t>Sales reps</t>
        </is>
      </c>
      <c r="C6" s="17" t="inlineStr">
        <is>
          <t>FTE</t>
        </is>
      </c>
      <c r="E6" s="13">
        <f>'Revenue Forecast'!E17</f>
        <v/>
      </c>
      <c r="F6" s="13">
        <f>'Revenue Forecast'!F17</f>
        <v/>
      </c>
      <c r="G6" s="13">
        <f>'Revenue Forecast'!G17</f>
        <v/>
      </c>
      <c r="H6" s="13">
        <f>'Revenue Forecast'!H17</f>
        <v/>
      </c>
      <c r="I6" s="13">
        <f>'Revenue Forecast'!I17</f>
        <v/>
      </c>
      <c r="J6" s="13">
        <f>'Revenue Forecast'!J17</f>
        <v/>
      </c>
      <c r="K6" s="13">
        <f>'Revenue Forecast'!K17</f>
        <v/>
      </c>
      <c r="L6" s="13">
        <f>'Revenue Forecast'!L17</f>
        <v/>
      </c>
      <c r="M6" s="13">
        <f>'Revenue Forecast'!M17</f>
        <v/>
      </c>
      <c r="N6" s="13">
        <f>'Revenue Forecast'!N17</f>
        <v/>
      </c>
      <c r="O6" s="13">
        <f>'Revenue Forecast'!O17</f>
        <v/>
      </c>
      <c r="P6" s="13">
        <f>'Revenue Forecast'!P17</f>
        <v/>
      </c>
      <c r="Q6" s="13">
        <f>'Revenue Forecast'!Q17</f>
        <v/>
      </c>
      <c r="R6" s="13">
        <f>'Revenue Forecast'!R17</f>
        <v/>
      </c>
      <c r="S6" s="13">
        <f>'Revenue Forecast'!S17</f>
        <v/>
      </c>
      <c r="T6" s="13">
        <f>'Revenue Forecast'!T17</f>
        <v/>
      </c>
      <c r="U6" s="13">
        <f>'Revenue Forecast'!U17</f>
        <v/>
      </c>
      <c r="V6" s="13">
        <f>'Revenue Forecast'!V17</f>
        <v/>
      </c>
      <c r="W6" s="13">
        <f>'Revenue Forecast'!W17</f>
        <v/>
      </c>
      <c r="X6" s="13">
        <f>'Revenue Forecast'!X17</f>
        <v/>
      </c>
      <c r="Y6" s="13">
        <f>'Revenue Forecast'!Y17</f>
        <v/>
      </c>
      <c r="Z6" s="13">
        <f>'Revenue Forecast'!Z17</f>
        <v/>
      </c>
      <c r="AA6" s="13">
        <f>'Revenue Forecast'!AA17</f>
        <v/>
      </c>
      <c r="AB6" s="13">
        <f>'Revenue Forecast'!AB17</f>
        <v/>
      </c>
      <c r="AC6" s="13">
        <f>'Revenue Forecast'!AC17</f>
        <v/>
      </c>
      <c r="AD6" s="13">
        <f>'Revenue Forecast'!AD17</f>
        <v/>
      </c>
      <c r="AE6" s="13">
        <f>'Revenue Forecast'!AE17</f>
        <v/>
      </c>
      <c r="AF6" s="13">
        <f>'Revenue Forecast'!AF17</f>
        <v/>
      </c>
      <c r="AG6" s="13">
        <f>'Revenue Forecast'!AG17</f>
        <v/>
      </c>
      <c r="AH6" s="13">
        <f>'Revenue Forecast'!AH17</f>
        <v/>
      </c>
      <c r="AI6" s="13">
        <f>'Revenue Forecast'!AI17</f>
        <v/>
      </c>
      <c r="AJ6" s="13">
        <f>'Revenue Forecast'!AJ17</f>
        <v/>
      </c>
      <c r="AK6" s="13">
        <f>'Revenue Forecast'!AK17</f>
        <v/>
      </c>
      <c r="AL6" s="13">
        <f>'Revenue Forecast'!AL17</f>
        <v/>
      </c>
      <c r="AM6" s="13">
        <f>'Revenue Forecast'!AM17</f>
        <v/>
      </c>
      <c r="AN6" s="13">
        <f>'Revenue Forecast'!AN17</f>
        <v/>
      </c>
      <c r="AO6" s="13">
        <f>'Revenue Forecast'!AO17</f>
        <v/>
      </c>
      <c r="AP6" s="13">
        <f>'Revenue Forecast'!AP17</f>
        <v/>
      </c>
      <c r="AQ6" s="13">
        <f>'Revenue Forecast'!AQ17</f>
        <v/>
      </c>
      <c r="AR6" s="13">
        <f>'Revenue Forecast'!AR17</f>
        <v/>
      </c>
      <c r="AS6" s="13">
        <f>'Revenue Forecast'!AS17</f>
        <v/>
      </c>
      <c r="AT6" s="13">
        <f>'Revenue Forecast'!AT17</f>
        <v/>
      </c>
      <c r="AU6" s="13">
        <f>'Revenue Forecast'!AU17</f>
        <v/>
      </c>
      <c r="AV6" s="13">
        <f>'Revenue Forecast'!AV17</f>
        <v/>
      </c>
      <c r="AW6" s="13">
        <f>'Revenue Forecast'!AW17</f>
        <v/>
      </c>
      <c r="AX6" s="13">
        <f>'Revenue Forecast'!AX17</f>
        <v/>
      </c>
      <c r="AY6" s="13">
        <f>'Revenue Forecast'!AY17</f>
        <v/>
      </c>
      <c r="AZ6" s="13">
        <f>'Revenue Forecast'!AZ17</f>
        <v/>
      </c>
      <c r="BA6" s="13">
        <f>'Revenue Forecast'!BA17</f>
        <v/>
      </c>
      <c r="BB6" s="13">
        <f>'Revenue Forecast'!BB17</f>
        <v/>
      </c>
      <c r="BC6" s="13">
        <f>'Revenue Forecast'!BC17</f>
        <v/>
      </c>
      <c r="BD6" s="13">
        <f>'Revenue Forecast'!BD17</f>
        <v/>
      </c>
      <c r="BE6" s="13">
        <f>'Revenue Forecast'!BE17</f>
        <v/>
      </c>
      <c r="BF6" s="13">
        <f>'Revenue Forecast'!BF17</f>
        <v/>
      </c>
      <c r="BG6" s="13">
        <f>'Revenue Forecast'!BG17</f>
        <v/>
      </c>
      <c r="BH6" s="13">
        <f>'Revenue Forecast'!BH17</f>
        <v/>
      </c>
      <c r="BI6" s="13">
        <f>'Revenue Forecast'!BI17</f>
        <v/>
      </c>
      <c r="BJ6" s="13">
        <f>'Revenue Forecast'!BJ17</f>
        <v/>
      </c>
      <c r="BK6" s="13">
        <f>'Revenue Forecast'!BK17</f>
        <v/>
      </c>
      <c r="BL6" s="13">
        <f>'Revenue Forecast'!BL17</f>
        <v/>
      </c>
      <c r="BN6" s="66">
        <f>P6</f>
        <v/>
      </c>
      <c r="BO6" s="66">
        <f>AB6</f>
        <v/>
      </c>
      <c r="BP6" s="66">
        <f>AN6</f>
        <v/>
      </c>
      <c r="BQ6" s="66">
        <f>AZ6</f>
        <v/>
      </c>
      <c r="BR6" s="66">
        <f>BL6</f>
        <v/>
      </c>
    </row>
    <row r="7">
      <c r="B7" s="6" t="inlineStr">
        <is>
          <t>Partner managers</t>
        </is>
      </c>
      <c r="C7" s="17" t="inlineStr">
        <is>
          <t>FTE</t>
        </is>
      </c>
      <c r="E7" s="72">
        <f>'Revenue Forecast'!E23</f>
        <v/>
      </c>
      <c r="F7" s="72">
        <f>'Revenue Forecast'!F23</f>
        <v/>
      </c>
      <c r="G7" s="72">
        <f>'Revenue Forecast'!G23</f>
        <v/>
      </c>
      <c r="H7" s="72">
        <f>'Revenue Forecast'!H23</f>
        <v/>
      </c>
      <c r="I7" s="72">
        <f>'Revenue Forecast'!I23</f>
        <v/>
      </c>
      <c r="J7" s="72">
        <f>'Revenue Forecast'!J23</f>
        <v/>
      </c>
      <c r="K7" s="72">
        <f>'Revenue Forecast'!K23</f>
        <v/>
      </c>
      <c r="L7" s="72">
        <f>'Revenue Forecast'!L23</f>
        <v/>
      </c>
      <c r="M7" s="72">
        <f>'Revenue Forecast'!M23</f>
        <v/>
      </c>
      <c r="N7" s="72">
        <f>'Revenue Forecast'!N23</f>
        <v/>
      </c>
      <c r="O7" s="72">
        <f>'Revenue Forecast'!O23</f>
        <v/>
      </c>
      <c r="P7" s="72">
        <f>'Revenue Forecast'!P23</f>
        <v/>
      </c>
      <c r="Q7" s="72">
        <f>'Revenue Forecast'!Q23</f>
        <v/>
      </c>
      <c r="R7" s="72">
        <f>'Revenue Forecast'!R23</f>
        <v/>
      </c>
      <c r="S7" s="72">
        <f>'Revenue Forecast'!S23</f>
        <v/>
      </c>
      <c r="T7" s="72">
        <f>'Revenue Forecast'!T23</f>
        <v/>
      </c>
      <c r="U7" s="72">
        <f>'Revenue Forecast'!U23</f>
        <v/>
      </c>
      <c r="V7" s="72">
        <f>'Revenue Forecast'!V23</f>
        <v/>
      </c>
      <c r="W7" s="72">
        <f>'Revenue Forecast'!W23</f>
        <v/>
      </c>
      <c r="X7" s="72">
        <f>'Revenue Forecast'!X23</f>
        <v/>
      </c>
      <c r="Y7" s="72">
        <f>'Revenue Forecast'!Y23</f>
        <v/>
      </c>
      <c r="Z7" s="72">
        <f>'Revenue Forecast'!Z23</f>
        <v/>
      </c>
      <c r="AA7" s="72">
        <f>'Revenue Forecast'!AA23</f>
        <v/>
      </c>
      <c r="AB7" s="72">
        <f>'Revenue Forecast'!AB23</f>
        <v/>
      </c>
      <c r="AC7" s="72">
        <f>'Revenue Forecast'!AC23</f>
        <v/>
      </c>
      <c r="AD7" s="72">
        <f>'Revenue Forecast'!AD23</f>
        <v/>
      </c>
      <c r="AE7" s="72">
        <f>'Revenue Forecast'!AE23</f>
        <v/>
      </c>
      <c r="AF7" s="72">
        <f>'Revenue Forecast'!AF23</f>
        <v/>
      </c>
      <c r="AG7" s="72">
        <f>'Revenue Forecast'!AG23</f>
        <v/>
      </c>
      <c r="AH7" s="72">
        <f>'Revenue Forecast'!AH23</f>
        <v/>
      </c>
      <c r="AI7" s="72">
        <f>'Revenue Forecast'!AI23</f>
        <v/>
      </c>
      <c r="AJ7" s="72">
        <f>'Revenue Forecast'!AJ23</f>
        <v/>
      </c>
      <c r="AK7" s="72">
        <f>'Revenue Forecast'!AK23</f>
        <v/>
      </c>
      <c r="AL7" s="72">
        <f>'Revenue Forecast'!AL23</f>
        <v/>
      </c>
      <c r="AM7" s="72">
        <f>'Revenue Forecast'!AM23</f>
        <v/>
      </c>
      <c r="AN7" s="72">
        <f>'Revenue Forecast'!AN23</f>
        <v/>
      </c>
      <c r="AO7" s="72">
        <f>'Revenue Forecast'!AO23</f>
        <v/>
      </c>
      <c r="AP7" s="72">
        <f>'Revenue Forecast'!AP23</f>
        <v/>
      </c>
      <c r="AQ7" s="72">
        <f>'Revenue Forecast'!AQ23</f>
        <v/>
      </c>
      <c r="AR7" s="72">
        <f>'Revenue Forecast'!AR23</f>
        <v/>
      </c>
      <c r="AS7" s="72">
        <f>'Revenue Forecast'!AS23</f>
        <v/>
      </c>
      <c r="AT7" s="72">
        <f>'Revenue Forecast'!AT23</f>
        <v/>
      </c>
      <c r="AU7" s="72">
        <f>'Revenue Forecast'!AU23</f>
        <v/>
      </c>
      <c r="AV7" s="72">
        <f>'Revenue Forecast'!AV23</f>
        <v/>
      </c>
      <c r="AW7" s="72">
        <f>'Revenue Forecast'!AW23</f>
        <v/>
      </c>
      <c r="AX7" s="72">
        <f>'Revenue Forecast'!AX23</f>
        <v/>
      </c>
      <c r="AY7" s="72">
        <f>'Revenue Forecast'!AY23</f>
        <v/>
      </c>
      <c r="AZ7" s="72">
        <f>'Revenue Forecast'!AZ23</f>
        <v/>
      </c>
      <c r="BA7" s="72">
        <f>'Revenue Forecast'!BA23</f>
        <v/>
      </c>
      <c r="BB7" s="72">
        <f>'Revenue Forecast'!BB23</f>
        <v/>
      </c>
      <c r="BC7" s="72">
        <f>'Revenue Forecast'!BC23</f>
        <v/>
      </c>
      <c r="BD7" s="72">
        <f>'Revenue Forecast'!BD23</f>
        <v/>
      </c>
      <c r="BE7" s="72">
        <f>'Revenue Forecast'!BE23</f>
        <v/>
      </c>
      <c r="BF7" s="72">
        <f>'Revenue Forecast'!BF23</f>
        <v/>
      </c>
      <c r="BG7" s="72">
        <f>'Revenue Forecast'!BG23</f>
        <v/>
      </c>
      <c r="BH7" s="72">
        <f>'Revenue Forecast'!BH23</f>
        <v/>
      </c>
      <c r="BI7" s="72">
        <f>'Revenue Forecast'!BI23</f>
        <v/>
      </c>
      <c r="BJ7" s="72">
        <f>'Revenue Forecast'!BJ23</f>
        <v/>
      </c>
      <c r="BK7" s="72">
        <f>'Revenue Forecast'!BK23</f>
        <v/>
      </c>
      <c r="BL7" s="72">
        <f>'Revenue Forecast'!BL23</f>
        <v/>
      </c>
      <c r="BN7" s="73">
        <f>P7</f>
        <v/>
      </c>
      <c r="BO7" s="73">
        <f>AB7</f>
        <v/>
      </c>
      <c r="BP7" s="73">
        <f>AN7</f>
        <v/>
      </c>
      <c r="BQ7" s="73">
        <f>AZ7</f>
        <v/>
      </c>
      <c r="BR7" s="73">
        <f>BL7</f>
        <v/>
      </c>
    </row>
    <row r="8">
      <c r="B8" s="6" t="inlineStr">
        <is>
          <t>Installer trainers</t>
        </is>
      </c>
      <c r="C8" s="17" t="inlineStr">
        <is>
          <t>FTE</t>
        </is>
      </c>
      <c r="E8" s="9">
        <f>ROUND('Revenue Forecast'!E19*12/Assumptions!$D$85,0)</f>
        <v/>
      </c>
      <c r="F8" s="9">
        <f>ROUND('Revenue Forecast'!F19*12/Assumptions!$D$85,0)</f>
        <v/>
      </c>
      <c r="G8" s="9">
        <f>ROUND('Revenue Forecast'!G19*12/Assumptions!$D$85,0)</f>
        <v/>
      </c>
      <c r="H8" s="9">
        <f>ROUND('Revenue Forecast'!H19*12/Assumptions!$D$85,0)</f>
        <v/>
      </c>
      <c r="I8" s="9">
        <f>ROUND('Revenue Forecast'!I19*12/Assumptions!$D$85,0)</f>
        <v/>
      </c>
      <c r="J8" s="9">
        <f>ROUND('Revenue Forecast'!J19*12/Assumptions!$D$85,0)</f>
        <v/>
      </c>
      <c r="K8" s="9">
        <f>ROUND('Revenue Forecast'!K19*12/Assumptions!$D$85,0)</f>
        <v/>
      </c>
      <c r="L8" s="9">
        <f>ROUND('Revenue Forecast'!L19*12/Assumptions!$D$85,0)</f>
        <v/>
      </c>
      <c r="M8" s="9">
        <f>ROUND('Revenue Forecast'!M19*12/Assumptions!$D$85,0)</f>
        <v/>
      </c>
      <c r="N8" s="9">
        <f>ROUND('Revenue Forecast'!N19*12/Assumptions!$D$85,0)</f>
        <v/>
      </c>
      <c r="O8" s="9">
        <f>ROUND('Revenue Forecast'!O19*12/Assumptions!$D$85,0)</f>
        <v/>
      </c>
      <c r="P8" s="9">
        <f>ROUND('Revenue Forecast'!P19*12/Assumptions!$D$85,0)</f>
        <v/>
      </c>
      <c r="Q8" s="9">
        <f>ROUND('Revenue Forecast'!Q19*12/Assumptions!$D$85,0)</f>
        <v/>
      </c>
      <c r="R8" s="9">
        <f>ROUND('Revenue Forecast'!R19*12/Assumptions!$D$85,0)</f>
        <v/>
      </c>
      <c r="S8" s="9">
        <f>ROUND('Revenue Forecast'!S19*12/Assumptions!$D$85,0)</f>
        <v/>
      </c>
      <c r="T8" s="9">
        <f>ROUND('Revenue Forecast'!T19*12/Assumptions!$D$85,0)</f>
        <v/>
      </c>
      <c r="U8" s="9">
        <f>ROUND('Revenue Forecast'!U19*12/Assumptions!$D$85,0)</f>
        <v/>
      </c>
      <c r="V8" s="9">
        <f>ROUND('Revenue Forecast'!V19*12/Assumptions!$D$85,0)</f>
        <v/>
      </c>
      <c r="W8" s="9">
        <f>ROUND('Revenue Forecast'!W19*12/Assumptions!$D$85,0)</f>
        <v/>
      </c>
      <c r="X8" s="9">
        <f>ROUND('Revenue Forecast'!X19*12/Assumptions!$D$85,0)</f>
        <v/>
      </c>
      <c r="Y8" s="9">
        <f>ROUND('Revenue Forecast'!Y19*12/Assumptions!$D$85,0)</f>
        <v/>
      </c>
      <c r="Z8" s="9">
        <f>ROUND('Revenue Forecast'!Z19*12/Assumptions!$D$85,0)</f>
        <v/>
      </c>
      <c r="AA8" s="9">
        <f>ROUND('Revenue Forecast'!AA19*12/Assumptions!$D$85,0)</f>
        <v/>
      </c>
      <c r="AB8" s="9">
        <f>ROUND('Revenue Forecast'!AB19*12/Assumptions!$D$85,0)</f>
        <v/>
      </c>
      <c r="AC8" s="9">
        <f>ROUND('Revenue Forecast'!AC19*12/Assumptions!$D$85,0)</f>
        <v/>
      </c>
      <c r="AD8" s="9">
        <f>ROUND('Revenue Forecast'!AD19*12/Assumptions!$D$85,0)</f>
        <v/>
      </c>
      <c r="AE8" s="9">
        <f>ROUND('Revenue Forecast'!AE19*12/Assumptions!$D$85,0)</f>
        <v/>
      </c>
      <c r="AF8" s="9">
        <f>ROUND('Revenue Forecast'!AF19*12/Assumptions!$D$85,0)</f>
        <v/>
      </c>
      <c r="AG8" s="9">
        <f>ROUND('Revenue Forecast'!AG19*12/Assumptions!$D$85,0)</f>
        <v/>
      </c>
      <c r="AH8" s="9">
        <f>ROUND('Revenue Forecast'!AH19*12/Assumptions!$D$85,0)</f>
        <v/>
      </c>
      <c r="AI8" s="9">
        <f>ROUND('Revenue Forecast'!AI19*12/Assumptions!$D$85,0)</f>
        <v/>
      </c>
      <c r="AJ8" s="9">
        <f>ROUND('Revenue Forecast'!AJ19*12/Assumptions!$D$85,0)</f>
        <v/>
      </c>
      <c r="AK8" s="9">
        <f>ROUND('Revenue Forecast'!AK19*12/Assumptions!$D$85,0)</f>
        <v/>
      </c>
      <c r="AL8" s="9">
        <f>ROUND('Revenue Forecast'!AL19*12/Assumptions!$D$85,0)</f>
        <v/>
      </c>
      <c r="AM8" s="9">
        <f>ROUND('Revenue Forecast'!AM19*12/Assumptions!$D$85,0)</f>
        <v/>
      </c>
      <c r="AN8" s="9">
        <f>ROUND('Revenue Forecast'!AN19*12/Assumptions!$D$85,0)</f>
        <v/>
      </c>
      <c r="AO8" s="9">
        <f>ROUND('Revenue Forecast'!AO19*12/Assumptions!$D$85,0)</f>
        <v/>
      </c>
      <c r="AP8" s="9">
        <f>ROUND('Revenue Forecast'!AP19*12/Assumptions!$D$85,0)</f>
        <v/>
      </c>
      <c r="AQ8" s="9">
        <f>ROUND('Revenue Forecast'!AQ19*12/Assumptions!$D$85,0)</f>
        <v/>
      </c>
      <c r="AR8" s="9">
        <f>ROUND('Revenue Forecast'!AR19*12/Assumptions!$D$85,0)</f>
        <v/>
      </c>
      <c r="AS8" s="9">
        <f>ROUND('Revenue Forecast'!AS19*12/Assumptions!$D$85,0)</f>
        <v/>
      </c>
      <c r="AT8" s="9">
        <f>ROUND('Revenue Forecast'!AT19*12/Assumptions!$D$85,0)</f>
        <v/>
      </c>
      <c r="AU8" s="9">
        <f>ROUND('Revenue Forecast'!AU19*12/Assumptions!$D$85,0)</f>
        <v/>
      </c>
      <c r="AV8" s="9">
        <f>ROUND('Revenue Forecast'!AV19*12/Assumptions!$D$85,0)</f>
        <v/>
      </c>
      <c r="AW8" s="9">
        <f>ROUND('Revenue Forecast'!AW19*12/Assumptions!$D$85,0)</f>
        <v/>
      </c>
      <c r="AX8" s="9">
        <f>ROUND('Revenue Forecast'!AX19*12/Assumptions!$D$85,0)</f>
        <v/>
      </c>
      <c r="AY8" s="9">
        <f>ROUND('Revenue Forecast'!AY19*12/Assumptions!$D$85,0)</f>
        <v/>
      </c>
      <c r="AZ8" s="9">
        <f>ROUND('Revenue Forecast'!AZ19*12/Assumptions!$D$85,0)</f>
        <v/>
      </c>
      <c r="BA8" s="9">
        <f>ROUND('Revenue Forecast'!BA19*12/Assumptions!$D$85,0)</f>
        <v/>
      </c>
      <c r="BB8" s="9">
        <f>ROUND('Revenue Forecast'!BB19*12/Assumptions!$D$85,0)</f>
        <v/>
      </c>
      <c r="BC8" s="9">
        <f>ROUND('Revenue Forecast'!BC19*12/Assumptions!$D$85,0)</f>
        <v/>
      </c>
      <c r="BD8" s="9">
        <f>ROUND('Revenue Forecast'!BD19*12/Assumptions!$D$85,0)</f>
        <v/>
      </c>
      <c r="BE8" s="9">
        <f>ROUND('Revenue Forecast'!BE19*12/Assumptions!$D$85,0)</f>
        <v/>
      </c>
      <c r="BF8" s="9">
        <f>ROUND('Revenue Forecast'!BF19*12/Assumptions!$D$85,0)</f>
        <v/>
      </c>
      <c r="BG8" s="9">
        <f>ROUND('Revenue Forecast'!BG19*12/Assumptions!$D$85,0)</f>
        <v/>
      </c>
      <c r="BH8" s="9">
        <f>ROUND('Revenue Forecast'!BH19*12/Assumptions!$D$85,0)</f>
        <v/>
      </c>
      <c r="BI8" s="9">
        <f>ROUND('Revenue Forecast'!BI19*12/Assumptions!$D$85,0)</f>
        <v/>
      </c>
      <c r="BJ8" s="9">
        <f>ROUND('Revenue Forecast'!BJ19*12/Assumptions!$D$85,0)</f>
        <v/>
      </c>
      <c r="BK8" s="9">
        <f>ROUND('Revenue Forecast'!BK19*12/Assumptions!$D$85,0)</f>
        <v/>
      </c>
      <c r="BL8" s="9">
        <f>ROUND('Revenue Forecast'!BL19*12/Assumptions!$D$85,0)</f>
        <v/>
      </c>
      <c r="BN8" s="60">
        <f>P8</f>
        <v/>
      </c>
      <c r="BO8" s="60">
        <f>AB8</f>
        <v/>
      </c>
      <c r="BP8" s="60">
        <f>AN8</f>
        <v/>
      </c>
      <c r="BQ8" s="60">
        <f>AZ8</f>
        <v/>
      </c>
      <c r="BR8" s="60">
        <f>BL8</f>
        <v/>
      </c>
      <c r="BT8" s="32" t="inlineStr">
        <is>
          <t>every partner has to be trained and certified before selling anything</t>
        </is>
      </c>
    </row>
    <row r="9">
      <c r="B9" s="6" t="inlineStr">
        <is>
          <t>Order desk</t>
        </is>
      </c>
      <c r="C9" s="17" t="inlineStr">
        <is>
          <t>FTE</t>
        </is>
      </c>
      <c r="E9" s="9">
        <f>ROUND('Revenue Forecast'!E34*12/Assumptions!$D$86,0)</f>
        <v/>
      </c>
      <c r="F9" s="9">
        <f>ROUND('Revenue Forecast'!F34*12/Assumptions!$D$86,0)</f>
        <v/>
      </c>
      <c r="G9" s="9">
        <f>ROUND('Revenue Forecast'!G34*12/Assumptions!$D$86,0)</f>
        <v/>
      </c>
      <c r="H9" s="9">
        <f>ROUND('Revenue Forecast'!H34*12/Assumptions!$D$86,0)</f>
        <v/>
      </c>
      <c r="I9" s="9">
        <f>ROUND('Revenue Forecast'!I34*12/Assumptions!$D$86,0)</f>
        <v/>
      </c>
      <c r="J9" s="9">
        <f>ROUND('Revenue Forecast'!J34*12/Assumptions!$D$86,0)</f>
        <v/>
      </c>
      <c r="K9" s="9">
        <f>ROUND('Revenue Forecast'!K34*12/Assumptions!$D$86,0)</f>
        <v/>
      </c>
      <c r="L9" s="9">
        <f>ROUND('Revenue Forecast'!L34*12/Assumptions!$D$86,0)</f>
        <v/>
      </c>
      <c r="M9" s="9">
        <f>ROUND('Revenue Forecast'!M34*12/Assumptions!$D$86,0)</f>
        <v/>
      </c>
      <c r="N9" s="9">
        <f>ROUND('Revenue Forecast'!N34*12/Assumptions!$D$86,0)</f>
        <v/>
      </c>
      <c r="O9" s="9">
        <f>ROUND('Revenue Forecast'!O34*12/Assumptions!$D$86,0)</f>
        <v/>
      </c>
      <c r="P9" s="9">
        <f>ROUND('Revenue Forecast'!P34*12/Assumptions!$D$86,0)</f>
        <v/>
      </c>
      <c r="Q9" s="9">
        <f>ROUND('Revenue Forecast'!Q34*12/Assumptions!$D$86,0)</f>
        <v/>
      </c>
      <c r="R9" s="9">
        <f>ROUND('Revenue Forecast'!R34*12/Assumptions!$D$86,0)</f>
        <v/>
      </c>
      <c r="S9" s="9">
        <f>ROUND('Revenue Forecast'!S34*12/Assumptions!$D$86,0)</f>
        <v/>
      </c>
      <c r="T9" s="9">
        <f>ROUND('Revenue Forecast'!T34*12/Assumptions!$D$86,0)</f>
        <v/>
      </c>
      <c r="U9" s="9">
        <f>ROUND('Revenue Forecast'!U34*12/Assumptions!$D$86,0)</f>
        <v/>
      </c>
      <c r="V9" s="9">
        <f>ROUND('Revenue Forecast'!V34*12/Assumptions!$D$86,0)</f>
        <v/>
      </c>
      <c r="W9" s="9">
        <f>ROUND('Revenue Forecast'!W34*12/Assumptions!$D$86,0)</f>
        <v/>
      </c>
      <c r="X9" s="9">
        <f>ROUND('Revenue Forecast'!X34*12/Assumptions!$D$86,0)</f>
        <v/>
      </c>
      <c r="Y9" s="9">
        <f>ROUND('Revenue Forecast'!Y34*12/Assumptions!$D$86,0)</f>
        <v/>
      </c>
      <c r="Z9" s="9">
        <f>ROUND('Revenue Forecast'!Z34*12/Assumptions!$D$86,0)</f>
        <v/>
      </c>
      <c r="AA9" s="9">
        <f>ROUND('Revenue Forecast'!AA34*12/Assumptions!$D$86,0)</f>
        <v/>
      </c>
      <c r="AB9" s="9">
        <f>ROUND('Revenue Forecast'!AB34*12/Assumptions!$D$86,0)</f>
        <v/>
      </c>
      <c r="AC9" s="9">
        <f>ROUND('Revenue Forecast'!AC34*12/Assumptions!$D$86,0)</f>
        <v/>
      </c>
      <c r="AD9" s="9">
        <f>ROUND('Revenue Forecast'!AD34*12/Assumptions!$D$86,0)</f>
        <v/>
      </c>
      <c r="AE9" s="9">
        <f>ROUND('Revenue Forecast'!AE34*12/Assumptions!$D$86,0)</f>
        <v/>
      </c>
      <c r="AF9" s="9">
        <f>ROUND('Revenue Forecast'!AF34*12/Assumptions!$D$86,0)</f>
        <v/>
      </c>
      <c r="AG9" s="9">
        <f>ROUND('Revenue Forecast'!AG34*12/Assumptions!$D$86,0)</f>
        <v/>
      </c>
      <c r="AH9" s="9">
        <f>ROUND('Revenue Forecast'!AH34*12/Assumptions!$D$86,0)</f>
        <v/>
      </c>
      <c r="AI9" s="9">
        <f>ROUND('Revenue Forecast'!AI34*12/Assumptions!$D$86,0)</f>
        <v/>
      </c>
      <c r="AJ9" s="9">
        <f>ROUND('Revenue Forecast'!AJ34*12/Assumptions!$D$86,0)</f>
        <v/>
      </c>
      <c r="AK9" s="9">
        <f>ROUND('Revenue Forecast'!AK34*12/Assumptions!$D$86,0)</f>
        <v/>
      </c>
      <c r="AL9" s="9">
        <f>ROUND('Revenue Forecast'!AL34*12/Assumptions!$D$86,0)</f>
        <v/>
      </c>
      <c r="AM9" s="9">
        <f>ROUND('Revenue Forecast'!AM34*12/Assumptions!$D$86,0)</f>
        <v/>
      </c>
      <c r="AN9" s="9">
        <f>ROUND('Revenue Forecast'!AN34*12/Assumptions!$D$86,0)</f>
        <v/>
      </c>
      <c r="AO9" s="9">
        <f>ROUND('Revenue Forecast'!AO34*12/Assumptions!$D$86,0)</f>
        <v/>
      </c>
      <c r="AP9" s="9">
        <f>ROUND('Revenue Forecast'!AP34*12/Assumptions!$D$86,0)</f>
        <v/>
      </c>
      <c r="AQ9" s="9">
        <f>ROUND('Revenue Forecast'!AQ34*12/Assumptions!$D$86,0)</f>
        <v/>
      </c>
      <c r="AR9" s="9">
        <f>ROUND('Revenue Forecast'!AR34*12/Assumptions!$D$86,0)</f>
        <v/>
      </c>
      <c r="AS9" s="9">
        <f>ROUND('Revenue Forecast'!AS34*12/Assumptions!$D$86,0)</f>
        <v/>
      </c>
      <c r="AT9" s="9">
        <f>ROUND('Revenue Forecast'!AT34*12/Assumptions!$D$86,0)</f>
        <v/>
      </c>
      <c r="AU9" s="9">
        <f>ROUND('Revenue Forecast'!AU34*12/Assumptions!$D$86,0)</f>
        <v/>
      </c>
      <c r="AV9" s="9">
        <f>ROUND('Revenue Forecast'!AV34*12/Assumptions!$D$86,0)</f>
        <v/>
      </c>
      <c r="AW9" s="9">
        <f>ROUND('Revenue Forecast'!AW34*12/Assumptions!$D$86,0)</f>
        <v/>
      </c>
      <c r="AX9" s="9">
        <f>ROUND('Revenue Forecast'!AX34*12/Assumptions!$D$86,0)</f>
        <v/>
      </c>
      <c r="AY9" s="9">
        <f>ROUND('Revenue Forecast'!AY34*12/Assumptions!$D$86,0)</f>
        <v/>
      </c>
      <c r="AZ9" s="9">
        <f>ROUND('Revenue Forecast'!AZ34*12/Assumptions!$D$86,0)</f>
        <v/>
      </c>
      <c r="BA9" s="9">
        <f>ROUND('Revenue Forecast'!BA34*12/Assumptions!$D$86,0)</f>
        <v/>
      </c>
      <c r="BB9" s="9">
        <f>ROUND('Revenue Forecast'!BB34*12/Assumptions!$D$86,0)</f>
        <v/>
      </c>
      <c r="BC9" s="9">
        <f>ROUND('Revenue Forecast'!BC34*12/Assumptions!$D$86,0)</f>
        <v/>
      </c>
      <c r="BD9" s="9">
        <f>ROUND('Revenue Forecast'!BD34*12/Assumptions!$D$86,0)</f>
        <v/>
      </c>
      <c r="BE9" s="9">
        <f>ROUND('Revenue Forecast'!BE34*12/Assumptions!$D$86,0)</f>
        <v/>
      </c>
      <c r="BF9" s="9">
        <f>ROUND('Revenue Forecast'!BF34*12/Assumptions!$D$86,0)</f>
        <v/>
      </c>
      <c r="BG9" s="9">
        <f>ROUND('Revenue Forecast'!BG34*12/Assumptions!$D$86,0)</f>
        <v/>
      </c>
      <c r="BH9" s="9">
        <f>ROUND('Revenue Forecast'!BH34*12/Assumptions!$D$86,0)</f>
        <v/>
      </c>
      <c r="BI9" s="9">
        <f>ROUND('Revenue Forecast'!BI34*12/Assumptions!$D$86,0)</f>
        <v/>
      </c>
      <c r="BJ9" s="9">
        <f>ROUND('Revenue Forecast'!BJ34*12/Assumptions!$D$86,0)</f>
        <v/>
      </c>
      <c r="BK9" s="9">
        <f>ROUND('Revenue Forecast'!BK34*12/Assumptions!$D$86,0)</f>
        <v/>
      </c>
      <c r="BL9" s="9">
        <f>ROUND('Revenue Forecast'!BL34*12/Assumptions!$D$86,0)</f>
        <v/>
      </c>
      <c r="BN9" s="60">
        <f>P9</f>
        <v/>
      </c>
      <c r="BO9" s="60">
        <f>AB9</f>
        <v/>
      </c>
      <c r="BP9" s="60">
        <f>AN9</f>
        <v/>
      </c>
      <c r="BQ9" s="60">
        <f>AZ9</f>
        <v/>
      </c>
      <c r="BR9" s="60">
        <f>BL9</f>
        <v/>
      </c>
    </row>
    <row r="10">
      <c r="B10" s="6" t="inlineStr">
        <is>
          <t>Marketing</t>
        </is>
      </c>
      <c r="C10" s="17" t="inlineStr">
        <is>
          <t>FTE</t>
        </is>
      </c>
      <c r="E10" s="9">
        <f>Assumptions!$D$81+ROUND('Revenue Forecast'!E6*12/Assumptions!$D$87,0)</f>
        <v/>
      </c>
      <c r="F10" s="9">
        <f>Assumptions!$D$81+ROUND('Revenue Forecast'!F6*12/Assumptions!$D$87,0)</f>
        <v/>
      </c>
      <c r="G10" s="9">
        <f>Assumptions!$D$81+ROUND('Revenue Forecast'!G6*12/Assumptions!$D$87,0)</f>
        <v/>
      </c>
      <c r="H10" s="9">
        <f>Assumptions!$D$81+ROUND('Revenue Forecast'!H6*12/Assumptions!$D$87,0)</f>
        <v/>
      </c>
      <c r="I10" s="9">
        <f>Assumptions!$D$81+ROUND('Revenue Forecast'!I6*12/Assumptions!$D$87,0)</f>
        <v/>
      </c>
      <c r="J10" s="9">
        <f>Assumptions!$D$81+ROUND('Revenue Forecast'!J6*12/Assumptions!$D$87,0)</f>
        <v/>
      </c>
      <c r="K10" s="9">
        <f>Assumptions!$D$81+ROUND('Revenue Forecast'!K6*12/Assumptions!$D$87,0)</f>
        <v/>
      </c>
      <c r="L10" s="9">
        <f>Assumptions!$D$81+ROUND('Revenue Forecast'!L6*12/Assumptions!$D$87,0)</f>
        <v/>
      </c>
      <c r="M10" s="9">
        <f>Assumptions!$D$81+ROUND('Revenue Forecast'!M6*12/Assumptions!$D$87,0)</f>
        <v/>
      </c>
      <c r="N10" s="9">
        <f>Assumptions!$D$81+ROUND('Revenue Forecast'!N6*12/Assumptions!$D$87,0)</f>
        <v/>
      </c>
      <c r="O10" s="9">
        <f>Assumptions!$D$81+ROUND('Revenue Forecast'!O6*12/Assumptions!$D$87,0)</f>
        <v/>
      </c>
      <c r="P10" s="9">
        <f>Assumptions!$D$81+ROUND('Revenue Forecast'!P6*12/Assumptions!$D$87,0)</f>
        <v/>
      </c>
      <c r="Q10" s="9">
        <f>Assumptions!$D$81+ROUND('Revenue Forecast'!Q6*12/Assumptions!$D$87,0)</f>
        <v/>
      </c>
      <c r="R10" s="9">
        <f>Assumptions!$D$81+ROUND('Revenue Forecast'!R6*12/Assumptions!$D$87,0)</f>
        <v/>
      </c>
      <c r="S10" s="9">
        <f>Assumptions!$D$81+ROUND('Revenue Forecast'!S6*12/Assumptions!$D$87,0)</f>
        <v/>
      </c>
      <c r="T10" s="9">
        <f>Assumptions!$D$81+ROUND('Revenue Forecast'!T6*12/Assumptions!$D$87,0)</f>
        <v/>
      </c>
      <c r="U10" s="9">
        <f>Assumptions!$D$81+ROUND('Revenue Forecast'!U6*12/Assumptions!$D$87,0)</f>
        <v/>
      </c>
      <c r="V10" s="9">
        <f>Assumptions!$D$81+ROUND('Revenue Forecast'!V6*12/Assumptions!$D$87,0)</f>
        <v/>
      </c>
      <c r="W10" s="9">
        <f>Assumptions!$D$81+ROUND('Revenue Forecast'!W6*12/Assumptions!$D$87,0)</f>
        <v/>
      </c>
      <c r="X10" s="9">
        <f>Assumptions!$D$81+ROUND('Revenue Forecast'!X6*12/Assumptions!$D$87,0)</f>
        <v/>
      </c>
      <c r="Y10" s="9">
        <f>Assumptions!$D$81+ROUND('Revenue Forecast'!Y6*12/Assumptions!$D$87,0)</f>
        <v/>
      </c>
      <c r="Z10" s="9">
        <f>Assumptions!$D$81+ROUND('Revenue Forecast'!Z6*12/Assumptions!$D$87,0)</f>
        <v/>
      </c>
      <c r="AA10" s="9">
        <f>Assumptions!$D$81+ROUND('Revenue Forecast'!AA6*12/Assumptions!$D$87,0)</f>
        <v/>
      </c>
      <c r="AB10" s="9">
        <f>Assumptions!$D$81+ROUND('Revenue Forecast'!AB6*12/Assumptions!$D$87,0)</f>
        <v/>
      </c>
      <c r="AC10" s="9">
        <f>Assumptions!$D$81+ROUND('Revenue Forecast'!AC6*12/Assumptions!$D$87,0)</f>
        <v/>
      </c>
      <c r="AD10" s="9">
        <f>Assumptions!$D$81+ROUND('Revenue Forecast'!AD6*12/Assumptions!$D$87,0)</f>
        <v/>
      </c>
      <c r="AE10" s="9">
        <f>Assumptions!$D$81+ROUND('Revenue Forecast'!AE6*12/Assumptions!$D$87,0)</f>
        <v/>
      </c>
      <c r="AF10" s="9">
        <f>Assumptions!$D$81+ROUND('Revenue Forecast'!AF6*12/Assumptions!$D$87,0)</f>
        <v/>
      </c>
      <c r="AG10" s="9">
        <f>Assumptions!$D$81+ROUND('Revenue Forecast'!AG6*12/Assumptions!$D$87,0)</f>
        <v/>
      </c>
      <c r="AH10" s="9">
        <f>Assumptions!$D$81+ROUND('Revenue Forecast'!AH6*12/Assumptions!$D$87,0)</f>
        <v/>
      </c>
      <c r="AI10" s="9">
        <f>Assumptions!$D$81+ROUND('Revenue Forecast'!AI6*12/Assumptions!$D$87,0)</f>
        <v/>
      </c>
      <c r="AJ10" s="9">
        <f>Assumptions!$D$81+ROUND('Revenue Forecast'!AJ6*12/Assumptions!$D$87,0)</f>
        <v/>
      </c>
      <c r="AK10" s="9">
        <f>Assumptions!$D$81+ROUND('Revenue Forecast'!AK6*12/Assumptions!$D$87,0)</f>
        <v/>
      </c>
      <c r="AL10" s="9">
        <f>Assumptions!$D$81+ROUND('Revenue Forecast'!AL6*12/Assumptions!$D$87,0)</f>
        <v/>
      </c>
      <c r="AM10" s="9">
        <f>Assumptions!$D$81+ROUND('Revenue Forecast'!AM6*12/Assumptions!$D$87,0)</f>
        <v/>
      </c>
      <c r="AN10" s="9">
        <f>Assumptions!$D$81+ROUND('Revenue Forecast'!AN6*12/Assumptions!$D$87,0)</f>
        <v/>
      </c>
      <c r="AO10" s="9">
        <f>Assumptions!$D$81+ROUND('Revenue Forecast'!AO6*12/Assumptions!$D$87,0)</f>
        <v/>
      </c>
      <c r="AP10" s="9">
        <f>Assumptions!$D$81+ROUND('Revenue Forecast'!AP6*12/Assumptions!$D$87,0)</f>
        <v/>
      </c>
      <c r="AQ10" s="9">
        <f>Assumptions!$D$81+ROUND('Revenue Forecast'!AQ6*12/Assumptions!$D$87,0)</f>
        <v/>
      </c>
      <c r="AR10" s="9">
        <f>Assumptions!$D$81+ROUND('Revenue Forecast'!AR6*12/Assumptions!$D$87,0)</f>
        <v/>
      </c>
      <c r="AS10" s="9">
        <f>Assumptions!$D$81+ROUND('Revenue Forecast'!AS6*12/Assumptions!$D$87,0)</f>
        <v/>
      </c>
      <c r="AT10" s="9">
        <f>Assumptions!$D$81+ROUND('Revenue Forecast'!AT6*12/Assumptions!$D$87,0)</f>
        <v/>
      </c>
      <c r="AU10" s="9">
        <f>Assumptions!$D$81+ROUND('Revenue Forecast'!AU6*12/Assumptions!$D$87,0)</f>
        <v/>
      </c>
      <c r="AV10" s="9">
        <f>Assumptions!$D$81+ROUND('Revenue Forecast'!AV6*12/Assumptions!$D$87,0)</f>
        <v/>
      </c>
      <c r="AW10" s="9">
        <f>Assumptions!$D$81+ROUND('Revenue Forecast'!AW6*12/Assumptions!$D$87,0)</f>
        <v/>
      </c>
      <c r="AX10" s="9">
        <f>Assumptions!$D$81+ROUND('Revenue Forecast'!AX6*12/Assumptions!$D$87,0)</f>
        <v/>
      </c>
      <c r="AY10" s="9">
        <f>Assumptions!$D$81+ROUND('Revenue Forecast'!AY6*12/Assumptions!$D$87,0)</f>
        <v/>
      </c>
      <c r="AZ10" s="9">
        <f>Assumptions!$D$81+ROUND('Revenue Forecast'!AZ6*12/Assumptions!$D$87,0)</f>
        <v/>
      </c>
      <c r="BA10" s="9">
        <f>Assumptions!$D$81+ROUND('Revenue Forecast'!BA6*12/Assumptions!$D$87,0)</f>
        <v/>
      </c>
      <c r="BB10" s="9">
        <f>Assumptions!$D$81+ROUND('Revenue Forecast'!BB6*12/Assumptions!$D$87,0)</f>
        <v/>
      </c>
      <c r="BC10" s="9">
        <f>Assumptions!$D$81+ROUND('Revenue Forecast'!BC6*12/Assumptions!$D$87,0)</f>
        <v/>
      </c>
      <c r="BD10" s="9">
        <f>Assumptions!$D$81+ROUND('Revenue Forecast'!BD6*12/Assumptions!$D$87,0)</f>
        <v/>
      </c>
      <c r="BE10" s="9">
        <f>Assumptions!$D$81+ROUND('Revenue Forecast'!BE6*12/Assumptions!$D$87,0)</f>
        <v/>
      </c>
      <c r="BF10" s="9">
        <f>Assumptions!$D$81+ROUND('Revenue Forecast'!BF6*12/Assumptions!$D$87,0)</f>
        <v/>
      </c>
      <c r="BG10" s="9">
        <f>Assumptions!$D$81+ROUND('Revenue Forecast'!BG6*12/Assumptions!$D$87,0)</f>
        <v/>
      </c>
      <c r="BH10" s="9">
        <f>Assumptions!$D$81+ROUND('Revenue Forecast'!BH6*12/Assumptions!$D$87,0)</f>
        <v/>
      </c>
      <c r="BI10" s="9">
        <f>Assumptions!$D$81+ROUND('Revenue Forecast'!BI6*12/Assumptions!$D$87,0)</f>
        <v/>
      </c>
      <c r="BJ10" s="9">
        <f>Assumptions!$D$81+ROUND('Revenue Forecast'!BJ6*12/Assumptions!$D$87,0)</f>
        <v/>
      </c>
      <c r="BK10" s="9">
        <f>Assumptions!$D$81+ROUND('Revenue Forecast'!BK6*12/Assumptions!$D$87,0)</f>
        <v/>
      </c>
      <c r="BL10" s="9">
        <f>Assumptions!$D$81+ROUND('Revenue Forecast'!BL6*12/Assumptions!$D$87,0)</f>
        <v/>
      </c>
      <c r="BN10" s="60">
        <f>P10</f>
        <v/>
      </c>
      <c r="BO10" s="60">
        <f>AB10</f>
        <v/>
      </c>
      <c r="BP10" s="60">
        <f>AN10</f>
        <v/>
      </c>
      <c r="BQ10" s="60">
        <f>AZ10</f>
        <v/>
      </c>
      <c r="BR10" s="60">
        <f>BL10</f>
        <v/>
      </c>
    </row>
    <row r="11">
      <c r="B11" s="56" t="inlineStr">
        <is>
          <t>Sales and marketing</t>
        </is>
      </c>
      <c r="C11" s="57" t="inlineStr">
        <is>
          <t>FTE</t>
        </is>
      </c>
      <c r="E11" s="74">
        <f>SUM(E6:E10)</f>
        <v/>
      </c>
      <c r="F11" s="74">
        <f>SUM(F6:F10)</f>
        <v/>
      </c>
      <c r="G11" s="74">
        <f>SUM(G6:G10)</f>
        <v/>
      </c>
      <c r="H11" s="74">
        <f>SUM(H6:H10)</f>
        <v/>
      </c>
      <c r="I11" s="74">
        <f>SUM(I6:I10)</f>
        <v/>
      </c>
      <c r="J11" s="74">
        <f>SUM(J6:J10)</f>
        <v/>
      </c>
      <c r="K11" s="74">
        <f>SUM(K6:K10)</f>
        <v/>
      </c>
      <c r="L11" s="74">
        <f>SUM(L6:L10)</f>
        <v/>
      </c>
      <c r="M11" s="74">
        <f>SUM(M6:M10)</f>
        <v/>
      </c>
      <c r="N11" s="74">
        <f>SUM(N6:N10)</f>
        <v/>
      </c>
      <c r="O11" s="74">
        <f>SUM(O6:O10)</f>
        <v/>
      </c>
      <c r="P11" s="74">
        <f>SUM(P6:P10)</f>
        <v/>
      </c>
      <c r="Q11" s="74">
        <f>SUM(Q6:Q10)</f>
        <v/>
      </c>
      <c r="R11" s="74">
        <f>SUM(R6:R10)</f>
        <v/>
      </c>
      <c r="S11" s="74">
        <f>SUM(S6:S10)</f>
        <v/>
      </c>
      <c r="T11" s="74">
        <f>SUM(T6:T10)</f>
        <v/>
      </c>
      <c r="U11" s="74">
        <f>SUM(U6:U10)</f>
        <v/>
      </c>
      <c r="V11" s="74">
        <f>SUM(V6:V10)</f>
        <v/>
      </c>
      <c r="W11" s="74">
        <f>SUM(W6:W10)</f>
        <v/>
      </c>
      <c r="X11" s="74">
        <f>SUM(X6:X10)</f>
        <v/>
      </c>
      <c r="Y11" s="74">
        <f>SUM(Y6:Y10)</f>
        <v/>
      </c>
      <c r="Z11" s="74">
        <f>SUM(Z6:Z10)</f>
        <v/>
      </c>
      <c r="AA11" s="74">
        <f>SUM(AA6:AA10)</f>
        <v/>
      </c>
      <c r="AB11" s="74">
        <f>SUM(AB6:AB10)</f>
        <v/>
      </c>
      <c r="AC11" s="74">
        <f>SUM(AC6:AC10)</f>
        <v/>
      </c>
      <c r="AD11" s="74">
        <f>SUM(AD6:AD10)</f>
        <v/>
      </c>
      <c r="AE11" s="74">
        <f>SUM(AE6:AE10)</f>
        <v/>
      </c>
      <c r="AF11" s="74">
        <f>SUM(AF6:AF10)</f>
        <v/>
      </c>
      <c r="AG11" s="74">
        <f>SUM(AG6:AG10)</f>
        <v/>
      </c>
      <c r="AH11" s="74">
        <f>SUM(AH6:AH10)</f>
        <v/>
      </c>
      <c r="AI11" s="74">
        <f>SUM(AI6:AI10)</f>
        <v/>
      </c>
      <c r="AJ11" s="74">
        <f>SUM(AJ6:AJ10)</f>
        <v/>
      </c>
      <c r="AK11" s="74">
        <f>SUM(AK6:AK10)</f>
        <v/>
      </c>
      <c r="AL11" s="74">
        <f>SUM(AL6:AL10)</f>
        <v/>
      </c>
      <c r="AM11" s="74">
        <f>SUM(AM6:AM10)</f>
        <v/>
      </c>
      <c r="AN11" s="74">
        <f>SUM(AN6:AN10)</f>
        <v/>
      </c>
      <c r="AO11" s="74">
        <f>SUM(AO6:AO10)</f>
        <v/>
      </c>
      <c r="AP11" s="74">
        <f>SUM(AP6:AP10)</f>
        <v/>
      </c>
      <c r="AQ11" s="74">
        <f>SUM(AQ6:AQ10)</f>
        <v/>
      </c>
      <c r="AR11" s="74">
        <f>SUM(AR6:AR10)</f>
        <v/>
      </c>
      <c r="AS11" s="74">
        <f>SUM(AS6:AS10)</f>
        <v/>
      </c>
      <c r="AT11" s="74">
        <f>SUM(AT6:AT10)</f>
        <v/>
      </c>
      <c r="AU11" s="74">
        <f>SUM(AU6:AU10)</f>
        <v/>
      </c>
      <c r="AV11" s="74">
        <f>SUM(AV6:AV10)</f>
        <v/>
      </c>
      <c r="AW11" s="74">
        <f>SUM(AW6:AW10)</f>
        <v/>
      </c>
      <c r="AX11" s="74">
        <f>SUM(AX6:AX10)</f>
        <v/>
      </c>
      <c r="AY11" s="74">
        <f>SUM(AY6:AY10)</f>
        <v/>
      </c>
      <c r="AZ11" s="74">
        <f>SUM(AZ6:AZ10)</f>
        <v/>
      </c>
      <c r="BA11" s="74">
        <f>SUM(BA6:BA10)</f>
        <v/>
      </c>
      <c r="BB11" s="74">
        <f>SUM(BB6:BB10)</f>
        <v/>
      </c>
      <c r="BC11" s="74">
        <f>SUM(BC6:BC10)</f>
        <v/>
      </c>
      <c r="BD11" s="74">
        <f>SUM(BD6:BD10)</f>
        <v/>
      </c>
      <c r="BE11" s="74">
        <f>SUM(BE6:BE10)</f>
        <v/>
      </c>
      <c r="BF11" s="74">
        <f>SUM(BF6:BF10)</f>
        <v/>
      </c>
      <c r="BG11" s="74">
        <f>SUM(BG6:BG10)</f>
        <v/>
      </c>
      <c r="BH11" s="74">
        <f>SUM(BH6:BH10)</f>
        <v/>
      </c>
      <c r="BI11" s="74">
        <f>SUM(BI6:BI10)</f>
        <v/>
      </c>
      <c r="BJ11" s="74">
        <f>SUM(BJ6:BJ10)</f>
        <v/>
      </c>
      <c r="BK11" s="74">
        <f>SUM(BK6:BK10)</f>
        <v/>
      </c>
      <c r="BL11" s="74">
        <f>SUM(BL6:BL10)</f>
        <v/>
      </c>
      <c r="BN11" s="74">
        <f>P11</f>
        <v/>
      </c>
      <c r="BO11" s="74">
        <f>AB11</f>
        <v/>
      </c>
      <c r="BP11" s="74">
        <f>AN11</f>
        <v/>
      </c>
      <c r="BQ11" s="74">
        <f>AZ11</f>
        <v/>
      </c>
      <c r="BR11" s="74">
        <f>BL11</f>
        <v/>
      </c>
    </row>
    <row r="12">
      <c r="B12" s="6" t="inlineStr">
        <is>
          <t>Supply chain and logistics</t>
        </is>
      </c>
      <c r="C12" s="17" t="inlineStr">
        <is>
          <t>FTE</t>
        </is>
      </c>
      <c r="E12" s="9">
        <f>ROUND('Revenue Forecast'!E34*12/Assumptions!$D$82,0)</f>
        <v/>
      </c>
      <c r="F12" s="9">
        <f>ROUND('Revenue Forecast'!F34*12/Assumptions!$D$82,0)</f>
        <v/>
      </c>
      <c r="G12" s="9">
        <f>ROUND('Revenue Forecast'!G34*12/Assumptions!$D$82,0)</f>
        <v/>
      </c>
      <c r="H12" s="9">
        <f>ROUND('Revenue Forecast'!H34*12/Assumptions!$D$82,0)</f>
        <v/>
      </c>
      <c r="I12" s="9">
        <f>ROUND('Revenue Forecast'!I34*12/Assumptions!$D$82,0)</f>
        <v/>
      </c>
      <c r="J12" s="9">
        <f>ROUND('Revenue Forecast'!J34*12/Assumptions!$D$82,0)</f>
        <v/>
      </c>
      <c r="K12" s="9">
        <f>ROUND('Revenue Forecast'!K34*12/Assumptions!$D$82,0)</f>
        <v/>
      </c>
      <c r="L12" s="9">
        <f>ROUND('Revenue Forecast'!L34*12/Assumptions!$D$82,0)</f>
        <v/>
      </c>
      <c r="M12" s="9">
        <f>ROUND('Revenue Forecast'!M34*12/Assumptions!$D$82,0)</f>
        <v/>
      </c>
      <c r="N12" s="9">
        <f>ROUND('Revenue Forecast'!N34*12/Assumptions!$D$82,0)</f>
        <v/>
      </c>
      <c r="O12" s="9">
        <f>ROUND('Revenue Forecast'!O34*12/Assumptions!$D$82,0)</f>
        <v/>
      </c>
      <c r="P12" s="9">
        <f>ROUND('Revenue Forecast'!P34*12/Assumptions!$D$82,0)</f>
        <v/>
      </c>
      <c r="Q12" s="9">
        <f>ROUND('Revenue Forecast'!Q34*12/Assumptions!$D$82,0)</f>
        <v/>
      </c>
      <c r="R12" s="9">
        <f>ROUND('Revenue Forecast'!R34*12/Assumptions!$D$82,0)</f>
        <v/>
      </c>
      <c r="S12" s="9">
        <f>ROUND('Revenue Forecast'!S34*12/Assumptions!$D$82,0)</f>
        <v/>
      </c>
      <c r="T12" s="9">
        <f>ROUND('Revenue Forecast'!T34*12/Assumptions!$D$82,0)</f>
        <v/>
      </c>
      <c r="U12" s="9">
        <f>ROUND('Revenue Forecast'!U34*12/Assumptions!$D$82,0)</f>
        <v/>
      </c>
      <c r="V12" s="9">
        <f>ROUND('Revenue Forecast'!V34*12/Assumptions!$D$82,0)</f>
        <v/>
      </c>
      <c r="W12" s="9">
        <f>ROUND('Revenue Forecast'!W34*12/Assumptions!$D$82,0)</f>
        <v/>
      </c>
      <c r="X12" s="9">
        <f>ROUND('Revenue Forecast'!X34*12/Assumptions!$D$82,0)</f>
        <v/>
      </c>
      <c r="Y12" s="9">
        <f>ROUND('Revenue Forecast'!Y34*12/Assumptions!$D$82,0)</f>
        <v/>
      </c>
      <c r="Z12" s="9">
        <f>ROUND('Revenue Forecast'!Z34*12/Assumptions!$D$82,0)</f>
        <v/>
      </c>
      <c r="AA12" s="9">
        <f>ROUND('Revenue Forecast'!AA34*12/Assumptions!$D$82,0)</f>
        <v/>
      </c>
      <c r="AB12" s="9">
        <f>ROUND('Revenue Forecast'!AB34*12/Assumptions!$D$82,0)</f>
        <v/>
      </c>
      <c r="AC12" s="9">
        <f>ROUND('Revenue Forecast'!AC34*12/Assumptions!$D$82,0)</f>
        <v/>
      </c>
      <c r="AD12" s="9">
        <f>ROUND('Revenue Forecast'!AD34*12/Assumptions!$D$82,0)</f>
        <v/>
      </c>
      <c r="AE12" s="9">
        <f>ROUND('Revenue Forecast'!AE34*12/Assumptions!$D$82,0)</f>
        <v/>
      </c>
      <c r="AF12" s="9">
        <f>ROUND('Revenue Forecast'!AF34*12/Assumptions!$D$82,0)</f>
        <v/>
      </c>
      <c r="AG12" s="9">
        <f>ROUND('Revenue Forecast'!AG34*12/Assumptions!$D$82,0)</f>
        <v/>
      </c>
      <c r="AH12" s="9">
        <f>ROUND('Revenue Forecast'!AH34*12/Assumptions!$D$82,0)</f>
        <v/>
      </c>
      <c r="AI12" s="9">
        <f>ROUND('Revenue Forecast'!AI34*12/Assumptions!$D$82,0)</f>
        <v/>
      </c>
      <c r="AJ12" s="9">
        <f>ROUND('Revenue Forecast'!AJ34*12/Assumptions!$D$82,0)</f>
        <v/>
      </c>
      <c r="AK12" s="9">
        <f>ROUND('Revenue Forecast'!AK34*12/Assumptions!$D$82,0)</f>
        <v/>
      </c>
      <c r="AL12" s="9">
        <f>ROUND('Revenue Forecast'!AL34*12/Assumptions!$D$82,0)</f>
        <v/>
      </c>
      <c r="AM12" s="9">
        <f>ROUND('Revenue Forecast'!AM34*12/Assumptions!$D$82,0)</f>
        <v/>
      </c>
      <c r="AN12" s="9">
        <f>ROUND('Revenue Forecast'!AN34*12/Assumptions!$D$82,0)</f>
        <v/>
      </c>
      <c r="AO12" s="9">
        <f>ROUND('Revenue Forecast'!AO34*12/Assumptions!$D$82,0)</f>
        <v/>
      </c>
      <c r="AP12" s="9">
        <f>ROUND('Revenue Forecast'!AP34*12/Assumptions!$D$82,0)</f>
        <v/>
      </c>
      <c r="AQ12" s="9">
        <f>ROUND('Revenue Forecast'!AQ34*12/Assumptions!$D$82,0)</f>
        <v/>
      </c>
      <c r="AR12" s="9">
        <f>ROUND('Revenue Forecast'!AR34*12/Assumptions!$D$82,0)</f>
        <v/>
      </c>
      <c r="AS12" s="9">
        <f>ROUND('Revenue Forecast'!AS34*12/Assumptions!$D$82,0)</f>
        <v/>
      </c>
      <c r="AT12" s="9">
        <f>ROUND('Revenue Forecast'!AT34*12/Assumptions!$D$82,0)</f>
        <v/>
      </c>
      <c r="AU12" s="9">
        <f>ROUND('Revenue Forecast'!AU34*12/Assumptions!$D$82,0)</f>
        <v/>
      </c>
      <c r="AV12" s="9">
        <f>ROUND('Revenue Forecast'!AV34*12/Assumptions!$D$82,0)</f>
        <v/>
      </c>
      <c r="AW12" s="9">
        <f>ROUND('Revenue Forecast'!AW34*12/Assumptions!$D$82,0)</f>
        <v/>
      </c>
      <c r="AX12" s="9">
        <f>ROUND('Revenue Forecast'!AX34*12/Assumptions!$D$82,0)</f>
        <v/>
      </c>
      <c r="AY12" s="9">
        <f>ROUND('Revenue Forecast'!AY34*12/Assumptions!$D$82,0)</f>
        <v/>
      </c>
      <c r="AZ12" s="9">
        <f>ROUND('Revenue Forecast'!AZ34*12/Assumptions!$D$82,0)</f>
        <v/>
      </c>
      <c r="BA12" s="9">
        <f>ROUND('Revenue Forecast'!BA34*12/Assumptions!$D$82,0)</f>
        <v/>
      </c>
      <c r="BB12" s="9">
        <f>ROUND('Revenue Forecast'!BB34*12/Assumptions!$D$82,0)</f>
        <v/>
      </c>
      <c r="BC12" s="9">
        <f>ROUND('Revenue Forecast'!BC34*12/Assumptions!$D$82,0)</f>
        <v/>
      </c>
      <c r="BD12" s="9">
        <f>ROUND('Revenue Forecast'!BD34*12/Assumptions!$D$82,0)</f>
        <v/>
      </c>
      <c r="BE12" s="9">
        <f>ROUND('Revenue Forecast'!BE34*12/Assumptions!$D$82,0)</f>
        <v/>
      </c>
      <c r="BF12" s="9">
        <f>ROUND('Revenue Forecast'!BF34*12/Assumptions!$D$82,0)</f>
        <v/>
      </c>
      <c r="BG12" s="9">
        <f>ROUND('Revenue Forecast'!BG34*12/Assumptions!$D$82,0)</f>
        <v/>
      </c>
      <c r="BH12" s="9">
        <f>ROUND('Revenue Forecast'!BH34*12/Assumptions!$D$82,0)</f>
        <v/>
      </c>
      <c r="BI12" s="9">
        <f>ROUND('Revenue Forecast'!BI34*12/Assumptions!$D$82,0)</f>
        <v/>
      </c>
      <c r="BJ12" s="9">
        <f>ROUND('Revenue Forecast'!BJ34*12/Assumptions!$D$82,0)</f>
        <v/>
      </c>
      <c r="BK12" s="9">
        <f>ROUND('Revenue Forecast'!BK34*12/Assumptions!$D$82,0)</f>
        <v/>
      </c>
      <c r="BL12" s="9">
        <f>ROUND('Revenue Forecast'!BL34*12/Assumptions!$D$82,0)</f>
        <v/>
      </c>
      <c r="BN12" s="60">
        <f>P12</f>
        <v/>
      </c>
      <c r="BO12" s="60">
        <f>AB12</f>
        <v/>
      </c>
      <c r="BP12" s="60">
        <f>AN12</f>
        <v/>
      </c>
      <c r="BQ12" s="60">
        <f>AZ12</f>
        <v/>
      </c>
      <c r="BR12" s="60">
        <f>BL12</f>
        <v/>
      </c>
      <c r="BT12" s="32" t="inlineStr">
        <is>
          <t>buying, planning, inbound quality and warehousing</t>
        </is>
      </c>
    </row>
    <row r="14">
      <c r="B14" s="6" t="inlineStr">
        <is>
          <t>Customer support</t>
        </is>
      </c>
      <c r="C14" s="17" t="inlineStr">
        <is>
          <t>FTE</t>
        </is>
      </c>
      <c r="E14" s="9">
        <f>ROUND('Revenue Forecast'!E41/Assumptions!$D$83,0)</f>
        <v/>
      </c>
      <c r="F14" s="9">
        <f>ROUND('Revenue Forecast'!F41/Assumptions!$D$83,0)</f>
        <v/>
      </c>
      <c r="G14" s="9">
        <f>ROUND('Revenue Forecast'!G41/Assumptions!$D$83,0)</f>
        <v/>
      </c>
      <c r="H14" s="9">
        <f>ROUND('Revenue Forecast'!H41/Assumptions!$D$83,0)</f>
        <v/>
      </c>
      <c r="I14" s="9">
        <f>ROUND('Revenue Forecast'!I41/Assumptions!$D$83,0)</f>
        <v/>
      </c>
      <c r="J14" s="9">
        <f>ROUND('Revenue Forecast'!J41/Assumptions!$D$83,0)</f>
        <v/>
      </c>
      <c r="K14" s="9">
        <f>ROUND('Revenue Forecast'!K41/Assumptions!$D$83,0)</f>
        <v/>
      </c>
      <c r="L14" s="9">
        <f>ROUND('Revenue Forecast'!L41/Assumptions!$D$83,0)</f>
        <v/>
      </c>
      <c r="M14" s="9">
        <f>ROUND('Revenue Forecast'!M41/Assumptions!$D$83,0)</f>
        <v/>
      </c>
      <c r="N14" s="9">
        <f>ROUND('Revenue Forecast'!N41/Assumptions!$D$83,0)</f>
        <v/>
      </c>
      <c r="O14" s="9">
        <f>ROUND('Revenue Forecast'!O41/Assumptions!$D$83,0)</f>
        <v/>
      </c>
      <c r="P14" s="9">
        <f>ROUND('Revenue Forecast'!P41/Assumptions!$D$83,0)</f>
        <v/>
      </c>
      <c r="Q14" s="9">
        <f>ROUND('Revenue Forecast'!Q41/Assumptions!$D$83,0)</f>
        <v/>
      </c>
      <c r="R14" s="9">
        <f>ROUND('Revenue Forecast'!R41/Assumptions!$D$83,0)</f>
        <v/>
      </c>
      <c r="S14" s="9">
        <f>ROUND('Revenue Forecast'!S41/Assumptions!$D$83,0)</f>
        <v/>
      </c>
      <c r="T14" s="9">
        <f>ROUND('Revenue Forecast'!T41/Assumptions!$D$83,0)</f>
        <v/>
      </c>
      <c r="U14" s="9">
        <f>ROUND('Revenue Forecast'!U41/Assumptions!$D$83,0)</f>
        <v/>
      </c>
      <c r="V14" s="9">
        <f>ROUND('Revenue Forecast'!V41/Assumptions!$D$83,0)</f>
        <v/>
      </c>
      <c r="W14" s="9">
        <f>ROUND('Revenue Forecast'!W41/Assumptions!$D$83,0)</f>
        <v/>
      </c>
      <c r="X14" s="9">
        <f>ROUND('Revenue Forecast'!X41/Assumptions!$D$83,0)</f>
        <v/>
      </c>
      <c r="Y14" s="9">
        <f>ROUND('Revenue Forecast'!Y41/Assumptions!$D$83,0)</f>
        <v/>
      </c>
      <c r="Z14" s="9">
        <f>ROUND('Revenue Forecast'!Z41/Assumptions!$D$83,0)</f>
        <v/>
      </c>
      <c r="AA14" s="9">
        <f>ROUND('Revenue Forecast'!AA41/Assumptions!$D$83,0)</f>
        <v/>
      </c>
      <c r="AB14" s="9">
        <f>ROUND('Revenue Forecast'!AB41/Assumptions!$D$83,0)</f>
        <v/>
      </c>
      <c r="AC14" s="9">
        <f>ROUND('Revenue Forecast'!AC41/Assumptions!$D$83,0)</f>
        <v/>
      </c>
      <c r="AD14" s="9">
        <f>ROUND('Revenue Forecast'!AD41/Assumptions!$D$83,0)</f>
        <v/>
      </c>
      <c r="AE14" s="9">
        <f>ROUND('Revenue Forecast'!AE41/Assumptions!$D$83,0)</f>
        <v/>
      </c>
      <c r="AF14" s="9">
        <f>ROUND('Revenue Forecast'!AF41/Assumptions!$D$83,0)</f>
        <v/>
      </c>
      <c r="AG14" s="9">
        <f>ROUND('Revenue Forecast'!AG41/Assumptions!$D$83,0)</f>
        <v/>
      </c>
      <c r="AH14" s="9">
        <f>ROUND('Revenue Forecast'!AH41/Assumptions!$D$83,0)</f>
        <v/>
      </c>
      <c r="AI14" s="9">
        <f>ROUND('Revenue Forecast'!AI41/Assumptions!$D$83,0)</f>
        <v/>
      </c>
      <c r="AJ14" s="9">
        <f>ROUND('Revenue Forecast'!AJ41/Assumptions!$D$83,0)</f>
        <v/>
      </c>
      <c r="AK14" s="9">
        <f>ROUND('Revenue Forecast'!AK41/Assumptions!$D$83,0)</f>
        <v/>
      </c>
      <c r="AL14" s="9">
        <f>ROUND('Revenue Forecast'!AL41/Assumptions!$D$83,0)</f>
        <v/>
      </c>
      <c r="AM14" s="9">
        <f>ROUND('Revenue Forecast'!AM41/Assumptions!$D$83,0)</f>
        <v/>
      </c>
      <c r="AN14" s="9">
        <f>ROUND('Revenue Forecast'!AN41/Assumptions!$D$83,0)</f>
        <v/>
      </c>
      <c r="AO14" s="9">
        <f>ROUND('Revenue Forecast'!AO41/Assumptions!$D$83,0)</f>
        <v/>
      </c>
      <c r="AP14" s="9">
        <f>ROUND('Revenue Forecast'!AP41/Assumptions!$D$83,0)</f>
        <v/>
      </c>
      <c r="AQ14" s="9">
        <f>ROUND('Revenue Forecast'!AQ41/Assumptions!$D$83,0)</f>
        <v/>
      </c>
      <c r="AR14" s="9">
        <f>ROUND('Revenue Forecast'!AR41/Assumptions!$D$83,0)</f>
        <v/>
      </c>
      <c r="AS14" s="9">
        <f>ROUND('Revenue Forecast'!AS41/Assumptions!$D$83,0)</f>
        <v/>
      </c>
      <c r="AT14" s="9">
        <f>ROUND('Revenue Forecast'!AT41/Assumptions!$D$83,0)</f>
        <v/>
      </c>
      <c r="AU14" s="9">
        <f>ROUND('Revenue Forecast'!AU41/Assumptions!$D$83,0)</f>
        <v/>
      </c>
      <c r="AV14" s="9">
        <f>ROUND('Revenue Forecast'!AV41/Assumptions!$D$83,0)</f>
        <v/>
      </c>
      <c r="AW14" s="9">
        <f>ROUND('Revenue Forecast'!AW41/Assumptions!$D$83,0)</f>
        <v/>
      </c>
      <c r="AX14" s="9">
        <f>ROUND('Revenue Forecast'!AX41/Assumptions!$D$83,0)</f>
        <v/>
      </c>
      <c r="AY14" s="9">
        <f>ROUND('Revenue Forecast'!AY41/Assumptions!$D$83,0)</f>
        <v/>
      </c>
      <c r="AZ14" s="9">
        <f>ROUND('Revenue Forecast'!AZ41/Assumptions!$D$83,0)</f>
        <v/>
      </c>
      <c r="BA14" s="9">
        <f>ROUND('Revenue Forecast'!BA41/Assumptions!$D$83,0)</f>
        <v/>
      </c>
      <c r="BB14" s="9">
        <f>ROUND('Revenue Forecast'!BB41/Assumptions!$D$83,0)</f>
        <v/>
      </c>
      <c r="BC14" s="9">
        <f>ROUND('Revenue Forecast'!BC41/Assumptions!$D$83,0)</f>
        <v/>
      </c>
      <c r="BD14" s="9">
        <f>ROUND('Revenue Forecast'!BD41/Assumptions!$D$83,0)</f>
        <v/>
      </c>
      <c r="BE14" s="9">
        <f>ROUND('Revenue Forecast'!BE41/Assumptions!$D$83,0)</f>
        <v/>
      </c>
      <c r="BF14" s="9">
        <f>ROUND('Revenue Forecast'!BF41/Assumptions!$D$83,0)</f>
        <v/>
      </c>
      <c r="BG14" s="9">
        <f>ROUND('Revenue Forecast'!BG41/Assumptions!$D$83,0)</f>
        <v/>
      </c>
      <c r="BH14" s="9">
        <f>ROUND('Revenue Forecast'!BH41/Assumptions!$D$83,0)</f>
        <v/>
      </c>
      <c r="BI14" s="9">
        <f>ROUND('Revenue Forecast'!BI41/Assumptions!$D$83,0)</f>
        <v/>
      </c>
      <c r="BJ14" s="9">
        <f>ROUND('Revenue Forecast'!BJ41/Assumptions!$D$83,0)</f>
        <v/>
      </c>
      <c r="BK14" s="9">
        <f>ROUND('Revenue Forecast'!BK41/Assumptions!$D$83,0)</f>
        <v/>
      </c>
      <c r="BL14" s="9">
        <f>ROUND('Revenue Forecast'!BL41/Assumptions!$D$83,0)</f>
        <v/>
      </c>
      <c r="BN14" s="60">
        <f>P14</f>
        <v/>
      </c>
      <c r="BO14" s="60">
        <f>AB14</f>
        <v/>
      </c>
      <c r="BP14" s="60">
        <f>AN14</f>
        <v/>
      </c>
      <c r="BQ14" s="60">
        <f>AZ14</f>
        <v/>
      </c>
      <c r="BR14" s="60">
        <f>BL14</f>
        <v/>
      </c>
      <c r="BT14" s="32" t="inlineStr">
        <is>
          <t>inbound calls follow the installed base, not sales</t>
        </is>
      </c>
    </row>
    <row r="15">
      <c r="B15" s="6" t="inlineStr">
        <is>
          <t>Technical escalation</t>
        </is>
      </c>
      <c r="C15" s="17" t="inlineStr">
        <is>
          <t>FTE</t>
        </is>
      </c>
      <c r="E15" s="9">
        <f>ROUND('Revenue Forecast'!E41/Assumptions!$D$84,0)</f>
        <v/>
      </c>
      <c r="F15" s="9">
        <f>ROUND('Revenue Forecast'!F41/Assumptions!$D$84,0)</f>
        <v/>
      </c>
      <c r="G15" s="9">
        <f>ROUND('Revenue Forecast'!G41/Assumptions!$D$84,0)</f>
        <v/>
      </c>
      <c r="H15" s="9">
        <f>ROUND('Revenue Forecast'!H41/Assumptions!$D$84,0)</f>
        <v/>
      </c>
      <c r="I15" s="9">
        <f>ROUND('Revenue Forecast'!I41/Assumptions!$D$84,0)</f>
        <v/>
      </c>
      <c r="J15" s="9">
        <f>ROUND('Revenue Forecast'!J41/Assumptions!$D$84,0)</f>
        <v/>
      </c>
      <c r="K15" s="9">
        <f>ROUND('Revenue Forecast'!K41/Assumptions!$D$84,0)</f>
        <v/>
      </c>
      <c r="L15" s="9">
        <f>ROUND('Revenue Forecast'!L41/Assumptions!$D$84,0)</f>
        <v/>
      </c>
      <c r="M15" s="9">
        <f>ROUND('Revenue Forecast'!M41/Assumptions!$D$84,0)</f>
        <v/>
      </c>
      <c r="N15" s="9">
        <f>ROUND('Revenue Forecast'!N41/Assumptions!$D$84,0)</f>
        <v/>
      </c>
      <c r="O15" s="9">
        <f>ROUND('Revenue Forecast'!O41/Assumptions!$D$84,0)</f>
        <v/>
      </c>
      <c r="P15" s="9">
        <f>ROUND('Revenue Forecast'!P41/Assumptions!$D$84,0)</f>
        <v/>
      </c>
      <c r="Q15" s="9">
        <f>ROUND('Revenue Forecast'!Q41/Assumptions!$D$84,0)</f>
        <v/>
      </c>
      <c r="R15" s="9">
        <f>ROUND('Revenue Forecast'!R41/Assumptions!$D$84,0)</f>
        <v/>
      </c>
      <c r="S15" s="9">
        <f>ROUND('Revenue Forecast'!S41/Assumptions!$D$84,0)</f>
        <v/>
      </c>
      <c r="T15" s="9">
        <f>ROUND('Revenue Forecast'!T41/Assumptions!$D$84,0)</f>
        <v/>
      </c>
      <c r="U15" s="9">
        <f>ROUND('Revenue Forecast'!U41/Assumptions!$D$84,0)</f>
        <v/>
      </c>
      <c r="V15" s="9">
        <f>ROUND('Revenue Forecast'!V41/Assumptions!$D$84,0)</f>
        <v/>
      </c>
      <c r="W15" s="9">
        <f>ROUND('Revenue Forecast'!W41/Assumptions!$D$84,0)</f>
        <v/>
      </c>
      <c r="X15" s="9">
        <f>ROUND('Revenue Forecast'!X41/Assumptions!$D$84,0)</f>
        <v/>
      </c>
      <c r="Y15" s="9">
        <f>ROUND('Revenue Forecast'!Y41/Assumptions!$D$84,0)</f>
        <v/>
      </c>
      <c r="Z15" s="9">
        <f>ROUND('Revenue Forecast'!Z41/Assumptions!$D$84,0)</f>
        <v/>
      </c>
      <c r="AA15" s="9">
        <f>ROUND('Revenue Forecast'!AA41/Assumptions!$D$84,0)</f>
        <v/>
      </c>
      <c r="AB15" s="9">
        <f>ROUND('Revenue Forecast'!AB41/Assumptions!$D$84,0)</f>
        <v/>
      </c>
      <c r="AC15" s="9">
        <f>ROUND('Revenue Forecast'!AC41/Assumptions!$D$84,0)</f>
        <v/>
      </c>
      <c r="AD15" s="9">
        <f>ROUND('Revenue Forecast'!AD41/Assumptions!$D$84,0)</f>
        <v/>
      </c>
      <c r="AE15" s="9">
        <f>ROUND('Revenue Forecast'!AE41/Assumptions!$D$84,0)</f>
        <v/>
      </c>
      <c r="AF15" s="9">
        <f>ROUND('Revenue Forecast'!AF41/Assumptions!$D$84,0)</f>
        <v/>
      </c>
      <c r="AG15" s="9">
        <f>ROUND('Revenue Forecast'!AG41/Assumptions!$D$84,0)</f>
        <v/>
      </c>
      <c r="AH15" s="9">
        <f>ROUND('Revenue Forecast'!AH41/Assumptions!$D$84,0)</f>
        <v/>
      </c>
      <c r="AI15" s="9">
        <f>ROUND('Revenue Forecast'!AI41/Assumptions!$D$84,0)</f>
        <v/>
      </c>
      <c r="AJ15" s="9">
        <f>ROUND('Revenue Forecast'!AJ41/Assumptions!$D$84,0)</f>
        <v/>
      </c>
      <c r="AK15" s="9">
        <f>ROUND('Revenue Forecast'!AK41/Assumptions!$D$84,0)</f>
        <v/>
      </c>
      <c r="AL15" s="9">
        <f>ROUND('Revenue Forecast'!AL41/Assumptions!$D$84,0)</f>
        <v/>
      </c>
      <c r="AM15" s="9">
        <f>ROUND('Revenue Forecast'!AM41/Assumptions!$D$84,0)</f>
        <v/>
      </c>
      <c r="AN15" s="9">
        <f>ROUND('Revenue Forecast'!AN41/Assumptions!$D$84,0)</f>
        <v/>
      </c>
      <c r="AO15" s="9">
        <f>ROUND('Revenue Forecast'!AO41/Assumptions!$D$84,0)</f>
        <v/>
      </c>
      <c r="AP15" s="9">
        <f>ROUND('Revenue Forecast'!AP41/Assumptions!$D$84,0)</f>
        <v/>
      </c>
      <c r="AQ15" s="9">
        <f>ROUND('Revenue Forecast'!AQ41/Assumptions!$D$84,0)</f>
        <v/>
      </c>
      <c r="AR15" s="9">
        <f>ROUND('Revenue Forecast'!AR41/Assumptions!$D$84,0)</f>
        <v/>
      </c>
      <c r="AS15" s="9">
        <f>ROUND('Revenue Forecast'!AS41/Assumptions!$D$84,0)</f>
        <v/>
      </c>
      <c r="AT15" s="9">
        <f>ROUND('Revenue Forecast'!AT41/Assumptions!$D$84,0)</f>
        <v/>
      </c>
      <c r="AU15" s="9">
        <f>ROUND('Revenue Forecast'!AU41/Assumptions!$D$84,0)</f>
        <v/>
      </c>
      <c r="AV15" s="9">
        <f>ROUND('Revenue Forecast'!AV41/Assumptions!$D$84,0)</f>
        <v/>
      </c>
      <c r="AW15" s="9">
        <f>ROUND('Revenue Forecast'!AW41/Assumptions!$D$84,0)</f>
        <v/>
      </c>
      <c r="AX15" s="9">
        <f>ROUND('Revenue Forecast'!AX41/Assumptions!$D$84,0)</f>
        <v/>
      </c>
      <c r="AY15" s="9">
        <f>ROUND('Revenue Forecast'!AY41/Assumptions!$D$84,0)</f>
        <v/>
      </c>
      <c r="AZ15" s="9">
        <f>ROUND('Revenue Forecast'!AZ41/Assumptions!$D$84,0)</f>
        <v/>
      </c>
      <c r="BA15" s="9">
        <f>ROUND('Revenue Forecast'!BA41/Assumptions!$D$84,0)</f>
        <v/>
      </c>
      <c r="BB15" s="9">
        <f>ROUND('Revenue Forecast'!BB41/Assumptions!$D$84,0)</f>
        <v/>
      </c>
      <c r="BC15" s="9">
        <f>ROUND('Revenue Forecast'!BC41/Assumptions!$D$84,0)</f>
        <v/>
      </c>
      <c r="BD15" s="9">
        <f>ROUND('Revenue Forecast'!BD41/Assumptions!$D$84,0)</f>
        <v/>
      </c>
      <c r="BE15" s="9">
        <f>ROUND('Revenue Forecast'!BE41/Assumptions!$D$84,0)</f>
        <v/>
      </c>
      <c r="BF15" s="9">
        <f>ROUND('Revenue Forecast'!BF41/Assumptions!$D$84,0)</f>
        <v/>
      </c>
      <c r="BG15" s="9">
        <f>ROUND('Revenue Forecast'!BG41/Assumptions!$D$84,0)</f>
        <v/>
      </c>
      <c r="BH15" s="9">
        <f>ROUND('Revenue Forecast'!BH41/Assumptions!$D$84,0)</f>
        <v/>
      </c>
      <c r="BI15" s="9">
        <f>ROUND('Revenue Forecast'!BI41/Assumptions!$D$84,0)</f>
        <v/>
      </c>
      <c r="BJ15" s="9">
        <f>ROUND('Revenue Forecast'!BJ41/Assumptions!$D$84,0)</f>
        <v/>
      </c>
      <c r="BK15" s="9">
        <f>ROUND('Revenue Forecast'!BK41/Assumptions!$D$84,0)</f>
        <v/>
      </c>
      <c r="BL15" s="9">
        <f>ROUND('Revenue Forecast'!BL41/Assumptions!$D$84,0)</f>
        <v/>
      </c>
      <c r="BN15" s="60">
        <f>P15</f>
        <v/>
      </c>
      <c r="BO15" s="60">
        <f>AB15</f>
        <v/>
      </c>
      <c r="BP15" s="60">
        <f>AN15</f>
        <v/>
      </c>
      <c r="BQ15" s="60">
        <f>AZ15</f>
        <v/>
      </c>
      <c r="BR15" s="60">
        <f>BL15</f>
        <v/>
      </c>
    </row>
    <row r="16">
      <c r="B16" s="6" t="inlineStr">
        <is>
          <t>R&amp;D engineers</t>
        </is>
      </c>
      <c r="C16" s="17" t="inlineStr">
        <is>
          <t>FTE</t>
        </is>
      </c>
      <c r="E16" s="9">
        <f>Assumptions!$D$80+SUMIF(Assumptions!$D$77:$H$77,"&lt;="&amp;YEAR(E$3),Assumptions!$D$78:$H$78)</f>
        <v/>
      </c>
      <c r="F16" s="9">
        <f>Assumptions!$D$80+SUMIF(Assumptions!$D$77:$H$77,"&lt;="&amp;YEAR(F$3),Assumptions!$D$78:$H$78)</f>
        <v/>
      </c>
      <c r="G16" s="9">
        <f>Assumptions!$D$80+SUMIF(Assumptions!$D$77:$H$77,"&lt;="&amp;YEAR(G$3),Assumptions!$D$78:$H$78)</f>
        <v/>
      </c>
      <c r="H16" s="9">
        <f>Assumptions!$D$80+SUMIF(Assumptions!$D$77:$H$77,"&lt;="&amp;YEAR(H$3),Assumptions!$D$78:$H$78)</f>
        <v/>
      </c>
      <c r="I16" s="9">
        <f>Assumptions!$D$80+SUMIF(Assumptions!$D$77:$H$77,"&lt;="&amp;YEAR(I$3),Assumptions!$D$78:$H$78)</f>
        <v/>
      </c>
      <c r="J16" s="9">
        <f>Assumptions!$D$80+SUMIF(Assumptions!$D$77:$H$77,"&lt;="&amp;YEAR(J$3),Assumptions!$D$78:$H$78)</f>
        <v/>
      </c>
      <c r="K16" s="9">
        <f>Assumptions!$D$80+SUMIF(Assumptions!$D$77:$H$77,"&lt;="&amp;YEAR(K$3),Assumptions!$D$78:$H$78)</f>
        <v/>
      </c>
      <c r="L16" s="9">
        <f>Assumptions!$D$80+SUMIF(Assumptions!$D$77:$H$77,"&lt;="&amp;YEAR(L$3),Assumptions!$D$78:$H$78)</f>
        <v/>
      </c>
      <c r="M16" s="9">
        <f>Assumptions!$D$80+SUMIF(Assumptions!$D$77:$H$77,"&lt;="&amp;YEAR(M$3),Assumptions!$D$78:$H$78)</f>
        <v/>
      </c>
      <c r="N16" s="9">
        <f>Assumptions!$D$80+SUMIF(Assumptions!$D$77:$H$77,"&lt;="&amp;YEAR(N$3),Assumptions!$D$78:$H$78)</f>
        <v/>
      </c>
      <c r="O16" s="9">
        <f>Assumptions!$D$80+SUMIF(Assumptions!$D$77:$H$77,"&lt;="&amp;YEAR(O$3),Assumptions!$D$78:$H$78)</f>
        <v/>
      </c>
      <c r="P16" s="9">
        <f>Assumptions!$D$80+SUMIF(Assumptions!$D$77:$H$77,"&lt;="&amp;YEAR(P$3),Assumptions!$D$78:$H$78)</f>
        <v/>
      </c>
      <c r="Q16" s="9">
        <f>Assumptions!$D$80+SUMIF(Assumptions!$D$77:$H$77,"&lt;="&amp;YEAR(Q$3),Assumptions!$D$78:$H$78)</f>
        <v/>
      </c>
      <c r="R16" s="9">
        <f>Assumptions!$D$80+SUMIF(Assumptions!$D$77:$H$77,"&lt;="&amp;YEAR(R$3),Assumptions!$D$78:$H$78)</f>
        <v/>
      </c>
      <c r="S16" s="9">
        <f>Assumptions!$D$80+SUMIF(Assumptions!$D$77:$H$77,"&lt;="&amp;YEAR(S$3),Assumptions!$D$78:$H$78)</f>
        <v/>
      </c>
      <c r="T16" s="9">
        <f>Assumptions!$D$80+SUMIF(Assumptions!$D$77:$H$77,"&lt;="&amp;YEAR(T$3),Assumptions!$D$78:$H$78)</f>
        <v/>
      </c>
      <c r="U16" s="9">
        <f>Assumptions!$D$80+SUMIF(Assumptions!$D$77:$H$77,"&lt;="&amp;YEAR(U$3),Assumptions!$D$78:$H$78)</f>
        <v/>
      </c>
      <c r="V16" s="9">
        <f>Assumptions!$D$80+SUMIF(Assumptions!$D$77:$H$77,"&lt;="&amp;YEAR(V$3),Assumptions!$D$78:$H$78)</f>
        <v/>
      </c>
      <c r="W16" s="9">
        <f>Assumptions!$D$80+SUMIF(Assumptions!$D$77:$H$77,"&lt;="&amp;YEAR(W$3),Assumptions!$D$78:$H$78)</f>
        <v/>
      </c>
      <c r="X16" s="9">
        <f>Assumptions!$D$80+SUMIF(Assumptions!$D$77:$H$77,"&lt;="&amp;YEAR(X$3),Assumptions!$D$78:$H$78)</f>
        <v/>
      </c>
      <c r="Y16" s="9">
        <f>Assumptions!$D$80+SUMIF(Assumptions!$D$77:$H$77,"&lt;="&amp;YEAR(Y$3),Assumptions!$D$78:$H$78)</f>
        <v/>
      </c>
      <c r="Z16" s="9">
        <f>Assumptions!$D$80+SUMIF(Assumptions!$D$77:$H$77,"&lt;="&amp;YEAR(Z$3),Assumptions!$D$78:$H$78)</f>
        <v/>
      </c>
      <c r="AA16" s="9">
        <f>Assumptions!$D$80+SUMIF(Assumptions!$D$77:$H$77,"&lt;="&amp;YEAR(AA$3),Assumptions!$D$78:$H$78)</f>
        <v/>
      </c>
      <c r="AB16" s="9">
        <f>Assumptions!$D$80+SUMIF(Assumptions!$D$77:$H$77,"&lt;="&amp;YEAR(AB$3),Assumptions!$D$78:$H$78)</f>
        <v/>
      </c>
      <c r="AC16" s="9">
        <f>Assumptions!$D$80+SUMIF(Assumptions!$D$77:$H$77,"&lt;="&amp;YEAR(AC$3),Assumptions!$D$78:$H$78)</f>
        <v/>
      </c>
      <c r="AD16" s="9">
        <f>Assumptions!$D$80+SUMIF(Assumptions!$D$77:$H$77,"&lt;="&amp;YEAR(AD$3),Assumptions!$D$78:$H$78)</f>
        <v/>
      </c>
      <c r="AE16" s="9">
        <f>Assumptions!$D$80+SUMIF(Assumptions!$D$77:$H$77,"&lt;="&amp;YEAR(AE$3),Assumptions!$D$78:$H$78)</f>
        <v/>
      </c>
      <c r="AF16" s="9">
        <f>Assumptions!$D$80+SUMIF(Assumptions!$D$77:$H$77,"&lt;="&amp;YEAR(AF$3),Assumptions!$D$78:$H$78)</f>
        <v/>
      </c>
      <c r="AG16" s="9">
        <f>Assumptions!$D$80+SUMIF(Assumptions!$D$77:$H$77,"&lt;="&amp;YEAR(AG$3),Assumptions!$D$78:$H$78)</f>
        <v/>
      </c>
      <c r="AH16" s="9">
        <f>Assumptions!$D$80+SUMIF(Assumptions!$D$77:$H$77,"&lt;="&amp;YEAR(AH$3),Assumptions!$D$78:$H$78)</f>
        <v/>
      </c>
      <c r="AI16" s="9">
        <f>Assumptions!$D$80+SUMIF(Assumptions!$D$77:$H$77,"&lt;="&amp;YEAR(AI$3),Assumptions!$D$78:$H$78)</f>
        <v/>
      </c>
      <c r="AJ16" s="9">
        <f>Assumptions!$D$80+SUMIF(Assumptions!$D$77:$H$77,"&lt;="&amp;YEAR(AJ$3),Assumptions!$D$78:$H$78)</f>
        <v/>
      </c>
      <c r="AK16" s="9">
        <f>Assumptions!$D$80+SUMIF(Assumptions!$D$77:$H$77,"&lt;="&amp;YEAR(AK$3),Assumptions!$D$78:$H$78)</f>
        <v/>
      </c>
      <c r="AL16" s="9">
        <f>Assumptions!$D$80+SUMIF(Assumptions!$D$77:$H$77,"&lt;="&amp;YEAR(AL$3),Assumptions!$D$78:$H$78)</f>
        <v/>
      </c>
      <c r="AM16" s="9">
        <f>Assumptions!$D$80+SUMIF(Assumptions!$D$77:$H$77,"&lt;="&amp;YEAR(AM$3),Assumptions!$D$78:$H$78)</f>
        <v/>
      </c>
      <c r="AN16" s="9">
        <f>Assumptions!$D$80+SUMIF(Assumptions!$D$77:$H$77,"&lt;="&amp;YEAR(AN$3),Assumptions!$D$78:$H$78)</f>
        <v/>
      </c>
      <c r="AO16" s="9">
        <f>Assumptions!$D$80+SUMIF(Assumptions!$D$77:$H$77,"&lt;="&amp;YEAR(AO$3),Assumptions!$D$78:$H$78)</f>
        <v/>
      </c>
      <c r="AP16" s="9">
        <f>Assumptions!$D$80+SUMIF(Assumptions!$D$77:$H$77,"&lt;="&amp;YEAR(AP$3),Assumptions!$D$78:$H$78)</f>
        <v/>
      </c>
      <c r="AQ16" s="9">
        <f>Assumptions!$D$80+SUMIF(Assumptions!$D$77:$H$77,"&lt;="&amp;YEAR(AQ$3),Assumptions!$D$78:$H$78)</f>
        <v/>
      </c>
      <c r="AR16" s="9">
        <f>Assumptions!$D$80+SUMIF(Assumptions!$D$77:$H$77,"&lt;="&amp;YEAR(AR$3),Assumptions!$D$78:$H$78)</f>
        <v/>
      </c>
      <c r="AS16" s="9">
        <f>Assumptions!$D$80+SUMIF(Assumptions!$D$77:$H$77,"&lt;="&amp;YEAR(AS$3),Assumptions!$D$78:$H$78)</f>
        <v/>
      </c>
      <c r="AT16" s="9">
        <f>Assumptions!$D$80+SUMIF(Assumptions!$D$77:$H$77,"&lt;="&amp;YEAR(AT$3),Assumptions!$D$78:$H$78)</f>
        <v/>
      </c>
      <c r="AU16" s="9">
        <f>Assumptions!$D$80+SUMIF(Assumptions!$D$77:$H$77,"&lt;="&amp;YEAR(AU$3),Assumptions!$D$78:$H$78)</f>
        <v/>
      </c>
      <c r="AV16" s="9">
        <f>Assumptions!$D$80+SUMIF(Assumptions!$D$77:$H$77,"&lt;="&amp;YEAR(AV$3),Assumptions!$D$78:$H$78)</f>
        <v/>
      </c>
      <c r="AW16" s="9">
        <f>Assumptions!$D$80+SUMIF(Assumptions!$D$77:$H$77,"&lt;="&amp;YEAR(AW$3),Assumptions!$D$78:$H$78)</f>
        <v/>
      </c>
      <c r="AX16" s="9">
        <f>Assumptions!$D$80+SUMIF(Assumptions!$D$77:$H$77,"&lt;="&amp;YEAR(AX$3),Assumptions!$D$78:$H$78)</f>
        <v/>
      </c>
      <c r="AY16" s="9">
        <f>Assumptions!$D$80+SUMIF(Assumptions!$D$77:$H$77,"&lt;="&amp;YEAR(AY$3),Assumptions!$D$78:$H$78)</f>
        <v/>
      </c>
      <c r="AZ16" s="9">
        <f>Assumptions!$D$80+SUMIF(Assumptions!$D$77:$H$77,"&lt;="&amp;YEAR(AZ$3),Assumptions!$D$78:$H$78)</f>
        <v/>
      </c>
      <c r="BA16" s="9">
        <f>Assumptions!$D$80+SUMIF(Assumptions!$D$77:$H$77,"&lt;="&amp;YEAR(BA$3),Assumptions!$D$78:$H$78)</f>
        <v/>
      </c>
      <c r="BB16" s="9">
        <f>Assumptions!$D$80+SUMIF(Assumptions!$D$77:$H$77,"&lt;="&amp;YEAR(BB$3),Assumptions!$D$78:$H$78)</f>
        <v/>
      </c>
      <c r="BC16" s="9">
        <f>Assumptions!$D$80+SUMIF(Assumptions!$D$77:$H$77,"&lt;="&amp;YEAR(BC$3),Assumptions!$D$78:$H$78)</f>
        <v/>
      </c>
      <c r="BD16" s="9">
        <f>Assumptions!$D$80+SUMIF(Assumptions!$D$77:$H$77,"&lt;="&amp;YEAR(BD$3),Assumptions!$D$78:$H$78)</f>
        <v/>
      </c>
      <c r="BE16" s="9">
        <f>Assumptions!$D$80+SUMIF(Assumptions!$D$77:$H$77,"&lt;="&amp;YEAR(BE$3),Assumptions!$D$78:$H$78)</f>
        <v/>
      </c>
      <c r="BF16" s="9">
        <f>Assumptions!$D$80+SUMIF(Assumptions!$D$77:$H$77,"&lt;="&amp;YEAR(BF$3),Assumptions!$D$78:$H$78)</f>
        <v/>
      </c>
      <c r="BG16" s="9">
        <f>Assumptions!$D$80+SUMIF(Assumptions!$D$77:$H$77,"&lt;="&amp;YEAR(BG$3),Assumptions!$D$78:$H$78)</f>
        <v/>
      </c>
      <c r="BH16" s="9">
        <f>Assumptions!$D$80+SUMIF(Assumptions!$D$77:$H$77,"&lt;="&amp;YEAR(BH$3),Assumptions!$D$78:$H$78)</f>
        <v/>
      </c>
      <c r="BI16" s="9">
        <f>Assumptions!$D$80+SUMIF(Assumptions!$D$77:$H$77,"&lt;="&amp;YEAR(BI$3),Assumptions!$D$78:$H$78)</f>
        <v/>
      </c>
      <c r="BJ16" s="9">
        <f>Assumptions!$D$80+SUMIF(Assumptions!$D$77:$H$77,"&lt;="&amp;YEAR(BJ$3),Assumptions!$D$78:$H$78)</f>
        <v/>
      </c>
      <c r="BK16" s="9">
        <f>Assumptions!$D$80+SUMIF(Assumptions!$D$77:$H$77,"&lt;="&amp;YEAR(BK$3),Assumptions!$D$78:$H$78)</f>
        <v/>
      </c>
      <c r="BL16" s="9">
        <f>Assumptions!$D$80+SUMIF(Assumptions!$D$77:$H$77,"&lt;="&amp;YEAR(BL$3),Assumptions!$D$78:$H$78)</f>
        <v/>
      </c>
      <c r="BN16" s="60">
        <f>P16</f>
        <v/>
      </c>
      <c r="BO16" s="60">
        <f>AB16</f>
        <v/>
      </c>
      <c r="BP16" s="60">
        <f>AN16</f>
        <v/>
      </c>
      <c r="BQ16" s="60">
        <f>AZ16</f>
        <v/>
      </c>
      <c r="BR16" s="60">
        <f>BL16</f>
        <v/>
      </c>
      <c r="BT16" s="32" t="inlineStr">
        <is>
          <t>the founding engineers plus everyone hired up to and including this year</t>
        </is>
      </c>
    </row>
    <row r="17">
      <c r="B17" s="6" t="inlineStr">
        <is>
          <t>Leadership, finance, HR, IT and legal</t>
        </is>
      </c>
      <c r="C17" s="17" t="inlineStr">
        <is>
          <t>FTE</t>
        </is>
      </c>
      <c r="E17" s="47" t="n">
        <v>3</v>
      </c>
      <c r="F17" s="47" t="n">
        <v>3</v>
      </c>
      <c r="G17" s="47" t="n">
        <v>3</v>
      </c>
      <c r="H17" s="47" t="n">
        <v>3</v>
      </c>
      <c r="I17" s="47" t="n">
        <v>3</v>
      </c>
      <c r="J17" s="47" t="n">
        <v>3</v>
      </c>
      <c r="K17" s="47" t="n">
        <v>3</v>
      </c>
      <c r="L17" s="47" t="n">
        <v>3</v>
      </c>
      <c r="M17" s="47" t="n">
        <v>3</v>
      </c>
      <c r="N17" s="47" t="n">
        <v>3</v>
      </c>
      <c r="O17" s="47" t="n">
        <v>3</v>
      </c>
      <c r="P17" s="47" t="n">
        <v>3</v>
      </c>
      <c r="Q17" s="47" t="n">
        <v>4</v>
      </c>
      <c r="R17" s="47" t="n">
        <v>4</v>
      </c>
      <c r="S17" s="47" t="n">
        <v>4</v>
      </c>
      <c r="T17" s="47" t="n">
        <v>4</v>
      </c>
      <c r="U17" s="47" t="n">
        <v>4</v>
      </c>
      <c r="V17" s="47" t="n">
        <v>4</v>
      </c>
      <c r="W17" s="47" t="n">
        <v>4</v>
      </c>
      <c r="X17" s="47" t="n">
        <v>4</v>
      </c>
      <c r="Y17" s="47" t="n">
        <v>4</v>
      </c>
      <c r="Z17" s="47" t="n">
        <v>4</v>
      </c>
      <c r="AA17" s="47" t="n">
        <v>4</v>
      </c>
      <c r="AB17" s="47" t="n">
        <v>4</v>
      </c>
      <c r="AC17" s="47" t="n">
        <v>5</v>
      </c>
      <c r="AD17" s="47" t="n">
        <v>5</v>
      </c>
      <c r="AE17" s="47" t="n">
        <v>5</v>
      </c>
      <c r="AF17" s="47" t="n">
        <v>5</v>
      </c>
      <c r="AG17" s="47" t="n">
        <v>5</v>
      </c>
      <c r="AH17" s="47" t="n">
        <v>5</v>
      </c>
      <c r="AI17" s="47" t="n">
        <v>5</v>
      </c>
      <c r="AJ17" s="47" t="n">
        <v>5</v>
      </c>
      <c r="AK17" s="47" t="n">
        <v>5</v>
      </c>
      <c r="AL17" s="47" t="n">
        <v>5</v>
      </c>
      <c r="AM17" s="47" t="n">
        <v>5</v>
      </c>
      <c r="AN17" s="47" t="n">
        <v>5</v>
      </c>
      <c r="AO17" s="47" t="n">
        <v>6</v>
      </c>
      <c r="AP17" s="47" t="n">
        <v>6</v>
      </c>
      <c r="AQ17" s="47" t="n">
        <v>6</v>
      </c>
      <c r="AR17" s="47" t="n">
        <v>6</v>
      </c>
      <c r="AS17" s="47" t="n">
        <v>6</v>
      </c>
      <c r="AT17" s="47" t="n">
        <v>6</v>
      </c>
      <c r="AU17" s="47" t="n">
        <v>6</v>
      </c>
      <c r="AV17" s="47" t="n">
        <v>6</v>
      </c>
      <c r="AW17" s="47" t="n">
        <v>6</v>
      </c>
      <c r="AX17" s="47" t="n">
        <v>6</v>
      </c>
      <c r="AY17" s="47" t="n">
        <v>6</v>
      </c>
      <c r="AZ17" s="47" t="n">
        <v>6</v>
      </c>
      <c r="BA17" s="47" t="n">
        <v>8</v>
      </c>
      <c r="BB17" s="47" t="n">
        <v>8</v>
      </c>
      <c r="BC17" s="47" t="n">
        <v>8</v>
      </c>
      <c r="BD17" s="47" t="n">
        <v>8</v>
      </c>
      <c r="BE17" s="47" t="n">
        <v>8</v>
      </c>
      <c r="BF17" s="47" t="n">
        <v>8</v>
      </c>
      <c r="BG17" s="47" t="n">
        <v>8</v>
      </c>
      <c r="BH17" s="47" t="n">
        <v>8</v>
      </c>
      <c r="BI17" s="47" t="n">
        <v>8</v>
      </c>
      <c r="BJ17" s="47" t="n">
        <v>8</v>
      </c>
      <c r="BK17" s="47" t="n">
        <v>8</v>
      </c>
      <c r="BL17" s="47" t="n">
        <v>8</v>
      </c>
      <c r="BN17" s="60">
        <f>P17</f>
        <v/>
      </c>
      <c r="BO17" s="60">
        <f>AB17</f>
        <v/>
      </c>
      <c r="BP17" s="60">
        <f>AN17</f>
        <v/>
      </c>
      <c r="BQ17" s="60">
        <f>AZ17</f>
        <v/>
      </c>
      <c r="BR17" s="60">
        <f>BL17</f>
        <v/>
      </c>
      <c r="BT17" s="32" t="inlineStr">
        <is>
          <t>typed here, not driven: the leadership team, then finance, HR, IT and legal as the company grows. Same in both cases</t>
        </is>
      </c>
    </row>
    <row r="18">
      <c r="B18" s="6" t="inlineStr">
        <is>
          <t>Field service engineers</t>
        </is>
      </c>
      <c r="C18" s="17" t="inlineStr">
        <is>
          <t>FTE</t>
        </is>
      </c>
      <c r="E18" s="9">
        <f>ROUND('Revenue Forecast'!E41*Assumptions!$D$42/Assumptions!$D$89,0)</f>
        <v/>
      </c>
      <c r="F18" s="9">
        <f>ROUND('Revenue Forecast'!F41*Assumptions!$D$42/Assumptions!$D$89,0)</f>
        <v/>
      </c>
      <c r="G18" s="9">
        <f>ROUND('Revenue Forecast'!G41*Assumptions!$D$42/Assumptions!$D$89,0)</f>
        <v/>
      </c>
      <c r="H18" s="9">
        <f>ROUND('Revenue Forecast'!H41*Assumptions!$D$42/Assumptions!$D$89,0)</f>
        <v/>
      </c>
      <c r="I18" s="9">
        <f>ROUND('Revenue Forecast'!I41*Assumptions!$D$42/Assumptions!$D$89,0)</f>
        <v/>
      </c>
      <c r="J18" s="9">
        <f>ROUND('Revenue Forecast'!J41*Assumptions!$D$42/Assumptions!$D$89,0)</f>
        <v/>
      </c>
      <c r="K18" s="9">
        <f>ROUND('Revenue Forecast'!K41*Assumptions!$D$42/Assumptions!$D$89,0)</f>
        <v/>
      </c>
      <c r="L18" s="9">
        <f>ROUND('Revenue Forecast'!L41*Assumptions!$D$42/Assumptions!$D$89,0)</f>
        <v/>
      </c>
      <c r="M18" s="9">
        <f>ROUND('Revenue Forecast'!M41*Assumptions!$D$42/Assumptions!$D$89,0)</f>
        <v/>
      </c>
      <c r="N18" s="9">
        <f>ROUND('Revenue Forecast'!N41*Assumptions!$D$42/Assumptions!$D$89,0)</f>
        <v/>
      </c>
      <c r="O18" s="9">
        <f>ROUND('Revenue Forecast'!O41*Assumptions!$D$42/Assumptions!$D$89,0)</f>
        <v/>
      </c>
      <c r="P18" s="9">
        <f>ROUND('Revenue Forecast'!P41*Assumptions!$D$42/Assumptions!$D$89,0)</f>
        <v/>
      </c>
      <c r="Q18" s="9">
        <f>ROUND('Revenue Forecast'!Q41*Assumptions!$D$42/Assumptions!$D$89,0)</f>
        <v/>
      </c>
      <c r="R18" s="9">
        <f>ROUND('Revenue Forecast'!R41*Assumptions!$D$42/Assumptions!$D$89,0)</f>
        <v/>
      </c>
      <c r="S18" s="9">
        <f>ROUND('Revenue Forecast'!S41*Assumptions!$D$42/Assumptions!$D$89,0)</f>
        <v/>
      </c>
      <c r="T18" s="9">
        <f>ROUND('Revenue Forecast'!T41*Assumptions!$D$42/Assumptions!$D$89,0)</f>
        <v/>
      </c>
      <c r="U18" s="9">
        <f>ROUND('Revenue Forecast'!U41*Assumptions!$D$42/Assumptions!$D$89,0)</f>
        <v/>
      </c>
      <c r="V18" s="9">
        <f>ROUND('Revenue Forecast'!V41*Assumptions!$D$42/Assumptions!$D$89,0)</f>
        <v/>
      </c>
      <c r="W18" s="9">
        <f>ROUND('Revenue Forecast'!W41*Assumptions!$D$42/Assumptions!$D$89,0)</f>
        <v/>
      </c>
      <c r="X18" s="9">
        <f>ROUND('Revenue Forecast'!X41*Assumptions!$D$42/Assumptions!$D$89,0)</f>
        <v/>
      </c>
      <c r="Y18" s="9">
        <f>ROUND('Revenue Forecast'!Y41*Assumptions!$D$42/Assumptions!$D$89,0)</f>
        <v/>
      </c>
      <c r="Z18" s="9">
        <f>ROUND('Revenue Forecast'!Z41*Assumptions!$D$42/Assumptions!$D$89,0)</f>
        <v/>
      </c>
      <c r="AA18" s="9">
        <f>ROUND('Revenue Forecast'!AA41*Assumptions!$D$42/Assumptions!$D$89,0)</f>
        <v/>
      </c>
      <c r="AB18" s="9">
        <f>ROUND('Revenue Forecast'!AB41*Assumptions!$D$42/Assumptions!$D$89,0)</f>
        <v/>
      </c>
      <c r="AC18" s="9">
        <f>ROUND('Revenue Forecast'!AC41*Assumptions!$D$42/Assumptions!$D$89,0)</f>
        <v/>
      </c>
      <c r="AD18" s="9">
        <f>ROUND('Revenue Forecast'!AD41*Assumptions!$D$42/Assumptions!$D$89,0)</f>
        <v/>
      </c>
      <c r="AE18" s="9">
        <f>ROUND('Revenue Forecast'!AE41*Assumptions!$D$42/Assumptions!$D$89,0)</f>
        <v/>
      </c>
      <c r="AF18" s="9">
        <f>ROUND('Revenue Forecast'!AF41*Assumptions!$D$42/Assumptions!$D$89,0)</f>
        <v/>
      </c>
      <c r="AG18" s="9">
        <f>ROUND('Revenue Forecast'!AG41*Assumptions!$D$42/Assumptions!$D$89,0)</f>
        <v/>
      </c>
      <c r="AH18" s="9">
        <f>ROUND('Revenue Forecast'!AH41*Assumptions!$D$42/Assumptions!$D$89,0)</f>
        <v/>
      </c>
      <c r="AI18" s="9">
        <f>ROUND('Revenue Forecast'!AI41*Assumptions!$D$42/Assumptions!$D$89,0)</f>
        <v/>
      </c>
      <c r="AJ18" s="9">
        <f>ROUND('Revenue Forecast'!AJ41*Assumptions!$D$42/Assumptions!$D$89,0)</f>
        <v/>
      </c>
      <c r="AK18" s="9">
        <f>ROUND('Revenue Forecast'!AK41*Assumptions!$D$42/Assumptions!$D$89,0)</f>
        <v/>
      </c>
      <c r="AL18" s="9">
        <f>ROUND('Revenue Forecast'!AL41*Assumptions!$D$42/Assumptions!$D$89,0)</f>
        <v/>
      </c>
      <c r="AM18" s="9">
        <f>ROUND('Revenue Forecast'!AM41*Assumptions!$D$42/Assumptions!$D$89,0)</f>
        <v/>
      </c>
      <c r="AN18" s="9">
        <f>ROUND('Revenue Forecast'!AN41*Assumptions!$D$42/Assumptions!$D$89,0)</f>
        <v/>
      </c>
      <c r="AO18" s="9">
        <f>ROUND('Revenue Forecast'!AO41*Assumptions!$D$42/Assumptions!$D$89,0)</f>
        <v/>
      </c>
      <c r="AP18" s="9">
        <f>ROUND('Revenue Forecast'!AP41*Assumptions!$D$42/Assumptions!$D$89,0)</f>
        <v/>
      </c>
      <c r="AQ18" s="9">
        <f>ROUND('Revenue Forecast'!AQ41*Assumptions!$D$42/Assumptions!$D$89,0)</f>
        <v/>
      </c>
      <c r="AR18" s="9">
        <f>ROUND('Revenue Forecast'!AR41*Assumptions!$D$42/Assumptions!$D$89,0)</f>
        <v/>
      </c>
      <c r="AS18" s="9">
        <f>ROUND('Revenue Forecast'!AS41*Assumptions!$D$42/Assumptions!$D$89,0)</f>
        <v/>
      </c>
      <c r="AT18" s="9">
        <f>ROUND('Revenue Forecast'!AT41*Assumptions!$D$42/Assumptions!$D$89,0)</f>
        <v/>
      </c>
      <c r="AU18" s="9">
        <f>ROUND('Revenue Forecast'!AU41*Assumptions!$D$42/Assumptions!$D$89,0)</f>
        <v/>
      </c>
      <c r="AV18" s="9">
        <f>ROUND('Revenue Forecast'!AV41*Assumptions!$D$42/Assumptions!$D$89,0)</f>
        <v/>
      </c>
      <c r="AW18" s="9">
        <f>ROUND('Revenue Forecast'!AW41*Assumptions!$D$42/Assumptions!$D$89,0)</f>
        <v/>
      </c>
      <c r="AX18" s="9">
        <f>ROUND('Revenue Forecast'!AX41*Assumptions!$D$42/Assumptions!$D$89,0)</f>
        <v/>
      </c>
      <c r="AY18" s="9">
        <f>ROUND('Revenue Forecast'!AY41*Assumptions!$D$42/Assumptions!$D$89,0)</f>
        <v/>
      </c>
      <c r="AZ18" s="9">
        <f>ROUND('Revenue Forecast'!AZ41*Assumptions!$D$42/Assumptions!$D$89,0)</f>
        <v/>
      </c>
      <c r="BA18" s="9">
        <f>ROUND('Revenue Forecast'!BA41*Assumptions!$D$42/Assumptions!$D$89,0)</f>
        <v/>
      </c>
      <c r="BB18" s="9">
        <f>ROUND('Revenue Forecast'!BB41*Assumptions!$D$42/Assumptions!$D$89,0)</f>
        <v/>
      </c>
      <c r="BC18" s="9">
        <f>ROUND('Revenue Forecast'!BC41*Assumptions!$D$42/Assumptions!$D$89,0)</f>
        <v/>
      </c>
      <c r="BD18" s="9">
        <f>ROUND('Revenue Forecast'!BD41*Assumptions!$D$42/Assumptions!$D$89,0)</f>
        <v/>
      </c>
      <c r="BE18" s="9">
        <f>ROUND('Revenue Forecast'!BE41*Assumptions!$D$42/Assumptions!$D$89,0)</f>
        <v/>
      </c>
      <c r="BF18" s="9">
        <f>ROUND('Revenue Forecast'!BF41*Assumptions!$D$42/Assumptions!$D$89,0)</f>
        <v/>
      </c>
      <c r="BG18" s="9">
        <f>ROUND('Revenue Forecast'!BG41*Assumptions!$D$42/Assumptions!$D$89,0)</f>
        <v/>
      </c>
      <c r="BH18" s="9">
        <f>ROUND('Revenue Forecast'!BH41*Assumptions!$D$42/Assumptions!$D$89,0)</f>
        <v/>
      </c>
      <c r="BI18" s="9">
        <f>ROUND('Revenue Forecast'!BI41*Assumptions!$D$42/Assumptions!$D$89,0)</f>
        <v/>
      </c>
      <c r="BJ18" s="9">
        <f>ROUND('Revenue Forecast'!BJ41*Assumptions!$D$42/Assumptions!$D$89,0)</f>
        <v/>
      </c>
      <c r="BK18" s="9">
        <f>ROUND('Revenue Forecast'!BK41*Assumptions!$D$42/Assumptions!$D$89,0)</f>
        <v/>
      </c>
      <c r="BL18" s="9">
        <f>ROUND('Revenue Forecast'!BL41*Assumptions!$D$42/Assumptions!$D$89,0)</f>
        <v/>
      </c>
      <c r="BN18" s="60">
        <f>P18</f>
        <v/>
      </c>
      <c r="BO18" s="60">
        <f>AB18</f>
        <v/>
      </c>
      <c r="BP18" s="60">
        <f>AN18</f>
        <v/>
      </c>
      <c r="BQ18" s="60">
        <f>AZ18</f>
        <v/>
      </c>
      <c r="BR18" s="60">
        <f>BL18</f>
        <v/>
      </c>
      <c r="BT18" s="32" t="inlineStr">
        <is>
          <t>salaried staff: installed units on a service contract divided by the units one engineer can look after</t>
        </is>
      </c>
    </row>
    <row r="19">
      <c r="B19" s="56" t="inlineStr">
        <is>
          <t>Operations, support and administration</t>
        </is>
      </c>
      <c r="C19" s="57" t="inlineStr">
        <is>
          <t>FTE</t>
        </is>
      </c>
      <c r="E19" s="74">
        <f>SUM(E12:E18)</f>
        <v/>
      </c>
      <c r="F19" s="74">
        <f>SUM(F12:F18)</f>
        <v/>
      </c>
      <c r="G19" s="74">
        <f>SUM(G12:G18)</f>
        <v/>
      </c>
      <c r="H19" s="74">
        <f>SUM(H12:H18)</f>
        <v/>
      </c>
      <c r="I19" s="74">
        <f>SUM(I12:I18)</f>
        <v/>
      </c>
      <c r="J19" s="74">
        <f>SUM(J12:J18)</f>
        <v/>
      </c>
      <c r="K19" s="74">
        <f>SUM(K12:K18)</f>
        <v/>
      </c>
      <c r="L19" s="74">
        <f>SUM(L12:L18)</f>
        <v/>
      </c>
      <c r="M19" s="74">
        <f>SUM(M12:M18)</f>
        <v/>
      </c>
      <c r="N19" s="74">
        <f>SUM(N12:N18)</f>
        <v/>
      </c>
      <c r="O19" s="74">
        <f>SUM(O12:O18)</f>
        <v/>
      </c>
      <c r="P19" s="74">
        <f>SUM(P12:P18)</f>
        <v/>
      </c>
      <c r="Q19" s="74">
        <f>SUM(Q12:Q18)</f>
        <v/>
      </c>
      <c r="R19" s="74">
        <f>SUM(R12:R18)</f>
        <v/>
      </c>
      <c r="S19" s="74">
        <f>SUM(S12:S18)</f>
        <v/>
      </c>
      <c r="T19" s="74">
        <f>SUM(T12:T18)</f>
        <v/>
      </c>
      <c r="U19" s="74">
        <f>SUM(U12:U18)</f>
        <v/>
      </c>
      <c r="V19" s="74">
        <f>SUM(V12:V18)</f>
        <v/>
      </c>
      <c r="W19" s="74">
        <f>SUM(W12:W18)</f>
        <v/>
      </c>
      <c r="X19" s="74">
        <f>SUM(X12:X18)</f>
        <v/>
      </c>
      <c r="Y19" s="74">
        <f>SUM(Y12:Y18)</f>
        <v/>
      </c>
      <c r="Z19" s="74">
        <f>SUM(Z12:Z18)</f>
        <v/>
      </c>
      <c r="AA19" s="74">
        <f>SUM(AA12:AA18)</f>
        <v/>
      </c>
      <c r="AB19" s="74">
        <f>SUM(AB12:AB18)</f>
        <v/>
      </c>
      <c r="AC19" s="74">
        <f>SUM(AC12:AC18)</f>
        <v/>
      </c>
      <c r="AD19" s="74">
        <f>SUM(AD12:AD18)</f>
        <v/>
      </c>
      <c r="AE19" s="74">
        <f>SUM(AE12:AE18)</f>
        <v/>
      </c>
      <c r="AF19" s="74">
        <f>SUM(AF12:AF18)</f>
        <v/>
      </c>
      <c r="AG19" s="74">
        <f>SUM(AG12:AG18)</f>
        <v/>
      </c>
      <c r="AH19" s="74">
        <f>SUM(AH12:AH18)</f>
        <v/>
      </c>
      <c r="AI19" s="74">
        <f>SUM(AI12:AI18)</f>
        <v/>
      </c>
      <c r="AJ19" s="74">
        <f>SUM(AJ12:AJ18)</f>
        <v/>
      </c>
      <c r="AK19" s="74">
        <f>SUM(AK12:AK18)</f>
        <v/>
      </c>
      <c r="AL19" s="74">
        <f>SUM(AL12:AL18)</f>
        <v/>
      </c>
      <c r="AM19" s="74">
        <f>SUM(AM12:AM18)</f>
        <v/>
      </c>
      <c r="AN19" s="74">
        <f>SUM(AN12:AN18)</f>
        <v/>
      </c>
      <c r="AO19" s="74">
        <f>SUM(AO12:AO18)</f>
        <v/>
      </c>
      <c r="AP19" s="74">
        <f>SUM(AP12:AP18)</f>
        <v/>
      </c>
      <c r="AQ19" s="74">
        <f>SUM(AQ12:AQ18)</f>
        <v/>
      </c>
      <c r="AR19" s="74">
        <f>SUM(AR12:AR18)</f>
        <v/>
      </c>
      <c r="AS19" s="74">
        <f>SUM(AS12:AS18)</f>
        <v/>
      </c>
      <c r="AT19" s="74">
        <f>SUM(AT12:AT18)</f>
        <v/>
      </c>
      <c r="AU19" s="74">
        <f>SUM(AU12:AU18)</f>
        <v/>
      </c>
      <c r="AV19" s="74">
        <f>SUM(AV12:AV18)</f>
        <v/>
      </c>
      <c r="AW19" s="74">
        <f>SUM(AW12:AW18)</f>
        <v/>
      </c>
      <c r="AX19" s="74">
        <f>SUM(AX12:AX18)</f>
        <v/>
      </c>
      <c r="AY19" s="74">
        <f>SUM(AY12:AY18)</f>
        <v/>
      </c>
      <c r="AZ19" s="74">
        <f>SUM(AZ12:AZ18)</f>
        <v/>
      </c>
      <c r="BA19" s="74">
        <f>SUM(BA12:BA18)</f>
        <v/>
      </c>
      <c r="BB19" s="74">
        <f>SUM(BB12:BB18)</f>
        <v/>
      </c>
      <c r="BC19" s="74">
        <f>SUM(BC12:BC18)</f>
        <v/>
      </c>
      <c r="BD19" s="74">
        <f>SUM(BD12:BD18)</f>
        <v/>
      </c>
      <c r="BE19" s="74">
        <f>SUM(BE12:BE18)</f>
        <v/>
      </c>
      <c r="BF19" s="74">
        <f>SUM(BF12:BF18)</f>
        <v/>
      </c>
      <c r="BG19" s="74">
        <f>SUM(BG12:BG18)</f>
        <v/>
      </c>
      <c r="BH19" s="74">
        <f>SUM(BH12:BH18)</f>
        <v/>
      </c>
      <c r="BI19" s="74">
        <f>SUM(BI12:BI18)</f>
        <v/>
      </c>
      <c r="BJ19" s="74">
        <f>SUM(BJ12:BJ18)</f>
        <v/>
      </c>
      <c r="BK19" s="74">
        <f>SUM(BK12:BK18)</f>
        <v/>
      </c>
      <c r="BL19" s="74">
        <f>SUM(BL12:BL18)</f>
        <v/>
      </c>
      <c r="BN19" s="74">
        <f>P19</f>
        <v/>
      </c>
      <c r="BO19" s="74">
        <f>AB19</f>
        <v/>
      </c>
      <c r="BP19" s="74">
        <f>AN19</f>
        <v/>
      </c>
      <c r="BQ19" s="74">
        <f>AZ19</f>
        <v/>
      </c>
      <c r="BR19" s="74">
        <f>BL19</f>
        <v/>
      </c>
    </row>
    <row r="20">
      <c r="B20" s="15" t="inlineStr">
        <is>
          <t>Total headcount</t>
        </is>
      </c>
      <c r="C20" s="51" t="inlineStr">
        <is>
          <t>FTE</t>
        </is>
      </c>
      <c r="D20" s="2" t="n"/>
      <c r="E20" s="75">
        <f>E11+E19</f>
        <v/>
      </c>
      <c r="F20" s="75">
        <f>F11+F19</f>
        <v/>
      </c>
      <c r="G20" s="75">
        <f>G11+G19</f>
        <v/>
      </c>
      <c r="H20" s="75">
        <f>H11+H19</f>
        <v/>
      </c>
      <c r="I20" s="75">
        <f>I11+I19</f>
        <v/>
      </c>
      <c r="J20" s="75">
        <f>J11+J19</f>
        <v/>
      </c>
      <c r="K20" s="75">
        <f>K11+K19</f>
        <v/>
      </c>
      <c r="L20" s="75">
        <f>L11+L19</f>
        <v/>
      </c>
      <c r="M20" s="75">
        <f>M11+M19</f>
        <v/>
      </c>
      <c r="N20" s="75">
        <f>N11+N19</f>
        <v/>
      </c>
      <c r="O20" s="75">
        <f>O11+O19</f>
        <v/>
      </c>
      <c r="P20" s="75">
        <f>P11+P19</f>
        <v/>
      </c>
      <c r="Q20" s="75">
        <f>Q11+Q19</f>
        <v/>
      </c>
      <c r="R20" s="75">
        <f>R11+R19</f>
        <v/>
      </c>
      <c r="S20" s="75">
        <f>S11+S19</f>
        <v/>
      </c>
      <c r="T20" s="75">
        <f>T11+T19</f>
        <v/>
      </c>
      <c r="U20" s="75">
        <f>U11+U19</f>
        <v/>
      </c>
      <c r="V20" s="75">
        <f>V11+V19</f>
        <v/>
      </c>
      <c r="W20" s="75">
        <f>W11+W19</f>
        <v/>
      </c>
      <c r="X20" s="75">
        <f>X11+X19</f>
        <v/>
      </c>
      <c r="Y20" s="75">
        <f>Y11+Y19</f>
        <v/>
      </c>
      <c r="Z20" s="75">
        <f>Z11+Z19</f>
        <v/>
      </c>
      <c r="AA20" s="75">
        <f>AA11+AA19</f>
        <v/>
      </c>
      <c r="AB20" s="75">
        <f>AB11+AB19</f>
        <v/>
      </c>
      <c r="AC20" s="75">
        <f>AC11+AC19</f>
        <v/>
      </c>
      <c r="AD20" s="75">
        <f>AD11+AD19</f>
        <v/>
      </c>
      <c r="AE20" s="75">
        <f>AE11+AE19</f>
        <v/>
      </c>
      <c r="AF20" s="75">
        <f>AF11+AF19</f>
        <v/>
      </c>
      <c r="AG20" s="75">
        <f>AG11+AG19</f>
        <v/>
      </c>
      <c r="AH20" s="75">
        <f>AH11+AH19</f>
        <v/>
      </c>
      <c r="AI20" s="75">
        <f>AI11+AI19</f>
        <v/>
      </c>
      <c r="AJ20" s="75">
        <f>AJ11+AJ19</f>
        <v/>
      </c>
      <c r="AK20" s="75">
        <f>AK11+AK19</f>
        <v/>
      </c>
      <c r="AL20" s="75">
        <f>AL11+AL19</f>
        <v/>
      </c>
      <c r="AM20" s="75">
        <f>AM11+AM19</f>
        <v/>
      </c>
      <c r="AN20" s="75">
        <f>AN11+AN19</f>
        <v/>
      </c>
      <c r="AO20" s="75">
        <f>AO11+AO19</f>
        <v/>
      </c>
      <c r="AP20" s="75">
        <f>AP11+AP19</f>
        <v/>
      </c>
      <c r="AQ20" s="75">
        <f>AQ11+AQ19</f>
        <v/>
      </c>
      <c r="AR20" s="75">
        <f>AR11+AR19</f>
        <v/>
      </c>
      <c r="AS20" s="75">
        <f>AS11+AS19</f>
        <v/>
      </c>
      <c r="AT20" s="75">
        <f>AT11+AT19</f>
        <v/>
      </c>
      <c r="AU20" s="75">
        <f>AU11+AU19</f>
        <v/>
      </c>
      <c r="AV20" s="75">
        <f>AV11+AV19</f>
        <v/>
      </c>
      <c r="AW20" s="75">
        <f>AW11+AW19</f>
        <v/>
      </c>
      <c r="AX20" s="75">
        <f>AX11+AX19</f>
        <v/>
      </c>
      <c r="AY20" s="75">
        <f>AY11+AY19</f>
        <v/>
      </c>
      <c r="AZ20" s="75">
        <f>AZ11+AZ19</f>
        <v/>
      </c>
      <c r="BA20" s="75">
        <f>BA11+BA19</f>
        <v/>
      </c>
      <c r="BB20" s="75">
        <f>BB11+BB19</f>
        <v/>
      </c>
      <c r="BC20" s="75">
        <f>BC11+BC19</f>
        <v/>
      </c>
      <c r="BD20" s="75">
        <f>BD11+BD19</f>
        <v/>
      </c>
      <c r="BE20" s="75">
        <f>BE11+BE19</f>
        <v/>
      </c>
      <c r="BF20" s="75">
        <f>BF11+BF19</f>
        <v/>
      </c>
      <c r="BG20" s="75">
        <f>BG11+BG19</f>
        <v/>
      </c>
      <c r="BH20" s="75">
        <f>BH11+BH19</f>
        <v/>
      </c>
      <c r="BI20" s="75">
        <f>BI11+BI19</f>
        <v/>
      </c>
      <c r="BJ20" s="75">
        <f>BJ11+BJ19</f>
        <v/>
      </c>
      <c r="BK20" s="75">
        <f>BK11+BK19</f>
        <v/>
      </c>
      <c r="BL20" s="75">
        <f>BL11+BL19</f>
        <v/>
      </c>
      <c r="BM20" s="2" t="n"/>
      <c r="BN20" s="75">
        <f>P20</f>
        <v/>
      </c>
      <c r="BO20" s="75">
        <f>AB20</f>
        <v/>
      </c>
      <c r="BP20" s="75">
        <f>AN20</f>
        <v/>
      </c>
      <c r="BQ20" s="75">
        <f>AZ20</f>
        <v/>
      </c>
      <c r="BR20" s="75">
        <f>BL20</f>
        <v/>
      </c>
      <c r="BS20" s="2" t="n"/>
    </row>
    <row r="25">
      <c r="B25" s="15" t="inlineStr">
        <is>
          <t>COST BY DEPARTMENT</t>
        </is>
      </c>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c r="AD25" s="1" t="n"/>
      <c r="AE25" s="1" t="n"/>
      <c r="AF25" s="1" t="n"/>
      <c r="AG25" s="1" t="n"/>
      <c r="AH25" s="1" t="n"/>
      <c r="AI25" s="1" t="n"/>
      <c r="AJ25" s="1" t="n"/>
      <c r="AK25" s="1" t="n"/>
      <c r="AL25" s="1" t="n"/>
      <c r="AM25" s="1" t="n"/>
      <c r="AN25" s="1" t="n"/>
      <c r="AO25" s="1" t="n"/>
      <c r="AP25" s="1" t="n"/>
      <c r="AQ25" s="1" t="n"/>
      <c r="AR25" s="1" t="n"/>
      <c r="AS25" s="1" t="n"/>
      <c r="AT25" s="1" t="n"/>
      <c r="AU25" s="1" t="n"/>
      <c r="AV25" s="1" t="n"/>
      <c r="AW25" s="1" t="n"/>
      <c r="AX25" s="1" t="n"/>
      <c r="AY25" s="1" t="n"/>
      <c r="AZ25" s="1" t="n"/>
      <c r="BA25" s="1" t="n"/>
      <c r="BB25" s="1" t="n"/>
      <c r="BC25" s="1" t="n"/>
      <c r="BD25" s="1" t="n"/>
      <c r="BE25" s="1" t="n"/>
      <c r="BF25" s="1" t="n"/>
      <c r="BG25" s="1" t="n"/>
      <c r="BH25" s="1" t="n"/>
      <c r="BI25" s="1" t="n"/>
      <c r="BJ25" s="1" t="n"/>
      <c r="BK25" s="1" t="n"/>
      <c r="BL25" s="1" t="n"/>
      <c r="BM25" s="1" t="n"/>
      <c r="BN25" s="1" t="n"/>
      <c r="BO25" s="1" t="n"/>
      <c r="BP25" s="1" t="n"/>
      <c r="BQ25" s="1" t="n"/>
      <c r="BR25" s="1" t="n"/>
      <c r="BS25" s="1" t="n"/>
    </row>
    <row r="26">
      <c r="B26" s="6" t="inlineStr">
        <is>
          <t>Research and development</t>
        </is>
      </c>
      <c r="C26" s="17" t="inlineStr">
        <is>
          <t>EUR/mo</t>
        </is>
      </c>
      <c r="E26" s="10">
        <f>E16*Assumptions!$D$98*(1+Assumptions!$D$8)^(YEAR(E$3)-Assumptions!$D$7)</f>
        <v/>
      </c>
      <c r="F26" s="10">
        <f>F16*Assumptions!$D$98*(1+Assumptions!$D$8)^(YEAR(F$3)-Assumptions!$D$7)</f>
        <v/>
      </c>
      <c r="G26" s="10">
        <f>G16*Assumptions!$D$98*(1+Assumptions!$D$8)^(YEAR(G$3)-Assumptions!$D$7)</f>
        <v/>
      </c>
      <c r="H26" s="10">
        <f>H16*Assumptions!$D$98*(1+Assumptions!$D$8)^(YEAR(H$3)-Assumptions!$D$7)</f>
        <v/>
      </c>
      <c r="I26" s="10">
        <f>I16*Assumptions!$D$98*(1+Assumptions!$D$8)^(YEAR(I$3)-Assumptions!$D$7)</f>
        <v/>
      </c>
      <c r="J26" s="10">
        <f>J16*Assumptions!$D$98*(1+Assumptions!$D$8)^(YEAR(J$3)-Assumptions!$D$7)</f>
        <v/>
      </c>
      <c r="K26" s="10">
        <f>K16*Assumptions!$D$98*(1+Assumptions!$D$8)^(YEAR(K$3)-Assumptions!$D$7)</f>
        <v/>
      </c>
      <c r="L26" s="10">
        <f>L16*Assumptions!$D$98*(1+Assumptions!$D$8)^(YEAR(L$3)-Assumptions!$D$7)</f>
        <v/>
      </c>
      <c r="M26" s="10">
        <f>M16*Assumptions!$D$98*(1+Assumptions!$D$8)^(YEAR(M$3)-Assumptions!$D$7)</f>
        <v/>
      </c>
      <c r="N26" s="10">
        <f>N16*Assumptions!$D$98*(1+Assumptions!$D$8)^(YEAR(N$3)-Assumptions!$D$7)</f>
        <v/>
      </c>
      <c r="O26" s="10">
        <f>O16*Assumptions!$D$98*(1+Assumptions!$D$8)^(YEAR(O$3)-Assumptions!$D$7)</f>
        <v/>
      </c>
      <c r="P26" s="10">
        <f>P16*Assumptions!$D$98*(1+Assumptions!$D$8)^(YEAR(P$3)-Assumptions!$D$7)</f>
        <v/>
      </c>
      <c r="Q26" s="10">
        <f>Q16*Assumptions!$D$98*(1+Assumptions!$D$8)^(YEAR(Q$3)-Assumptions!$D$7)</f>
        <v/>
      </c>
      <c r="R26" s="10">
        <f>R16*Assumptions!$D$98*(1+Assumptions!$D$8)^(YEAR(R$3)-Assumptions!$D$7)</f>
        <v/>
      </c>
      <c r="S26" s="10">
        <f>S16*Assumptions!$D$98*(1+Assumptions!$D$8)^(YEAR(S$3)-Assumptions!$D$7)</f>
        <v/>
      </c>
      <c r="T26" s="10">
        <f>T16*Assumptions!$D$98*(1+Assumptions!$D$8)^(YEAR(T$3)-Assumptions!$D$7)</f>
        <v/>
      </c>
      <c r="U26" s="10">
        <f>U16*Assumptions!$D$98*(1+Assumptions!$D$8)^(YEAR(U$3)-Assumptions!$D$7)</f>
        <v/>
      </c>
      <c r="V26" s="10">
        <f>V16*Assumptions!$D$98*(1+Assumptions!$D$8)^(YEAR(V$3)-Assumptions!$D$7)</f>
        <v/>
      </c>
      <c r="W26" s="10">
        <f>W16*Assumptions!$D$98*(1+Assumptions!$D$8)^(YEAR(W$3)-Assumptions!$D$7)</f>
        <v/>
      </c>
      <c r="X26" s="10">
        <f>X16*Assumptions!$D$98*(1+Assumptions!$D$8)^(YEAR(X$3)-Assumptions!$D$7)</f>
        <v/>
      </c>
      <c r="Y26" s="10">
        <f>Y16*Assumptions!$D$98*(1+Assumptions!$D$8)^(YEAR(Y$3)-Assumptions!$D$7)</f>
        <v/>
      </c>
      <c r="Z26" s="10">
        <f>Z16*Assumptions!$D$98*(1+Assumptions!$D$8)^(YEAR(Z$3)-Assumptions!$D$7)</f>
        <v/>
      </c>
      <c r="AA26" s="10">
        <f>AA16*Assumptions!$D$98*(1+Assumptions!$D$8)^(YEAR(AA$3)-Assumptions!$D$7)</f>
        <v/>
      </c>
      <c r="AB26" s="10">
        <f>AB16*Assumptions!$D$98*(1+Assumptions!$D$8)^(YEAR(AB$3)-Assumptions!$D$7)</f>
        <v/>
      </c>
      <c r="AC26" s="10">
        <f>AC16*Assumptions!$D$98*(1+Assumptions!$D$8)^(YEAR(AC$3)-Assumptions!$D$7)</f>
        <v/>
      </c>
      <c r="AD26" s="10">
        <f>AD16*Assumptions!$D$98*(1+Assumptions!$D$8)^(YEAR(AD$3)-Assumptions!$D$7)</f>
        <v/>
      </c>
      <c r="AE26" s="10">
        <f>AE16*Assumptions!$D$98*(1+Assumptions!$D$8)^(YEAR(AE$3)-Assumptions!$D$7)</f>
        <v/>
      </c>
      <c r="AF26" s="10">
        <f>AF16*Assumptions!$D$98*(1+Assumptions!$D$8)^(YEAR(AF$3)-Assumptions!$D$7)</f>
        <v/>
      </c>
      <c r="AG26" s="10">
        <f>AG16*Assumptions!$D$98*(1+Assumptions!$D$8)^(YEAR(AG$3)-Assumptions!$D$7)</f>
        <v/>
      </c>
      <c r="AH26" s="10">
        <f>AH16*Assumptions!$D$98*(1+Assumptions!$D$8)^(YEAR(AH$3)-Assumptions!$D$7)</f>
        <v/>
      </c>
      <c r="AI26" s="10">
        <f>AI16*Assumptions!$D$98*(1+Assumptions!$D$8)^(YEAR(AI$3)-Assumptions!$D$7)</f>
        <v/>
      </c>
      <c r="AJ26" s="10">
        <f>AJ16*Assumptions!$D$98*(1+Assumptions!$D$8)^(YEAR(AJ$3)-Assumptions!$D$7)</f>
        <v/>
      </c>
      <c r="AK26" s="10">
        <f>AK16*Assumptions!$D$98*(1+Assumptions!$D$8)^(YEAR(AK$3)-Assumptions!$D$7)</f>
        <v/>
      </c>
      <c r="AL26" s="10">
        <f>AL16*Assumptions!$D$98*(1+Assumptions!$D$8)^(YEAR(AL$3)-Assumptions!$D$7)</f>
        <v/>
      </c>
      <c r="AM26" s="10">
        <f>AM16*Assumptions!$D$98*(1+Assumptions!$D$8)^(YEAR(AM$3)-Assumptions!$D$7)</f>
        <v/>
      </c>
      <c r="AN26" s="10">
        <f>AN16*Assumptions!$D$98*(1+Assumptions!$D$8)^(YEAR(AN$3)-Assumptions!$D$7)</f>
        <v/>
      </c>
      <c r="AO26" s="10">
        <f>AO16*Assumptions!$D$98*(1+Assumptions!$D$8)^(YEAR(AO$3)-Assumptions!$D$7)</f>
        <v/>
      </c>
      <c r="AP26" s="10">
        <f>AP16*Assumptions!$D$98*(1+Assumptions!$D$8)^(YEAR(AP$3)-Assumptions!$D$7)</f>
        <v/>
      </c>
      <c r="AQ26" s="10">
        <f>AQ16*Assumptions!$D$98*(1+Assumptions!$D$8)^(YEAR(AQ$3)-Assumptions!$D$7)</f>
        <v/>
      </c>
      <c r="AR26" s="10">
        <f>AR16*Assumptions!$D$98*(1+Assumptions!$D$8)^(YEAR(AR$3)-Assumptions!$D$7)</f>
        <v/>
      </c>
      <c r="AS26" s="10">
        <f>AS16*Assumptions!$D$98*(1+Assumptions!$D$8)^(YEAR(AS$3)-Assumptions!$D$7)</f>
        <v/>
      </c>
      <c r="AT26" s="10">
        <f>AT16*Assumptions!$D$98*(1+Assumptions!$D$8)^(YEAR(AT$3)-Assumptions!$D$7)</f>
        <v/>
      </c>
      <c r="AU26" s="10">
        <f>AU16*Assumptions!$D$98*(1+Assumptions!$D$8)^(YEAR(AU$3)-Assumptions!$D$7)</f>
        <v/>
      </c>
      <c r="AV26" s="10">
        <f>AV16*Assumptions!$D$98*(1+Assumptions!$D$8)^(YEAR(AV$3)-Assumptions!$D$7)</f>
        <v/>
      </c>
      <c r="AW26" s="10">
        <f>AW16*Assumptions!$D$98*(1+Assumptions!$D$8)^(YEAR(AW$3)-Assumptions!$D$7)</f>
        <v/>
      </c>
      <c r="AX26" s="10">
        <f>AX16*Assumptions!$D$98*(1+Assumptions!$D$8)^(YEAR(AX$3)-Assumptions!$D$7)</f>
        <v/>
      </c>
      <c r="AY26" s="10">
        <f>AY16*Assumptions!$D$98*(1+Assumptions!$D$8)^(YEAR(AY$3)-Assumptions!$D$7)</f>
        <v/>
      </c>
      <c r="AZ26" s="10">
        <f>AZ16*Assumptions!$D$98*(1+Assumptions!$D$8)^(YEAR(AZ$3)-Assumptions!$D$7)</f>
        <v/>
      </c>
      <c r="BA26" s="10">
        <f>BA16*Assumptions!$D$98*(1+Assumptions!$D$8)^(YEAR(BA$3)-Assumptions!$D$7)</f>
        <v/>
      </c>
      <c r="BB26" s="10">
        <f>BB16*Assumptions!$D$98*(1+Assumptions!$D$8)^(YEAR(BB$3)-Assumptions!$D$7)</f>
        <v/>
      </c>
      <c r="BC26" s="10">
        <f>BC16*Assumptions!$D$98*(1+Assumptions!$D$8)^(YEAR(BC$3)-Assumptions!$D$7)</f>
        <v/>
      </c>
      <c r="BD26" s="10">
        <f>BD16*Assumptions!$D$98*(1+Assumptions!$D$8)^(YEAR(BD$3)-Assumptions!$D$7)</f>
        <v/>
      </c>
      <c r="BE26" s="10">
        <f>BE16*Assumptions!$D$98*(1+Assumptions!$D$8)^(YEAR(BE$3)-Assumptions!$D$7)</f>
        <v/>
      </c>
      <c r="BF26" s="10">
        <f>BF16*Assumptions!$D$98*(1+Assumptions!$D$8)^(YEAR(BF$3)-Assumptions!$D$7)</f>
        <v/>
      </c>
      <c r="BG26" s="10">
        <f>BG16*Assumptions!$D$98*(1+Assumptions!$D$8)^(YEAR(BG$3)-Assumptions!$D$7)</f>
        <v/>
      </c>
      <c r="BH26" s="10">
        <f>BH16*Assumptions!$D$98*(1+Assumptions!$D$8)^(YEAR(BH$3)-Assumptions!$D$7)</f>
        <v/>
      </c>
      <c r="BI26" s="10">
        <f>BI16*Assumptions!$D$98*(1+Assumptions!$D$8)^(YEAR(BI$3)-Assumptions!$D$7)</f>
        <v/>
      </c>
      <c r="BJ26" s="10">
        <f>BJ16*Assumptions!$D$98*(1+Assumptions!$D$8)^(YEAR(BJ$3)-Assumptions!$D$7)</f>
        <v/>
      </c>
      <c r="BK26" s="10">
        <f>BK16*Assumptions!$D$98*(1+Assumptions!$D$8)^(YEAR(BK$3)-Assumptions!$D$7)</f>
        <v/>
      </c>
      <c r="BL26" s="10">
        <f>BL16*Assumptions!$D$98*(1+Assumptions!$D$8)^(YEAR(BL$3)-Assumptions!$D$7)</f>
        <v/>
      </c>
      <c r="BN26" s="50">
        <f>SUM(E26:P26)</f>
        <v/>
      </c>
      <c r="BO26" s="50">
        <f>SUM(Q26:AB26)</f>
        <v/>
      </c>
      <c r="BP26" s="50">
        <f>SUM(AC26:AN26)</f>
        <v/>
      </c>
      <c r="BQ26" s="50">
        <f>SUM(AO26:AZ26)</f>
        <v/>
      </c>
      <c r="BR26" s="50">
        <f>SUM(BA26:BL26)</f>
        <v/>
      </c>
    </row>
    <row r="27">
      <c r="B27" s="6" t="inlineStr">
        <is>
          <t>Sales and marketing</t>
        </is>
      </c>
      <c r="C27" s="17" t="inlineStr">
        <is>
          <t>EUR/mo</t>
        </is>
      </c>
      <c r="E27" s="10">
        <f>(E6*Assumptions!$D$92+E7*Assumptions!$D$93+(E8+E9+E10)*Assumptions!$D$94)*(1+Assumptions!$D$8)^(YEAR(E$3)-Assumptions!$D$7)</f>
        <v/>
      </c>
      <c r="F27" s="10">
        <f>(F6*Assumptions!$D$92+F7*Assumptions!$D$93+(F8+F9+F10)*Assumptions!$D$94)*(1+Assumptions!$D$8)^(YEAR(F$3)-Assumptions!$D$7)</f>
        <v/>
      </c>
      <c r="G27" s="10">
        <f>(G6*Assumptions!$D$92+G7*Assumptions!$D$93+(G8+G9+G10)*Assumptions!$D$94)*(1+Assumptions!$D$8)^(YEAR(G$3)-Assumptions!$D$7)</f>
        <v/>
      </c>
      <c r="H27" s="10">
        <f>(H6*Assumptions!$D$92+H7*Assumptions!$D$93+(H8+H9+H10)*Assumptions!$D$94)*(1+Assumptions!$D$8)^(YEAR(H$3)-Assumptions!$D$7)</f>
        <v/>
      </c>
      <c r="I27" s="10">
        <f>(I6*Assumptions!$D$92+I7*Assumptions!$D$93+(I8+I9+I10)*Assumptions!$D$94)*(1+Assumptions!$D$8)^(YEAR(I$3)-Assumptions!$D$7)</f>
        <v/>
      </c>
      <c r="J27" s="10">
        <f>(J6*Assumptions!$D$92+J7*Assumptions!$D$93+(J8+J9+J10)*Assumptions!$D$94)*(1+Assumptions!$D$8)^(YEAR(J$3)-Assumptions!$D$7)</f>
        <v/>
      </c>
      <c r="K27" s="10">
        <f>(K6*Assumptions!$D$92+K7*Assumptions!$D$93+(K8+K9+K10)*Assumptions!$D$94)*(1+Assumptions!$D$8)^(YEAR(K$3)-Assumptions!$D$7)</f>
        <v/>
      </c>
      <c r="L27" s="10">
        <f>(L6*Assumptions!$D$92+L7*Assumptions!$D$93+(L8+L9+L10)*Assumptions!$D$94)*(1+Assumptions!$D$8)^(YEAR(L$3)-Assumptions!$D$7)</f>
        <v/>
      </c>
      <c r="M27" s="10">
        <f>(M6*Assumptions!$D$92+M7*Assumptions!$D$93+(M8+M9+M10)*Assumptions!$D$94)*(1+Assumptions!$D$8)^(YEAR(M$3)-Assumptions!$D$7)</f>
        <v/>
      </c>
      <c r="N27" s="10">
        <f>(N6*Assumptions!$D$92+N7*Assumptions!$D$93+(N8+N9+N10)*Assumptions!$D$94)*(1+Assumptions!$D$8)^(YEAR(N$3)-Assumptions!$D$7)</f>
        <v/>
      </c>
      <c r="O27" s="10">
        <f>(O6*Assumptions!$D$92+O7*Assumptions!$D$93+(O8+O9+O10)*Assumptions!$D$94)*(1+Assumptions!$D$8)^(YEAR(O$3)-Assumptions!$D$7)</f>
        <v/>
      </c>
      <c r="P27" s="10">
        <f>(P6*Assumptions!$D$92+P7*Assumptions!$D$93+(P8+P9+P10)*Assumptions!$D$94)*(1+Assumptions!$D$8)^(YEAR(P$3)-Assumptions!$D$7)</f>
        <v/>
      </c>
      <c r="Q27" s="10">
        <f>(Q6*Assumptions!$D$92+Q7*Assumptions!$D$93+(Q8+Q9+Q10)*Assumptions!$D$94)*(1+Assumptions!$D$8)^(YEAR(Q$3)-Assumptions!$D$7)</f>
        <v/>
      </c>
      <c r="R27" s="10">
        <f>(R6*Assumptions!$D$92+R7*Assumptions!$D$93+(R8+R9+R10)*Assumptions!$D$94)*(1+Assumptions!$D$8)^(YEAR(R$3)-Assumptions!$D$7)</f>
        <v/>
      </c>
      <c r="S27" s="10">
        <f>(S6*Assumptions!$D$92+S7*Assumptions!$D$93+(S8+S9+S10)*Assumptions!$D$94)*(1+Assumptions!$D$8)^(YEAR(S$3)-Assumptions!$D$7)</f>
        <v/>
      </c>
      <c r="T27" s="10">
        <f>(T6*Assumptions!$D$92+T7*Assumptions!$D$93+(T8+T9+T10)*Assumptions!$D$94)*(1+Assumptions!$D$8)^(YEAR(T$3)-Assumptions!$D$7)</f>
        <v/>
      </c>
      <c r="U27" s="10">
        <f>(U6*Assumptions!$D$92+U7*Assumptions!$D$93+(U8+U9+U10)*Assumptions!$D$94)*(1+Assumptions!$D$8)^(YEAR(U$3)-Assumptions!$D$7)</f>
        <v/>
      </c>
      <c r="V27" s="10">
        <f>(V6*Assumptions!$D$92+V7*Assumptions!$D$93+(V8+V9+V10)*Assumptions!$D$94)*(1+Assumptions!$D$8)^(YEAR(V$3)-Assumptions!$D$7)</f>
        <v/>
      </c>
      <c r="W27" s="10">
        <f>(W6*Assumptions!$D$92+W7*Assumptions!$D$93+(W8+W9+W10)*Assumptions!$D$94)*(1+Assumptions!$D$8)^(YEAR(W$3)-Assumptions!$D$7)</f>
        <v/>
      </c>
      <c r="X27" s="10">
        <f>(X6*Assumptions!$D$92+X7*Assumptions!$D$93+(X8+X9+X10)*Assumptions!$D$94)*(1+Assumptions!$D$8)^(YEAR(X$3)-Assumptions!$D$7)</f>
        <v/>
      </c>
      <c r="Y27" s="10">
        <f>(Y6*Assumptions!$D$92+Y7*Assumptions!$D$93+(Y8+Y9+Y10)*Assumptions!$D$94)*(1+Assumptions!$D$8)^(YEAR(Y$3)-Assumptions!$D$7)</f>
        <v/>
      </c>
      <c r="Z27" s="10">
        <f>(Z6*Assumptions!$D$92+Z7*Assumptions!$D$93+(Z8+Z9+Z10)*Assumptions!$D$94)*(1+Assumptions!$D$8)^(YEAR(Z$3)-Assumptions!$D$7)</f>
        <v/>
      </c>
      <c r="AA27" s="10">
        <f>(AA6*Assumptions!$D$92+AA7*Assumptions!$D$93+(AA8+AA9+AA10)*Assumptions!$D$94)*(1+Assumptions!$D$8)^(YEAR(AA$3)-Assumptions!$D$7)</f>
        <v/>
      </c>
      <c r="AB27" s="10">
        <f>(AB6*Assumptions!$D$92+AB7*Assumptions!$D$93+(AB8+AB9+AB10)*Assumptions!$D$94)*(1+Assumptions!$D$8)^(YEAR(AB$3)-Assumptions!$D$7)</f>
        <v/>
      </c>
      <c r="AC27" s="10">
        <f>(AC6*Assumptions!$D$92+AC7*Assumptions!$D$93+(AC8+AC9+AC10)*Assumptions!$D$94)*(1+Assumptions!$D$8)^(YEAR(AC$3)-Assumptions!$D$7)</f>
        <v/>
      </c>
      <c r="AD27" s="10">
        <f>(AD6*Assumptions!$D$92+AD7*Assumptions!$D$93+(AD8+AD9+AD10)*Assumptions!$D$94)*(1+Assumptions!$D$8)^(YEAR(AD$3)-Assumptions!$D$7)</f>
        <v/>
      </c>
      <c r="AE27" s="10">
        <f>(AE6*Assumptions!$D$92+AE7*Assumptions!$D$93+(AE8+AE9+AE10)*Assumptions!$D$94)*(1+Assumptions!$D$8)^(YEAR(AE$3)-Assumptions!$D$7)</f>
        <v/>
      </c>
      <c r="AF27" s="10">
        <f>(AF6*Assumptions!$D$92+AF7*Assumptions!$D$93+(AF8+AF9+AF10)*Assumptions!$D$94)*(1+Assumptions!$D$8)^(YEAR(AF$3)-Assumptions!$D$7)</f>
        <v/>
      </c>
      <c r="AG27" s="10">
        <f>(AG6*Assumptions!$D$92+AG7*Assumptions!$D$93+(AG8+AG9+AG10)*Assumptions!$D$94)*(1+Assumptions!$D$8)^(YEAR(AG$3)-Assumptions!$D$7)</f>
        <v/>
      </c>
      <c r="AH27" s="10">
        <f>(AH6*Assumptions!$D$92+AH7*Assumptions!$D$93+(AH8+AH9+AH10)*Assumptions!$D$94)*(1+Assumptions!$D$8)^(YEAR(AH$3)-Assumptions!$D$7)</f>
        <v/>
      </c>
      <c r="AI27" s="10">
        <f>(AI6*Assumptions!$D$92+AI7*Assumptions!$D$93+(AI8+AI9+AI10)*Assumptions!$D$94)*(1+Assumptions!$D$8)^(YEAR(AI$3)-Assumptions!$D$7)</f>
        <v/>
      </c>
      <c r="AJ27" s="10">
        <f>(AJ6*Assumptions!$D$92+AJ7*Assumptions!$D$93+(AJ8+AJ9+AJ10)*Assumptions!$D$94)*(1+Assumptions!$D$8)^(YEAR(AJ$3)-Assumptions!$D$7)</f>
        <v/>
      </c>
      <c r="AK27" s="10">
        <f>(AK6*Assumptions!$D$92+AK7*Assumptions!$D$93+(AK8+AK9+AK10)*Assumptions!$D$94)*(1+Assumptions!$D$8)^(YEAR(AK$3)-Assumptions!$D$7)</f>
        <v/>
      </c>
      <c r="AL27" s="10">
        <f>(AL6*Assumptions!$D$92+AL7*Assumptions!$D$93+(AL8+AL9+AL10)*Assumptions!$D$94)*(1+Assumptions!$D$8)^(YEAR(AL$3)-Assumptions!$D$7)</f>
        <v/>
      </c>
      <c r="AM27" s="10">
        <f>(AM6*Assumptions!$D$92+AM7*Assumptions!$D$93+(AM8+AM9+AM10)*Assumptions!$D$94)*(1+Assumptions!$D$8)^(YEAR(AM$3)-Assumptions!$D$7)</f>
        <v/>
      </c>
      <c r="AN27" s="10">
        <f>(AN6*Assumptions!$D$92+AN7*Assumptions!$D$93+(AN8+AN9+AN10)*Assumptions!$D$94)*(1+Assumptions!$D$8)^(YEAR(AN$3)-Assumptions!$D$7)</f>
        <v/>
      </c>
      <c r="AO27" s="10">
        <f>(AO6*Assumptions!$D$92+AO7*Assumptions!$D$93+(AO8+AO9+AO10)*Assumptions!$D$94)*(1+Assumptions!$D$8)^(YEAR(AO$3)-Assumptions!$D$7)</f>
        <v/>
      </c>
      <c r="AP27" s="10">
        <f>(AP6*Assumptions!$D$92+AP7*Assumptions!$D$93+(AP8+AP9+AP10)*Assumptions!$D$94)*(1+Assumptions!$D$8)^(YEAR(AP$3)-Assumptions!$D$7)</f>
        <v/>
      </c>
      <c r="AQ27" s="10">
        <f>(AQ6*Assumptions!$D$92+AQ7*Assumptions!$D$93+(AQ8+AQ9+AQ10)*Assumptions!$D$94)*(1+Assumptions!$D$8)^(YEAR(AQ$3)-Assumptions!$D$7)</f>
        <v/>
      </c>
      <c r="AR27" s="10">
        <f>(AR6*Assumptions!$D$92+AR7*Assumptions!$D$93+(AR8+AR9+AR10)*Assumptions!$D$94)*(1+Assumptions!$D$8)^(YEAR(AR$3)-Assumptions!$D$7)</f>
        <v/>
      </c>
      <c r="AS27" s="10">
        <f>(AS6*Assumptions!$D$92+AS7*Assumptions!$D$93+(AS8+AS9+AS10)*Assumptions!$D$94)*(1+Assumptions!$D$8)^(YEAR(AS$3)-Assumptions!$D$7)</f>
        <v/>
      </c>
      <c r="AT27" s="10">
        <f>(AT6*Assumptions!$D$92+AT7*Assumptions!$D$93+(AT8+AT9+AT10)*Assumptions!$D$94)*(1+Assumptions!$D$8)^(YEAR(AT$3)-Assumptions!$D$7)</f>
        <v/>
      </c>
      <c r="AU27" s="10">
        <f>(AU6*Assumptions!$D$92+AU7*Assumptions!$D$93+(AU8+AU9+AU10)*Assumptions!$D$94)*(1+Assumptions!$D$8)^(YEAR(AU$3)-Assumptions!$D$7)</f>
        <v/>
      </c>
      <c r="AV27" s="10">
        <f>(AV6*Assumptions!$D$92+AV7*Assumptions!$D$93+(AV8+AV9+AV10)*Assumptions!$D$94)*(1+Assumptions!$D$8)^(YEAR(AV$3)-Assumptions!$D$7)</f>
        <v/>
      </c>
      <c r="AW27" s="10">
        <f>(AW6*Assumptions!$D$92+AW7*Assumptions!$D$93+(AW8+AW9+AW10)*Assumptions!$D$94)*(1+Assumptions!$D$8)^(YEAR(AW$3)-Assumptions!$D$7)</f>
        <v/>
      </c>
      <c r="AX27" s="10">
        <f>(AX6*Assumptions!$D$92+AX7*Assumptions!$D$93+(AX8+AX9+AX10)*Assumptions!$D$94)*(1+Assumptions!$D$8)^(YEAR(AX$3)-Assumptions!$D$7)</f>
        <v/>
      </c>
      <c r="AY27" s="10">
        <f>(AY6*Assumptions!$D$92+AY7*Assumptions!$D$93+(AY8+AY9+AY10)*Assumptions!$D$94)*(1+Assumptions!$D$8)^(YEAR(AY$3)-Assumptions!$D$7)</f>
        <v/>
      </c>
      <c r="AZ27" s="10">
        <f>(AZ6*Assumptions!$D$92+AZ7*Assumptions!$D$93+(AZ8+AZ9+AZ10)*Assumptions!$D$94)*(1+Assumptions!$D$8)^(YEAR(AZ$3)-Assumptions!$D$7)</f>
        <v/>
      </c>
      <c r="BA27" s="10">
        <f>(BA6*Assumptions!$D$92+BA7*Assumptions!$D$93+(BA8+BA9+BA10)*Assumptions!$D$94)*(1+Assumptions!$D$8)^(YEAR(BA$3)-Assumptions!$D$7)</f>
        <v/>
      </c>
      <c r="BB27" s="10">
        <f>(BB6*Assumptions!$D$92+BB7*Assumptions!$D$93+(BB8+BB9+BB10)*Assumptions!$D$94)*(1+Assumptions!$D$8)^(YEAR(BB$3)-Assumptions!$D$7)</f>
        <v/>
      </c>
      <c r="BC27" s="10">
        <f>(BC6*Assumptions!$D$92+BC7*Assumptions!$D$93+(BC8+BC9+BC10)*Assumptions!$D$94)*(1+Assumptions!$D$8)^(YEAR(BC$3)-Assumptions!$D$7)</f>
        <v/>
      </c>
      <c r="BD27" s="10">
        <f>(BD6*Assumptions!$D$92+BD7*Assumptions!$D$93+(BD8+BD9+BD10)*Assumptions!$D$94)*(1+Assumptions!$D$8)^(YEAR(BD$3)-Assumptions!$D$7)</f>
        <v/>
      </c>
      <c r="BE27" s="10">
        <f>(BE6*Assumptions!$D$92+BE7*Assumptions!$D$93+(BE8+BE9+BE10)*Assumptions!$D$94)*(1+Assumptions!$D$8)^(YEAR(BE$3)-Assumptions!$D$7)</f>
        <v/>
      </c>
      <c r="BF27" s="10">
        <f>(BF6*Assumptions!$D$92+BF7*Assumptions!$D$93+(BF8+BF9+BF10)*Assumptions!$D$94)*(1+Assumptions!$D$8)^(YEAR(BF$3)-Assumptions!$D$7)</f>
        <v/>
      </c>
      <c r="BG27" s="10">
        <f>(BG6*Assumptions!$D$92+BG7*Assumptions!$D$93+(BG8+BG9+BG10)*Assumptions!$D$94)*(1+Assumptions!$D$8)^(YEAR(BG$3)-Assumptions!$D$7)</f>
        <v/>
      </c>
      <c r="BH27" s="10">
        <f>(BH6*Assumptions!$D$92+BH7*Assumptions!$D$93+(BH8+BH9+BH10)*Assumptions!$D$94)*(1+Assumptions!$D$8)^(YEAR(BH$3)-Assumptions!$D$7)</f>
        <v/>
      </c>
      <c r="BI27" s="10">
        <f>(BI6*Assumptions!$D$92+BI7*Assumptions!$D$93+(BI8+BI9+BI10)*Assumptions!$D$94)*(1+Assumptions!$D$8)^(YEAR(BI$3)-Assumptions!$D$7)</f>
        <v/>
      </c>
      <c r="BJ27" s="10">
        <f>(BJ6*Assumptions!$D$92+BJ7*Assumptions!$D$93+(BJ8+BJ9+BJ10)*Assumptions!$D$94)*(1+Assumptions!$D$8)^(YEAR(BJ$3)-Assumptions!$D$7)</f>
        <v/>
      </c>
      <c r="BK27" s="10">
        <f>(BK6*Assumptions!$D$92+BK7*Assumptions!$D$93+(BK8+BK9+BK10)*Assumptions!$D$94)*(1+Assumptions!$D$8)^(YEAR(BK$3)-Assumptions!$D$7)</f>
        <v/>
      </c>
      <c r="BL27" s="10">
        <f>(BL6*Assumptions!$D$92+BL7*Assumptions!$D$93+(BL8+BL9+BL10)*Assumptions!$D$94)*(1+Assumptions!$D$8)^(YEAR(BL$3)-Assumptions!$D$7)</f>
        <v/>
      </c>
      <c r="BN27" s="50">
        <f>SUM(E27:P27)</f>
        <v/>
      </c>
      <c r="BO27" s="50">
        <f>SUM(Q27:AB27)</f>
        <v/>
      </c>
      <c r="BP27" s="50">
        <f>SUM(AC27:AN27)</f>
        <v/>
      </c>
      <c r="BQ27" s="50">
        <f>SUM(AO27:AZ27)</f>
        <v/>
      </c>
      <c r="BR27" s="50">
        <f>SUM(BA27:BL27)</f>
        <v/>
      </c>
    </row>
    <row r="28">
      <c r="B28" s="6" t="inlineStr">
        <is>
          <t>General and administrative</t>
        </is>
      </c>
      <c r="C28" s="17" t="inlineStr">
        <is>
          <t>EUR/mo</t>
        </is>
      </c>
      <c r="E28" s="10">
        <f>((E12+E13)*Assumptions!$D$95+(E14+E15)*Assumptions!$D$96+E17*Assumptions!$D$97+E18*Assumptions!$D$99)*(1+Assumptions!$D$8)^(YEAR(E$3)-Assumptions!$D$7)</f>
        <v/>
      </c>
      <c r="F28" s="10">
        <f>((F12+F13)*Assumptions!$D$95+(F14+F15)*Assumptions!$D$96+F17*Assumptions!$D$97+F18*Assumptions!$D$99)*(1+Assumptions!$D$8)^(YEAR(F$3)-Assumptions!$D$7)</f>
        <v/>
      </c>
      <c r="G28" s="10">
        <f>((G12+G13)*Assumptions!$D$95+(G14+G15)*Assumptions!$D$96+G17*Assumptions!$D$97+G18*Assumptions!$D$99)*(1+Assumptions!$D$8)^(YEAR(G$3)-Assumptions!$D$7)</f>
        <v/>
      </c>
      <c r="H28" s="10">
        <f>((H12+H13)*Assumptions!$D$95+(H14+H15)*Assumptions!$D$96+H17*Assumptions!$D$97+H18*Assumptions!$D$99)*(1+Assumptions!$D$8)^(YEAR(H$3)-Assumptions!$D$7)</f>
        <v/>
      </c>
      <c r="I28" s="10">
        <f>((I12+I13)*Assumptions!$D$95+(I14+I15)*Assumptions!$D$96+I17*Assumptions!$D$97+I18*Assumptions!$D$99)*(1+Assumptions!$D$8)^(YEAR(I$3)-Assumptions!$D$7)</f>
        <v/>
      </c>
      <c r="J28" s="10">
        <f>((J12+J13)*Assumptions!$D$95+(J14+J15)*Assumptions!$D$96+J17*Assumptions!$D$97+J18*Assumptions!$D$99)*(1+Assumptions!$D$8)^(YEAR(J$3)-Assumptions!$D$7)</f>
        <v/>
      </c>
      <c r="K28" s="10">
        <f>((K12+K13)*Assumptions!$D$95+(K14+K15)*Assumptions!$D$96+K17*Assumptions!$D$97+K18*Assumptions!$D$99)*(1+Assumptions!$D$8)^(YEAR(K$3)-Assumptions!$D$7)</f>
        <v/>
      </c>
      <c r="L28" s="10">
        <f>((L12+L13)*Assumptions!$D$95+(L14+L15)*Assumptions!$D$96+L17*Assumptions!$D$97+L18*Assumptions!$D$99)*(1+Assumptions!$D$8)^(YEAR(L$3)-Assumptions!$D$7)</f>
        <v/>
      </c>
      <c r="M28" s="10">
        <f>((M12+M13)*Assumptions!$D$95+(M14+M15)*Assumptions!$D$96+M17*Assumptions!$D$97+M18*Assumptions!$D$99)*(1+Assumptions!$D$8)^(YEAR(M$3)-Assumptions!$D$7)</f>
        <v/>
      </c>
      <c r="N28" s="10">
        <f>((N12+N13)*Assumptions!$D$95+(N14+N15)*Assumptions!$D$96+N17*Assumptions!$D$97+N18*Assumptions!$D$99)*(1+Assumptions!$D$8)^(YEAR(N$3)-Assumptions!$D$7)</f>
        <v/>
      </c>
      <c r="O28" s="10">
        <f>((O12+O13)*Assumptions!$D$95+(O14+O15)*Assumptions!$D$96+O17*Assumptions!$D$97+O18*Assumptions!$D$99)*(1+Assumptions!$D$8)^(YEAR(O$3)-Assumptions!$D$7)</f>
        <v/>
      </c>
      <c r="P28" s="10">
        <f>((P12+P13)*Assumptions!$D$95+(P14+P15)*Assumptions!$D$96+P17*Assumptions!$D$97+P18*Assumptions!$D$99)*(1+Assumptions!$D$8)^(YEAR(P$3)-Assumptions!$D$7)</f>
        <v/>
      </c>
      <c r="Q28" s="10">
        <f>((Q12+Q13)*Assumptions!$D$95+(Q14+Q15)*Assumptions!$D$96+Q17*Assumptions!$D$97+Q18*Assumptions!$D$99)*(1+Assumptions!$D$8)^(YEAR(Q$3)-Assumptions!$D$7)</f>
        <v/>
      </c>
      <c r="R28" s="10">
        <f>((R12+R13)*Assumptions!$D$95+(R14+R15)*Assumptions!$D$96+R17*Assumptions!$D$97+R18*Assumptions!$D$99)*(1+Assumptions!$D$8)^(YEAR(R$3)-Assumptions!$D$7)</f>
        <v/>
      </c>
      <c r="S28" s="10">
        <f>((S12+S13)*Assumptions!$D$95+(S14+S15)*Assumptions!$D$96+S17*Assumptions!$D$97+S18*Assumptions!$D$99)*(1+Assumptions!$D$8)^(YEAR(S$3)-Assumptions!$D$7)</f>
        <v/>
      </c>
      <c r="T28" s="10">
        <f>((T12+T13)*Assumptions!$D$95+(T14+T15)*Assumptions!$D$96+T17*Assumptions!$D$97+T18*Assumptions!$D$99)*(1+Assumptions!$D$8)^(YEAR(T$3)-Assumptions!$D$7)</f>
        <v/>
      </c>
      <c r="U28" s="10">
        <f>((U12+U13)*Assumptions!$D$95+(U14+U15)*Assumptions!$D$96+U17*Assumptions!$D$97+U18*Assumptions!$D$99)*(1+Assumptions!$D$8)^(YEAR(U$3)-Assumptions!$D$7)</f>
        <v/>
      </c>
      <c r="V28" s="10">
        <f>((V12+V13)*Assumptions!$D$95+(V14+V15)*Assumptions!$D$96+V17*Assumptions!$D$97+V18*Assumptions!$D$99)*(1+Assumptions!$D$8)^(YEAR(V$3)-Assumptions!$D$7)</f>
        <v/>
      </c>
      <c r="W28" s="10">
        <f>((W12+W13)*Assumptions!$D$95+(W14+W15)*Assumptions!$D$96+W17*Assumptions!$D$97+W18*Assumptions!$D$99)*(1+Assumptions!$D$8)^(YEAR(W$3)-Assumptions!$D$7)</f>
        <v/>
      </c>
      <c r="X28" s="10">
        <f>((X12+X13)*Assumptions!$D$95+(X14+X15)*Assumptions!$D$96+X17*Assumptions!$D$97+X18*Assumptions!$D$99)*(1+Assumptions!$D$8)^(YEAR(X$3)-Assumptions!$D$7)</f>
        <v/>
      </c>
      <c r="Y28" s="10">
        <f>((Y12+Y13)*Assumptions!$D$95+(Y14+Y15)*Assumptions!$D$96+Y17*Assumptions!$D$97+Y18*Assumptions!$D$99)*(1+Assumptions!$D$8)^(YEAR(Y$3)-Assumptions!$D$7)</f>
        <v/>
      </c>
      <c r="Z28" s="10">
        <f>((Z12+Z13)*Assumptions!$D$95+(Z14+Z15)*Assumptions!$D$96+Z17*Assumptions!$D$97+Z18*Assumptions!$D$99)*(1+Assumptions!$D$8)^(YEAR(Z$3)-Assumptions!$D$7)</f>
        <v/>
      </c>
      <c r="AA28" s="10">
        <f>((AA12+AA13)*Assumptions!$D$95+(AA14+AA15)*Assumptions!$D$96+AA17*Assumptions!$D$97+AA18*Assumptions!$D$99)*(1+Assumptions!$D$8)^(YEAR(AA$3)-Assumptions!$D$7)</f>
        <v/>
      </c>
      <c r="AB28" s="10">
        <f>((AB12+AB13)*Assumptions!$D$95+(AB14+AB15)*Assumptions!$D$96+AB17*Assumptions!$D$97+AB18*Assumptions!$D$99)*(1+Assumptions!$D$8)^(YEAR(AB$3)-Assumptions!$D$7)</f>
        <v/>
      </c>
      <c r="AC28" s="10">
        <f>((AC12+AC13)*Assumptions!$D$95+(AC14+AC15)*Assumptions!$D$96+AC17*Assumptions!$D$97+AC18*Assumptions!$D$99)*(1+Assumptions!$D$8)^(YEAR(AC$3)-Assumptions!$D$7)</f>
        <v/>
      </c>
      <c r="AD28" s="10">
        <f>((AD12+AD13)*Assumptions!$D$95+(AD14+AD15)*Assumptions!$D$96+AD17*Assumptions!$D$97+AD18*Assumptions!$D$99)*(1+Assumptions!$D$8)^(YEAR(AD$3)-Assumptions!$D$7)</f>
        <v/>
      </c>
      <c r="AE28" s="10">
        <f>((AE12+AE13)*Assumptions!$D$95+(AE14+AE15)*Assumptions!$D$96+AE17*Assumptions!$D$97+AE18*Assumptions!$D$99)*(1+Assumptions!$D$8)^(YEAR(AE$3)-Assumptions!$D$7)</f>
        <v/>
      </c>
      <c r="AF28" s="10">
        <f>((AF12+AF13)*Assumptions!$D$95+(AF14+AF15)*Assumptions!$D$96+AF17*Assumptions!$D$97+AF18*Assumptions!$D$99)*(1+Assumptions!$D$8)^(YEAR(AF$3)-Assumptions!$D$7)</f>
        <v/>
      </c>
      <c r="AG28" s="10">
        <f>((AG12+AG13)*Assumptions!$D$95+(AG14+AG15)*Assumptions!$D$96+AG17*Assumptions!$D$97+AG18*Assumptions!$D$99)*(1+Assumptions!$D$8)^(YEAR(AG$3)-Assumptions!$D$7)</f>
        <v/>
      </c>
      <c r="AH28" s="10">
        <f>((AH12+AH13)*Assumptions!$D$95+(AH14+AH15)*Assumptions!$D$96+AH17*Assumptions!$D$97+AH18*Assumptions!$D$99)*(1+Assumptions!$D$8)^(YEAR(AH$3)-Assumptions!$D$7)</f>
        <v/>
      </c>
      <c r="AI28" s="10">
        <f>((AI12+AI13)*Assumptions!$D$95+(AI14+AI15)*Assumptions!$D$96+AI17*Assumptions!$D$97+AI18*Assumptions!$D$99)*(1+Assumptions!$D$8)^(YEAR(AI$3)-Assumptions!$D$7)</f>
        <v/>
      </c>
      <c r="AJ28" s="10">
        <f>((AJ12+AJ13)*Assumptions!$D$95+(AJ14+AJ15)*Assumptions!$D$96+AJ17*Assumptions!$D$97+AJ18*Assumptions!$D$99)*(1+Assumptions!$D$8)^(YEAR(AJ$3)-Assumptions!$D$7)</f>
        <v/>
      </c>
      <c r="AK28" s="10">
        <f>((AK12+AK13)*Assumptions!$D$95+(AK14+AK15)*Assumptions!$D$96+AK17*Assumptions!$D$97+AK18*Assumptions!$D$99)*(1+Assumptions!$D$8)^(YEAR(AK$3)-Assumptions!$D$7)</f>
        <v/>
      </c>
      <c r="AL28" s="10">
        <f>((AL12+AL13)*Assumptions!$D$95+(AL14+AL15)*Assumptions!$D$96+AL17*Assumptions!$D$97+AL18*Assumptions!$D$99)*(1+Assumptions!$D$8)^(YEAR(AL$3)-Assumptions!$D$7)</f>
        <v/>
      </c>
      <c r="AM28" s="10">
        <f>((AM12+AM13)*Assumptions!$D$95+(AM14+AM15)*Assumptions!$D$96+AM17*Assumptions!$D$97+AM18*Assumptions!$D$99)*(1+Assumptions!$D$8)^(YEAR(AM$3)-Assumptions!$D$7)</f>
        <v/>
      </c>
      <c r="AN28" s="10">
        <f>((AN12+AN13)*Assumptions!$D$95+(AN14+AN15)*Assumptions!$D$96+AN17*Assumptions!$D$97+AN18*Assumptions!$D$99)*(1+Assumptions!$D$8)^(YEAR(AN$3)-Assumptions!$D$7)</f>
        <v/>
      </c>
      <c r="AO28" s="10">
        <f>((AO12+AO13)*Assumptions!$D$95+(AO14+AO15)*Assumptions!$D$96+AO17*Assumptions!$D$97+AO18*Assumptions!$D$99)*(1+Assumptions!$D$8)^(YEAR(AO$3)-Assumptions!$D$7)</f>
        <v/>
      </c>
      <c r="AP28" s="10">
        <f>((AP12+AP13)*Assumptions!$D$95+(AP14+AP15)*Assumptions!$D$96+AP17*Assumptions!$D$97+AP18*Assumptions!$D$99)*(1+Assumptions!$D$8)^(YEAR(AP$3)-Assumptions!$D$7)</f>
        <v/>
      </c>
      <c r="AQ28" s="10">
        <f>((AQ12+AQ13)*Assumptions!$D$95+(AQ14+AQ15)*Assumptions!$D$96+AQ17*Assumptions!$D$97+AQ18*Assumptions!$D$99)*(1+Assumptions!$D$8)^(YEAR(AQ$3)-Assumptions!$D$7)</f>
        <v/>
      </c>
      <c r="AR28" s="10">
        <f>((AR12+AR13)*Assumptions!$D$95+(AR14+AR15)*Assumptions!$D$96+AR17*Assumptions!$D$97+AR18*Assumptions!$D$99)*(1+Assumptions!$D$8)^(YEAR(AR$3)-Assumptions!$D$7)</f>
        <v/>
      </c>
      <c r="AS28" s="10">
        <f>((AS12+AS13)*Assumptions!$D$95+(AS14+AS15)*Assumptions!$D$96+AS17*Assumptions!$D$97+AS18*Assumptions!$D$99)*(1+Assumptions!$D$8)^(YEAR(AS$3)-Assumptions!$D$7)</f>
        <v/>
      </c>
      <c r="AT28" s="10">
        <f>((AT12+AT13)*Assumptions!$D$95+(AT14+AT15)*Assumptions!$D$96+AT17*Assumptions!$D$97+AT18*Assumptions!$D$99)*(1+Assumptions!$D$8)^(YEAR(AT$3)-Assumptions!$D$7)</f>
        <v/>
      </c>
      <c r="AU28" s="10">
        <f>((AU12+AU13)*Assumptions!$D$95+(AU14+AU15)*Assumptions!$D$96+AU17*Assumptions!$D$97+AU18*Assumptions!$D$99)*(1+Assumptions!$D$8)^(YEAR(AU$3)-Assumptions!$D$7)</f>
        <v/>
      </c>
      <c r="AV28" s="10">
        <f>((AV12+AV13)*Assumptions!$D$95+(AV14+AV15)*Assumptions!$D$96+AV17*Assumptions!$D$97+AV18*Assumptions!$D$99)*(1+Assumptions!$D$8)^(YEAR(AV$3)-Assumptions!$D$7)</f>
        <v/>
      </c>
      <c r="AW28" s="10">
        <f>((AW12+AW13)*Assumptions!$D$95+(AW14+AW15)*Assumptions!$D$96+AW17*Assumptions!$D$97+AW18*Assumptions!$D$99)*(1+Assumptions!$D$8)^(YEAR(AW$3)-Assumptions!$D$7)</f>
        <v/>
      </c>
      <c r="AX28" s="10">
        <f>((AX12+AX13)*Assumptions!$D$95+(AX14+AX15)*Assumptions!$D$96+AX17*Assumptions!$D$97+AX18*Assumptions!$D$99)*(1+Assumptions!$D$8)^(YEAR(AX$3)-Assumptions!$D$7)</f>
        <v/>
      </c>
      <c r="AY28" s="10">
        <f>((AY12+AY13)*Assumptions!$D$95+(AY14+AY15)*Assumptions!$D$96+AY17*Assumptions!$D$97+AY18*Assumptions!$D$99)*(1+Assumptions!$D$8)^(YEAR(AY$3)-Assumptions!$D$7)</f>
        <v/>
      </c>
      <c r="AZ28" s="10">
        <f>((AZ12+AZ13)*Assumptions!$D$95+(AZ14+AZ15)*Assumptions!$D$96+AZ17*Assumptions!$D$97+AZ18*Assumptions!$D$99)*(1+Assumptions!$D$8)^(YEAR(AZ$3)-Assumptions!$D$7)</f>
        <v/>
      </c>
      <c r="BA28" s="10">
        <f>((BA12+BA13)*Assumptions!$D$95+(BA14+BA15)*Assumptions!$D$96+BA17*Assumptions!$D$97+BA18*Assumptions!$D$99)*(1+Assumptions!$D$8)^(YEAR(BA$3)-Assumptions!$D$7)</f>
        <v/>
      </c>
      <c r="BB28" s="10">
        <f>((BB12+BB13)*Assumptions!$D$95+(BB14+BB15)*Assumptions!$D$96+BB17*Assumptions!$D$97+BB18*Assumptions!$D$99)*(1+Assumptions!$D$8)^(YEAR(BB$3)-Assumptions!$D$7)</f>
        <v/>
      </c>
      <c r="BC28" s="10">
        <f>((BC12+BC13)*Assumptions!$D$95+(BC14+BC15)*Assumptions!$D$96+BC17*Assumptions!$D$97+BC18*Assumptions!$D$99)*(1+Assumptions!$D$8)^(YEAR(BC$3)-Assumptions!$D$7)</f>
        <v/>
      </c>
      <c r="BD28" s="10">
        <f>((BD12+BD13)*Assumptions!$D$95+(BD14+BD15)*Assumptions!$D$96+BD17*Assumptions!$D$97+BD18*Assumptions!$D$99)*(1+Assumptions!$D$8)^(YEAR(BD$3)-Assumptions!$D$7)</f>
        <v/>
      </c>
      <c r="BE28" s="10">
        <f>((BE12+BE13)*Assumptions!$D$95+(BE14+BE15)*Assumptions!$D$96+BE17*Assumptions!$D$97+BE18*Assumptions!$D$99)*(1+Assumptions!$D$8)^(YEAR(BE$3)-Assumptions!$D$7)</f>
        <v/>
      </c>
      <c r="BF28" s="10">
        <f>((BF12+BF13)*Assumptions!$D$95+(BF14+BF15)*Assumptions!$D$96+BF17*Assumptions!$D$97+BF18*Assumptions!$D$99)*(1+Assumptions!$D$8)^(YEAR(BF$3)-Assumptions!$D$7)</f>
        <v/>
      </c>
      <c r="BG28" s="10">
        <f>((BG12+BG13)*Assumptions!$D$95+(BG14+BG15)*Assumptions!$D$96+BG17*Assumptions!$D$97+BG18*Assumptions!$D$99)*(1+Assumptions!$D$8)^(YEAR(BG$3)-Assumptions!$D$7)</f>
        <v/>
      </c>
      <c r="BH28" s="10">
        <f>((BH12+BH13)*Assumptions!$D$95+(BH14+BH15)*Assumptions!$D$96+BH17*Assumptions!$D$97+BH18*Assumptions!$D$99)*(1+Assumptions!$D$8)^(YEAR(BH$3)-Assumptions!$D$7)</f>
        <v/>
      </c>
      <c r="BI28" s="10">
        <f>((BI12+BI13)*Assumptions!$D$95+(BI14+BI15)*Assumptions!$D$96+BI17*Assumptions!$D$97+BI18*Assumptions!$D$99)*(1+Assumptions!$D$8)^(YEAR(BI$3)-Assumptions!$D$7)</f>
        <v/>
      </c>
      <c r="BJ28" s="10">
        <f>((BJ12+BJ13)*Assumptions!$D$95+(BJ14+BJ15)*Assumptions!$D$96+BJ17*Assumptions!$D$97+BJ18*Assumptions!$D$99)*(1+Assumptions!$D$8)^(YEAR(BJ$3)-Assumptions!$D$7)</f>
        <v/>
      </c>
      <c r="BK28" s="10">
        <f>((BK12+BK13)*Assumptions!$D$95+(BK14+BK15)*Assumptions!$D$96+BK17*Assumptions!$D$97+BK18*Assumptions!$D$99)*(1+Assumptions!$D$8)^(YEAR(BK$3)-Assumptions!$D$7)</f>
        <v/>
      </c>
      <c r="BL28" s="10">
        <f>((BL12+BL13)*Assumptions!$D$95+(BL14+BL15)*Assumptions!$D$96+BL17*Assumptions!$D$97+BL18*Assumptions!$D$99)*(1+Assumptions!$D$8)^(YEAR(BL$3)-Assumptions!$D$7)</f>
        <v/>
      </c>
      <c r="BN28" s="50">
        <f>SUM(E28:P28)</f>
        <v/>
      </c>
      <c r="BO28" s="50">
        <f>SUM(Q28:AB28)</f>
        <v/>
      </c>
      <c r="BP28" s="50">
        <f>SUM(AC28:AN28)</f>
        <v/>
      </c>
      <c r="BQ28" s="50">
        <f>SUM(AO28:AZ28)</f>
        <v/>
      </c>
      <c r="BR28" s="50">
        <f>SUM(BA28:BL28)</f>
        <v/>
      </c>
    </row>
    <row r="29">
      <c r="B29" s="56" t="inlineStr">
        <is>
          <t>Total people cost</t>
        </is>
      </c>
      <c r="C29" s="57" t="inlineStr">
        <is>
          <t>EUR/mo</t>
        </is>
      </c>
      <c r="E29" s="37">
        <f>SUM(E26:E28)</f>
        <v/>
      </c>
      <c r="F29" s="37">
        <f>SUM(F26:F28)</f>
        <v/>
      </c>
      <c r="G29" s="37">
        <f>SUM(G26:G28)</f>
        <v/>
      </c>
      <c r="H29" s="37">
        <f>SUM(H26:H28)</f>
        <v/>
      </c>
      <c r="I29" s="37">
        <f>SUM(I26:I28)</f>
        <v/>
      </c>
      <c r="J29" s="37">
        <f>SUM(J26:J28)</f>
        <v/>
      </c>
      <c r="K29" s="37">
        <f>SUM(K26:K28)</f>
        <v/>
      </c>
      <c r="L29" s="37">
        <f>SUM(L26:L28)</f>
        <v/>
      </c>
      <c r="M29" s="37">
        <f>SUM(M26:M28)</f>
        <v/>
      </c>
      <c r="N29" s="37">
        <f>SUM(N26:N28)</f>
        <v/>
      </c>
      <c r="O29" s="37">
        <f>SUM(O26:O28)</f>
        <v/>
      </c>
      <c r="P29" s="37">
        <f>SUM(P26:P28)</f>
        <v/>
      </c>
      <c r="Q29" s="37">
        <f>SUM(Q26:Q28)</f>
        <v/>
      </c>
      <c r="R29" s="37">
        <f>SUM(R26:R28)</f>
        <v/>
      </c>
      <c r="S29" s="37">
        <f>SUM(S26:S28)</f>
        <v/>
      </c>
      <c r="T29" s="37">
        <f>SUM(T26:T28)</f>
        <v/>
      </c>
      <c r="U29" s="37">
        <f>SUM(U26:U28)</f>
        <v/>
      </c>
      <c r="V29" s="37">
        <f>SUM(V26:V28)</f>
        <v/>
      </c>
      <c r="W29" s="37">
        <f>SUM(W26:W28)</f>
        <v/>
      </c>
      <c r="X29" s="37">
        <f>SUM(X26:X28)</f>
        <v/>
      </c>
      <c r="Y29" s="37">
        <f>SUM(Y26:Y28)</f>
        <v/>
      </c>
      <c r="Z29" s="37">
        <f>SUM(Z26:Z28)</f>
        <v/>
      </c>
      <c r="AA29" s="37">
        <f>SUM(AA26:AA28)</f>
        <v/>
      </c>
      <c r="AB29" s="37">
        <f>SUM(AB26:AB28)</f>
        <v/>
      </c>
      <c r="AC29" s="37">
        <f>SUM(AC26:AC28)</f>
        <v/>
      </c>
      <c r="AD29" s="37">
        <f>SUM(AD26:AD28)</f>
        <v/>
      </c>
      <c r="AE29" s="37">
        <f>SUM(AE26:AE28)</f>
        <v/>
      </c>
      <c r="AF29" s="37">
        <f>SUM(AF26:AF28)</f>
        <v/>
      </c>
      <c r="AG29" s="37">
        <f>SUM(AG26:AG28)</f>
        <v/>
      </c>
      <c r="AH29" s="37">
        <f>SUM(AH26:AH28)</f>
        <v/>
      </c>
      <c r="AI29" s="37">
        <f>SUM(AI26:AI28)</f>
        <v/>
      </c>
      <c r="AJ29" s="37">
        <f>SUM(AJ26:AJ28)</f>
        <v/>
      </c>
      <c r="AK29" s="37">
        <f>SUM(AK26:AK28)</f>
        <v/>
      </c>
      <c r="AL29" s="37">
        <f>SUM(AL26:AL28)</f>
        <v/>
      </c>
      <c r="AM29" s="37">
        <f>SUM(AM26:AM28)</f>
        <v/>
      </c>
      <c r="AN29" s="37">
        <f>SUM(AN26:AN28)</f>
        <v/>
      </c>
      <c r="AO29" s="37">
        <f>SUM(AO26:AO28)</f>
        <v/>
      </c>
      <c r="AP29" s="37">
        <f>SUM(AP26:AP28)</f>
        <v/>
      </c>
      <c r="AQ29" s="37">
        <f>SUM(AQ26:AQ28)</f>
        <v/>
      </c>
      <c r="AR29" s="37">
        <f>SUM(AR26:AR28)</f>
        <v/>
      </c>
      <c r="AS29" s="37">
        <f>SUM(AS26:AS28)</f>
        <v/>
      </c>
      <c r="AT29" s="37">
        <f>SUM(AT26:AT28)</f>
        <v/>
      </c>
      <c r="AU29" s="37">
        <f>SUM(AU26:AU28)</f>
        <v/>
      </c>
      <c r="AV29" s="37">
        <f>SUM(AV26:AV28)</f>
        <v/>
      </c>
      <c r="AW29" s="37">
        <f>SUM(AW26:AW28)</f>
        <v/>
      </c>
      <c r="AX29" s="37">
        <f>SUM(AX26:AX28)</f>
        <v/>
      </c>
      <c r="AY29" s="37">
        <f>SUM(AY26:AY28)</f>
        <v/>
      </c>
      <c r="AZ29" s="37">
        <f>SUM(AZ26:AZ28)</f>
        <v/>
      </c>
      <c r="BA29" s="37">
        <f>SUM(BA26:BA28)</f>
        <v/>
      </c>
      <c r="BB29" s="37">
        <f>SUM(BB26:BB28)</f>
        <v/>
      </c>
      <c r="BC29" s="37">
        <f>SUM(BC26:BC28)</f>
        <v/>
      </c>
      <c r="BD29" s="37">
        <f>SUM(BD26:BD28)</f>
        <v/>
      </c>
      <c r="BE29" s="37">
        <f>SUM(BE26:BE28)</f>
        <v/>
      </c>
      <c r="BF29" s="37">
        <f>SUM(BF26:BF28)</f>
        <v/>
      </c>
      <c r="BG29" s="37">
        <f>SUM(BG26:BG28)</f>
        <v/>
      </c>
      <c r="BH29" s="37">
        <f>SUM(BH26:BH28)</f>
        <v/>
      </c>
      <c r="BI29" s="37">
        <f>SUM(BI26:BI28)</f>
        <v/>
      </c>
      <c r="BJ29" s="37">
        <f>SUM(BJ26:BJ28)</f>
        <v/>
      </c>
      <c r="BK29" s="37">
        <f>SUM(BK26:BK28)</f>
        <v/>
      </c>
      <c r="BL29" s="37">
        <f>SUM(BL26:BL28)</f>
        <v/>
      </c>
      <c r="BN29" s="37">
        <f>SUM(E29:P29)</f>
        <v/>
      </c>
      <c r="BO29" s="37">
        <f>SUM(Q29:AB29)</f>
        <v/>
      </c>
      <c r="BP29" s="37">
        <f>SUM(AC29:AN29)</f>
        <v/>
      </c>
      <c r="BQ29" s="37">
        <f>SUM(AO29:AZ29)</f>
        <v/>
      </c>
      <c r="BR29" s="37">
        <f>SUM(BA29:BL29)</f>
        <v/>
      </c>
    </row>
    <row r="31">
      <c r="B31" s="53" t="inlineStr">
        <is>
          <t>Average cost per person</t>
        </is>
      </c>
      <c r="C31" s="17" t="inlineStr">
        <is>
          <t>EUR/mo</t>
        </is>
      </c>
      <c r="E31" s="70">
        <f>IFERROR(E29/E20,0)</f>
        <v/>
      </c>
      <c r="F31" s="70">
        <f>IFERROR(F29/F20,0)</f>
        <v/>
      </c>
      <c r="G31" s="70">
        <f>IFERROR(G29/G20,0)</f>
        <v/>
      </c>
      <c r="H31" s="70">
        <f>IFERROR(H29/H20,0)</f>
        <v/>
      </c>
      <c r="I31" s="70">
        <f>IFERROR(I29/I20,0)</f>
        <v/>
      </c>
      <c r="J31" s="70">
        <f>IFERROR(J29/J20,0)</f>
        <v/>
      </c>
      <c r="K31" s="70">
        <f>IFERROR(K29/K20,0)</f>
        <v/>
      </c>
      <c r="L31" s="70">
        <f>IFERROR(L29/L20,0)</f>
        <v/>
      </c>
      <c r="M31" s="70">
        <f>IFERROR(M29/M20,0)</f>
        <v/>
      </c>
      <c r="N31" s="70">
        <f>IFERROR(N29/N20,0)</f>
        <v/>
      </c>
      <c r="O31" s="70">
        <f>IFERROR(O29/O20,0)</f>
        <v/>
      </c>
      <c r="P31" s="70">
        <f>IFERROR(P29/P20,0)</f>
        <v/>
      </c>
      <c r="Q31" s="70">
        <f>IFERROR(Q29/Q20,0)</f>
        <v/>
      </c>
      <c r="R31" s="70">
        <f>IFERROR(R29/R20,0)</f>
        <v/>
      </c>
      <c r="S31" s="70">
        <f>IFERROR(S29/S20,0)</f>
        <v/>
      </c>
      <c r="T31" s="70">
        <f>IFERROR(T29/T20,0)</f>
        <v/>
      </c>
      <c r="U31" s="70">
        <f>IFERROR(U29/U20,0)</f>
        <v/>
      </c>
      <c r="V31" s="70">
        <f>IFERROR(V29/V20,0)</f>
        <v/>
      </c>
      <c r="W31" s="70">
        <f>IFERROR(W29/W20,0)</f>
        <v/>
      </c>
      <c r="X31" s="70">
        <f>IFERROR(X29/X20,0)</f>
        <v/>
      </c>
      <c r="Y31" s="70">
        <f>IFERROR(Y29/Y20,0)</f>
        <v/>
      </c>
      <c r="Z31" s="70">
        <f>IFERROR(Z29/Z20,0)</f>
        <v/>
      </c>
      <c r="AA31" s="70">
        <f>IFERROR(AA29/AA20,0)</f>
        <v/>
      </c>
      <c r="AB31" s="70">
        <f>IFERROR(AB29/AB20,0)</f>
        <v/>
      </c>
      <c r="AC31" s="70">
        <f>IFERROR(AC29/AC20,0)</f>
        <v/>
      </c>
      <c r="AD31" s="70">
        <f>IFERROR(AD29/AD20,0)</f>
        <v/>
      </c>
      <c r="AE31" s="70">
        <f>IFERROR(AE29/AE20,0)</f>
        <v/>
      </c>
      <c r="AF31" s="70">
        <f>IFERROR(AF29/AF20,0)</f>
        <v/>
      </c>
      <c r="AG31" s="70">
        <f>IFERROR(AG29/AG20,0)</f>
        <v/>
      </c>
      <c r="AH31" s="70">
        <f>IFERROR(AH29/AH20,0)</f>
        <v/>
      </c>
      <c r="AI31" s="70">
        <f>IFERROR(AI29/AI20,0)</f>
        <v/>
      </c>
      <c r="AJ31" s="70">
        <f>IFERROR(AJ29/AJ20,0)</f>
        <v/>
      </c>
      <c r="AK31" s="70">
        <f>IFERROR(AK29/AK20,0)</f>
        <v/>
      </c>
      <c r="AL31" s="70">
        <f>IFERROR(AL29/AL20,0)</f>
        <v/>
      </c>
      <c r="AM31" s="70">
        <f>IFERROR(AM29/AM20,0)</f>
        <v/>
      </c>
      <c r="AN31" s="70">
        <f>IFERROR(AN29/AN20,0)</f>
        <v/>
      </c>
      <c r="AO31" s="70">
        <f>IFERROR(AO29/AO20,0)</f>
        <v/>
      </c>
      <c r="AP31" s="70">
        <f>IFERROR(AP29/AP20,0)</f>
        <v/>
      </c>
      <c r="AQ31" s="70">
        <f>IFERROR(AQ29/AQ20,0)</f>
        <v/>
      </c>
      <c r="AR31" s="70">
        <f>IFERROR(AR29/AR20,0)</f>
        <v/>
      </c>
      <c r="AS31" s="70">
        <f>IFERROR(AS29/AS20,0)</f>
        <v/>
      </c>
      <c r="AT31" s="70">
        <f>IFERROR(AT29/AT20,0)</f>
        <v/>
      </c>
      <c r="AU31" s="70">
        <f>IFERROR(AU29/AU20,0)</f>
        <v/>
      </c>
      <c r="AV31" s="70">
        <f>IFERROR(AV29/AV20,0)</f>
        <v/>
      </c>
      <c r="AW31" s="70">
        <f>IFERROR(AW29/AW20,0)</f>
        <v/>
      </c>
      <c r="AX31" s="70">
        <f>IFERROR(AX29/AX20,0)</f>
        <v/>
      </c>
      <c r="AY31" s="70">
        <f>IFERROR(AY29/AY20,0)</f>
        <v/>
      </c>
      <c r="AZ31" s="70">
        <f>IFERROR(AZ29/AZ20,0)</f>
        <v/>
      </c>
      <c r="BA31" s="70">
        <f>IFERROR(BA29/BA20,0)</f>
        <v/>
      </c>
      <c r="BB31" s="70">
        <f>IFERROR(BB29/BB20,0)</f>
        <v/>
      </c>
      <c r="BC31" s="70">
        <f>IFERROR(BC29/BC20,0)</f>
        <v/>
      </c>
      <c r="BD31" s="70">
        <f>IFERROR(BD29/BD20,0)</f>
        <v/>
      </c>
      <c r="BE31" s="70">
        <f>IFERROR(BE29/BE20,0)</f>
        <v/>
      </c>
      <c r="BF31" s="70">
        <f>IFERROR(BF29/BF20,0)</f>
        <v/>
      </c>
      <c r="BG31" s="70">
        <f>IFERROR(BG29/BG20,0)</f>
        <v/>
      </c>
      <c r="BH31" s="70">
        <f>IFERROR(BH29/BH20,0)</f>
        <v/>
      </c>
      <c r="BI31" s="70">
        <f>IFERROR(BI29/BI20,0)</f>
        <v/>
      </c>
      <c r="BJ31" s="70">
        <f>IFERROR(BJ29/BJ20,0)</f>
        <v/>
      </c>
      <c r="BK31" s="70">
        <f>IFERROR(BK29/BK20,0)</f>
        <v/>
      </c>
      <c r="BL31" s="70">
        <f>IFERROR(BL29/BL20,0)</f>
        <v/>
      </c>
      <c r="BN31" s="71">
        <f>IFERROR(SUM(E29:P29)/SUM(E20:P20),0)</f>
        <v/>
      </c>
      <c r="BO31" s="71">
        <f>IFERROR(SUM(Q29:AB29)/SUM(Q20:AB20),0)</f>
        <v/>
      </c>
      <c r="BP31" s="71">
        <f>IFERROR(SUM(AC29:AN29)/SUM(AC20:AN20),0)</f>
        <v/>
      </c>
      <c r="BQ31" s="71">
        <f>IFERROR(SUM(AO29:AZ29)/SUM(AO20:AZ20),0)</f>
        <v/>
      </c>
      <c r="BR31" s="71">
        <f>IFERROR(SUM(BA29:BL29)/SUM(BA20:BL20),0)</f>
        <v/>
      </c>
      <c r="BT31" s="32" t="inlineStr">
        <is>
          <t>annual column: the year's people cost over the year's person-months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B1:J53"/>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3" customWidth="1" min="1" max="1"/>
    <col width="50" customWidth="1" min="2" max="2"/>
    <col width="13" customWidth="1" min="3" max="3"/>
    <col width="15" customWidth="1" min="4" max="4"/>
    <col width="15" customWidth="1" min="5" max="5"/>
    <col width="15" customWidth="1" min="6" max="6"/>
    <col width="15" customWidth="1" min="7" max="7"/>
    <col width="15" customWidth="1" min="8" max="8"/>
    <col width="2" customWidth="1" min="9" max="9"/>
    <col width="64" customWidth="1" min="10" max="10"/>
  </cols>
  <sheetData>
    <row r="1">
      <c r="B1" s="1" t="inlineStr">
        <is>
          <t>Tarnoc B.V.  Dashboard</t>
        </is>
      </c>
      <c r="C1" s="2" t="n"/>
      <c r="D1" s="2" t="n"/>
      <c r="E1" s="2" t="n"/>
      <c r="F1" s="2" t="n"/>
      <c r="G1" s="2" t="n"/>
      <c r="H1" s="2" t="n"/>
      <c r="I1" s="2" t="n"/>
      <c r="J1" s="2" t="n"/>
    </row>
    <row r="2">
      <c r="B2" s="3" t="inlineStr">
        <is>
          <t>Every figure is a formula off the other tabs. Change a driver on Assumptions and this moves.</t>
        </is>
      </c>
    </row>
    <row r="3">
      <c r="B3" s="2" t="n"/>
      <c r="C3" s="2" t="n"/>
      <c r="D3" s="49" t="n">
        <v>2026</v>
      </c>
      <c r="E3" s="49" t="n">
        <v>2027</v>
      </c>
      <c r="F3" s="49" t="n">
        <v>2028</v>
      </c>
      <c r="G3" s="49" t="n">
        <v>2029</v>
      </c>
      <c r="H3" s="49" t="n">
        <v>2030</v>
      </c>
      <c r="I3" s="2" t="n"/>
      <c r="J3" s="2" t="n"/>
    </row>
    <row r="5">
      <c r="B5" s="1" t="inlineStr">
        <is>
          <t>VOLUME AND CUSTOMERS</t>
        </is>
      </c>
      <c r="C5" s="2" t="n"/>
      <c r="D5" s="2" t="n"/>
      <c r="E5" s="2" t="n"/>
      <c r="F5" s="2" t="n"/>
      <c r="G5" s="2" t="n"/>
      <c r="H5" s="2" t="n"/>
      <c r="I5" s="2" t="n"/>
      <c r="J5" s="2" t="n"/>
    </row>
    <row r="6">
      <c r="B6" s="16" t="inlineStr">
        <is>
          <t>Units sold</t>
        </is>
      </c>
      <c r="D6" s="61">
        <f>'Revenue Forecast'!BN34</f>
        <v/>
      </c>
      <c r="E6" s="61">
        <f>'Revenue Forecast'!BO34</f>
        <v/>
      </c>
      <c r="F6" s="61">
        <f>'Revenue Forecast'!BP34</f>
        <v/>
      </c>
      <c r="G6" s="61">
        <f>'Revenue Forecast'!BQ34</f>
        <v/>
      </c>
      <c r="H6" s="61">
        <f>'Revenue Forecast'!BR34</f>
        <v/>
      </c>
    </row>
    <row r="7">
      <c r="B7" s="6" t="inlineStr">
        <is>
          <t>Installed base at year end</t>
        </is>
      </c>
      <c r="D7" s="9">
        <f>'Revenue Forecast'!BN41</f>
        <v/>
      </c>
      <c r="E7" s="9">
        <f>'Revenue Forecast'!BO41</f>
        <v/>
      </c>
      <c r="F7" s="9">
        <f>'Revenue Forecast'!BP41</f>
        <v/>
      </c>
      <c r="G7" s="9">
        <f>'Revenue Forecast'!BQ41</f>
        <v/>
      </c>
      <c r="H7" s="9">
        <f>'Revenue Forecast'!BR41</f>
        <v/>
      </c>
    </row>
    <row r="8">
      <c r="B8" s="6" t="inlineStr">
        <is>
          <t>Build capacity used</t>
        </is>
      </c>
      <c r="D8" s="54">
        <f>'Revenue Forecast'!BN35</f>
        <v/>
      </c>
      <c r="E8" s="54">
        <f>'Revenue Forecast'!BO35</f>
        <v/>
      </c>
      <c r="F8" s="54">
        <f>'Revenue Forecast'!BP35</f>
        <v/>
      </c>
      <c r="G8" s="54">
        <f>'Revenue Forecast'!BQ35</f>
        <v/>
      </c>
      <c r="H8" s="54">
        <f>'Revenue Forecast'!BR35</f>
        <v/>
      </c>
    </row>
    <row r="9">
      <c r="B9" s="6" t="inlineStr">
        <is>
          <t>Installer partners at year end</t>
        </is>
      </c>
      <c r="D9" s="13">
        <f>'Revenue Forecast'!BN20</f>
        <v/>
      </c>
      <c r="E9" s="13">
        <f>'Revenue Forecast'!BO20</f>
        <v/>
      </c>
      <c r="F9" s="13">
        <f>'Revenue Forecast'!BP20</f>
        <v/>
      </c>
      <c r="G9" s="13">
        <f>'Revenue Forecast'!BQ20</f>
        <v/>
      </c>
      <c r="H9" s="13">
        <f>'Revenue Forecast'!BR20</f>
        <v/>
      </c>
    </row>
    <row r="10">
      <c r="B10" s="6" t="inlineStr">
        <is>
          <t>Marketing cost per unit sold</t>
        </is>
      </c>
      <c r="D10" s="10">
        <f>IFERROR('Revenue Forecast'!BN6/'Revenue Forecast'!BN34,0)</f>
        <v/>
      </c>
      <c r="E10" s="10">
        <f>IFERROR('Revenue Forecast'!BO6/'Revenue Forecast'!BO34,0)</f>
        <v/>
      </c>
      <c r="F10" s="10">
        <f>IFERROR('Revenue Forecast'!BP6/'Revenue Forecast'!BP34,0)</f>
        <v/>
      </c>
      <c r="G10" s="10">
        <f>IFERROR('Revenue Forecast'!BQ6/'Revenue Forecast'!BQ34,0)</f>
        <v/>
      </c>
      <c r="H10" s="10">
        <f>IFERROR('Revenue Forecast'!BR6/'Revenue Forecast'!BR34,0)</f>
        <v/>
      </c>
    </row>
    <row r="13">
      <c r="B13" s="1" t="inlineStr">
        <is>
          <t>PROFIT AND LOSS</t>
        </is>
      </c>
      <c r="C13" s="2" t="n"/>
      <c r="D13" s="2" t="n"/>
      <c r="E13" s="2" t="n"/>
      <c r="F13" s="2" t="n"/>
      <c r="G13" s="2" t="n"/>
      <c r="H13" s="2" t="n"/>
      <c r="I13" s="2" t="n"/>
      <c r="J13" s="2" t="n"/>
    </row>
    <row r="14">
      <c r="B14" s="16" t="inlineStr">
        <is>
          <t>Revenue</t>
        </is>
      </c>
      <c r="D14" s="37">
        <f>'Financial Statements'!BN6</f>
        <v/>
      </c>
      <c r="E14" s="37">
        <f>'Financial Statements'!BO6</f>
        <v/>
      </c>
      <c r="F14" s="37">
        <f>'Financial Statements'!BP6</f>
        <v/>
      </c>
      <c r="G14" s="37">
        <f>'Financial Statements'!BQ6</f>
        <v/>
      </c>
      <c r="H14" s="37">
        <f>'Financial Statements'!BR6</f>
        <v/>
      </c>
    </row>
    <row r="15">
      <c r="B15" s="6" t="inlineStr">
        <is>
          <t>Gross profit</t>
        </is>
      </c>
      <c r="D15" s="10">
        <f>'Financial Statements'!BN8</f>
        <v/>
      </c>
      <c r="E15" s="10">
        <f>'Financial Statements'!BO8</f>
        <v/>
      </c>
      <c r="F15" s="10">
        <f>'Financial Statements'!BP8</f>
        <v/>
      </c>
      <c r="G15" s="10">
        <f>'Financial Statements'!BQ8</f>
        <v/>
      </c>
      <c r="H15" s="10">
        <f>'Financial Statements'!BR8</f>
        <v/>
      </c>
    </row>
    <row r="16">
      <c r="B16" s="6" t="inlineStr">
        <is>
          <t>Gross margin</t>
        </is>
      </c>
      <c r="D16" s="54">
        <f>IF('Revenue Forecast'!BN34=0,"n/a",'Financial Statements'!BN9)</f>
        <v/>
      </c>
      <c r="E16" s="54">
        <f>IF('Revenue Forecast'!BO34=0,"n/a",'Financial Statements'!BO9)</f>
        <v/>
      </c>
      <c r="F16" s="54">
        <f>IF('Revenue Forecast'!BP34=0,"n/a",'Financial Statements'!BP9)</f>
        <v/>
      </c>
      <c r="G16" s="54">
        <f>IF('Revenue Forecast'!BQ34=0,"n/a",'Financial Statements'!BQ9)</f>
        <v/>
      </c>
      <c r="H16" s="54">
        <f>IF('Revenue Forecast'!BR34=0,"n/a",'Financial Statements'!BR9)</f>
        <v/>
      </c>
      <c r="J16" s="32" t="inlineStr">
        <is>
          <t>n/a in a year with no units sold</t>
        </is>
      </c>
    </row>
    <row r="17">
      <c r="B17" s="6" t="inlineStr">
        <is>
          <t>Operating expenses</t>
        </is>
      </c>
      <c r="D17" s="10">
        <f>'Financial Statements'!BN14</f>
        <v/>
      </c>
      <c r="E17" s="10">
        <f>'Financial Statements'!BO14</f>
        <v/>
      </c>
      <c r="F17" s="10">
        <f>'Financial Statements'!BP14</f>
        <v/>
      </c>
      <c r="G17" s="10">
        <f>'Financial Statements'!BQ14</f>
        <v/>
      </c>
      <c r="H17" s="10">
        <f>'Financial Statements'!BR14</f>
        <v/>
      </c>
    </row>
    <row r="18">
      <c r="B18" s="16" t="inlineStr">
        <is>
          <t>EBITDA</t>
        </is>
      </c>
      <c r="D18" s="37">
        <f>'Financial Statements'!BN16</f>
        <v/>
      </c>
      <c r="E18" s="37">
        <f>'Financial Statements'!BO16</f>
        <v/>
      </c>
      <c r="F18" s="37">
        <f>'Financial Statements'!BP16</f>
        <v/>
      </c>
      <c r="G18" s="37">
        <f>'Financial Statements'!BQ16</f>
        <v/>
      </c>
      <c r="H18" s="37">
        <f>'Financial Statements'!BR16</f>
        <v/>
      </c>
    </row>
    <row r="19">
      <c r="B19" s="6" t="inlineStr">
        <is>
          <t>EBITDA margin</t>
        </is>
      </c>
      <c r="D19" s="54">
        <f>IF('Revenue Forecast'!BN34=0,"n/a",'Financial Statements'!BN17)</f>
        <v/>
      </c>
      <c r="E19" s="54">
        <f>IF('Revenue Forecast'!BO34=0,"n/a",'Financial Statements'!BO17)</f>
        <v/>
      </c>
      <c r="F19" s="54">
        <f>IF('Revenue Forecast'!BP34=0,"n/a",'Financial Statements'!BP17)</f>
        <v/>
      </c>
      <c r="G19" s="54">
        <f>IF('Revenue Forecast'!BQ34=0,"n/a",'Financial Statements'!BQ17)</f>
        <v/>
      </c>
      <c r="H19" s="54">
        <f>IF('Revenue Forecast'!BR34=0,"n/a",'Financial Statements'!BR17)</f>
        <v/>
      </c>
    </row>
    <row r="20">
      <c r="B20" s="6" t="inlineStr">
        <is>
          <t>Net income</t>
        </is>
      </c>
      <c r="D20" s="10">
        <f>'Financial Statements'!BN23</f>
        <v/>
      </c>
      <c r="E20" s="10">
        <f>'Financial Statements'!BO23</f>
        <v/>
      </c>
      <c r="F20" s="10">
        <f>'Financial Statements'!BP23</f>
        <v/>
      </c>
      <c r="G20" s="10">
        <f>'Financial Statements'!BQ23</f>
        <v/>
      </c>
      <c r="H20" s="10">
        <f>'Financial Statements'!BR23</f>
        <v/>
      </c>
    </row>
    <row r="22">
      <c r="B22" s="1" t="inlineStr">
        <is>
          <t>PEOPLE</t>
        </is>
      </c>
      <c r="C22" s="2" t="n"/>
      <c r="D22" s="2" t="n"/>
      <c r="E22" s="2" t="n"/>
      <c r="F22" s="2" t="n"/>
      <c r="G22" s="2" t="n"/>
      <c r="H22" s="2" t="n"/>
      <c r="I22" s="2" t="n"/>
      <c r="J22" s="2" t="n"/>
    </row>
    <row r="23">
      <c r="B23" s="6" t="inlineStr">
        <is>
          <t>Field service engineers</t>
        </is>
      </c>
      <c r="D23" s="9">
        <f>Personnel!BN18</f>
        <v/>
      </c>
      <c r="E23" s="9">
        <f>Personnel!BO18</f>
        <v/>
      </c>
      <c r="F23" s="9">
        <f>Personnel!BP18</f>
        <v/>
      </c>
      <c r="G23" s="9">
        <f>Personnel!BQ18</f>
        <v/>
      </c>
      <c r="H23" s="9">
        <f>Personnel!BR18</f>
        <v/>
      </c>
    </row>
    <row r="24">
      <c r="B24" s="16" t="inlineStr">
        <is>
          <t>Total headcount</t>
        </is>
      </c>
      <c r="D24" s="74">
        <f>Personnel!BN20</f>
        <v/>
      </c>
      <c r="E24" s="74">
        <f>Personnel!BO20</f>
        <v/>
      </c>
      <c r="F24" s="74">
        <f>Personnel!BP20</f>
        <v/>
      </c>
      <c r="G24" s="74">
        <f>Personnel!BQ20</f>
        <v/>
      </c>
      <c r="H24" s="74">
        <f>Personnel!BR20</f>
        <v/>
      </c>
    </row>
    <row r="26">
      <c r="B26" s="6" t="inlineStr">
        <is>
          <t>Revenue per person</t>
        </is>
      </c>
      <c r="D26" s="10">
        <f>IFERROR(D14/D24,0)</f>
        <v/>
      </c>
      <c r="E26" s="10">
        <f>IFERROR(E14/E24,0)</f>
        <v/>
      </c>
      <c r="F26" s="10">
        <f>IFERROR(F14/F24,0)</f>
        <v/>
      </c>
      <c r="G26" s="10">
        <f>IFERROR(G14/G24,0)</f>
        <v/>
      </c>
      <c r="H26" s="10">
        <f>IFERROR(H14/H24,0)</f>
        <v/>
      </c>
      <c r="J26" s="32" t="inlineStr">
        <is>
          <t>Viessmann runs at about EUR276k and Vaillant about EUR200k</t>
        </is>
      </c>
    </row>
    <row r="28">
      <c r="B28" s="1" t="inlineStr">
        <is>
          <t>CASH AND FUNDING</t>
        </is>
      </c>
      <c r="C28" s="2" t="n"/>
      <c r="D28" s="2" t="n"/>
      <c r="E28" s="2" t="n"/>
      <c r="F28" s="2" t="n"/>
      <c r="G28" s="2" t="n"/>
      <c r="H28" s="2" t="n"/>
      <c r="I28" s="2" t="n"/>
      <c r="J28" s="2" t="n"/>
    </row>
    <row r="29">
      <c r="B29" s="6" t="inlineStr">
        <is>
          <t>Equity raised in the year</t>
        </is>
      </c>
      <c r="D29" s="10">
        <f>'Financial Statements'!BN35</f>
        <v/>
      </c>
      <c r="E29" s="10">
        <f>'Financial Statements'!BO35</f>
        <v/>
      </c>
      <c r="F29" s="10">
        <f>'Financial Statements'!BP35</f>
        <v/>
      </c>
      <c r="G29" s="10">
        <f>'Financial Statements'!BQ35</f>
        <v/>
      </c>
      <c r="H29" s="10">
        <f>'Financial Statements'!BR35</f>
        <v/>
      </c>
    </row>
    <row r="31">
      <c r="B31" s="16" t="inlineStr">
        <is>
          <t>Cash at year end</t>
        </is>
      </c>
      <c r="D31" s="37">
        <f>'Financial Statements'!BN40</f>
        <v/>
      </c>
      <c r="E31" s="37">
        <f>'Financial Statements'!BO40</f>
        <v/>
      </c>
      <c r="F31" s="37">
        <f>'Financial Statements'!BP40</f>
        <v/>
      </c>
      <c r="G31" s="37">
        <f>'Financial Statements'!BQ40</f>
        <v/>
      </c>
      <c r="H31" s="37">
        <f>'Financial Statements'!BR40</f>
        <v/>
      </c>
    </row>
    <row r="32">
      <c r="B32" s="6" t="inlineStr">
        <is>
          <t>Lowest cash during the year</t>
        </is>
      </c>
      <c r="D32" s="10">
        <f>MIN('Financial Statements'!E40:'Financial Statements'!P40)</f>
        <v/>
      </c>
      <c r="E32" s="10">
        <f>MIN('Financial Statements'!Q40:'Financial Statements'!AB40)</f>
        <v/>
      </c>
      <c r="F32" s="10">
        <f>MIN('Financial Statements'!AC40:'Financial Statements'!AN40)</f>
        <v/>
      </c>
      <c r="G32" s="10">
        <f>MIN('Financial Statements'!AO40:'Financial Statements'!AZ40)</f>
        <v/>
      </c>
      <c r="H32" s="10">
        <f>MIN('Financial Statements'!BA40:'Financial Statements'!BL40)</f>
        <v/>
      </c>
      <c r="J32" s="32" t="inlineStr">
        <is>
          <t>the number that decides whether the raise is big enough</t>
        </is>
      </c>
    </row>
    <row r="34">
      <c r="B34" s="5" t="inlineStr">
        <is>
          <t>Balance sheet check, worst month across the whole model</t>
        </is>
      </c>
      <c r="D34" s="76">
        <f>MAX(ABS(MIN('Financial Statements'!$E$58:$BL$58)),ABS(MAX('Financial Statements'!$E$58:$BL$58)))</f>
        <v/>
      </c>
      <c r="J34" s="3" t="inlineStr">
        <is>
          <t>must read nil</t>
        </is>
      </c>
    </row>
    <row r="36">
      <c r="B36" s="1" t="inlineStr">
        <is>
          <t>WHERE THE MONEY GOES</t>
        </is>
      </c>
      <c r="C36" s="2" t="n"/>
      <c r="D36" s="2" t="n"/>
      <c r="E36" s="2" t="n"/>
      <c r="F36" s="2" t="n"/>
      <c r="G36" s="2" t="n"/>
      <c r="H36" s="2" t="n"/>
      <c r="I36" s="2" t="n"/>
      <c r="J36" s="2" t="n"/>
    </row>
    <row r="37">
      <c r="B37" s="8" t="inlineStr">
        <is>
          <t>Lowest the cash balance ever gets, after the raise</t>
        </is>
      </c>
      <c r="D37" s="10">
        <f>MIN(INDEX('Financial Statements'!$E$40:$BL$40,MATCH(Assumptions!$D$116,'Financial Statements'!$E$3:$BL$3,0)):INDEX('Financial Statements'!$E$40:$BL$40,60))</f>
        <v/>
      </c>
      <c r="J37" s="32" t="inlineStr">
        <is>
          <t>the moment the plan is closest to running out</t>
        </is>
      </c>
    </row>
    <row r="38">
      <c r="B38" s="8" t="inlineStr">
        <is>
          <t>The month it happens</t>
        </is>
      </c>
      <c r="D38" s="77">
        <f>INDEX('Financial Statements'!$E$3:$BL$3,MATCH(D37,INDEX('Financial Statements'!$E$40:$BL$40,MATCH(Assumptions!$D$116,'Financial Statements'!$E$3:$BL$3,0)):INDEX('Financial Statements'!$E$40:$BL$40,60),0)+MATCH(Assumptions!$D$116,'Financial Statements'!$E$3:$BL$3,0)-1)</f>
        <v/>
      </c>
    </row>
    <row r="39">
      <c r="B39" s="8" t="inlineStr">
        <is>
          <t>Lowest the cash balance gets before the raise</t>
        </is>
      </c>
      <c r="D39" s="10">
        <f>MIN(INDEX('Financial Statements'!$E$40:$BL$40,1):INDEX('Financial Statements'!$E$40:$BL$40,MATCH(Assumptions!$D$116,'Financial Statements'!$E$3:$BL$3,0)-1))</f>
        <v/>
      </c>
      <c r="J39" s="32" t="inlineStr">
        <is>
          <t>the committed 2026 plan has to survive to the raise on its own; negative here means it does not</t>
        </is>
      </c>
    </row>
    <row r="40">
      <c r="B40" s="8" t="inlineStr">
        <is>
          <t>Cash at the start of January 2026</t>
        </is>
      </c>
      <c r="D40" s="10">
        <f>Assumptions!$D$6</f>
        <v/>
      </c>
    </row>
    <row r="41">
      <c r="B41" s="8" t="inlineStr">
        <is>
          <t>Equity raised up to that month</t>
        </is>
      </c>
      <c r="D41" s="10">
        <f>SUMIF('Financial Statements'!$E$3:$BL$3,"&lt;="&amp;D38,'Financial Statements'!$E$35:$BL$35)</f>
        <v/>
      </c>
    </row>
    <row r="42">
      <c r="B42" s="8" t="inlineStr">
        <is>
          <t>Convertible loan drawn</t>
        </is>
      </c>
      <c r="D42" s="10">
        <f>SUMIF('Financial Statements'!$E$3:$BL$3,"&lt;="&amp;D38,'Financial Statements'!$E$36:$BL$36)</f>
        <v/>
      </c>
    </row>
    <row r="43">
      <c r="B43" s="24" t="inlineStr">
        <is>
          <t>Total money available</t>
        </is>
      </c>
      <c r="D43" s="37">
        <f>SUM(D40:D42)</f>
        <v/>
      </c>
    </row>
    <row r="45">
      <c r="B45" s="8" t="inlineStr">
        <is>
          <t>Absorbed by operations and working capital</t>
        </is>
      </c>
      <c r="D45" s="10">
        <f>-SUMIF('Financial Statements'!$E$3:$BL$3,"&lt;="&amp;D38,'Financial Statements'!$E$32:$BL$32)</f>
        <v/>
      </c>
      <c r="J45" s="32" t="inlineStr">
        <is>
          <t>trading losses plus the receivables the ramp ties up, less the payables it creates</t>
        </is>
      </c>
    </row>
    <row r="46">
      <c r="B46" s="8" t="inlineStr">
        <is>
          <t>Cash still in the bank at the low point</t>
        </is>
      </c>
      <c r="D46" s="10">
        <f>D37</f>
        <v/>
      </c>
      <c r="J46" s="32" t="inlineStr">
        <is>
          <t>negative means the plan has spent more than the money available</t>
        </is>
      </c>
    </row>
    <row r="47">
      <c r="B47" s="24" t="inlineStr">
        <is>
          <t>Total</t>
        </is>
      </c>
      <c r="D47" s="37">
        <f>SUM(D44:D46)</f>
        <v/>
      </c>
      <c r="J47" s="32" t="inlineStr">
        <is>
          <t>ties to total money available</t>
        </is>
      </c>
    </row>
    <row r="48">
      <c r="B48" s="8" t="inlineStr">
        <is>
          <t>Check   sources less uses, must be nil</t>
        </is>
      </c>
      <c r="D48" s="64">
        <f>D43-D47</f>
        <v/>
      </c>
    </row>
    <row r="49">
      <c r="B49" s="1" t="inlineStr">
        <is>
          <t>IS THE RAISE THE RIGHT SIZE</t>
        </is>
      </c>
      <c r="C49" s="2" t="n"/>
      <c r="D49" s="2" t="n"/>
      <c r="E49" s="2" t="n"/>
      <c r="F49" s="2" t="n"/>
      <c r="G49" s="2" t="n"/>
      <c r="H49" s="2" t="n"/>
      <c r="I49" s="2" t="n"/>
      <c r="J49" s="2" t="n"/>
    </row>
    <row r="50">
      <c r="B50" s="8" t="inlineStr">
        <is>
          <t>Cash the moment the raise lands</t>
        </is>
      </c>
      <c r="D50" s="10">
        <f>INDEX('Financial Statements'!$E$40:$BL$40,MATCH(Assumptions!$D$116,'Financial Statements'!$E$3:$BL$3,0))</f>
        <v/>
      </c>
    </row>
    <row r="51">
      <c r="B51" s="8" t="inlineStr">
        <is>
          <t>Most of the raise ever drawn down</t>
        </is>
      </c>
      <c r="D51" s="10">
        <f>D50-D37</f>
        <v/>
      </c>
    </row>
    <row r="52">
      <c r="B52" s="24" t="inlineStr">
        <is>
          <t>Share of the raise the plan actually uses</t>
        </is>
      </c>
      <c r="D52" s="78">
        <f>IFERROR(D51/SUM(INDEX('Financial Statements'!$E$35:$BL$35,MATCH(Assumptions!$D$116,'Financial Statements'!$E$3:$BL$3,0)):INDEX('Financial Statements'!$E$35:$BL$35,60)),0)</f>
        <v/>
      </c>
      <c r="J52" s="32" t="inlineStr">
        <is>
          <t>well under 100% means the raise is bigger than this plan needs; over 100% means the plan needs more than the raise</t>
        </is>
      </c>
    </row>
    <row r="53">
      <c r="B53" s="8" t="inlineStr">
        <is>
          <t>Months of operating cost left at the low point</t>
        </is>
      </c>
      <c r="D53" s="13">
        <f>IFERROR(D37/(-HLOOKUP(YEAR(D38),'Financial Statements'!$BN$3:$BR$14,12,FALSE)/12),0)</f>
        <v/>
      </c>
      <c r="J53" s="32" t="inlineStr">
        <is>
          <t>cash at the low point over that year's average monthly operating cost. Three or more is comfortable; negative means the cash has run out</t>
        </is>
      </c>
    </row>
  </sheetData>
  <conditionalFormatting sqref="D37:D39">
    <cfRule type="cellIs" priority="1" operator="lessThan" dxfId="0">
      <formula>0</formula>
    </cfRule>
  </conditionalFormatting>
  <conditionalFormatting sqref="D48">
    <cfRule type="expression" priority="2" dxfId="1">
      <formula>ABS(D48)&gt;0.01</formula>
    </cfRule>
  </conditionalFormatting>
  <conditionalFormatting sqref="D53">
    <cfRule type="cellIs" priority="3" operator="lessThan" dxfId="0">
      <formula>0</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2026-09-07T12:10:40Z</dcterms:created>
  <dcterms:modified xsi:type="dcterms:W3CDTF">2026-09-07T12:10:40Z</dcterms:modified>
</cp:coreProperties>
</file>