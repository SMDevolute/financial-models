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They live on Assumptions, plus the back-office headcount row on Personnel.</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The only other typed numbers are the back-office headcount on Personnel and the committed 2026 plan on OPEX.</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4"/>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21" t="n"/>
      <c r="C113" s="21" t="n"/>
      <c r="D113" s="22" t="inlineStr">
        <is>
          <t>Base</t>
        </is>
      </c>
      <c r="E113" s="22" t="inlineStr">
        <is>
          <t>Aggressive</t>
        </is>
      </c>
      <c r="F113" s="22" t="inlineStr">
        <is>
          <t>Live</t>
        </is>
      </c>
      <c r="G113" s="21" t="n"/>
      <c r="H113" s="21" t="n"/>
      <c r="I113" s="21" t="n"/>
      <c r="J113" s="21" t="n"/>
    </row>
    <row r="114">
      <c r="B114" s="9" t="inlineStr">
        <is>
          <t>Boilers one field engineer can look after</t>
        </is>
      </c>
      <c r="C114" s="18" t="inlineStr">
        <is>
          <t>boilers</t>
        </is>
      </c>
      <c r="D114" s="29" t="n">
        <v>750</v>
      </c>
      <c r="E114" s="29" t="n">
        <v>750</v>
      </c>
      <c r="F114" s="30">
        <f>IF(Assumptions!$E$5=2,E114,D114)</f>
        <v/>
      </c>
      <c r="J114" s="20" t="inlineStr">
        <is>
          <t>sizes the field service team: boilers on a service contract divided by this number = engineers to hire. Each boiler gets one visit a year, an engineer does three to four a day</t>
        </is>
      </c>
    </row>
    <row r="115">
      <c r="B115" s="7" t="inlineStr">
        <is>
          <t>LOADED COST PER PERSON  (employer cost, including taxes)</t>
        </is>
      </c>
      <c r="C115" s="1" t="n"/>
      <c r="D115" s="1" t="n"/>
      <c r="E115" s="1" t="n"/>
      <c r="F115" s="1" t="n"/>
      <c r="G115" s="1" t="n"/>
      <c r="H115" s="1" t="n"/>
      <c r="I115" s="1" t="n"/>
      <c r="J115" s="1" t="n"/>
    </row>
    <row r="116">
      <c r="B116" s="21" t="n"/>
      <c r="C116" s="21" t="n"/>
      <c r="D116" s="22" t="inlineStr">
        <is>
          <t>Base</t>
        </is>
      </c>
      <c r="E116" s="22" t="inlineStr">
        <is>
          <t>Aggressive</t>
        </is>
      </c>
      <c r="F116" s="22" t="inlineStr">
        <is>
          <t>Live</t>
        </is>
      </c>
      <c r="G116" s="21" t="n"/>
      <c r="H116" s="21" t="n"/>
      <c r="I116" s="21" t="n"/>
      <c r="J116" s="21" t="n"/>
    </row>
    <row r="117">
      <c r="B117" s="9" t="inlineStr">
        <is>
          <t>Sales rep</t>
        </is>
      </c>
      <c r="C117" s="18" t="inlineStr">
        <is>
          <t>EUR/month</t>
        </is>
      </c>
      <c r="D117" s="23" t="n">
        <v>7500</v>
      </c>
      <c r="E117" s="23" t="n">
        <v>7500</v>
      </c>
      <c r="F117" s="24">
        <f>IF(Assumptions!$E$5=2,E117,D117)</f>
        <v/>
      </c>
    </row>
    <row r="118">
      <c r="B118" s="9" t="inlineStr">
        <is>
          <t>Partner manager</t>
        </is>
      </c>
      <c r="C118" s="18" t="inlineStr">
        <is>
          <t>EUR/month</t>
        </is>
      </c>
      <c r="D118" s="23" t="n">
        <v>8000</v>
      </c>
      <c r="E118" s="23" t="n">
        <v>8000</v>
      </c>
      <c r="F118" s="24">
        <f>IF(Assumptions!$E$5=2,E118,D118)</f>
        <v/>
      </c>
    </row>
    <row r="119">
      <c r="B119" s="9" t="inlineStr">
        <is>
          <t>Trainer, order desk, marketing</t>
        </is>
      </c>
      <c r="C119" s="18" t="inlineStr">
        <is>
          <t>EUR/month</t>
        </is>
      </c>
      <c r="D119" s="23" t="n">
        <v>7000</v>
      </c>
      <c r="E119" s="23" t="n">
        <v>7000</v>
      </c>
      <c r="F119" s="24">
        <f>IF(Assumptions!$E$5=2,E119,D119)</f>
        <v/>
      </c>
    </row>
    <row r="120">
      <c r="B120" s="9" t="inlineStr">
        <is>
          <t>Supply chain and production</t>
        </is>
      </c>
      <c r="C120" s="18" t="inlineStr">
        <is>
          <t>EUR/month</t>
        </is>
      </c>
      <c r="D120" s="23" t="n">
        <v>5000</v>
      </c>
      <c r="E120" s="23" t="n">
        <v>5000</v>
      </c>
      <c r="F120" s="24">
        <f>IF(Assumptions!$E$5=2,E120,D120)</f>
        <v/>
      </c>
    </row>
    <row r="121">
      <c r="B121" s="9" t="inlineStr">
        <is>
          <t>Support and escalation</t>
        </is>
      </c>
      <c r="C121" s="18" t="inlineStr">
        <is>
          <t>EUR/month</t>
        </is>
      </c>
      <c r="D121" s="23" t="n">
        <v>4800</v>
      </c>
      <c r="E121" s="23" t="n">
        <v>4800</v>
      </c>
      <c r="F121" s="24">
        <f>IF(Assumptions!$E$5=2,E121,D121)</f>
        <v/>
      </c>
    </row>
    <row r="122">
      <c r="B122" s="9" t="inlineStr">
        <is>
          <t>Leadership and back office</t>
        </is>
      </c>
      <c r="C122" s="18" t="inlineStr">
        <is>
          <t>EUR/month</t>
        </is>
      </c>
      <c r="D122" s="23" t="n">
        <v>7000</v>
      </c>
      <c r="E122" s="23" t="n">
        <v>7000</v>
      </c>
      <c r="F122" s="24">
        <f>IF(Assumptions!$E$5=2,E122,D122)</f>
        <v/>
      </c>
    </row>
    <row r="123">
      <c r="B123" s="9" t="inlineStr">
        <is>
          <t>R&amp;D engineer</t>
        </is>
      </c>
      <c r="C123" s="18" t="inlineStr">
        <is>
          <t>EUR/month</t>
        </is>
      </c>
      <c r="D123" s="23" t="n">
        <v>5700</v>
      </c>
      <c r="E123" s="23" t="n">
        <v>5700</v>
      </c>
      <c r="F123" s="24">
        <f>IF(Assumptions!$E$5=2,E123,D123)</f>
        <v/>
      </c>
      <c r="J123" s="20" t="inlineStr">
        <is>
          <t>the blended cost of the seven engineers already in post</t>
        </is>
      </c>
    </row>
    <row r="124">
      <c r="B124" s="9" t="inlineStr">
        <is>
          <t>Field service engineer</t>
        </is>
      </c>
      <c r="C124" s="18" t="inlineStr">
        <is>
          <t>EUR/month</t>
        </is>
      </c>
      <c r="D124" s="23" t="n">
        <v>6500</v>
      </c>
      <c r="E124" s="23" t="n">
        <v>6500</v>
      </c>
      <c r="F124" s="24">
        <f>IF(Assumptions!$E$5=2,E124,D124)</f>
        <v/>
      </c>
    </row>
    <row r="125">
      <c r="B125" s="7" t="inlineStr">
        <is>
          <t>OVERHEADS AND OTHER OPERATING COSTS</t>
        </is>
      </c>
      <c r="C125" s="1" t="n"/>
      <c r="D125" s="1" t="n"/>
      <c r="E125" s="1" t="n"/>
      <c r="F125" s="1" t="n"/>
      <c r="G125" s="1" t="n"/>
      <c r="H125" s="1" t="n"/>
      <c r="I125" s="1" t="n"/>
      <c r="J125" s="1" t="n"/>
    </row>
    <row r="126">
      <c r="B126" s="21" t="n"/>
      <c r="C126" s="21" t="n"/>
      <c r="D126" s="22" t="inlineStr">
        <is>
          <t>Base</t>
        </is>
      </c>
      <c r="E126" s="22" t="inlineStr">
        <is>
          <t>Aggressive</t>
        </is>
      </c>
      <c r="F126" s="22" t="inlineStr">
        <is>
          <t>Live</t>
        </is>
      </c>
      <c r="G126" s="21" t="n"/>
      <c r="H126" s="21" t="n"/>
      <c r="I126" s="21" t="n"/>
      <c r="J126" s="21" t="n"/>
    </row>
    <row r="127">
      <c r="B127" s="9" t="inlineStr">
        <is>
          <t>Offices and facilities per person</t>
        </is>
      </c>
      <c r="C127" s="18" t="inlineStr">
        <is>
          <t>EUR/month</t>
        </is>
      </c>
      <c r="D127" s="23" t="n">
        <v>700</v>
      </c>
      <c r="E127" s="23" t="n">
        <v>700</v>
      </c>
      <c r="F127" s="24">
        <f>IF(Assumptions!$E$5=2,E127,D127)</f>
        <v/>
      </c>
    </row>
    <row r="128">
      <c r="B128" s="9" t="inlineStr">
        <is>
          <t>IT and software per person</t>
        </is>
      </c>
      <c r="C128" s="18" t="inlineStr">
        <is>
          <t>EUR/month</t>
        </is>
      </c>
      <c r="D128" s="23" t="n">
        <v>250</v>
      </c>
      <c r="E128" s="23" t="n">
        <v>250</v>
      </c>
      <c r="F128" s="24">
        <f>IF(Assumptions!$E$5=2,E128,D128)</f>
        <v/>
      </c>
    </row>
    <row r="129">
      <c r="B129" s="9" t="inlineStr">
        <is>
          <t>Travel per person</t>
        </is>
      </c>
      <c r="C129" s="18" t="inlineStr">
        <is>
          <t>EUR/month</t>
        </is>
      </c>
      <c r="D129" s="23" t="n">
        <v>300</v>
      </c>
      <c r="E129" s="23" t="n">
        <v>300</v>
      </c>
      <c r="F129" s="24">
        <f>IF(Assumptions!$E$5=2,E129,D129)</f>
        <v/>
      </c>
    </row>
    <row r="130">
      <c r="B130" s="9" t="inlineStr">
        <is>
          <t>Recruitment per net new hire</t>
        </is>
      </c>
      <c r="C130" s="18" t="inlineStr">
        <is>
          <t>EUR</t>
        </is>
      </c>
      <c r="D130" s="23" t="n">
        <v>8000</v>
      </c>
      <c r="E130" s="23" t="n">
        <v>8000</v>
      </c>
      <c r="F130" s="24">
        <f>IF(Assumptions!$E$5=2,E130,D130)</f>
        <v/>
      </c>
    </row>
    <row r="131">
      <c r="B131" s="9" t="inlineStr">
        <is>
          <t>Installer training and demo unit per new partner</t>
        </is>
      </c>
      <c r="C131" s="18" t="inlineStr">
        <is>
          <t>EUR</t>
        </is>
      </c>
      <c r="D131" s="23" t="n">
        <v>3500</v>
      </c>
      <c r="E131" s="23" t="n">
        <v>3500</v>
      </c>
      <c r="F131" s="24">
        <f>IF(Assumptions!$E$5=2,E131,D131)</f>
        <v/>
      </c>
    </row>
    <row r="132">
      <c r="B132" s="9" t="inlineStr">
        <is>
          <t>Finance and legal</t>
        </is>
      </c>
      <c r="C132" s="18" t="inlineStr">
        <is>
          <t>EUR/month</t>
        </is>
      </c>
      <c r="D132" s="23" t="n">
        <v>7000</v>
      </c>
      <c r="E132" s="23" t="n">
        <v>7000</v>
      </c>
      <c r="F132" s="24">
        <f>IF(Assumptions!$E$5=2,E132,D132)</f>
        <v/>
      </c>
    </row>
    <row r="133">
      <c r="B133" s="9" t="inlineStr">
        <is>
          <t>Other general</t>
        </is>
      </c>
      <c r="C133" s="18" t="inlineStr">
        <is>
          <t>EUR/month</t>
        </is>
      </c>
      <c r="D133" s="23" t="n">
        <v>5000</v>
      </c>
      <c r="E133" s="23" t="n">
        <v>5000</v>
      </c>
      <c r="F133" s="24">
        <f>IF(Assumptions!$E$5=2,E133,D133)</f>
        <v/>
      </c>
    </row>
    <row r="134">
      <c r="B134" s="9" t="inlineStr">
        <is>
          <t>Ongoing development</t>
        </is>
      </c>
      <c r="C134" s="18" t="inlineStr">
        <is>
          <t>EUR/month</t>
        </is>
      </c>
      <c r="D134" s="23" t="n">
        <v>8000</v>
      </c>
      <c r="E134" s="23" t="n">
        <v>8000</v>
      </c>
      <c r="F134" s="24">
        <f>IF(Assumptions!$E$5=2,E134,D134)</f>
        <v/>
      </c>
    </row>
    <row r="135">
      <c r="B135" s="9" t="inlineStr">
        <is>
          <t>Third party product development</t>
        </is>
      </c>
      <c r="C135" s="18" t="inlineStr">
        <is>
          <t>EUR/month</t>
        </is>
      </c>
      <c r="D135" s="23" t="n">
        <v>10000</v>
      </c>
      <c r="E135" s="23" t="n">
        <v>10000</v>
      </c>
      <c r="F135" s="24">
        <f>IF(Assumptions!$E$5=2,E135,D135)</f>
        <v/>
      </c>
    </row>
    <row r="136">
      <c r="B136" s="9" t="inlineStr">
        <is>
          <t>Annual increase on the costs above</t>
        </is>
      </c>
      <c r="C136" s="18" t="inlineStr">
        <is>
          <t>%</t>
        </is>
      </c>
      <c r="D136" s="25" t="n">
        <v>0.1</v>
      </c>
      <c r="E136" s="25" t="n">
        <v>0.1</v>
      </c>
      <c r="F136" s="26">
        <f>IF(Assumptions!$E$5=2,E136,D136)</f>
        <v/>
      </c>
    </row>
    <row r="137">
      <c r="B137" s="7" t="inlineStr">
        <is>
          <t>FUNDING</t>
        </is>
      </c>
      <c r="C137" s="1" t="n"/>
      <c r="D137" s="1" t="n"/>
      <c r="E137" s="1" t="n"/>
      <c r="F137" s="1" t="n"/>
      <c r="G137" s="1" t="n"/>
      <c r="H137" s="1" t="n"/>
      <c r="I137" s="1" t="n"/>
      <c r="J137" s="1" t="n"/>
    </row>
    <row r="138">
      <c r="B138" s="21" t="n"/>
      <c r="C138" s="21" t="n"/>
      <c r="D138" s="22" t="inlineStr">
        <is>
          <t>Base</t>
        </is>
      </c>
      <c r="E138" s="22" t="inlineStr">
        <is>
          <t>Aggressive</t>
        </is>
      </c>
      <c r="F138" s="22" t="inlineStr">
        <is>
          <t>Live</t>
        </is>
      </c>
      <c r="G138" s="21" t="n"/>
      <c r="H138" s="21" t="n"/>
      <c r="I138" s="21" t="n"/>
      <c r="J138" s="21" t="n"/>
    </row>
    <row r="139">
      <c r="B139" s="9" t="inlineStr">
        <is>
          <t>First round, money in</t>
        </is>
      </c>
      <c r="C139" s="18" t="inlineStr">
        <is>
          <t>date</t>
        </is>
      </c>
      <c r="D139" s="27" t="n">
        <v>46143</v>
      </c>
      <c r="E139" s="27" t="n">
        <v>46143</v>
      </c>
      <c r="F139" s="28">
        <f>IF(Assumptions!$E$5=2,E139,D139)</f>
        <v/>
      </c>
    </row>
    <row r="140">
      <c r="B140" s="9" t="inlineStr">
        <is>
          <t>First round, amount</t>
        </is>
      </c>
      <c r="C140" s="18" t="inlineStr">
        <is>
          <t>EUR</t>
        </is>
      </c>
      <c r="D140" s="23" t="n">
        <v>300000</v>
      </c>
      <c r="E140" s="23" t="n">
        <v>300000</v>
      </c>
      <c r="F140" s="24">
        <f>IF(Assumptions!$E$5=2,E140,D140)</f>
        <v/>
      </c>
    </row>
    <row r="141">
      <c r="B141" s="9" t="inlineStr">
        <is>
          <t>Second round, money in</t>
        </is>
      </c>
      <c r="C141" s="18" t="inlineStr">
        <is>
          <t>date</t>
        </is>
      </c>
      <c r="D141" s="27" t="n">
        <v>46296</v>
      </c>
      <c r="E141" s="27" t="n">
        <v>46296</v>
      </c>
      <c r="F141" s="28">
        <f>IF(Assumptions!$E$5=2,E141,D141)</f>
        <v/>
      </c>
    </row>
    <row r="142">
      <c r="B142" s="9" t="inlineStr">
        <is>
          <t>Second round, amount</t>
        </is>
      </c>
      <c r="C142" s="18" t="inlineStr">
        <is>
          <t>EUR</t>
        </is>
      </c>
      <c r="D142" s="23" t="n">
        <v>3000000</v>
      </c>
      <c r="E142" s="23" t="n">
        <v>10000000</v>
      </c>
      <c r="F142" s="24">
        <f>IF(Assumptions!$E$5=2,E142,D142)</f>
        <v/>
      </c>
      <c r="J142" s="20" t="inlineStr">
        <is>
          <t>this is the raise the model is built to justify</t>
        </is>
      </c>
    </row>
    <row r="143">
      <c r="B143" s="9" t="inlineStr">
        <is>
          <t>Convertible loan drawn</t>
        </is>
      </c>
      <c r="C143" s="18" t="inlineStr">
        <is>
          <t>EUR</t>
        </is>
      </c>
      <c r="D143" s="23" t="n">
        <v>300000</v>
      </c>
      <c r="E143" s="23" t="n">
        <v>300000</v>
      </c>
      <c r="F143" s="24">
        <f>IF(Assumptions!$E$5=2,E143,D143)</f>
        <v/>
      </c>
    </row>
    <row r="144">
      <c r="B144" s="9" t="inlineStr">
        <is>
          <t>Loan drawn on</t>
        </is>
      </c>
      <c r="C144" s="18" t="inlineStr">
        <is>
          <t>date</t>
        </is>
      </c>
      <c r="D144" s="27" t="n">
        <v>46204</v>
      </c>
      <c r="E144" s="27" t="n">
        <v>46204</v>
      </c>
      <c r="F144" s="28">
        <f>IF(Assumptions!$E$5=2,E144,D144)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IF(E$3=Assumptions!$F$139,Assumptions!$F$140,0)+IF(E$3=Assumptions!$F$141,Assumptions!$F$142,0)</f>
        <v/>
      </c>
      <c r="F35" s="43">
        <f>IF(F$3=Assumptions!$F$139,Assumptions!$F$140,0)+IF(F$3=Assumptions!$F$141,Assumptions!$F$142,0)</f>
        <v/>
      </c>
      <c r="G35" s="43">
        <f>IF(G$3=Assumptions!$F$139,Assumptions!$F$140,0)+IF(G$3=Assumptions!$F$141,Assumptions!$F$142,0)</f>
        <v/>
      </c>
      <c r="H35" s="43">
        <f>IF(H$3=Assumptions!$F$139,Assumptions!$F$140,0)+IF(H$3=Assumptions!$F$141,Assumptions!$F$142,0)</f>
        <v/>
      </c>
      <c r="I35" s="43">
        <f>IF(I$3=Assumptions!$F$139,Assumptions!$F$140,0)+IF(I$3=Assumptions!$F$141,Assumptions!$F$142,0)</f>
        <v/>
      </c>
      <c r="J35" s="43">
        <f>IF(J$3=Assumptions!$F$139,Assumptions!$F$140,0)+IF(J$3=Assumptions!$F$141,Assumptions!$F$142,0)</f>
        <v/>
      </c>
      <c r="K35" s="43">
        <f>IF(K$3=Assumptions!$F$139,Assumptions!$F$140,0)+IF(K$3=Assumptions!$F$141,Assumptions!$F$142,0)</f>
        <v/>
      </c>
      <c r="L35" s="43">
        <f>IF(L$3=Assumptions!$F$139,Assumptions!$F$140,0)+IF(L$3=Assumptions!$F$141,Assumptions!$F$142,0)</f>
        <v/>
      </c>
      <c r="M35" s="43">
        <f>IF(M$3=Assumptions!$F$139,Assumptions!$F$140,0)+IF(M$3=Assumptions!$F$141,Assumptions!$F$142,0)</f>
        <v/>
      </c>
      <c r="N35" s="43">
        <f>IF(N$3=Assumptions!$F$139,Assumptions!$F$140,0)+IF(N$3=Assumptions!$F$141,Assumptions!$F$142,0)</f>
        <v/>
      </c>
      <c r="O35" s="43">
        <f>IF(O$3=Assumptions!$F$139,Assumptions!$F$140,0)+IF(O$3=Assumptions!$F$141,Assumptions!$F$142,0)</f>
        <v/>
      </c>
      <c r="P35" s="43">
        <f>IF(P$3=Assumptions!$F$139,Assumptions!$F$140,0)+IF(P$3=Assumptions!$F$141,Assumptions!$F$142,0)</f>
        <v/>
      </c>
      <c r="Q35" s="43">
        <f>IF(Q$3=Assumptions!$F$139,Assumptions!$F$140,0)+IF(Q$3=Assumptions!$F$141,Assumptions!$F$142,0)</f>
        <v/>
      </c>
      <c r="R35" s="43">
        <f>IF(R$3=Assumptions!$F$139,Assumptions!$F$140,0)+IF(R$3=Assumptions!$F$141,Assumptions!$F$142,0)</f>
        <v/>
      </c>
      <c r="S35" s="43">
        <f>IF(S$3=Assumptions!$F$139,Assumptions!$F$140,0)+IF(S$3=Assumptions!$F$141,Assumptions!$F$142,0)</f>
        <v/>
      </c>
      <c r="T35" s="43">
        <f>IF(T$3=Assumptions!$F$139,Assumptions!$F$140,0)+IF(T$3=Assumptions!$F$141,Assumptions!$F$142,0)</f>
        <v/>
      </c>
      <c r="U35" s="43">
        <f>IF(U$3=Assumptions!$F$139,Assumptions!$F$140,0)+IF(U$3=Assumptions!$F$141,Assumptions!$F$142,0)</f>
        <v/>
      </c>
      <c r="V35" s="43">
        <f>IF(V$3=Assumptions!$F$139,Assumptions!$F$140,0)+IF(V$3=Assumptions!$F$141,Assumptions!$F$142,0)</f>
        <v/>
      </c>
      <c r="W35" s="43">
        <f>IF(W$3=Assumptions!$F$139,Assumptions!$F$140,0)+IF(W$3=Assumptions!$F$141,Assumptions!$F$142,0)</f>
        <v/>
      </c>
      <c r="X35" s="43">
        <f>IF(X$3=Assumptions!$F$139,Assumptions!$F$140,0)+IF(X$3=Assumptions!$F$141,Assumptions!$F$142,0)</f>
        <v/>
      </c>
      <c r="Y35" s="43">
        <f>IF(Y$3=Assumptions!$F$139,Assumptions!$F$140,0)+IF(Y$3=Assumptions!$F$141,Assumptions!$F$142,0)</f>
        <v/>
      </c>
      <c r="Z35" s="43">
        <f>IF(Z$3=Assumptions!$F$139,Assumptions!$F$140,0)+IF(Z$3=Assumptions!$F$141,Assumptions!$F$142,0)</f>
        <v/>
      </c>
      <c r="AA35" s="43">
        <f>IF(AA$3=Assumptions!$F$139,Assumptions!$F$140,0)+IF(AA$3=Assumptions!$F$141,Assumptions!$F$142,0)</f>
        <v/>
      </c>
      <c r="AB35" s="43">
        <f>IF(AB$3=Assumptions!$F$139,Assumptions!$F$140,0)+IF(AB$3=Assumptions!$F$141,Assumptions!$F$142,0)</f>
        <v/>
      </c>
      <c r="AC35" s="43">
        <f>IF(AC$3=Assumptions!$F$139,Assumptions!$F$140,0)+IF(AC$3=Assumptions!$F$141,Assumptions!$F$142,0)</f>
        <v/>
      </c>
      <c r="AD35" s="43">
        <f>IF(AD$3=Assumptions!$F$139,Assumptions!$F$140,0)+IF(AD$3=Assumptions!$F$141,Assumptions!$F$142,0)</f>
        <v/>
      </c>
      <c r="AE35" s="43">
        <f>IF(AE$3=Assumptions!$F$139,Assumptions!$F$140,0)+IF(AE$3=Assumptions!$F$141,Assumptions!$F$142,0)</f>
        <v/>
      </c>
      <c r="AF35" s="43">
        <f>IF(AF$3=Assumptions!$F$139,Assumptions!$F$140,0)+IF(AF$3=Assumptions!$F$141,Assumptions!$F$142,0)</f>
        <v/>
      </c>
      <c r="AG35" s="43">
        <f>IF(AG$3=Assumptions!$F$139,Assumptions!$F$140,0)+IF(AG$3=Assumptions!$F$141,Assumptions!$F$142,0)</f>
        <v/>
      </c>
      <c r="AH35" s="43">
        <f>IF(AH$3=Assumptions!$F$139,Assumptions!$F$140,0)+IF(AH$3=Assumptions!$F$141,Assumptions!$F$142,0)</f>
        <v/>
      </c>
      <c r="AI35" s="43">
        <f>IF(AI$3=Assumptions!$F$139,Assumptions!$F$140,0)+IF(AI$3=Assumptions!$F$141,Assumptions!$F$142,0)</f>
        <v/>
      </c>
      <c r="AJ35" s="43">
        <f>IF(AJ$3=Assumptions!$F$139,Assumptions!$F$140,0)+IF(AJ$3=Assumptions!$F$141,Assumptions!$F$142,0)</f>
        <v/>
      </c>
      <c r="AK35" s="43">
        <f>IF(AK$3=Assumptions!$F$139,Assumptions!$F$140,0)+IF(AK$3=Assumptions!$F$141,Assumptions!$F$142,0)</f>
        <v/>
      </c>
      <c r="AL35" s="43">
        <f>IF(AL$3=Assumptions!$F$139,Assumptions!$F$140,0)+IF(AL$3=Assumptions!$F$141,Assumptions!$F$142,0)</f>
        <v/>
      </c>
      <c r="AM35" s="43">
        <f>IF(AM$3=Assumptions!$F$139,Assumptions!$F$140,0)+IF(AM$3=Assumptions!$F$141,Assumptions!$F$142,0)</f>
        <v/>
      </c>
      <c r="AN35" s="43">
        <f>IF(AN$3=Assumptions!$F$139,Assumptions!$F$140,0)+IF(AN$3=Assumptions!$F$141,Assumptions!$F$142,0)</f>
        <v/>
      </c>
      <c r="AO35" s="43">
        <f>IF(AO$3=Assumptions!$F$139,Assumptions!$F$140,0)+IF(AO$3=Assumptions!$F$141,Assumptions!$F$142,0)</f>
        <v/>
      </c>
      <c r="AP35" s="43">
        <f>IF(AP$3=Assumptions!$F$139,Assumptions!$F$140,0)+IF(AP$3=Assumptions!$F$141,Assumptions!$F$142,0)</f>
        <v/>
      </c>
      <c r="AQ35" s="43">
        <f>IF(AQ$3=Assumptions!$F$139,Assumptions!$F$140,0)+IF(AQ$3=Assumptions!$F$141,Assumptions!$F$142,0)</f>
        <v/>
      </c>
      <c r="AR35" s="43">
        <f>IF(AR$3=Assumptions!$F$139,Assumptions!$F$140,0)+IF(AR$3=Assumptions!$F$141,Assumptions!$F$142,0)</f>
        <v/>
      </c>
      <c r="AS35" s="43">
        <f>IF(AS$3=Assumptions!$F$139,Assumptions!$F$140,0)+IF(AS$3=Assumptions!$F$141,Assumptions!$F$142,0)</f>
        <v/>
      </c>
      <c r="AT35" s="43">
        <f>IF(AT$3=Assumptions!$F$139,Assumptions!$F$140,0)+IF(AT$3=Assumptions!$F$141,Assumptions!$F$142,0)</f>
        <v/>
      </c>
      <c r="AU35" s="43">
        <f>IF(AU$3=Assumptions!$F$139,Assumptions!$F$140,0)+IF(AU$3=Assumptions!$F$141,Assumptions!$F$142,0)</f>
        <v/>
      </c>
      <c r="AV35" s="43">
        <f>IF(AV$3=Assumptions!$F$139,Assumptions!$F$140,0)+IF(AV$3=Assumptions!$F$141,Assumptions!$F$142,0)</f>
        <v/>
      </c>
      <c r="AW35" s="43">
        <f>IF(AW$3=Assumptions!$F$139,Assumptions!$F$140,0)+IF(AW$3=Assumptions!$F$141,Assumptions!$F$142,0)</f>
        <v/>
      </c>
      <c r="AX35" s="43">
        <f>IF(AX$3=Assumptions!$F$139,Assumptions!$F$140,0)+IF(AX$3=Assumptions!$F$141,Assumptions!$F$142,0)</f>
        <v/>
      </c>
      <c r="AY35" s="43">
        <f>IF(AY$3=Assumptions!$F$139,Assumptions!$F$140,0)+IF(AY$3=Assumptions!$F$141,Assumptions!$F$142,0)</f>
        <v/>
      </c>
      <c r="AZ35" s="43">
        <f>IF(AZ$3=Assumptions!$F$139,Assumptions!$F$140,0)+IF(AZ$3=Assumptions!$F$141,Assumptions!$F$142,0)</f>
        <v/>
      </c>
      <c r="BA35" s="43">
        <f>IF(BA$3=Assumptions!$F$139,Assumptions!$F$140,0)+IF(BA$3=Assumptions!$F$141,Assumptions!$F$142,0)</f>
        <v/>
      </c>
      <c r="BB35" s="43">
        <f>IF(BB$3=Assumptions!$F$139,Assumptions!$F$140,0)+IF(BB$3=Assumptions!$F$141,Assumptions!$F$142,0)</f>
        <v/>
      </c>
      <c r="BC35" s="43">
        <f>IF(BC$3=Assumptions!$F$139,Assumptions!$F$140,0)+IF(BC$3=Assumptions!$F$141,Assumptions!$F$142,0)</f>
        <v/>
      </c>
      <c r="BD35" s="43">
        <f>IF(BD$3=Assumptions!$F$139,Assumptions!$F$140,0)+IF(BD$3=Assumptions!$F$141,Assumptions!$F$142,0)</f>
        <v/>
      </c>
      <c r="BE35" s="43">
        <f>IF(BE$3=Assumptions!$F$139,Assumptions!$F$140,0)+IF(BE$3=Assumptions!$F$141,Assumptions!$F$142,0)</f>
        <v/>
      </c>
      <c r="BF35" s="43">
        <f>IF(BF$3=Assumptions!$F$139,Assumptions!$F$140,0)+IF(BF$3=Assumptions!$F$141,Assumptions!$F$142,0)</f>
        <v/>
      </c>
      <c r="BG35" s="43">
        <f>IF(BG$3=Assumptions!$F$139,Assumptions!$F$140,0)+IF(BG$3=Assumptions!$F$141,Assumptions!$F$142,0)</f>
        <v/>
      </c>
      <c r="BH35" s="43">
        <f>IF(BH$3=Assumptions!$F$139,Assumptions!$F$140,0)+IF(BH$3=Assumptions!$F$141,Assumptions!$F$142,0)</f>
        <v/>
      </c>
      <c r="BI35" s="43">
        <f>IF(BI$3=Assumptions!$F$139,Assumptions!$F$140,0)+IF(BI$3=Assumptions!$F$141,Assumptions!$F$142,0)</f>
        <v/>
      </c>
      <c r="BJ35" s="43">
        <f>IF(BJ$3=Assumptions!$F$139,Assumptions!$F$140,0)+IF(BJ$3=Assumptions!$F$141,Assumptions!$F$142,0)</f>
        <v/>
      </c>
      <c r="BK35" s="43">
        <f>IF(BK$3=Assumptions!$F$139,Assumptions!$F$140,0)+IF(BK$3=Assumptions!$F$141,Assumptions!$F$142,0)</f>
        <v/>
      </c>
      <c r="BL35" s="43">
        <f>IF(BL$3=Assumptions!$F$139,Assumptions!$F$140,0)+IF(BL$3=Assumptions!$F$141,Assumptions!$F$142,0)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IF(E$3=Assumptions!$F$144,Assumptions!$F$143,0)</f>
        <v/>
      </c>
      <c r="F36" s="43">
        <f>IF(F$3=Assumptions!$F$144,Assumptions!$F$143,0)</f>
        <v/>
      </c>
      <c r="G36" s="43">
        <f>IF(G$3=Assumptions!$F$144,Assumptions!$F$143,0)</f>
        <v/>
      </c>
      <c r="H36" s="43">
        <f>IF(H$3=Assumptions!$F$144,Assumptions!$F$143,0)</f>
        <v/>
      </c>
      <c r="I36" s="43">
        <f>IF(I$3=Assumptions!$F$144,Assumptions!$F$143,0)</f>
        <v/>
      </c>
      <c r="J36" s="43">
        <f>IF(J$3=Assumptions!$F$144,Assumptions!$F$143,0)</f>
        <v/>
      </c>
      <c r="K36" s="43">
        <f>IF(K$3=Assumptions!$F$144,Assumptions!$F$143,0)</f>
        <v/>
      </c>
      <c r="L36" s="43">
        <f>IF(L$3=Assumptions!$F$144,Assumptions!$F$143,0)</f>
        <v/>
      </c>
      <c r="M36" s="43">
        <f>IF(M$3=Assumptions!$F$144,Assumptions!$F$143,0)</f>
        <v/>
      </c>
      <c r="N36" s="43">
        <f>IF(N$3=Assumptions!$F$144,Assumptions!$F$143,0)</f>
        <v/>
      </c>
      <c r="O36" s="43">
        <f>IF(O$3=Assumptions!$F$144,Assumptions!$F$143,0)</f>
        <v/>
      </c>
      <c r="P36" s="43">
        <f>IF(P$3=Assumptions!$F$144,Assumptions!$F$143,0)</f>
        <v/>
      </c>
      <c r="Q36" s="43">
        <f>IF(Q$3=Assumptions!$F$144,Assumptions!$F$143,0)</f>
        <v/>
      </c>
      <c r="R36" s="43">
        <f>IF(R$3=Assumptions!$F$144,Assumptions!$F$143,0)</f>
        <v/>
      </c>
      <c r="S36" s="43">
        <f>IF(S$3=Assumptions!$F$144,Assumptions!$F$143,0)</f>
        <v/>
      </c>
      <c r="T36" s="43">
        <f>IF(T$3=Assumptions!$F$144,Assumptions!$F$143,0)</f>
        <v/>
      </c>
      <c r="U36" s="43">
        <f>IF(U$3=Assumptions!$F$144,Assumptions!$F$143,0)</f>
        <v/>
      </c>
      <c r="V36" s="43">
        <f>IF(V$3=Assumptions!$F$144,Assumptions!$F$143,0)</f>
        <v/>
      </c>
      <c r="W36" s="43">
        <f>IF(W$3=Assumptions!$F$144,Assumptions!$F$143,0)</f>
        <v/>
      </c>
      <c r="X36" s="43">
        <f>IF(X$3=Assumptions!$F$144,Assumptions!$F$143,0)</f>
        <v/>
      </c>
      <c r="Y36" s="43">
        <f>IF(Y$3=Assumptions!$F$144,Assumptions!$F$143,0)</f>
        <v/>
      </c>
      <c r="Z36" s="43">
        <f>IF(Z$3=Assumptions!$F$144,Assumptions!$F$143,0)</f>
        <v/>
      </c>
      <c r="AA36" s="43">
        <f>IF(AA$3=Assumptions!$F$144,Assumptions!$F$143,0)</f>
        <v/>
      </c>
      <c r="AB36" s="43">
        <f>IF(AB$3=Assumptions!$F$144,Assumptions!$F$143,0)</f>
        <v/>
      </c>
      <c r="AC36" s="43">
        <f>IF(AC$3=Assumptions!$F$144,Assumptions!$F$143,0)</f>
        <v/>
      </c>
      <c r="AD36" s="43">
        <f>IF(AD$3=Assumptions!$F$144,Assumptions!$F$143,0)</f>
        <v/>
      </c>
      <c r="AE36" s="43">
        <f>IF(AE$3=Assumptions!$F$144,Assumptions!$F$143,0)</f>
        <v/>
      </c>
      <c r="AF36" s="43">
        <f>IF(AF$3=Assumptions!$F$144,Assumptions!$F$143,0)</f>
        <v/>
      </c>
      <c r="AG36" s="43">
        <f>IF(AG$3=Assumptions!$F$144,Assumptions!$F$143,0)</f>
        <v/>
      </c>
      <c r="AH36" s="43">
        <f>IF(AH$3=Assumptions!$F$144,Assumptions!$F$143,0)</f>
        <v/>
      </c>
      <c r="AI36" s="43">
        <f>IF(AI$3=Assumptions!$F$144,Assumptions!$F$143,0)</f>
        <v/>
      </c>
      <c r="AJ36" s="43">
        <f>IF(AJ$3=Assumptions!$F$144,Assumptions!$F$143,0)</f>
        <v/>
      </c>
      <c r="AK36" s="43">
        <f>IF(AK$3=Assumptions!$F$144,Assumptions!$F$143,0)</f>
        <v/>
      </c>
      <c r="AL36" s="43">
        <f>IF(AL$3=Assumptions!$F$144,Assumptions!$F$143,0)</f>
        <v/>
      </c>
      <c r="AM36" s="43">
        <f>IF(AM$3=Assumptions!$F$144,Assumptions!$F$143,0)</f>
        <v/>
      </c>
      <c r="AN36" s="43">
        <f>IF(AN$3=Assumptions!$F$144,Assumptions!$F$143,0)</f>
        <v/>
      </c>
      <c r="AO36" s="43">
        <f>IF(AO$3=Assumptions!$F$144,Assumptions!$F$143,0)</f>
        <v/>
      </c>
      <c r="AP36" s="43">
        <f>IF(AP$3=Assumptions!$F$144,Assumptions!$F$143,0)</f>
        <v/>
      </c>
      <c r="AQ36" s="43">
        <f>IF(AQ$3=Assumptions!$F$144,Assumptions!$F$143,0)</f>
        <v/>
      </c>
      <c r="AR36" s="43">
        <f>IF(AR$3=Assumptions!$F$144,Assumptions!$F$143,0)</f>
        <v/>
      </c>
      <c r="AS36" s="43">
        <f>IF(AS$3=Assumptions!$F$144,Assumptions!$F$143,0)</f>
        <v/>
      </c>
      <c r="AT36" s="43">
        <f>IF(AT$3=Assumptions!$F$144,Assumptions!$F$143,0)</f>
        <v/>
      </c>
      <c r="AU36" s="43">
        <f>IF(AU$3=Assumptions!$F$144,Assumptions!$F$143,0)</f>
        <v/>
      </c>
      <c r="AV36" s="43">
        <f>IF(AV$3=Assumptions!$F$144,Assumptions!$F$143,0)</f>
        <v/>
      </c>
      <c r="AW36" s="43">
        <f>IF(AW$3=Assumptions!$F$144,Assumptions!$F$143,0)</f>
        <v/>
      </c>
      <c r="AX36" s="43">
        <f>IF(AX$3=Assumptions!$F$144,Assumptions!$F$143,0)</f>
        <v/>
      </c>
      <c r="AY36" s="43">
        <f>IF(AY$3=Assumptions!$F$144,Assumptions!$F$143,0)</f>
        <v/>
      </c>
      <c r="AZ36" s="43">
        <f>IF(AZ$3=Assumptions!$F$144,Assumptions!$F$143,0)</f>
        <v/>
      </c>
      <c r="BA36" s="43">
        <f>IF(BA$3=Assumptions!$F$144,Assumptions!$F$143,0)</f>
        <v/>
      </c>
      <c r="BB36" s="43">
        <f>IF(BB$3=Assumptions!$F$144,Assumptions!$F$143,0)</f>
        <v/>
      </c>
      <c r="BC36" s="43">
        <f>IF(BC$3=Assumptions!$F$144,Assumptions!$F$143,0)</f>
        <v/>
      </c>
      <c r="BD36" s="43">
        <f>IF(BD$3=Assumptions!$F$144,Assumptions!$F$143,0)</f>
        <v/>
      </c>
      <c r="BE36" s="43">
        <f>IF(BE$3=Assumptions!$F$144,Assumptions!$F$143,0)</f>
        <v/>
      </c>
      <c r="BF36" s="43">
        <f>IF(BF$3=Assumptions!$F$144,Assumptions!$F$143,0)</f>
        <v/>
      </c>
      <c r="BG36" s="43">
        <f>IF(BG$3=Assumptions!$F$144,Assumptions!$F$143,0)</f>
        <v/>
      </c>
      <c r="BH36" s="43">
        <f>IF(BH$3=Assumptions!$F$144,Assumptions!$F$143,0)</f>
        <v/>
      </c>
      <c r="BI36" s="43">
        <f>IF(BI$3=Assumptions!$F$144,Assumptions!$F$143,0)</f>
        <v/>
      </c>
      <c r="BJ36" s="43">
        <f>IF(BJ$3=Assumptions!$F$144,Assumptions!$F$143,0)</f>
        <v/>
      </c>
      <c r="BK36" s="43">
        <f>IF(BK$3=Assumptions!$F$144,Assumptions!$F$143,0)</f>
        <v/>
      </c>
      <c r="BL36" s="43">
        <f>IF(BL$3=Assumptions!$F$144,Assumptions!$F$143,0)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Forecast'!E19*Assumptions!$F$131</f>
        <v/>
      </c>
      <c r="F13" s="43">
        <f>'Revenue Forecast'!F19*Assumptions!$F$131</f>
        <v/>
      </c>
      <c r="G13" s="43">
        <f>'Revenue Forecast'!G19*Assumptions!$F$131</f>
        <v/>
      </c>
      <c r="H13" s="43">
        <f>'Revenue Forecast'!H19*Assumptions!$F$131</f>
        <v/>
      </c>
      <c r="I13" s="43">
        <f>'Revenue Forecast'!I19*Assumptions!$F$131</f>
        <v/>
      </c>
      <c r="J13" s="43">
        <f>'Revenue Forecast'!J19*Assumptions!$F$131</f>
        <v/>
      </c>
      <c r="K13" s="43">
        <f>'Revenue Forecast'!K19*Assumptions!$F$131</f>
        <v/>
      </c>
      <c r="L13" s="43">
        <f>'Revenue Forecast'!L19*Assumptions!$F$131</f>
        <v/>
      </c>
      <c r="M13" s="43">
        <f>'Revenue Forecast'!M19*Assumptions!$F$131</f>
        <v/>
      </c>
      <c r="N13" s="43">
        <f>'Revenue Forecast'!N19*Assumptions!$F$131</f>
        <v/>
      </c>
      <c r="O13" s="43">
        <f>'Revenue Forecast'!O19*Assumptions!$F$131</f>
        <v/>
      </c>
      <c r="P13" s="43">
        <f>'Revenue Forecast'!P19*Assumptions!$F$131</f>
        <v/>
      </c>
      <c r="Q13" s="43">
        <f>'Revenue Forecast'!Q19*Assumptions!$F$131</f>
        <v/>
      </c>
      <c r="R13" s="43">
        <f>'Revenue Forecast'!R19*Assumptions!$F$131</f>
        <v/>
      </c>
      <c r="S13" s="43">
        <f>'Revenue Forecast'!S19*Assumptions!$F$131</f>
        <v/>
      </c>
      <c r="T13" s="43">
        <f>'Revenue Forecast'!T19*Assumptions!$F$131</f>
        <v/>
      </c>
      <c r="U13" s="43">
        <f>'Revenue Forecast'!U19*Assumptions!$F$131</f>
        <v/>
      </c>
      <c r="V13" s="43">
        <f>'Revenue Forecast'!V19*Assumptions!$F$131</f>
        <v/>
      </c>
      <c r="W13" s="43">
        <f>'Revenue Forecast'!W19*Assumptions!$F$131</f>
        <v/>
      </c>
      <c r="X13" s="43">
        <f>'Revenue Forecast'!X19*Assumptions!$F$131</f>
        <v/>
      </c>
      <c r="Y13" s="43">
        <f>'Revenue Forecast'!Y19*Assumptions!$F$131</f>
        <v/>
      </c>
      <c r="Z13" s="43">
        <f>'Revenue Forecast'!Z19*Assumptions!$F$131</f>
        <v/>
      </c>
      <c r="AA13" s="43">
        <f>'Revenue Forecast'!AA19*Assumptions!$F$131</f>
        <v/>
      </c>
      <c r="AB13" s="43">
        <f>'Revenue Forecast'!AB19*Assumptions!$F$131</f>
        <v/>
      </c>
      <c r="AC13" s="43">
        <f>'Revenue Forecast'!AC19*Assumptions!$F$131</f>
        <v/>
      </c>
      <c r="AD13" s="43">
        <f>'Revenue Forecast'!AD19*Assumptions!$F$131</f>
        <v/>
      </c>
      <c r="AE13" s="43">
        <f>'Revenue Forecast'!AE19*Assumptions!$F$131</f>
        <v/>
      </c>
      <c r="AF13" s="43">
        <f>'Revenue Forecast'!AF19*Assumptions!$F$131</f>
        <v/>
      </c>
      <c r="AG13" s="43">
        <f>'Revenue Forecast'!AG19*Assumptions!$F$131</f>
        <v/>
      </c>
      <c r="AH13" s="43">
        <f>'Revenue Forecast'!AH19*Assumptions!$F$131</f>
        <v/>
      </c>
      <c r="AI13" s="43">
        <f>'Revenue Forecast'!AI19*Assumptions!$F$131</f>
        <v/>
      </c>
      <c r="AJ13" s="43">
        <f>'Revenue Forecast'!AJ19*Assumptions!$F$131</f>
        <v/>
      </c>
      <c r="AK13" s="43">
        <f>'Revenue Forecast'!AK19*Assumptions!$F$131</f>
        <v/>
      </c>
      <c r="AL13" s="43">
        <f>'Revenue Forecast'!AL19*Assumptions!$F$131</f>
        <v/>
      </c>
      <c r="AM13" s="43">
        <f>'Revenue Forecast'!AM19*Assumptions!$F$131</f>
        <v/>
      </c>
      <c r="AN13" s="43">
        <f>'Revenue Forecast'!AN19*Assumptions!$F$131</f>
        <v/>
      </c>
      <c r="AO13" s="43">
        <f>'Revenue Forecast'!AO19*Assumptions!$F$131</f>
        <v/>
      </c>
      <c r="AP13" s="43">
        <f>'Revenue Forecast'!AP19*Assumptions!$F$131</f>
        <v/>
      </c>
      <c r="AQ13" s="43">
        <f>'Revenue Forecast'!AQ19*Assumptions!$F$131</f>
        <v/>
      </c>
      <c r="AR13" s="43">
        <f>'Revenue Forecast'!AR19*Assumptions!$F$131</f>
        <v/>
      </c>
      <c r="AS13" s="43">
        <f>'Revenue Forecast'!AS19*Assumptions!$F$131</f>
        <v/>
      </c>
      <c r="AT13" s="43">
        <f>'Revenue Forecast'!AT19*Assumptions!$F$131</f>
        <v/>
      </c>
      <c r="AU13" s="43">
        <f>'Revenue Forecast'!AU19*Assumptions!$F$131</f>
        <v/>
      </c>
      <c r="AV13" s="43">
        <f>'Revenue Forecast'!AV19*Assumptions!$F$131</f>
        <v/>
      </c>
      <c r="AW13" s="43">
        <f>'Revenue Forecast'!AW19*Assumptions!$F$131</f>
        <v/>
      </c>
      <c r="AX13" s="43">
        <f>'Revenue Forecast'!AX19*Assumptions!$F$131</f>
        <v/>
      </c>
      <c r="AY13" s="43">
        <f>'Revenue Forecast'!AY19*Assumptions!$F$131</f>
        <v/>
      </c>
      <c r="AZ13" s="43">
        <f>'Revenue Forecast'!AZ19*Assumptions!$F$131</f>
        <v/>
      </c>
      <c r="BA13" s="43">
        <f>'Revenue Forecast'!BA19*Assumptions!$F$131</f>
        <v/>
      </c>
      <c r="BB13" s="43">
        <f>'Revenue Forecast'!BB19*Assumptions!$F$131</f>
        <v/>
      </c>
      <c r="BC13" s="43">
        <f>'Revenue Forecast'!BC19*Assumptions!$F$131</f>
        <v/>
      </c>
      <c r="BD13" s="43">
        <f>'Revenue Forecast'!BD19*Assumptions!$F$131</f>
        <v/>
      </c>
      <c r="BE13" s="43">
        <f>'Revenue Forecast'!BE19*Assumptions!$F$131</f>
        <v/>
      </c>
      <c r="BF13" s="43">
        <f>'Revenue Forecast'!BF19*Assumptions!$F$131</f>
        <v/>
      </c>
      <c r="BG13" s="43">
        <f>'Revenue Forecast'!BG19*Assumptions!$F$131</f>
        <v/>
      </c>
      <c r="BH13" s="43">
        <f>'Revenue Forecast'!BH19*Assumptions!$F$131</f>
        <v/>
      </c>
      <c r="BI13" s="43">
        <f>'Revenue Forecast'!BI19*Assumptions!$F$131</f>
        <v/>
      </c>
      <c r="BJ13" s="43">
        <f>'Revenue Forecast'!BJ19*Assumptions!$F$131</f>
        <v/>
      </c>
      <c r="BK13" s="43">
        <f>'Revenue Forecast'!BK19*Assumptions!$F$131</f>
        <v/>
      </c>
      <c r="BL13" s="43">
        <f>'Revenue Forecast'!BL19*Assumptions!$F$131</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Assumptions!$F$134*(1+Assumptions!$F$136)^(YEAR(E$3)-2026)</f>
        <v/>
      </c>
      <c r="F17" s="43">
        <f>Assumptions!$F$134*(1+Assumptions!$F$136)^(YEAR(F$3)-2026)</f>
        <v/>
      </c>
      <c r="G17" s="43">
        <f>Assumptions!$F$134*(1+Assumptions!$F$136)^(YEAR(G$3)-2026)</f>
        <v/>
      </c>
      <c r="H17" s="43">
        <f>Assumptions!$F$134*(1+Assumptions!$F$136)^(YEAR(H$3)-2026)</f>
        <v/>
      </c>
      <c r="I17" s="43">
        <f>Assumptions!$F$134*(1+Assumptions!$F$136)^(YEAR(I$3)-2026)</f>
        <v/>
      </c>
      <c r="J17" s="43">
        <f>Assumptions!$F$134*(1+Assumptions!$F$136)^(YEAR(J$3)-2026)</f>
        <v/>
      </c>
      <c r="K17" s="43">
        <f>Assumptions!$F$134*(1+Assumptions!$F$136)^(YEAR(K$3)-2026)</f>
        <v/>
      </c>
      <c r="L17" s="43">
        <f>Assumptions!$F$134*(1+Assumptions!$F$136)^(YEAR(L$3)-2026)</f>
        <v/>
      </c>
      <c r="M17" s="43">
        <f>Assumptions!$F$134*(1+Assumptions!$F$136)^(YEAR(M$3)-2026)</f>
        <v/>
      </c>
      <c r="N17" s="43">
        <f>Assumptions!$F$134*(1+Assumptions!$F$136)^(YEAR(N$3)-2026)</f>
        <v/>
      </c>
      <c r="O17" s="43">
        <f>Assumptions!$F$134*(1+Assumptions!$F$136)^(YEAR(O$3)-2026)</f>
        <v/>
      </c>
      <c r="P17" s="43">
        <f>Assumptions!$F$134*(1+Assumptions!$F$136)^(YEAR(P$3)-2026)</f>
        <v/>
      </c>
      <c r="Q17" s="43">
        <f>Assumptions!$F$134*(1+Assumptions!$F$136)^(YEAR(Q$3)-2026)</f>
        <v/>
      </c>
      <c r="R17" s="43">
        <f>Assumptions!$F$134*(1+Assumptions!$F$136)^(YEAR(R$3)-2026)</f>
        <v/>
      </c>
      <c r="S17" s="43">
        <f>Assumptions!$F$134*(1+Assumptions!$F$136)^(YEAR(S$3)-2026)</f>
        <v/>
      </c>
      <c r="T17" s="43">
        <f>Assumptions!$F$134*(1+Assumptions!$F$136)^(YEAR(T$3)-2026)</f>
        <v/>
      </c>
      <c r="U17" s="43">
        <f>Assumptions!$F$134*(1+Assumptions!$F$136)^(YEAR(U$3)-2026)</f>
        <v/>
      </c>
      <c r="V17" s="43">
        <f>Assumptions!$F$134*(1+Assumptions!$F$136)^(YEAR(V$3)-2026)</f>
        <v/>
      </c>
      <c r="W17" s="43">
        <f>Assumptions!$F$134*(1+Assumptions!$F$136)^(YEAR(W$3)-2026)</f>
        <v/>
      </c>
      <c r="X17" s="43">
        <f>Assumptions!$F$134*(1+Assumptions!$F$136)^(YEAR(X$3)-2026)</f>
        <v/>
      </c>
      <c r="Y17" s="43">
        <f>Assumptions!$F$134*(1+Assumptions!$F$136)^(YEAR(Y$3)-2026)</f>
        <v/>
      </c>
      <c r="Z17" s="43">
        <f>Assumptions!$F$134*(1+Assumptions!$F$136)^(YEAR(Z$3)-2026)</f>
        <v/>
      </c>
      <c r="AA17" s="43">
        <f>Assumptions!$F$134*(1+Assumptions!$F$136)^(YEAR(AA$3)-2026)</f>
        <v/>
      </c>
      <c r="AB17" s="43">
        <f>Assumptions!$F$134*(1+Assumptions!$F$136)^(YEAR(AB$3)-2026)</f>
        <v/>
      </c>
      <c r="AC17" s="43">
        <f>Assumptions!$F$134*(1+Assumptions!$F$136)^(YEAR(AC$3)-2026)</f>
        <v/>
      </c>
      <c r="AD17" s="43">
        <f>Assumptions!$F$134*(1+Assumptions!$F$136)^(YEAR(AD$3)-2026)</f>
        <v/>
      </c>
      <c r="AE17" s="43">
        <f>Assumptions!$F$134*(1+Assumptions!$F$136)^(YEAR(AE$3)-2026)</f>
        <v/>
      </c>
      <c r="AF17" s="43">
        <f>Assumptions!$F$134*(1+Assumptions!$F$136)^(YEAR(AF$3)-2026)</f>
        <v/>
      </c>
      <c r="AG17" s="43">
        <f>Assumptions!$F$134*(1+Assumptions!$F$136)^(YEAR(AG$3)-2026)</f>
        <v/>
      </c>
      <c r="AH17" s="43">
        <f>Assumptions!$F$134*(1+Assumptions!$F$136)^(YEAR(AH$3)-2026)</f>
        <v/>
      </c>
      <c r="AI17" s="43">
        <f>Assumptions!$F$134*(1+Assumptions!$F$136)^(YEAR(AI$3)-2026)</f>
        <v/>
      </c>
      <c r="AJ17" s="43">
        <f>Assumptions!$F$134*(1+Assumptions!$F$136)^(YEAR(AJ$3)-2026)</f>
        <v/>
      </c>
      <c r="AK17" s="43">
        <f>Assumptions!$F$134*(1+Assumptions!$F$136)^(YEAR(AK$3)-2026)</f>
        <v/>
      </c>
      <c r="AL17" s="43">
        <f>Assumptions!$F$134*(1+Assumptions!$F$136)^(YEAR(AL$3)-2026)</f>
        <v/>
      </c>
      <c r="AM17" s="43">
        <f>Assumptions!$F$134*(1+Assumptions!$F$136)^(YEAR(AM$3)-2026)</f>
        <v/>
      </c>
      <c r="AN17" s="43">
        <f>Assumptions!$F$134*(1+Assumptions!$F$136)^(YEAR(AN$3)-2026)</f>
        <v/>
      </c>
      <c r="AO17" s="43">
        <f>Assumptions!$F$134*(1+Assumptions!$F$136)^(YEAR(AO$3)-2026)</f>
        <v/>
      </c>
      <c r="AP17" s="43">
        <f>Assumptions!$F$134*(1+Assumptions!$F$136)^(YEAR(AP$3)-2026)</f>
        <v/>
      </c>
      <c r="AQ17" s="43">
        <f>Assumptions!$F$134*(1+Assumptions!$F$136)^(YEAR(AQ$3)-2026)</f>
        <v/>
      </c>
      <c r="AR17" s="43">
        <f>Assumptions!$F$134*(1+Assumptions!$F$136)^(YEAR(AR$3)-2026)</f>
        <v/>
      </c>
      <c r="AS17" s="43">
        <f>Assumptions!$F$134*(1+Assumptions!$F$136)^(YEAR(AS$3)-2026)</f>
        <v/>
      </c>
      <c r="AT17" s="43">
        <f>Assumptions!$F$134*(1+Assumptions!$F$136)^(YEAR(AT$3)-2026)</f>
        <v/>
      </c>
      <c r="AU17" s="43">
        <f>Assumptions!$F$134*(1+Assumptions!$F$136)^(YEAR(AU$3)-2026)</f>
        <v/>
      </c>
      <c r="AV17" s="43">
        <f>Assumptions!$F$134*(1+Assumptions!$F$136)^(YEAR(AV$3)-2026)</f>
        <v/>
      </c>
      <c r="AW17" s="43">
        <f>Assumptions!$F$134*(1+Assumptions!$F$136)^(YEAR(AW$3)-2026)</f>
        <v/>
      </c>
      <c r="AX17" s="43">
        <f>Assumptions!$F$134*(1+Assumptions!$F$136)^(YEAR(AX$3)-2026)</f>
        <v/>
      </c>
      <c r="AY17" s="43">
        <f>Assumptions!$F$134*(1+Assumptions!$F$136)^(YEAR(AY$3)-2026)</f>
        <v/>
      </c>
      <c r="AZ17" s="43">
        <f>Assumptions!$F$134*(1+Assumptions!$F$136)^(YEAR(AZ$3)-2026)</f>
        <v/>
      </c>
      <c r="BA17" s="43">
        <f>Assumptions!$F$134*(1+Assumptions!$F$136)^(YEAR(BA$3)-2026)</f>
        <v/>
      </c>
      <c r="BB17" s="43">
        <f>Assumptions!$F$134*(1+Assumptions!$F$136)^(YEAR(BB$3)-2026)</f>
        <v/>
      </c>
      <c r="BC17" s="43">
        <f>Assumptions!$F$134*(1+Assumptions!$F$136)^(YEAR(BC$3)-2026)</f>
        <v/>
      </c>
      <c r="BD17" s="43">
        <f>Assumptions!$F$134*(1+Assumptions!$F$136)^(YEAR(BD$3)-2026)</f>
        <v/>
      </c>
      <c r="BE17" s="43">
        <f>Assumptions!$F$134*(1+Assumptions!$F$136)^(YEAR(BE$3)-2026)</f>
        <v/>
      </c>
      <c r="BF17" s="43">
        <f>Assumptions!$F$134*(1+Assumptions!$F$136)^(YEAR(BF$3)-2026)</f>
        <v/>
      </c>
      <c r="BG17" s="43">
        <f>Assumptions!$F$134*(1+Assumptions!$F$136)^(YEAR(BG$3)-2026)</f>
        <v/>
      </c>
      <c r="BH17" s="43">
        <f>Assumptions!$F$134*(1+Assumptions!$F$136)^(YEAR(BH$3)-2026)</f>
        <v/>
      </c>
      <c r="BI17" s="43">
        <f>Assumptions!$F$134*(1+Assumptions!$F$136)^(YEAR(BI$3)-2026)</f>
        <v/>
      </c>
      <c r="BJ17" s="43">
        <f>Assumptions!$F$134*(1+Assumptions!$F$136)^(YEAR(BJ$3)-2026)</f>
        <v/>
      </c>
      <c r="BK17" s="43">
        <f>Assumptions!$F$134*(1+Assumptions!$F$136)^(YEAR(BK$3)-2026)</f>
        <v/>
      </c>
      <c r="BL17" s="43">
        <f>Assumptions!$F$134*(1+Assumptions!$F$136)^(YEAR(BL$3)-2026)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Assumptions!$F$135*(1+Assumptions!$F$136)^(YEAR(E$3)-2026)</f>
        <v/>
      </c>
      <c r="F18" s="43">
        <f>Assumptions!$F$135*(1+Assumptions!$F$136)^(YEAR(F$3)-2026)</f>
        <v/>
      </c>
      <c r="G18" s="43">
        <f>Assumptions!$F$135*(1+Assumptions!$F$136)^(YEAR(G$3)-2026)</f>
        <v/>
      </c>
      <c r="H18" s="43">
        <f>Assumptions!$F$135*(1+Assumptions!$F$136)^(YEAR(H$3)-2026)</f>
        <v/>
      </c>
      <c r="I18" s="43">
        <f>Assumptions!$F$135*(1+Assumptions!$F$136)^(YEAR(I$3)-2026)</f>
        <v/>
      </c>
      <c r="J18" s="43">
        <f>Assumptions!$F$135*(1+Assumptions!$F$136)^(YEAR(J$3)-2026)</f>
        <v/>
      </c>
      <c r="K18" s="43">
        <f>Assumptions!$F$135*(1+Assumptions!$F$136)^(YEAR(K$3)-2026)</f>
        <v/>
      </c>
      <c r="L18" s="43">
        <f>Assumptions!$F$135*(1+Assumptions!$F$136)^(YEAR(L$3)-2026)</f>
        <v/>
      </c>
      <c r="M18" s="43">
        <f>Assumptions!$F$135*(1+Assumptions!$F$136)^(YEAR(M$3)-2026)</f>
        <v/>
      </c>
      <c r="N18" s="43">
        <f>Assumptions!$F$135*(1+Assumptions!$F$136)^(YEAR(N$3)-2026)</f>
        <v/>
      </c>
      <c r="O18" s="43">
        <f>Assumptions!$F$135*(1+Assumptions!$F$136)^(YEAR(O$3)-2026)</f>
        <v/>
      </c>
      <c r="P18" s="43">
        <f>Assumptions!$F$135*(1+Assumptions!$F$136)^(YEAR(P$3)-2026)</f>
        <v/>
      </c>
      <c r="Q18" s="43">
        <f>Assumptions!$F$135*(1+Assumptions!$F$136)^(YEAR(Q$3)-2026)</f>
        <v/>
      </c>
      <c r="R18" s="43">
        <f>Assumptions!$F$135*(1+Assumptions!$F$136)^(YEAR(R$3)-2026)</f>
        <v/>
      </c>
      <c r="S18" s="43">
        <f>Assumptions!$F$135*(1+Assumptions!$F$136)^(YEAR(S$3)-2026)</f>
        <v/>
      </c>
      <c r="T18" s="43">
        <f>Assumptions!$F$135*(1+Assumptions!$F$136)^(YEAR(T$3)-2026)</f>
        <v/>
      </c>
      <c r="U18" s="43">
        <f>Assumptions!$F$135*(1+Assumptions!$F$136)^(YEAR(U$3)-2026)</f>
        <v/>
      </c>
      <c r="V18" s="43">
        <f>Assumptions!$F$135*(1+Assumptions!$F$136)^(YEAR(V$3)-2026)</f>
        <v/>
      </c>
      <c r="W18" s="43">
        <f>Assumptions!$F$135*(1+Assumptions!$F$136)^(YEAR(W$3)-2026)</f>
        <v/>
      </c>
      <c r="X18" s="43">
        <f>Assumptions!$F$135*(1+Assumptions!$F$136)^(YEAR(X$3)-2026)</f>
        <v/>
      </c>
      <c r="Y18" s="43">
        <f>Assumptions!$F$135*(1+Assumptions!$F$136)^(YEAR(Y$3)-2026)</f>
        <v/>
      </c>
      <c r="Z18" s="43">
        <f>Assumptions!$F$135*(1+Assumptions!$F$136)^(YEAR(Z$3)-2026)</f>
        <v/>
      </c>
      <c r="AA18" s="43">
        <f>Assumptions!$F$135*(1+Assumptions!$F$136)^(YEAR(AA$3)-2026)</f>
        <v/>
      </c>
      <c r="AB18" s="43">
        <f>Assumptions!$F$135*(1+Assumptions!$F$136)^(YEAR(AB$3)-2026)</f>
        <v/>
      </c>
      <c r="AC18" s="43">
        <f>Assumptions!$F$135*(1+Assumptions!$F$136)^(YEAR(AC$3)-2026)</f>
        <v/>
      </c>
      <c r="AD18" s="43">
        <f>Assumptions!$F$135*(1+Assumptions!$F$136)^(YEAR(AD$3)-2026)</f>
        <v/>
      </c>
      <c r="AE18" s="43">
        <f>Assumptions!$F$135*(1+Assumptions!$F$136)^(YEAR(AE$3)-2026)</f>
        <v/>
      </c>
      <c r="AF18" s="43">
        <f>Assumptions!$F$135*(1+Assumptions!$F$136)^(YEAR(AF$3)-2026)</f>
        <v/>
      </c>
      <c r="AG18" s="43">
        <f>Assumptions!$F$135*(1+Assumptions!$F$136)^(YEAR(AG$3)-2026)</f>
        <v/>
      </c>
      <c r="AH18" s="43">
        <f>Assumptions!$F$135*(1+Assumptions!$F$136)^(YEAR(AH$3)-2026)</f>
        <v/>
      </c>
      <c r="AI18" s="43">
        <f>Assumptions!$F$135*(1+Assumptions!$F$136)^(YEAR(AI$3)-2026)</f>
        <v/>
      </c>
      <c r="AJ18" s="43">
        <f>Assumptions!$F$135*(1+Assumptions!$F$136)^(YEAR(AJ$3)-2026)</f>
        <v/>
      </c>
      <c r="AK18" s="43">
        <f>Assumptions!$F$135*(1+Assumptions!$F$136)^(YEAR(AK$3)-2026)</f>
        <v/>
      </c>
      <c r="AL18" s="43">
        <f>Assumptions!$F$135*(1+Assumptions!$F$136)^(YEAR(AL$3)-2026)</f>
        <v/>
      </c>
      <c r="AM18" s="43">
        <f>Assumptions!$F$135*(1+Assumptions!$F$136)^(YEAR(AM$3)-2026)</f>
        <v/>
      </c>
      <c r="AN18" s="43">
        <f>Assumptions!$F$135*(1+Assumptions!$F$136)^(YEAR(AN$3)-2026)</f>
        <v/>
      </c>
      <c r="AO18" s="43">
        <f>Assumptions!$F$135*(1+Assumptions!$F$136)^(YEAR(AO$3)-2026)</f>
        <v/>
      </c>
      <c r="AP18" s="43">
        <f>Assumptions!$F$135*(1+Assumptions!$F$136)^(YEAR(AP$3)-2026)</f>
        <v/>
      </c>
      <c r="AQ18" s="43">
        <f>Assumptions!$F$135*(1+Assumptions!$F$136)^(YEAR(AQ$3)-2026)</f>
        <v/>
      </c>
      <c r="AR18" s="43">
        <f>Assumptions!$F$135*(1+Assumptions!$F$136)^(YEAR(AR$3)-2026)</f>
        <v/>
      </c>
      <c r="AS18" s="43">
        <f>Assumptions!$F$135*(1+Assumptions!$F$136)^(YEAR(AS$3)-2026)</f>
        <v/>
      </c>
      <c r="AT18" s="43">
        <f>Assumptions!$F$135*(1+Assumptions!$F$136)^(YEAR(AT$3)-2026)</f>
        <v/>
      </c>
      <c r="AU18" s="43">
        <f>Assumptions!$F$135*(1+Assumptions!$F$136)^(YEAR(AU$3)-2026)</f>
        <v/>
      </c>
      <c r="AV18" s="43">
        <f>Assumptions!$F$135*(1+Assumptions!$F$136)^(YEAR(AV$3)-2026)</f>
        <v/>
      </c>
      <c r="AW18" s="43">
        <f>Assumptions!$F$135*(1+Assumptions!$F$136)^(YEAR(AW$3)-2026)</f>
        <v/>
      </c>
      <c r="AX18" s="43">
        <f>Assumptions!$F$135*(1+Assumptions!$F$136)^(YEAR(AX$3)-2026)</f>
        <v/>
      </c>
      <c r="AY18" s="43">
        <f>Assumptions!$F$135*(1+Assumptions!$F$136)^(YEAR(AY$3)-2026)</f>
        <v/>
      </c>
      <c r="AZ18" s="43">
        <f>Assumptions!$F$135*(1+Assumptions!$F$136)^(YEAR(AZ$3)-2026)</f>
        <v/>
      </c>
      <c r="BA18" s="43">
        <f>Assumptions!$F$135*(1+Assumptions!$F$136)^(YEAR(BA$3)-2026)</f>
        <v/>
      </c>
      <c r="BB18" s="43">
        <f>Assumptions!$F$135*(1+Assumptions!$F$136)^(YEAR(BB$3)-2026)</f>
        <v/>
      </c>
      <c r="BC18" s="43">
        <f>Assumptions!$F$135*(1+Assumptions!$F$136)^(YEAR(BC$3)-2026)</f>
        <v/>
      </c>
      <c r="BD18" s="43">
        <f>Assumptions!$F$135*(1+Assumptions!$F$136)^(YEAR(BD$3)-2026)</f>
        <v/>
      </c>
      <c r="BE18" s="43">
        <f>Assumptions!$F$135*(1+Assumptions!$F$136)^(YEAR(BE$3)-2026)</f>
        <v/>
      </c>
      <c r="BF18" s="43">
        <f>Assumptions!$F$135*(1+Assumptions!$F$136)^(YEAR(BF$3)-2026)</f>
        <v/>
      </c>
      <c r="BG18" s="43">
        <f>Assumptions!$F$135*(1+Assumptions!$F$136)^(YEAR(BG$3)-2026)</f>
        <v/>
      </c>
      <c r="BH18" s="43">
        <f>Assumptions!$F$135*(1+Assumptions!$F$136)^(YEAR(BH$3)-2026)</f>
        <v/>
      </c>
      <c r="BI18" s="43">
        <f>Assumptions!$F$135*(1+Assumptions!$F$136)^(YEAR(BI$3)-2026)</f>
        <v/>
      </c>
      <c r="BJ18" s="43">
        <f>Assumptions!$F$135*(1+Assumptions!$F$136)^(YEAR(BJ$3)-2026)</f>
        <v/>
      </c>
      <c r="BK18" s="43">
        <f>Assumptions!$F$135*(1+Assumptions!$F$136)^(YEAR(BK$3)-2026)</f>
        <v/>
      </c>
      <c r="BL18" s="43">
        <f>Assumptions!$F$135*(1+Assumptions!$F$136)^(YEAR(BL$3)-2026)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Personnel!E20*(Assumptions!$F$127+Assumptions!$F$128+Assumptions!$F$129)</f>
        <v/>
      </c>
      <c r="F22" s="43">
        <f>Personnel!F20*(Assumptions!$F$127+Assumptions!$F$128+Assumptions!$F$129)</f>
        <v/>
      </c>
      <c r="G22" s="43">
        <f>Personnel!G20*(Assumptions!$F$127+Assumptions!$F$128+Assumptions!$F$129)</f>
        <v/>
      </c>
      <c r="H22" s="43">
        <f>Personnel!H20*(Assumptions!$F$127+Assumptions!$F$128+Assumptions!$F$129)</f>
        <v/>
      </c>
      <c r="I22" s="43">
        <f>Personnel!I20*(Assumptions!$F$127+Assumptions!$F$128+Assumptions!$F$129)</f>
        <v/>
      </c>
      <c r="J22" s="43">
        <f>Personnel!J20*(Assumptions!$F$127+Assumptions!$F$128+Assumptions!$F$129)</f>
        <v/>
      </c>
      <c r="K22" s="43">
        <f>Personnel!K20*(Assumptions!$F$127+Assumptions!$F$128+Assumptions!$F$129)</f>
        <v/>
      </c>
      <c r="L22" s="43">
        <f>Personnel!L20*(Assumptions!$F$127+Assumptions!$F$128+Assumptions!$F$129)</f>
        <v/>
      </c>
      <c r="M22" s="43">
        <f>Personnel!M20*(Assumptions!$F$127+Assumptions!$F$128+Assumptions!$F$129)</f>
        <v/>
      </c>
      <c r="N22" s="43">
        <f>Personnel!N20*(Assumptions!$F$127+Assumptions!$F$128+Assumptions!$F$129)</f>
        <v/>
      </c>
      <c r="O22" s="43">
        <f>Personnel!O20*(Assumptions!$F$127+Assumptions!$F$128+Assumptions!$F$129)</f>
        <v/>
      </c>
      <c r="P22" s="43">
        <f>Personnel!P20*(Assumptions!$F$127+Assumptions!$F$128+Assumptions!$F$129)</f>
        <v/>
      </c>
      <c r="Q22" s="43">
        <f>Personnel!Q20*(Assumptions!$F$127+Assumptions!$F$128+Assumptions!$F$129)</f>
        <v/>
      </c>
      <c r="R22" s="43">
        <f>Personnel!R20*(Assumptions!$F$127+Assumptions!$F$128+Assumptions!$F$129)</f>
        <v/>
      </c>
      <c r="S22" s="43">
        <f>Personnel!S20*(Assumptions!$F$127+Assumptions!$F$128+Assumptions!$F$129)</f>
        <v/>
      </c>
      <c r="T22" s="43">
        <f>Personnel!T20*(Assumptions!$F$127+Assumptions!$F$128+Assumptions!$F$129)</f>
        <v/>
      </c>
      <c r="U22" s="43">
        <f>Personnel!U20*(Assumptions!$F$127+Assumptions!$F$128+Assumptions!$F$129)</f>
        <v/>
      </c>
      <c r="V22" s="43">
        <f>Personnel!V20*(Assumptions!$F$127+Assumptions!$F$128+Assumptions!$F$129)</f>
        <v/>
      </c>
      <c r="W22" s="43">
        <f>Personnel!W20*(Assumptions!$F$127+Assumptions!$F$128+Assumptions!$F$129)</f>
        <v/>
      </c>
      <c r="X22" s="43">
        <f>Personnel!X20*(Assumptions!$F$127+Assumptions!$F$128+Assumptions!$F$129)</f>
        <v/>
      </c>
      <c r="Y22" s="43">
        <f>Personnel!Y20*(Assumptions!$F$127+Assumptions!$F$128+Assumptions!$F$129)</f>
        <v/>
      </c>
      <c r="Z22" s="43">
        <f>Personnel!Z20*(Assumptions!$F$127+Assumptions!$F$128+Assumptions!$F$129)</f>
        <v/>
      </c>
      <c r="AA22" s="43">
        <f>Personnel!AA20*(Assumptions!$F$127+Assumptions!$F$128+Assumptions!$F$129)</f>
        <v/>
      </c>
      <c r="AB22" s="43">
        <f>Personnel!AB20*(Assumptions!$F$127+Assumptions!$F$128+Assumptions!$F$129)</f>
        <v/>
      </c>
      <c r="AC22" s="43">
        <f>Personnel!AC20*(Assumptions!$F$127+Assumptions!$F$128+Assumptions!$F$129)</f>
        <v/>
      </c>
      <c r="AD22" s="43">
        <f>Personnel!AD20*(Assumptions!$F$127+Assumptions!$F$128+Assumptions!$F$129)</f>
        <v/>
      </c>
      <c r="AE22" s="43">
        <f>Personnel!AE20*(Assumptions!$F$127+Assumptions!$F$128+Assumptions!$F$129)</f>
        <v/>
      </c>
      <c r="AF22" s="43">
        <f>Personnel!AF20*(Assumptions!$F$127+Assumptions!$F$128+Assumptions!$F$129)</f>
        <v/>
      </c>
      <c r="AG22" s="43">
        <f>Personnel!AG20*(Assumptions!$F$127+Assumptions!$F$128+Assumptions!$F$129)</f>
        <v/>
      </c>
      <c r="AH22" s="43">
        <f>Personnel!AH20*(Assumptions!$F$127+Assumptions!$F$128+Assumptions!$F$129)</f>
        <v/>
      </c>
      <c r="AI22" s="43">
        <f>Personnel!AI20*(Assumptions!$F$127+Assumptions!$F$128+Assumptions!$F$129)</f>
        <v/>
      </c>
      <c r="AJ22" s="43">
        <f>Personnel!AJ20*(Assumptions!$F$127+Assumptions!$F$128+Assumptions!$F$129)</f>
        <v/>
      </c>
      <c r="AK22" s="43">
        <f>Personnel!AK20*(Assumptions!$F$127+Assumptions!$F$128+Assumptions!$F$129)</f>
        <v/>
      </c>
      <c r="AL22" s="43">
        <f>Personnel!AL20*(Assumptions!$F$127+Assumptions!$F$128+Assumptions!$F$129)</f>
        <v/>
      </c>
      <c r="AM22" s="43">
        <f>Personnel!AM20*(Assumptions!$F$127+Assumptions!$F$128+Assumptions!$F$129)</f>
        <v/>
      </c>
      <c r="AN22" s="43">
        <f>Personnel!AN20*(Assumptions!$F$127+Assumptions!$F$128+Assumptions!$F$129)</f>
        <v/>
      </c>
      <c r="AO22" s="43">
        <f>Personnel!AO20*(Assumptions!$F$127+Assumptions!$F$128+Assumptions!$F$129)</f>
        <v/>
      </c>
      <c r="AP22" s="43">
        <f>Personnel!AP20*(Assumptions!$F$127+Assumptions!$F$128+Assumptions!$F$129)</f>
        <v/>
      </c>
      <c r="AQ22" s="43">
        <f>Personnel!AQ20*(Assumptions!$F$127+Assumptions!$F$128+Assumptions!$F$129)</f>
        <v/>
      </c>
      <c r="AR22" s="43">
        <f>Personnel!AR20*(Assumptions!$F$127+Assumptions!$F$128+Assumptions!$F$129)</f>
        <v/>
      </c>
      <c r="AS22" s="43">
        <f>Personnel!AS20*(Assumptions!$F$127+Assumptions!$F$128+Assumptions!$F$129)</f>
        <v/>
      </c>
      <c r="AT22" s="43">
        <f>Personnel!AT20*(Assumptions!$F$127+Assumptions!$F$128+Assumptions!$F$129)</f>
        <v/>
      </c>
      <c r="AU22" s="43">
        <f>Personnel!AU20*(Assumptions!$F$127+Assumptions!$F$128+Assumptions!$F$129)</f>
        <v/>
      </c>
      <c r="AV22" s="43">
        <f>Personnel!AV20*(Assumptions!$F$127+Assumptions!$F$128+Assumptions!$F$129)</f>
        <v/>
      </c>
      <c r="AW22" s="43">
        <f>Personnel!AW20*(Assumptions!$F$127+Assumptions!$F$128+Assumptions!$F$129)</f>
        <v/>
      </c>
      <c r="AX22" s="43">
        <f>Personnel!AX20*(Assumptions!$F$127+Assumptions!$F$128+Assumptions!$F$129)</f>
        <v/>
      </c>
      <c r="AY22" s="43">
        <f>Personnel!AY20*(Assumptions!$F$127+Assumptions!$F$128+Assumptions!$F$129)</f>
        <v/>
      </c>
      <c r="AZ22" s="43">
        <f>Personnel!AZ20*(Assumptions!$F$127+Assumptions!$F$128+Assumptions!$F$129)</f>
        <v/>
      </c>
      <c r="BA22" s="43">
        <f>Personnel!BA20*(Assumptions!$F$127+Assumptions!$F$128+Assumptions!$F$129)</f>
        <v/>
      </c>
      <c r="BB22" s="43">
        <f>Personnel!BB20*(Assumptions!$F$127+Assumptions!$F$128+Assumptions!$F$129)</f>
        <v/>
      </c>
      <c r="BC22" s="43">
        <f>Personnel!BC20*(Assumptions!$F$127+Assumptions!$F$128+Assumptions!$F$129)</f>
        <v/>
      </c>
      <c r="BD22" s="43">
        <f>Personnel!BD20*(Assumptions!$F$127+Assumptions!$F$128+Assumptions!$F$129)</f>
        <v/>
      </c>
      <c r="BE22" s="43">
        <f>Personnel!BE20*(Assumptions!$F$127+Assumptions!$F$128+Assumptions!$F$129)</f>
        <v/>
      </c>
      <c r="BF22" s="43">
        <f>Personnel!BF20*(Assumptions!$F$127+Assumptions!$F$128+Assumptions!$F$129)</f>
        <v/>
      </c>
      <c r="BG22" s="43">
        <f>Personnel!BG20*(Assumptions!$F$127+Assumptions!$F$128+Assumptions!$F$129)</f>
        <v/>
      </c>
      <c r="BH22" s="43">
        <f>Personnel!BH20*(Assumptions!$F$127+Assumptions!$F$128+Assumptions!$F$129)</f>
        <v/>
      </c>
      <c r="BI22" s="43">
        <f>Personnel!BI20*(Assumptions!$F$127+Assumptions!$F$128+Assumptions!$F$129)</f>
        <v/>
      </c>
      <c r="BJ22" s="43">
        <f>Personnel!BJ20*(Assumptions!$F$127+Assumptions!$F$128+Assumptions!$F$129)</f>
        <v/>
      </c>
      <c r="BK22" s="43">
        <f>Personnel!BK20*(Assumptions!$F$127+Assumptions!$F$128+Assumptions!$F$129)</f>
        <v/>
      </c>
      <c r="BL22" s="43">
        <f>Personnel!BL20*(Assumptions!$F$127+Assumptions!$F$128+Assumptions!$F$129)</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MAX(0,Personnel!F20-Personnel!E20)*Assumptions!$F$130</f>
        <v/>
      </c>
      <c r="G23" s="43">
        <f>MAX(0,Personnel!G20-Personnel!F20)*Assumptions!$F$130</f>
        <v/>
      </c>
      <c r="H23" s="43">
        <f>MAX(0,Personnel!H20-Personnel!G20)*Assumptions!$F$130</f>
        <v/>
      </c>
      <c r="I23" s="43">
        <f>MAX(0,Personnel!I20-Personnel!H20)*Assumptions!$F$130</f>
        <v/>
      </c>
      <c r="J23" s="43">
        <f>MAX(0,Personnel!J20-Personnel!I20)*Assumptions!$F$130</f>
        <v/>
      </c>
      <c r="K23" s="43">
        <f>MAX(0,Personnel!K20-Personnel!J20)*Assumptions!$F$130</f>
        <v/>
      </c>
      <c r="L23" s="43">
        <f>MAX(0,Personnel!L20-Personnel!K20)*Assumptions!$F$130</f>
        <v/>
      </c>
      <c r="M23" s="43">
        <f>MAX(0,Personnel!M20-Personnel!L20)*Assumptions!$F$130</f>
        <v/>
      </c>
      <c r="N23" s="43">
        <f>MAX(0,Personnel!N20-Personnel!M20)*Assumptions!$F$130</f>
        <v/>
      </c>
      <c r="O23" s="43">
        <f>MAX(0,Personnel!O20-Personnel!N20)*Assumptions!$F$130</f>
        <v/>
      </c>
      <c r="P23" s="43">
        <f>MAX(0,Personnel!P20-Personnel!O20)*Assumptions!$F$130</f>
        <v/>
      </c>
      <c r="Q23" s="43">
        <f>MAX(0,Personnel!Q20-Personnel!P20)*Assumptions!$F$130</f>
        <v/>
      </c>
      <c r="R23" s="43">
        <f>MAX(0,Personnel!R20-Personnel!Q20)*Assumptions!$F$130</f>
        <v/>
      </c>
      <c r="S23" s="43">
        <f>MAX(0,Personnel!S20-Personnel!R20)*Assumptions!$F$130</f>
        <v/>
      </c>
      <c r="T23" s="43">
        <f>MAX(0,Personnel!T20-Personnel!S20)*Assumptions!$F$130</f>
        <v/>
      </c>
      <c r="U23" s="43">
        <f>MAX(0,Personnel!U20-Personnel!T20)*Assumptions!$F$130</f>
        <v/>
      </c>
      <c r="V23" s="43">
        <f>MAX(0,Personnel!V20-Personnel!U20)*Assumptions!$F$130</f>
        <v/>
      </c>
      <c r="W23" s="43">
        <f>MAX(0,Personnel!W20-Personnel!V20)*Assumptions!$F$130</f>
        <v/>
      </c>
      <c r="X23" s="43">
        <f>MAX(0,Personnel!X20-Personnel!W20)*Assumptions!$F$130</f>
        <v/>
      </c>
      <c r="Y23" s="43">
        <f>MAX(0,Personnel!Y20-Personnel!X20)*Assumptions!$F$130</f>
        <v/>
      </c>
      <c r="Z23" s="43">
        <f>MAX(0,Personnel!Z20-Personnel!Y20)*Assumptions!$F$130</f>
        <v/>
      </c>
      <c r="AA23" s="43">
        <f>MAX(0,Personnel!AA20-Personnel!Z20)*Assumptions!$F$130</f>
        <v/>
      </c>
      <c r="AB23" s="43">
        <f>MAX(0,Personnel!AB20-Personnel!AA20)*Assumptions!$F$130</f>
        <v/>
      </c>
      <c r="AC23" s="43">
        <f>MAX(0,Personnel!AC20-Personnel!AB20)*Assumptions!$F$130</f>
        <v/>
      </c>
      <c r="AD23" s="43">
        <f>MAX(0,Personnel!AD20-Personnel!AC20)*Assumptions!$F$130</f>
        <v/>
      </c>
      <c r="AE23" s="43">
        <f>MAX(0,Personnel!AE20-Personnel!AD20)*Assumptions!$F$130</f>
        <v/>
      </c>
      <c r="AF23" s="43">
        <f>MAX(0,Personnel!AF20-Personnel!AE20)*Assumptions!$F$130</f>
        <v/>
      </c>
      <c r="AG23" s="43">
        <f>MAX(0,Personnel!AG20-Personnel!AF20)*Assumptions!$F$130</f>
        <v/>
      </c>
      <c r="AH23" s="43">
        <f>MAX(0,Personnel!AH20-Personnel!AG20)*Assumptions!$F$130</f>
        <v/>
      </c>
      <c r="AI23" s="43">
        <f>MAX(0,Personnel!AI20-Personnel!AH20)*Assumptions!$F$130</f>
        <v/>
      </c>
      <c r="AJ23" s="43">
        <f>MAX(0,Personnel!AJ20-Personnel!AI20)*Assumptions!$F$130</f>
        <v/>
      </c>
      <c r="AK23" s="43">
        <f>MAX(0,Personnel!AK20-Personnel!AJ20)*Assumptions!$F$130</f>
        <v/>
      </c>
      <c r="AL23" s="43">
        <f>MAX(0,Personnel!AL20-Personnel!AK20)*Assumptions!$F$130</f>
        <v/>
      </c>
      <c r="AM23" s="43">
        <f>MAX(0,Personnel!AM20-Personnel!AL20)*Assumptions!$F$130</f>
        <v/>
      </c>
      <c r="AN23" s="43">
        <f>MAX(0,Personnel!AN20-Personnel!AM20)*Assumptions!$F$130</f>
        <v/>
      </c>
      <c r="AO23" s="43">
        <f>MAX(0,Personnel!AO20-Personnel!AN20)*Assumptions!$F$130</f>
        <v/>
      </c>
      <c r="AP23" s="43">
        <f>MAX(0,Personnel!AP20-Personnel!AO20)*Assumptions!$F$130</f>
        <v/>
      </c>
      <c r="AQ23" s="43">
        <f>MAX(0,Personnel!AQ20-Personnel!AP20)*Assumptions!$F$130</f>
        <v/>
      </c>
      <c r="AR23" s="43">
        <f>MAX(0,Personnel!AR20-Personnel!AQ20)*Assumptions!$F$130</f>
        <v/>
      </c>
      <c r="AS23" s="43">
        <f>MAX(0,Personnel!AS20-Personnel!AR20)*Assumptions!$F$130</f>
        <v/>
      </c>
      <c r="AT23" s="43">
        <f>MAX(0,Personnel!AT20-Personnel!AS20)*Assumptions!$F$130</f>
        <v/>
      </c>
      <c r="AU23" s="43">
        <f>MAX(0,Personnel!AU20-Personnel!AT20)*Assumptions!$F$130</f>
        <v/>
      </c>
      <c r="AV23" s="43">
        <f>MAX(0,Personnel!AV20-Personnel!AU20)*Assumptions!$F$130</f>
        <v/>
      </c>
      <c r="AW23" s="43">
        <f>MAX(0,Personnel!AW20-Personnel!AV20)*Assumptions!$F$130</f>
        <v/>
      </c>
      <c r="AX23" s="43">
        <f>MAX(0,Personnel!AX20-Personnel!AW20)*Assumptions!$F$130</f>
        <v/>
      </c>
      <c r="AY23" s="43">
        <f>MAX(0,Personnel!AY20-Personnel!AX20)*Assumptions!$F$130</f>
        <v/>
      </c>
      <c r="AZ23" s="43">
        <f>MAX(0,Personnel!AZ20-Personnel!AY20)*Assumptions!$F$130</f>
        <v/>
      </c>
      <c r="BA23" s="43">
        <f>MAX(0,Personnel!BA20-Personnel!AZ20)*Assumptions!$F$130</f>
        <v/>
      </c>
      <c r="BB23" s="43">
        <f>MAX(0,Personnel!BB20-Personnel!BA20)*Assumptions!$F$130</f>
        <v/>
      </c>
      <c r="BC23" s="43">
        <f>MAX(0,Personnel!BC20-Personnel!BB20)*Assumptions!$F$130</f>
        <v/>
      </c>
      <c r="BD23" s="43">
        <f>MAX(0,Personnel!BD20-Personnel!BC20)*Assumptions!$F$130</f>
        <v/>
      </c>
      <c r="BE23" s="43">
        <f>MAX(0,Personnel!BE20-Personnel!BD20)*Assumptions!$F$130</f>
        <v/>
      </c>
      <c r="BF23" s="43">
        <f>MAX(0,Personnel!BF20-Personnel!BE20)*Assumptions!$F$130</f>
        <v/>
      </c>
      <c r="BG23" s="43">
        <f>MAX(0,Personnel!BG20-Personnel!BF20)*Assumptions!$F$130</f>
        <v/>
      </c>
      <c r="BH23" s="43">
        <f>MAX(0,Personnel!BH20-Personnel!BG20)*Assumptions!$F$130</f>
        <v/>
      </c>
      <c r="BI23" s="43">
        <f>MAX(0,Personnel!BI20-Personnel!BH20)*Assumptions!$F$130</f>
        <v/>
      </c>
      <c r="BJ23" s="43">
        <f>MAX(0,Personnel!BJ20-Personnel!BI20)*Assumptions!$F$130</f>
        <v/>
      </c>
      <c r="BK23" s="43">
        <f>MAX(0,Personnel!BK20-Personnel!BJ20)*Assumptions!$F$130</f>
        <v/>
      </c>
      <c r="BL23" s="43">
        <f>MAX(0,Personnel!BL20-Personnel!BK20)*Assumptions!$F$130</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Assumptions!$F$132*(1+Assumptions!$F$136)^(YEAR(E$3)-2026)</f>
        <v/>
      </c>
      <c r="F25" s="43">
        <f>Assumptions!$F$132*(1+Assumptions!$F$136)^(YEAR(F$3)-2026)</f>
        <v/>
      </c>
      <c r="G25" s="43">
        <f>Assumptions!$F$132*(1+Assumptions!$F$136)^(YEAR(G$3)-2026)</f>
        <v/>
      </c>
      <c r="H25" s="43">
        <f>Assumptions!$F$132*(1+Assumptions!$F$136)^(YEAR(H$3)-2026)</f>
        <v/>
      </c>
      <c r="I25" s="43">
        <f>Assumptions!$F$132*(1+Assumptions!$F$136)^(YEAR(I$3)-2026)</f>
        <v/>
      </c>
      <c r="J25" s="43">
        <f>Assumptions!$F$132*(1+Assumptions!$F$136)^(YEAR(J$3)-2026)</f>
        <v/>
      </c>
      <c r="K25" s="43">
        <f>Assumptions!$F$132*(1+Assumptions!$F$136)^(YEAR(K$3)-2026)</f>
        <v/>
      </c>
      <c r="L25" s="43">
        <f>Assumptions!$F$132*(1+Assumptions!$F$136)^(YEAR(L$3)-2026)</f>
        <v/>
      </c>
      <c r="M25" s="43">
        <f>Assumptions!$F$132*(1+Assumptions!$F$136)^(YEAR(M$3)-2026)</f>
        <v/>
      </c>
      <c r="N25" s="43">
        <f>Assumptions!$F$132*(1+Assumptions!$F$136)^(YEAR(N$3)-2026)</f>
        <v/>
      </c>
      <c r="O25" s="43">
        <f>Assumptions!$F$132*(1+Assumptions!$F$136)^(YEAR(O$3)-2026)</f>
        <v/>
      </c>
      <c r="P25" s="43">
        <f>Assumptions!$F$132*(1+Assumptions!$F$136)^(YEAR(P$3)-2026)</f>
        <v/>
      </c>
      <c r="Q25" s="43">
        <f>Assumptions!$F$132*(1+Assumptions!$F$136)^(YEAR(Q$3)-2026)</f>
        <v/>
      </c>
      <c r="R25" s="43">
        <f>Assumptions!$F$132*(1+Assumptions!$F$136)^(YEAR(R$3)-2026)</f>
        <v/>
      </c>
      <c r="S25" s="43">
        <f>Assumptions!$F$132*(1+Assumptions!$F$136)^(YEAR(S$3)-2026)</f>
        <v/>
      </c>
      <c r="T25" s="43">
        <f>Assumptions!$F$132*(1+Assumptions!$F$136)^(YEAR(T$3)-2026)</f>
        <v/>
      </c>
      <c r="U25" s="43">
        <f>Assumptions!$F$132*(1+Assumptions!$F$136)^(YEAR(U$3)-2026)</f>
        <v/>
      </c>
      <c r="V25" s="43">
        <f>Assumptions!$F$132*(1+Assumptions!$F$136)^(YEAR(V$3)-2026)</f>
        <v/>
      </c>
      <c r="W25" s="43">
        <f>Assumptions!$F$132*(1+Assumptions!$F$136)^(YEAR(W$3)-2026)</f>
        <v/>
      </c>
      <c r="X25" s="43">
        <f>Assumptions!$F$132*(1+Assumptions!$F$136)^(YEAR(X$3)-2026)</f>
        <v/>
      </c>
      <c r="Y25" s="43">
        <f>Assumptions!$F$132*(1+Assumptions!$F$136)^(YEAR(Y$3)-2026)</f>
        <v/>
      </c>
      <c r="Z25" s="43">
        <f>Assumptions!$F$132*(1+Assumptions!$F$136)^(YEAR(Z$3)-2026)</f>
        <v/>
      </c>
      <c r="AA25" s="43">
        <f>Assumptions!$F$132*(1+Assumptions!$F$136)^(YEAR(AA$3)-2026)</f>
        <v/>
      </c>
      <c r="AB25" s="43">
        <f>Assumptions!$F$132*(1+Assumptions!$F$136)^(YEAR(AB$3)-2026)</f>
        <v/>
      </c>
      <c r="AC25" s="43">
        <f>Assumptions!$F$132*(1+Assumptions!$F$136)^(YEAR(AC$3)-2026)</f>
        <v/>
      </c>
      <c r="AD25" s="43">
        <f>Assumptions!$F$132*(1+Assumptions!$F$136)^(YEAR(AD$3)-2026)</f>
        <v/>
      </c>
      <c r="AE25" s="43">
        <f>Assumptions!$F$132*(1+Assumptions!$F$136)^(YEAR(AE$3)-2026)</f>
        <v/>
      </c>
      <c r="AF25" s="43">
        <f>Assumptions!$F$132*(1+Assumptions!$F$136)^(YEAR(AF$3)-2026)</f>
        <v/>
      </c>
      <c r="AG25" s="43">
        <f>Assumptions!$F$132*(1+Assumptions!$F$136)^(YEAR(AG$3)-2026)</f>
        <v/>
      </c>
      <c r="AH25" s="43">
        <f>Assumptions!$F$132*(1+Assumptions!$F$136)^(YEAR(AH$3)-2026)</f>
        <v/>
      </c>
      <c r="AI25" s="43">
        <f>Assumptions!$F$132*(1+Assumptions!$F$136)^(YEAR(AI$3)-2026)</f>
        <v/>
      </c>
      <c r="AJ25" s="43">
        <f>Assumptions!$F$132*(1+Assumptions!$F$136)^(YEAR(AJ$3)-2026)</f>
        <v/>
      </c>
      <c r="AK25" s="43">
        <f>Assumptions!$F$132*(1+Assumptions!$F$136)^(YEAR(AK$3)-2026)</f>
        <v/>
      </c>
      <c r="AL25" s="43">
        <f>Assumptions!$F$132*(1+Assumptions!$F$136)^(YEAR(AL$3)-2026)</f>
        <v/>
      </c>
      <c r="AM25" s="43">
        <f>Assumptions!$F$132*(1+Assumptions!$F$136)^(YEAR(AM$3)-2026)</f>
        <v/>
      </c>
      <c r="AN25" s="43">
        <f>Assumptions!$F$132*(1+Assumptions!$F$136)^(YEAR(AN$3)-2026)</f>
        <v/>
      </c>
      <c r="AO25" s="43">
        <f>Assumptions!$F$132*(1+Assumptions!$F$136)^(YEAR(AO$3)-2026)</f>
        <v/>
      </c>
      <c r="AP25" s="43">
        <f>Assumptions!$F$132*(1+Assumptions!$F$136)^(YEAR(AP$3)-2026)</f>
        <v/>
      </c>
      <c r="AQ25" s="43">
        <f>Assumptions!$F$132*(1+Assumptions!$F$136)^(YEAR(AQ$3)-2026)</f>
        <v/>
      </c>
      <c r="AR25" s="43">
        <f>Assumptions!$F$132*(1+Assumptions!$F$136)^(YEAR(AR$3)-2026)</f>
        <v/>
      </c>
      <c r="AS25" s="43">
        <f>Assumptions!$F$132*(1+Assumptions!$F$136)^(YEAR(AS$3)-2026)</f>
        <v/>
      </c>
      <c r="AT25" s="43">
        <f>Assumptions!$F$132*(1+Assumptions!$F$136)^(YEAR(AT$3)-2026)</f>
        <v/>
      </c>
      <c r="AU25" s="43">
        <f>Assumptions!$F$132*(1+Assumptions!$F$136)^(YEAR(AU$3)-2026)</f>
        <v/>
      </c>
      <c r="AV25" s="43">
        <f>Assumptions!$F$132*(1+Assumptions!$F$136)^(YEAR(AV$3)-2026)</f>
        <v/>
      </c>
      <c r="AW25" s="43">
        <f>Assumptions!$F$132*(1+Assumptions!$F$136)^(YEAR(AW$3)-2026)</f>
        <v/>
      </c>
      <c r="AX25" s="43">
        <f>Assumptions!$F$132*(1+Assumptions!$F$136)^(YEAR(AX$3)-2026)</f>
        <v/>
      </c>
      <c r="AY25" s="43">
        <f>Assumptions!$F$132*(1+Assumptions!$F$136)^(YEAR(AY$3)-2026)</f>
        <v/>
      </c>
      <c r="AZ25" s="43">
        <f>Assumptions!$F$132*(1+Assumptions!$F$136)^(YEAR(AZ$3)-2026)</f>
        <v/>
      </c>
      <c r="BA25" s="43">
        <f>Assumptions!$F$132*(1+Assumptions!$F$136)^(YEAR(BA$3)-2026)</f>
        <v/>
      </c>
      <c r="BB25" s="43">
        <f>Assumptions!$F$132*(1+Assumptions!$F$136)^(YEAR(BB$3)-2026)</f>
        <v/>
      </c>
      <c r="BC25" s="43">
        <f>Assumptions!$F$132*(1+Assumptions!$F$136)^(YEAR(BC$3)-2026)</f>
        <v/>
      </c>
      <c r="BD25" s="43">
        <f>Assumptions!$F$132*(1+Assumptions!$F$136)^(YEAR(BD$3)-2026)</f>
        <v/>
      </c>
      <c r="BE25" s="43">
        <f>Assumptions!$F$132*(1+Assumptions!$F$136)^(YEAR(BE$3)-2026)</f>
        <v/>
      </c>
      <c r="BF25" s="43">
        <f>Assumptions!$F$132*(1+Assumptions!$F$136)^(YEAR(BF$3)-2026)</f>
        <v/>
      </c>
      <c r="BG25" s="43">
        <f>Assumptions!$F$132*(1+Assumptions!$F$136)^(YEAR(BG$3)-2026)</f>
        <v/>
      </c>
      <c r="BH25" s="43">
        <f>Assumptions!$F$132*(1+Assumptions!$F$136)^(YEAR(BH$3)-2026)</f>
        <v/>
      </c>
      <c r="BI25" s="43">
        <f>Assumptions!$F$132*(1+Assumptions!$F$136)^(YEAR(BI$3)-2026)</f>
        <v/>
      </c>
      <c r="BJ25" s="43">
        <f>Assumptions!$F$132*(1+Assumptions!$F$136)^(YEAR(BJ$3)-2026)</f>
        <v/>
      </c>
      <c r="BK25" s="43">
        <f>Assumptions!$F$132*(1+Assumptions!$F$136)^(YEAR(BK$3)-2026)</f>
        <v/>
      </c>
      <c r="BL25" s="43">
        <f>Assumptions!$F$132*(1+Assumptions!$F$136)^(YEAR(BL$3)-2026)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Assumptions!$F$133*(1+Assumptions!$F$136)^(YEAR(E$3)-2026)</f>
        <v/>
      </c>
      <c r="F26" s="43">
        <f>Assumptions!$F$133*(1+Assumptions!$F$136)^(YEAR(F$3)-2026)</f>
        <v/>
      </c>
      <c r="G26" s="43">
        <f>Assumptions!$F$133*(1+Assumptions!$F$136)^(YEAR(G$3)-2026)</f>
        <v/>
      </c>
      <c r="H26" s="43">
        <f>Assumptions!$F$133*(1+Assumptions!$F$136)^(YEAR(H$3)-2026)</f>
        <v/>
      </c>
      <c r="I26" s="43">
        <f>Assumptions!$F$133*(1+Assumptions!$F$136)^(YEAR(I$3)-2026)</f>
        <v/>
      </c>
      <c r="J26" s="43">
        <f>Assumptions!$F$133*(1+Assumptions!$F$136)^(YEAR(J$3)-2026)</f>
        <v/>
      </c>
      <c r="K26" s="43">
        <f>Assumptions!$F$133*(1+Assumptions!$F$136)^(YEAR(K$3)-2026)</f>
        <v/>
      </c>
      <c r="L26" s="43">
        <f>Assumptions!$F$133*(1+Assumptions!$F$136)^(YEAR(L$3)-2026)</f>
        <v/>
      </c>
      <c r="M26" s="43">
        <f>Assumptions!$F$133*(1+Assumptions!$F$136)^(YEAR(M$3)-2026)</f>
        <v/>
      </c>
      <c r="N26" s="43">
        <f>Assumptions!$F$133*(1+Assumptions!$F$136)^(YEAR(N$3)-2026)</f>
        <v/>
      </c>
      <c r="O26" s="43">
        <f>Assumptions!$F$133*(1+Assumptions!$F$136)^(YEAR(O$3)-2026)</f>
        <v/>
      </c>
      <c r="P26" s="43">
        <f>Assumptions!$F$133*(1+Assumptions!$F$136)^(YEAR(P$3)-2026)</f>
        <v/>
      </c>
      <c r="Q26" s="43">
        <f>Assumptions!$F$133*(1+Assumptions!$F$136)^(YEAR(Q$3)-2026)</f>
        <v/>
      </c>
      <c r="R26" s="43">
        <f>Assumptions!$F$133*(1+Assumptions!$F$136)^(YEAR(R$3)-2026)</f>
        <v/>
      </c>
      <c r="S26" s="43">
        <f>Assumptions!$F$133*(1+Assumptions!$F$136)^(YEAR(S$3)-2026)</f>
        <v/>
      </c>
      <c r="T26" s="43">
        <f>Assumptions!$F$133*(1+Assumptions!$F$136)^(YEAR(T$3)-2026)</f>
        <v/>
      </c>
      <c r="U26" s="43">
        <f>Assumptions!$F$133*(1+Assumptions!$F$136)^(YEAR(U$3)-2026)</f>
        <v/>
      </c>
      <c r="V26" s="43">
        <f>Assumptions!$F$133*(1+Assumptions!$F$136)^(YEAR(V$3)-2026)</f>
        <v/>
      </c>
      <c r="W26" s="43">
        <f>Assumptions!$F$133*(1+Assumptions!$F$136)^(YEAR(W$3)-2026)</f>
        <v/>
      </c>
      <c r="X26" s="43">
        <f>Assumptions!$F$133*(1+Assumptions!$F$136)^(YEAR(X$3)-2026)</f>
        <v/>
      </c>
      <c r="Y26" s="43">
        <f>Assumptions!$F$133*(1+Assumptions!$F$136)^(YEAR(Y$3)-2026)</f>
        <v/>
      </c>
      <c r="Z26" s="43">
        <f>Assumptions!$F$133*(1+Assumptions!$F$136)^(YEAR(Z$3)-2026)</f>
        <v/>
      </c>
      <c r="AA26" s="43">
        <f>Assumptions!$F$133*(1+Assumptions!$F$136)^(YEAR(AA$3)-2026)</f>
        <v/>
      </c>
      <c r="AB26" s="43">
        <f>Assumptions!$F$133*(1+Assumptions!$F$136)^(YEAR(AB$3)-2026)</f>
        <v/>
      </c>
      <c r="AC26" s="43">
        <f>Assumptions!$F$133*(1+Assumptions!$F$136)^(YEAR(AC$3)-2026)</f>
        <v/>
      </c>
      <c r="AD26" s="43">
        <f>Assumptions!$F$133*(1+Assumptions!$F$136)^(YEAR(AD$3)-2026)</f>
        <v/>
      </c>
      <c r="AE26" s="43">
        <f>Assumptions!$F$133*(1+Assumptions!$F$136)^(YEAR(AE$3)-2026)</f>
        <v/>
      </c>
      <c r="AF26" s="43">
        <f>Assumptions!$F$133*(1+Assumptions!$F$136)^(YEAR(AF$3)-2026)</f>
        <v/>
      </c>
      <c r="AG26" s="43">
        <f>Assumptions!$F$133*(1+Assumptions!$F$136)^(YEAR(AG$3)-2026)</f>
        <v/>
      </c>
      <c r="AH26" s="43">
        <f>Assumptions!$F$133*(1+Assumptions!$F$136)^(YEAR(AH$3)-2026)</f>
        <v/>
      </c>
      <c r="AI26" s="43">
        <f>Assumptions!$F$133*(1+Assumptions!$F$136)^(YEAR(AI$3)-2026)</f>
        <v/>
      </c>
      <c r="AJ26" s="43">
        <f>Assumptions!$F$133*(1+Assumptions!$F$136)^(YEAR(AJ$3)-2026)</f>
        <v/>
      </c>
      <c r="AK26" s="43">
        <f>Assumptions!$F$133*(1+Assumptions!$F$136)^(YEAR(AK$3)-2026)</f>
        <v/>
      </c>
      <c r="AL26" s="43">
        <f>Assumptions!$F$133*(1+Assumptions!$F$136)^(YEAR(AL$3)-2026)</f>
        <v/>
      </c>
      <c r="AM26" s="43">
        <f>Assumptions!$F$133*(1+Assumptions!$F$136)^(YEAR(AM$3)-2026)</f>
        <v/>
      </c>
      <c r="AN26" s="43">
        <f>Assumptions!$F$133*(1+Assumptions!$F$136)^(YEAR(AN$3)-2026)</f>
        <v/>
      </c>
      <c r="AO26" s="43">
        <f>Assumptions!$F$133*(1+Assumptions!$F$136)^(YEAR(AO$3)-2026)</f>
        <v/>
      </c>
      <c r="AP26" s="43">
        <f>Assumptions!$F$133*(1+Assumptions!$F$136)^(YEAR(AP$3)-2026)</f>
        <v/>
      </c>
      <c r="AQ26" s="43">
        <f>Assumptions!$F$133*(1+Assumptions!$F$136)^(YEAR(AQ$3)-2026)</f>
        <v/>
      </c>
      <c r="AR26" s="43">
        <f>Assumptions!$F$133*(1+Assumptions!$F$136)^(YEAR(AR$3)-2026)</f>
        <v/>
      </c>
      <c r="AS26" s="43">
        <f>Assumptions!$F$133*(1+Assumptions!$F$136)^(YEAR(AS$3)-2026)</f>
        <v/>
      </c>
      <c r="AT26" s="43">
        <f>Assumptions!$F$133*(1+Assumptions!$F$136)^(YEAR(AT$3)-2026)</f>
        <v/>
      </c>
      <c r="AU26" s="43">
        <f>Assumptions!$F$133*(1+Assumptions!$F$136)^(YEAR(AU$3)-2026)</f>
        <v/>
      </c>
      <c r="AV26" s="43">
        <f>Assumptions!$F$133*(1+Assumptions!$F$136)^(YEAR(AV$3)-2026)</f>
        <v/>
      </c>
      <c r="AW26" s="43">
        <f>Assumptions!$F$133*(1+Assumptions!$F$136)^(YEAR(AW$3)-2026)</f>
        <v/>
      </c>
      <c r="AX26" s="43">
        <f>Assumptions!$F$133*(1+Assumptions!$F$136)^(YEAR(AX$3)-2026)</f>
        <v/>
      </c>
      <c r="AY26" s="43">
        <f>Assumptions!$F$133*(1+Assumptions!$F$136)^(YEAR(AY$3)-2026)</f>
        <v/>
      </c>
      <c r="AZ26" s="43">
        <f>Assumptions!$F$133*(1+Assumptions!$F$136)^(YEAR(AZ$3)-2026)</f>
        <v/>
      </c>
      <c r="BA26" s="43">
        <f>Assumptions!$F$133*(1+Assumptions!$F$136)^(YEAR(BA$3)-2026)</f>
        <v/>
      </c>
      <c r="BB26" s="43">
        <f>Assumptions!$F$133*(1+Assumptions!$F$136)^(YEAR(BB$3)-2026)</f>
        <v/>
      </c>
      <c r="BC26" s="43">
        <f>Assumptions!$F$133*(1+Assumptions!$F$136)^(YEAR(BC$3)-2026)</f>
        <v/>
      </c>
      <c r="BD26" s="43">
        <f>Assumptions!$F$133*(1+Assumptions!$F$136)^(YEAR(BD$3)-2026)</f>
        <v/>
      </c>
      <c r="BE26" s="43">
        <f>Assumptions!$F$133*(1+Assumptions!$F$136)^(YEAR(BE$3)-2026)</f>
        <v/>
      </c>
      <c r="BF26" s="43">
        <f>Assumptions!$F$133*(1+Assumptions!$F$136)^(YEAR(BF$3)-2026)</f>
        <v/>
      </c>
      <c r="BG26" s="43">
        <f>Assumptions!$F$133*(1+Assumptions!$F$136)^(YEAR(BG$3)-2026)</f>
        <v/>
      </c>
      <c r="BH26" s="43">
        <f>Assumptions!$F$133*(1+Assumptions!$F$136)^(YEAR(BH$3)-2026)</f>
        <v/>
      </c>
      <c r="BI26" s="43">
        <f>Assumptions!$F$133*(1+Assumptions!$F$136)^(YEAR(BI$3)-2026)</f>
        <v/>
      </c>
      <c r="BJ26" s="43">
        <f>Assumptions!$F$133*(1+Assumptions!$F$136)^(YEAR(BJ$3)-2026)</f>
        <v/>
      </c>
      <c r="BK26" s="43">
        <f>Assumptions!$F$133*(1+Assumptions!$F$136)^(YEAR(BK$3)-2026)</f>
        <v/>
      </c>
      <c r="BL26" s="43">
        <f>Assumptions!$F$133*(1+Assumptions!$F$136)^(YEAR(BL$3)-2026)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 The back office is typed in directly.</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R&amp;D engineers</t>
        </is>
      </c>
      <c r="C16" s="42" t="inlineStr">
        <is>
          <t>FTE</t>
        </is>
      </c>
      <c r="E16" s="54">
        <f>Assumptions!$F$105+SUMIF(Assumptions!$D$100:$H$100,"&lt;="&amp;YEAR(E$3),Assumptions!$D$103:$H$103)</f>
        <v/>
      </c>
      <c r="F16" s="54">
        <f>Assumptions!$F$105+SUMIF(Assumptions!$D$100:$H$100,"&lt;="&amp;YEAR(F$3),Assumptions!$D$103:$H$103)</f>
        <v/>
      </c>
      <c r="G16" s="54">
        <f>Assumptions!$F$105+SUMIF(Assumptions!$D$100:$H$100,"&lt;="&amp;YEAR(G$3),Assumptions!$D$103:$H$103)</f>
        <v/>
      </c>
      <c r="H16" s="54">
        <f>Assumptions!$F$105+SUMIF(Assumptions!$D$100:$H$100,"&lt;="&amp;YEAR(H$3),Assumptions!$D$103:$H$103)</f>
        <v/>
      </c>
      <c r="I16" s="54">
        <f>Assumptions!$F$105+SUMIF(Assumptions!$D$100:$H$100,"&lt;="&amp;YEAR(I$3),Assumptions!$D$103:$H$103)</f>
        <v/>
      </c>
      <c r="J16" s="54">
        <f>Assumptions!$F$105+SUMIF(Assumptions!$D$100:$H$100,"&lt;="&amp;YEAR(J$3),Assumptions!$D$103:$H$103)</f>
        <v/>
      </c>
      <c r="K16" s="54">
        <f>Assumptions!$F$105+SUMIF(Assumptions!$D$100:$H$100,"&lt;="&amp;YEAR(K$3),Assumptions!$D$103:$H$103)</f>
        <v/>
      </c>
      <c r="L16" s="54">
        <f>Assumptions!$F$105+SUMIF(Assumptions!$D$100:$H$100,"&lt;="&amp;YEAR(L$3),Assumptions!$D$103:$H$103)</f>
        <v/>
      </c>
      <c r="M16" s="54">
        <f>Assumptions!$F$105+SUMIF(Assumptions!$D$100:$H$100,"&lt;="&amp;YEAR(M$3),Assumptions!$D$103:$H$103)</f>
        <v/>
      </c>
      <c r="N16" s="54">
        <f>Assumptions!$F$105+SUMIF(Assumptions!$D$100:$H$100,"&lt;="&amp;YEAR(N$3),Assumptions!$D$103:$H$103)</f>
        <v/>
      </c>
      <c r="O16" s="54">
        <f>Assumptions!$F$105+SUMIF(Assumptions!$D$100:$H$100,"&lt;="&amp;YEAR(O$3),Assumptions!$D$103:$H$103)</f>
        <v/>
      </c>
      <c r="P16" s="54">
        <f>Assumptions!$F$105+SUMIF(Assumptions!$D$100:$H$100,"&lt;="&amp;YEAR(P$3),Assumptions!$D$103:$H$103)</f>
        <v/>
      </c>
      <c r="Q16" s="54">
        <f>Assumptions!$F$105+SUMIF(Assumptions!$D$100:$H$100,"&lt;="&amp;YEAR(Q$3),Assumptions!$D$103:$H$103)</f>
        <v/>
      </c>
      <c r="R16" s="54">
        <f>Assumptions!$F$105+SUMIF(Assumptions!$D$100:$H$100,"&lt;="&amp;YEAR(R$3),Assumptions!$D$103:$H$103)</f>
        <v/>
      </c>
      <c r="S16" s="54">
        <f>Assumptions!$F$105+SUMIF(Assumptions!$D$100:$H$100,"&lt;="&amp;YEAR(S$3),Assumptions!$D$103:$H$103)</f>
        <v/>
      </c>
      <c r="T16" s="54">
        <f>Assumptions!$F$105+SUMIF(Assumptions!$D$100:$H$100,"&lt;="&amp;YEAR(T$3),Assumptions!$D$103:$H$103)</f>
        <v/>
      </c>
      <c r="U16" s="54">
        <f>Assumptions!$F$105+SUMIF(Assumptions!$D$100:$H$100,"&lt;="&amp;YEAR(U$3),Assumptions!$D$103:$H$103)</f>
        <v/>
      </c>
      <c r="V16" s="54">
        <f>Assumptions!$F$105+SUMIF(Assumptions!$D$100:$H$100,"&lt;="&amp;YEAR(V$3),Assumptions!$D$103:$H$103)</f>
        <v/>
      </c>
      <c r="W16" s="54">
        <f>Assumptions!$F$105+SUMIF(Assumptions!$D$100:$H$100,"&lt;="&amp;YEAR(W$3),Assumptions!$D$103:$H$103)</f>
        <v/>
      </c>
      <c r="X16" s="54">
        <f>Assumptions!$F$105+SUMIF(Assumptions!$D$100:$H$100,"&lt;="&amp;YEAR(X$3),Assumptions!$D$103:$H$103)</f>
        <v/>
      </c>
      <c r="Y16" s="54">
        <f>Assumptions!$F$105+SUMIF(Assumptions!$D$100:$H$100,"&lt;="&amp;YEAR(Y$3),Assumptions!$D$103:$H$103)</f>
        <v/>
      </c>
      <c r="Z16" s="54">
        <f>Assumptions!$F$105+SUMIF(Assumptions!$D$100:$H$100,"&lt;="&amp;YEAR(Z$3),Assumptions!$D$103:$H$103)</f>
        <v/>
      </c>
      <c r="AA16" s="54">
        <f>Assumptions!$F$105+SUMIF(Assumptions!$D$100:$H$100,"&lt;="&amp;YEAR(AA$3),Assumptions!$D$103:$H$103)</f>
        <v/>
      </c>
      <c r="AB16" s="54">
        <f>Assumptions!$F$105+SUMIF(Assumptions!$D$100:$H$100,"&lt;="&amp;YEAR(AB$3),Assumptions!$D$103:$H$103)</f>
        <v/>
      </c>
      <c r="AC16" s="54">
        <f>Assumptions!$F$105+SUMIF(Assumptions!$D$100:$H$100,"&lt;="&amp;YEAR(AC$3),Assumptions!$D$103:$H$103)</f>
        <v/>
      </c>
      <c r="AD16" s="54">
        <f>Assumptions!$F$105+SUMIF(Assumptions!$D$100:$H$100,"&lt;="&amp;YEAR(AD$3),Assumptions!$D$103:$H$103)</f>
        <v/>
      </c>
      <c r="AE16" s="54">
        <f>Assumptions!$F$105+SUMIF(Assumptions!$D$100:$H$100,"&lt;="&amp;YEAR(AE$3),Assumptions!$D$103:$H$103)</f>
        <v/>
      </c>
      <c r="AF16" s="54">
        <f>Assumptions!$F$105+SUMIF(Assumptions!$D$100:$H$100,"&lt;="&amp;YEAR(AF$3),Assumptions!$D$103:$H$103)</f>
        <v/>
      </c>
      <c r="AG16" s="54">
        <f>Assumptions!$F$105+SUMIF(Assumptions!$D$100:$H$100,"&lt;="&amp;YEAR(AG$3),Assumptions!$D$103:$H$103)</f>
        <v/>
      </c>
      <c r="AH16" s="54">
        <f>Assumptions!$F$105+SUMIF(Assumptions!$D$100:$H$100,"&lt;="&amp;YEAR(AH$3),Assumptions!$D$103:$H$103)</f>
        <v/>
      </c>
      <c r="AI16" s="54">
        <f>Assumptions!$F$105+SUMIF(Assumptions!$D$100:$H$100,"&lt;="&amp;YEAR(AI$3),Assumptions!$D$103:$H$103)</f>
        <v/>
      </c>
      <c r="AJ16" s="54">
        <f>Assumptions!$F$105+SUMIF(Assumptions!$D$100:$H$100,"&lt;="&amp;YEAR(AJ$3),Assumptions!$D$103:$H$103)</f>
        <v/>
      </c>
      <c r="AK16" s="54">
        <f>Assumptions!$F$105+SUMIF(Assumptions!$D$100:$H$100,"&lt;="&amp;YEAR(AK$3),Assumptions!$D$103:$H$103)</f>
        <v/>
      </c>
      <c r="AL16" s="54">
        <f>Assumptions!$F$105+SUMIF(Assumptions!$D$100:$H$100,"&lt;="&amp;YEAR(AL$3),Assumptions!$D$103:$H$103)</f>
        <v/>
      </c>
      <c r="AM16" s="54">
        <f>Assumptions!$F$105+SUMIF(Assumptions!$D$100:$H$100,"&lt;="&amp;YEAR(AM$3),Assumptions!$D$103:$H$103)</f>
        <v/>
      </c>
      <c r="AN16" s="54">
        <f>Assumptions!$F$105+SUMIF(Assumptions!$D$100:$H$100,"&lt;="&amp;YEAR(AN$3),Assumptions!$D$103:$H$103)</f>
        <v/>
      </c>
      <c r="AO16" s="54">
        <f>Assumptions!$F$105+SUMIF(Assumptions!$D$100:$H$100,"&lt;="&amp;YEAR(AO$3),Assumptions!$D$103:$H$103)</f>
        <v/>
      </c>
      <c r="AP16" s="54">
        <f>Assumptions!$F$105+SUMIF(Assumptions!$D$100:$H$100,"&lt;="&amp;YEAR(AP$3),Assumptions!$D$103:$H$103)</f>
        <v/>
      </c>
      <c r="AQ16" s="54">
        <f>Assumptions!$F$105+SUMIF(Assumptions!$D$100:$H$100,"&lt;="&amp;YEAR(AQ$3),Assumptions!$D$103:$H$103)</f>
        <v/>
      </c>
      <c r="AR16" s="54">
        <f>Assumptions!$F$105+SUMIF(Assumptions!$D$100:$H$100,"&lt;="&amp;YEAR(AR$3),Assumptions!$D$103:$H$103)</f>
        <v/>
      </c>
      <c r="AS16" s="54">
        <f>Assumptions!$F$105+SUMIF(Assumptions!$D$100:$H$100,"&lt;="&amp;YEAR(AS$3),Assumptions!$D$103:$H$103)</f>
        <v/>
      </c>
      <c r="AT16" s="54">
        <f>Assumptions!$F$105+SUMIF(Assumptions!$D$100:$H$100,"&lt;="&amp;YEAR(AT$3),Assumptions!$D$103:$H$103)</f>
        <v/>
      </c>
      <c r="AU16" s="54">
        <f>Assumptions!$F$105+SUMIF(Assumptions!$D$100:$H$100,"&lt;="&amp;YEAR(AU$3),Assumptions!$D$103:$H$103)</f>
        <v/>
      </c>
      <c r="AV16" s="54">
        <f>Assumptions!$F$105+SUMIF(Assumptions!$D$100:$H$100,"&lt;="&amp;YEAR(AV$3),Assumptions!$D$103:$H$103)</f>
        <v/>
      </c>
      <c r="AW16" s="54">
        <f>Assumptions!$F$105+SUMIF(Assumptions!$D$100:$H$100,"&lt;="&amp;YEAR(AW$3),Assumptions!$D$103:$H$103)</f>
        <v/>
      </c>
      <c r="AX16" s="54">
        <f>Assumptions!$F$105+SUMIF(Assumptions!$D$100:$H$100,"&lt;="&amp;YEAR(AX$3),Assumptions!$D$103:$H$103)</f>
        <v/>
      </c>
      <c r="AY16" s="54">
        <f>Assumptions!$F$105+SUMIF(Assumptions!$D$100:$H$100,"&lt;="&amp;YEAR(AY$3),Assumptions!$D$103:$H$103)</f>
        <v/>
      </c>
      <c r="AZ16" s="54">
        <f>Assumptions!$F$105+SUMIF(Assumptions!$D$100:$H$100,"&lt;="&amp;YEAR(AZ$3),Assumptions!$D$103:$H$103)</f>
        <v/>
      </c>
      <c r="BA16" s="54">
        <f>Assumptions!$F$105+SUMIF(Assumptions!$D$100:$H$100,"&lt;="&amp;YEAR(BA$3),Assumptions!$D$103:$H$103)</f>
        <v/>
      </c>
      <c r="BB16" s="54">
        <f>Assumptions!$F$105+SUMIF(Assumptions!$D$100:$H$100,"&lt;="&amp;YEAR(BB$3),Assumptions!$D$103:$H$103)</f>
        <v/>
      </c>
      <c r="BC16" s="54">
        <f>Assumptions!$F$105+SUMIF(Assumptions!$D$100:$H$100,"&lt;="&amp;YEAR(BC$3),Assumptions!$D$103:$H$103)</f>
        <v/>
      </c>
      <c r="BD16" s="54">
        <f>Assumptions!$F$105+SUMIF(Assumptions!$D$100:$H$100,"&lt;="&amp;YEAR(BD$3),Assumptions!$D$103:$H$103)</f>
        <v/>
      </c>
      <c r="BE16" s="54">
        <f>Assumptions!$F$105+SUMIF(Assumptions!$D$100:$H$100,"&lt;="&amp;YEAR(BE$3),Assumptions!$D$103:$H$103)</f>
        <v/>
      </c>
      <c r="BF16" s="54">
        <f>Assumptions!$F$105+SUMIF(Assumptions!$D$100:$H$100,"&lt;="&amp;YEAR(BF$3),Assumptions!$D$103:$H$103)</f>
        <v/>
      </c>
      <c r="BG16" s="54">
        <f>Assumptions!$F$105+SUMIF(Assumptions!$D$100:$H$100,"&lt;="&amp;YEAR(BG$3),Assumptions!$D$103:$H$103)</f>
        <v/>
      </c>
      <c r="BH16" s="54">
        <f>Assumptions!$F$105+SUMIF(Assumptions!$D$100:$H$100,"&lt;="&amp;YEAR(BH$3),Assumptions!$D$103:$H$103)</f>
        <v/>
      </c>
      <c r="BI16" s="54">
        <f>Assumptions!$F$105+SUMIF(Assumptions!$D$100:$H$100,"&lt;="&amp;YEAR(BI$3),Assumptions!$D$103:$H$103)</f>
        <v/>
      </c>
      <c r="BJ16" s="54">
        <f>Assumptions!$F$105+SUMIF(Assumptions!$D$100:$H$100,"&lt;="&amp;YEAR(BJ$3),Assumptions!$D$103:$H$103)</f>
        <v/>
      </c>
      <c r="BK16" s="54">
        <f>Assumptions!$F$105+SUMIF(Assumptions!$D$100:$H$100,"&lt;="&amp;YEAR(BK$3),Assumptions!$D$103:$H$103)</f>
        <v/>
      </c>
      <c r="BL16" s="54">
        <f>Assumptions!$F$105+SUMIF(Assumptions!$D$100:$H$100,"&lt;="&amp;YEAR(BL$3),Assumptions!$D$103:$H$103)</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29" t="n">
        <v>3</v>
      </c>
      <c r="F17" s="29" t="n">
        <v>3</v>
      </c>
      <c r="G17" s="29" t="n">
        <v>3</v>
      </c>
      <c r="H17" s="29" t="n">
        <v>3</v>
      </c>
      <c r="I17" s="29" t="n">
        <v>3</v>
      </c>
      <c r="J17" s="29" t="n">
        <v>3</v>
      </c>
      <c r="K17" s="29" t="n">
        <v>3</v>
      </c>
      <c r="L17" s="29" t="n">
        <v>3</v>
      </c>
      <c r="M17" s="29" t="n">
        <v>3</v>
      </c>
      <c r="N17" s="29" t="n">
        <v>3</v>
      </c>
      <c r="O17" s="29" t="n">
        <v>3</v>
      </c>
      <c r="P17" s="29" t="n">
        <v>3</v>
      </c>
      <c r="Q17" s="29" t="n">
        <v>4</v>
      </c>
      <c r="R17" s="29" t="n">
        <v>4</v>
      </c>
      <c r="S17" s="29" t="n">
        <v>4</v>
      </c>
      <c r="T17" s="29" t="n">
        <v>4</v>
      </c>
      <c r="U17" s="29" t="n">
        <v>4</v>
      </c>
      <c r="V17" s="29" t="n">
        <v>4</v>
      </c>
      <c r="W17" s="29" t="n">
        <v>4</v>
      </c>
      <c r="X17" s="29" t="n">
        <v>4</v>
      </c>
      <c r="Y17" s="29" t="n">
        <v>4</v>
      </c>
      <c r="Z17" s="29" t="n">
        <v>4</v>
      </c>
      <c r="AA17" s="29" t="n">
        <v>4</v>
      </c>
      <c r="AB17" s="29" t="n">
        <v>4</v>
      </c>
      <c r="AC17" s="29" t="n">
        <v>5</v>
      </c>
      <c r="AD17" s="29" t="n">
        <v>5</v>
      </c>
      <c r="AE17" s="29" t="n">
        <v>5</v>
      </c>
      <c r="AF17" s="29" t="n">
        <v>5</v>
      </c>
      <c r="AG17" s="29" t="n">
        <v>5</v>
      </c>
      <c r="AH17" s="29" t="n">
        <v>5</v>
      </c>
      <c r="AI17" s="29" t="n">
        <v>5</v>
      </c>
      <c r="AJ17" s="29" t="n">
        <v>5</v>
      </c>
      <c r="AK17" s="29" t="n">
        <v>5</v>
      </c>
      <c r="AL17" s="29" t="n">
        <v>5</v>
      </c>
      <c r="AM17" s="29" t="n">
        <v>5</v>
      </c>
      <c r="AN17" s="29" t="n">
        <v>5</v>
      </c>
      <c r="AO17" s="29" t="n">
        <v>6</v>
      </c>
      <c r="AP17" s="29" t="n">
        <v>6</v>
      </c>
      <c r="AQ17" s="29" t="n">
        <v>6</v>
      </c>
      <c r="AR17" s="29" t="n">
        <v>6</v>
      </c>
      <c r="AS17" s="29" t="n">
        <v>6</v>
      </c>
      <c r="AT17" s="29" t="n">
        <v>6</v>
      </c>
      <c r="AU17" s="29" t="n">
        <v>6</v>
      </c>
      <c r="AV17" s="29" t="n">
        <v>6</v>
      </c>
      <c r="AW17" s="29" t="n">
        <v>6</v>
      </c>
      <c r="AX17" s="29" t="n">
        <v>6</v>
      </c>
      <c r="AY17" s="29" t="n">
        <v>6</v>
      </c>
      <c r="AZ17" s="29" t="n">
        <v>6</v>
      </c>
      <c r="BA17" s="29" t="n">
        <v>8</v>
      </c>
      <c r="BB17" s="29" t="n">
        <v>8</v>
      </c>
      <c r="BC17" s="29" t="n">
        <v>8</v>
      </c>
      <c r="BD17" s="29" t="n">
        <v>8</v>
      </c>
      <c r="BE17" s="29" t="n">
        <v>8</v>
      </c>
      <c r="BF17" s="29" t="n">
        <v>8</v>
      </c>
      <c r="BG17" s="29" t="n">
        <v>8</v>
      </c>
      <c r="BH17" s="29" t="n">
        <v>8</v>
      </c>
      <c r="BI17" s="29" t="n">
        <v>8</v>
      </c>
      <c r="BJ17" s="29" t="n">
        <v>8</v>
      </c>
      <c r="BK17" s="29" t="n">
        <v>8</v>
      </c>
      <c r="BL17" s="29" t="n">
        <v>8</v>
      </c>
      <c r="BN17" s="55">
        <f>P17</f>
        <v/>
      </c>
      <c r="BO17" s="55">
        <f>AB17</f>
        <v/>
      </c>
      <c r="BP17" s="55">
        <f>AN17</f>
        <v/>
      </c>
      <c r="BQ17" s="55">
        <f>AZ17</f>
        <v/>
      </c>
      <c r="BR17" s="55">
        <f>BL17</f>
        <v/>
      </c>
      <c r="BT17" s="20" t="inlineStr">
        <is>
          <t>typed here, not driven: the leadership team, then finance, HR, IT and legal as the company grows. Same in both cases</t>
        </is>
      </c>
    </row>
    <row r="18">
      <c r="B18" s="9" t="inlineStr">
        <is>
          <t>Field service engineers</t>
        </is>
      </c>
      <c r="C18" s="42" t="inlineStr">
        <is>
          <t>FTE</t>
        </is>
      </c>
      <c r="E18" s="54">
        <f>ROUND('Revenue Forecast'!E41*Assumptions!$F$45/Assumptions!$F$114,0)</f>
        <v/>
      </c>
      <c r="F18" s="54">
        <f>ROUND('Revenue Forecast'!F41*Assumptions!$F$45/Assumptions!$F$114,0)</f>
        <v/>
      </c>
      <c r="G18" s="54">
        <f>ROUND('Revenue Forecast'!G41*Assumptions!$F$45/Assumptions!$F$114,0)</f>
        <v/>
      </c>
      <c r="H18" s="54">
        <f>ROUND('Revenue Forecast'!H41*Assumptions!$F$45/Assumptions!$F$114,0)</f>
        <v/>
      </c>
      <c r="I18" s="54">
        <f>ROUND('Revenue Forecast'!I41*Assumptions!$F$45/Assumptions!$F$114,0)</f>
        <v/>
      </c>
      <c r="J18" s="54">
        <f>ROUND('Revenue Forecast'!J41*Assumptions!$F$45/Assumptions!$F$114,0)</f>
        <v/>
      </c>
      <c r="K18" s="54">
        <f>ROUND('Revenue Forecast'!K41*Assumptions!$F$45/Assumptions!$F$114,0)</f>
        <v/>
      </c>
      <c r="L18" s="54">
        <f>ROUND('Revenue Forecast'!L41*Assumptions!$F$45/Assumptions!$F$114,0)</f>
        <v/>
      </c>
      <c r="M18" s="54">
        <f>ROUND('Revenue Forecast'!M41*Assumptions!$F$45/Assumptions!$F$114,0)</f>
        <v/>
      </c>
      <c r="N18" s="54">
        <f>ROUND('Revenue Forecast'!N41*Assumptions!$F$45/Assumptions!$F$114,0)</f>
        <v/>
      </c>
      <c r="O18" s="54">
        <f>ROUND('Revenue Forecast'!O41*Assumptions!$F$45/Assumptions!$F$114,0)</f>
        <v/>
      </c>
      <c r="P18" s="54">
        <f>ROUND('Revenue Forecast'!P41*Assumptions!$F$45/Assumptions!$F$114,0)</f>
        <v/>
      </c>
      <c r="Q18" s="54">
        <f>ROUND('Revenue Forecast'!Q41*Assumptions!$F$45/Assumptions!$F$114,0)</f>
        <v/>
      </c>
      <c r="R18" s="54">
        <f>ROUND('Revenue Forecast'!R41*Assumptions!$F$45/Assumptions!$F$114,0)</f>
        <v/>
      </c>
      <c r="S18" s="54">
        <f>ROUND('Revenue Forecast'!S41*Assumptions!$F$45/Assumptions!$F$114,0)</f>
        <v/>
      </c>
      <c r="T18" s="54">
        <f>ROUND('Revenue Forecast'!T41*Assumptions!$F$45/Assumptions!$F$114,0)</f>
        <v/>
      </c>
      <c r="U18" s="54">
        <f>ROUND('Revenue Forecast'!U41*Assumptions!$F$45/Assumptions!$F$114,0)</f>
        <v/>
      </c>
      <c r="V18" s="54">
        <f>ROUND('Revenue Forecast'!V41*Assumptions!$F$45/Assumptions!$F$114,0)</f>
        <v/>
      </c>
      <c r="W18" s="54">
        <f>ROUND('Revenue Forecast'!W41*Assumptions!$F$45/Assumptions!$F$114,0)</f>
        <v/>
      </c>
      <c r="X18" s="54">
        <f>ROUND('Revenue Forecast'!X41*Assumptions!$F$45/Assumptions!$F$114,0)</f>
        <v/>
      </c>
      <c r="Y18" s="54">
        <f>ROUND('Revenue Forecast'!Y41*Assumptions!$F$45/Assumptions!$F$114,0)</f>
        <v/>
      </c>
      <c r="Z18" s="54">
        <f>ROUND('Revenue Forecast'!Z41*Assumptions!$F$45/Assumptions!$F$114,0)</f>
        <v/>
      </c>
      <c r="AA18" s="54">
        <f>ROUND('Revenue Forecast'!AA41*Assumptions!$F$45/Assumptions!$F$114,0)</f>
        <v/>
      </c>
      <c r="AB18" s="54">
        <f>ROUND('Revenue Forecast'!AB41*Assumptions!$F$45/Assumptions!$F$114,0)</f>
        <v/>
      </c>
      <c r="AC18" s="54">
        <f>ROUND('Revenue Forecast'!AC41*Assumptions!$F$45/Assumptions!$F$114,0)</f>
        <v/>
      </c>
      <c r="AD18" s="54">
        <f>ROUND('Revenue Forecast'!AD41*Assumptions!$F$45/Assumptions!$F$114,0)</f>
        <v/>
      </c>
      <c r="AE18" s="54">
        <f>ROUND('Revenue Forecast'!AE41*Assumptions!$F$45/Assumptions!$F$114,0)</f>
        <v/>
      </c>
      <c r="AF18" s="54">
        <f>ROUND('Revenue Forecast'!AF41*Assumptions!$F$45/Assumptions!$F$114,0)</f>
        <v/>
      </c>
      <c r="AG18" s="54">
        <f>ROUND('Revenue Forecast'!AG41*Assumptions!$F$45/Assumptions!$F$114,0)</f>
        <v/>
      </c>
      <c r="AH18" s="54">
        <f>ROUND('Revenue Forecast'!AH41*Assumptions!$F$45/Assumptions!$F$114,0)</f>
        <v/>
      </c>
      <c r="AI18" s="54">
        <f>ROUND('Revenue Forecast'!AI41*Assumptions!$F$45/Assumptions!$F$114,0)</f>
        <v/>
      </c>
      <c r="AJ18" s="54">
        <f>ROUND('Revenue Forecast'!AJ41*Assumptions!$F$45/Assumptions!$F$114,0)</f>
        <v/>
      </c>
      <c r="AK18" s="54">
        <f>ROUND('Revenue Forecast'!AK41*Assumptions!$F$45/Assumptions!$F$114,0)</f>
        <v/>
      </c>
      <c r="AL18" s="54">
        <f>ROUND('Revenue Forecast'!AL41*Assumptions!$F$45/Assumptions!$F$114,0)</f>
        <v/>
      </c>
      <c r="AM18" s="54">
        <f>ROUND('Revenue Forecast'!AM41*Assumptions!$F$45/Assumptions!$F$114,0)</f>
        <v/>
      </c>
      <c r="AN18" s="54">
        <f>ROUND('Revenue Forecast'!AN41*Assumptions!$F$45/Assumptions!$F$114,0)</f>
        <v/>
      </c>
      <c r="AO18" s="54">
        <f>ROUND('Revenue Forecast'!AO41*Assumptions!$F$45/Assumptions!$F$114,0)</f>
        <v/>
      </c>
      <c r="AP18" s="54">
        <f>ROUND('Revenue Forecast'!AP41*Assumptions!$F$45/Assumptions!$F$114,0)</f>
        <v/>
      </c>
      <c r="AQ18" s="54">
        <f>ROUND('Revenue Forecast'!AQ41*Assumptions!$F$45/Assumptions!$F$114,0)</f>
        <v/>
      </c>
      <c r="AR18" s="54">
        <f>ROUND('Revenue Forecast'!AR41*Assumptions!$F$45/Assumptions!$F$114,0)</f>
        <v/>
      </c>
      <c r="AS18" s="54">
        <f>ROUND('Revenue Forecast'!AS41*Assumptions!$F$45/Assumptions!$F$114,0)</f>
        <v/>
      </c>
      <c r="AT18" s="54">
        <f>ROUND('Revenue Forecast'!AT41*Assumptions!$F$45/Assumptions!$F$114,0)</f>
        <v/>
      </c>
      <c r="AU18" s="54">
        <f>ROUND('Revenue Forecast'!AU41*Assumptions!$F$45/Assumptions!$F$114,0)</f>
        <v/>
      </c>
      <c r="AV18" s="54">
        <f>ROUND('Revenue Forecast'!AV41*Assumptions!$F$45/Assumptions!$F$114,0)</f>
        <v/>
      </c>
      <c r="AW18" s="54">
        <f>ROUND('Revenue Forecast'!AW41*Assumptions!$F$45/Assumptions!$F$114,0)</f>
        <v/>
      </c>
      <c r="AX18" s="54">
        <f>ROUND('Revenue Forecast'!AX41*Assumptions!$F$45/Assumptions!$F$114,0)</f>
        <v/>
      </c>
      <c r="AY18" s="54">
        <f>ROUND('Revenue Forecast'!AY41*Assumptions!$F$45/Assumptions!$F$114,0)</f>
        <v/>
      </c>
      <c r="AZ18" s="54">
        <f>ROUND('Revenue Forecast'!AZ41*Assumptions!$F$45/Assumptions!$F$114,0)</f>
        <v/>
      </c>
      <c r="BA18" s="54">
        <f>ROUND('Revenue Forecast'!BA41*Assumptions!$F$45/Assumptions!$F$114,0)</f>
        <v/>
      </c>
      <c r="BB18" s="54">
        <f>ROUND('Revenue Forecast'!BB41*Assumptions!$F$45/Assumptions!$F$114,0)</f>
        <v/>
      </c>
      <c r="BC18" s="54">
        <f>ROUND('Revenue Forecast'!BC41*Assumptions!$F$45/Assumptions!$F$114,0)</f>
        <v/>
      </c>
      <c r="BD18" s="54">
        <f>ROUND('Revenue Forecast'!BD41*Assumptions!$F$45/Assumptions!$F$114,0)</f>
        <v/>
      </c>
      <c r="BE18" s="54">
        <f>ROUND('Revenue Forecast'!BE41*Assumptions!$F$45/Assumptions!$F$114,0)</f>
        <v/>
      </c>
      <c r="BF18" s="54">
        <f>ROUND('Revenue Forecast'!BF41*Assumptions!$F$45/Assumptions!$F$114,0)</f>
        <v/>
      </c>
      <c r="BG18" s="54">
        <f>ROUND('Revenue Forecast'!BG41*Assumptions!$F$45/Assumptions!$F$114,0)</f>
        <v/>
      </c>
      <c r="BH18" s="54">
        <f>ROUND('Revenue Forecast'!BH41*Assumptions!$F$45/Assumptions!$F$114,0)</f>
        <v/>
      </c>
      <c r="BI18" s="54">
        <f>ROUND('Revenue Forecast'!BI41*Assumptions!$F$45/Assumptions!$F$114,0)</f>
        <v/>
      </c>
      <c r="BJ18" s="54">
        <f>ROUND('Revenue Forecast'!BJ41*Assumptions!$F$45/Assumptions!$F$114,0)</f>
        <v/>
      </c>
      <c r="BK18" s="54">
        <f>ROUND('Revenue Forecast'!BK41*Assumptions!$F$45/Assumptions!$F$114,0)</f>
        <v/>
      </c>
      <c r="BL18" s="54">
        <f>ROUND('Revenue Forecast'!BL41*Assumptions!$F$45/Assumptions!$F$114,0)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E16*Assumptions!$F$123*(1+Assumptions!$F$10)^(YEAR(E$3)-2026)</f>
        <v/>
      </c>
      <c r="F26" s="43">
        <f>F16*Assumptions!$F$123*(1+Assumptions!$F$10)^(YEAR(F$3)-2026)</f>
        <v/>
      </c>
      <c r="G26" s="43">
        <f>G16*Assumptions!$F$123*(1+Assumptions!$F$10)^(YEAR(G$3)-2026)</f>
        <v/>
      </c>
      <c r="H26" s="43">
        <f>H16*Assumptions!$F$123*(1+Assumptions!$F$10)^(YEAR(H$3)-2026)</f>
        <v/>
      </c>
      <c r="I26" s="43">
        <f>I16*Assumptions!$F$123*(1+Assumptions!$F$10)^(YEAR(I$3)-2026)</f>
        <v/>
      </c>
      <c r="J26" s="43">
        <f>J16*Assumptions!$F$123*(1+Assumptions!$F$10)^(YEAR(J$3)-2026)</f>
        <v/>
      </c>
      <c r="K26" s="43">
        <f>K16*Assumptions!$F$123*(1+Assumptions!$F$10)^(YEAR(K$3)-2026)</f>
        <v/>
      </c>
      <c r="L26" s="43">
        <f>L16*Assumptions!$F$123*(1+Assumptions!$F$10)^(YEAR(L$3)-2026)</f>
        <v/>
      </c>
      <c r="M26" s="43">
        <f>M16*Assumptions!$F$123*(1+Assumptions!$F$10)^(YEAR(M$3)-2026)</f>
        <v/>
      </c>
      <c r="N26" s="43">
        <f>N16*Assumptions!$F$123*(1+Assumptions!$F$10)^(YEAR(N$3)-2026)</f>
        <v/>
      </c>
      <c r="O26" s="43">
        <f>O16*Assumptions!$F$123*(1+Assumptions!$F$10)^(YEAR(O$3)-2026)</f>
        <v/>
      </c>
      <c r="P26" s="43">
        <f>P16*Assumptions!$F$123*(1+Assumptions!$F$10)^(YEAR(P$3)-2026)</f>
        <v/>
      </c>
      <c r="Q26" s="43">
        <f>Q16*Assumptions!$F$123*(1+Assumptions!$F$10)^(YEAR(Q$3)-2026)</f>
        <v/>
      </c>
      <c r="R26" s="43">
        <f>R16*Assumptions!$F$123*(1+Assumptions!$F$10)^(YEAR(R$3)-2026)</f>
        <v/>
      </c>
      <c r="S26" s="43">
        <f>S16*Assumptions!$F$123*(1+Assumptions!$F$10)^(YEAR(S$3)-2026)</f>
        <v/>
      </c>
      <c r="T26" s="43">
        <f>T16*Assumptions!$F$123*(1+Assumptions!$F$10)^(YEAR(T$3)-2026)</f>
        <v/>
      </c>
      <c r="U26" s="43">
        <f>U16*Assumptions!$F$123*(1+Assumptions!$F$10)^(YEAR(U$3)-2026)</f>
        <v/>
      </c>
      <c r="V26" s="43">
        <f>V16*Assumptions!$F$123*(1+Assumptions!$F$10)^(YEAR(V$3)-2026)</f>
        <v/>
      </c>
      <c r="W26" s="43">
        <f>W16*Assumptions!$F$123*(1+Assumptions!$F$10)^(YEAR(W$3)-2026)</f>
        <v/>
      </c>
      <c r="X26" s="43">
        <f>X16*Assumptions!$F$123*(1+Assumptions!$F$10)^(YEAR(X$3)-2026)</f>
        <v/>
      </c>
      <c r="Y26" s="43">
        <f>Y16*Assumptions!$F$123*(1+Assumptions!$F$10)^(YEAR(Y$3)-2026)</f>
        <v/>
      </c>
      <c r="Z26" s="43">
        <f>Z16*Assumptions!$F$123*(1+Assumptions!$F$10)^(YEAR(Z$3)-2026)</f>
        <v/>
      </c>
      <c r="AA26" s="43">
        <f>AA16*Assumptions!$F$123*(1+Assumptions!$F$10)^(YEAR(AA$3)-2026)</f>
        <v/>
      </c>
      <c r="AB26" s="43">
        <f>AB16*Assumptions!$F$123*(1+Assumptions!$F$10)^(YEAR(AB$3)-2026)</f>
        <v/>
      </c>
      <c r="AC26" s="43">
        <f>AC16*Assumptions!$F$123*(1+Assumptions!$F$10)^(YEAR(AC$3)-2026)</f>
        <v/>
      </c>
      <c r="AD26" s="43">
        <f>AD16*Assumptions!$F$123*(1+Assumptions!$F$10)^(YEAR(AD$3)-2026)</f>
        <v/>
      </c>
      <c r="AE26" s="43">
        <f>AE16*Assumptions!$F$123*(1+Assumptions!$F$10)^(YEAR(AE$3)-2026)</f>
        <v/>
      </c>
      <c r="AF26" s="43">
        <f>AF16*Assumptions!$F$123*(1+Assumptions!$F$10)^(YEAR(AF$3)-2026)</f>
        <v/>
      </c>
      <c r="AG26" s="43">
        <f>AG16*Assumptions!$F$123*(1+Assumptions!$F$10)^(YEAR(AG$3)-2026)</f>
        <v/>
      </c>
      <c r="AH26" s="43">
        <f>AH16*Assumptions!$F$123*(1+Assumptions!$F$10)^(YEAR(AH$3)-2026)</f>
        <v/>
      </c>
      <c r="AI26" s="43">
        <f>AI16*Assumptions!$F$123*(1+Assumptions!$F$10)^(YEAR(AI$3)-2026)</f>
        <v/>
      </c>
      <c r="AJ26" s="43">
        <f>AJ16*Assumptions!$F$123*(1+Assumptions!$F$10)^(YEAR(AJ$3)-2026)</f>
        <v/>
      </c>
      <c r="AK26" s="43">
        <f>AK16*Assumptions!$F$123*(1+Assumptions!$F$10)^(YEAR(AK$3)-2026)</f>
        <v/>
      </c>
      <c r="AL26" s="43">
        <f>AL16*Assumptions!$F$123*(1+Assumptions!$F$10)^(YEAR(AL$3)-2026)</f>
        <v/>
      </c>
      <c r="AM26" s="43">
        <f>AM16*Assumptions!$F$123*(1+Assumptions!$F$10)^(YEAR(AM$3)-2026)</f>
        <v/>
      </c>
      <c r="AN26" s="43">
        <f>AN16*Assumptions!$F$123*(1+Assumptions!$F$10)^(YEAR(AN$3)-2026)</f>
        <v/>
      </c>
      <c r="AO26" s="43">
        <f>AO16*Assumptions!$F$123*(1+Assumptions!$F$10)^(YEAR(AO$3)-2026)</f>
        <v/>
      </c>
      <c r="AP26" s="43">
        <f>AP16*Assumptions!$F$123*(1+Assumptions!$F$10)^(YEAR(AP$3)-2026)</f>
        <v/>
      </c>
      <c r="AQ26" s="43">
        <f>AQ16*Assumptions!$F$123*(1+Assumptions!$F$10)^(YEAR(AQ$3)-2026)</f>
        <v/>
      </c>
      <c r="AR26" s="43">
        <f>AR16*Assumptions!$F$123*(1+Assumptions!$F$10)^(YEAR(AR$3)-2026)</f>
        <v/>
      </c>
      <c r="AS26" s="43">
        <f>AS16*Assumptions!$F$123*(1+Assumptions!$F$10)^(YEAR(AS$3)-2026)</f>
        <v/>
      </c>
      <c r="AT26" s="43">
        <f>AT16*Assumptions!$F$123*(1+Assumptions!$F$10)^(YEAR(AT$3)-2026)</f>
        <v/>
      </c>
      <c r="AU26" s="43">
        <f>AU16*Assumptions!$F$123*(1+Assumptions!$F$10)^(YEAR(AU$3)-2026)</f>
        <v/>
      </c>
      <c r="AV26" s="43">
        <f>AV16*Assumptions!$F$123*(1+Assumptions!$F$10)^(YEAR(AV$3)-2026)</f>
        <v/>
      </c>
      <c r="AW26" s="43">
        <f>AW16*Assumptions!$F$123*(1+Assumptions!$F$10)^(YEAR(AW$3)-2026)</f>
        <v/>
      </c>
      <c r="AX26" s="43">
        <f>AX16*Assumptions!$F$123*(1+Assumptions!$F$10)^(YEAR(AX$3)-2026)</f>
        <v/>
      </c>
      <c r="AY26" s="43">
        <f>AY16*Assumptions!$F$123*(1+Assumptions!$F$10)^(YEAR(AY$3)-2026)</f>
        <v/>
      </c>
      <c r="AZ26" s="43">
        <f>AZ16*Assumptions!$F$123*(1+Assumptions!$F$10)^(YEAR(AZ$3)-2026)</f>
        <v/>
      </c>
      <c r="BA26" s="43">
        <f>BA16*Assumptions!$F$123*(1+Assumptions!$F$10)^(YEAR(BA$3)-2026)</f>
        <v/>
      </c>
      <c r="BB26" s="43">
        <f>BB16*Assumptions!$F$123*(1+Assumptions!$F$10)^(YEAR(BB$3)-2026)</f>
        <v/>
      </c>
      <c r="BC26" s="43">
        <f>BC16*Assumptions!$F$123*(1+Assumptions!$F$10)^(YEAR(BC$3)-2026)</f>
        <v/>
      </c>
      <c r="BD26" s="43">
        <f>BD16*Assumptions!$F$123*(1+Assumptions!$F$10)^(YEAR(BD$3)-2026)</f>
        <v/>
      </c>
      <c r="BE26" s="43">
        <f>BE16*Assumptions!$F$123*(1+Assumptions!$F$10)^(YEAR(BE$3)-2026)</f>
        <v/>
      </c>
      <c r="BF26" s="43">
        <f>BF16*Assumptions!$F$123*(1+Assumptions!$F$10)^(YEAR(BF$3)-2026)</f>
        <v/>
      </c>
      <c r="BG26" s="43">
        <f>BG16*Assumptions!$F$123*(1+Assumptions!$F$10)^(YEAR(BG$3)-2026)</f>
        <v/>
      </c>
      <c r="BH26" s="43">
        <f>BH16*Assumptions!$F$123*(1+Assumptions!$F$10)^(YEAR(BH$3)-2026)</f>
        <v/>
      </c>
      <c r="BI26" s="43">
        <f>BI16*Assumptions!$F$123*(1+Assumptions!$F$10)^(YEAR(BI$3)-2026)</f>
        <v/>
      </c>
      <c r="BJ26" s="43">
        <f>BJ16*Assumptions!$F$123*(1+Assumptions!$F$10)^(YEAR(BJ$3)-2026)</f>
        <v/>
      </c>
      <c r="BK26" s="43">
        <f>BK16*Assumptions!$F$123*(1+Assumptions!$F$10)^(YEAR(BK$3)-2026)</f>
        <v/>
      </c>
      <c r="BL26" s="43">
        <f>BL16*Assumptions!$F$123*(1+Assumptions!$F$10)^(YEAR(BL$3)-2026)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(E6*Assumptions!$F$117+E7*Assumptions!$F$118+(E8+E9+E10)*Assumptions!$F$119)*(1+Assumptions!$F$10)^(YEAR(E$3)-2026)</f>
        <v/>
      </c>
      <c r="F27" s="43">
        <f>(F6*Assumptions!$F$117+F7*Assumptions!$F$118+(F8+F9+F10)*Assumptions!$F$119)*(1+Assumptions!$F$10)^(YEAR(F$3)-2026)</f>
        <v/>
      </c>
      <c r="G27" s="43">
        <f>(G6*Assumptions!$F$117+G7*Assumptions!$F$118+(G8+G9+G10)*Assumptions!$F$119)*(1+Assumptions!$F$10)^(YEAR(G$3)-2026)</f>
        <v/>
      </c>
      <c r="H27" s="43">
        <f>(H6*Assumptions!$F$117+H7*Assumptions!$F$118+(H8+H9+H10)*Assumptions!$F$119)*(1+Assumptions!$F$10)^(YEAR(H$3)-2026)</f>
        <v/>
      </c>
      <c r="I27" s="43">
        <f>(I6*Assumptions!$F$117+I7*Assumptions!$F$118+(I8+I9+I10)*Assumptions!$F$119)*(1+Assumptions!$F$10)^(YEAR(I$3)-2026)</f>
        <v/>
      </c>
      <c r="J27" s="43">
        <f>(J6*Assumptions!$F$117+J7*Assumptions!$F$118+(J8+J9+J10)*Assumptions!$F$119)*(1+Assumptions!$F$10)^(YEAR(J$3)-2026)</f>
        <v/>
      </c>
      <c r="K27" s="43">
        <f>(K6*Assumptions!$F$117+K7*Assumptions!$F$118+(K8+K9+K10)*Assumptions!$F$119)*(1+Assumptions!$F$10)^(YEAR(K$3)-2026)</f>
        <v/>
      </c>
      <c r="L27" s="43">
        <f>(L6*Assumptions!$F$117+L7*Assumptions!$F$118+(L8+L9+L10)*Assumptions!$F$119)*(1+Assumptions!$F$10)^(YEAR(L$3)-2026)</f>
        <v/>
      </c>
      <c r="M27" s="43">
        <f>(M6*Assumptions!$F$117+M7*Assumptions!$F$118+(M8+M9+M10)*Assumptions!$F$119)*(1+Assumptions!$F$10)^(YEAR(M$3)-2026)</f>
        <v/>
      </c>
      <c r="N27" s="43">
        <f>(N6*Assumptions!$F$117+N7*Assumptions!$F$118+(N8+N9+N10)*Assumptions!$F$119)*(1+Assumptions!$F$10)^(YEAR(N$3)-2026)</f>
        <v/>
      </c>
      <c r="O27" s="43">
        <f>(O6*Assumptions!$F$117+O7*Assumptions!$F$118+(O8+O9+O10)*Assumptions!$F$119)*(1+Assumptions!$F$10)^(YEAR(O$3)-2026)</f>
        <v/>
      </c>
      <c r="P27" s="43">
        <f>(P6*Assumptions!$F$117+P7*Assumptions!$F$118+(P8+P9+P10)*Assumptions!$F$119)*(1+Assumptions!$F$10)^(YEAR(P$3)-2026)</f>
        <v/>
      </c>
      <c r="Q27" s="43">
        <f>(Q6*Assumptions!$F$117+Q7*Assumptions!$F$118+(Q8+Q9+Q10)*Assumptions!$F$119)*(1+Assumptions!$F$10)^(YEAR(Q$3)-2026)</f>
        <v/>
      </c>
      <c r="R27" s="43">
        <f>(R6*Assumptions!$F$117+R7*Assumptions!$F$118+(R8+R9+R10)*Assumptions!$F$119)*(1+Assumptions!$F$10)^(YEAR(R$3)-2026)</f>
        <v/>
      </c>
      <c r="S27" s="43">
        <f>(S6*Assumptions!$F$117+S7*Assumptions!$F$118+(S8+S9+S10)*Assumptions!$F$119)*(1+Assumptions!$F$10)^(YEAR(S$3)-2026)</f>
        <v/>
      </c>
      <c r="T27" s="43">
        <f>(T6*Assumptions!$F$117+T7*Assumptions!$F$118+(T8+T9+T10)*Assumptions!$F$119)*(1+Assumptions!$F$10)^(YEAR(T$3)-2026)</f>
        <v/>
      </c>
      <c r="U27" s="43">
        <f>(U6*Assumptions!$F$117+U7*Assumptions!$F$118+(U8+U9+U10)*Assumptions!$F$119)*(1+Assumptions!$F$10)^(YEAR(U$3)-2026)</f>
        <v/>
      </c>
      <c r="V27" s="43">
        <f>(V6*Assumptions!$F$117+V7*Assumptions!$F$118+(V8+V9+V10)*Assumptions!$F$119)*(1+Assumptions!$F$10)^(YEAR(V$3)-2026)</f>
        <v/>
      </c>
      <c r="W27" s="43">
        <f>(W6*Assumptions!$F$117+W7*Assumptions!$F$118+(W8+W9+W10)*Assumptions!$F$119)*(1+Assumptions!$F$10)^(YEAR(W$3)-2026)</f>
        <v/>
      </c>
      <c r="X27" s="43">
        <f>(X6*Assumptions!$F$117+X7*Assumptions!$F$118+(X8+X9+X10)*Assumptions!$F$119)*(1+Assumptions!$F$10)^(YEAR(X$3)-2026)</f>
        <v/>
      </c>
      <c r="Y27" s="43">
        <f>(Y6*Assumptions!$F$117+Y7*Assumptions!$F$118+(Y8+Y9+Y10)*Assumptions!$F$119)*(1+Assumptions!$F$10)^(YEAR(Y$3)-2026)</f>
        <v/>
      </c>
      <c r="Z27" s="43">
        <f>(Z6*Assumptions!$F$117+Z7*Assumptions!$F$118+(Z8+Z9+Z10)*Assumptions!$F$119)*(1+Assumptions!$F$10)^(YEAR(Z$3)-2026)</f>
        <v/>
      </c>
      <c r="AA27" s="43">
        <f>(AA6*Assumptions!$F$117+AA7*Assumptions!$F$118+(AA8+AA9+AA10)*Assumptions!$F$119)*(1+Assumptions!$F$10)^(YEAR(AA$3)-2026)</f>
        <v/>
      </c>
      <c r="AB27" s="43">
        <f>(AB6*Assumptions!$F$117+AB7*Assumptions!$F$118+(AB8+AB9+AB10)*Assumptions!$F$119)*(1+Assumptions!$F$10)^(YEAR(AB$3)-2026)</f>
        <v/>
      </c>
      <c r="AC27" s="43">
        <f>(AC6*Assumptions!$F$117+AC7*Assumptions!$F$118+(AC8+AC9+AC10)*Assumptions!$F$119)*(1+Assumptions!$F$10)^(YEAR(AC$3)-2026)</f>
        <v/>
      </c>
      <c r="AD27" s="43">
        <f>(AD6*Assumptions!$F$117+AD7*Assumptions!$F$118+(AD8+AD9+AD10)*Assumptions!$F$119)*(1+Assumptions!$F$10)^(YEAR(AD$3)-2026)</f>
        <v/>
      </c>
      <c r="AE27" s="43">
        <f>(AE6*Assumptions!$F$117+AE7*Assumptions!$F$118+(AE8+AE9+AE10)*Assumptions!$F$119)*(1+Assumptions!$F$10)^(YEAR(AE$3)-2026)</f>
        <v/>
      </c>
      <c r="AF27" s="43">
        <f>(AF6*Assumptions!$F$117+AF7*Assumptions!$F$118+(AF8+AF9+AF10)*Assumptions!$F$119)*(1+Assumptions!$F$10)^(YEAR(AF$3)-2026)</f>
        <v/>
      </c>
      <c r="AG27" s="43">
        <f>(AG6*Assumptions!$F$117+AG7*Assumptions!$F$118+(AG8+AG9+AG10)*Assumptions!$F$119)*(1+Assumptions!$F$10)^(YEAR(AG$3)-2026)</f>
        <v/>
      </c>
      <c r="AH27" s="43">
        <f>(AH6*Assumptions!$F$117+AH7*Assumptions!$F$118+(AH8+AH9+AH10)*Assumptions!$F$119)*(1+Assumptions!$F$10)^(YEAR(AH$3)-2026)</f>
        <v/>
      </c>
      <c r="AI27" s="43">
        <f>(AI6*Assumptions!$F$117+AI7*Assumptions!$F$118+(AI8+AI9+AI10)*Assumptions!$F$119)*(1+Assumptions!$F$10)^(YEAR(AI$3)-2026)</f>
        <v/>
      </c>
      <c r="AJ27" s="43">
        <f>(AJ6*Assumptions!$F$117+AJ7*Assumptions!$F$118+(AJ8+AJ9+AJ10)*Assumptions!$F$119)*(1+Assumptions!$F$10)^(YEAR(AJ$3)-2026)</f>
        <v/>
      </c>
      <c r="AK27" s="43">
        <f>(AK6*Assumptions!$F$117+AK7*Assumptions!$F$118+(AK8+AK9+AK10)*Assumptions!$F$119)*(1+Assumptions!$F$10)^(YEAR(AK$3)-2026)</f>
        <v/>
      </c>
      <c r="AL27" s="43">
        <f>(AL6*Assumptions!$F$117+AL7*Assumptions!$F$118+(AL8+AL9+AL10)*Assumptions!$F$119)*(1+Assumptions!$F$10)^(YEAR(AL$3)-2026)</f>
        <v/>
      </c>
      <c r="AM27" s="43">
        <f>(AM6*Assumptions!$F$117+AM7*Assumptions!$F$118+(AM8+AM9+AM10)*Assumptions!$F$119)*(1+Assumptions!$F$10)^(YEAR(AM$3)-2026)</f>
        <v/>
      </c>
      <c r="AN27" s="43">
        <f>(AN6*Assumptions!$F$117+AN7*Assumptions!$F$118+(AN8+AN9+AN10)*Assumptions!$F$119)*(1+Assumptions!$F$10)^(YEAR(AN$3)-2026)</f>
        <v/>
      </c>
      <c r="AO27" s="43">
        <f>(AO6*Assumptions!$F$117+AO7*Assumptions!$F$118+(AO8+AO9+AO10)*Assumptions!$F$119)*(1+Assumptions!$F$10)^(YEAR(AO$3)-2026)</f>
        <v/>
      </c>
      <c r="AP27" s="43">
        <f>(AP6*Assumptions!$F$117+AP7*Assumptions!$F$118+(AP8+AP9+AP10)*Assumptions!$F$119)*(1+Assumptions!$F$10)^(YEAR(AP$3)-2026)</f>
        <v/>
      </c>
      <c r="AQ27" s="43">
        <f>(AQ6*Assumptions!$F$117+AQ7*Assumptions!$F$118+(AQ8+AQ9+AQ10)*Assumptions!$F$119)*(1+Assumptions!$F$10)^(YEAR(AQ$3)-2026)</f>
        <v/>
      </c>
      <c r="AR27" s="43">
        <f>(AR6*Assumptions!$F$117+AR7*Assumptions!$F$118+(AR8+AR9+AR10)*Assumptions!$F$119)*(1+Assumptions!$F$10)^(YEAR(AR$3)-2026)</f>
        <v/>
      </c>
      <c r="AS27" s="43">
        <f>(AS6*Assumptions!$F$117+AS7*Assumptions!$F$118+(AS8+AS9+AS10)*Assumptions!$F$119)*(1+Assumptions!$F$10)^(YEAR(AS$3)-2026)</f>
        <v/>
      </c>
      <c r="AT27" s="43">
        <f>(AT6*Assumptions!$F$117+AT7*Assumptions!$F$118+(AT8+AT9+AT10)*Assumptions!$F$119)*(1+Assumptions!$F$10)^(YEAR(AT$3)-2026)</f>
        <v/>
      </c>
      <c r="AU27" s="43">
        <f>(AU6*Assumptions!$F$117+AU7*Assumptions!$F$118+(AU8+AU9+AU10)*Assumptions!$F$119)*(1+Assumptions!$F$10)^(YEAR(AU$3)-2026)</f>
        <v/>
      </c>
      <c r="AV27" s="43">
        <f>(AV6*Assumptions!$F$117+AV7*Assumptions!$F$118+(AV8+AV9+AV10)*Assumptions!$F$119)*(1+Assumptions!$F$10)^(YEAR(AV$3)-2026)</f>
        <v/>
      </c>
      <c r="AW27" s="43">
        <f>(AW6*Assumptions!$F$117+AW7*Assumptions!$F$118+(AW8+AW9+AW10)*Assumptions!$F$119)*(1+Assumptions!$F$10)^(YEAR(AW$3)-2026)</f>
        <v/>
      </c>
      <c r="AX27" s="43">
        <f>(AX6*Assumptions!$F$117+AX7*Assumptions!$F$118+(AX8+AX9+AX10)*Assumptions!$F$119)*(1+Assumptions!$F$10)^(YEAR(AX$3)-2026)</f>
        <v/>
      </c>
      <c r="AY27" s="43">
        <f>(AY6*Assumptions!$F$117+AY7*Assumptions!$F$118+(AY8+AY9+AY10)*Assumptions!$F$119)*(1+Assumptions!$F$10)^(YEAR(AY$3)-2026)</f>
        <v/>
      </c>
      <c r="AZ27" s="43">
        <f>(AZ6*Assumptions!$F$117+AZ7*Assumptions!$F$118+(AZ8+AZ9+AZ10)*Assumptions!$F$119)*(1+Assumptions!$F$10)^(YEAR(AZ$3)-2026)</f>
        <v/>
      </c>
      <c r="BA27" s="43">
        <f>(BA6*Assumptions!$F$117+BA7*Assumptions!$F$118+(BA8+BA9+BA10)*Assumptions!$F$119)*(1+Assumptions!$F$10)^(YEAR(BA$3)-2026)</f>
        <v/>
      </c>
      <c r="BB27" s="43">
        <f>(BB6*Assumptions!$F$117+BB7*Assumptions!$F$118+(BB8+BB9+BB10)*Assumptions!$F$119)*(1+Assumptions!$F$10)^(YEAR(BB$3)-2026)</f>
        <v/>
      </c>
      <c r="BC27" s="43">
        <f>(BC6*Assumptions!$F$117+BC7*Assumptions!$F$118+(BC8+BC9+BC10)*Assumptions!$F$119)*(1+Assumptions!$F$10)^(YEAR(BC$3)-2026)</f>
        <v/>
      </c>
      <c r="BD27" s="43">
        <f>(BD6*Assumptions!$F$117+BD7*Assumptions!$F$118+(BD8+BD9+BD10)*Assumptions!$F$119)*(1+Assumptions!$F$10)^(YEAR(BD$3)-2026)</f>
        <v/>
      </c>
      <c r="BE27" s="43">
        <f>(BE6*Assumptions!$F$117+BE7*Assumptions!$F$118+(BE8+BE9+BE10)*Assumptions!$F$119)*(1+Assumptions!$F$10)^(YEAR(BE$3)-2026)</f>
        <v/>
      </c>
      <c r="BF27" s="43">
        <f>(BF6*Assumptions!$F$117+BF7*Assumptions!$F$118+(BF8+BF9+BF10)*Assumptions!$F$119)*(1+Assumptions!$F$10)^(YEAR(BF$3)-2026)</f>
        <v/>
      </c>
      <c r="BG27" s="43">
        <f>(BG6*Assumptions!$F$117+BG7*Assumptions!$F$118+(BG8+BG9+BG10)*Assumptions!$F$119)*(1+Assumptions!$F$10)^(YEAR(BG$3)-2026)</f>
        <v/>
      </c>
      <c r="BH27" s="43">
        <f>(BH6*Assumptions!$F$117+BH7*Assumptions!$F$118+(BH8+BH9+BH10)*Assumptions!$F$119)*(1+Assumptions!$F$10)^(YEAR(BH$3)-2026)</f>
        <v/>
      </c>
      <c r="BI27" s="43">
        <f>(BI6*Assumptions!$F$117+BI7*Assumptions!$F$118+(BI8+BI9+BI10)*Assumptions!$F$119)*(1+Assumptions!$F$10)^(YEAR(BI$3)-2026)</f>
        <v/>
      </c>
      <c r="BJ27" s="43">
        <f>(BJ6*Assumptions!$F$117+BJ7*Assumptions!$F$118+(BJ8+BJ9+BJ10)*Assumptions!$F$119)*(1+Assumptions!$F$10)^(YEAR(BJ$3)-2026)</f>
        <v/>
      </c>
      <c r="BK27" s="43">
        <f>(BK6*Assumptions!$F$117+BK7*Assumptions!$F$118+(BK8+BK9+BK10)*Assumptions!$F$119)*(1+Assumptions!$F$10)^(YEAR(BK$3)-2026)</f>
        <v/>
      </c>
      <c r="BL27" s="43">
        <f>(BL6*Assumptions!$F$117+BL7*Assumptions!$F$118+(BL8+BL9+BL10)*Assumptions!$F$119)*(1+Assumptions!$F$10)^(YEAR(BL$3)-2026)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((E12+E13)*Assumptions!$F$120+(E14+E15)*Assumptions!$F$121+E17*Assumptions!$F$122+E18*Assumptions!$F$124)*(1+Assumptions!$F$10)^(YEAR(E$3)-2026)</f>
        <v/>
      </c>
      <c r="F28" s="43">
        <f>((F12+F13)*Assumptions!$F$120+(F14+F15)*Assumptions!$F$121+F17*Assumptions!$F$122+F18*Assumptions!$F$124)*(1+Assumptions!$F$10)^(YEAR(F$3)-2026)</f>
        <v/>
      </c>
      <c r="G28" s="43">
        <f>((G12+G13)*Assumptions!$F$120+(G14+G15)*Assumptions!$F$121+G17*Assumptions!$F$122+G18*Assumptions!$F$124)*(1+Assumptions!$F$10)^(YEAR(G$3)-2026)</f>
        <v/>
      </c>
      <c r="H28" s="43">
        <f>((H12+H13)*Assumptions!$F$120+(H14+H15)*Assumptions!$F$121+H17*Assumptions!$F$122+H18*Assumptions!$F$124)*(1+Assumptions!$F$10)^(YEAR(H$3)-2026)</f>
        <v/>
      </c>
      <c r="I28" s="43">
        <f>((I12+I13)*Assumptions!$F$120+(I14+I15)*Assumptions!$F$121+I17*Assumptions!$F$122+I18*Assumptions!$F$124)*(1+Assumptions!$F$10)^(YEAR(I$3)-2026)</f>
        <v/>
      </c>
      <c r="J28" s="43">
        <f>((J12+J13)*Assumptions!$F$120+(J14+J15)*Assumptions!$F$121+J17*Assumptions!$F$122+J18*Assumptions!$F$124)*(1+Assumptions!$F$10)^(YEAR(J$3)-2026)</f>
        <v/>
      </c>
      <c r="K28" s="43">
        <f>((K12+K13)*Assumptions!$F$120+(K14+K15)*Assumptions!$F$121+K17*Assumptions!$F$122+K18*Assumptions!$F$124)*(1+Assumptions!$F$10)^(YEAR(K$3)-2026)</f>
        <v/>
      </c>
      <c r="L28" s="43">
        <f>((L12+L13)*Assumptions!$F$120+(L14+L15)*Assumptions!$F$121+L17*Assumptions!$F$122+L18*Assumptions!$F$124)*(1+Assumptions!$F$10)^(YEAR(L$3)-2026)</f>
        <v/>
      </c>
      <c r="M28" s="43">
        <f>((M12+M13)*Assumptions!$F$120+(M14+M15)*Assumptions!$F$121+M17*Assumptions!$F$122+M18*Assumptions!$F$124)*(1+Assumptions!$F$10)^(YEAR(M$3)-2026)</f>
        <v/>
      </c>
      <c r="N28" s="43">
        <f>((N12+N13)*Assumptions!$F$120+(N14+N15)*Assumptions!$F$121+N17*Assumptions!$F$122+N18*Assumptions!$F$124)*(1+Assumptions!$F$10)^(YEAR(N$3)-2026)</f>
        <v/>
      </c>
      <c r="O28" s="43">
        <f>((O12+O13)*Assumptions!$F$120+(O14+O15)*Assumptions!$F$121+O17*Assumptions!$F$122+O18*Assumptions!$F$124)*(1+Assumptions!$F$10)^(YEAR(O$3)-2026)</f>
        <v/>
      </c>
      <c r="P28" s="43">
        <f>((P12+P13)*Assumptions!$F$120+(P14+P15)*Assumptions!$F$121+P17*Assumptions!$F$122+P18*Assumptions!$F$124)*(1+Assumptions!$F$10)^(YEAR(P$3)-2026)</f>
        <v/>
      </c>
      <c r="Q28" s="43">
        <f>((Q12+Q13)*Assumptions!$F$120+(Q14+Q15)*Assumptions!$F$121+Q17*Assumptions!$F$122+Q18*Assumptions!$F$124)*(1+Assumptions!$F$10)^(YEAR(Q$3)-2026)</f>
        <v/>
      </c>
      <c r="R28" s="43">
        <f>((R12+R13)*Assumptions!$F$120+(R14+R15)*Assumptions!$F$121+R17*Assumptions!$F$122+R18*Assumptions!$F$124)*(1+Assumptions!$F$10)^(YEAR(R$3)-2026)</f>
        <v/>
      </c>
      <c r="S28" s="43">
        <f>((S12+S13)*Assumptions!$F$120+(S14+S15)*Assumptions!$F$121+S17*Assumptions!$F$122+S18*Assumptions!$F$124)*(1+Assumptions!$F$10)^(YEAR(S$3)-2026)</f>
        <v/>
      </c>
      <c r="T28" s="43">
        <f>((T12+T13)*Assumptions!$F$120+(T14+T15)*Assumptions!$F$121+T17*Assumptions!$F$122+T18*Assumptions!$F$124)*(1+Assumptions!$F$10)^(YEAR(T$3)-2026)</f>
        <v/>
      </c>
      <c r="U28" s="43">
        <f>((U12+U13)*Assumptions!$F$120+(U14+U15)*Assumptions!$F$121+U17*Assumptions!$F$122+U18*Assumptions!$F$124)*(1+Assumptions!$F$10)^(YEAR(U$3)-2026)</f>
        <v/>
      </c>
      <c r="V28" s="43">
        <f>((V12+V13)*Assumptions!$F$120+(V14+V15)*Assumptions!$F$121+V17*Assumptions!$F$122+V18*Assumptions!$F$124)*(1+Assumptions!$F$10)^(YEAR(V$3)-2026)</f>
        <v/>
      </c>
      <c r="W28" s="43">
        <f>((W12+W13)*Assumptions!$F$120+(W14+W15)*Assumptions!$F$121+W17*Assumptions!$F$122+W18*Assumptions!$F$124)*(1+Assumptions!$F$10)^(YEAR(W$3)-2026)</f>
        <v/>
      </c>
      <c r="X28" s="43">
        <f>((X12+X13)*Assumptions!$F$120+(X14+X15)*Assumptions!$F$121+X17*Assumptions!$F$122+X18*Assumptions!$F$124)*(1+Assumptions!$F$10)^(YEAR(X$3)-2026)</f>
        <v/>
      </c>
      <c r="Y28" s="43">
        <f>((Y12+Y13)*Assumptions!$F$120+(Y14+Y15)*Assumptions!$F$121+Y17*Assumptions!$F$122+Y18*Assumptions!$F$124)*(1+Assumptions!$F$10)^(YEAR(Y$3)-2026)</f>
        <v/>
      </c>
      <c r="Z28" s="43">
        <f>((Z12+Z13)*Assumptions!$F$120+(Z14+Z15)*Assumptions!$F$121+Z17*Assumptions!$F$122+Z18*Assumptions!$F$124)*(1+Assumptions!$F$10)^(YEAR(Z$3)-2026)</f>
        <v/>
      </c>
      <c r="AA28" s="43">
        <f>((AA12+AA13)*Assumptions!$F$120+(AA14+AA15)*Assumptions!$F$121+AA17*Assumptions!$F$122+AA18*Assumptions!$F$124)*(1+Assumptions!$F$10)^(YEAR(AA$3)-2026)</f>
        <v/>
      </c>
      <c r="AB28" s="43">
        <f>((AB12+AB13)*Assumptions!$F$120+(AB14+AB15)*Assumptions!$F$121+AB17*Assumptions!$F$122+AB18*Assumptions!$F$124)*(1+Assumptions!$F$10)^(YEAR(AB$3)-2026)</f>
        <v/>
      </c>
      <c r="AC28" s="43">
        <f>((AC12+AC13)*Assumptions!$F$120+(AC14+AC15)*Assumptions!$F$121+AC17*Assumptions!$F$122+AC18*Assumptions!$F$124)*(1+Assumptions!$F$10)^(YEAR(AC$3)-2026)</f>
        <v/>
      </c>
      <c r="AD28" s="43">
        <f>((AD12+AD13)*Assumptions!$F$120+(AD14+AD15)*Assumptions!$F$121+AD17*Assumptions!$F$122+AD18*Assumptions!$F$124)*(1+Assumptions!$F$10)^(YEAR(AD$3)-2026)</f>
        <v/>
      </c>
      <c r="AE28" s="43">
        <f>((AE12+AE13)*Assumptions!$F$120+(AE14+AE15)*Assumptions!$F$121+AE17*Assumptions!$F$122+AE18*Assumptions!$F$124)*(1+Assumptions!$F$10)^(YEAR(AE$3)-2026)</f>
        <v/>
      </c>
      <c r="AF28" s="43">
        <f>((AF12+AF13)*Assumptions!$F$120+(AF14+AF15)*Assumptions!$F$121+AF17*Assumptions!$F$122+AF18*Assumptions!$F$124)*(1+Assumptions!$F$10)^(YEAR(AF$3)-2026)</f>
        <v/>
      </c>
      <c r="AG28" s="43">
        <f>((AG12+AG13)*Assumptions!$F$120+(AG14+AG15)*Assumptions!$F$121+AG17*Assumptions!$F$122+AG18*Assumptions!$F$124)*(1+Assumptions!$F$10)^(YEAR(AG$3)-2026)</f>
        <v/>
      </c>
      <c r="AH28" s="43">
        <f>((AH12+AH13)*Assumptions!$F$120+(AH14+AH15)*Assumptions!$F$121+AH17*Assumptions!$F$122+AH18*Assumptions!$F$124)*(1+Assumptions!$F$10)^(YEAR(AH$3)-2026)</f>
        <v/>
      </c>
      <c r="AI28" s="43">
        <f>((AI12+AI13)*Assumptions!$F$120+(AI14+AI15)*Assumptions!$F$121+AI17*Assumptions!$F$122+AI18*Assumptions!$F$124)*(1+Assumptions!$F$10)^(YEAR(AI$3)-2026)</f>
        <v/>
      </c>
      <c r="AJ28" s="43">
        <f>((AJ12+AJ13)*Assumptions!$F$120+(AJ14+AJ15)*Assumptions!$F$121+AJ17*Assumptions!$F$122+AJ18*Assumptions!$F$124)*(1+Assumptions!$F$10)^(YEAR(AJ$3)-2026)</f>
        <v/>
      </c>
      <c r="AK28" s="43">
        <f>((AK12+AK13)*Assumptions!$F$120+(AK14+AK15)*Assumptions!$F$121+AK17*Assumptions!$F$122+AK18*Assumptions!$F$124)*(1+Assumptions!$F$10)^(YEAR(AK$3)-2026)</f>
        <v/>
      </c>
      <c r="AL28" s="43">
        <f>((AL12+AL13)*Assumptions!$F$120+(AL14+AL15)*Assumptions!$F$121+AL17*Assumptions!$F$122+AL18*Assumptions!$F$124)*(1+Assumptions!$F$10)^(YEAR(AL$3)-2026)</f>
        <v/>
      </c>
      <c r="AM28" s="43">
        <f>((AM12+AM13)*Assumptions!$F$120+(AM14+AM15)*Assumptions!$F$121+AM17*Assumptions!$F$122+AM18*Assumptions!$F$124)*(1+Assumptions!$F$10)^(YEAR(AM$3)-2026)</f>
        <v/>
      </c>
      <c r="AN28" s="43">
        <f>((AN12+AN13)*Assumptions!$F$120+(AN14+AN15)*Assumptions!$F$121+AN17*Assumptions!$F$122+AN18*Assumptions!$F$124)*(1+Assumptions!$F$10)^(YEAR(AN$3)-2026)</f>
        <v/>
      </c>
      <c r="AO28" s="43">
        <f>((AO12+AO13)*Assumptions!$F$120+(AO14+AO15)*Assumptions!$F$121+AO17*Assumptions!$F$122+AO18*Assumptions!$F$124)*(1+Assumptions!$F$10)^(YEAR(AO$3)-2026)</f>
        <v/>
      </c>
      <c r="AP28" s="43">
        <f>((AP12+AP13)*Assumptions!$F$120+(AP14+AP15)*Assumptions!$F$121+AP17*Assumptions!$F$122+AP18*Assumptions!$F$124)*(1+Assumptions!$F$10)^(YEAR(AP$3)-2026)</f>
        <v/>
      </c>
      <c r="AQ28" s="43">
        <f>((AQ12+AQ13)*Assumptions!$F$120+(AQ14+AQ15)*Assumptions!$F$121+AQ17*Assumptions!$F$122+AQ18*Assumptions!$F$124)*(1+Assumptions!$F$10)^(YEAR(AQ$3)-2026)</f>
        <v/>
      </c>
      <c r="AR28" s="43">
        <f>((AR12+AR13)*Assumptions!$F$120+(AR14+AR15)*Assumptions!$F$121+AR17*Assumptions!$F$122+AR18*Assumptions!$F$124)*(1+Assumptions!$F$10)^(YEAR(AR$3)-2026)</f>
        <v/>
      </c>
      <c r="AS28" s="43">
        <f>((AS12+AS13)*Assumptions!$F$120+(AS14+AS15)*Assumptions!$F$121+AS17*Assumptions!$F$122+AS18*Assumptions!$F$124)*(1+Assumptions!$F$10)^(YEAR(AS$3)-2026)</f>
        <v/>
      </c>
      <c r="AT28" s="43">
        <f>((AT12+AT13)*Assumptions!$F$120+(AT14+AT15)*Assumptions!$F$121+AT17*Assumptions!$F$122+AT18*Assumptions!$F$124)*(1+Assumptions!$F$10)^(YEAR(AT$3)-2026)</f>
        <v/>
      </c>
      <c r="AU28" s="43">
        <f>((AU12+AU13)*Assumptions!$F$120+(AU14+AU15)*Assumptions!$F$121+AU17*Assumptions!$F$122+AU18*Assumptions!$F$124)*(1+Assumptions!$F$10)^(YEAR(AU$3)-2026)</f>
        <v/>
      </c>
      <c r="AV28" s="43">
        <f>((AV12+AV13)*Assumptions!$F$120+(AV14+AV15)*Assumptions!$F$121+AV17*Assumptions!$F$122+AV18*Assumptions!$F$124)*(1+Assumptions!$F$10)^(YEAR(AV$3)-2026)</f>
        <v/>
      </c>
      <c r="AW28" s="43">
        <f>((AW12+AW13)*Assumptions!$F$120+(AW14+AW15)*Assumptions!$F$121+AW17*Assumptions!$F$122+AW18*Assumptions!$F$124)*(1+Assumptions!$F$10)^(YEAR(AW$3)-2026)</f>
        <v/>
      </c>
      <c r="AX28" s="43">
        <f>((AX12+AX13)*Assumptions!$F$120+(AX14+AX15)*Assumptions!$F$121+AX17*Assumptions!$F$122+AX18*Assumptions!$F$124)*(1+Assumptions!$F$10)^(YEAR(AX$3)-2026)</f>
        <v/>
      </c>
      <c r="AY28" s="43">
        <f>((AY12+AY13)*Assumptions!$F$120+(AY14+AY15)*Assumptions!$F$121+AY17*Assumptions!$F$122+AY18*Assumptions!$F$124)*(1+Assumptions!$F$10)^(YEAR(AY$3)-2026)</f>
        <v/>
      </c>
      <c r="AZ28" s="43">
        <f>((AZ12+AZ13)*Assumptions!$F$120+(AZ14+AZ15)*Assumptions!$F$121+AZ17*Assumptions!$F$122+AZ18*Assumptions!$F$124)*(1+Assumptions!$F$10)^(YEAR(AZ$3)-2026)</f>
        <v/>
      </c>
      <c r="BA28" s="43">
        <f>((BA12+BA13)*Assumptions!$F$120+(BA14+BA15)*Assumptions!$F$121+BA17*Assumptions!$F$122+BA18*Assumptions!$F$124)*(1+Assumptions!$F$10)^(YEAR(BA$3)-2026)</f>
        <v/>
      </c>
      <c r="BB28" s="43">
        <f>((BB12+BB13)*Assumptions!$F$120+(BB14+BB15)*Assumptions!$F$121+BB17*Assumptions!$F$122+BB18*Assumptions!$F$124)*(1+Assumptions!$F$10)^(YEAR(BB$3)-2026)</f>
        <v/>
      </c>
      <c r="BC28" s="43">
        <f>((BC12+BC13)*Assumptions!$F$120+(BC14+BC15)*Assumptions!$F$121+BC17*Assumptions!$F$122+BC18*Assumptions!$F$124)*(1+Assumptions!$F$10)^(YEAR(BC$3)-2026)</f>
        <v/>
      </c>
      <c r="BD28" s="43">
        <f>((BD12+BD13)*Assumptions!$F$120+(BD14+BD15)*Assumptions!$F$121+BD17*Assumptions!$F$122+BD18*Assumptions!$F$124)*(1+Assumptions!$F$10)^(YEAR(BD$3)-2026)</f>
        <v/>
      </c>
      <c r="BE28" s="43">
        <f>((BE12+BE13)*Assumptions!$F$120+(BE14+BE15)*Assumptions!$F$121+BE17*Assumptions!$F$122+BE18*Assumptions!$F$124)*(1+Assumptions!$F$10)^(YEAR(BE$3)-2026)</f>
        <v/>
      </c>
      <c r="BF28" s="43">
        <f>((BF12+BF13)*Assumptions!$F$120+(BF14+BF15)*Assumptions!$F$121+BF17*Assumptions!$F$122+BF18*Assumptions!$F$124)*(1+Assumptions!$F$10)^(YEAR(BF$3)-2026)</f>
        <v/>
      </c>
      <c r="BG28" s="43">
        <f>((BG12+BG13)*Assumptions!$F$120+(BG14+BG15)*Assumptions!$F$121+BG17*Assumptions!$F$122+BG18*Assumptions!$F$124)*(1+Assumptions!$F$10)^(YEAR(BG$3)-2026)</f>
        <v/>
      </c>
      <c r="BH28" s="43">
        <f>((BH12+BH13)*Assumptions!$F$120+(BH14+BH15)*Assumptions!$F$121+BH17*Assumptions!$F$122+BH18*Assumptions!$F$124)*(1+Assumptions!$F$10)^(YEAR(BH$3)-2026)</f>
        <v/>
      </c>
      <c r="BI28" s="43">
        <f>((BI12+BI13)*Assumptions!$F$120+(BI14+BI15)*Assumptions!$F$121+BI17*Assumptions!$F$122+BI18*Assumptions!$F$124)*(1+Assumptions!$F$10)^(YEAR(BI$3)-2026)</f>
        <v/>
      </c>
      <c r="BJ28" s="43">
        <f>((BJ12+BJ13)*Assumptions!$F$120+(BJ14+BJ15)*Assumptions!$F$121+BJ17*Assumptions!$F$122+BJ18*Assumptions!$F$124)*(1+Assumptions!$F$10)^(YEAR(BJ$3)-2026)</f>
        <v/>
      </c>
      <c r="BK28" s="43">
        <f>((BK12+BK13)*Assumptions!$F$120+(BK14+BK15)*Assumptions!$F$121+BK17*Assumptions!$F$122+BK18*Assumptions!$F$124)*(1+Assumptions!$F$10)^(YEAR(BK$3)-2026)</f>
        <v/>
      </c>
      <c r="BL28" s="43">
        <f>((BL12+BL13)*Assumptions!$F$120+(BL14+BL15)*Assumptions!$F$121+BL17*Assumptions!$F$122+BL18*Assumptions!$F$124)*(1+Assumptions!$F$10)^(YEAR(BL$3)-2026)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2026-09-04T14:41:13Z</dcterms:created>
  <dcterms:modified xsi:type="dcterms:W3CDTF">2026-09-04T14:41:13Z</dcterms:modified>
</cp:coreProperties>
</file>