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They live on Assumptions, plus the back-office headcount row on Personnel.</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The only other typed numbers are the back-office headcount on Personnel and the committed 2026 plan on OPEX.</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3"/>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1</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0.05</v>
      </c>
      <c r="E10" s="25" t="n">
        <v>0.05</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0</v>
      </c>
      <c r="F21" s="30">
        <f>IF(Assumptions!$E$5=2,E21,D21)</f>
        <v/>
      </c>
      <c r="J21" s="20" t="inlineStr">
        <is>
          <t>the assembly partner holds the stock; nothing sits on our balance sheet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0.25</v>
      </c>
      <c r="E28" s="25" t="n">
        <v>0.25</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70000</v>
      </c>
      <c r="G48" s="23" t="n">
        <v>120000</v>
      </c>
      <c r="H48" s="23" t="n">
        <v>170000</v>
      </c>
    </row>
    <row r="49">
      <c r="B49" s="14" t="inlineStr">
        <is>
          <t xml:space="preserve">    Aggressive</t>
        </is>
      </c>
      <c r="D49" s="23" t="n">
        <v>0</v>
      </c>
      <c r="E49" s="23" t="n">
        <v>90000</v>
      </c>
      <c r="F49" s="23" t="n">
        <v>190000</v>
      </c>
      <c r="G49" s="23" t="n">
        <v>265000</v>
      </c>
      <c r="H49" s="23" t="n">
        <v>300000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Lead to qualified</t>
        </is>
      </c>
      <c r="C53" s="18" t="inlineStr">
        <is>
          <t>%</t>
        </is>
      </c>
      <c r="D53" s="25" t="n">
        <v>0.5</v>
      </c>
      <c r="E53" s="25" t="n">
        <v>0.5</v>
      </c>
      <c r="F53" s="26">
        <f>IF(Assumptions!$E$5=2,E53,D53)</f>
        <v/>
      </c>
    </row>
    <row r="54">
      <c r="B54" s="9" t="inlineStr">
        <is>
          <t>Qualified to won</t>
        </is>
      </c>
      <c r="C54" s="18" t="inlineStr">
        <is>
          <t>%</t>
        </is>
      </c>
      <c r="D54" s="25" t="n">
        <v>0.4</v>
      </c>
      <c r="E54" s="25" t="n">
        <v>0.4</v>
      </c>
      <c r="F54" s="26">
        <f>IF(Assumptions!$E$5=2,E54,D54)</f>
        <v/>
      </c>
      <c r="J54" s="20" t="inlineStr">
        <is>
          <t>50% then 40% is a 20% lead to sale rate, in line with high-intent HVAC leads</t>
        </is>
      </c>
    </row>
    <row r="55">
      <c r="B55" s="7" t="inlineStr">
        <is>
          <t>SELLING CAPACITY  (own reps early, installer channel at scale)</t>
        </is>
      </c>
      <c r="C55" s="1" t="n"/>
      <c r="D55" s="1" t="n"/>
      <c r="E55" s="1" t="n"/>
      <c r="F55" s="1" t="n"/>
      <c r="G55" s="1" t="n"/>
      <c r="H55" s="1" t="n"/>
      <c r="I55" s="1" t="n"/>
      <c r="J55" s="1" t="n"/>
    </row>
    <row r="56">
      <c r="B56" s="31" t="inlineStr">
        <is>
          <t>Share of units sold direct</t>
        </is>
      </c>
      <c r="C56" s="32" t="inlineStr">
        <is>
          <t>%</t>
        </is>
      </c>
      <c r="D56" s="33" t="n">
        <v>2026</v>
      </c>
      <c r="E56" s="33" t="n">
        <v>2027</v>
      </c>
      <c r="F56" s="33" t="n">
        <v>2028</v>
      </c>
      <c r="G56" s="33" t="n">
        <v>2029</v>
      </c>
      <c r="H56" s="33" t="n">
        <v>2030</v>
      </c>
      <c r="I56" s="21" t="n"/>
      <c r="J56" s="34" t="inlineStr">
        <is>
          <t>direct to consumer first, installers brought in from 2027, half the volume by 2028 and installer-led from 2029</t>
        </is>
      </c>
    </row>
    <row r="57">
      <c r="B57" s="14" t="inlineStr">
        <is>
          <t xml:space="preserve">    Base</t>
        </is>
      </c>
      <c r="D57" s="25" t="n">
        <v>1</v>
      </c>
      <c r="E57" s="25" t="n">
        <v>0.8</v>
      </c>
      <c r="F57" s="25" t="n">
        <v>0.5</v>
      </c>
      <c r="G57" s="25" t="n">
        <v>0.35</v>
      </c>
      <c r="H57" s="25" t="n">
        <v>0.3</v>
      </c>
    </row>
    <row r="58">
      <c r="B58" s="14" t="inlineStr">
        <is>
          <t xml:space="preserve">    Aggressive</t>
        </is>
      </c>
      <c r="D58" s="25" t="n">
        <v>1</v>
      </c>
      <c r="E58" s="25" t="n">
        <v>0.8</v>
      </c>
      <c r="F58" s="25" t="n">
        <v>0.5</v>
      </c>
      <c r="G58" s="25" t="n">
        <v>0.35</v>
      </c>
      <c r="H58" s="25" t="n">
        <v>0.3</v>
      </c>
    </row>
    <row r="59">
      <c r="B59" s="10" t="inlineStr">
        <is>
          <t xml:space="preserve">    Live (per case)</t>
        </is>
      </c>
      <c r="D59" s="26">
        <f>IF(Assumptions!$E$5=2,D58,D57)</f>
        <v/>
      </c>
      <c r="E59" s="26">
        <f>IF(Assumptions!$E$5=2,E58,E57)</f>
        <v/>
      </c>
      <c r="F59" s="26">
        <f>IF(Assumptions!$E$5=2,F58,F57)</f>
        <v/>
      </c>
      <c r="G59" s="26">
        <f>IF(Assumptions!$E$5=2,G58,G57)</f>
        <v/>
      </c>
      <c r="H59" s="26">
        <f>IF(Assumptions!$E$5=2,H58,H57)</f>
        <v/>
      </c>
    </row>
    <row r="60">
      <c r="B60" s="31" t="inlineStr">
        <is>
          <t>Reps hired per month</t>
        </is>
      </c>
      <c r="C60" s="32" t="inlineStr">
        <is>
          <t>FTE/month</t>
        </is>
      </c>
      <c r="D60" s="33" t="n">
        <v>2026</v>
      </c>
      <c r="E60" s="33" t="n">
        <v>2027</v>
      </c>
      <c r="F60" s="33" t="n">
        <v>2028</v>
      </c>
      <c r="G60" s="33" t="n">
        <v>2029</v>
      </c>
      <c r="H60" s="33" t="n">
        <v>2030</v>
      </c>
      <c r="I60" s="21" t="n"/>
      <c r="J60" s="34" t="inlineStr">
        <is>
          <t>sales hiring starts in the first month we can sell, so 2026 is nil</t>
        </is>
      </c>
    </row>
    <row r="61">
      <c r="B61" s="14" t="inlineStr">
        <is>
          <t xml:space="preserve">    Base</t>
        </is>
      </c>
      <c r="D61" s="35" t="n">
        <v>0</v>
      </c>
      <c r="E61" s="35" t="n">
        <v>0.25</v>
      </c>
      <c r="F61" s="35" t="n">
        <v>0.25</v>
      </c>
      <c r="G61" s="35" t="n">
        <v>0.25</v>
      </c>
      <c r="H61" s="35" t="n">
        <v>0.25</v>
      </c>
    </row>
    <row r="62">
      <c r="B62" s="14" t="inlineStr">
        <is>
          <t xml:space="preserve">    Aggressive</t>
        </is>
      </c>
      <c r="D62" s="35" t="n">
        <v>0</v>
      </c>
      <c r="E62" s="35" t="n">
        <v>1</v>
      </c>
      <c r="F62" s="35" t="n">
        <v>0.75</v>
      </c>
      <c r="G62" s="35" t="n">
        <v>0.25</v>
      </c>
      <c r="H62" s="35" t="n">
        <v>0.25</v>
      </c>
    </row>
    <row r="63">
      <c r="B63" s="10" t="inlineStr">
        <is>
          <t xml:space="preserve">    Live (per case)</t>
        </is>
      </c>
      <c r="D63" s="36">
        <f>IF(Assumptions!$E$5=2,D62,D61)</f>
        <v/>
      </c>
      <c r="E63" s="36">
        <f>IF(Assumptions!$E$5=2,E62,E61)</f>
        <v/>
      </c>
      <c r="F63" s="36">
        <f>IF(Assumptions!$E$5=2,F62,F61)</f>
        <v/>
      </c>
      <c r="G63" s="36">
        <f>IF(Assumptions!$E$5=2,G62,G61)</f>
        <v/>
      </c>
      <c r="H63" s="36">
        <f>IF(Assumptions!$E$5=2,H62,H61)</f>
        <v/>
      </c>
    </row>
    <row r="64">
      <c r="B64" s="31" t="inlineStr">
        <is>
          <t>Installer partners signed per month</t>
        </is>
      </c>
      <c r="C64" s="32" t="inlineStr">
        <is>
          <t>partners/month</t>
        </is>
      </c>
      <c r="D64" s="33" t="n">
        <v>2026</v>
      </c>
      <c r="E64" s="33" t="n">
        <v>2027</v>
      </c>
      <c r="F64" s="33" t="n">
        <v>2028</v>
      </c>
      <c r="G64" s="33" t="n">
        <v>2029</v>
      </c>
      <c r="H64" s="33" t="n">
        <v>2030</v>
      </c>
      <c r="I64" s="21" t="n"/>
      <c r="J64" s="34" t="inlineStr">
        <is>
          <t>same gate: no partner intros before the first month we can sell; the network takes time to build</t>
        </is>
      </c>
    </row>
    <row r="65">
      <c r="B65" s="14" t="inlineStr">
        <is>
          <t xml:space="preserve">    Base</t>
        </is>
      </c>
      <c r="D65" s="37" t="n">
        <v>0</v>
      </c>
      <c r="E65" s="37" t="n">
        <v>0.5</v>
      </c>
      <c r="F65" s="37" t="n">
        <v>1.5</v>
      </c>
      <c r="G65" s="37" t="n">
        <v>3</v>
      </c>
      <c r="H65" s="37" t="n">
        <v>3.8</v>
      </c>
    </row>
    <row r="66">
      <c r="B66" s="14" t="inlineStr">
        <is>
          <t xml:space="preserve">    Aggressive</t>
        </is>
      </c>
      <c r="D66" s="37" t="n">
        <v>0</v>
      </c>
      <c r="E66" s="37" t="n">
        <v>2</v>
      </c>
      <c r="F66" s="37" t="n">
        <v>4</v>
      </c>
      <c r="G66" s="37" t="n">
        <v>6</v>
      </c>
      <c r="H66" s="37" t="n">
        <v>7</v>
      </c>
    </row>
    <row r="67">
      <c r="B67" s="10" t="inlineStr">
        <is>
          <t xml:space="preserve">    Live (per case)</t>
        </is>
      </c>
      <c r="D67" s="38">
        <f>IF(Assumptions!$E$5=2,D66,D65)</f>
        <v/>
      </c>
      <c r="E67" s="38">
        <f>IF(Assumptions!$E$5=2,E66,E65)</f>
        <v/>
      </c>
      <c r="F67" s="38">
        <f>IF(Assumptions!$E$5=2,F66,F65)</f>
        <v/>
      </c>
      <c r="G67" s="38">
        <f>IF(Assumptions!$E$5=2,G66,G65)</f>
        <v/>
      </c>
      <c r="H67" s="38">
        <f>IF(Assumptions!$E$5=2,H66,H65)</f>
        <v/>
      </c>
    </row>
    <row r="68">
      <c r="B68" s="31" t="inlineStr">
        <is>
          <t>Orders an installer partner brings in per month</t>
        </is>
      </c>
      <c r="C68" s="32" t="inlineStr">
        <is>
          <t>units/month</t>
        </is>
      </c>
      <c r="D68" s="33" t="n">
        <v>2026</v>
      </c>
      <c r="E68" s="33" t="n">
        <v>2027</v>
      </c>
      <c r="F68" s="33" t="n">
        <v>2028</v>
      </c>
      <c r="G68" s="33" t="n">
        <v>2029</v>
      </c>
      <c r="H68" s="33" t="n">
        <v>2030</v>
      </c>
      <c r="I68" s="21" t="n"/>
      <c r="J68" s="34" t="inlineStr">
        <is>
          <t>customers the installer finds on their own jobs, rising as the brand becomes known; these add to demand</t>
        </is>
      </c>
    </row>
    <row r="69">
      <c r="B69" s="14" t="inlineStr">
        <is>
          <t xml:space="preserve">    Base</t>
        </is>
      </c>
      <c r="D69" s="29" t="n">
        <v>0</v>
      </c>
      <c r="E69" s="29" t="n">
        <v>1</v>
      </c>
      <c r="F69" s="29" t="n">
        <v>2</v>
      </c>
      <c r="G69" s="29" t="n">
        <v>3</v>
      </c>
      <c r="H69" s="29" t="n">
        <v>4</v>
      </c>
    </row>
    <row r="70">
      <c r="B70" s="14" t="inlineStr">
        <is>
          <t xml:space="preserve">    Aggressive</t>
        </is>
      </c>
      <c r="D70" s="29" t="n">
        <v>0</v>
      </c>
      <c r="E70" s="29" t="n">
        <v>1</v>
      </c>
      <c r="F70" s="29" t="n">
        <v>2</v>
      </c>
      <c r="G70" s="29" t="n">
        <v>3</v>
      </c>
      <c r="H70" s="29" t="n">
        <v>4</v>
      </c>
    </row>
    <row r="71">
      <c r="B71" s="10" t="inlineStr">
        <is>
          <t xml:space="preserve">    Live (per case)</t>
        </is>
      </c>
      <c r="D71" s="30">
        <f>IF(Assumptions!$E$5=2,D70,D69)</f>
        <v/>
      </c>
      <c r="E71" s="30">
        <f>IF(Assumptions!$E$5=2,E70,E69)</f>
        <v/>
      </c>
      <c r="F71" s="30">
        <f>IF(Assumptions!$E$5=2,F70,F69)</f>
        <v/>
      </c>
      <c r="G71" s="30">
        <f>IF(Assumptions!$E$5=2,G70,G69)</f>
        <v/>
      </c>
      <c r="H71" s="30">
        <f>IF(Assumptions!$E$5=2,H70,H69)</f>
        <v/>
      </c>
    </row>
    <row r="72">
      <c r="B72" s="21" t="n"/>
      <c r="C72" s="21" t="n"/>
      <c r="D72" s="22" t="inlineStr">
        <is>
          <t>Base</t>
        </is>
      </c>
      <c r="E72" s="22" t="inlineStr">
        <is>
          <t>Aggressive</t>
        </is>
      </c>
      <c r="F72" s="22" t="inlineStr">
        <is>
          <t>Live</t>
        </is>
      </c>
      <c r="G72" s="21" t="n"/>
      <c r="H72" s="21" t="n"/>
      <c r="I72" s="21" t="n"/>
      <c r="J72" s="21" t="n"/>
    </row>
    <row r="73">
      <c r="B73" s="9" t="inlineStr">
        <is>
          <t>Reps in post at Jan-2026</t>
        </is>
      </c>
      <c r="C73" s="18" t="inlineStr">
        <is>
          <t>FTE</t>
        </is>
      </c>
      <c r="D73" s="37" t="n">
        <v>1</v>
      </c>
      <c r="E73" s="37" t="n">
        <v>1</v>
      </c>
      <c r="F73" s="38">
        <f>IF(Assumptions!$E$5=2,E73,D73)</f>
        <v/>
      </c>
    </row>
    <row r="74">
      <c r="B74" s="9" t="inlineStr">
        <is>
          <t>Quota per rep</t>
        </is>
      </c>
      <c r="C74" s="18" t="inlineStr">
        <is>
          <t>units/month</t>
        </is>
      </c>
      <c r="D74" s="29" t="n">
        <v>20</v>
      </c>
      <c r="E74" s="29" t="n">
        <v>20</v>
      </c>
      <c r="F74" s="30">
        <f>IF(Assumptions!$E$5=2,E74,D74)</f>
        <v/>
      </c>
      <c r="J74" s="20" t="inlineStr">
        <is>
          <t>a rep sells full quota from the month they are hired, no ramp and no attainment haircut</t>
        </is>
      </c>
    </row>
    <row r="75">
      <c r="B75" s="9" t="inlineStr">
        <is>
          <t>Installer partners at Jan-2026</t>
        </is>
      </c>
      <c r="C75" s="18" t="inlineStr">
        <is>
          <t>partners</t>
        </is>
      </c>
      <c r="D75" s="37" t="n">
        <v>1</v>
      </c>
      <c r="E75" s="37" t="n">
        <v>1</v>
      </c>
      <c r="F75" s="38">
        <f>IF(Assumptions!$E$5=2,E75,D75)</f>
        <v/>
      </c>
    </row>
    <row r="76">
      <c r="B76" s="9" t="inlineStr">
        <is>
          <t>Units per partner per month</t>
        </is>
      </c>
      <c r="C76" s="18" t="inlineStr">
        <is>
          <t>units/month</t>
        </is>
      </c>
      <c r="D76" s="29" t="n">
        <v>8</v>
      </c>
      <c r="E76" s="29" t="n">
        <v>8</v>
      </c>
      <c r="F76" s="30">
        <f>IF(Assumptions!$E$5=2,E76,D76)</f>
        <v/>
      </c>
      <c r="J76" s="20" t="inlineStr">
        <is>
          <t>a partner sells full volume from the month they are signed</t>
        </is>
      </c>
    </row>
    <row r="77">
      <c r="B77" s="9" t="inlineStr">
        <is>
          <t>Installer partner commission, share of boiler price</t>
        </is>
      </c>
      <c r="C77" s="18" t="inlineStr">
        <is>
          <t>%</t>
        </is>
      </c>
      <c r="D77" s="25" t="n">
        <v>0.1</v>
      </c>
      <c r="E77" s="25" t="n">
        <v>0.1</v>
      </c>
      <c r="F77" s="26">
        <f>IF(Assumptions!$E$5=2,E77,D77)</f>
        <v/>
      </c>
      <c r="J77" s="20" t="inlineStr">
        <is>
          <t>paid on every unit sold through the channel, on the boiler price only, not on installation or upsell</t>
        </is>
      </c>
    </row>
    <row r="78">
      <c r="B78" s="9" t="inlineStr">
        <is>
          <t>Partners per partner manager</t>
        </is>
      </c>
      <c r="C78" s="18" t="inlineStr">
        <is>
          <t>partners</t>
        </is>
      </c>
      <c r="D78" s="29" t="n">
        <v>18</v>
      </c>
      <c r="E78" s="29" t="n">
        <v>18</v>
      </c>
      <c r="F78" s="30">
        <f>IF(Assumptions!$E$5=2,E78,D78)</f>
        <v/>
      </c>
    </row>
    <row r="79">
      <c r="B79" s="7" t="inlineStr">
        <is>
          <t>BUILD CAPACITY AND CAPEX  (assembly partner first, in-house takes over)</t>
        </is>
      </c>
      <c r="C79" s="1" t="n"/>
      <c r="D79" s="1" t="n"/>
      <c r="E79" s="1" t="n"/>
      <c r="F79" s="1" t="n"/>
      <c r="G79" s="1" t="n"/>
      <c r="H79" s="1" t="n"/>
      <c r="I79" s="1" t="n"/>
      <c r="J79" s="1" t="n"/>
    </row>
    <row r="80">
      <c r="B80" s="21" t="n"/>
      <c r="C80" s="21" t="n"/>
      <c r="D80" s="22" t="inlineStr">
        <is>
          <t>Base</t>
        </is>
      </c>
      <c r="E80" s="22" t="inlineStr">
        <is>
          <t>Aggressive</t>
        </is>
      </c>
      <c r="F80" s="22" t="inlineStr">
        <is>
          <t>Live</t>
        </is>
      </c>
      <c r="G80" s="21" t="n"/>
      <c r="H80" s="21" t="n"/>
      <c r="I80" s="21" t="n"/>
      <c r="J80" s="21" t="n"/>
    </row>
    <row r="81">
      <c r="B81" s="9" t="inlineStr">
        <is>
          <t>Assembly partner capacity</t>
        </is>
      </c>
      <c r="C81" s="18" t="inlineStr">
        <is>
          <t>units/month</t>
        </is>
      </c>
      <c r="D81" s="29" t="n">
        <v>650</v>
      </c>
      <c r="E81" s="29" t="n">
        <v>1000</v>
      </c>
      <c r="F81" s="30">
        <f>IF(Assumptions!$E$5=2,E81,D81)</f>
        <v/>
      </c>
      <c r="J81" s="20" t="inlineStr">
        <is>
          <t>what the partner has contracted to build for us</t>
        </is>
      </c>
    </row>
    <row r="82">
      <c r="B82" s="9" t="inlineStr">
        <is>
          <t>In-house line 1 producing from</t>
        </is>
      </c>
      <c r="C82" s="18" t="inlineStr">
        <is>
          <t>date</t>
        </is>
      </c>
      <c r="D82" s="27" t="n">
        <v>49310</v>
      </c>
      <c r="E82" s="27" t="n">
        <v>46935</v>
      </c>
      <c r="F82" s="28">
        <f>IF(Assumptions!$E$5=2,E82,D82)</f>
        <v/>
      </c>
      <c r="J82" s="20" t="inlineStr">
        <is>
          <t>set well past the horizon to mean never, so the capex lead time cannot pull spend in</t>
        </is>
      </c>
    </row>
    <row r="83">
      <c r="B83" s="9" t="inlineStr">
        <is>
          <t>In-house line 2 producing from</t>
        </is>
      </c>
      <c r="C83" s="18" t="inlineStr">
        <is>
          <t>date</t>
        </is>
      </c>
      <c r="D83" s="27" t="n">
        <v>49310</v>
      </c>
      <c r="E83" s="27" t="n">
        <v>47300</v>
      </c>
      <c r="F83" s="28">
        <f>IF(Assumptions!$E$5=2,E83,D83)</f>
        <v/>
      </c>
    </row>
    <row r="84">
      <c r="B84" s="9" t="inlineStr">
        <is>
          <t>Capacity per in-house line</t>
        </is>
      </c>
      <c r="C84" s="18" t="inlineStr">
        <is>
          <t>units/month</t>
        </is>
      </c>
      <c r="D84" s="29" t="n">
        <v>1000</v>
      </c>
      <c r="E84" s="29" t="n">
        <v>1000</v>
      </c>
      <c r="F84" s="30">
        <f>IF(Assumptions!$E$5=2,E84,D84)</f>
        <v/>
      </c>
    </row>
    <row r="85">
      <c r="B85" s="9" t="inlineStr">
        <is>
          <t>Capex per in-house line</t>
        </is>
      </c>
      <c r="C85" s="18" t="inlineStr">
        <is>
          <t>EUR</t>
        </is>
      </c>
      <c r="D85" s="23" t="n">
        <v>2500000</v>
      </c>
      <c r="E85" s="23" t="n">
        <v>2500000</v>
      </c>
      <c r="F85" s="24">
        <f>IF(Assumptions!$E$5=2,E85,D85)</f>
        <v/>
      </c>
    </row>
    <row r="86">
      <c r="B86" s="9" t="inlineStr">
        <is>
          <t>Tooling and automation, one-off with line 1</t>
        </is>
      </c>
      <c r="C86" s="18" t="inlineStr">
        <is>
          <t>EUR</t>
        </is>
      </c>
      <c r="D86" s="23" t="n">
        <v>1000000</v>
      </c>
      <c r="E86" s="23" t="n">
        <v>1000000</v>
      </c>
      <c r="F86" s="24">
        <f>IF(Assumptions!$E$5=2,E86,D86)</f>
        <v/>
      </c>
    </row>
    <row r="87">
      <c r="B87" s="9" t="inlineStr">
        <is>
          <t>Months from paying for a line to it producing</t>
        </is>
      </c>
      <c r="C87" s="18" t="inlineStr">
        <is>
          <t>months</t>
        </is>
      </c>
      <c r="D87" s="29" t="n">
        <v>12</v>
      </c>
      <c r="E87" s="29" t="n">
        <v>12</v>
      </c>
      <c r="F87" s="30">
        <f>IF(Assumptions!$E$5=2,E87,D87)</f>
        <v/>
      </c>
      <c r="J87" s="20" t="inlineStr">
        <is>
          <t>this lag is why the raise has to land before the volume does</t>
        </is>
      </c>
    </row>
    <row r="88">
      <c r="B88" s="9" t="inlineStr">
        <is>
          <t>Production operators per live line</t>
        </is>
      </c>
      <c r="C88" s="18" t="inlineStr">
        <is>
          <t>FTE</t>
        </is>
      </c>
      <c r="D88" s="29" t="n">
        <v>35</v>
      </c>
      <c r="E88" s="29" t="n">
        <v>35</v>
      </c>
      <c r="F88" s="30">
        <f>IF(Assumptions!$E$5=2,E88,D88)</f>
        <v/>
      </c>
      <c r="J88" s="20" t="inlineStr">
        <is>
          <t>assembly, balancing, leak test, run-in and electrical test</t>
        </is>
      </c>
    </row>
    <row r="89">
      <c r="B89" s="9" t="inlineStr">
        <is>
          <t>Facility and maintenance per live line</t>
        </is>
      </c>
      <c r="C89" s="18" t="inlineStr">
        <is>
          <t>EUR/month</t>
        </is>
      </c>
      <c r="D89" s="23" t="n">
        <v>90000</v>
      </c>
      <c r="E89" s="23" t="n">
        <v>90000</v>
      </c>
      <c r="F89" s="24">
        <f>IF(Assumptions!$E$5=2,E89,D89)</f>
        <v/>
      </c>
      <c r="J89" s="20" t="inlineStr">
        <is>
          <t>the building and the machines, not the people</t>
        </is>
      </c>
    </row>
    <row r="90">
      <c r="B90" s="9" t="inlineStr">
        <is>
          <t>Depreciation life, straight line</t>
        </is>
      </c>
      <c r="C90" s="18" t="inlineStr">
        <is>
          <t>years</t>
        </is>
      </c>
      <c r="D90" s="29" t="n">
        <v>8</v>
      </c>
      <c r="E90" s="29" t="n">
        <v>8</v>
      </c>
      <c r="F90" s="30">
        <f>IF(Assumptions!$E$5=2,E90,D90)</f>
        <v/>
      </c>
    </row>
    <row r="91">
      <c r="B91" s="7" t="inlineStr">
        <is>
          <t>BILL OF MATERIALS  (unit cost falls as volume crosses each tier)</t>
        </is>
      </c>
      <c r="C91" s="1" t="n"/>
      <c r="D91" s="1" t="n"/>
      <c r="E91" s="1" t="n"/>
      <c r="F91" s="1" t="n"/>
      <c r="G91" s="1" t="n"/>
      <c r="H91" s="1" t="n"/>
      <c r="I91" s="1" t="n"/>
      <c r="J91" s="1" t="n"/>
    </row>
    <row r="92">
      <c r="B92" s="21" t="n"/>
      <c r="C92" s="21" t="n"/>
      <c r="D92" s="22" t="inlineStr">
        <is>
          <t>From units/yr</t>
        </is>
      </c>
      <c r="E92" s="22" t="inlineStr">
        <is>
          <t>TTK cost</t>
        </is>
      </c>
      <c r="F92" s="22" t="inlineStr">
        <is>
          <t>Outdoor unit</t>
        </is>
      </c>
      <c r="G92" s="21" t="n"/>
      <c r="H92" s="21" t="n"/>
      <c r="I92" s="21" t="n"/>
      <c r="J92" s="21" t="n"/>
    </row>
    <row r="93">
      <c r="B93" s="9" t="inlineStr">
        <is>
          <t xml:space="preserve">    Tier 1</t>
        </is>
      </c>
      <c r="D93" s="29" t="n">
        <v>0</v>
      </c>
      <c r="E93" s="23" t="n">
        <v>9984</v>
      </c>
      <c r="F93" s="23" t="n">
        <v>1402.6</v>
      </c>
    </row>
    <row r="94">
      <c r="B94" s="9" t="inlineStr">
        <is>
          <t xml:space="preserve">    Tier 2</t>
        </is>
      </c>
      <c r="D94" s="29" t="n">
        <v>5000</v>
      </c>
      <c r="E94" s="23" t="n">
        <v>7069</v>
      </c>
      <c r="F94" s="23" t="n">
        <v>1262.34</v>
      </c>
    </row>
    <row r="95">
      <c r="B95" s="9" t="inlineStr">
        <is>
          <t xml:space="preserve">    Tier 3</t>
        </is>
      </c>
      <c r="D95" s="29" t="n">
        <v>10000</v>
      </c>
      <c r="E95" s="23" t="n">
        <v>4998</v>
      </c>
      <c r="F95" s="23" t="n">
        <v>1136.1</v>
      </c>
    </row>
    <row r="96">
      <c r="B96" s="21" t="n"/>
      <c r="C96" s="21" t="n"/>
      <c r="D96" s="22" t="inlineStr">
        <is>
          <t>Base</t>
        </is>
      </c>
      <c r="E96" s="22" t="inlineStr">
        <is>
          <t>Aggressive</t>
        </is>
      </c>
      <c r="F96" s="22" t="inlineStr">
        <is>
          <t>Live</t>
        </is>
      </c>
      <c r="G96" s="21" t="n"/>
      <c r="H96" s="21" t="n"/>
      <c r="I96" s="21" t="n"/>
      <c r="J96" s="21" t="n"/>
    </row>
    <row r="97">
      <c r="B97" s="9" t="inlineStr">
        <is>
          <t>Inbound shipping, Combi+ outdoor unit</t>
        </is>
      </c>
      <c r="C97" s="18" t="inlineStr">
        <is>
          <t>EUR/unit</t>
        </is>
      </c>
      <c r="D97" s="23" t="n">
        <v>100</v>
      </c>
      <c r="E97" s="23" t="n">
        <v>100</v>
      </c>
      <c r="F97" s="24">
        <f>IF(Assumptions!$E$5=2,E97,D97)</f>
        <v/>
      </c>
    </row>
    <row r="98">
      <c r="B98" s="7" t="inlineStr">
        <is>
          <t>ORGANISATION  (headcount follows whatever creates the work)</t>
        </is>
      </c>
      <c r="C98" s="1" t="n"/>
      <c r="D98" s="1" t="n"/>
      <c r="E98" s="1" t="n"/>
      <c r="F98" s="1" t="n"/>
      <c r="G98" s="1" t="n"/>
      <c r="H98" s="1" t="n"/>
      <c r="I98" s="1" t="n"/>
      <c r="J98" s="1" t="n"/>
    </row>
    <row r="99">
      <c r="B99" s="31" t="inlineStr">
        <is>
          <t>R&amp;D engineers hired in the year</t>
        </is>
      </c>
      <c r="C99" s="32" t="inlineStr">
        <is>
          <t>FTE</t>
        </is>
      </c>
      <c r="D99" s="33" t="n">
        <v>2026</v>
      </c>
      <c r="E99" s="33" t="n">
        <v>2027</v>
      </c>
      <c r="F99" s="33" t="n">
        <v>2028</v>
      </c>
      <c r="G99" s="33" t="n">
        <v>2029</v>
      </c>
      <c r="H99" s="33" t="n">
        <v>2030</v>
      </c>
      <c r="I99" s="21" t="n"/>
      <c r="J99" s="34" t="inlineStr">
        <is>
          <t>a novel turbine machine plus the Twincycle needs engineers, not a fixed team</t>
        </is>
      </c>
    </row>
    <row r="100">
      <c r="B100" s="14" t="inlineStr">
        <is>
          <t xml:space="preserve">    Base</t>
        </is>
      </c>
      <c r="D100" s="29" t="n">
        <v>0</v>
      </c>
      <c r="E100" s="29" t="n">
        <v>2</v>
      </c>
      <c r="F100" s="29" t="n">
        <v>2</v>
      </c>
      <c r="G100" s="29" t="n">
        <v>3</v>
      </c>
      <c r="H100" s="29" t="n">
        <v>4</v>
      </c>
    </row>
    <row r="101">
      <c r="B101" s="14" t="inlineStr">
        <is>
          <t xml:space="preserve">    Aggressive</t>
        </is>
      </c>
      <c r="D101" s="29" t="n">
        <v>0</v>
      </c>
      <c r="E101" s="29" t="n">
        <v>5</v>
      </c>
      <c r="F101" s="29" t="n">
        <v>13</v>
      </c>
      <c r="G101" s="29" t="n">
        <v>14</v>
      </c>
      <c r="H101" s="29" t="n">
        <v>14</v>
      </c>
    </row>
    <row r="102">
      <c r="B102" s="10" t="inlineStr">
        <is>
          <t xml:space="preserve">    Live (per case)</t>
        </is>
      </c>
      <c r="D102" s="30">
        <f>IF(Assumptions!$E$5=2,D101,D100)</f>
        <v/>
      </c>
      <c r="E102" s="30">
        <f>IF(Assumptions!$E$5=2,E101,E100)</f>
        <v/>
      </c>
      <c r="F102" s="30">
        <f>IF(Assumptions!$E$5=2,F101,F100)</f>
        <v/>
      </c>
      <c r="G102" s="30">
        <f>IF(Assumptions!$E$5=2,G101,G100)</f>
        <v/>
      </c>
      <c r="H102" s="30">
        <f>IF(Assumptions!$E$5=2,H101,H100)</f>
        <v/>
      </c>
    </row>
    <row r="103">
      <c r="B103" s="21" t="n"/>
      <c r="C103" s="21" t="n"/>
      <c r="D103" s="22" t="inlineStr">
        <is>
          <t>Base</t>
        </is>
      </c>
      <c r="E103" s="22" t="inlineStr">
        <is>
          <t>Aggressive</t>
        </is>
      </c>
      <c r="F103" s="22" t="inlineStr">
        <is>
          <t>Live</t>
        </is>
      </c>
      <c r="G103" s="21" t="n"/>
      <c r="H103" s="21" t="n"/>
      <c r="I103" s="21" t="n"/>
      <c r="J103" s="21" t="n"/>
    </row>
    <row r="104">
      <c r="B104" s="9" t="inlineStr">
        <is>
          <t>R&amp;D engineers carried into 2027</t>
        </is>
      </c>
      <c r="C104" s="18" t="inlineStr">
        <is>
          <t>FTE</t>
        </is>
      </c>
      <c r="D104" s="29" t="n">
        <v>10</v>
      </c>
      <c r="E104" s="29" t="n">
        <v>10</v>
      </c>
      <c r="F104" s="30">
        <f>IF(Assumptions!$E$5=2,E104,D104)</f>
        <v/>
      </c>
      <c r="J104" s="20" t="inlineStr">
        <is>
          <t>the roster at the end of the committed 2026 plan</t>
        </is>
      </c>
    </row>
    <row r="105">
      <c r="B105" s="9" t="inlineStr">
        <is>
          <t>Marketing team floor</t>
        </is>
      </c>
      <c r="C105" s="18" t="inlineStr">
        <is>
          <t>FTE</t>
        </is>
      </c>
      <c r="D105" s="29" t="n">
        <v>2</v>
      </c>
      <c r="E105" s="29" t="n">
        <v>2</v>
      </c>
      <c r="F105" s="30">
        <f>IF(Assumptions!$E$5=2,E105,D105)</f>
        <v/>
      </c>
    </row>
    <row r="106">
      <c r="B106" s="9" t="inlineStr">
        <is>
          <t>Units per supply chain and logistics FTE</t>
        </is>
      </c>
      <c r="C106" s="18" t="inlineStr">
        <is>
          <t>units/yr</t>
        </is>
      </c>
      <c r="D106" s="29" t="n">
        <v>900</v>
      </c>
      <c r="E106" s="29" t="n">
        <v>900</v>
      </c>
      <c r="F106" s="30">
        <f>IF(Assumptions!$E$5=2,E106,D106)</f>
        <v/>
      </c>
      <c r="J106" s="20" t="inlineStr">
        <is>
          <t>buying, planning, inbound quality and warehousing</t>
        </is>
      </c>
    </row>
    <row r="107">
      <c r="B107" s="9" t="inlineStr">
        <is>
          <t>Installed units per support agent</t>
        </is>
      </c>
      <c r="C107" s="18" t="inlineStr">
        <is>
          <t>units</t>
        </is>
      </c>
      <c r="D107" s="29" t="n">
        <v>2500</v>
      </c>
      <c r="E107" s="29" t="n">
        <v>2500</v>
      </c>
      <c r="F107" s="30">
        <f>IF(Assumptions!$E$5=2,E107,D107)</f>
        <v/>
      </c>
      <c r="J107" s="20" t="inlineStr">
        <is>
          <t>a heating appliance peaks in winter and this is a first generation product</t>
        </is>
      </c>
    </row>
    <row r="108">
      <c r="B108" s="9" t="inlineStr">
        <is>
          <t>Installed units per technical escalation FTE</t>
        </is>
      </c>
      <c r="C108" s="18" t="inlineStr">
        <is>
          <t>units</t>
        </is>
      </c>
      <c r="D108" s="29" t="n">
        <v>15000</v>
      </c>
      <c r="E108" s="29" t="n">
        <v>15000</v>
      </c>
      <c r="F108" s="30">
        <f>IF(Assumptions!$E$5=2,E108,D108)</f>
        <v/>
      </c>
    </row>
    <row r="109">
      <c r="B109" s="9" t="inlineStr">
        <is>
          <t>New partners per year per installer trainer</t>
        </is>
      </c>
      <c r="C109" s="18" t="inlineStr">
        <is>
          <t>partners</t>
        </is>
      </c>
      <c r="D109" s="29" t="n">
        <v>40</v>
      </c>
      <c r="E109" s="29" t="n">
        <v>40</v>
      </c>
      <c r="F109" s="30">
        <f>IF(Assumptions!$E$5=2,E109,D109)</f>
        <v/>
      </c>
    </row>
    <row r="110">
      <c r="B110" s="9" t="inlineStr">
        <is>
          <t>Units per order desk FTE</t>
        </is>
      </c>
      <c r="C110" s="18" t="inlineStr">
        <is>
          <t>units/yr</t>
        </is>
      </c>
      <c r="D110" s="29" t="n">
        <v>3000</v>
      </c>
      <c r="E110" s="29" t="n">
        <v>3000</v>
      </c>
      <c r="F110" s="30">
        <f>IF(Assumptions!$E$5=2,E110,D110)</f>
        <v/>
      </c>
    </row>
    <row r="111">
      <c r="B111" s="9" t="inlineStr">
        <is>
          <t>Marketing spend per marketer</t>
        </is>
      </c>
      <c r="C111" s="18" t="inlineStr">
        <is>
          <t>EUR/yr</t>
        </is>
      </c>
      <c r="D111" s="23" t="n">
        <v>3000000</v>
      </c>
      <c r="E111" s="23" t="n">
        <v>3000000</v>
      </c>
      <c r="F111" s="24">
        <f>IF(Assumptions!$E$5=2,E111,D111)</f>
        <v/>
      </c>
    </row>
    <row r="112">
      <c r="B112" s="21" t="n"/>
      <c r="C112" s="21" t="n"/>
      <c r="D112" s="22" t="inlineStr">
        <is>
          <t>Base</t>
        </is>
      </c>
      <c r="E112" s="22" t="inlineStr">
        <is>
          <t>Aggressive</t>
        </is>
      </c>
      <c r="F112" s="22" t="inlineStr">
        <is>
          <t>Live</t>
        </is>
      </c>
      <c r="G112" s="21" t="n"/>
      <c r="H112" s="21" t="n"/>
      <c r="I112" s="21" t="n"/>
      <c r="J112" s="21" t="n"/>
    </row>
    <row r="113">
      <c r="B113" s="9" t="inlineStr">
        <is>
          <t>Boilers one field engineer can look after</t>
        </is>
      </c>
      <c r="C113" s="18" t="inlineStr">
        <is>
          <t>boilers</t>
        </is>
      </c>
      <c r="D113" s="29" t="n">
        <v>750</v>
      </c>
      <c r="E113" s="29" t="n">
        <v>750</v>
      </c>
      <c r="F113" s="30">
        <f>IF(Assumptions!$E$5=2,E113,D113)</f>
        <v/>
      </c>
      <c r="J113" s="20" t="inlineStr">
        <is>
          <t>sizes the field service team: boilers on a service contract divided by this number = engineers to hire. Each boiler gets one visit a year, an engineer does three to four a day</t>
        </is>
      </c>
    </row>
    <row r="114">
      <c r="B114" s="7" t="inlineStr">
        <is>
          <t>LOADED COST PER PERSON  (employer cost, including taxes)</t>
        </is>
      </c>
      <c r="C114" s="1" t="n"/>
      <c r="D114" s="1" t="n"/>
      <c r="E114" s="1" t="n"/>
      <c r="F114" s="1" t="n"/>
      <c r="G114" s="1" t="n"/>
      <c r="H114" s="1" t="n"/>
      <c r="I114" s="1" t="n"/>
      <c r="J114" s="1" t="n"/>
    </row>
    <row r="115">
      <c r="B115" s="21" t="n"/>
      <c r="C115" s="21" t="n"/>
      <c r="D115" s="22" t="inlineStr">
        <is>
          <t>Base</t>
        </is>
      </c>
      <c r="E115" s="22" t="inlineStr">
        <is>
          <t>Aggressive</t>
        </is>
      </c>
      <c r="F115" s="22" t="inlineStr">
        <is>
          <t>Live</t>
        </is>
      </c>
      <c r="G115" s="21" t="n"/>
      <c r="H115" s="21" t="n"/>
      <c r="I115" s="21" t="n"/>
      <c r="J115" s="21" t="n"/>
    </row>
    <row r="116">
      <c r="B116" s="9" t="inlineStr">
        <is>
          <t>Sales rep</t>
        </is>
      </c>
      <c r="C116" s="18" t="inlineStr">
        <is>
          <t>EUR/month</t>
        </is>
      </c>
      <c r="D116" s="23" t="n">
        <v>7500</v>
      </c>
      <c r="E116" s="23" t="n">
        <v>7500</v>
      </c>
      <c r="F116" s="24">
        <f>IF(Assumptions!$E$5=2,E116,D116)</f>
        <v/>
      </c>
    </row>
    <row r="117">
      <c r="B117" s="9" t="inlineStr">
        <is>
          <t>Partner manager</t>
        </is>
      </c>
      <c r="C117" s="18" t="inlineStr">
        <is>
          <t>EUR/month</t>
        </is>
      </c>
      <c r="D117" s="23" t="n">
        <v>8000</v>
      </c>
      <c r="E117" s="23" t="n">
        <v>8000</v>
      </c>
      <c r="F117" s="24">
        <f>IF(Assumptions!$E$5=2,E117,D117)</f>
        <v/>
      </c>
    </row>
    <row r="118">
      <c r="B118" s="9" t="inlineStr">
        <is>
          <t>Trainer, order desk, marketing</t>
        </is>
      </c>
      <c r="C118" s="18" t="inlineStr">
        <is>
          <t>EUR/month</t>
        </is>
      </c>
      <c r="D118" s="23" t="n">
        <v>7000</v>
      </c>
      <c r="E118" s="23" t="n">
        <v>7000</v>
      </c>
      <c r="F118" s="24">
        <f>IF(Assumptions!$E$5=2,E118,D118)</f>
        <v/>
      </c>
    </row>
    <row r="119">
      <c r="B119" s="9" t="inlineStr">
        <is>
          <t>Supply chain and production</t>
        </is>
      </c>
      <c r="C119" s="18" t="inlineStr">
        <is>
          <t>EUR/month</t>
        </is>
      </c>
      <c r="D119" s="23" t="n">
        <v>5000</v>
      </c>
      <c r="E119" s="23" t="n">
        <v>5000</v>
      </c>
      <c r="F119" s="24">
        <f>IF(Assumptions!$E$5=2,E119,D119)</f>
        <v/>
      </c>
    </row>
    <row r="120">
      <c r="B120" s="9" t="inlineStr">
        <is>
          <t>Support and escalation</t>
        </is>
      </c>
      <c r="C120" s="18" t="inlineStr">
        <is>
          <t>EUR/month</t>
        </is>
      </c>
      <c r="D120" s="23" t="n">
        <v>4800</v>
      </c>
      <c r="E120" s="23" t="n">
        <v>4800</v>
      </c>
      <c r="F120" s="24">
        <f>IF(Assumptions!$E$5=2,E120,D120)</f>
        <v/>
      </c>
    </row>
    <row r="121">
      <c r="B121" s="9" t="inlineStr">
        <is>
          <t>Leadership and back office</t>
        </is>
      </c>
      <c r="C121" s="18" t="inlineStr">
        <is>
          <t>EUR/month</t>
        </is>
      </c>
      <c r="D121" s="23" t="n">
        <v>7000</v>
      </c>
      <c r="E121" s="23" t="n">
        <v>7000</v>
      </c>
      <c r="F121" s="24">
        <f>IF(Assumptions!$E$5=2,E121,D121)</f>
        <v/>
      </c>
    </row>
    <row r="122">
      <c r="B122" s="9" t="inlineStr">
        <is>
          <t>R&amp;D engineer</t>
        </is>
      </c>
      <c r="C122" s="18" t="inlineStr">
        <is>
          <t>EUR/month</t>
        </is>
      </c>
      <c r="D122" s="23" t="n">
        <v>5700</v>
      </c>
      <c r="E122" s="23" t="n">
        <v>5700</v>
      </c>
      <c r="F122" s="24">
        <f>IF(Assumptions!$E$5=2,E122,D122)</f>
        <v/>
      </c>
      <c r="J122" s="20" t="inlineStr">
        <is>
          <t>the blended cost of the seven engineers already in post</t>
        </is>
      </c>
    </row>
    <row r="123">
      <c r="B123" s="9" t="inlineStr">
        <is>
          <t>Field service engineer</t>
        </is>
      </c>
      <c r="C123" s="18" t="inlineStr">
        <is>
          <t>EUR/month</t>
        </is>
      </c>
      <c r="D123" s="23" t="n">
        <v>6500</v>
      </c>
      <c r="E123" s="23" t="n">
        <v>6500</v>
      </c>
      <c r="F123" s="24">
        <f>IF(Assumptions!$E$5=2,E123,D123)</f>
        <v/>
      </c>
    </row>
    <row r="124">
      <c r="B124" s="7" t="inlineStr">
        <is>
          <t>OVERHEADS AND OTHER OPERATING COSTS</t>
        </is>
      </c>
      <c r="C124" s="1" t="n"/>
      <c r="D124" s="1" t="n"/>
      <c r="E124" s="1" t="n"/>
      <c r="F124" s="1" t="n"/>
      <c r="G124" s="1" t="n"/>
      <c r="H124" s="1" t="n"/>
      <c r="I124" s="1" t="n"/>
      <c r="J124" s="1" t="n"/>
    </row>
    <row r="125">
      <c r="B125" s="21" t="n"/>
      <c r="C125" s="21" t="n"/>
      <c r="D125" s="22" t="inlineStr">
        <is>
          <t>Base</t>
        </is>
      </c>
      <c r="E125" s="22" t="inlineStr">
        <is>
          <t>Aggressive</t>
        </is>
      </c>
      <c r="F125" s="22" t="inlineStr">
        <is>
          <t>Live</t>
        </is>
      </c>
      <c r="G125" s="21" t="n"/>
      <c r="H125" s="21" t="n"/>
      <c r="I125" s="21" t="n"/>
      <c r="J125" s="21" t="n"/>
    </row>
    <row r="126">
      <c r="B126" s="9" t="inlineStr">
        <is>
          <t>Offices and facilities per person</t>
        </is>
      </c>
      <c r="C126" s="18" t="inlineStr">
        <is>
          <t>EUR/month</t>
        </is>
      </c>
      <c r="D126" s="23" t="n">
        <v>700</v>
      </c>
      <c r="E126" s="23" t="n">
        <v>700</v>
      </c>
      <c r="F126" s="24">
        <f>IF(Assumptions!$E$5=2,E126,D126)</f>
        <v/>
      </c>
    </row>
    <row r="127">
      <c r="B127" s="9" t="inlineStr">
        <is>
          <t>IT and software per person</t>
        </is>
      </c>
      <c r="C127" s="18" t="inlineStr">
        <is>
          <t>EUR/month</t>
        </is>
      </c>
      <c r="D127" s="23" t="n">
        <v>250</v>
      </c>
      <c r="E127" s="23" t="n">
        <v>250</v>
      </c>
      <c r="F127" s="24">
        <f>IF(Assumptions!$E$5=2,E127,D127)</f>
        <v/>
      </c>
    </row>
    <row r="128">
      <c r="B128" s="9" t="inlineStr">
        <is>
          <t>Travel per person</t>
        </is>
      </c>
      <c r="C128" s="18" t="inlineStr">
        <is>
          <t>EUR/month</t>
        </is>
      </c>
      <c r="D128" s="23" t="n">
        <v>300</v>
      </c>
      <c r="E128" s="23" t="n">
        <v>300</v>
      </c>
      <c r="F128" s="24">
        <f>IF(Assumptions!$E$5=2,E128,D128)</f>
        <v/>
      </c>
    </row>
    <row r="129">
      <c r="B129" s="9" t="inlineStr">
        <is>
          <t>Recruitment per net new hire</t>
        </is>
      </c>
      <c r="C129" s="18" t="inlineStr">
        <is>
          <t>EUR</t>
        </is>
      </c>
      <c r="D129" s="23" t="n">
        <v>8000</v>
      </c>
      <c r="E129" s="23" t="n">
        <v>8000</v>
      </c>
      <c r="F129" s="24">
        <f>IF(Assumptions!$E$5=2,E129,D129)</f>
        <v/>
      </c>
    </row>
    <row r="130">
      <c r="B130" s="9" t="inlineStr">
        <is>
          <t>Installer training and demo unit per new partner</t>
        </is>
      </c>
      <c r="C130" s="18" t="inlineStr">
        <is>
          <t>EUR</t>
        </is>
      </c>
      <c r="D130" s="23" t="n">
        <v>3500</v>
      </c>
      <c r="E130" s="23" t="n">
        <v>3500</v>
      </c>
      <c r="F130" s="24">
        <f>IF(Assumptions!$E$5=2,E130,D130)</f>
        <v/>
      </c>
    </row>
    <row r="131">
      <c r="B131" s="9" t="inlineStr">
        <is>
          <t>Finance and legal</t>
        </is>
      </c>
      <c r="C131" s="18" t="inlineStr">
        <is>
          <t>EUR/month</t>
        </is>
      </c>
      <c r="D131" s="23" t="n">
        <v>7000</v>
      </c>
      <c r="E131" s="23" t="n">
        <v>7000</v>
      </c>
      <c r="F131" s="24">
        <f>IF(Assumptions!$E$5=2,E131,D131)</f>
        <v/>
      </c>
    </row>
    <row r="132">
      <c r="B132" s="9" t="inlineStr">
        <is>
          <t>Other general</t>
        </is>
      </c>
      <c r="C132" s="18" t="inlineStr">
        <is>
          <t>EUR/month</t>
        </is>
      </c>
      <c r="D132" s="23" t="n">
        <v>5000</v>
      </c>
      <c r="E132" s="23" t="n">
        <v>5000</v>
      </c>
      <c r="F132" s="24">
        <f>IF(Assumptions!$E$5=2,E132,D132)</f>
        <v/>
      </c>
    </row>
    <row r="133">
      <c r="B133" s="9" t="inlineStr">
        <is>
          <t>Ongoing development</t>
        </is>
      </c>
      <c r="C133" s="18" t="inlineStr">
        <is>
          <t>EUR/month</t>
        </is>
      </c>
      <c r="D133" s="23" t="n">
        <v>8000</v>
      </c>
      <c r="E133" s="23" t="n">
        <v>8000</v>
      </c>
      <c r="F133" s="24">
        <f>IF(Assumptions!$E$5=2,E133,D133)</f>
        <v/>
      </c>
    </row>
    <row r="134">
      <c r="B134" s="9" t="inlineStr">
        <is>
          <t>Third party product development</t>
        </is>
      </c>
      <c r="C134" s="18" t="inlineStr">
        <is>
          <t>EUR/month</t>
        </is>
      </c>
      <c r="D134" s="23" t="n">
        <v>10000</v>
      </c>
      <c r="E134" s="23" t="n">
        <v>10000</v>
      </c>
      <c r="F134" s="24">
        <f>IF(Assumptions!$E$5=2,E134,D134)</f>
        <v/>
      </c>
    </row>
    <row r="135">
      <c r="B135" s="9" t="inlineStr">
        <is>
          <t>Annual increase on the costs above</t>
        </is>
      </c>
      <c r="C135" s="18" t="inlineStr">
        <is>
          <t>%</t>
        </is>
      </c>
      <c r="D135" s="25" t="n">
        <v>0.1</v>
      </c>
      <c r="E135" s="25" t="n">
        <v>0.1</v>
      </c>
      <c r="F135" s="26">
        <f>IF(Assumptions!$E$5=2,E135,D135)</f>
        <v/>
      </c>
    </row>
    <row r="136">
      <c r="B136" s="7" t="inlineStr">
        <is>
          <t>FUNDING</t>
        </is>
      </c>
      <c r="C136" s="1" t="n"/>
      <c r="D136" s="1" t="n"/>
      <c r="E136" s="1" t="n"/>
      <c r="F136" s="1" t="n"/>
      <c r="G136" s="1" t="n"/>
      <c r="H136" s="1" t="n"/>
      <c r="I136" s="1" t="n"/>
      <c r="J136" s="1" t="n"/>
    </row>
    <row r="137">
      <c r="B137" s="21" t="n"/>
      <c r="C137" s="21" t="n"/>
      <c r="D137" s="22" t="inlineStr">
        <is>
          <t>Base</t>
        </is>
      </c>
      <c r="E137" s="22" t="inlineStr">
        <is>
          <t>Aggressive</t>
        </is>
      </c>
      <c r="F137" s="22" t="inlineStr">
        <is>
          <t>Live</t>
        </is>
      </c>
      <c r="G137" s="21" t="n"/>
      <c r="H137" s="21" t="n"/>
      <c r="I137" s="21" t="n"/>
      <c r="J137" s="21" t="n"/>
    </row>
    <row r="138">
      <c r="B138" s="9" t="inlineStr">
        <is>
          <t>First round, money in</t>
        </is>
      </c>
      <c r="C138" s="18" t="inlineStr">
        <is>
          <t>date</t>
        </is>
      </c>
      <c r="D138" s="27" t="n">
        <v>46143</v>
      </c>
      <c r="E138" s="27" t="n">
        <v>46143</v>
      </c>
      <c r="F138" s="28">
        <f>IF(Assumptions!$E$5=2,E138,D138)</f>
        <v/>
      </c>
    </row>
    <row r="139">
      <c r="B139" s="9" t="inlineStr">
        <is>
          <t>First round, amount</t>
        </is>
      </c>
      <c r="C139" s="18" t="inlineStr">
        <is>
          <t>EUR</t>
        </is>
      </c>
      <c r="D139" s="23" t="n">
        <v>300000</v>
      </c>
      <c r="E139" s="23" t="n">
        <v>300000</v>
      </c>
      <c r="F139" s="24">
        <f>IF(Assumptions!$E$5=2,E139,D139)</f>
        <v/>
      </c>
    </row>
    <row r="140">
      <c r="B140" s="9" t="inlineStr">
        <is>
          <t>Second round, money in</t>
        </is>
      </c>
      <c r="C140" s="18" t="inlineStr">
        <is>
          <t>date</t>
        </is>
      </c>
      <c r="D140" s="27" t="n">
        <v>46296</v>
      </c>
      <c r="E140" s="27" t="n">
        <v>46296</v>
      </c>
      <c r="F140" s="28">
        <f>IF(Assumptions!$E$5=2,E140,D140)</f>
        <v/>
      </c>
    </row>
    <row r="141">
      <c r="B141" s="9" t="inlineStr">
        <is>
          <t>Second round, amount</t>
        </is>
      </c>
      <c r="C141" s="18" t="inlineStr">
        <is>
          <t>EUR</t>
        </is>
      </c>
      <c r="D141" s="23" t="n">
        <v>3000000</v>
      </c>
      <c r="E141" s="23" t="n">
        <v>10000000</v>
      </c>
      <c r="F141" s="24">
        <f>IF(Assumptions!$E$5=2,E141,D141)</f>
        <v/>
      </c>
      <c r="J141" s="20" t="inlineStr">
        <is>
          <t>this is the raise the model is built to justify</t>
        </is>
      </c>
    </row>
    <row r="142">
      <c r="B142" s="9" t="inlineStr">
        <is>
          <t>Convertible loan drawn</t>
        </is>
      </c>
      <c r="C142" s="18" t="inlineStr">
        <is>
          <t>EUR</t>
        </is>
      </c>
      <c r="D142" s="23" t="n">
        <v>300000</v>
      </c>
      <c r="E142" s="23" t="n">
        <v>300000</v>
      </c>
      <c r="F142" s="24">
        <f>IF(Assumptions!$E$5=2,E142,D142)</f>
        <v/>
      </c>
    </row>
    <row r="143">
      <c r="B143" s="9" t="inlineStr">
        <is>
          <t>Loan drawn on</t>
        </is>
      </c>
      <c r="C143" s="18" t="inlineStr">
        <is>
          <t>date</t>
        </is>
      </c>
      <c r="D143" s="27" t="n">
        <v>46204</v>
      </c>
      <c r="E143" s="27" t="n">
        <v>46204</v>
      </c>
      <c r="F143" s="28">
        <f>IF(Assumptions!$E$5=2,E143,D143)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-E63/(Assumptions!$F$90*12)</f>
        <v/>
      </c>
      <c r="G19" s="43">
        <f>-F63/(Assumptions!$F$90*12)</f>
        <v/>
      </c>
      <c r="H19" s="43">
        <f>-G63/(Assumptions!$F$90*12)</f>
        <v/>
      </c>
      <c r="I19" s="43">
        <f>-H63/(Assumptions!$F$90*12)</f>
        <v/>
      </c>
      <c r="J19" s="43">
        <f>-I63/(Assumptions!$F$90*12)</f>
        <v/>
      </c>
      <c r="K19" s="43">
        <f>-J63/(Assumptions!$F$90*12)</f>
        <v/>
      </c>
      <c r="L19" s="43">
        <f>-K63/(Assumptions!$F$90*12)</f>
        <v/>
      </c>
      <c r="M19" s="43">
        <f>-L63/(Assumptions!$F$90*12)</f>
        <v/>
      </c>
      <c r="N19" s="43">
        <f>-M63/(Assumptions!$F$90*12)</f>
        <v/>
      </c>
      <c r="O19" s="43">
        <f>-N63/(Assumptions!$F$90*12)</f>
        <v/>
      </c>
      <c r="P19" s="43">
        <f>-O63/(Assumptions!$F$90*12)</f>
        <v/>
      </c>
      <c r="Q19" s="43">
        <f>-P63/(Assumptions!$F$90*12)</f>
        <v/>
      </c>
      <c r="R19" s="43">
        <f>-Q63/(Assumptions!$F$90*12)</f>
        <v/>
      </c>
      <c r="S19" s="43">
        <f>-R63/(Assumptions!$F$90*12)</f>
        <v/>
      </c>
      <c r="T19" s="43">
        <f>-S63/(Assumptions!$F$90*12)</f>
        <v/>
      </c>
      <c r="U19" s="43">
        <f>-T63/(Assumptions!$F$90*12)</f>
        <v/>
      </c>
      <c r="V19" s="43">
        <f>-U63/(Assumptions!$F$90*12)</f>
        <v/>
      </c>
      <c r="W19" s="43">
        <f>-V63/(Assumptions!$F$90*12)</f>
        <v/>
      </c>
      <c r="X19" s="43">
        <f>-W63/(Assumptions!$F$90*12)</f>
        <v/>
      </c>
      <c r="Y19" s="43">
        <f>-X63/(Assumptions!$F$90*12)</f>
        <v/>
      </c>
      <c r="Z19" s="43">
        <f>-Y63/(Assumptions!$F$90*12)</f>
        <v/>
      </c>
      <c r="AA19" s="43">
        <f>-Z63/(Assumptions!$F$90*12)</f>
        <v/>
      </c>
      <c r="AB19" s="43">
        <f>-AA63/(Assumptions!$F$90*12)</f>
        <v/>
      </c>
      <c r="AC19" s="43">
        <f>-AB63/(Assumptions!$F$90*12)</f>
        <v/>
      </c>
      <c r="AD19" s="43">
        <f>-AC63/(Assumptions!$F$90*12)</f>
        <v/>
      </c>
      <c r="AE19" s="43">
        <f>-AD63/(Assumptions!$F$90*12)</f>
        <v/>
      </c>
      <c r="AF19" s="43">
        <f>-AE63/(Assumptions!$F$90*12)</f>
        <v/>
      </c>
      <c r="AG19" s="43">
        <f>-AF63/(Assumptions!$F$90*12)</f>
        <v/>
      </c>
      <c r="AH19" s="43">
        <f>-AG63/(Assumptions!$F$90*12)</f>
        <v/>
      </c>
      <c r="AI19" s="43">
        <f>-AH63/(Assumptions!$F$90*12)</f>
        <v/>
      </c>
      <c r="AJ19" s="43">
        <f>-AI63/(Assumptions!$F$90*12)</f>
        <v/>
      </c>
      <c r="AK19" s="43">
        <f>-AJ63/(Assumptions!$F$90*12)</f>
        <v/>
      </c>
      <c r="AL19" s="43">
        <f>-AK63/(Assumptions!$F$90*12)</f>
        <v/>
      </c>
      <c r="AM19" s="43">
        <f>-AL63/(Assumptions!$F$90*12)</f>
        <v/>
      </c>
      <c r="AN19" s="43">
        <f>-AM63/(Assumptions!$F$90*12)</f>
        <v/>
      </c>
      <c r="AO19" s="43">
        <f>-AN63/(Assumptions!$F$90*12)</f>
        <v/>
      </c>
      <c r="AP19" s="43">
        <f>-AO63/(Assumptions!$F$90*12)</f>
        <v/>
      </c>
      <c r="AQ19" s="43">
        <f>-AP63/(Assumptions!$F$90*12)</f>
        <v/>
      </c>
      <c r="AR19" s="43">
        <f>-AQ63/(Assumptions!$F$90*12)</f>
        <v/>
      </c>
      <c r="AS19" s="43">
        <f>-AR63/(Assumptions!$F$90*12)</f>
        <v/>
      </c>
      <c r="AT19" s="43">
        <f>-AS63/(Assumptions!$F$90*12)</f>
        <v/>
      </c>
      <c r="AU19" s="43">
        <f>-AT63/(Assumptions!$F$90*12)</f>
        <v/>
      </c>
      <c r="AV19" s="43">
        <f>-AU63/(Assumptions!$F$90*12)</f>
        <v/>
      </c>
      <c r="AW19" s="43">
        <f>-AV63/(Assumptions!$F$90*12)</f>
        <v/>
      </c>
      <c r="AX19" s="43">
        <f>-AW63/(Assumptions!$F$90*12)</f>
        <v/>
      </c>
      <c r="AY19" s="43">
        <f>-AX63/(Assumptions!$F$90*12)</f>
        <v/>
      </c>
      <c r="AZ19" s="43">
        <f>-AY63/(Assumptions!$F$90*12)</f>
        <v/>
      </c>
      <c r="BA19" s="43">
        <f>-AZ63/(Assumptions!$F$90*12)</f>
        <v/>
      </c>
      <c r="BB19" s="43">
        <f>-BA63/(Assumptions!$F$90*12)</f>
        <v/>
      </c>
      <c r="BC19" s="43">
        <f>-BB63/(Assumptions!$F$90*12)</f>
        <v/>
      </c>
      <c r="BD19" s="43">
        <f>-BC63/(Assumptions!$F$90*12)</f>
        <v/>
      </c>
      <c r="BE19" s="43">
        <f>-BD63/(Assumptions!$F$90*12)</f>
        <v/>
      </c>
      <c r="BF19" s="43">
        <f>-BE63/(Assumptions!$F$90*12)</f>
        <v/>
      </c>
      <c r="BG19" s="43">
        <f>-BF63/(Assumptions!$F$90*12)</f>
        <v/>
      </c>
      <c r="BH19" s="43">
        <f>-BG63/(Assumptions!$F$90*12)</f>
        <v/>
      </c>
      <c r="BI19" s="43">
        <f>-BH63/(Assumptions!$F$90*12)</f>
        <v/>
      </c>
      <c r="BJ19" s="43">
        <f>-BI63/(Assumptions!$F$90*12)</f>
        <v/>
      </c>
      <c r="BK19" s="43">
        <f>-BJ63/(Assumptions!$F$90*12)</f>
        <v/>
      </c>
      <c r="BL19" s="43">
        <f>-BK63/(Assumptions!$F$90*12)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IF(E$3=Assumptions!$F$138,Assumptions!$F$139,0)+IF(E$3=Assumptions!$F$140,Assumptions!$F$141,0)</f>
        <v/>
      </c>
      <c r="F35" s="43">
        <f>IF(F$3=Assumptions!$F$138,Assumptions!$F$139,0)+IF(F$3=Assumptions!$F$140,Assumptions!$F$141,0)</f>
        <v/>
      </c>
      <c r="G35" s="43">
        <f>IF(G$3=Assumptions!$F$138,Assumptions!$F$139,0)+IF(G$3=Assumptions!$F$140,Assumptions!$F$141,0)</f>
        <v/>
      </c>
      <c r="H35" s="43">
        <f>IF(H$3=Assumptions!$F$138,Assumptions!$F$139,0)+IF(H$3=Assumptions!$F$140,Assumptions!$F$141,0)</f>
        <v/>
      </c>
      <c r="I35" s="43">
        <f>IF(I$3=Assumptions!$F$138,Assumptions!$F$139,0)+IF(I$3=Assumptions!$F$140,Assumptions!$F$141,0)</f>
        <v/>
      </c>
      <c r="J35" s="43">
        <f>IF(J$3=Assumptions!$F$138,Assumptions!$F$139,0)+IF(J$3=Assumptions!$F$140,Assumptions!$F$141,0)</f>
        <v/>
      </c>
      <c r="K35" s="43">
        <f>IF(K$3=Assumptions!$F$138,Assumptions!$F$139,0)+IF(K$3=Assumptions!$F$140,Assumptions!$F$141,0)</f>
        <v/>
      </c>
      <c r="L35" s="43">
        <f>IF(L$3=Assumptions!$F$138,Assumptions!$F$139,0)+IF(L$3=Assumptions!$F$140,Assumptions!$F$141,0)</f>
        <v/>
      </c>
      <c r="M35" s="43">
        <f>IF(M$3=Assumptions!$F$138,Assumptions!$F$139,0)+IF(M$3=Assumptions!$F$140,Assumptions!$F$141,0)</f>
        <v/>
      </c>
      <c r="N35" s="43">
        <f>IF(N$3=Assumptions!$F$138,Assumptions!$F$139,0)+IF(N$3=Assumptions!$F$140,Assumptions!$F$141,0)</f>
        <v/>
      </c>
      <c r="O35" s="43">
        <f>IF(O$3=Assumptions!$F$138,Assumptions!$F$139,0)+IF(O$3=Assumptions!$F$140,Assumptions!$F$141,0)</f>
        <v/>
      </c>
      <c r="P35" s="43">
        <f>IF(P$3=Assumptions!$F$138,Assumptions!$F$139,0)+IF(P$3=Assumptions!$F$140,Assumptions!$F$141,0)</f>
        <v/>
      </c>
      <c r="Q35" s="43">
        <f>IF(Q$3=Assumptions!$F$138,Assumptions!$F$139,0)+IF(Q$3=Assumptions!$F$140,Assumptions!$F$141,0)</f>
        <v/>
      </c>
      <c r="R35" s="43">
        <f>IF(R$3=Assumptions!$F$138,Assumptions!$F$139,0)+IF(R$3=Assumptions!$F$140,Assumptions!$F$141,0)</f>
        <v/>
      </c>
      <c r="S35" s="43">
        <f>IF(S$3=Assumptions!$F$138,Assumptions!$F$139,0)+IF(S$3=Assumptions!$F$140,Assumptions!$F$141,0)</f>
        <v/>
      </c>
      <c r="T35" s="43">
        <f>IF(T$3=Assumptions!$F$138,Assumptions!$F$139,0)+IF(T$3=Assumptions!$F$140,Assumptions!$F$141,0)</f>
        <v/>
      </c>
      <c r="U35" s="43">
        <f>IF(U$3=Assumptions!$F$138,Assumptions!$F$139,0)+IF(U$3=Assumptions!$F$140,Assumptions!$F$141,0)</f>
        <v/>
      </c>
      <c r="V35" s="43">
        <f>IF(V$3=Assumptions!$F$138,Assumptions!$F$139,0)+IF(V$3=Assumptions!$F$140,Assumptions!$F$141,0)</f>
        <v/>
      </c>
      <c r="W35" s="43">
        <f>IF(W$3=Assumptions!$F$138,Assumptions!$F$139,0)+IF(W$3=Assumptions!$F$140,Assumptions!$F$141,0)</f>
        <v/>
      </c>
      <c r="X35" s="43">
        <f>IF(X$3=Assumptions!$F$138,Assumptions!$F$139,0)+IF(X$3=Assumptions!$F$140,Assumptions!$F$141,0)</f>
        <v/>
      </c>
      <c r="Y35" s="43">
        <f>IF(Y$3=Assumptions!$F$138,Assumptions!$F$139,0)+IF(Y$3=Assumptions!$F$140,Assumptions!$F$141,0)</f>
        <v/>
      </c>
      <c r="Z35" s="43">
        <f>IF(Z$3=Assumptions!$F$138,Assumptions!$F$139,0)+IF(Z$3=Assumptions!$F$140,Assumptions!$F$141,0)</f>
        <v/>
      </c>
      <c r="AA35" s="43">
        <f>IF(AA$3=Assumptions!$F$138,Assumptions!$F$139,0)+IF(AA$3=Assumptions!$F$140,Assumptions!$F$141,0)</f>
        <v/>
      </c>
      <c r="AB35" s="43">
        <f>IF(AB$3=Assumptions!$F$138,Assumptions!$F$139,0)+IF(AB$3=Assumptions!$F$140,Assumptions!$F$141,0)</f>
        <v/>
      </c>
      <c r="AC35" s="43">
        <f>IF(AC$3=Assumptions!$F$138,Assumptions!$F$139,0)+IF(AC$3=Assumptions!$F$140,Assumptions!$F$141,0)</f>
        <v/>
      </c>
      <c r="AD35" s="43">
        <f>IF(AD$3=Assumptions!$F$138,Assumptions!$F$139,0)+IF(AD$3=Assumptions!$F$140,Assumptions!$F$141,0)</f>
        <v/>
      </c>
      <c r="AE35" s="43">
        <f>IF(AE$3=Assumptions!$F$138,Assumptions!$F$139,0)+IF(AE$3=Assumptions!$F$140,Assumptions!$F$141,0)</f>
        <v/>
      </c>
      <c r="AF35" s="43">
        <f>IF(AF$3=Assumptions!$F$138,Assumptions!$F$139,0)+IF(AF$3=Assumptions!$F$140,Assumptions!$F$141,0)</f>
        <v/>
      </c>
      <c r="AG35" s="43">
        <f>IF(AG$3=Assumptions!$F$138,Assumptions!$F$139,0)+IF(AG$3=Assumptions!$F$140,Assumptions!$F$141,0)</f>
        <v/>
      </c>
      <c r="AH35" s="43">
        <f>IF(AH$3=Assumptions!$F$138,Assumptions!$F$139,0)+IF(AH$3=Assumptions!$F$140,Assumptions!$F$141,0)</f>
        <v/>
      </c>
      <c r="AI35" s="43">
        <f>IF(AI$3=Assumptions!$F$138,Assumptions!$F$139,0)+IF(AI$3=Assumptions!$F$140,Assumptions!$F$141,0)</f>
        <v/>
      </c>
      <c r="AJ35" s="43">
        <f>IF(AJ$3=Assumptions!$F$138,Assumptions!$F$139,0)+IF(AJ$3=Assumptions!$F$140,Assumptions!$F$141,0)</f>
        <v/>
      </c>
      <c r="AK35" s="43">
        <f>IF(AK$3=Assumptions!$F$138,Assumptions!$F$139,0)+IF(AK$3=Assumptions!$F$140,Assumptions!$F$141,0)</f>
        <v/>
      </c>
      <c r="AL35" s="43">
        <f>IF(AL$3=Assumptions!$F$138,Assumptions!$F$139,0)+IF(AL$3=Assumptions!$F$140,Assumptions!$F$141,0)</f>
        <v/>
      </c>
      <c r="AM35" s="43">
        <f>IF(AM$3=Assumptions!$F$138,Assumptions!$F$139,0)+IF(AM$3=Assumptions!$F$140,Assumptions!$F$141,0)</f>
        <v/>
      </c>
      <c r="AN35" s="43">
        <f>IF(AN$3=Assumptions!$F$138,Assumptions!$F$139,0)+IF(AN$3=Assumptions!$F$140,Assumptions!$F$141,0)</f>
        <v/>
      </c>
      <c r="AO35" s="43">
        <f>IF(AO$3=Assumptions!$F$138,Assumptions!$F$139,0)+IF(AO$3=Assumptions!$F$140,Assumptions!$F$141,0)</f>
        <v/>
      </c>
      <c r="AP35" s="43">
        <f>IF(AP$3=Assumptions!$F$138,Assumptions!$F$139,0)+IF(AP$3=Assumptions!$F$140,Assumptions!$F$141,0)</f>
        <v/>
      </c>
      <c r="AQ35" s="43">
        <f>IF(AQ$3=Assumptions!$F$138,Assumptions!$F$139,0)+IF(AQ$3=Assumptions!$F$140,Assumptions!$F$141,0)</f>
        <v/>
      </c>
      <c r="AR35" s="43">
        <f>IF(AR$3=Assumptions!$F$138,Assumptions!$F$139,0)+IF(AR$3=Assumptions!$F$140,Assumptions!$F$141,0)</f>
        <v/>
      </c>
      <c r="AS35" s="43">
        <f>IF(AS$3=Assumptions!$F$138,Assumptions!$F$139,0)+IF(AS$3=Assumptions!$F$140,Assumptions!$F$141,0)</f>
        <v/>
      </c>
      <c r="AT35" s="43">
        <f>IF(AT$3=Assumptions!$F$138,Assumptions!$F$139,0)+IF(AT$3=Assumptions!$F$140,Assumptions!$F$141,0)</f>
        <v/>
      </c>
      <c r="AU35" s="43">
        <f>IF(AU$3=Assumptions!$F$138,Assumptions!$F$139,0)+IF(AU$3=Assumptions!$F$140,Assumptions!$F$141,0)</f>
        <v/>
      </c>
      <c r="AV35" s="43">
        <f>IF(AV$3=Assumptions!$F$138,Assumptions!$F$139,0)+IF(AV$3=Assumptions!$F$140,Assumptions!$F$141,0)</f>
        <v/>
      </c>
      <c r="AW35" s="43">
        <f>IF(AW$3=Assumptions!$F$138,Assumptions!$F$139,0)+IF(AW$3=Assumptions!$F$140,Assumptions!$F$141,0)</f>
        <v/>
      </c>
      <c r="AX35" s="43">
        <f>IF(AX$3=Assumptions!$F$138,Assumptions!$F$139,0)+IF(AX$3=Assumptions!$F$140,Assumptions!$F$141,0)</f>
        <v/>
      </c>
      <c r="AY35" s="43">
        <f>IF(AY$3=Assumptions!$F$138,Assumptions!$F$139,0)+IF(AY$3=Assumptions!$F$140,Assumptions!$F$141,0)</f>
        <v/>
      </c>
      <c r="AZ35" s="43">
        <f>IF(AZ$3=Assumptions!$F$138,Assumptions!$F$139,0)+IF(AZ$3=Assumptions!$F$140,Assumptions!$F$141,0)</f>
        <v/>
      </c>
      <c r="BA35" s="43">
        <f>IF(BA$3=Assumptions!$F$138,Assumptions!$F$139,0)+IF(BA$3=Assumptions!$F$140,Assumptions!$F$141,0)</f>
        <v/>
      </c>
      <c r="BB35" s="43">
        <f>IF(BB$3=Assumptions!$F$138,Assumptions!$F$139,0)+IF(BB$3=Assumptions!$F$140,Assumptions!$F$141,0)</f>
        <v/>
      </c>
      <c r="BC35" s="43">
        <f>IF(BC$3=Assumptions!$F$138,Assumptions!$F$139,0)+IF(BC$3=Assumptions!$F$140,Assumptions!$F$141,0)</f>
        <v/>
      </c>
      <c r="BD35" s="43">
        <f>IF(BD$3=Assumptions!$F$138,Assumptions!$F$139,0)+IF(BD$3=Assumptions!$F$140,Assumptions!$F$141,0)</f>
        <v/>
      </c>
      <c r="BE35" s="43">
        <f>IF(BE$3=Assumptions!$F$138,Assumptions!$F$139,0)+IF(BE$3=Assumptions!$F$140,Assumptions!$F$141,0)</f>
        <v/>
      </c>
      <c r="BF35" s="43">
        <f>IF(BF$3=Assumptions!$F$138,Assumptions!$F$139,0)+IF(BF$3=Assumptions!$F$140,Assumptions!$F$141,0)</f>
        <v/>
      </c>
      <c r="BG35" s="43">
        <f>IF(BG$3=Assumptions!$F$138,Assumptions!$F$139,0)+IF(BG$3=Assumptions!$F$140,Assumptions!$F$141,0)</f>
        <v/>
      </c>
      <c r="BH35" s="43">
        <f>IF(BH$3=Assumptions!$F$138,Assumptions!$F$139,0)+IF(BH$3=Assumptions!$F$140,Assumptions!$F$141,0)</f>
        <v/>
      </c>
      <c r="BI35" s="43">
        <f>IF(BI$3=Assumptions!$F$138,Assumptions!$F$139,0)+IF(BI$3=Assumptions!$F$140,Assumptions!$F$141,0)</f>
        <v/>
      </c>
      <c r="BJ35" s="43">
        <f>IF(BJ$3=Assumptions!$F$138,Assumptions!$F$139,0)+IF(BJ$3=Assumptions!$F$140,Assumptions!$F$141,0)</f>
        <v/>
      </c>
      <c r="BK35" s="43">
        <f>IF(BK$3=Assumptions!$F$138,Assumptions!$F$139,0)+IF(BK$3=Assumptions!$F$140,Assumptions!$F$141,0)</f>
        <v/>
      </c>
      <c r="BL35" s="43">
        <f>IF(BL$3=Assumptions!$F$138,Assumptions!$F$139,0)+IF(BL$3=Assumptions!$F$140,Assumptions!$F$141,0)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IF(E$3=Assumptions!$F$143,Assumptions!$F$142,0)</f>
        <v/>
      </c>
      <c r="F36" s="43">
        <f>IF(F$3=Assumptions!$F$143,Assumptions!$F$142,0)</f>
        <v/>
      </c>
      <c r="G36" s="43">
        <f>IF(G$3=Assumptions!$F$143,Assumptions!$F$142,0)</f>
        <v/>
      </c>
      <c r="H36" s="43">
        <f>IF(H$3=Assumptions!$F$143,Assumptions!$F$142,0)</f>
        <v/>
      </c>
      <c r="I36" s="43">
        <f>IF(I$3=Assumptions!$F$143,Assumptions!$F$142,0)</f>
        <v/>
      </c>
      <c r="J36" s="43">
        <f>IF(J$3=Assumptions!$F$143,Assumptions!$F$142,0)</f>
        <v/>
      </c>
      <c r="K36" s="43">
        <f>IF(K$3=Assumptions!$F$143,Assumptions!$F$142,0)</f>
        <v/>
      </c>
      <c r="L36" s="43">
        <f>IF(L$3=Assumptions!$F$143,Assumptions!$F$142,0)</f>
        <v/>
      </c>
      <c r="M36" s="43">
        <f>IF(M$3=Assumptions!$F$143,Assumptions!$F$142,0)</f>
        <v/>
      </c>
      <c r="N36" s="43">
        <f>IF(N$3=Assumptions!$F$143,Assumptions!$F$142,0)</f>
        <v/>
      </c>
      <c r="O36" s="43">
        <f>IF(O$3=Assumptions!$F$143,Assumptions!$F$142,0)</f>
        <v/>
      </c>
      <c r="P36" s="43">
        <f>IF(P$3=Assumptions!$F$143,Assumptions!$F$142,0)</f>
        <v/>
      </c>
      <c r="Q36" s="43">
        <f>IF(Q$3=Assumptions!$F$143,Assumptions!$F$142,0)</f>
        <v/>
      </c>
      <c r="R36" s="43">
        <f>IF(R$3=Assumptions!$F$143,Assumptions!$F$142,0)</f>
        <v/>
      </c>
      <c r="S36" s="43">
        <f>IF(S$3=Assumptions!$F$143,Assumptions!$F$142,0)</f>
        <v/>
      </c>
      <c r="T36" s="43">
        <f>IF(T$3=Assumptions!$F$143,Assumptions!$F$142,0)</f>
        <v/>
      </c>
      <c r="U36" s="43">
        <f>IF(U$3=Assumptions!$F$143,Assumptions!$F$142,0)</f>
        <v/>
      </c>
      <c r="V36" s="43">
        <f>IF(V$3=Assumptions!$F$143,Assumptions!$F$142,0)</f>
        <v/>
      </c>
      <c r="W36" s="43">
        <f>IF(W$3=Assumptions!$F$143,Assumptions!$F$142,0)</f>
        <v/>
      </c>
      <c r="X36" s="43">
        <f>IF(X$3=Assumptions!$F$143,Assumptions!$F$142,0)</f>
        <v/>
      </c>
      <c r="Y36" s="43">
        <f>IF(Y$3=Assumptions!$F$143,Assumptions!$F$142,0)</f>
        <v/>
      </c>
      <c r="Z36" s="43">
        <f>IF(Z$3=Assumptions!$F$143,Assumptions!$F$142,0)</f>
        <v/>
      </c>
      <c r="AA36" s="43">
        <f>IF(AA$3=Assumptions!$F$143,Assumptions!$F$142,0)</f>
        <v/>
      </c>
      <c r="AB36" s="43">
        <f>IF(AB$3=Assumptions!$F$143,Assumptions!$F$142,0)</f>
        <v/>
      </c>
      <c r="AC36" s="43">
        <f>IF(AC$3=Assumptions!$F$143,Assumptions!$F$142,0)</f>
        <v/>
      </c>
      <c r="AD36" s="43">
        <f>IF(AD$3=Assumptions!$F$143,Assumptions!$F$142,0)</f>
        <v/>
      </c>
      <c r="AE36" s="43">
        <f>IF(AE$3=Assumptions!$F$143,Assumptions!$F$142,0)</f>
        <v/>
      </c>
      <c r="AF36" s="43">
        <f>IF(AF$3=Assumptions!$F$143,Assumptions!$F$142,0)</f>
        <v/>
      </c>
      <c r="AG36" s="43">
        <f>IF(AG$3=Assumptions!$F$143,Assumptions!$F$142,0)</f>
        <v/>
      </c>
      <c r="AH36" s="43">
        <f>IF(AH$3=Assumptions!$F$143,Assumptions!$F$142,0)</f>
        <v/>
      </c>
      <c r="AI36" s="43">
        <f>IF(AI$3=Assumptions!$F$143,Assumptions!$F$142,0)</f>
        <v/>
      </c>
      <c r="AJ36" s="43">
        <f>IF(AJ$3=Assumptions!$F$143,Assumptions!$F$142,0)</f>
        <v/>
      </c>
      <c r="AK36" s="43">
        <f>IF(AK$3=Assumptions!$F$143,Assumptions!$F$142,0)</f>
        <v/>
      </c>
      <c r="AL36" s="43">
        <f>IF(AL$3=Assumptions!$F$143,Assumptions!$F$142,0)</f>
        <v/>
      </c>
      <c r="AM36" s="43">
        <f>IF(AM$3=Assumptions!$F$143,Assumptions!$F$142,0)</f>
        <v/>
      </c>
      <c r="AN36" s="43">
        <f>IF(AN$3=Assumptions!$F$143,Assumptions!$F$142,0)</f>
        <v/>
      </c>
      <c r="AO36" s="43">
        <f>IF(AO$3=Assumptions!$F$143,Assumptions!$F$142,0)</f>
        <v/>
      </c>
      <c r="AP36" s="43">
        <f>IF(AP$3=Assumptions!$F$143,Assumptions!$F$142,0)</f>
        <v/>
      </c>
      <c r="AQ36" s="43">
        <f>IF(AQ$3=Assumptions!$F$143,Assumptions!$F$142,0)</f>
        <v/>
      </c>
      <c r="AR36" s="43">
        <f>IF(AR$3=Assumptions!$F$143,Assumptions!$F$142,0)</f>
        <v/>
      </c>
      <c r="AS36" s="43">
        <f>IF(AS$3=Assumptions!$F$143,Assumptions!$F$142,0)</f>
        <v/>
      </c>
      <c r="AT36" s="43">
        <f>IF(AT$3=Assumptions!$F$143,Assumptions!$F$142,0)</f>
        <v/>
      </c>
      <c r="AU36" s="43">
        <f>IF(AU$3=Assumptions!$F$143,Assumptions!$F$142,0)</f>
        <v/>
      </c>
      <c r="AV36" s="43">
        <f>IF(AV$3=Assumptions!$F$143,Assumptions!$F$142,0)</f>
        <v/>
      </c>
      <c r="AW36" s="43">
        <f>IF(AW$3=Assumptions!$F$143,Assumptions!$F$142,0)</f>
        <v/>
      </c>
      <c r="AX36" s="43">
        <f>IF(AX$3=Assumptions!$F$143,Assumptions!$F$142,0)</f>
        <v/>
      </c>
      <c r="AY36" s="43">
        <f>IF(AY$3=Assumptions!$F$143,Assumptions!$F$142,0)</f>
        <v/>
      </c>
      <c r="AZ36" s="43">
        <f>IF(AZ$3=Assumptions!$F$143,Assumptions!$F$142,0)</f>
        <v/>
      </c>
      <c r="BA36" s="43">
        <f>IF(BA$3=Assumptions!$F$143,Assumptions!$F$142,0)</f>
        <v/>
      </c>
      <c r="BB36" s="43">
        <f>IF(BB$3=Assumptions!$F$143,Assumptions!$F$142,0)</f>
        <v/>
      </c>
      <c r="BC36" s="43">
        <f>IF(BC$3=Assumptions!$F$143,Assumptions!$F$142,0)</f>
        <v/>
      </c>
      <c r="BD36" s="43">
        <f>IF(BD$3=Assumptions!$F$143,Assumptions!$F$142,0)</f>
        <v/>
      </c>
      <c r="BE36" s="43">
        <f>IF(BE$3=Assumptions!$F$143,Assumptions!$F$142,0)</f>
        <v/>
      </c>
      <c r="BF36" s="43">
        <f>IF(BF$3=Assumptions!$F$143,Assumptions!$F$142,0)</f>
        <v/>
      </c>
      <c r="BG36" s="43">
        <f>IF(BG$3=Assumptions!$F$143,Assumptions!$F$142,0)</f>
        <v/>
      </c>
      <c r="BH36" s="43">
        <f>IF(BH$3=Assumptions!$F$143,Assumptions!$F$142,0)</f>
        <v/>
      </c>
      <c r="BI36" s="43">
        <f>IF(BI$3=Assumptions!$F$143,Assumptions!$F$142,0)</f>
        <v/>
      </c>
      <c r="BJ36" s="43">
        <f>IF(BJ$3=Assumptions!$F$143,Assumptions!$F$142,0)</f>
        <v/>
      </c>
      <c r="BK36" s="43">
        <f>IF(BK$3=Assumptions!$F$143,Assumptions!$F$142,0)</f>
        <v/>
      </c>
      <c r="BL36" s="43">
        <f>IF(BL$3=Assumptions!$F$143,Assumptions!$F$142,0)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$82,-Assumptions!$F$87)),MONTH(E$3)=MONTH(EDATE(Assumptions!$F$82,-Assumptions!$F$87))),Assumptions!$F$85+Assumptions!$F$86,0)+IF(AND(YEAR(E$3)=YEAR(EDATE(Assumptions!$F$83,-Assumptions!$F$87)),MONTH(E$3)=MONTH(EDATE(Assumptions!$F$83,-Assumptions!$F$87))),Assumptions!$F$85,0)</f>
        <v/>
      </c>
      <c r="F61" s="43">
        <f>IF(AND(YEAR(F$3)=YEAR(EDATE(Assumptions!$F$82,-Assumptions!$F$87)),MONTH(F$3)=MONTH(EDATE(Assumptions!$F$82,-Assumptions!$F$87))),Assumptions!$F$85+Assumptions!$F$86,0)+IF(AND(YEAR(F$3)=YEAR(EDATE(Assumptions!$F$83,-Assumptions!$F$87)),MONTH(F$3)=MONTH(EDATE(Assumptions!$F$83,-Assumptions!$F$87))),Assumptions!$F$85,0)</f>
        <v/>
      </c>
      <c r="G61" s="43">
        <f>IF(AND(YEAR(G$3)=YEAR(EDATE(Assumptions!$F$82,-Assumptions!$F$87)),MONTH(G$3)=MONTH(EDATE(Assumptions!$F$82,-Assumptions!$F$87))),Assumptions!$F$85+Assumptions!$F$86,0)+IF(AND(YEAR(G$3)=YEAR(EDATE(Assumptions!$F$83,-Assumptions!$F$87)),MONTH(G$3)=MONTH(EDATE(Assumptions!$F$83,-Assumptions!$F$87))),Assumptions!$F$85,0)</f>
        <v/>
      </c>
      <c r="H61" s="43">
        <f>IF(AND(YEAR(H$3)=YEAR(EDATE(Assumptions!$F$82,-Assumptions!$F$87)),MONTH(H$3)=MONTH(EDATE(Assumptions!$F$82,-Assumptions!$F$87))),Assumptions!$F$85+Assumptions!$F$86,0)+IF(AND(YEAR(H$3)=YEAR(EDATE(Assumptions!$F$83,-Assumptions!$F$87)),MONTH(H$3)=MONTH(EDATE(Assumptions!$F$83,-Assumptions!$F$87))),Assumptions!$F$85,0)</f>
        <v/>
      </c>
      <c r="I61" s="43">
        <f>IF(AND(YEAR(I$3)=YEAR(EDATE(Assumptions!$F$82,-Assumptions!$F$87)),MONTH(I$3)=MONTH(EDATE(Assumptions!$F$82,-Assumptions!$F$87))),Assumptions!$F$85+Assumptions!$F$86,0)+IF(AND(YEAR(I$3)=YEAR(EDATE(Assumptions!$F$83,-Assumptions!$F$87)),MONTH(I$3)=MONTH(EDATE(Assumptions!$F$83,-Assumptions!$F$87))),Assumptions!$F$85,0)</f>
        <v/>
      </c>
      <c r="J61" s="43">
        <f>IF(AND(YEAR(J$3)=YEAR(EDATE(Assumptions!$F$82,-Assumptions!$F$87)),MONTH(J$3)=MONTH(EDATE(Assumptions!$F$82,-Assumptions!$F$87))),Assumptions!$F$85+Assumptions!$F$86,0)+IF(AND(YEAR(J$3)=YEAR(EDATE(Assumptions!$F$83,-Assumptions!$F$87)),MONTH(J$3)=MONTH(EDATE(Assumptions!$F$83,-Assumptions!$F$87))),Assumptions!$F$85,0)</f>
        <v/>
      </c>
      <c r="K61" s="43">
        <f>IF(AND(YEAR(K$3)=YEAR(EDATE(Assumptions!$F$82,-Assumptions!$F$87)),MONTH(K$3)=MONTH(EDATE(Assumptions!$F$82,-Assumptions!$F$87))),Assumptions!$F$85+Assumptions!$F$86,0)+IF(AND(YEAR(K$3)=YEAR(EDATE(Assumptions!$F$83,-Assumptions!$F$87)),MONTH(K$3)=MONTH(EDATE(Assumptions!$F$83,-Assumptions!$F$87))),Assumptions!$F$85,0)</f>
        <v/>
      </c>
      <c r="L61" s="43">
        <f>IF(AND(YEAR(L$3)=YEAR(EDATE(Assumptions!$F$82,-Assumptions!$F$87)),MONTH(L$3)=MONTH(EDATE(Assumptions!$F$82,-Assumptions!$F$87))),Assumptions!$F$85+Assumptions!$F$86,0)+IF(AND(YEAR(L$3)=YEAR(EDATE(Assumptions!$F$83,-Assumptions!$F$87)),MONTH(L$3)=MONTH(EDATE(Assumptions!$F$83,-Assumptions!$F$87))),Assumptions!$F$85,0)</f>
        <v/>
      </c>
      <c r="M61" s="43">
        <f>IF(AND(YEAR(M$3)=YEAR(EDATE(Assumptions!$F$82,-Assumptions!$F$87)),MONTH(M$3)=MONTH(EDATE(Assumptions!$F$82,-Assumptions!$F$87))),Assumptions!$F$85+Assumptions!$F$86,0)+IF(AND(YEAR(M$3)=YEAR(EDATE(Assumptions!$F$83,-Assumptions!$F$87)),MONTH(M$3)=MONTH(EDATE(Assumptions!$F$83,-Assumptions!$F$87))),Assumptions!$F$85,0)</f>
        <v/>
      </c>
      <c r="N61" s="43">
        <f>IF(AND(YEAR(N$3)=YEAR(EDATE(Assumptions!$F$82,-Assumptions!$F$87)),MONTH(N$3)=MONTH(EDATE(Assumptions!$F$82,-Assumptions!$F$87))),Assumptions!$F$85+Assumptions!$F$86,0)+IF(AND(YEAR(N$3)=YEAR(EDATE(Assumptions!$F$83,-Assumptions!$F$87)),MONTH(N$3)=MONTH(EDATE(Assumptions!$F$83,-Assumptions!$F$87))),Assumptions!$F$85,0)</f>
        <v/>
      </c>
      <c r="O61" s="43">
        <f>IF(AND(YEAR(O$3)=YEAR(EDATE(Assumptions!$F$82,-Assumptions!$F$87)),MONTH(O$3)=MONTH(EDATE(Assumptions!$F$82,-Assumptions!$F$87))),Assumptions!$F$85+Assumptions!$F$86,0)+IF(AND(YEAR(O$3)=YEAR(EDATE(Assumptions!$F$83,-Assumptions!$F$87)),MONTH(O$3)=MONTH(EDATE(Assumptions!$F$83,-Assumptions!$F$87))),Assumptions!$F$85,0)</f>
        <v/>
      </c>
      <c r="P61" s="43">
        <f>IF(AND(YEAR(P$3)=YEAR(EDATE(Assumptions!$F$82,-Assumptions!$F$87)),MONTH(P$3)=MONTH(EDATE(Assumptions!$F$82,-Assumptions!$F$87))),Assumptions!$F$85+Assumptions!$F$86,0)+IF(AND(YEAR(P$3)=YEAR(EDATE(Assumptions!$F$83,-Assumptions!$F$87)),MONTH(P$3)=MONTH(EDATE(Assumptions!$F$83,-Assumptions!$F$87))),Assumptions!$F$85,0)</f>
        <v/>
      </c>
      <c r="Q61" s="43">
        <f>IF(AND(YEAR(Q$3)=YEAR(EDATE(Assumptions!$F$82,-Assumptions!$F$87)),MONTH(Q$3)=MONTH(EDATE(Assumptions!$F$82,-Assumptions!$F$87))),Assumptions!$F$85+Assumptions!$F$86,0)+IF(AND(YEAR(Q$3)=YEAR(EDATE(Assumptions!$F$83,-Assumptions!$F$87)),MONTH(Q$3)=MONTH(EDATE(Assumptions!$F$83,-Assumptions!$F$87))),Assumptions!$F$85,0)</f>
        <v/>
      </c>
      <c r="R61" s="43">
        <f>IF(AND(YEAR(R$3)=YEAR(EDATE(Assumptions!$F$82,-Assumptions!$F$87)),MONTH(R$3)=MONTH(EDATE(Assumptions!$F$82,-Assumptions!$F$87))),Assumptions!$F$85+Assumptions!$F$86,0)+IF(AND(YEAR(R$3)=YEAR(EDATE(Assumptions!$F$83,-Assumptions!$F$87)),MONTH(R$3)=MONTH(EDATE(Assumptions!$F$83,-Assumptions!$F$87))),Assumptions!$F$85,0)</f>
        <v/>
      </c>
      <c r="S61" s="43">
        <f>IF(AND(YEAR(S$3)=YEAR(EDATE(Assumptions!$F$82,-Assumptions!$F$87)),MONTH(S$3)=MONTH(EDATE(Assumptions!$F$82,-Assumptions!$F$87))),Assumptions!$F$85+Assumptions!$F$86,0)+IF(AND(YEAR(S$3)=YEAR(EDATE(Assumptions!$F$83,-Assumptions!$F$87)),MONTH(S$3)=MONTH(EDATE(Assumptions!$F$83,-Assumptions!$F$87))),Assumptions!$F$85,0)</f>
        <v/>
      </c>
      <c r="T61" s="43">
        <f>IF(AND(YEAR(T$3)=YEAR(EDATE(Assumptions!$F$82,-Assumptions!$F$87)),MONTH(T$3)=MONTH(EDATE(Assumptions!$F$82,-Assumptions!$F$87))),Assumptions!$F$85+Assumptions!$F$86,0)+IF(AND(YEAR(T$3)=YEAR(EDATE(Assumptions!$F$83,-Assumptions!$F$87)),MONTH(T$3)=MONTH(EDATE(Assumptions!$F$83,-Assumptions!$F$87))),Assumptions!$F$85,0)</f>
        <v/>
      </c>
      <c r="U61" s="43">
        <f>IF(AND(YEAR(U$3)=YEAR(EDATE(Assumptions!$F$82,-Assumptions!$F$87)),MONTH(U$3)=MONTH(EDATE(Assumptions!$F$82,-Assumptions!$F$87))),Assumptions!$F$85+Assumptions!$F$86,0)+IF(AND(YEAR(U$3)=YEAR(EDATE(Assumptions!$F$83,-Assumptions!$F$87)),MONTH(U$3)=MONTH(EDATE(Assumptions!$F$83,-Assumptions!$F$87))),Assumptions!$F$85,0)</f>
        <v/>
      </c>
      <c r="V61" s="43">
        <f>IF(AND(YEAR(V$3)=YEAR(EDATE(Assumptions!$F$82,-Assumptions!$F$87)),MONTH(V$3)=MONTH(EDATE(Assumptions!$F$82,-Assumptions!$F$87))),Assumptions!$F$85+Assumptions!$F$86,0)+IF(AND(YEAR(V$3)=YEAR(EDATE(Assumptions!$F$83,-Assumptions!$F$87)),MONTH(V$3)=MONTH(EDATE(Assumptions!$F$83,-Assumptions!$F$87))),Assumptions!$F$85,0)</f>
        <v/>
      </c>
      <c r="W61" s="43">
        <f>IF(AND(YEAR(W$3)=YEAR(EDATE(Assumptions!$F$82,-Assumptions!$F$87)),MONTH(W$3)=MONTH(EDATE(Assumptions!$F$82,-Assumptions!$F$87))),Assumptions!$F$85+Assumptions!$F$86,0)+IF(AND(YEAR(W$3)=YEAR(EDATE(Assumptions!$F$83,-Assumptions!$F$87)),MONTH(W$3)=MONTH(EDATE(Assumptions!$F$83,-Assumptions!$F$87))),Assumptions!$F$85,0)</f>
        <v/>
      </c>
      <c r="X61" s="43">
        <f>IF(AND(YEAR(X$3)=YEAR(EDATE(Assumptions!$F$82,-Assumptions!$F$87)),MONTH(X$3)=MONTH(EDATE(Assumptions!$F$82,-Assumptions!$F$87))),Assumptions!$F$85+Assumptions!$F$86,0)+IF(AND(YEAR(X$3)=YEAR(EDATE(Assumptions!$F$83,-Assumptions!$F$87)),MONTH(X$3)=MONTH(EDATE(Assumptions!$F$83,-Assumptions!$F$87))),Assumptions!$F$85,0)</f>
        <v/>
      </c>
      <c r="Y61" s="43">
        <f>IF(AND(YEAR(Y$3)=YEAR(EDATE(Assumptions!$F$82,-Assumptions!$F$87)),MONTH(Y$3)=MONTH(EDATE(Assumptions!$F$82,-Assumptions!$F$87))),Assumptions!$F$85+Assumptions!$F$86,0)+IF(AND(YEAR(Y$3)=YEAR(EDATE(Assumptions!$F$83,-Assumptions!$F$87)),MONTH(Y$3)=MONTH(EDATE(Assumptions!$F$83,-Assumptions!$F$87))),Assumptions!$F$85,0)</f>
        <v/>
      </c>
      <c r="Z61" s="43">
        <f>IF(AND(YEAR(Z$3)=YEAR(EDATE(Assumptions!$F$82,-Assumptions!$F$87)),MONTH(Z$3)=MONTH(EDATE(Assumptions!$F$82,-Assumptions!$F$87))),Assumptions!$F$85+Assumptions!$F$86,0)+IF(AND(YEAR(Z$3)=YEAR(EDATE(Assumptions!$F$83,-Assumptions!$F$87)),MONTH(Z$3)=MONTH(EDATE(Assumptions!$F$83,-Assumptions!$F$87))),Assumptions!$F$85,0)</f>
        <v/>
      </c>
      <c r="AA61" s="43">
        <f>IF(AND(YEAR(AA$3)=YEAR(EDATE(Assumptions!$F$82,-Assumptions!$F$87)),MONTH(AA$3)=MONTH(EDATE(Assumptions!$F$82,-Assumptions!$F$87))),Assumptions!$F$85+Assumptions!$F$86,0)+IF(AND(YEAR(AA$3)=YEAR(EDATE(Assumptions!$F$83,-Assumptions!$F$87)),MONTH(AA$3)=MONTH(EDATE(Assumptions!$F$83,-Assumptions!$F$87))),Assumptions!$F$85,0)</f>
        <v/>
      </c>
      <c r="AB61" s="43">
        <f>IF(AND(YEAR(AB$3)=YEAR(EDATE(Assumptions!$F$82,-Assumptions!$F$87)),MONTH(AB$3)=MONTH(EDATE(Assumptions!$F$82,-Assumptions!$F$87))),Assumptions!$F$85+Assumptions!$F$86,0)+IF(AND(YEAR(AB$3)=YEAR(EDATE(Assumptions!$F$83,-Assumptions!$F$87)),MONTH(AB$3)=MONTH(EDATE(Assumptions!$F$83,-Assumptions!$F$87))),Assumptions!$F$85,0)</f>
        <v/>
      </c>
      <c r="AC61" s="43">
        <f>IF(AND(YEAR(AC$3)=YEAR(EDATE(Assumptions!$F$82,-Assumptions!$F$87)),MONTH(AC$3)=MONTH(EDATE(Assumptions!$F$82,-Assumptions!$F$87))),Assumptions!$F$85+Assumptions!$F$86,0)+IF(AND(YEAR(AC$3)=YEAR(EDATE(Assumptions!$F$83,-Assumptions!$F$87)),MONTH(AC$3)=MONTH(EDATE(Assumptions!$F$83,-Assumptions!$F$87))),Assumptions!$F$85,0)</f>
        <v/>
      </c>
      <c r="AD61" s="43">
        <f>IF(AND(YEAR(AD$3)=YEAR(EDATE(Assumptions!$F$82,-Assumptions!$F$87)),MONTH(AD$3)=MONTH(EDATE(Assumptions!$F$82,-Assumptions!$F$87))),Assumptions!$F$85+Assumptions!$F$86,0)+IF(AND(YEAR(AD$3)=YEAR(EDATE(Assumptions!$F$83,-Assumptions!$F$87)),MONTH(AD$3)=MONTH(EDATE(Assumptions!$F$83,-Assumptions!$F$87))),Assumptions!$F$85,0)</f>
        <v/>
      </c>
      <c r="AE61" s="43">
        <f>IF(AND(YEAR(AE$3)=YEAR(EDATE(Assumptions!$F$82,-Assumptions!$F$87)),MONTH(AE$3)=MONTH(EDATE(Assumptions!$F$82,-Assumptions!$F$87))),Assumptions!$F$85+Assumptions!$F$86,0)+IF(AND(YEAR(AE$3)=YEAR(EDATE(Assumptions!$F$83,-Assumptions!$F$87)),MONTH(AE$3)=MONTH(EDATE(Assumptions!$F$83,-Assumptions!$F$87))),Assumptions!$F$85,0)</f>
        <v/>
      </c>
      <c r="AF61" s="43">
        <f>IF(AND(YEAR(AF$3)=YEAR(EDATE(Assumptions!$F$82,-Assumptions!$F$87)),MONTH(AF$3)=MONTH(EDATE(Assumptions!$F$82,-Assumptions!$F$87))),Assumptions!$F$85+Assumptions!$F$86,0)+IF(AND(YEAR(AF$3)=YEAR(EDATE(Assumptions!$F$83,-Assumptions!$F$87)),MONTH(AF$3)=MONTH(EDATE(Assumptions!$F$83,-Assumptions!$F$87))),Assumptions!$F$85,0)</f>
        <v/>
      </c>
      <c r="AG61" s="43">
        <f>IF(AND(YEAR(AG$3)=YEAR(EDATE(Assumptions!$F$82,-Assumptions!$F$87)),MONTH(AG$3)=MONTH(EDATE(Assumptions!$F$82,-Assumptions!$F$87))),Assumptions!$F$85+Assumptions!$F$86,0)+IF(AND(YEAR(AG$3)=YEAR(EDATE(Assumptions!$F$83,-Assumptions!$F$87)),MONTH(AG$3)=MONTH(EDATE(Assumptions!$F$83,-Assumptions!$F$87))),Assumptions!$F$85,0)</f>
        <v/>
      </c>
      <c r="AH61" s="43">
        <f>IF(AND(YEAR(AH$3)=YEAR(EDATE(Assumptions!$F$82,-Assumptions!$F$87)),MONTH(AH$3)=MONTH(EDATE(Assumptions!$F$82,-Assumptions!$F$87))),Assumptions!$F$85+Assumptions!$F$86,0)+IF(AND(YEAR(AH$3)=YEAR(EDATE(Assumptions!$F$83,-Assumptions!$F$87)),MONTH(AH$3)=MONTH(EDATE(Assumptions!$F$83,-Assumptions!$F$87))),Assumptions!$F$85,0)</f>
        <v/>
      </c>
      <c r="AI61" s="43">
        <f>IF(AND(YEAR(AI$3)=YEAR(EDATE(Assumptions!$F$82,-Assumptions!$F$87)),MONTH(AI$3)=MONTH(EDATE(Assumptions!$F$82,-Assumptions!$F$87))),Assumptions!$F$85+Assumptions!$F$86,0)+IF(AND(YEAR(AI$3)=YEAR(EDATE(Assumptions!$F$83,-Assumptions!$F$87)),MONTH(AI$3)=MONTH(EDATE(Assumptions!$F$83,-Assumptions!$F$87))),Assumptions!$F$85,0)</f>
        <v/>
      </c>
      <c r="AJ61" s="43">
        <f>IF(AND(YEAR(AJ$3)=YEAR(EDATE(Assumptions!$F$82,-Assumptions!$F$87)),MONTH(AJ$3)=MONTH(EDATE(Assumptions!$F$82,-Assumptions!$F$87))),Assumptions!$F$85+Assumptions!$F$86,0)+IF(AND(YEAR(AJ$3)=YEAR(EDATE(Assumptions!$F$83,-Assumptions!$F$87)),MONTH(AJ$3)=MONTH(EDATE(Assumptions!$F$83,-Assumptions!$F$87))),Assumptions!$F$85,0)</f>
        <v/>
      </c>
      <c r="AK61" s="43">
        <f>IF(AND(YEAR(AK$3)=YEAR(EDATE(Assumptions!$F$82,-Assumptions!$F$87)),MONTH(AK$3)=MONTH(EDATE(Assumptions!$F$82,-Assumptions!$F$87))),Assumptions!$F$85+Assumptions!$F$86,0)+IF(AND(YEAR(AK$3)=YEAR(EDATE(Assumptions!$F$83,-Assumptions!$F$87)),MONTH(AK$3)=MONTH(EDATE(Assumptions!$F$83,-Assumptions!$F$87))),Assumptions!$F$85,0)</f>
        <v/>
      </c>
      <c r="AL61" s="43">
        <f>IF(AND(YEAR(AL$3)=YEAR(EDATE(Assumptions!$F$82,-Assumptions!$F$87)),MONTH(AL$3)=MONTH(EDATE(Assumptions!$F$82,-Assumptions!$F$87))),Assumptions!$F$85+Assumptions!$F$86,0)+IF(AND(YEAR(AL$3)=YEAR(EDATE(Assumptions!$F$83,-Assumptions!$F$87)),MONTH(AL$3)=MONTH(EDATE(Assumptions!$F$83,-Assumptions!$F$87))),Assumptions!$F$85,0)</f>
        <v/>
      </c>
      <c r="AM61" s="43">
        <f>IF(AND(YEAR(AM$3)=YEAR(EDATE(Assumptions!$F$82,-Assumptions!$F$87)),MONTH(AM$3)=MONTH(EDATE(Assumptions!$F$82,-Assumptions!$F$87))),Assumptions!$F$85+Assumptions!$F$86,0)+IF(AND(YEAR(AM$3)=YEAR(EDATE(Assumptions!$F$83,-Assumptions!$F$87)),MONTH(AM$3)=MONTH(EDATE(Assumptions!$F$83,-Assumptions!$F$87))),Assumptions!$F$85,0)</f>
        <v/>
      </c>
      <c r="AN61" s="43">
        <f>IF(AND(YEAR(AN$3)=YEAR(EDATE(Assumptions!$F$82,-Assumptions!$F$87)),MONTH(AN$3)=MONTH(EDATE(Assumptions!$F$82,-Assumptions!$F$87))),Assumptions!$F$85+Assumptions!$F$86,0)+IF(AND(YEAR(AN$3)=YEAR(EDATE(Assumptions!$F$83,-Assumptions!$F$87)),MONTH(AN$3)=MONTH(EDATE(Assumptions!$F$83,-Assumptions!$F$87))),Assumptions!$F$85,0)</f>
        <v/>
      </c>
      <c r="AO61" s="43">
        <f>IF(AND(YEAR(AO$3)=YEAR(EDATE(Assumptions!$F$82,-Assumptions!$F$87)),MONTH(AO$3)=MONTH(EDATE(Assumptions!$F$82,-Assumptions!$F$87))),Assumptions!$F$85+Assumptions!$F$86,0)+IF(AND(YEAR(AO$3)=YEAR(EDATE(Assumptions!$F$83,-Assumptions!$F$87)),MONTH(AO$3)=MONTH(EDATE(Assumptions!$F$83,-Assumptions!$F$87))),Assumptions!$F$85,0)</f>
        <v/>
      </c>
      <c r="AP61" s="43">
        <f>IF(AND(YEAR(AP$3)=YEAR(EDATE(Assumptions!$F$82,-Assumptions!$F$87)),MONTH(AP$3)=MONTH(EDATE(Assumptions!$F$82,-Assumptions!$F$87))),Assumptions!$F$85+Assumptions!$F$86,0)+IF(AND(YEAR(AP$3)=YEAR(EDATE(Assumptions!$F$83,-Assumptions!$F$87)),MONTH(AP$3)=MONTH(EDATE(Assumptions!$F$83,-Assumptions!$F$87))),Assumptions!$F$85,0)</f>
        <v/>
      </c>
      <c r="AQ61" s="43">
        <f>IF(AND(YEAR(AQ$3)=YEAR(EDATE(Assumptions!$F$82,-Assumptions!$F$87)),MONTH(AQ$3)=MONTH(EDATE(Assumptions!$F$82,-Assumptions!$F$87))),Assumptions!$F$85+Assumptions!$F$86,0)+IF(AND(YEAR(AQ$3)=YEAR(EDATE(Assumptions!$F$83,-Assumptions!$F$87)),MONTH(AQ$3)=MONTH(EDATE(Assumptions!$F$83,-Assumptions!$F$87))),Assumptions!$F$85,0)</f>
        <v/>
      </c>
      <c r="AR61" s="43">
        <f>IF(AND(YEAR(AR$3)=YEAR(EDATE(Assumptions!$F$82,-Assumptions!$F$87)),MONTH(AR$3)=MONTH(EDATE(Assumptions!$F$82,-Assumptions!$F$87))),Assumptions!$F$85+Assumptions!$F$86,0)+IF(AND(YEAR(AR$3)=YEAR(EDATE(Assumptions!$F$83,-Assumptions!$F$87)),MONTH(AR$3)=MONTH(EDATE(Assumptions!$F$83,-Assumptions!$F$87))),Assumptions!$F$85,0)</f>
        <v/>
      </c>
      <c r="AS61" s="43">
        <f>IF(AND(YEAR(AS$3)=YEAR(EDATE(Assumptions!$F$82,-Assumptions!$F$87)),MONTH(AS$3)=MONTH(EDATE(Assumptions!$F$82,-Assumptions!$F$87))),Assumptions!$F$85+Assumptions!$F$86,0)+IF(AND(YEAR(AS$3)=YEAR(EDATE(Assumptions!$F$83,-Assumptions!$F$87)),MONTH(AS$3)=MONTH(EDATE(Assumptions!$F$83,-Assumptions!$F$87))),Assumptions!$F$85,0)</f>
        <v/>
      </c>
      <c r="AT61" s="43">
        <f>IF(AND(YEAR(AT$3)=YEAR(EDATE(Assumptions!$F$82,-Assumptions!$F$87)),MONTH(AT$3)=MONTH(EDATE(Assumptions!$F$82,-Assumptions!$F$87))),Assumptions!$F$85+Assumptions!$F$86,0)+IF(AND(YEAR(AT$3)=YEAR(EDATE(Assumptions!$F$83,-Assumptions!$F$87)),MONTH(AT$3)=MONTH(EDATE(Assumptions!$F$83,-Assumptions!$F$87))),Assumptions!$F$85,0)</f>
        <v/>
      </c>
      <c r="AU61" s="43">
        <f>IF(AND(YEAR(AU$3)=YEAR(EDATE(Assumptions!$F$82,-Assumptions!$F$87)),MONTH(AU$3)=MONTH(EDATE(Assumptions!$F$82,-Assumptions!$F$87))),Assumptions!$F$85+Assumptions!$F$86,0)+IF(AND(YEAR(AU$3)=YEAR(EDATE(Assumptions!$F$83,-Assumptions!$F$87)),MONTH(AU$3)=MONTH(EDATE(Assumptions!$F$83,-Assumptions!$F$87))),Assumptions!$F$85,0)</f>
        <v/>
      </c>
      <c r="AV61" s="43">
        <f>IF(AND(YEAR(AV$3)=YEAR(EDATE(Assumptions!$F$82,-Assumptions!$F$87)),MONTH(AV$3)=MONTH(EDATE(Assumptions!$F$82,-Assumptions!$F$87))),Assumptions!$F$85+Assumptions!$F$86,0)+IF(AND(YEAR(AV$3)=YEAR(EDATE(Assumptions!$F$83,-Assumptions!$F$87)),MONTH(AV$3)=MONTH(EDATE(Assumptions!$F$83,-Assumptions!$F$87))),Assumptions!$F$85,0)</f>
        <v/>
      </c>
      <c r="AW61" s="43">
        <f>IF(AND(YEAR(AW$3)=YEAR(EDATE(Assumptions!$F$82,-Assumptions!$F$87)),MONTH(AW$3)=MONTH(EDATE(Assumptions!$F$82,-Assumptions!$F$87))),Assumptions!$F$85+Assumptions!$F$86,0)+IF(AND(YEAR(AW$3)=YEAR(EDATE(Assumptions!$F$83,-Assumptions!$F$87)),MONTH(AW$3)=MONTH(EDATE(Assumptions!$F$83,-Assumptions!$F$87))),Assumptions!$F$85,0)</f>
        <v/>
      </c>
      <c r="AX61" s="43">
        <f>IF(AND(YEAR(AX$3)=YEAR(EDATE(Assumptions!$F$82,-Assumptions!$F$87)),MONTH(AX$3)=MONTH(EDATE(Assumptions!$F$82,-Assumptions!$F$87))),Assumptions!$F$85+Assumptions!$F$86,0)+IF(AND(YEAR(AX$3)=YEAR(EDATE(Assumptions!$F$83,-Assumptions!$F$87)),MONTH(AX$3)=MONTH(EDATE(Assumptions!$F$83,-Assumptions!$F$87))),Assumptions!$F$85,0)</f>
        <v/>
      </c>
      <c r="AY61" s="43">
        <f>IF(AND(YEAR(AY$3)=YEAR(EDATE(Assumptions!$F$82,-Assumptions!$F$87)),MONTH(AY$3)=MONTH(EDATE(Assumptions!$F$82,-Assumptions!$F$87))),Assumptions!$F$85+Assumptions!$F$86,0)+IF(AND(YEAR(AY$3)=YEAR(EDATE(Assumptions!$F$83,-Assumptions!$F$87)),MONTH(AY$3)=MONTH(EDATE(Assumptions!$F$83,-Assumptions!$F$87))),Assumptions!$F$85,0)</f>
        <v/>
      </c>
      <c r="AZ61" s="43">
        <f>IF(AND(YEAR(AZ$3)=YEAR(EDATE(Assumptions!$F$82,-Assumptions!$F$87)),MONTH(AZ$3)=MONTH(EDATE(Assumptions!$F$82,-Assumptions!$F$87))),Assumptions!$F$85+Assumptions!$F$86,0)+IF(AND(YEAR(AZ$3)=YEAR(EDATE(Assumptions!$F$83,-Assumptions!$F$87)),MONTH(AZ$3)=MONTH(EDATE(Assumptions!$F$83,-Assumptions!$F$87))),Assumptions!$F$85,0)</f>
        <v/>
      </c>
      <c r="BA61" s="43">
        <f>IF(AND(YEAR(BA$3)=YEAR(EDATE(Assumptions!$F$82,-Assumptions!$F$87)),MONTH(BA$3)=MONTH(EDATE(Assumptions!$F$82,-Assumptions!$F$87))),Assumptions!$F$85+Assumptions!$F$86,0)+IF(AND(YEAR(BA$3)=YEAR(EDATE(Assumptions!$F$83,-Assumptions!$F$87)),MONTH(BA$3)=MONTH(EDATE(Assumptions!$F$83,-Assumptions!$F$87))),Assumptions!$F$85,0)</f>
        <v/>
      </c>
      <c r="BB61" s="43">
        <f>IF(AND(YEAR(BB$3)=YEAR(EDATE(Assumptions!$F$82,-Assumptions!$F$87)),MONTH(BB$3)=MONTH(EDATE(Assumptions!$F$82,-Assumptions!$F$87))),Assumptions!$F$85+Assumptions!$F$86,0)+IF(AND(YEAR(BB$3)=YEAR(EDATE(Assumptions!$F$83,-Assumptions!$F$87)),MONTH(BB$3)=MONTH(EDATE(Assumptions!$F$83,-Assumptions!$F$87))),Assumptions!$F$85,0)</f>
        <v/>
      </c>
      <c r="BC61" s="43">
        <f>IF(AND(YEAR(BC$3)=YEAR(EDATE(Assumptions!$F$82,-Assumptions!$F$87)),MONTH(BC$3)=MONTH(EDATE(Assumptions!$F$82,-Assumptions!$F$87))),Assumptions!$F$85+Assumptions!$F$86,0)+IF(AND(YEAR(BC$3)=YEAR(EDATE(Assumptions!$F$83,-Assumptions!$F$87)),MONTH(BC$3)=MONTH(EDATE(Assumptions!$F$83,-Assumptions!$F$87))),Assumptions!$F$85,0)</f>
        <v/>
      </c>
      <c r="BD61" s="43">
        <f>IF(AND(YEAR(BD$3)=YEAR(EDATE(Assumptions!$F$82,-Assumptions!$F$87)),MONTH(BD$3)=MONTH(EDATE(Assumptions!$F$82,-Assumptions!$F$87))),Assumptions!$F$85+Assumptions!$F$86,0)+IF(AND(YEAR(BD$3)=YEAR(EDATE(Assumptions!$F$83,-Assumptions!$F$87)),MONTH(BD$3)=MONTH(EDATE(Assumptions!$F$83,-Assumptions!$F$87))),Assumptions!$F$85,0)</f>
        <v/>
      </c>
      <c r="BE61" s="43">
        <f>IF(AND(YEAR(BE$3)=YEAR(EDATE(Assumptions!$F$82,-Assumptions!$F$87)),MONTH(BE$3)=MONTH(EDATE(Assumptions!$F$82,-Assumptions!$F$87))),Assumptions!$F$85+Assumptions!$F$86,0)+IF(AND(YEAR(BE$3)=YEAR(EDATE(Assumptions!$F$83,-Assumptions!$F$87)),MONTH(BE$3)=MONTH(EDATE(Assumptions!$F$83,-Assumptions!$F$87))),Assumptions!$F$85,0)</f>
        <v/>
      </c>
      <c r="BF61" s="43">
        <f>IF(AND(YEAR(BF$3)=YEAR(EDATE(Assumptions!$F$82,-Assumptions!$F$87)),MONTH(BF$3)=MONTH(EDATE(Assumptions!$F$82,-Assumptions!$F$87))),Assumptions!$F$85+Assumptions!$F$86,0)+IF(AND(YEAR(BF$3)=YEAR(EDATE(Assumptions!$F$83,-Assumptions!$F$87)),MONTH(BF$3)=MONTH(EDATE(Assumptions!$F$83,-Assumptions!$F$87))),Assumptions!$F$85,0)</f>
        <v/>
      </c>
      <c r="BG61" s="43">
        <f>IF(AND(YEAR(BG$3)=YEAR(EDATE(Assumptions!$F$82,-Assumptions!$F$87)),MONTH(BG$3)=MONTH(EDATE(Assumptions!$F$82,-Assumptions!$F$87))),Assumptions!$F$85+Assumptions!$F$86,0)+IF(AND(YEAR(BG$3)=YEAR(EDATE(Assumptions!$F$83,-Assumptions!$F$87)),MONTH(BG$3)=MONTH(EDATE(Assumptions!$F$83,-Assumptions!$F$87))),Assumptions!$F$85,0)</f>
        <v/>
      </c>
      <c r="BH61" s="43">
        <f>IF(AND(YEAR(BH$3)=YEAR(EDATE(Assumptions!$F$82,-Assumptions!$F$87)),MONTH(BH$3)=MONTH(EDATE(Assumptions!$F$82,-Assumptions!$F$87))),Assumptions!$F$85+Assumptions!$F$86,0)+IF(AND(YEAR(BH$3)=YEAR(EDATE(Assumptions!$F$83,-Assumptions!$F$87)),MONTH(BH$3)=MONTH(EDATE(Assumptions!$F$83,-Assumptions!$F$87))),Assumptions!$F$85,0)</f>
        <v/>
      </c>
      <c r="BI61" s="43">
        <f>IF(AND(YEAR(BI$3)=YEAR(EDATE(Assumptions!$F$82,-Assumptions!$F$87)),MONTH(BI$3)=MONTH(EDATE(Assumptions!$F$82,-Assumptions!$F$87))),Assumptions!$F$85+Assumptions!$F$86,0)+IF(AND(YEAR(BI$3)=YEAR(EDATE(Assumptions!$F$83,-Assumptions!$F$87)),MONTH(BI$3)=MONTH(EDATE(Assumptions!$F$83,-Assumptions!$F$87))),Assumptions!$F$85,0)</f>
        <v/>
      </c>
      <c r="BJ61" s="43">
        <f>IF(AND(YEAR(BJ$3)=YEAR(EDATE(Assumptions!$F$82,-Assumptions!$F$87)),MONTH(BJ$3)=MONTH(EDATE(Assumptions!$F$82,-Assumptions!$F$87))),Assumptions!$F$85+Assumptions!$F$86,0)+IF(AND(YEAR(BJ$3)=YEAR(EDATE(Assumptions!$F$83,-Assumptions!$F$87)),MONTH(BJ$3)=MONTH(EDATE(Assumptions!$F$83,-Assumptions!$F$87))),Assumptions!$F$85,0)</f>
        <v/>
      </c>
      <c r="BK61" s="43">
        <f>IF(AND(YEAR(BK$3)=YEAR(EDATE(Assumptions!$F$82,-Assumptions!$F$87)),MONTH(BK$3)=MONTH(EDATE(Assumptions!$F$82,-Assumptions!$F$87))),Assumptions!$F$85+Assumptions!$F$86,0)+IF(AND(YEAR(BK$3)=YEAR(EDATE(Assumptions!$F$83,-Assumptions!$F$87)),MONTH(BK$3)=MONTH(EDATE(Assumptions!$F$83,-Assumptions!$F$87))),Assumptions!$F$85,0)</f>
        <v/>
      </c>
      <c r="BL61" s="43">
        <f>IF(AND(YEAR(BL$3)=YEAR(EDATE(Assumptions!$F$82,-Assumptions!$F$87)),MONTH(BL$3)=MONTH(EDATE(Assumptions!$F$82,-Assumptions!$F$87))),Assumptions!$F$85+Assumptions!$F$86,0)+IF(AND(YEAR(BL$3)=YEAR(EDATE(Assumptions!$F$83,-Assumptions!$F$87)),MONTH(BL$3)=MONTH(EDATE(Assumptions!$F$83,-Assumptions!$F$87))),Assumptions!$F$85,0)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t>
        </is>
      </c>
      <c r="C8" s="42" t="inlineStr">
        <is>
          <t>EUR</t>
        </is>
      </c>
      <c r="E8" s="43">
        <f>Assumptions!$F$52</f>
        <v/>
      </c>
      <c r="F8" s="43">
        <f>Assumptions!$F$52</f>
        <v/>
      </c>
      <c r="G8" s="43">
        <f>Assumptions!$F$52</f>
        <v/>
      </c>
      <c r="H8" s="43">
        <f>Assumptions!$F$52</f>
        <v/>
      </c>
      <c r="I8" s="43">
        <f>Assumptions!$F$52</f>
        <v/>
      </c>
      <c r="J8" s="43">
        <f>Assumptions!$F$52</f>
        <v/>
      </c>
      <c r="K8" s="43">
        <f>Assumptions!$F$52</f>
        <v/>
      </c>
      <c r="L8" s="43">
        <f>Assumptions!$F$52</f>
        <v/>
      </c>
      <c r="M8" s="43">
        <f>Assumptions!$F$52</f>
        <v/>
      </c>
      <c r="N8" s="43">
        <f>Assumptions!$F$52</f>
        <v/>
      </c>
      <c r="O8" s="43">
        <f>Assumptions!$F$52</f>
        <v/>
      </c>
      <c r="P8" s="43">
        <f>Assumptions!$F$52</f>
        <v/>
      </c>
      <c r="Q8" s="43">
        <f>Assumptions!$F$52</f>
        <v/>
      </c>
      <c r="R8" s="43">
        <f>Assumptions!$F$52</f>
        <v/>
      </c>
      <c r="S8" s="43">
        <f>Assumptions!$F$52</f>
        <v/>
      </c>
      <c r="T8" s="43">
        <f>Assumptions!$F$52</f>
        <v/>
      </c>
      <c r="U8" s="43">
        <f>Assumptions!$F$52</f>
        <v/>
      </c>
      <c r="V8" s="43">
        <f>Assumptions!$F$52</f>
        <v/>
      </c>
      <c r="W8" s="43">
        <f>Assumptions!$F$52</f>
        <v/>
      </c>
      <c r="X8" s="43">
        <f>Assumptions!$F$52</f>
        <v/>
      </c>
      <c r="Y8" s="43">
        <f>Assumptions!$F$52</f>
        <v/>
      </c>
      <c r="Z8" s="43">
        <f>Assumptions!$F$52</f>
        <v/>
      </c>
      <c r="AA8" s="43">
        <f>Assumptions!$F$52</f>
        <v/>
      </c>
      <c r="AB8" s="43">
        <f>Assumptions!$F$52</f>
        <v/>
      </c>
      <c r="AC8" s="43">
        <f>Assumptions!$F$52</f>
        <v/>
      </c>
      <c r="AD8" s="43">
        <f>Assumptions!$F$52</f>
        <v/>
      </c>
      <c r="AE8" s="43">
        <f>Assumptions!$F$52</f>
        <v/>
      </c>
      <c r="AF8" s="43">
        <f>Assumptions!$F$52</f>
        <v/>
      </c>
      <c r="AG8" s="43">
        <f>Assumptions!$F$52</f>
        <v/>
      </c>
      <c r="AH8" s="43">
        <f>Assumptions!$F$52</f>
        <v/>
      </c>
      <c r="AI8" s="43">
        <f>Assumptions!$F$52</f>
        <v/>
      </c>
      <c r="AJ8" s="43">
        <f>Assumptions!$F$52</f>
        <v/>
      </c>
      <c r="AK8" s="43">
        <f>Assumptions!$F$52</f>
        <v/>
      </c>
      <c r="AL8" s="43">
        <f>Assumptions!$F$52</f>
        <v/>
      </c>
      <c r="AM8" s="43">
        <f>Assumptions!$F$52</f>
        <v/>
      </c>
      <c r="AN8" s="43">
        <f>Assumptions!$F$52</f>
        <v/>
      </c>
      <c r="AO8" s="43">
        <f>Assumptions!$F$52</f>
        <v/>
      </c>
      <c r="AP8" s="43">
        <f>Assumptions!$F$52</f>
        <v/>
      </c>
      <c r="AQ8" s="43">
        <f>Assumptions!$F$52</f>
        <v/>
      </c>
      <c r="AR8" s="43">
        <f>Assumptions!$F$52</f>
        <v/>
      </c>
      <c r="AS8" s="43">
        <f>Assumptions!$F$52</f>
        <v/>
      </c>
      <c r="AT8" s="43">
        <f>Assumptions!$F$52</f>
        <v/>
      </c>
      <c r="AU8" s="43">
        <f>Assumptions!$F$52</f>
        <v/>
      </c>
      <c r="AV8" s="43">
        <f>Assumptions!$F$52</f>
        <v/>
      </c>
      <c r="AW8" s="43">
        <f>Assumptions!$F$52</f>
        <v/>
      </c>
      <c r="AX8" s="43">
        <f>Assumptions!$F$52</f>
        <v/>
      </c>
      <c r="AY8" s="43">
        <f>Assumptions!$F$52</f>
        <v/>
      </c>
      <c r="AZ8" s="43">
        <f>Assumptions!$F$52</f>
        <v/>
      </c>
      <c r="BA8" s="43">
        <f>Assumptions!$F$52</f>
        <v/>
      </c>
      <c r="BB8" s="43">
        <f>Assumptions!$F$52</f>
        <v/>
      </c>
      <c r="BC8" s="43">
        <f>Assumptions!$F$52</f>
        <v/>
      </c>
      <c r="BD8" s="43">
        <f>Assumptions!$F$52</f>
        <v/>
      </c>
      <c r="BE8" s="43">
        <f>Assumptions!$F$52</f>
        <v/>
      </c>
      <c r="BF8" s="43">
        <f>Assumptions!$F$52</f>
        <v/>
      </c>
      <c r="BG8" s="43">
        <f>Assumptions!$F$52</f>
        <v/>
      </c>
      <c r="BH8" s="43">
        <f>Assumptions!$F$52</f>
        <v/>
      </c>
      <c r="BI8" s="43">
        <f>Assumptions!$F$52</f>
        <v/>
      </c>
      <c r="BJ8" s="43">
        <f>Assumptions!$F$52</f>
        <v/>
      </c>
      <c r="BK8" s="43">
        <f>Assumptions!$F$52</f>
        <v/>
      </c>
      <c r="BL8" s="43">
        <f>Assumptions!$F$52</f>
        <v/>
      </c>
      <c r="BN8" s="44">
        <f>IFERROR(AVERAGE(E8:P8),0)</f>
        <v/>
      </c>
      <c r="BO8" s="44">
        <f>IFERROR(AVERAGE(Q8:AB8),0)</f>
        <v/>
      </c>
      <c r="BP8" s="44">
        <f>IFERROR(AVERAGE(AC8:AN8),0)</f>
        <v/>
      </c>
      <c r="BQ8" s="44">
        <f>IFERROR(AVERAGE(AO8:AZ8),0)</f>
        <v/>
      </c>
      <c r="BR8" s="44">
        <f>IFERROR(AVERAGE(BA8:BL8),0)</f>
        <v/>
      </c>
      <c r="BT8" s="20" t="inlineStr">
        <is>
          <t>held flat: marketing per unit only falls as installers bring in more of the orders</t>
        </is>
      </c>
    </row>
    <row r="9">
      <c r="B9" s="9" t="inlineStr">
        <is>
          <t>Qualified leads</t>
        </is>
      </c>
      <c r="C9" s="42" t="inlineStr">
        <is>
          <t>leads</t>
        </is>
      </c>
      <c r="E9" s="54">
        <f>IFERROR(E6/E8,0)*Assumptions!$F$53</f>
        <v/>
      </c>
      <c r="F9" s="54">
        <f>IFERROR(F6/F8,0)*Assumptions!$F$53</f>
        <v/>
      </c>
      <c r="G9" s="54">
        <f>IFERROR(G6/G8,0)*Assumptions!$F$53</f>
        <v/>
      </c>
      <c r="H9" s="54">
        <f>IFERROR(H6/H8,0)*Assumptions!$F$53</f>
        <v/>
      </c>
      <c r="I9" s="54">
        <f>IFERROR(I6/I8,0)*Assumptions!$F$53</f>
        <v/>
      </c>
      <c r="J9" s="54">
        <f>IFERROR(J6/J8,0)*Assumptions!$F$53</f>
        <v/>
      </c>
      <c r="K9" s="54">
        <f>IFERROR(K6/K8,0)*Assumptions!$F$53</f>
        <v/>
      </c>
      <c r="L9" s="54">
        <f>IFERROR(L6/L8,0)*Assumptions!$F$53</f>
        <v/>
      </c>
      <c r="M9" s="54">
        <f>IFERROR(M6/M8,0)*Assumptions!$F$53</f>
        <v/>
      </c>
      <c r="N9" s="54">
        <f>IFERROR(N6/N8,0)*Assumptions!$F$53</f>
        <v/>
      </c>
      <c r="O9" s="54">
        <f>IFERROR(O6/O8,0)*Assumptions!$F$53</f>
        <v/>
      </c>
      <c r="P9" s="54">
        <f>IFERROR(P6/P8,0)*Assumptions!$F$53</f>
        <v/>
      </c>
      <c r="Q9" s="54">
        <f>IFERROR(Q6/Q8,0)*Assumptions!$F$53</f>
        <v/>
      </c>
      <c r="R9" s="54">
        <f>IFERROR(R6/R8,0)*Assumptions!$F$53</f>
        <v/>
      </c>
      <c r="S9" s="54">
        <f>IFERROR(S6/S8,0)*Assumptions!$F$53</f>
        <v/>
      </c>
      <c r="T9" s="54">
        <f>IFERROR(T6/T8,0)*Assumptions!$F$53</f>
        <v/>
      </c>
      <c r="U9" s="54">
        <f>IFERROR(U6/U8,0)*Assumptions!$F$53</f>
        <v/>
      </c>
      <c r="V9" s="54">
        <f>IFERROR(V6/V8,0)*Assumptions!$F$53</f>
        <v/>
      </c>
      <c r="W9" s="54">
        <f>IFERROR(W6/W8,0)*Assumptions!$F$53</f>
        <v/>
      </c>
      <c r="X9" s="54">
        <f>IFERROR(X6/X8,0)*Assumptions!$F$53</f>
        <v/>
      </c>
      <c r="Y9" s="54">
        <f>IFERROR(Y6/Y8,0)*Assumptions!$F$53</f>
        <v/>
      </c>
      <c r="Z9" s="54">
        <f>IFERROR(Z6/Z8,0)*Assumptions!$F$53</f>
        <v/>
      </c>
      <c r="AA9" s="54">
        <f>IFERROR(AA6/AA8,0)*Assumptions!$F$53</f>
        <v/>
      </c>
      <c r="AB9" s="54">
        <f>IFERROR(AB6/AB8,0)*Assumptions!$F$53</f>
        <v/>
      </c>
      <c r="AC9" s="54">
        <f>IFERROR(AC6/AC8,0)*Assumptions!$F$53</f>
        <v/>
      </c>
      <c r="AD9" s="54">
        <f>IFERROR(AD6/AD8,0)*Assumptions!$F$53</f>
        <v/>
      </c>
      <c r="AE9" s="54">
        <f>IFERROR(AE6/AE8,0)*Assumptions!$F$53</f>
        <v/>
      </c>
      <c r="AF9" s="54">
        <f>IFERROR(AF6/AF8,0)*Assumptions!$F$53</f>
        <v/>
      </c>
      <c r="AG9" s="54">
        <f>IFERROR(AG6/AG8,0)*Assumptions!$F$53</f>
        <v/>
      </c>
      <c r="AH9" s="54">
        <f>IFERROR(AH6/AH8,0)*Assumptions!$F$53</f>
        <v/>
      </c>
      <c r="AI9" s="54">
        <f>IFERROR(AI6/AI8,0)*Assumptions!$F$53</f>
        <v/>
      </c>
      <c r="AJ9" s="54">
        <f>IFERROR(AJ6/AJ8,0)*Assumptions!$F$53</f>
        <v/>
      </c>
      <c r="AK9" s="54">
        <f>IFERROR(AK6/AK8,0)*Assumptions!$F$53</f>
        <v/>
      </c>
      <c r="AL9" s="54">
        <f>IFERROR(AL6/AL8,0)*Assumptions!$F$53</f>
        <v/>
      </c>
      <c r="AM9" s="54">
        <f>IFERROR(AM6/AM8,0)*Assumptions!$F$53</f>
        <v/>
      </c>
      <c r="AN9" s="54">
        <f>IFERROR(AN6/AN8,0)*Assumptions!$F$53</f>
        <v/>
      </c>
      <c r="AO9" s="54">
        <f>IFERROR(AO6/AO8,0)*Assumptions!$F$53</f>
        <v/>
      </c>
      <c r="AP9" s="54">
        <f>IFERROR(AP6/AP8,0)*Assumptions!$F$53</f>
        <v/>
      </c>
      <c r="AQ9" s="54">
        <f>IFERROR(AQ6/AQ8,0)*Assumptions!$F$53</f>
        <v/>
      </c>
      <c r="AR9" s="54">
        <f>IFERROR(AR6/AR8,0)*Assumptions!$F$53</f>
        <v/>
      </c>
      <c r="AS9" s="54">
        <f>IFERROR(AS6/AS8,0)*Assumptions!$F$53</f>
        <v/>
      </c>
      <c r="AT9" s="54">
        <f>IFERROR(AT6/AT8,0)*Assumptions!$F$53</f>
        <v/>
      </c>
      <c r="AU9" s="54">
        <f>IFERROR(AU6/AU8,0)*Assumptions!$F$53</f>
        <v/>
      </c>
      <c r="AV9" s="54">
        <f>IFERROR(AV6/AV8,0)*Assumptions!$F$53</f>
        <v/>
      </c>
      <c r="AW9" s="54">
        <f>IFERROR(AW6/AW8,0)*Assumptions!$F$53</f>
        <v/>
      </c>
      <c r="AX9" s="54">
        <f>IFERROR(AX6/AX8,0)*Assumptions!$F$53</f>
        <v/>
      </c>
      <c r="AY9" s="54">
        <f>IFERROR(AY6/AY8,0)*Assumptions!$F$53</f>
        <v/>
      </c>
      <c r="AZ9" s="54">
        <f>IFERROR(AZ6/AZ8,0)*Assumptions!$F$53</f>
        <v/>
      </c>
      <c r="BA9" s="54">
        <f>IFERROR(BA6/BA8,0)*Assumptions!$F$53</f>
        <v/>
      </c>
      <c r="BB9" s="54">
        <f>IFERROR(BB6/BB8,0)*Assumptions!$F$53</f>
        <v/>
      </c>
      <c r="BC9" s="54">
        <f>IFERROR(BC6/BC8,0)*Assumptions!$F$53</f>
        <v/>
      </c>
      <c r="BD9" s="54">
        <f>IFERROR(BD6/BD8,0)*Assumptions!$F$53</f>
        <v/>
      </c>
      <c r="BE9" s="54">
        <f>IFERROR(BE6/BE8,0)*Assumptions!$F$53</f>
        <v/>
      </c>
      <c r="BF9" s="54">
        <f>IFERROR(BF6/BF8,0)*Assumptions!$F$53</f>
        <v/>
      </c>
      <c r="BG9" s="54">
        <f>IFERROR(BG6/BG8,0)*Assumptions!$F$53</f>
        <v/>
      </c>
      <c r="BH9" s="54">
        <f>IFERROR(BH6/BH8,0)*Assumptions!$F$53</f>
        <v/>
      </c>
      <c r="BI9" s="54">
        <f>IFERROR(BI6/BI8,0)*Assumptions!$F$53</f>
        <v/>
      </c>
      <c r="BJ9" s="54">
        <f>IFERROR(BJ6/BJ8,0)*Assumptions!$F$53</f>
        <v/>
      </c>
      <c r="BK9" s="54">
        <f>IFERROR(BK6/BK8,0)*Assumptions!$F$53</f>
        <v/>
      </c>
      <c r="BL9" s="54">
        <f>IFERROR(BL6/BL8,0)*Assumptions!$F$53</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E9*Assumptions!$F$54</f>
        <v/>
      </c>
      <c r="F10" s="54">
        <f>F9*Assumptions!$F$54</f>
        <v/>
      </c>
      <c r="G10" s="54">
        <f>G9*Assumptions!$F$54</f>
        <v/>
      </c>
      <c r="H10" s="54">
        <f>H9*Assumptions!$F$54</f>
        <v/>
      </c>
      <c r="I10" s="54">
        <f>I9*Assumptions!$F$54</f>
        <v/>
      </c>
      <c r="J10" s="54">
        <f>J9*Assumptions!$F$54</f>
        <v/>
      </c>
      <c r="K10" s="54">
        <f>K9*Assumptions!$F$54</f>
        <v/>
      </c>
      <c r="L10" s="54">
        <f>L9*Assumptions!$F$54</f>
        <v/>
      </c>
      <c r="M10" s="54">
        <f>M9*Assumptions!$F$54</f>
        <v/>
      </c>
      <c r="N10" s="54">
        <f>N9*Assumptions!$F$54</f>
        <v/>
      </c>
      <c r="O10" s="54">
        <f>O9*Assumptions!$F$54</f>
        <v/>
      </c>
      <c r="P10" s="54">
        <f>P9*Assumptions!$F$54</f>
        <v/>
      </c>
      <c r="Q10" s="54">
        <f>Q9*Assumptions!$F$54</f>
        <v/>
      </c>
      <c r="R10" s="54">
        <f>R9*Assumptions!$F$54</f>
        <v/>
      </c>
      <c r="S10" s="54">
        <f>S9*Assumptions!$F$54</f>
        <v/>
      </c>
      <c r="T10" s="54">
        <f>T9*Assumptions!$F$54</f>
        <v/>
      </c>
      <c r="U10" s="54">
        <f>U9*Assumptions!$F$54</f>
        <v/>
      </c>
      <c r="V10" s="54">
        <f>V9*Assumptions!$F$54</f>
        <v/>
      </c>
      <c r="W10" s="54">
        <f>W9*Assumptions!$F$54</f>
        <v/>
      </c>
      <c r="X10" s="54">
        <f>X9*Assumptions!$F$54</f>
        <v/>
      </c>
      <c r="Y10" s="54">
        <f>Y9*Assumptions!$F$54</f>
        <v/>
      </c>
      <c r="Z10" s="54">
        <f>Z9*Assumptions!$F$54</f>
        <v/>
      </c>
      <c r="AA10" s="54">
        <f>AA9*Assumptions!$F$54</f>
        <v/>
      </c>
      <c r="AB10" s="54">
        <f>AB9*Assumptions!$F$54</f>
        <v/>
      </c>
      <c r="AC10" s="54">
        <f>AC9*Assumptions!$F$54</f>
        <v/>
      </c>
      <c r="AD10" s="54">
        <f>AD9*Assumptions!$F$54</f>
        <v/>
      </c>
      <c r="AE10" s="54">
        <f>AE9*Assumptions!$F$54</f>
        <v/>
      </c>
      <c r="AF10" s="54">
        <f>AF9*Assumptions!$F$54</f>
        <v/>
      </c>
      <c r="AG10" s="54">
        <f>AG9*Assumptions!$F$54</f>
        <v/>
      </c>
      <c r="AH10" s="54">
        <f>AH9*Assumptions!$F$54</f>
        <v/>
      </c>
      <c r="AI10" s="54">
        <f>AI9*Assumptions!$F$54</f>
        <v/>
      </c>
      <c r="AJ10" s="54">
        <f>AJ9*Assumptions!$F$54</f>
        <v/>
      </c>
      <c r="AK10" s="54">
        <f>AK9*Assumptions!$F$54</f>
        <v/>
      </c>
      <c r="AL10" s="54">
        <f>AL9*Assumptions!$F$54</f>
        <v/>
      </c>
      <c r="AM10" s="54">
        <f>AM9*Assumptions!$F$54</f>
        <v/>
      </c>
      <c r="AN10" s="54">
        <f>AN9*Assumptions!$F$54</f>
        <v/>
      </c>
      <c r="AO10" s="54">
        <f>AO9*Assumptions!$F$54</f>
        <v/>
      </c>
      <c r="AP10" s="54">
        <f>AP9*Assumptions!$F$54</f>
        <v/>
      </c>
      <c r="AQ10" s="54">
        <f>AQ9*Assumptions!$F$54</f>
        <v/>
      </c>
      <c r="AR10" s="54">
        <f>AR9*Assumptions!$F$54</f>
        <v/>
      </c>
      <c r="AS10" s="54">
        <f>AS9*Assumptions!$F$54</f>
        <v/>
      </c>
      <c r="AT10" s="54">
        <f>AT9*Assumptions!$F$54</f>
        <v/>
      </c>
      <c r="AU10" s="54">
        <f>AU9*Assumptions!$F$54</f>
        <v/>
      </c>
      <c r="AV10" s="54">
        <f>AV9*Assumptions!$F$54</f>
        <v/>
      </c>
      <c r="AW10" s="54">
        <f>AW9*Assumptions!$F$54</f>
        <v/>
      </c>
      <c r="AX10" s="54">
        <f>AX9*Assumptions!$F$54</f>
        <v/>
      </c>
      <c r="AY10" s="54">
        <f>AY9*Assumptions!$F$54</f>
        <v/>
      </c>
      <c r="AZ10" s="54">
        <f>AZ9*Assumptions!$F$54</f>
        <v/>
      </c>
      <c r="BA10" s="54">
        <f>BA9*Assumptions!$F$54</f>
        <v/>
      </c>
      <c r="BB10" s="54">
        <f>BB9*Assumptions!$F$54</f>
        <v/>
      </c>
      <c r="BC10" s="54">
        <f>BC9*Assumptions!$F$54</f>
        <v/>
      </c>
      <c r="BD10" s="54">
        <f>BD9*Assumptions!$F$54</f>
        <v/>
      </c>
      <c r="BE10" s="54">
        <f>BE9*Assumptions!$F$54</f>
        <v/>
      </c>
      <c r="BF10" s="54">
        <f>BF9*Assumptions!$F$54</f>
        <v/>
      </c>
      <c r="BG10" s="54">
        <f>BG9*Assumptions!$F$54</f>
        <v/>
      </c>
      <c r="BH10" s="54">
        <f>BH9*Assumptions!$F$54</f>
        <v/>
      </c>
      <c r="BI10" s="54">
        <f>BI9*Assumptions!$F$54</f>
        <v/>
      </c>
      <c r="BJ10" s="54">
        <f>BJ9*Assumptions!$F$54</f>
        <v/>
      </c>
      <c r="BK10" s="54">
        <f>BK9*Assumptions!$F$54</f>
        <v/>
      </c>
      <c r="BL10" s="54">
        <f>BL9*Assumptions!$F$54</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E20*HLOOKUP(YEAR(E$3),Assumptions!$D$68:$H$71,4,FALSE)</f>
        <v/>
      </c>
      <c r="F11" s="54">
        <f>F20*HLOOKUP(YEAR(F$3),Assumptions!$D$68:$H$71,4,FALSE)</f>
        <v/>
      </c>
      <c r="G11" s="54">
        <f>G20*HLOOKUP(YEAR(G$3),Assumptions!$D$68:$H$71,4,FALSE)</f>
        <v/>
      </c>
      <c r="H11" s="54">
        <f>H20*HLOOKUP(YEAR(H$3),Assumptions!$D$68:$H$71,4,FALSE)</f>
        <v/>
      </c>
      <c r="I11" s="54">
        <f>I20*HLOOKUP(YEAR(I$3),Assumptions!$D$68:$H$71,4,FALSE)</f>
        <v/>
      </c>
      <c r="J11" s="54">
        <f>J20*HLOOKUP(YEAR(J$3),Assumptions!$D$68:$H$71,4,FALSE)</f>
        <v/>
      </c>
      <c r="K11" s="54">
        <f>K20*HLOOKUP(YEAR(K$3),Assumptions!$D$68:$H$71,4,FALSE)</f>
        <v/>
      </c>
      <c r="L11" s="54">
        <f>L20*HLOOKUP(YEAR(L$3),Assumptions!$D$68:$H$71,4,FALSE)</f>
        <v/>
      </c>
      <c r="M11" s="54">
        <f>M20*HLOOKUP(YEAR(M$3),Assumptions!$D$68:$H$71,4,FALSE)</f>
        <v/>
      </c>
      <c r="N11" s="54">
        <f>N20*HLOOKUP(YEAR(N$3),Assumptions!$D$68:$H$71,4,FALSE)</f>
        <v/>
      </c>
      <c r="O11" s="54">
        <f>O20*HLOOKUP(YEAR(O$3),Assumptions!$D$68:$H$71,4,FALSE)</f>
        <v/>
      </c>
      <c r="P11" s="54">
        <f>P20*HLOOKUP(YEAR(P$3),Assumptions!$D$68:$H$71,4,FALSE)</f>
        <v/>
      </c>
      <c r="Q11" s="54">
        <f>Q20*HLOOKUP(YEAR(Q$3),Assumptions!$D$68:$H$71,4,FALSE)</f>
        <v/>
      </c>
      <c r="R11" s="54">
        <f>R20*HLOOKUP(YEAR(R$3),Assumptions!$D$68:$H$71,4,FALSE)</f>
        <v/>
      </c>
      <c r="S11" s="54">
        <f>S20*HLOOKUP(YEAR(S$3),Assumptions!$D$68:$H$71,4,FALSE)</f>
        <v/>
      </c>
      <c r="T11" s="54">
        <f>T20*HLOOKUP(YEAR(T$3),Assumptions!$D$68:$H$71,4,FALSE)</f>
        <v/>
      </c>
      <c r="U11" s="54">
        <f>U20*HLOOKUP(YEAR(U$3),Assumptions!$D$68:$H$71,4,FALSE)</f>
        <v/>
      </c>
      <c r="V11" s="54">
        <f>V20*HLOOKUP(YEAR(V$3),Assumptions!$D$68:$H$71,4,FALSE)</f>
        <v/>
      </c>
      <c r="W11" s="54">
        <f>W20*HLOOKUP(YEAR(W$3),Assumptions!$D$68:$H$71,4,FALSE)</f>
        <v/>
      </c>
      <c r="X11" s="54">
        <f>X20*HLOOKUP(YEAR(X$3),Assumptions!$D$68:$H$71,4,FALSE)</f>
        <v/>
      </c>
      <c r="Y11" s="54">
        <f>Y20*HLOOKUP(YEAR(Y$3),Assumptions!$D$68:$H$71,4,FALSE)</f>
        <v/>
      </c>
      <c r="Z11" s="54">
        <f>Z20*HLOOKUP(YEAR(Z$3),Assumptions!$D$68:$H$71,4,FALSE)</f>
        <v/>
      </c>
      <c r="AA11" s="54">
        <f>AA20*HLOOKUP(YEAR(AA$3),Assumptions!$D$68:$H$71,4,FALSE)</f>
        <v/>
      </c>
      <c r="AB11" s="54">
        <f>AB20*HLOOKUP(YEAR(AB$3),Assumptions!$D$68:$H$71,4,FALSE)</f>
        <v/>
      </c>
      <c r="AC11" s="54">
        <f>AC20*HLOOKUP(YEAR(AC$3),Assumptions!$D$68:$H$71,4,FALSE)</f>
        <v/>
      </c>
      <c r="AD11" s="54">
        <f>AD20*HLOOKUP(YEAR(AD$3),Assumptions!$D$68:$H$71,4,FALSE)</f>
        <v/>
      </c>
      <c r="AE11" s="54">
        <f>AE20*HLOOKUP(YEAR(AE$3),Assumptions!$D$68:$H$71,4,FALSE)</f>
        <v/>
      </c>
      <c r="AF11" s="54">
        <f>AF20*HLOOKUP(YEAR(AF$3),Assumptions!$D$68:$H$71,4,FALSE)</f>
        <v/>
      </c>
      <c r="AG11" s="54">
        <f>AG20*HLOOKUP(YEAR(AG$3),Assumptions!$D$68:$H$71,4,FALSE)</f>
        <v/>
      </c>
      <c r="AH11" s="54">
        <f>AH20*HLOOKUP(YEAR(AH$3),Assumptions!$D$68:$H$71,4,FALSE)</f>
        <v/>
      </c>
      <c r="AI11" s="54">
        <f>AI20*HLOOKUP(YEAR(AI$3),Assumptions!$D$68:$H$71,4,FALSE)</f>
        <v/>
      </c>
      <c r="AJ11" s="54">
        <f>AJ20*HLOOKUP(YEAR(AJ$3),Assumptions!$D$68:$H$71,4,FALSE)</f>
        <v/>
      </c>
      <c r="AK11" s="54">
        <f>AK20*HLOOKUP(YEAR(AK$3),Assumptions!$D$68:$H$71,4,FALSE)</f>
        <v/>
      </c>
      <c r="AL11" s="54">
        <f>AL20*HLOOKUP(YEAR(AL$3),Assumptions!$D$68:$H$71,4,FALSE)</f>
        <v/>
      </c>
      <c r="AM11" s="54">
        <f>AM20*HLOOKUP(YEAR(AM$3),Assumptions!$D$68:$H$71,4,FALSE)</f>
        <v/>
      </c>
      <c r="AN11" s="54">
        <f>AN20*HLOOKUP(YEAR(AN$3),Assumptions!$D$68:$H$71,4,FALSE)</f>
        <v/>
      </c>
      <c r="AO11" s="54">
        <f>AO20*HLOOKUP(YEAR(AO$3),Assumptions!$D$68:$H$71,4,FALSE)</f>
        <v/>
      </c>
      <c r="AP11" s="54">
        <f>AP20*HLOOKUP(YEAR(AP$3),Assumptions!$D$68:$H$71,4,FALSE)</f>
        <v/>
      </c>
      <c r="AQ11" s="54">
        <f>AQ20*HLOOKUP(YEAR(AQ$3),Assumptions!$D$68:$H$71,4,FALSE)</f>
        <v/>
      </c>
      <c r="AR11" s="54">
        <f>AR20*HLOOKUP(YEAR(AR$3),Assumptions!$D$68:$H$71,4,FALSE)</f>
        <v/>
      </c>
      <c r="AS11" s="54">
        <f>AS20*HLOOKUP(YEAR(AS$3),Assumptions!$D$68:$H$71,4,FALSE)</f>
        <v/>
      </c>
      <c r="AT11" s="54">
        <f>AT20*HLOOKUP(YEAR(AT$3),Assumptions!$D$68:$H$71,4,FALSE)</f>
        <v/>
      </c>
      <c r="AU11" s="54">
        <f>AU20*HLOOKUP(YEAR(AU$3),Assumptions!$D$68:$H$71,4,FALSE)</f>
        <v/>
      </c>
      <c r="AV11" s="54">
        <f>AV20*HLOOKUP(YEAR(AV$3),Assumptions!$D$68:$H$71,4,FALSE)</f>
        <v/>
      </c>
      <c r="AW11" s="54">
        <f>AW20*HLOOKUP(YEAR(AW$3),Assumptions!$D$68:$H$71,4,FALSE)</f>
        <v/>
      </c>
      <c r="AX11" s="54">
        <f>AX20*HLOOKUP(YEAR(AX$3),Assumptions!$D$68:$H$71,4,FALSE)</f>
        <v/>
      </c>
      <c r="AY11" s="54">
        <f>AY20*HLOOKUP(YEAR(AY$3),Assumptions!$D$68:$H$71,4,FALSE)</f>
        <v/>
      </c>
      <c r="AZ11" s="54">
        <f>AZ20*HLOOKUP(YEAR(AZ$3),Assumptions!$D$68:$H$71,4,FALSE)</f>
        <v/>
      </c>
      <c r="BA11" s="54">
        <f>BA20*HLOOKUP(YEAR(BA$3),Assumptions!$D$68:$H$71,4,FALSE)</f>
        <v/>
      </c>
      <c r="BB11" s="54">
        <f>BB20*HLOOKUP(YEAR(BB$3),Assumptions!$D$68:$H$71,4,FALSE)</f>
        <v/>
      </c>
      <c r="BC11" s="54">
        <f>BC20*HLOOKUP(YEAR(BC$3),Assumptions!$D$68:$H$71,4,FALSE)</f>
        <v/>
      </c>
      <c r="BD11" s="54">
        <f>BD20*HLOOKUP(YEAR(BD$3),Assumptions!$D$68:$H$71,4,FALSE)</f>
        <v/>
      </c>
      <c r="BE11" s="54">
        <f>BE20*HLOOKUP(YEAR(BE$3),Assumptions!$D$68:$H$71,4,FALSE)</f>
        <v/>
      </c>
      <c r="BF11" s="54">
        <f>BF20*HLOOKUP(YEAR(BF$3),Assumptions!$D$68:$H$71,4,FALSE)</f>
        <v/>
      </c>
      <c r="BG11" s="54">
        <f>BG20*HLOOKUP(YEAR(BG$3),Assumptions!$D$68:$H$71,4,FALSE)</f>
        <v/>
      </c>
      <c r="BH11" s="54">
        <f>BH20*HLOOKUP(YEAR(BH$3),Assumptions!$D$68:$H$71,4,FALSE)</f>
        <v/>
      </c>
      <c r="BI11" s="54">
        <f>BI20*HLOOKUP(YEAR(BI$3),Assumptions!$D$68:$H$71,4,FALSE)</f>
        <v/>
      </c>
      <c r="BJ11" s="54">
        <f>BJ20*HLOOKUP(YEAR(BJ$3),Assumptions!$D$68:$H$71,4,FALSE)</f>
        <v/>
      </c>
      <c r="BK11" s="54">
        <f>BK20*HLOOKUP(YEAR(BK$3),Assumptions!$D$68:$H$71,4,FALSE)</f>
        <v/>
      </c>
      <c r="BL11" s="54">
        <f>BL20*HLOOKUP(YEAR(BL$3),Assumptions!$D$68:$H$71,4,FALSE)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HLOOKUP(YEAR(E$3),Assumptions!$D$56:$H$59,4,FALSE)</f>
        <v/>
      </c>
      <c r="F15" s="56">
        <f>HLOOKUP(YEAR(F$3),Assumptions!$D$56:$H$59,4,FALSE)</f>
        <v/>
      </c>
      <c r="G15" s="56">
        <f>HLOOKUP(YEAR(G$3),Assumptions!$D$56:$H$59,4,FALSE)</f>
        <v/>
      </c>
      <c r="H15" s="56">
        <f>HLOOKUP(YEAR(H$3),Assumptions!$D$56:$H$59,4,FALSE)</f>
        <v/>
      </c>
      <c r="I15" s="56">
        <f>HLOOKUP(YEAR(I$3),Assumptions!$D$56:$H$59,4,FALSE)</f>
        <v/>
      </c>
      <c r="J15" s="56">
        <f>HLOOKUP(YEAR(J$3),Assumptions!$D$56:$H$59,4,FALSE)</f>
        <v/>
      </c>
      <c r="K15" s="56">
        <f>HLOOKUP(YEAR(K$3),Assumptions!$D$56:$H$59,4,FALSE)</f>
        <v/>
      </c>
      <c r="L15" s="56">
        <f>HLOOKUP(YEAR(L$3),Assumptions!$D$56:$H$59,4,FALSE)</f>
        <v/>
      </c>
      <c r="M15" s="56">
        <f>HLOOKUP(YEAR(M$3),Assumptions!$D$56:$H$59,4,FALSE)</f>
        <v/>
      </c>
      <c r="N15" s="56">
        <f>HLOOKUP(YEAR(N$3),Assumptions!$D$56:$H$59,4,FALSE)</f>
        <v/>
      </c>
      <c r="O15" s="56">
        <f>HLOOKUP(YEAR(O$3),Assumptions!$D$56:$H$59,4,FALSE)</f>
        <v/>
      </c>
      <c r="P15" s="56">
        <f>HLOOKUP(YEAR(P$3),Assumptions!$D$56:$H$59,4,FALSE)</f>
        <v/>
      </c>
      <c r="Q15" s="56">
        <f>HLOOKUP(YEAR(Q$3),Assumptions!$D$56:$H$59,4,FALSE)</f>
        <v/>
      </c>
      <c r="R15" s="56">
        <f>HLOOKUP(YEAR(R$3),Assumptions!$D$56:$H$59,4,FALSE)</f>
        <v/>
      </c>
      <c r="S15" s="56">
        <f>HLOOKUP(YEAR(S$3),Assumptions!$D$56:$H$59,4,FALSE)</f>
        <v/>
      </c>
      <c r="T15" s="56">
        <f>HLOOKUP(YEAR(T$3),Assumptions!$D$56:$H$59,4,FALSE)</f>
        <v/>
      </c>
      <c r="U15" s="56">
        <f>HLOOKUP(YEAR(U$3),Assumptions!$D$56:$H$59,4,FALSE)</f>
        <v/>
      </c>
      <c r="V15" s="56">
        <f>HLOOKUP(YEAR(V$3),Assumptions!$D$56:$H$59,4,FALSE)</f>
        <v/>
      </c>
      <c r="W15" s="56">
        <f>HLOOKUP(YEAR(W$3),Assumptions!$D$56:$H$59,4,FALSE)</f>
        <v/>
      </c>
      <c r="X15" s="56">
        <f>HLOOKUP(YEAR(X$3),Assumptions!$D$56:$H$59,4,FALSE)</f>
        <v/>
      </c>
      <c r="Y15" s="56">
        <f>HLOOKUP(YEAR(Y$3),Assumptions!$D$56:$H$59,4,FALSE)</f>
        <v/>
      </c>
      <c r="Z15" s="56">
        <f>HLOOKUP(YEAR(Z$3),Assumptions!$D$56:$H$59,4,FALSE)</f>
        <v/>
      </c>
      <c r="AA15" s="56">
        <f>HLOOKUP(YEAR(AA$3),Assumptions!$D$56:$H$59,4,FALSE)</f>
        <v/>
      </c>
      <c r="AB15" s="56">
        <f>HLOOKUP(YEAR(AB$3),Assumptions!$D$56:$H$59,4,FALSE)</f>
        <v/>
      </c>
      <c r="AC15" s="56">
        <f>HLOOKUP(YEAR(AC$3),Assumptions!$D$56:$H$59,4,FALSE)</f>
        <v/>
      </c>
      <c r="AD15" s="56">
        <f>HLOOKUP(YEAR(AD$3),Assumptions!$D$56:$H$59,4,FALSE)</f>
        <v/>
      </c>
      <c r="AE15" s="56">
        <f>HLOOKUP(YEAR(AE$3),Assumptions!$D$56:$H$59,4,FALSE)</f>
        <v/>
      </c>
      <c r="AF15" s="56">
        <f>HLOOKUP(YEAR(AF$3),Assumptions!$D$56:$H$59,4,FALSE)</f>
        <v/>
      </c>
      <c r="AG15" s="56">
        <f>HLOOKUP(YEAR(AG$3),Assumptions!$D$56:$H$59,4,FALSE)</f>
        <v/>
      </c>
      <c r="AH15" s="56">
        <f>HLOOKUP(YEAR(AH$3),Assumptions!$D$56:$H$59,4,FALSE)</f>
        <v/>
      </c>
      <c r="AI15" s="56">
        <f>HLOOKUP(YEAR(AI$3),Assumptions!$D$56:$H$59,4,FALSE)</f>
        <v/>
      </c>
      <c r="AJ15" s="56">
        <f>HLOOKUP(YEAR(AJ$3),Assumptions!$D$56:$H$59,4,FALSE)</f>
        <v/>
      </c>
      <c r="AK15" s="56">
        <f>HLOOKUP(YEAR(AK$3),Assumptions!$D$56:$H$59,4,FALSE)</f>
        <v/>
      </c>
      <c r="AL15" s="56">
        <f>HLOOKUP(YEAR(AL$3),Assumptions!$D$56:$H$59,4,FALSE)</f>
        <v/>
      </c>
      <c r="AM15" s="56">
        <f>HLOOKUP(YEAR(AM$3),Assumptions!$D$56:$H$59,4,FALSE)</f>
        <v/>
      </c>
      <c r="AN15" s="56">
        <f>HLOOKUP(YEAR(AN$3),Assumptions!$D$56:$H$59,4,FALSE)</f>
        <v/>
      </c>
      <c r="AO15" s="56">
        <f>HLOOKUP(YEAR(AO$3),Assumptions!$D$56:$H$59,4,FALSE)</f>
        <v/>
      </c>
      <c r="AP15" s="56">
        <f>HLOOKUP(YEAR(AP$3),Assumptions!$D$56:$H$59,4,FALSE)</f>
        <v/>
      </c>
      <c r="AQ15" s="56">
        <f>HLOOKUP(YEAR(AQ$3),Assumptions!$D$56:$H$59,4,FALSE)</f>
        <v/>
      </c>
      <c r="AR15" s="56">
        <f>HLOOKUP(YEAR(AR$3),Assumptions!$D$56:$H$59,4,FALSE)</f>
        <v/>
      </c>
      <c r="AS15" s="56">
        <f>HLOOKUP(YEAR(AS$3),Assumptions!$D$56:$H$59,4,FALSE)</f>
        <v/>
      </c>
      <c r="AT15" s="56">
        <f>HLOOKUP(YEAR(AT$3),Assumptions!$D$56:$H$59,4,FALSE)</f>
        <v/>
      </c>
      <c r="AU15" s="56">
        <f>HLOOKUP(YEAR(AU$3),Assumptions!$D$56:$H$59,4,FALSE)</f>
        <v/>
      </c>
      <c r="AV15" s="56">
        <f>HLOOKUP(YEAR(AV$3),Assumptions!$D$56:$H$59,4,FALSE)</f>
        <v/>
      </c>
      <c r="AW15" s="56">
        <f>HLOOKUP(YEAR(AW$3),Assumptions!$D$56:$H$59,4,FALSE)</f>
        <v/>
      </c>
      <c r="AX15" s="56">
        <f>HLOOKUP(YEAR(AX$3),Assumptions!$D$56:$H$59,4,FALSE)</f>
        <v/>
      </c>
      <c r="AY15" s="56">
        <f>HLOOKUP(YEAR(AY$3),Assumptions!$D$56:$H$59,4,FALSE)</f>
        <v/>
      </c>
      <c r="AZ15" s="56">
        <f>HLOOKUP(YEAR(AZ$3),Assumptions!$D$56:$H$59,4,FALSE)</f>
        <v/>
      </c>
      <c r="BA15" s="56">
        <f>HLOOKUP(YEAR(BA$3),Assumptions!$D$56:$H$59,4,FALSE)</f>
        <v/>
      </c>
      <c r="BB15" s="56">
        <f>HLOOKUP(YEAR(BB$3),Assumptions!$D$56:$H$59,4,FALSE)</f>
        <v/>
      </c>
      <c r="BC15" s="56">
        <f>HLOOKUP(YEAR(BC$3),Assumptions!$D$56:$H$59,4,FALSE)</f>
        <v/>
      </c>
      <c r="BD15" s="56">
        <f>HLOOKUP(YEAR(BD$3),Assumptions!$D$56:$H$59,4,FALSE)</f>
        <v/>
      </c>
      <c r="BE15" s="56">
        <f>HLOOKUP(YEAR(BE$3),Assumptions!$D$56:$H$59,4,FALSE)</f>
        <v/>
      </c>
      <c r="BF15" s="56">
        <f>HLOOKUP(YEAR(BF$3),Assumptions!$D$56:$H$59,4,FALSE)</f>
        <v/>
      </c>
      <c r="BG15" s="56">
        <f>HLOOKUP(YEAR(BG$3),Assumptions!$D$56:$H$59,4,FALSE)</f>
        <v/>
      </c>
      <c r="BH15" s="56">
        <f>HLOOKUP(YEAR(BH$3),Assumptions!$D$56:$H$59,4,FALSE)</f>
        <v/>
      </c>
      <c r="BI15" s="56">
        <f>HLOOKUP(YEAR(BI$3),Assumptions!$D$56:$H$59,4,FALSE)</f>
        <v/>
      </c>
      <c r="BJ15" s="56">
        <f>HLOOKUP(YEAR(BJ$3),Assumptions!$D$56:$H$59,4,FALSE)</f>
        <v/>
      </c>
      <c r="BK15" s="56">
        <f>HLOOKUP(YEAR(BK$3),Assumptions!$D$56:$H$59,4,FALSE)</f>
        <v/>
      </c>
      <c r="BL15" s="56">
        <f>HLOOKUP(YEAR(BL$3),Assumptions!$D$56:$H$59,4,FALSE)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IF(E$3&lt;Assumptions!$F$13,0,HLOOKUP(YEAR(E$3),Assumptions!$D$60:$H$63,4,FALSE))</f>
        <v/>
      </c>
      <c r="F16" s="58">
        <f>IF(F$3&lt;Assumptions!$F$13,0,HLOOKUP(YEAR(F$3),Assumptions!$D$60:$H$63,4,FALSE))</f>
        <v/>
      </c>
      <c r="G16" s="58">
        <f>IF(G$3&lt;Assumptions!$F$13,0,HLOOKUP(YEAR(G$3),Assumptions!$D$60:$H$63,4,FALSE))</f>
        <v/>
      </c>
      <c r="H16" s="58">
        <f>IF(H$3&lt;Assumptions!$F$13,0,HLOOKUP(YEAR(H$3),Assumptions!$D$60:$H$63,4,FALSE))</f>
        <v/>
      </c>
      <c r="I16" s="58">
        <f>IF(I$3&lt;Assumptions!$F$13,0,HLOOKUP(YEAR(I$3),Assumptions!$D$60:$H$63,4,FALSE))</f>
        <v/>
      </c>
      <c r="J16" s="58">
        <f>IF(J$3&lt;Assumptions!$F$13,0,HLOOKUP(YEAR(J$3),Assumptions!$D$60:$H$63,4,FALSE))</f>
        <v/>
      </c>
      <c r="K16" s="58">
        <f>IF(K$3&lt;Assumptions!$F$13,0,HLOOKUP(YEAR(K$3),Assumptions!$D$60:$H$63,4,FALSE))</f>
        <v/>
      </c>
      <c r="L16" s="58">
        <f>IF(L$3&lt;Assumptions!$F$13,0,HLOOKUP(YEAR(L$3),Assumptions!$D$60:$H$63,4,FALSE))</f>
        <v/>
      </c>
      <c r="M16" s="58">
        <f>IF(M$3&lt;Assumptions!$F$13,0,HLOOKUP(YEAR(M$3),Assumptions!$D$60:$H$63,4,FALSE))</f>
        <v/>
      </c>
      <c r="N16" s="58">
        <f>IF(N$3&lt;Assumptions!$F$13,0,HLOOKUP(YEAR(N$3),Assumptions!$D$60:$H$63,4,FALSE))</f>
        <v/>
      </c>
      <c r="O16" s="58">
        <f>IF(O$3&lt;Assumptions!$F$13,0,HLOOKUP(YEAR(O$3),Assumptions!$D$60:$H$63,4,FALSE))</f>
        <v/>
      </c>
      <c r="P16" s="58">
        <f>IF(P$3&lt;Assumptions!$F$13,0,HLOOKUP(YEAR(P$3),Assumptions!$D$60:$H$63,4,FALSE))</f>
        <v/>
      </c>
      <c r="Q16" s="58">
        <f>IF(Q$3&lt;Assumptions!$F$13,0,HLOOKUP(YEAR(Q$3),Assumptions!$D$60:$H$63,4,FALSE))</f>
        <v/>
      </c>
      <c r="R16" s="58">
        <f>IF(R$3&lt;Assumptions!$F$13,0,HLOOKUP(YEAR(R$3),Assumptions!$D$60:$H$63,4,FALSE))</f>
        <v/>
      </c>
      <c r="S16" s="58">
        <f>IF(S$3&lt;Assumptions!$F$13,0,HLOOKUP(YEAR(S$3),Assumptions!$D$60:$H$63,4,FALSE))</f>
        <v/>
      </c>
      <c r="T16" s="58">
        <f>IF(T$3&lt;Assumptions!$F$13,0,HLOOKUP(YEAR(T$3),Assumptions!$D$60:$H$63,4,FALSE))</f>
        <v/>
      </c>
      <c r="U16" s="58">
        <f>IF(U$3&lt;Assumptions!$F$13,0,HLOOKUP(YEAR(U$3),Assumptions!$D$60:$H$63,4,FALSE))</f>
        <v/>
      </c>
      <c r="V16" s="58">
        <f>IF(V$3&lt;Assumptions!$F$13,0,HLOOKUP(YEAR(V$3),Assumptions!$D$60:$H$63,4,FALSE))</f>
        <v/>
      </c>
      <c r="W16" s="58">
        <f>IF(W$3&lt;Assumptions!$F$13,0,HLOOKUP(YEAR(W$3),Assumptions!$D$60:$H$63,4,FALSE))</f>
        <v/>
      </c>
      <c r="X16" s="58">
        <f>IF(X$3&lt;Assumptions!$F$13,0,HLOOKUP(YEAR(X$3),Assumptions!$D$60:$H$63,4,FALSE))</f>
        <v/>
      </c>
      <c r="Y16" s="58">
        <f>IF(Y$3&lt;Assumptions!$F$13,0,HLOOKUP(YEAR(Y$3),Assumptions!$D$60:$H$63,4,FALSE))</f>
        <v/>
      </c>
      <c r="Z16" s="58">
        <f>IF(Z$3&lt;Assumptions!$F$13,0,HLOOKUP(YEAR(Z$3),Assumptions!$D$60:$H$63,4,FALSE))</f>
        <v/>
      </c>
      <c r="AA16" s="58">
        <f>IF(AA$3&lt;Assumptions!$F$13,0,HLOOKUP(YEAR(AA$3),Assumptions!$D$60:$H$63,4,FALSE))</f>
        <v/>
      </c>
      <c r="AB16" s="58">
        <f>IF(AB$3&lt;Assumptions!$F$13,0,HLOOKUP(YEAR(AB$3),Assumptions!$D$60:$H$63,4,FALSE))</f>
        <v/>
      </c>
      <c r="AC16" s="58">
        <f>IF(AC$3&lt;Assumptions!$F$13,0,HLOOKUP(YEAR(AC$3),Assumptions!$D$60:$H$63,4,FALSE))</f>
        <v/>
      </c>
      <c r="AD16" s="58">
        <f>IF(AD$3&lt;Assumptions!$F$13,0,HLOOKUP(YEAR(AD$3),Assumptions!$D$60:$H$63,4,FALSE))</f>
        <v/>
      </c>
      <c r="AE16" s="58">
        <f>IF(AE$3&lt;Assumptions!$F$13,0,HLOOKUP(YEAR(AE$3),Assumptions!$D$60:$H$63,4,FALSE))</f>
        <v/>
      </c>
      <c r="AF16" s="58">
        <f>IF(AF$3&lt;Assumptions!$F$13,0,HLOOKUP(YEAR(AF$3),Assumptions!$D$60:$H$63,4,FALSE))</f>
        <v/>
      </c>
      <c r="AG16" s="58">
        <f>IF(AG$3&lt;Assumptions!$F$13,0,HLOOKUP(YEAR(AG$3),Assumptions!$D$60:$H$63,4,FALSE))</f>
        <v/>
      </c>
      <c r="AH16" s="58">
        <f>IF(AH$3&lt;Assumptions!$F$13,0,HLOOKUP(YEAR(AH$3),Assumptions!$D$60:$H$63,4,FALSE))</f>
        <v/>
      </c>
      <c r="AI16" s="58">
        <f>IF(AI$3&lt;Assumptions!$F$13,0,HLOOKUP(YEAR(AI$3),Assumptions!$D$60:$H$63,4,FALSE))</f>
        <v/>
      </c>
      <c r="AJ16" s="58">
        <f>IF(AJ$3&lt;Assumptions!$F$13,0,HLOOKUP(YEAR(AJ$3),Assumptions!$D$60:$H$63,4,FALSE))</f>
        <v/>
      </c>
      <c r="AK16" s="58">
        <f>IF(AK$3&lt;Assumptions!$F$13,0,HLOOKUP(YEAR(AK$3),Assumptions!$D$60:$H$63,4,FALSE))</f>
        <v/>
      </c>
      <c r="AL16" s="58">
        <f>IF(AL$3&lt;Assumptions!$F$13,0,HLOOKUP(YEAR(AL$3),Assumptions!$D$60:$H$63,4,FALSE))</f>
        <v/>
      </c>
      <c r="AM16" s="58">
        <f>IF(AM$3&lt;Assumptions!$F$13,0,HLOOKUP(YEAR(AM$3),Assumptions!$D$60:$H$63,4,FALSE))</f>
        <v/>
      </c>
      <c r="AN16" s="58">
        <f>IF(AN$3&lt;Assumptions!$F$13,0,HLOOKUP(YEAR(AN$3),Assumptions!$D$60:$H$63,4,FALSE))</f>
        <v/>
      </c>
      <c r="AO16" s="58">
        <f>IF(AO$3&lt;Assumptions!$F$13,0,HLOOKUP(YEAR(AO$3),Assumptions!$D$60:$H$63,4,FALSE))</f>
        <v/>
      </c>
      <c r="AP16" s="58">
        <f>IF(AP$3&lt;Assumptions!$F$13,0,HLOOKUP(YEAR(AP$3),Assumptions!$D$60:$H$63,4,FALSE))</f>
        <v/>
      </c>
      <c r="AQ16" s="58">
        <f>IF(AQ$3&lt;Assumptions!$F$13,0,HLOOKUP(YEAR(AQ$3),Assumptions!$D$60:$H$63,4,FALSE))</f>
        <v/>
      </c>
      <c r="AR16" s="58">
        <f>IF(AR$3&lt;Assumptions!$F$13,0,HLOOKUP(YEAR(AR$3),Assumptions!$D$60:$H$63,4,FALSE))</f>
        <v/>
      </c>
      <c r="AS16" s="58">
        <f>IF(AS$3&lt;Assumptions!$F$13,0,HLOOKUP(YEAR(AS$3),Assumptions!$D$60:$H$63,4,FALSE))</f>
        <v/>
      </c>
      <c r="AT16" s="58">
        <f>IF(AT$3&lt;Assumptions!$F$13,0,HLOOKUP(YEAR(AT$3),Assumptions!$D$60:$H$63,4,FALSE))</f>
        <v/>
      </c>
      <c r="AU16" s="58">
        <f>IF(AU$3&lt;Assumptions!$F$13,0,HLOOKUP(YEAR(AU$3),Assumptions!$D$60:$H$63,4,FALSE))</f>
        <v/>
      </c>
      <c r="AV16" s="58">
        <f>IF(AV$3&lt;Assumptions!$F$13,0,HLOOKUP(YEAR(AV$3),Assumptions!$D$60:$H$63,4,FALSE))</f>
        <v/>
      </c>
      <c r="AW16" s="58">
        <f>IF(AW$3&lt;Assumptions!$F$13,0,HLOOKUP(YEAR(AW$3),Assumptions!$D$60:$H$63,4,FALSE))</f>
        <v/>
      </c>
      <c r="AX16" s="58">
        <f>IF(AX$3&lt;Assumptions!$F$13,0,HLOOKUP(YEAR(AX$3),Assumptions!$D$60:$H$63,4,FALSE))</f>
        <v/>
      </c>
      <c r="AY16" s="58">
        <f>IF(AY$3&lt;Assumptions!$F$13,0,HLOOKUP(YEAR(AY$3),Assumptions!$D$60:$H$63,4,FALSE))</f>
        <v/>
      </c>
      <c r="AZ16" s="58">
        <f>IF(AZ$3&lt;Assumptions!$F$13,0,HLOOKUP(YEAR(AZ$3),Assumptions!$D$60:$H$63,4,FALSE))</f>
        <v/>
      </c>
      <c r="BA16" s="58">
        <f>IF(BA$3&lt;Assumptions!$F$13,0,HLOOKUP(YEAR(BA$3),Assumptions!$D$60:$H$63,4,FALSE))</f>
        <v/>
      </c>
      <c r="BB16" s="58">
        <f>IF(BB$3&lt;Assumptions!$F$13,0,HLOOKUP(YEAR(BB$3),Assumptions!$D$60:$H$63,4,FALSE))</f>
        <v/>
      </c>
      <c r="BC16" s="58">
        <f>IF(BC$3&lt;Assumptions!$F$13,0,HLOOKUP(YEAR(BC$3),Assumptions!$D$60:$H$63,4,FALSE))</f>
        <v/>
      </c>
      <c r="BD16" s="58">
        <f>IF(BD$3&lt;Assumptions!$F$13,0,HLOOKUP(YEAR(BD$3),Assumptions!$D$60:$H$63,4,FALSE))</f>
        <v/>
      </c>
      <c r="BE16" s="58">
        <f>IF(BE$3&lt;Assumptions!$F$13,0,HLOOKUP(YEAR(BE$3),Assumptions!$D$60:$H$63,4,FALSE))</f>
        <v/>
      </c>
      <c r="BF16" s="58">
        <f>IF(BF$3&lt;Assumptions!$F$13,0,HLOOKUP(YEAR(BF$3),Assumptions!$D$60:$H$63,4,FALSE))</f>
        <v/>
      </c>
      <c r="BG16" s="58">
        <f>IF(BG$3&lt;Assumptions!$F$13,0,HLOOKUP(YEAR(BG$3),Assumptions!$D$60:$H$63,4,FALSE))</f>
        <v/>
      </c>
      <c r="BH16" s="58">
        <f>IF(BH$3&lt;Assumptions!$F$13,0,HLOOKUP(YEAR(BH$3),Assumptions!$D$60:$H$63,4,FALSE))</f>
        <v/>
      </c>
      <c r="BI16" s="58">
        <f>IF(BI$3&lt;Assumptions!$F$13,0,HLOOKUP(YEAR(BI$3),Assumptions!$D$60:$H$63,4,FALSE))</f>
        <v/>
      </c>
      <c r="BJ16" s="58">
        <f>IF(BJ$3&lt;Assumptions!$F$13,0,HLOOKUP(YEAR(BJ$3),Assumptions!$D$60:$H$63,4,FALSE))</f>
        <v/>
      </c>
      <c r="BK16" s="58">
        <f>IF(BK$3&lt;Assumptions!$F$13,0,HLOOKUP(YEAR(BK$3),Assumptions!$D$60:$H$63,4,FALSE))</f>
        <v/>
      </c>
      <c r="BL16" s="58">
        <f>IF(BL$3&lt;Assumptions!$F$13,0,HLOOKUP(YEAR(BL$3),Assumptions!$D$60:$H$63,4,FALSE))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Assumptions!$F$73+E16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E17*Assumptions!$F$74</f>
        <v/>
      </c>
      <c r="F18" s="54">
        <f>F17*Assumptions!$F$74</f>
        <v/>
      </c>
      <c r="G18" s="54">
        <f>G17*Assumptions!$F$74</f>
        <v/>
      </c>
      <c r="H18" s="54">
        <f>H17*Assumptions!$F$74</f>
        <v/>
      </c>
      <c r="I18" s="54">
        <f>I17*Assumptions!$F$74</f>
        <v/>
      </c>
      <c r="J18" s="54">
        <f>J17*Assumptions!$F$74</f>
        <v/>
      </c>
      <c r="K18" s="54">
        <f>K17*Assumptions!$F$74</f>
        <v/>
      </c>
      <c r="L18" s="54">
        <f>L17*Assumptions!$F$74</f>
        <v/>
      </c>
      <c r="M18" s="54">
        <f>M17*Assumptions!$F$74</f>
        <v/>
      </c>
      <c r="N18" s="54">
        <f>N17*Assumptions!$F$74</f>
        <v/>
      </c>
      <c r="O18" s="54">
        <f>O17*Assumptions!$F$74</f>
        <v/>
      </c>
      <c r="P18" s="54">
        <f>P17*Assumptions!$F$74</f>
        <v/>
      </c>
      <c r="Q18" s="54">
        <f>Q17*Assumptions!$F$74</f>
        <v/>
      </c>
      <c r="R18" s="54">
        <f>R17*Assumptions!$F$74</f>
        <v/>
      </c>
      <c r="S18" s="54">
        <f>S17*Assumptions!$F$74</f>
        <v/>
      </c>
      <c r="T18" s="54">
        <f>T17*Assumptions!$F$74</f>
        <v/>
      </c>
      <c r="U18" s="54">
        <f>U17*Assumptions!$F$74</f>
        <v/>
      </c>
      <c r="V18" s="54">
        <f>V17*Assumptions!$F$74</f>
        <v/>
      </c>
      <c r="W18" s="54">
        <f>W17*Assumptions!$F$74</f>
        <v/>
      </c>
      <c r="X18" s="54">
        <f>X17*Assumptions!$F$74</f>
        <v/>
      </c>
      <c r="Y18" s="54">
        <f>Y17*Assumptions!$F$74</f>
        <v/>
      </c>
      <c r="Z18" s="54">
        <f>Z17*Assumptions!$F$74</f>
        <v/>
      </c>
      <c r="AA18" s="54">
        <f>AA17*Assumptions!$F$74</f>
        <v/>
      </c>
      <c r="AB18" s="54">
        <f>AB17*Assumptions!$F$74</f>
        <v/>
      </c>
      <c r="AC18" s="54">
        <f>AC17*Assumptions!$F$74</f>
        <v/>
      </c>
      <c r="AD18" s="54">
        <f>AD17*Assumptions!$F$74</f>
        <v/>
      </c>
      <c r="AE18" s="54">
        <f>AE17*Assumptions!$F$74</f>
        <v/>
      </c>
      <c r="AF18" s="54">
        <f>AF17*Assumptions!$F$74</f>
        <v/>
      </c>
      <c r="AG18" s="54">
        <f>AG17*Assumptions!$F$74</f>
        <v/>
      </c>
      <c r="AH18" s="54">
        <f>AH17*Assumptions!$F$74</f>
        <v/>
      </c>
      <c r="AI18" s="54">
        <f>AI17*Assumptions!$F$74</f>
        <v/>
      </c>
      <c r="AJ18" s="54">
        <f>AJ17*Assumptions!$F$74</f>
        <v/>
      </c>
      <c r="AK18" s="54">
        <f>AK17*Assumptions!$F$74</f>
        <v/>
      </c>
      <c r="AL18" s="54">
        <f>AL17*Assumptions!$F$74</f>
        <v/>
      </c>
      <c r="AM18" s="54">
        <f>AM17*Assumptions!$F$74</f>
        <v/>
      </c>
      <c r="AN18" s="54">
        <f>AN17*Assumptions!$F$74</f>
        <v/>
      </c>
      <c r="AO18" s="54">
        <f>AO17*Assumptions!$F$74</f>
        <v/>
      </c>
      <c r="AP18" s="54">
        <f>AP17*Assumptions!$F$74</f>
        <v/>
      </c>
      <c r="AQ18" s="54">
        <f>AQ17*Assumptions!$F$74</f>
        <v/>
      </c>
      <c r="AR18" s="54">
        <f>AR17*Assumptions!$F$74</f>
        <v/>
      </c>
      <c r="AS18" s="54">
        <f>AS17*Assumptions!$F$74</f>
        <v/>
      </c>
      <c r="AT18" s="54">
        <f>AT17*Assumptions!$F$74</f>
        <v/>
      </c>
      <c r="AU18" s="54">
        <f>AU17*Assumptions!$F$74</f>
        <v/>
      </c>
      <c r="AV18" s="54">
        <f>AV17*Assumptions!$F$74</f>
        <v/>
      </c>
      <c r="AW18" s="54">
        <f>AW17*Assumptions!$F$74</f>
        <v/>
      </c>
      <c r="AX18" s="54">
        <f>AX17*Assumptions!$F$74</f>
        <v/>
      </c>
      <c r="AY18" s="54">
        <f>AY17*Assumptions!$F$74</f>
        <v/>
      </c>
      <c r="AZ18" s="54">
        <f>AZ17*Assumptions!$F$74</f>
        <v/>
      </c>
      <c r="BA18" s="54">
        <f>BA17*Assumptions!$F$74</f>
        <v/>
      </c>
      <c r="BB18" s="54">
        <f>BB17*Assumptions!$F$74</f>
        <v/>
      </c>
      <c r="BC18" s="54">
        <f>BC17*Assumptions!$F$74</f>
        <v/>
      </c>
      <c r="BD18" s="54">
        <f>BD17*Assumptions!$F$74</f>
        <v/>
      </c>
      <c r="BE18" s="54">
        <f>BE17*Assumptions!$F$74</f>
        <v/>
      </c>
      <c r="BF18" s="54">
        <f>BF17*Assumptions!$F$74</f>
        <v/>
      </c>
      <c r="BG18" s="54">
        <f>BG17*Assumptions!$F$74</f>
        <v/>
      </c>
      <c r="BH18" s="54">
        <f>BH17*Assumptions!$F$74</f>
        <v/>
      </c>
      <c r="BI18" s="54">
        <f>BI17*Assumptions!$F$74</f>
        <v/>
      </c>
      <c r="BJ18" s="54">
        <f>BJ17*Assumptions!$F$74</f>
        <v/>
      </c>
      <c r="BK18" s="54">
        <f>BK17*Assumptions!$F$74</f>
        <v/>
      </c>
      <c r="BL18" s="54">
        <f>BL17*Assumptions!$F$74</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IF(E$3&lt;Assumptions!$F$13,0,HLOOKUP(YEAR(E$3),Assumptions!$D$64:$H$67,4,FALSE))</f>
        <v/>
      </c>
      <c r="F19" s="60">
        <f>IF(F$3&lt;Assumptions!$F$13,0,HLOOKUP(YEAR(F$3),Assumptions!$D$64:$H$67,4,FALSE))</f>
        <v/>
      </c>
      <c r="G19" s="60">
        <f>IF(G$3&lt;Assumptions!$F$13,0,HLOOKUP(YEAR(G$3),Assumptions!$D$64:$H$67,4,FALSE))</f>
        <v/>
      </c>
      <c r="H19" s="60">
        <f>IF(H$3&lt;Assumptions!$F$13,0,HLOOKUP(YEAR(H$3),Assumptions!$D$64:$H$67,4,FALSE))</f>
        <v/>
      </c>
      <c r="I19" s="60">
        <f>IF(I$3&lt;Assumptions!$F$13,0,HLOOKUP(YEAR(I$3),Assumptions!$D$64:$H$67,4,FALSE))</f>
        <v/>
      </c>
      <c r="J19" s="60">
        <f>IF(J$3&lt;Assumptions!$F$13,0,HLOOKUP(YEAR(J$3),Assumptions!$D$64:$H$67,4,FALSE))</f>
        <v/>
      </c>
      <c r="K19" s="60">
        <f>IF(K$3&lt;Assumptions!$F$13,0,HLOOKUP(YEAR(K$3),Assumptions!$D$64:$H$67,4,FALSE))</f>
        <v/>
      </c>
      <c r="L19" s="60">
        <f>IF(L$3&lt;Assumptions!$F$13,0,HLOOKUP(YEAR(L$3),Assumptions!$D$64:$H$67,4,FALSE))</f>
        <v/>
      </c>
      <c r="M19" s="60">
        <f>IF(M$3&lt;Assumptions!$F$13,0,HLOOKUP(YEAR(M$3),Assumptions!$D$64:$H$67,4,FALSE))</f>
        <v/>
      </c>
      <c r="N19" s="60">
        <f>IF(N$3&lt;Assumptions!$F$13,0,HLOOKUP(YEAR(N$3),Assumptions!$D$64:$H$67,4,FALSE))</f>
        <v/>
      </c>
      <c r="O19" s="60">
        <f>IF(O$3&lt;Assumptions!$F$13,0,HLOOKUP(YEAR(O$3),Assumptions!$D$64:$H$67,4,FALSE))</f>
        <v/>
      </c>
      <c r="P19" s="60">
        <f>IF(P$3&lt;Assumptions!$F$13,0,HLOOKUP(YEAR(P$3),Assumptions!$D$64:$H$67,4,FALSE))</f>
        <v/>
      </c>
      <c r="Q19" s="60">
        <f>IF(Q$3&lt;Assumptions!$F$13,0,HLOOKUP(YEAR(Q$3),Assumptions!$D$64:$H$67,4,FALSE))</f>
        <v/>
      </c>
      <c r="R19" s="60">
        <f>IF(R$3&lt;Assumptions!$F$13,0,HLOOKUP(YEAR(R$3),Assumptions!$D$64:$H$67,4,FALSE))</f>
        <v/>
      </c>
      <c r="S19" s="60">
        <f>IF(S$3&lt;Assumptions!$F$13,0,HLOOKUP(YEAR(S$3),Assumptions!$D$64:$H$67,4,FALSE))</f>
        <v/>
      </c>
      <c r="T19" s="60">
        <f>IF(T$3&lt;Assumptions!$F$13,0,HLOOKUP(YEAR(T$3),Assumptions!$D$64:$H$67,4,FALSE))</f>
        <v/>
      </c>
      <c r="U19" s="60">
        <f>IF(U$3&lt;Assumptions!$F$13,0,HLOOKUP(YEAR(U$3),Assumptions!$D$64:$H$67,4,FALSE))</f>
        <v/>
      </c>
      <c r="V19" s="60">
        <f>IF(V$3&lt;Assumptions!$F$13,0,HLOOKUP(YEAR(V$3),Assumptions!$D$64:$H$67,4,FALSE))</f>
        <v/>
      </c>
      <c r="W19" s="60">
        <f>IF(W$3&lt;Assumptions!$F$13,0,HLOOKUP(YEAR(W$3),Assumptions!$D$64:$H$67,4,FALSE))</f>
        <v/>
      </c>
      <c r="X19" s="60">
        <f>IF(X$3&lt;Assumptions!$F$13,0,HLOOKUP(YEAR(X$3),Assumptions!$D$64:$H$67,4,FALSE))</f>
        <v/>
      </c>
      <c r="Y19" s="60">
        <f>IF(Y$3&lt;Assumptions!$F$13,0,HLOOKUP(YEAR(Y$3),Assumptions!$D$64:$H$67,4,FALSE))</f>
        <v/>
      </c>
      <c r="Z19" s="60">
        <f>IF(Z$3&lt;Assumptions!$F$13,0,HLOOKUP(YEAR(Z$3),Assumptions!$D$64:$H$67,4,FALSE))</f>
        <v/>
      </c>
      <c r="AA19" s="60">
        <f>IF(AA$3&lt;Assumptions!$F$13,0,HLOOKUP(YEAR(AA$3),Assumptions!$D$64:$H$67,4,FALSE))</f>
        <v/>
      </c>
      <c r="AB19" s="60">
        <f>IF(AB$3&lt;Assumptions!$F$13,0,HLOOKUP(YEAR(AB$3),Assumptions!$D$64:$H$67,4,FALSE))</f>
        <v/>
      </c>
      <c r="AC19" s="60">
        <f>IF(AC$3&lt;Assumptions!$F$13,0,HLOOKUP(YEAR(AC$3),Assumptions!$D$64:$H$67,4,FALSE))</f>
        <v/>
      </c>
      <c r="AD19" s="60">
        <f>IF(AD$3&lt;Assumptions!$F$13,0,HLOOKUP(YEAR(AD$3),Assumptions!$D$64:$H$67,4,FALSE))</f>
        <v/>
      </c>
      <c r="AE19" s="60">
        <f>IF(AE$3&lt;Assumptions!$F$13,0,HLOOKUP(YEAR(AE$3),Assumptions!$D$64:$H$67,4,FALSE))</f>
        <v/>
      </c>
      <c r="AF19" s="60">
        <f>IF(AF$3&lt;Assumptions!$F$13,0,HLOOKUP(YEAR(AF$3),Assumptions!$D$64:$H$67,4,FALSE))</f>
        <v/>
      </c>
      <c r="AG19" s="60">
        <f>IF(AG$3&lt;Assumptions!$F$13,0,HLOOKUP(YEAR(AG$3),Assumptions!$D$64:$H$67,4,FALSE))</f>
        <v/>
      </c>
      <c r="AH19" s="60">
        <f>IF(AH$3&lt;Assumptions!$F$13,0,HLOOKUP(YEAR(AH$3),Assumptions!$D$64:$H$67,4,FALSE))</f>
        <v/>
      </c>
      <c r="AI19" s="60">
        <f>IF(AI$3&lt;Assumptions!$F$13,0,HLOOKUP(YEAR(AI$3),Assumptions!$D$64:$H$67,4,FALSE))</f>
        <v/>
      </c>
      <c r="AJ19" s="60">
        <f>IF(AJ$3&lt;Assumptions!$F$13,0,HLOOKUP(YEAR(AJ$3),Assumptions!$D$64:$H$67,4,FALSE))</f>
        <v/>
      </c>
      <c r="AK19" s="60">
        <f>IF(AK$3&lt;Assumptions!$F$13,0,HLOOKUP(YEAR(AK$3),Assumptions!$D$64:$H$67,4,FALSE))</f>
        <v/>
      </c>
      <c r="AL19" s="60">
        <f>IF(AL$3&lt;Assumptions!$F$13,0,HLOOKUP(YEAR(AL$3),Assumptions!$D$64:$H$67,4,FALSE))</f>
        <v/>
      </c>
      <c r="AM19" s="60">
        <f>IF(AM$3&lt;Assumptions!$F$13,0,HLOOKUP(YEAR(AM$3),Assumptions!$D$64:$H$67,4,FALSE))</f>
        <v/>
      </c>
      <c r="AN19" s="60">
        <f>IF(AN$3&lt;Assumptions!$F$13,0,HLOOKUP(YEAR(AN$3),Assumptions!$D$64:$H$67,4,FALSE))</f>
        <v/>
      </c>
      <c r="AO19" s="60">
        <f>IF(AO$3&lt;Assumptions!$F$13,0,HLOOKUP(YEAR(AO$3),Assumptions!$D$64:$H$67,4,FALSE))</f>
        <v/>
      </c>
      <c r="AP19" s="60">
        <f>IF(AP$3&lt;Assumptions!$F$13,0,HLOOKUP(YEAR(AP$3),Assumptions!$D$64:$H$67,4,FALSE))</f>
        <v/>
      </c>
      <c r="AQ19" s="60">
        <f>IF(AQ$3&lt;Assumptions!$F$13,0,HLOOKUP(YEAR(AQ$3),Assumptions!$D$64:$H$67,4,FALSE))</f>
        <v/>
      </c>
      <c r="AR19" s="60">
        <f>IF(AR$3&lt;Assumptions!$F$13,0,HLOOKUP(YEAR(AR$3),Assumptions!$D$64:$H$67,4,FALSE))</f>
        <v/>
      </c>
      <c r="AS19" s="60">
        <f>IF(AS$3&lt;Assumptions!$F$13,0,HLOOKUP(YEAR(AS$3),Assumptions!$D$64:$H$67,4,FALSE))</f>
        <v/>
      </c>
      <c r="AT19" s="60">
        <f>IF(AT$3&lt;Assumptions!$F$13,0,HLOOKUP(YEAR(AT$3),Assumptions!$D$64:$H$67,4,FALSE))</f>
        <v/>
      </c>
      <c r="AU19" s="60">
        <f>IF(AU$3&lt;Assumptions!$F$13,0,HLOOKUP(YEAR(AU$3),Assumptions!$D$64:$H$67,4,FALSE))</f>
        <v/>
      </c>
      <c r="AV19" s="60">
        <f>IF(AV$3&lt;Assumptions!$F$13,0,HLOOKUP(YEAR(AV$3),Assumptions!$D$64:$H$67,4,FALSE))</f>
        <v/>
      </c>
      <c r="AW19" s="60">
        <f>IF(AW$3&lt;Assumptions!$F$13,0,HLOOKUP(YEAR(AW$3),Assumptions!$D$64:$H$67,4,FALSE))</f>
        <v/>
      </c>
      <c r="AX19" s="60">
        <f>IF(AX$3&lt;Assumptions!$F$13,0,HLOOKUP(YEAR(AX$3),Assumptions!$D$64:$H$67,4,FALSE))</f>
        <v/>
      </c>
      <c r="AY19" s="60">
        <f>IF(AY$3&lt;Assumptions!$F$13,0,HLOOKUP(YEAR(AY$3),Assumptions!$D$64:$H$67,4,FALSE))</f>
        <v/>
      </c>
      <c r="AZ19" s="60">
        <f>IF(AZ$3&lt;Assumptions!$F$13,0,HLOOKUP(YEAR(AZ$3),Assumptions!$D$64:$H$67,4,FALSE))</f>
        <v/>
      </c>
      <c r="BA19" s="60">
        <f>IF(BA$3&lt;Assumptions!$F$13,0,HLOOKUP(YEAR(BA$3),Assumptions!$D$64:$H$67,4,FALSE))</f>
        <v/>
      </c>
      <c r="BB19" s="60">
        <f>IF(BB$3&lt;Assumptions!$F$13,0,HLOOKUP(YEAR(BB$3),Assumptions!$D$64:$H$67,4,FALSE))</f>
        <v/>
      </c>
      <c r="BC19" s="60">
        <f>IF(BC$3&lt;Assumptions!$F$13,0,HLOOKUP(YEAR(BC$3),Assumptions!$D$64:$H$67,4,FALSE))</f>
        <v/>
      </c>
      <c r="BD19" s="60">
        <f>IF(BD$3&lt;Assumptions!$F$13,0,HLOOKUP(YEAR(BD$3),Assumptions!$D$64:$H$67,4,FALSE))</f>
        <v/>
      </c>
      <c r="BE19" s="60">
        <f>IF(BE$3&lt;Assumptions!$F$13,0,HLOOKUP(YEAR(BE$3),Assumptions!$D$64:$H$67,4,FALSE))</f>
        <v/>
      </c>
      <c r="BF19" s="60">
        <f>IF(BF$3&lt;Assumptions!$F$13,0,HLOOKUP(YEAR(BF$3),Assumptions!$D$64:$H$67,4,FALSE))</f>
        <v/>
      </c>
      <c r="BG19" s="60">
        <f>IF(BG$3&lt;Assumptions!$F$13,0,HLOOKUP(YEAR(BG$3),Assumptions!$D$64:$H$67,4,FALSE))</f>
        <v/>
      </c>
      <c r="BH19" s="60">
        <f>IF(BH$3&lt;Assumptions!$F$13,0,HLOOKUP(YEAR(BH$3),Assumptions!$D$64:$H$67,4,FALSE))</f>
        <v/>
      </c>
      <c r="BI19" s="60">
        <f>IF(BI$3&lt;Assumptions!$F$13,0,HLOOKUP(YEAR(BI$3),Assumptions!$D$64:$H$67,4,FALSE))</f>
        <v/>
      </c>
      <c r="BJ19" s="60">
        <f>IF(BJ$3&lt;Assumptions!$F$13,0,HLOOKUP(YEAR(BJ$3),Assumptions!$D$64:$H$67,4,FALSE))</f>
        <v/>
      </c>
      <c r="BK19" s="60">
        <f>IF(BK$3&lt;Assumptions!$F$13,0,HLOOKUP(YEAR(BK$3),Assumptions!$D$64:$H$67,4,FALSE))</f>
        <v/>
      </c>
      <c r="BL19" s="60">
        <f>IF(BL$3&lt;Assumptions!$F$13,0,HLOOKUP(YEAR(BL$3),Assumptions!$D$64:$H$67,4,FALSE))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Assumptions!$F$75+E19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E20*Assumptions!$F$76</f>
        <v/>
      </c>
      <c r="F21" s="54">
        <f>F20*Assumptions!$F$76</f>
        <v/>
      </c>
      <c r="G21" s="54">
        <f>G20*Assumptions!$F$76</f>
        <v/>
      </c>
      <c r="H21" s="54">
        <f>H20*Assumptions!$F$76</f>
        <v/>
      </c>
      <c r="I21" s="54">
        <f>I20*Assumptions!$F$76</f>
        <v/>
      </c>
      <c r="J21" s="54">
        <f>J20*Assumptions!$F$76</f>
        <v/>
      </c>
      <c r="K21" s="54">
        <f>K20*Assumptions!$F$76</f>
        <v/>
      </c>
      <c r="L21" s="54">
        <f>L20*Assumptions!$F$76</f>
        <v/>
      </c>
      <c r="M21" s="54">
        <f>M20*Assumptions!$F$76</f>
        <v/>
      </c>
      <c r="N21" s="54">
        <f>N20*Assumptions!$F$76</f>
        <v/>
      </c>
      <c r="O21" s="54">
        <f>O20*Assumptions!$F$76</f>
        <v/>
      </c>
      <c r="P21" s="54">
        <f>P20*Assumptions!$F$76</f>
        <v/>
      </c>
      <c r="Q21" s="54">
        <f>Q20*Assumptions!$F$76</f>
        <v/>
      </c>
      <c r="R21" s="54">
        <f>R20*Assumptions!$F$76</f>
        <v/>
      </c>
      <c r="S21" s="54">
        <f>S20*Assumptions!$F$76</f>
        <v/>
      </c>
      <c r="T21" s="54">
        <f>T20*Assumptions!$F$76</f>
        <v/>
      </c>
      <c r="U21" s="54">
        <f>U20*Assumptions!$F$76</f>
        <v/>
      </c>
      <c r="V21" s="54">
        <f>V20*Assumptions!$F$76</f>
        <v/>
      </c>
      <c r="W21" s="54">
        <f>W20*Assumptions!$F$76</f>
        <v/>
      </c>
      <c r="X21" s="54">
        <f>X20*Assumptions!$F$76</f>
        <v/>
      </c>
      <c r="Y21" s="54">
        <f>Y20*Assumptions!$F$76</f>
        <v/>
      </c>
      <c r="Z21" s="54">
        <f>Z20*Assumptions!$F$76</f>
        <v/>
      </c>
      <c r="AA21" s="54">
        <f>AA20*Assumptions!$F$76</f>
        <v/>
      </c>
      <c r="AB21" s="54">
        <f>AB20*Assumptions!$F$76</f>
        <v/>
      </c>
      <c r="AC21" s="54">
        <f>AC20*Assumptions!$F$76</f>
        <v/>
      </c>
      <c r="AD21" s="54">
        <f>AD20*Assumptions!$F$76</f>
        <v/>
      </c>
      <c r="AE21" s="54">
        <f>AE20*Assumptions!$F$76</f>
        <v/>
      </c>
      <c r="AF21" s="54">
        <f>AF20*Assumptions!$F$76</f>
        <v/>
      </c>
      <c r="AG21" s="54">
        <f>AG20*Assumptions!$F$76</f>
        <v/>
      </c>
      <c r="AH21" s="54">
        <f>AH20*Assumptions!$F$76</f>
        <v/>
      </c>
      <c r="AI21" s="54">
        <f>AI20*Assumptions!$F$76</f>
        <v/>
      </c>
      <c r="AJ21" s="54">
        <f>AJ20*Assumptions!$F$76</f>
        <v/>
      </c>
      <c r="AK21" s="54">
        <f>AK20*Assumptions!$F$76</f>
        <v/>
      </c>
      <c r="AL21" s="54">
        <f>AL20*Assumptions!$F$76</f>
        <v/>
      </c>
      <c r="AM21" s="54">
        <f>AM20*Assumptions!$F$76</f>
        <v/>
      </c>
      <c r="AN21" s="54">
        <f>AN20*Assumptions!$F$76</f>
        <v/>
      </c>
      <c r="AO21" s="54">
        <f>AO20*Assumptions!$F$76</f>
        <v/>
      </c>
      <c r="AP21" s="54">
        <f>AP20*Assumptions!$F$76</f>
        <v/>
      </c>
      <c r="AQ21" s="54">
        <f>AQ20*Assumptions!$F$76</f>
        <v/>
      </c>
      <c r="AR21" s="54">
        <f>AR20*Assumptions!$F$76</f>
        <v/>
      </c>
      <c r="AS21" s="54">
        <f>AS20*Assumptions!$F$76</f>
        <v/>
      </c>
      <c r="AT21" s="54">
        <f>AT20*Assumptions!$F$76</f>
        <v/>
      </c>
      <c r="AU21" s="54">
        <f>AU20*Assumptions!$F$76</f>
        <v/>
      </c>
      <c r="AV21" s="54">
        <f>AV20*Assumptions!$F$76</f>
        <v/>
      </c>
      <c r="AW21" s="54">
        <f>AW20*Assumptions!$F$76</f>
        <v/>
      </c>
      <c r="AX21" s="54">
        <f>AX20*Assumptions!$F$76</f>
        <v/>
      </c>
      <c r="AY21" s="54">
        <f>AY20*Assumptions!$F$76</f>
        <v/>
      </c>
      <c r="AZ21" s="54">
        <f>AZ20*Assumptions!$F$76</f>
        <v/>
      </c>
      <c r="BA21" s="54">
        <f>BA20*Assumptions!$F$76</f>
        <v/>
      </c>
      <c r="BB21" s="54">
        <f>BB20*Assumptions!$F$76</f>
        <v/>
      </c>
      <c r="BC21" s="54">
        <f>BC20*Assumptions!$F$76</f>
        <v/>
      </c>
      <c r="BD21" s="54">
        <f>BD20*Assumptions!$F$76</f>
        <v/>
      </c>
      <c r="BE21" s="54">
        <f>BE20*Assumptions!$F$76</f>
        <v/>
      </c>
      <c r="BF21" s="54">
        <f>BF20*Assumptions!$F$76</f>
        <v/>
      </c>
      <c r="BG21" s="54">
        <f>BG20*Assumptions!$F$76</f>
        <v/>
      </c>
      <c r="BH21" s="54">
        <f>BH20*Assumptions!$F$76</f>
        <v/>
      </c>
      <c r="BI21" s="54">
        <f>BI20*Assumptions!$F$76</f>
        <v/>
      </c>
      <c r="BJ21" s="54">
        <f>BJ20*Assumptions!$F$76</f>
        <v/>
      </c>
      <c r="BK21" s="54">
        <f>BK20*Assumptions!$F$76</f>
        <v/>
      </c>
      <c r="BL21" s="54">
        <f>BL20*Assumptions!$F$76</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ROUND(E20/Assumptions!$F$78,0)</f>
        <v/>
      </c>
      <c r="F23" s="54">
        <f>ROUND(F20/Assumptions!$F$78,0)</f>
        <v/>
      </c>
      <c r="G23" s="54">
        <f>ROUND(G20/Assumptions!$F$78,0)</f>
        <v/>
      </c>
      <c r="H23" s="54">
        <f>ROUND(H20/Assumptions!$F$78,0)</f>
        <v/>
      </c>
      <c r="I23" s="54">
        <f>ROUND(I20/Assumptions!$F$78,0)</f>
        <v/>
      </c>
      <c r="J23" s="54">
        <f>ROUND(J20/Assumptions!$F$78,0)</f>
        <v/>
      </c>
      <c r="K23" s="54">
        <f>ROUND(K20/Assumptions!$F$78,0)</f>
        <v/>
      </c>
      <c r="L23" s="54">
        <f>ROUND(L20/Assumptions!$F$78,0)</f>
        <v/>
      </c>
      <c r="M23" s="54">
        <f>ROUND(M20/Assumptions!$F$78,0)</f>
        <v/>
      </c>
      <c r="N23" s="54">
        <f>ROUND(N20/Assumptions!$F$78,0)</f>
        <v/>
      </c>
      <c r="O23" s="54">
        <f>ROUND(O20/Assumptions!$F$78,0)</f>
        <v/>
      </c>
      <c r="P23" s="54">
        <f>ROUND(P20/Assumptions!$F$78,0)</f>
        <v/>
      </c>
      <c r="Q23" s="54">
        <f>ROUND(Q20/Assumptions!$F$78,0)</f>
        <v/>
      </c>
      <c r="R23" s="54">
        <f>ROUND(R20/Assumptions!$F$78,0)</f>
        <v/>
      </c>
      <c r="S23" s="54">
        <f>ROUND(S20/Assumptions!$F$78,0)</f>
        <v/>
      </c>
      <c r="T23" s="54">
        <f>ROUND(T20/Assumptions!$F$78,0)</f>
        <v/>
      </c>
      <c r="U23" s="54">
        <f>ROUND(U20/Assumptions!$F$78,0)</f>
        <v/>
      </c>
      <c r="V23" s="54">
        <f>ROUND(V20/Assumptions!$F$78,0)</f>
        <v/>
      </c>
      <c r="W23" s="54">
        <f>ROUND(W20/Assumptions!$F$78,0)</f>
        <v/>
      </c>
      <c r="X23" s="54">
        <f>ROUND(X20/Assumptions!$F$78,0)</f>
        <v/>
      </c>
      <c r="Y23" s="54">
        <f>ROUND(Y20/Assumptions!$F$78,0)</f>
        <v/>
      </c>
      <c r="Z23" s="54">
        <f>ROUND(Z20/Assumptions!$F$78,0)</f>
        <v/>
      </c>
      <c r="AA23" s="54">
        <f>ROUND(AA20/Assumptions!$F$78,0)</f>
        <v/>
      </c>
      <c r="AB23" s="54">
        <f>ROUND(AB20/Assumptions!$F$78,0)</f>
        <v/>
      </c>
      <c r="AC23" s="54">
        <f>ROUND(AC20/Assumptions!$F$78,0)</f>
        <v/>
      </c>
      <c r="AD23" s="54">
        <f>ROUND(AD20/Assumptions!$F$78,0)</f>
        <v/>
      </c>
      <c r="AE23" s="54">
        <f>ROUND(AE20/Assumptions!$F$78,0)</f>
        <v/>
      </c>
      <c r="AF23" s="54">
        <f>ROUND(AF20/Assumptions!$F$78,0)</f>
        <v/>
      </c>
      <c r="AG23" s="54">
        <f>ROUND(AG20/Assumptions!$F$78,0)</f>
        <v/>
      </c>
      <c r="AH23" s="54">
        <f>ROUND(AH20/Assumptions!$F$78,0)</f>
        <v/>
      </c>
      <c r="AI23" s="54">
        <f>ROUND(AI20/Assumptions!$F$78,0)</f>
        <v/>
      </c>
      <c r="AJ23" s="54">
        <f>ROUND(AJ20/Assumptions!$F$78,0)</f>
        <v/>
      </c>
      <c r="AK23" s="54">
        <f>ROUND(AK20/Assumptions!$F$78,0)</f>
        <v/>
      </c>
      <c r="AL23" s="54">
        <f>ROUND(AL20/Assumptions!$F$78,0)</f>
        <v/>
      </c>
      <c r="AM23" s="54">
        <f>ROUND(AM20/Assumptions!$F$78,0)</f>
        <v/>
      </c>
      <c r="AN23" s="54">
        <f>ROUND(AN20/Assumptions!$F$78,0)</f>
        <v/>
      </c>
      <c r="AO23" s="54">
        <f>ROUND(AO20/Assumptions!$F$78,0)</f>
        <v/>
      </c>
      <c r="AP23" s="54">
        <f>ROUND(AP20/Assumptions!$F$78,0)</f>
        <v/>
      </c>
      <c r="AQ23" s="54">
        <f>ROUND(AQ20/Assumptions!$F$78,0)</f>
        <v/>
      </c>
      <c r="AR23" s="54">
        <f>ROUND(AR20/Assumptions!$F$78,0)</f>
        <v/>
      </c>
      <c r="AS23" s="54">
        <f>ROUND(AS20/Assumptions!$F$78,0)</f>
        <v/>
      </c>
      <c r="AT23" s="54">
        <f>ROUND(AT20/Assumptions!$F$78,0)</f>
        <v/>
      </c>
      <c r="AU23" s="54">
        <f>ROUND(AU20/Assumptions!$F$78,0)</f>
        <v/>
      </c>
      <c r="AV23" s="54">
        <f>ROUND(AV20/Assumptions!$F$78,0)</f>
        <v/>
      </c>
      <c r="AW23" s="54">
        <f>ROUND(AW20/Assumptions!$F$78,0)</f>
        <v/>
      </c>
      <c r="AX23" s="54">
        <f>ROUND(AX20/Assumptions!$F$78,0)</f>
        <v/>
      </c>
      <c r="AY23" s="54">
        <f>ROUND(AY20/Assumptions!$F$78,0)</f>
        <v/>
      </c>
      <c r="AZ23" s="54">
        <f>ROUND(AZ20/Assumptions!$F$78,0)</f>
        <v/>
      </c>
      <c r="BA23" s="54">
        <f>ROUND(BA20/Assumptions!$F$78,0)</f>
        <v/>
      </c>
      <c r="BB23" s="54">
        <f>ROUND(BB20/Assumptions!$F$78,0)</f>
        <v/>
      </c>
      <c r="BC23" s="54">
        <f>ROUND(BC20/Assumptions!$F$78,0)</f>
        <v/>
      </c>
      <c r="BD23" s="54">
        <f>ROUND(BD20/Assumptions!$F$78,0)</f>
        <v/>
      </c>
      <c r="BE23" s="54">
        <f>ROUND(BE20/Assumptions!$F$78,0)</f>
        <v/>
      </c>
      <c r="BF23" s="54">
        <f>ROUND(BF20/Assumptions!$F$78,0)</f>
        <v/>
      </c>
      <c r="BG23" s="54">
        <f>ROUND(BG20/Assumptions!$F$78,0)</f>
        <v/>
      </c>
      <c r="BH23" s="54">
        <f>ROUND(BH20/Assumptions!$F$78,0)</f>
        <v/>
      </c>
      <c r="BI23" s="54">
        <f>ROUND(BI20/Assumptions!$F$78,0)</f>
        <v/>
      </c>
      <c r="BJ23" s="54">
        <f>ROUND(BJ20/Assumptions!$F$78,0)</f>
        <v/>
      </c>
      <c r="BK23" s="54">
        <f>ROUND(BK20/Assumptions!$F$78,0)</f>
        <v/>
      </c>
      <c r="BL23" s="54">
        <f>ROUND(BL20/Assumptions!$F$78,0)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Assumptions!$F$81</f>
        <v/>
      </c>
      <c r="F28" s="54">
        <f>Assumptions!$F$81</f>
        <v/>
      </c>
      <c r="G28" s="54">
        <f>Assumptions!$F$81</f>
        <v/>
      </c>
      <c r="H28" s="54">
        <f>Assumptions!$F$81</f>
        <v/>
      </c>
      <c r="I28" s="54">
        <f>Assumptions!$F$81</f>
        <v/>
      </c>
      <c r="J28" s="54">
        <f>Assumptions!$F$81</f>
        <v/>
      </c>
      <c r="K28" s="54">
        <f>Assumptions!$F$81</f>
        <v/>
      </c>
      <c r="L28" s="54">
        <f>Assumptions!$F$81</f>
        <v/>
      </c>
      <c r="M28" s="54">
        <f>Assumptions!$F$81</f>
        <v/>
      </c>
      <c r="N28" s="54">
        <f>Assumptions!$F$81</f>
        <v/>
      </c>
      <c r="O28" s="54">
        <f>Assumptions!$F$81</f>
        <v/>
      </c>
      <c r="P28" s="54">
        <f>Assumptions!$F$81</f>
        <v/>
      </c>
      <c r="Q28" s="54">
        <f>Assumptions!$F$81</f>
        <v/>
      </c>
      <c r="R28" s="54">
        <f>Assumptions!$F$81</f>
        <v/>
      </c>
      <c r="S28" s="54">
        <f>Assumptions!$F$81</f>
        <v/>
      </c>
      <c r="T28" s="54">
        <f>Assumptions!$F$81</f>
        <v/>
      </c>
      <c r="U28" s="54">
        <f>Assumptions!$F$81</f>
        <v/>
      </c>
      <c r="V28" s="54">
        <f>Assumptions!$F$81</f>
        <v/>
      </c>
      <c r="W28" s="54">
        <f>Assumptions!$F$81</f>
        <v/>
      </c>
      <c r="X28" s="54">
        <f>Assumptions!$F$81</f>
        <v/>
      </c>
      <c r="Y28" s="54">
        <f>Assumptions!$F$81</f>
        <v/>
      </c>
      <c r="Z28" s="54">
        <f>Assumptions!$F$81</f>
        <v/>
      </c>
      <c r="AA28" s="54">
        <f>Assumptions!$F$81</f>
        <v/>
      </c>
      <c r="AB28" s="54">
        <f>Assumptions!$F$81</f>
        <v/>
      </c>
      <c r="AC28" s="54">
        <f>Assumptions!$F$81</f>
        <v/>
      </c>
      <c r="AD28" s="54">
        <f>Assumptions!$F$81</f>
        <v/>
      </c>
      <c r="AE28" s="54">
        <f>Assumptions!$F$81</f>
        <v/>
      </c>
      <c r="AF28" s="54">
        <f>Assumptions!$F$81</f>
        <v/>
      </c>
      <c r="AG28" s="54">
        <f>Assumptions!$F$81</f>
        <v/>
      </c>
      <c r="AH28" s="54">
        <f>Assumptions!$F$81</f>
        <v/>
      </c>
      <c r="AI28" s="54">
        <f>Assumptions!$F$81</f>
        <v/>
      </c>
      <c r="AJ28" s="54">
        <f>Assumptions!$F$81</f>
        <v/>
      </c>
      <c r="AK28" s="54">
        <f>Assumptions!$F$81</f>
        <v/>
      </c>
      <c r="AL28" s="54">
        <f>Assumptions!$F$81</f>
        <v/>
      </c>
      <c r="AM28" s="54">
        <f>Assumptions!$F$81</f>
        <v/>
      </c>
      <c r="AN28" s="54">
        <f>Assumptions!$F$81</f>
        <v/>
      </c>
      <c r="AO28" s="54">
        <f>Assumptions!$F$81</f>
        <v/>
      </c>
      <c r="AP28" s="54">
        <f>Assumptions!$F$81</f>
        <v/>
      </c>
      <c r="AQ28" s="54">
        <f>Assumptions!$F$81</f>
        <v/>
      </c>
      <c r="AR28" s="54">
        <f>Assumptions!$F$81</f>
        <v/>
      </c>
      <c r="AS28" s="54">
        <f>Assumptions!$F$81</f>
        <v/>
      </c>
      <c r="AT28" s="54">
        <f>Assumptions!$F$81</f>
        <v/>
      </c>
      <c r="AU28" s="54">
        <f>Assumptions!$F$81</f>
        <v/>
      </c>
      <c r="AV28" s="54">
        <f>Assumptions!$F$81</f>
        <v/>
      </c>
      <c r="AW28" s="54">
        <f>Assumptions!$F$81</f>
        <v/>
      </c>
      <c r="AX28" s="54">
        <f>Assumptions!$F$81</f>
        <v/>
      </c>
      <c r="AY28" s="54">
        <f>Assumptions!$F$81</f>
        <v/>
      </c>
      <c r="AZ28" s="54">
        <f>Assumptions!$F$81</f>
        <v/>
      </c>
      <c r="BA28" s="54">
        <f>Assumptions!$F$81</f>
        <v/>
      </c>
      <c r="BB28" s="54">
        <f>Assumptions!$F$81</f>
        <v/>
      </c>
      <c r="BC28" s="54">
        <f>Assumptions!$F$81</f>
        <v/>
      </c>
      <c r="BD28" s="54">
        <f>Assumptions!$F$81</f>
        <v/>
      </c>
      <c r="BE28" s="54">
        <f>Assumptions!$F$81</f>
        <v/>
      </c>
      <c r="BF28" s="54">
        <f>Assumptions!$F$81</f>
        <v/>
      </c>
      <c r="BG28" s="54">
        <f>Assumptions!$F$81</f>
        <v/>
      </c>
      <c r="BH28" s="54">
        <f>Assumptions!$F$81</f>
        <v/>
      </c>
      <c r="BI28" s="54">
        <f>Assumptions!$F$81</f>
        <v/>
      </c>
      <c r="BJ28" s="54">
        <f>Assumptions!$F$81</f>
        <v/>
      </c>
      <c r="BK28" s="54">
        <f>Assumptions!$F$81</f>
        <v/>
      </c>
      <c r="BL28" s="54">
        <f>Assumptions!$F$81</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IF(E$3&gt;=Assumptions!$F$82,1,0)+IF(E$3&gt;=Assumptions!$F$83,1,0)</f>
        <v/>
      </c>
      <c r="F29" s="54">
        <f>IF(F$3&gt;=Assumptions!$F$82,1,0)+IF(F$3&gt;=Assumptions!$F$83,1,0)</f>
        <v/>
      </c>
      <c r="G29" s="54">
        <f>IF(G$3&gt;=Assumptions!$F$82,1,0)+IF(G$3&gt;=Assumptions!$F$83,1,0)</f>
        <v/>
      </c>
      <c r="H29" s="54">
        <f>IF(H$3&gt;=Assumptions!$F$82,1,0)+IF(H$3&gt;=Assumptions!$F$83,1,0)</f>
        <v/>
      </c>
      <c r="I29" s="54">
        <f>IF(I$3&gt;=Assumptions!$F$82,1,0)+IF(I$3&gt;=Assumptions!$F$83,1,0)</f>
        <v/>
      </c>
      <c r="J29" s="54">
        <f>IF(J$3&gt;=Assumptions!$F$82,1,0)+IF(J$3&gt;=Assumptions!$F$83,1,0)</f>
        <v/>
      </c>
      <c r="K29" s="54">
        <f>IF(K$3&gt;=Assumptions!$F$82,1,0)+IF(K$3&gt;=Assumptions!$F$83,1,0)</f>
        <v/>
      </c>
      <c r="L29" s="54">
        <f>IF(L$3&gt;=Assumptions!$F$82,1,0)+IF(L$3&gt;=Assumptions!$F$83,1,0)</f>
        <v/>
      </c>
      <c r="M29" s="54">
        <f>IF(M$3&gt;=Assumptions!$F$82,1,0)+IF(M$3&gt;=Assumptions!$F$83,1,0)</f>
        <v/>
      </c>
      <c r="N29" s="54">
        <f>IF(N$3&gt;=Assumptions!$F$82,1,0)+IF(N$3&gt;=Assumptions!$F$83,1,0)</f>
        <v/>
      </c>
      <c r="O29" s="54">
        <f>IF(O$3&gt;=Assumptions!$F$82,1,0)+IF(O$3&gt;=Assumptions!$F$83,1,0)</f>
        <v/>
      </c>
      <c r="P29" s="54">
        <f>IF(P$3&gt;=Assumptions!$F$82,1,0)+IF(P$3&gt;=Assumptions!$F$83,1,0)</f>
        <v/>
      </c>
      <c r="Q29" s="54">
        <f>IF(Q$3&gt;=Assumptions!$F$82,1,0)+IF(Q$3&gt;=Assumptions!$F$83,1,0)</f>
        <v/>
      </c>
      <c r="R29" s="54">
        <f>IF(R$3&gt;=Assumptions!$F$82,1,0)+IF(R$3&gt;=Assumptions!$F$83,1,0)</f>
        <v/>
      </c>
      <c r="S29" s="54">
        <f>IF(S$3&gt;=Assumptions!$F$82,1,0)+IF(S$3&gt;=Assumptions!$F$83,1,0)</f>
        <v/>
      </c>
      <c r="T29" s="54">
        <f>IF(T$3&gt;=Assumptions!$F$82,1,0)+IF(T$3&gt;=Assumptions!$F$83,1,0)</f>
        <v/>
      </c>
      <c r="U29" s="54">
        <f>IF(U$3&gt;=Assumptions!$F$82,1,0)+IF(U$3&gt;=Assumptions!$F$83,1,0)</f>
        <v/>
      </c>
      <c r="V29" s="54">
        <f>IF(V$3&gt;=Assumptions!$F$82,1,0)+IF(V$3&gt;=Assumptions!$F$83,1,0)</f>
        <v/>
      </c>
      <c r="W29" s="54">
        <f>IF(W$3&gt;=Assumptions!$F$82,1,0)+IF(W$3&gt;=Assumptions!$F$83,1,0)</f>
        <v/>
      </c>
      <c r="X29" s="54">
        <f>IF(X$3&gt;=Assumptions!$F$82,1,0)+IF(X$3&gt;=Assumptions!$F$83,1,0)</f>
        <v/>
      </c>
      <c r="Y29" s="54">
        <f>IF(Y$3&gt;=Assumptions!$F$82,1,0)+IF(Y$3&gt;=Assumptions!$F$83,1,0)</f>
        <v/>
      </c>
      <c r="Z29" s="54">
        <f>IF(Z$3&gt;=Assumptions!$F$82,1,0)+IF(Z$3&gt;=Assumptions!$F$83,1,0)</f>
        <v/>
      </c>
      <c r="AA29" s="54">
        <f>IF(AA$3&gt;=Assumptions!$F$82,1,0)+IF(AA$3&gt;=Assumptions!$F$83,1,0)</f>
        <v/>
      </c>
      <c r="AB29" s="54">
        <f>IF(AB$3&gt;=Assumptions!$F$82,1,0)+IF(AB$3&gt;=Assumptions!$F$83,1,0)</f>
        <v/>
      </c>
      <c r="AC29" s="54">
        <f>IF(AC$3&gt;=Assumptions!$F$82,1,0)+IF(AC$3&gt;=Assumptions!$F$83,1,0)</f>
        <v/>
      </c>
      <c r="AD29" s="54">
        <f>IF(AD$3&gt;=Assumptions!$F$82,1,0)+IF(AD$3&gt;=Assumptions!$F$83,1,0)</f>
        <v/>
      </c>
      <c r="AE29" s="54">
        <f>IF(AE$3&gt;=Assumptions!$F$82,1,0)+IF(AE$3&gt;=Assumptions!$F$83,1,0)</f>
        <v/>
      </c>
      <c r="AF29" s="54">
        <f>IF(AF$3&gt;=Assumptions!$F$82,1,0)+IF(AF$3&gt;=Assumptions!$F$83,1,0)</f>
        <v/>
      </c>
      <c r="AG29" s="54">
        <f>IF(AG$3&gt;=Assumptions!$F$82,1,0)+IF(AG$3&gt;=Assumptions!$F$83,1,0)</f>
        <v/>
      </c>
      <c r="AH29" s="54">
        <f>IF(AH$3&gt;=Assumptions!$F$82,1,0)+IF(AH$3&gt;=Assumptions!$F$83,1,0)</f>
        <v/>
      </c>
      <c r="AI29" s="54">
        <f>IF(AI$3&gt;=Assumptions!$F$82,1,0)+IF(AI$3&gt;=Assumptions!$F$83,1,0)</f>
        <v/>
      </c>
      <c r="AJ29" s="54">
        <f>IF(AJ$3&gt;=Assumptions!$F$82,1,0)+IF(AJ$3&gt;=Assumptions!$F$83,1,0)</f>
        <v/>
      </c>
      <c r="AK29" s="54">
        <f>IF(AK$3&gt;=Assumptions!$F$82,1,0)+IF(AK$3&gt;=Assumptions!$F$83,1,0)</f>
        <v/>
      </c>
      <c r="AL29" s="54">
        <f>IF(AL$3&gt;=Assumptions!$F$82,1,0)+IF(AL$3&gt;=Assumptions!$F$83,1,0)</f>
        <v/>
      </c>
      <c r="AM29" s="54">
        <f>IF(AM$3&gt;=Assumptions!$F$82,1,0)+IF(AM$3&gt;=Assumptions!$F$83,1,0)</f>
        <v/>
      </c>
      <c r="AN29" s="54">
        <f>IF(AN$3&gt;=Assumptions!$F$82,1,0)+IF(AN$3&gt;=Assumptions!$F$83,1,0)</f>
        <v/>
      </c>
      <c r="AO29" s="54">
        <f>IF(AO$3&gt;=Assumptions!$F$82,1,0)+IF(AO$3&gt;=Assumptions!$F$83,1,0)</f>
        <v/>
      </c>
      <c r="AP29" s="54">
        <f>IF(AP$3&gt;=Assumptions!$F$82,1,0)+IF(AP$3&gt;=Assumptions!$F$83,1,0)</f>
        <v/>
      </c>
      <c r="AQ29" s="54">
        <f>IF(AQ$3&gt;=Assumptions!$F$82,1,0)+IF(AQ$3&gt;=Assumptions!$F$83,1,0)</f>
        <v/>
      </c>
      <c r="AR29" s="54">
        <f>IF(AR$3&gt;=Assumptions!$F$82,1,0)+IF(AR$3&gt;=Assumptions!$F$83,1,0)</f>
        <v/>
      </c>
      <c r="AS29" s="54">
        <f>IF(AS$3&gt;=Assumptions!$F$82,1,0)+IF(AS$3&gt;=Assumptions!$F$83,1,0)</f>
        <v/>
      </c>
      <c r="AT29" s="54">
        <f>IF(AT$3&gt;=Assumptions!$F$82,1,0)+IF(AT$3&gt;=Assumptions!$F$83,1,0)</f>
        <v/>
      </c>
      <c r="AU29" s="54">
        <f>IF(AU$3&gt;=Assumptions!$F$82,1,0)+IF(AU$3&gt;=Assumptions!$F$83,1,0)</f>
        <v/>
      </c>
      <c r="AV29" s="54">
        <f>IF(AV$3&gt;=Assumptions!$F$82,1,0)+IF(AV$3&gt;=Assumptions!$F$83,1,0)</f>
        <v/>
      </c>
      <c r="AW29" s="54">
        <f>IF(AW$3&gt;=Assumptions!$F$82,1,0)+IF(AW$3&gt;=Assumptions!$F$83,1,0)</f>
        <v/>
      </c>
      <c r="AX29" s="54">
        <f>IF(AX$3&gt;=Assumptions!$F$82,1,0)+IF(AX$3&gt;=Assumptions!$F$83,1,0)</f>
        <v/>
      </c>
      <c r="AY29" s="54">
        <f>IF(AY$3&gt;=Assumptions!$F$82,1,0)+IF(AY$3&gt;=Assumptions!$F$83,1,0)</f>
        <v/>
      </c>
      <c r="AZ29" s="54">
        <f>IF(AZ$3&gt;=Assumptions!$F$82,1,0)+IF(AZ$3&gt;=Assumptions!$F$83,1,0)</f>
        <v/>
      </c>
      <c r="BA29" s="54">
        <f>IF(BA$3&gt;=Assumptions!$F$82,1,0)+IF(BA$3&gt;=Assumptions!$F$83,1,0)</f>
        <v/>
      </c>
      <c r="BB29" s="54">
        <f>IF(BB$3&gt;=Assumptions!$F$82,1,0)+IF(BB$3&gt;=Assumptions!$F$83,1,0)</f>
        <v/>
      </c>
      <c r="BC29" s="54">
        <f>IF(BC$3&gt;=Assumptions!$F$82,1,0)+IF(BC$3&gt;=Assumptions!$F$83,1,0)</f>
        <v/>
      </c>
      <c r="BD29" s="54">
        <f>IF(BD$3&gt;=Assumptions!$F$82,1,0)+IF(BD$3&gt;=Assumptions!$F$83,1,0)</f>
        <v/>
      </c>
      <c r="BE29" s="54">
        <f>IF(BE$3&gt;=Assumptions!$F$82,1,0)+IF(BE$3&gt;=Assumptions!$F$83,1,0)</f>
        <v/>
      </c>
      <c r="BF29" s="54">
        <f>IF(BF$3&gt;=Assumptions!$F$82,1,0)+IF(BF$3&gt;=Assumptions!$F$83,1,0)</f>
        <v/>
      </c>
      <c r="BG29" s="54">
        <f>IF(BG$3&gt;=Assumptions!$F$82,1,0)+IF(BG$3&gt;=Assumptions!$F$83,1,0)</f>
        <v/>
      </c>
      <c r="BH29" s="54">
        <f>IF(BH$3&gt;=Assumptions!$F$82,1,0)+IF(BH$3&gt;=Assumptions!$F$83,1,0)</f>
        <v/>
      </c>
      <c r="BI29" s="54">
        <f>IF(BI$3&gt;=Assumptions!$F$82,1,0)+IF(BI$3&gt;=Assumptions!$F$83,1,0)</f>
        <v/>
      </c>
      <c r="BJ29" s="54">
        <f>IF(BJ$3&gt;=Assumptions!$F$82,1,0)+IF(BJ$3&gt;=Assumptions!$F$83,1,0)</f>
        <v/>
      </c>
      <c r="BK29" s="54">
        <f>IF(BK$3&gt;=Assumptions!$F$82,1,0)+IF(BK$3&gt;=Assumptions!$F$83,1,0)</f>
        <v/>
      </c>
      <c r="BL29" s="54">
        <f>IF(BL$3&gt;=Assumptions!$F$82,1,0)+IF(BL$3&gt;=Assumptions!$F$83,1,0)</f>
        <v/>
      </c>
      <c r="BN29" s="55">
        <f>P29</f>
        <v/>
      </c>
      <c r="BO29" s="55">
        <f>AB29</f>
        <v/>
      </c>
      <c r="BP29" s="55">
        <f>AN29</f>
        <v/>
      </c>
      <c r="BQ29" s="55">
        <f>AZ29</f>
        <v/>
      </c>
      <c r="BR29" s="55">
        <f>BL29</f>
        <v/>
      </c>
    </row>
    <row r="30">
      <c r="B30" s="9" t="inlineStr">
        <is>
          <t>In-house lines</t>
        </is>
      </c>
      <c r="C30" s="42" t="inlineStr">
        <is>
          <t>units/mo</t>
        </is>
      </c>
      <c r="E30" s="54">
        <f>E29*Assumptions!$F$84</f>
        <v/>
      </c>
      <c r="F30" s="54">
        <f>F29*Assumptions!$F$84</f>
        <v/>
      </c>
      <c r="G30" s="54">
        <f>G29*Assumptions!$F$84</f>
        <v/>
      </c>
      <c r="H30" s="54">
        <f>H29*Assumptions!$F$84</f>
        <v/>
      </c>
      <c r="I30" s="54">
        <f>I29*Assumptions!$F$84</f>
        <v/>
      </c>
      <c r="J30" s="54">
        <f>J29*Assumptions!$F$84</f>
        <v/>
      </c>
      <c r="K30" s="54">
        <f>K29*Assumptions!$F$84</f>
        <v/>
      </c>
      <c r="L30" s="54">
        <f>L29*Assumptions!$F$84</f>
        <v/>
      </c>
      <c r="M30" s="54">
        <f>M29*Assumptions!$F$84</f>
        <v/>
      </c>
      <c r="N30" s="54">
        <f>N29*Assumptions!$F$84</f>
        <v/>
      </c>
      <c r="O30" s="54">
        <f>O29*Assumptions!$F$84</f>
        <v/>
      </c>
      <c r="P30" s="54">
        <f>P29*Assumptions!$F$84</f>
        <v/>
      </c>
      <c r="Q30" s="54">
        <f>Q29*Assumptions!$F$84</f>
        <v/>
      </c>
      <c r="R30" s="54">
        <f>R29*Assumptions!$F$84</f>
        <v/>
      </c>
      <c r="S30" s="54">
        <f>S29*Assumptions!$F$84</f>
        <v/>
      </c>
      <c r="T30" s="54">
        <f>T29*Assumptions!$F$84</f>
        <v/>
      </c>
      <c r="U30" s="54">
        <f>U29*Assumptions!$F$84</f>
        <v/>
      </c>
      <c r="V30" s="54">
        <f>V29*Assumptions!$F$84</f>
        <v/>
      </c>
      <c r="W30" s="54">
        <f>W29*Assumptions!$F$84</f>
        <v/>
      </c>
      <c r="X30" s="54">
        <f>X29*Assumptions!$F$84</f>
        <v/>
      </c>
      <c r="Y30" s="54">
        <f>Y29*Assumptions!$F$84</f>
        <v/>
      </c>
      <c r="Z30" s="54">
        <f>Z29*Assumptions!$F$84</f>
        <v/>
      </c>
      <c r="AA30" s="54">
        <f>AA29*Assumptions!$F$84</f>
        <v/>
      </c>
      <c r="AB30" s="54">
        <f>AB29*Assumptions!$F$84</f>
        <v/>
      </c>
      <c r="AC30" s="54">
        <f>AC29*Assumptions!$F$84</f>
        <v/>
      </c>
      <c r="AD30" s="54">
        <f>AD29*Assumptions!$F$84</f>
        <v/>
      </c>
      <c r="AE30" s="54">
        <f>AE29*Assumptions!$F$84</f>
        <v/>
      </c>
      <c r="AF30" s="54">
        <f>AF29*Assumptions!$F$84</f>
        <v/>
      </c>
      <c r="AG30" s="54">
        <f>AG29*Assumptions!$F$84</f>
        <v/>
      </c>
      <c r="AH30" s="54">
        <f>AH29*Assumptions!$F$84</f>
        <v/>
      </c>
      <c r="AI30" s="54">
        <f>AI29*Assumptions!$F$84</f>
        <v/>
      </c>
      <c r="AJ30" s="54">
        <f>AJ29*Assumptions!$F$84</f>
        <v/>
      </c>
      <c r="AK30" s="54">
        <f>AK29*Assumptions!$F$84</f>
        <v/>
      </c>
      <c r="AL30" s="54">
        <f>AL29*Assumptions!$F$84</f>
        <v/>
      </c>
      <c r="AM30" s="54">
        <f>AM29*Assumptions!$F$84</f>
        <v/>
      </c>
      <c r="AN30" s="54">
        <f>AN29*Assumptions!$F$84</f>
        <v/>
      </c>
      <c r="AO30" s="54">
        <f>AO29*Assumptions!$F$84</f>
        <v/>
      </c>
      <c r="AP30" s="54">
        <f>AP29*Assumptions!$F$84</f>
        <v/>
      </c>
      <c r="AQ30" s="54">
        <f>AQ29*Assumptions!$F$84</f>
        <v/>
      </c>
      <c r="AR30" s="54">
        <f>AR29*Assumptions!$F$84</f>
        <v/>
      </c>
      <c r="AS30" s="54">
        <f>AS29*Assumptions!$F$84</f>
        <v/>
      </c>
      <c r="AT30" s="54">
        <f>AT29*Assumptions!$F$84</f>
        <v/>
      </c>
      <c r="AU30" s="54">
        <f>AU29*Assumptions!$F$84</f>
        <v/>
      </c>
      <c r="AV30" s="54">
        <f>AV29*Assumptions!$F$84</f>
        <v/>
      </c>
      <c r="AW30" s="54">
        <f>AW29*Assumptions!$F$84</f>
        <v/>
      </c>
      <c r="AX30" s="54">
        <f>AX29*Assumptions!$F$84</f>
        <v/>
      </c>
      <c r="AY30" s="54">
        <f>AY29*Assumptions!$F$84</f>
        <v/>
      </c>
      <c r="AZ30" s="54">
        <f>AZ29*Assumptions!$F$84</f>
        <v/>
      </c>
      <c r="BA30" s="54">
        <f>BA29*Assumptions!$F$84</f>
        <v/>
      </c>
      <c r="BB30" s="54">
        <f>BB29*Assumptions!$F$84</f>
        <v/>
      </c>
      <c r="BC30" s="54">
        <f>BC29*Assumptions!$F$84</f>
        <v/>
      </c>
      <c r="BD30" s="54">
        <f>BD29*Assumptions!$F$84</f>
        <v/>
      </c>
      <c r="BE30" s="54">
        <f>BE29*Assumptions!$F$84</f>
        <v/>
      </c>
      <c r="BF30" s="54">
        <f>BF29*Assumptions!$F$84</f>
        <v/>
      </c>
      <c r="BG30" s="54">
        <f>BG29*Assumptions!$F$84</f>
        <v/>
      </c>
      <c r="BH30" s="54">
        <f>BH29*Assumptions!$F$84</f>
        <v/>
      </c>
      <c r="BI30" s="54">
        <f>BI29*Assumptions!$F$84</f>
        <v/>
      </c>
      <c r="BJ30" s="54">
        <f>BJ29*Assumptions!$F$84</f>
        <v/>
      </c>
      <c r="BK30" s="54">
        <f>BK29*Assumptions!$F$84</f>
        <v/>
      </c>
      <c r="BL30" s="54">
        <f>BL29*Assumptions!$F$84</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VLOOKUP(E8,Assumptions!$D$93:$E$95,2,TRUE)</f>
        <v/>
      </c>
      <c r="F9" s="43">
        <f>VLOOKUP(F8,Assumptions!$D$93:$E$95,2,TRUE)</f>
        <v/>
      </c>
      <c r="G9" s="43">
        <f>VLOOKUP(G8,Assumptions!$D$93:$E$95,2,TRUE)</f>
        <v/>
      </c>
      <c r="H9" s="43">
        <f>VLOOKUP(H8,Assumptions!$D$93:$E$95,2,TRUE)</f>
        <v/>
      </c>
      <c r="I9" s="43">
        <f>VLOOKUP(I8,Assumptions!$D$93:$E$95,2,TRUE)</f>
        <v/>
      </c>
      <c r="J9" s="43">
        <f>VLOOKUP(J8,Assumptions!$D$93:$E$95,2,TRUE)</f>
        <v/>
      </c>
      <c r="K9" s="43">
        <f>VLOOKUP(K8,Assumptions!$D$93:$E$95,2,TRUE)</f>
        <v/>
      </c>
      <c r="L9" s="43">
        <f>VLOOKUP(L8,Assumptions!$D$93:$E$95,2,TRUE)</f>
        <v/>
      </c>
      <c r="M9" s="43">
        <f>VLOOKUP(M8,Assumptions!$D$93:$E$95,2,TRUE)</f>
        <v/>
      </c>
      <c r="N9" s="43">
        <f>VLOOKUP(N8,Assumptions!$D$93:$E$95,2,TRUE)</f>
        <v/>
      </c>
      <c r="O9" s="43">
        <f>VLOOKUP(O8,Assumptions!$D$93:$E$95,2,TRUE)</f>
        <v/>
      </c>
      <c r="P9" s="43">
        <f>VLOOKUP(P8,Assumptions!$D$93:$E$95,2,TRUE)</f>
        <v/>
      </c>
      <c r="Q9" s="43">
        <f>VLOOKUP(Q8,Assumptions!$D$93:$E$95,2,TRUE)</f>
        <v/>
      </c>
      <c r="R9" s="43">
        <f>VLOOKUP(R8,Assumptions!$D$93:$E$95,2,TRUE)</f>
        <v/>
      </c>
      <c r="S9" s="43">
        <f>VLOOKUP(S8,Assumptions!$D$93:$E$95,2,TRUE)</f>
        <v/>
      </c>
      <c r="T9" s="43">
        <f>VLOOKUP(T8,Assumptions!$D$93:$E$95,2,TRUE)</f>
        <v/>
      </c>
      <c r="U9" s="43">
        <f>VLOOKUP(U8,Assumptions!$D$93:$E$95,2,TRUE)</f>
        <v/>
      </c>
      <c r="V9" s="43">
        <f>VLOOKUP(V8,Assumptions!$D$93:$E$95,2,TRUE)</f>
        <v/>
      </c>
      <c r="W9" s="43">
        <f>VLOOKUP(W8,Assumptions!$D$93:$E$95,2,TRUE)</f>
        <v/>
      </c>
      <c r="X9" s="43">
        <f>VLOOKUP(X8,Assumptions!$D$93:$E$95,2,TRUE)</f>
        <v/>
      </c>
      <c r="Y9" s="43">
        <f>VLOOKUP(Y8,Assumptions!$D$93:$E$95,2,TRUE)</f>
        <v/>
      </c>
      <c r="Z9" s="43">
        <f>VLOOKUP(Z8,Assumptions!$D$93:$E$95,2,TRUE)</f>
        <v/>
      </c>
      <c r="AA9" s="43">
        <f>VLOOKUP(AA8,Assumptions!$D$93:$E$95,2,TRUE)</f>
        <v/>
      </c>
      <c r="AB9" s="43">
        <f>VLOOKUP(AB8,Assumptions!$D$93:$E$95,2,TRUE)</f>
        <v/>
      </c>
      <c r="AC9" s="43">
        <f>VLOOKUP(AC8,Assumptions!$D$93:$E$95,2,TRUE)</f>
        <v/>
      </c>
      <c r="AD9" s="43">
        <f>VLOOKUP(AD8,Assumptions!$D$93:$E$95,2,TRUE)</f>
        <v/>
      </c>
      <c r="AE9" s="43">
        <f>VLOOKUP(AE8,Assumptions!$D$93:$E$95,2,TRUE)</f>
        <v/>
      </c>
      <c r="AF9" s="43">
        <f>VLOOKUP(AF8,Assumptions!$D$93:$E$95,2,TRUE)</f>
        <v/>
      </c>
      <c r="AG9" s="43">
        <f>VLOOKUP(AG8,Assumptions!$D$93:$E$95,2,TRUE)</f>
        <v/>
      </c>
      <c r="AH9" s="43">
        <f>VLOOKUP(AH8,Assumptions!$D$93:$E$95,2,TRUE)</f>
        <v/>
      </c>
      <c r="AI9" s="43">
        <f>VLOOKUP(AI8,Assumptions!$D$93:$E$95,2,TRUE)</f>
        <v/>
      </c>
      <c r="AJ9" s="43">
        <f>VLOOKUP(AJ8,Assumptions!$D$93:$E$95,2,TRUE)</f>
        <v/>
      </c>
      <c r="AK9" s="43">
        <f>VLOOKUP(AK8,Assumptions!$D$93:$E$95,2,TRUE)</f>
        <v/>
      </c>
      <c r="AL9" s="43">
        <f>VLOOKUP(AL8,Assumptions!$D$93:$E$95,2,TRUE)</f>
        <v/>
      </c>
      <c r="AM9" s="43">
        <f>VLOOKUP(AM8,Assumptions!$D$93:$E$95,2,TRUE)</f>
        <v/>
      </c>
      <c r="AN9" s="43">
        <f>VLOOKUP(AN8,Assumptions!$D$93:$E$95,2,TRUE)</f>
        <v/>
      </c>
      <c r="AO9" s="43">
        <f>VLOOKUP(AO8,Assumptions!$D$93:$E$95,2,TRUE)</f>
        <v/>
      </c>
      <c r="AP9" s="43">
        <f>VLOOKUP(AP8,Assumptions!$D$93:$E$95,2,TRUE)</f>
        <v/>
      </c>
      <c r="AQ9" s="43">
        <f>VLOOKUP(AQ8,Assumptions!$D$93:$E$95,2,TRUE)</f>
        <v/>
      </c>
      <c r="AR9" s="43">
        <f>VLOOKUP(AR8,Assumptions!$D$93:$E$95,2,TRUE)</f>
        <v/>
      </c>
      <c r="AS9" s="43">
        <f>VLOOKUP(AS8,Assumptions!$D$93:$E$95,2,TRUE)</f>
        <v/>
      </c>
      <c r="AT9" s="43">
        <f>VLOOKUP(AT8,Assumptions!$D$93:$E$95,2,TRUE)</f>
        <v/>
      </c>
      <c r="AU9" s="43">
        <f>VLOOKUP(AU8,Assumptions!$D$93:$E$95,2,TRUE)</f>
        <v/>
      </c>
      <c r="AV9" s="43">
        <f>VLOOKUP(AV8,Assumptions!$D$93:$E$95,2,TRUE)</f>
        <v/>
      </c>
      <c r="AW9" s="43">
        <f>VLOOKUP(AW8,Assumptions!$D$93:$E$95,2,TRUE)</f>
        <v/>
      </c>
      <c r="AX9" s="43">
        <f>VLOOKUP(AX8,Assumptions!$D$93:$E$95,2,TRUE)</f>
        <v/>
      </c>
      <c r="AY9" s="43">
        <f>VLOOKUP(AY8,Assumptions!$D$93:$E$95,2,TRUE)</f>
        <v/>
      </c>
      <c r="AZ9" s="43">
        <f>VLOOKUP(AZ8,Assumptions!$D$93:$E$95,2,TRUE)</f>
        <v/>
      </c>
      <c r="BA9" s="43">
        <f>VLOOKUP(BA8,Assumptions!$D$93:$E$95,2,TRUE)</f>
        <v/>
      </c>
      <c r="BB9" s="43">
        <f>VLOOKUP(BB8,Assumptions!$D$93:$E$95,2,TRUE)</f>
        <v/>
      </c>
      <c r="BC9" s="43">
        <f>VLOOKUP(BC8,Assumptions!$D$93:$E$95,2,TRUE)</f>
        <v/>
      </c>
      <c r="BD9" s="43">
        <f>VLOOKUP(BD8,Assumptions!$D$93:$E$95,2,TRUE)</f>
        <v/>
      </c>
      <c r="BE9" s="43">
        <f>VLOOKUP(BE8,Assumptions!$D$93:$E$95,2,TRUE)</f>
        <v/>
      </c>
      <c r="BF9" s="43">
        <f>VLOOKUP(BF8,Assumptions!$D$93:$E$95,2,TRUE)</f>
        <v/>
      </c>
      <c r="BG9" s="43">
        <f>VLOOKUP(BG8,Assumptions!$D$93:$E$95,2,TRUE)</f>
        <v/>
      </c>
      <c r="BH9" s="43">
        <f>VLOOKUP(BH8,Assumptions!$D$93:$E$95,2,TRUE)</f>
        <v/>
      </c>
      <c r="BI9" s="43">
        <f>VLOOKUP(BI8,Assumptions!$D$93:$E$95,2,TRUE)</f>
        <v/>
      </c>
      <c r="BJ9" s="43">
        <f>VLOOKUP(BJ8,Assumptions!$D$93:$E$95,2,TRUE)</f>
        <v/>
      </c>
      <c r="BK9" s="43">
        <f>VLOOKUP(BK8,Assumptions!$D$93:$E$95,2,TRUE)</f>
        <v/>
      </c>
      <c r="BL9" s="43">
        <f>VLOOKUP(BL8,Assumptions!$D$93:$E$95,2,TRUE)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VLOOKUP(E8,Assumptions!$D$93:$F$95,3,TRUE)</f>
        <v/>
      </c>
      <c r="F10" s="43">
        <f>VLOOKUP(F8,Assumptions!$D$93:$F$95,3,TRUE)</f>
        <v/>
      </c>
      <c r="G10" s="43">
        <f>VLOOKUP(G8,Assumptions!$D$93:$F$95,3,TRUE)</f>
        <v/>
      </c>
      <c r="H10" s="43">
        <f>VLOOKUP(H8,Assumptions!$D$93:$F$95,3,TRUE)</f>
        <v/>
      </c>
      <c r="I10" s="43">
        <f>VLOOKUP(I8,Assumptions!$D$93:$F$95,3,TRUE)</f>
        <v/>
      </c>
      <c r="J10" s="43">
        <f>VLOOKUP(J8,Assumptions!$D$93:$F$95,3,TRUE)</f>
        <v/>
      </c>
      <c r="K10" s="43">
        <f>VLOOKUP(K8,Assumptions!$D$93:$F$95,3,TRUE)</f>
        <v/>
      </c>
      <c r="L10" s="43">
        <f>VLOOKUP(L8,Assumptions!$D$93:$F$95,3,TRUE)</f>
        <v/>
      </c>
      <c r="M10" s="43">
        <f>VLOOKUP(M8,Assumptions!$D$93:$F$95,3,TRUE)</f>
        <v/>
      </c>
      <c r="N10" s="43">
        <f>VLOOKUP(N8,Assumptions!$D$93:$F$95,3,TRUE)</f>
        <v/>
      </c>
      <c r="O10" s="43">
        <f>VLOOKUP(O8,Assumptions!$D$93:$F$95,3,TRUE)</f>
        <v/>
      </c>
      <c r="P10" s="43">
        <f>VLOOKUP(P8,Assumptions!$D$93:$F$95,3,TRUE)</f>
        <v/>
      </c>
      <c r="Q10" s="43">
        <f>VLOOKUP(Q8,Assumptions!$D$93:$F$95,3,TRUE)</f>
        <v/>
      </c>
      <c r="R10" s="43">
        <f>VLOOKUP(R8,Assumptions!$D$93:$F$95,3,TRUE)</f>
        <v/>
      </c>
      <c r="S10" s="43">
        <f>VLOOKUP(S8,Assumptions!$D$93:$F$95,3,TRUE)</f>
        <v/>
      </c>
      <c r="T10" s="43">
        <f>VLOOKUP(T8,Assumptions!$D$93:$F$95,3,TRUE)</f>
        <v/>
      </c>
      <c r="U10" s="43">
        <f>VLOOKUP(U8,Assumptions!$D$93:$F$95,3,TRUE)</f>
        <v/>
      </c>
      <c r="V10" s="43">
        <f>VLOOKUP(V8,Assumptions!$D$93:$F$95,3,TRUE)</f>
        <v/>
      </c>
      <c r="W10" s="43">
        <f>VLOOKUP(W8,Assumptions!$D$93:$F$95,3,TRUE)</f>
        <v/>
      </c>
      <c r="X10" s="43">
        <f>VLOOKUP(X8,Assumptions!$D$93:$F$95,3,TRUE)</f>
        <v/>
      </c>
      <c r="Y10" s="43">
        <f>VLOOKUP(Y8,Assumptions!$D$93:$F$95,3,TRUE)</f>
        <v/>
      </c>
      <c r="Z10" s="43">
        <f>VLOOKUP(Z8,Assumptions!$D$93:$F$95,3,TRUE)</f>
        <v/>
      </c>
      <c r="AA10" s="43">
        <f>VLOOKUP(AA8,Assumptions!$D$93:$F$95,3,TRUE)</f>
        <v/>
      </c>
      <c r="AB10" s="43">
        <f>VLOOKUP(AB8,Assumptions!$D$93:$F$95,3,TRUE)</f>
        <v/>
      </c>
      <c r="AC10" s="43">
        <f>VLOOKUP(AC8,Assumptions!$D$93:$F$95,3,TRUE)</f>
        <v/>
      </c>
      <c r="AD10" s="43">
        <f>VLOOKUP(AD8,Assumptions!$D$93:$F$95,3,TRUE)</f>
        <v/>
      </c>
      <c r="AE10" s="43">
        <f>VLOOKUP(AE8,Assumptions!$D$93:$F$95,3,TRUE)</f>
        <v/>
      </c>
      <c r="AF10" s="43">
        <f>VLOOKUP(AF8,Assumptions!$D$93:$F$95,3,TRUE)</f>
        <v/>
      </c>
      <c r="AG10" s="43">
        <f>VLOOKUP(AG8,Assumptions!$D$93:$F$95,3,TRUE)</f>
        <v/>
      </c>
      <c r="AH10" s="43">
        <f>VLOOKUP(AH8,Assumptions!$D$93:$F$95,3,TRUE)</f>
        <v/>
      </c>
      <c r="AI10" s="43">
        <f>VLOOKUP(AI8,Assumptions!$D$93:$F$95,3,TRUE)</f>
        <v/>
      </c>
      <c r="AJ10" s="43">
        <f>VLOOKUP(AJ8,Assumptions!$D$93:$F$95,3,TRUE)</f>
        <v/>
      </c>
      <c r="AK10" s="43">
        <f>VLOOKUP(AK8,Assumptions!$D$93:$F$95,3,TRUE)</f>
        <v/>
      </c>
      <c r="AL10" s="43">
        <f>VLOOKUP(AL8,Assumptions!$D$93:$F$95,3,TRUE)</f>
        <v/>
      </c>
      <c r="AM10" s="43">
        <f>VLOOKUP(AM8,Assumptions!$D$93:$F$95,3,TRUE)</f>
        <v/>
      </c>
      <c r="AN10" s="43">
        <f>VLOOKUP(AN8,Assumptions!$D$93:$F$95,3,TRUE)</f>
        <v/>
      </c>
      <c r="AO10" s="43">
        <f>VLOOKUP(AO8,Assumptions!$D$93:$F$95,3,TRUE)</f>
        <v/>
      </c>
      <c r="AP10" s="43">
        <f>VLOOKUP(AP8,Assumptions!$D$93:$F$95,3,TRUE)</f>
        <v/>
      </c>
      <c r="AQ10" s="43">
        <f>VLOOKUP(AQ8,Assumptions!$D$93:$F$95,3,TRUE)</f>
        <v/>
      </c>
      <c r="AR10" s="43">
        <f>VLOOKUP(AR8,Assumptions!$D$93:$F$95,3,TRUE)</f>
        <v/>
      </c>
      <c r="AS10" s="43">
        <f>VLOOKUP(AS8,Assumptions!$D$93:$F$95,3,TRUE)</f>
        <v/>
      </c>
      <c r="AT10" s="43">
        <f>VLOOKUP(AT8,Assumptions!$D$93:$F$95,3,TRUE)</f>
        <v/>
      </c>
      <c r="AU10" s="43">
        <f>VLOOKUP(AU8,Assumptions!$D$93:$F$95,3,TRUE)</f>
        <v/>
      </c>
      <c r="AV10" s="43">
        <f>VLOOKUP(AV8,Assumptions!$D$93:$F$95,3,TRUE)</f>
        <v/>
      </c>
      <c r="AW10" s="43">
        <f>VLOOKUP(AW8,Assumptions!$D$93:$F$95,3,TRUE)</f>
        <v/>
      </c>
      <c r="AX10" s="43">
        <f>VLOOKUP(AX8,Assumptions!$D$93:$F$95,3,TRUE)</f>
        <v/>
      </c>
      <c r="AY10" s="43">
        <f>VLOOKUP(AY8,Assumptions!$D$93:$F$95,3,TRUE)</f>
        <v/>
      </c>
      <c r="AZ10" s="43">
        <f>VLOOKUP(AZ8,Assumptions!$D$93:$F$95,3,TRUE)</f>
        <v/>
      </c>
      <c r="BA10" s="43">
        <f>VLOOKUP(BA8,Assumptions!$D$93:$F$95,3,TRUE)</f>
        <v/>
      </c>
      <c r="BB10" s="43">
        <f>VLOOKUP(BB8,Assumptions!$D$93:$F$95,3,TRUE)</f>
        <v/>
      </c>
      <c r="BC10" s="43">
        <f>VLOOKUP(BC8,Assumptions!$D$93:$F$95,3,TRUE)</f>
        <v/>
      </c>
      <c r="BD10" s="43">
        <f>VLOOKUP(BD8,Assumptions!$D$93:$F$95,3,TRUE)</f>
        <v/>
      </c>
      <c r="BE10" s="43">
        <f>VLOOKUP(BE8,Assumptions!$D$93:$F$95,3,TRUE)</f>
        <v/>
      </c>
      <c r="BF10" s="43">
        <f>VLOOKUP(BF8,Assumptions!$D$93:$F$95,3,TRUE)</f>
        <v/>
      </c>
      <c r="BG10" s="43">
        <f>VLOOKUP(BG8,Assumptions!$D$93:$F$95,3,TRUE)</f>
        <v/>
      </c>
      <c r="BH10" s="43">
        <f>VLOOKUP(BH8,Assumptions!$D$93:$F$95,3,TRUE)</f>
        <v/>
      </c>
      <c r="BI10" s="43">
        <f>VLOOKUP(BI8,Assumptions!$D$93:$F$95,3,TRUE)</f>
        <v/>
      </c>
      <c r="BJ10" s="43">
        <f>VLOOKUP(BJ8,Assumptions!$D$93:$F$95,3,TRUE)</f>
        <v/>
      </c>
      <c r="BK10" s="43">
        <f>VLOOKUP(BK8,Assumptions!$D$93:$F$95,3,TRUE)</f>
        <v/>
      </c>
      <c r="BL10" s="43">
        <f>VLOOKUP(BL8,Assumptions!$D$93:$F$95,3,TRUE)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Forecast'!E40*(E9+E10+Assumptions!$F$97)</f>
        <v/>
      </c>
      <c r="F14" s="43">
        <f>'Revenue Forecast'!F40*(F9+F10+Assumptions!$F$97)</f>
        <v/>
      </c>
      <c r="G14" s="43">
        <f>'Revenue Forecast'!G40*(G9+G10+Assumptions!$F$97)</f>
        <v/>
      </c>
      <c r="H14" s="43">
        <f>'Revenue Forecast'!H40*(H9+H10+Assumptions!$F$97)</f>
        <v/>
      </c>
      <c r="I14" s="43">
        <f>'Revenue Forecast'!I40*(I9+I10+Assumptions!$F$97)</f>
        <v/>
      </c>
      <c r="J14" s="43">
        <f>'Revenue Forecast'!J40*(J9+J10+Assumptions!$F$97)</f>
        <v/>
      </c>
      <c r="K14" s="43">
        <f>'Revenue Forecast'!K40*(K9+K10+Assumptions!$F$97)</f>
        <v/>
      </c>
      <c r="L14" s="43">
        <f>'Revenue Forecast'!L40*(L9+L10+Assumptions!$F$97)</f>
        <v/>
      </c>
      <c r="M14" s="43">
        <f>'Revenue Forecast'!M40*(M9+M10+Assumptions!$F$97)</f>
        <v/>
      </c>
      <c r="N14" s="43">
        <f>'Revenue Forecast'!N40*(N9+N10+Assumptions!$F$97)</f>
        <v/>
      </c>
      <c r="O14" s="43">
        <f>'Revenue Forecast'!O40*(O9+O10+Assumptions!$F$97)</f>
        <v/>
      </c>
      <c r="P14" s="43">
        <f>'Revenue Forecast'!P40*(P9+P10+Assumptions!$F$97)</f>
        <v/>
      </c>
      <c r="Q14" s="43">
        <f>'Revenue Forecast'!Q40*(Q9+Q10+Assumptions!$F$97)</f>
        <v/>
      </c>
      <c r="R14" s="43">
        <f>'Revenue Forecast'!R40*(R9+R10+Assumptions!$F$97)</f>
        <v/>
      </c>
      <c r="S14" s="43">
        <f>'Revenue Forecast'!S40*(S9+S10+Assumptions!$F$97)</f>
        <v/>
      </c>
      <c r="T14" s="43">
        <f>'Revenue Forecast'!T40*(T9+T10+Assumptions!$F$97)</f>
        <v/>
      </c>
      <c r="U14" s="43">
        <f>'Revenue Forecast'!U40*(U9+U10+Assumptions!$F$97)</f>
        <v/>
      </c>
      <c r="V14" s="43">
        <f>'Revenue Forecast'!V40*(V9+V10+Assumptions!$F$97)</f>
        <v/>
      </c>
      <c r="W14" s="43">
        <f>'Revenue Forecast'!W40*(W9+W10+Assumptions!$F$97)</f>
        <v/>
      </c>
      <c r="X14" s="43">
        <f>'Revenue Forecast'!X40*(X9+X10+Assumptions!$F$97)</f>
        <v/>
      </c>
      <c r="Y14" s="43">
        <f>'Revenue Forecast'!Y40*(Y9+Y10+Assumptions!$F$97)</f>
        <v/>
      </c>
      <c r="Z14" s="43">
        <f>'Revenue Forecast'!Z40*(Z9+Z10+Assumptions!$F$97)</f>
        <v/>
      </c>
      <c r="AA14" s="43">
        <f>'Revenue Forecast'!AA40*(AA9+AA10+Assumptions!$F$97)</f>
        <v/>
      </c>
      <c r="AB14" s="43">
        <f>'Revenue Forecast'!AB40*(AB9+AB10+Assumptions!$F$97)</f>
        <v/>
      </c>
      <c r="AC14" s="43">
        <f>'Revenue Forecast'!AC40*(AC9+AC10+Assumptions!$F$97)</f>
        <v/>
      </c>
      <c r="AD14" s="43">
        <f>'Revenue Forecast'!AD40*(AD9+AD10+Assumptions!$F$97)</f>
        <v/>
      </c>
      <c r="AE14" s="43">
        <f>'Revenue Forecast'!AE40*(AE9+AE10+Assumptions!$F$97)</f>
        <v/>
      </c>
      <c r="AF14" s="43">
        <f>'Revenue Forecast'!AF40*(AF9+AF10+Assumptions!$F$97)</f>
        <v/>
      </c>
      <c r="AG14" s="43">
        <f>'Revenue Forecast'!AG40*(AG9+AG10+Assumptions!$F$97)</f>
        <v/>
      </c>
      <c r="AH14" s="43">
        <f>'Revenue Forecast'!AH40*(AH9+AH10+Assumptions!$F$97)</f>
        <v/>
      </c>
      <c r="AI14" s="43">
        <f>'Revenue Forecast'!AI40*(AI9+AI10+Assumptions!$F$97)</f>
        <v/>
      </c>
      <c r="AJ14" s="43">
        <f>'Revenue Forecast'!AJ40*(AJ9+AJ10+Assumptions!$F$97)</f>
        <v/>
      </c>
      <c r="AK14" s="43">
        <f>'Revenue Forecast'!AK40*(AK9+AK10+Assumptions!$F$97)</f>
        <v/>
      </c>
      <c r="AL14" s="43">
        <f>'Revenue Forecast'!AL40*(AL9+AL10+Assumptions!$F$97)</f>
        <v/>
      </c>
      <c r="AM14" s="43">
        <f>'Revenue Forecast'!AM40*(AM9+AM10+Assumptions!$F$97)</f>
        <v/>
      </c>
      <c r="AN14" s="43">
        <f>'Revenue Forecast'!AN40*(AN9+AN10+Assumptions!$F$97)</f>
        <v/>
      </c>
      <c r="AO14" s="43">
        <f>'Revenue Forecast'!AO40*(AO9+AO10+Assumptions!$F$97)</f>
        <v/>
      </c>
      <c r="AP14" s="43">
        <f>'Revenue Forecast'!AP40*(AP9+AP10+Assumptions!$F$97)</f>
        <v/>
      </c>
      <c r="AQ14" s="43">
        <f>'Revenue Forecast'!AQ40*(AQ9+AQ10+Assumptions!$F$97)</f>
        <v/>
      </c>
      <c r="AR14" s="43">
        <f>'Revenue Forecast'!AR40*(AR9+AR10+Assumptions!$F$97)</f>
        <v/>
      </c>
      <c r="AS14" s="43">
        <f>'Revenue Forecast'!AS40*(AS9+AS10+Assumptions!$F$97)</f>
        <v/>
      </c>
      <c r="AT14" s="43">
        <f>'Revenue Forecast'!AT40*(AT9+AT10+Assumptions!$F$97)</f>
        <v/>
      </c>
      <c r="AU14" s="43">
        <f>'Revenue Forecast'!AU40*(AU9+AU10+Assumptions!$F$97)</f>
        <v/>
      </c>
      <c r="AV14" s="43">
        <f>'Revenue Forecast'!AV40*(AV9+AV10+Assumptions!$F$97)</f>
        <v/>
      </c>
      <c r="AW14" s="43">
        <f>'Revenue Forecast'!AW40*(AW9+AW10+Assumptions!$F$97)</f>
        <v/>
      </c>
      <c r="AX14" s="43">
        <f>'Revenue Forecast'!AX40*(AX9+AX10+Assumptions!$F$97)</f>
        <v/>
      </c>
      <c r="AY14" s="43">
        <f>'Revenue Forecast'!AY40*(AY9+AY10+Assumptions!$F$97)</f>
        <v/>
      </c>
      <c r="AZ14" s="43">
        <f>'Revenue Forecast'!AZ40*(AZ9+AZ10+Assumptions!$F$97)</f>
        <v/>
      </c>
      <c r="BA14" s="43">
        <f>'Revenue Forecast'!BA40*(BA9+BA10+Assumptions!$F$97)</f>
        <v/>
      </c>
      <c r="BB14" s="43">
        <f>'Revenue Forecast'!BB40*(BB9+BB10+Assumptions!$F$97)</f>
        <v/>
      </c>
      <c r="BC14" s="43">
        <f>'Revenue Forecast'!BC40*(BC9+BC10+Assumptions!$F$97)</f>
        <v/>
      </c>
      <c r="BD14" s="43">
        <f>'Revenue Forecast'!BD40*(BD9+BD10+Assumptions!$F$97)</f>
        <v/>
      </c>
      <c r="BE14" s="43">
        <f>'Revenue Forecast'!BE40*(BE9+BE10+Assumptions!$F$97)</f>
        <v/>
      </c>
      <c r="BF14" s="43">
        <f>'Revenue Forecast'!BF40*(BF9+BF10+Assumptions!$F$97)</f>
        <v/>
      </c>
      <c r="BG14" s="43">
        <f>'Revenue Forecast'!BG40*(BG9+BG10+Assumptions!$F$97)</f>
        <v/>
      </c>
      <c r="BH14" s="43">
        <f>'Revenue Forecast'!BH40*(BH9+BH10+Assumptions!$F$97)</f>
        <v/>
      </c>
      <c r="BI14" s="43">
        <f>'Revenue Forecast'!BI40*(BI9+BI10+Assumptions!$F$97)</f>
        <v/>
      </c>
      <c r="BJ14" s="43">
        <f>'Revenue Forecast'!BJ40*(BJ9+BJ10+Assumptions!$F$97)</f>
        <v/>
      </c>
      <c r="BK14" s="43">
        <f>'Revenue Forecast'!BK40*(BK9+BK10+Assumptions!$F$97)</f>
        <v/>
      </c>
      <c r="BL14" s="43">
        <f>'Revenue Forecast'!BL40*(BL9+BL10+Assumptions!$F$97)</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Forecast'!E15)*Assumptions!$F$77</f>
        <v/>
      </c>
      <c r="F18" s="43">
        <f>('Revenue Forecast'!F44+'Revenue Forecast'!F45)*(1-'Revenue Forecast'!F15)*Assumptions!$F$77</f>
        <v/>
      </c>
      <c r="G18" s="43">
        <f>('Revenue Forecast'!G44+'Revenue Forecast'!G45)*(1-'Revenue Forecast'!G15)*Assumptions!$F$77</f>
        <v/>
      </c>
      <c r="H18" s="43">
        <f>('Revenue Forecast'!H44+'Revenue Forecast'!H45)*(1-'Revenue Forecast'!H15)*Assumptions!$F$77</f>
        <v/>
      </c>
      <c r="I18" s="43">
        <f>('Revenue Forecast'!I44+'Revenue Forecast'!I45)*(1-'Revenue Forecast'!I15)*Assumptions!$F$77</f>
        <v/>
      </c>
      <c r="J18" s="43">
        <f>('Revenue Forecast'!J44+'Revenue Forecast'!J45)*(1-'Revenue Forecast'!J15)*Assumptions!$F$77</f>
        <v/>
      </c>
      <c r="K18" s="43">
        <f>('Revenue Forecast'!K44+'Revenue Forecast'!K45)*(1-'Revenue Forecast'!K15)*Assumptions!$F$77</f>
        <v/>
      </c>
      <c r="L18" s="43">
        <f>('Revenue Forecast'!L44+'Revenue Forecast'!L45)*(1-'Revenue Forecast'!L15)*Assumptions!$F$77</f>
        <v/>
      </c>
      <c r="M18" s="43">
        <f>('Revenue Forecast'!M44+'Revenue Forecast'!M45)*(1-'Revenue Forecast'!M15)*Assumptions!$F$77</f>
        <v/>
      </c>
      <c r="N18" s="43">
        <f>('Revenue Forecast'!N44+'Revenue Forecast'!N45)*(1-'Revenue Forecast'!N15)*Assumptions!$F$77</f>
        <v/>
      </c>
      <c r="O18" s="43">
        <f>('Revenue Forecast'!O44+'Revenue Forecast'!O45)*(1-'Revenue Forecast'!O15)*Assumptions!$F$77</f>
        <v/>
      </c>
      <c r="P18" s="43">
        <f>('Revenue Forecast'!P44+'Revenue Forecast'!P45)*(1-'Revenue Forecast'!P15)*Assumptions!$F$77</f>
        <v/>
      </c>
      <c r="Q18" s="43">
        <f>('Revenue Forecast'!Q44+'Revenue Forecast'!Q45)*(1-'Revenue Forecast'!Q15)*Assumptions!$F$77</f>
        <v/>
      </c>
      <c r="R18" s="43">
        <f>('Revenue Forecast'!R44+'Revenue Forecast'!R45)*(1-'Revenue Forecast'!R15)*Assumptions!$F$77</f>
        <v/>
      </c>
      <c r="S18" s="43">
        <f>('Revenue Forecast'!S44+'Revenue Forecast'!S45)*(1-'Revenue Forecast'!S15)*Assumptions!$F$77</f>
        <v/>
      </c>
      <c r="T18" s="43">
        <f>('Revenue Forecast'!T44+'Revenue Forecast'!T45)*(1-'Revenue Forecast'!T15)*Assumptions!$F$77</f>
        <v/>
      </c>
      <c r="U18" s="43">
        <f>('Revenue Forecast'!U44+'Revenue Forecast'!U45)*(1-'Revenue Forecast'!U15)*Assumptions!$F$77</f>
        <v/>
      </c>
      <c r="V18" s="43">
        <f>('Revenue Forecast'!V44+'Revenue Forecast'!V45)*(1-'Revenue Forecast'!V15)*Assumptions!$F$77</f>
        <v/>
      </c>
      <c r="W18" s="43">
        <f>('Revenue Forecast'!W44+'Revenue Forecast'!W45)*(1-'Revenue Forecast'!W15)*Assumptions!$F$77</f>
        <v/>
      </c>
      <c r="X18" s="43">
        <f>('Revenue Forecast'!X44+'Revenue Forecast'!X45)*(1-'Revenue Forecast'!X15)*Assumptions!$F$77</f>
        <v/>
      </c>
      <c r="Y18" s="43">
        <f>('Revenue Forecast'!Y44+'Revenue Forecast'!Y45)*(1-'Revenue Forecast'!Y15)*Assumptions!$F$77</f>
        <v/>
      </c>
      <c r="Z18" s="43">
        <f>('Revenue Forecast'!Z44+'Revenue Forecast'!Z45)*(1-'Revenue Forecast'!Z15)*Assumptions!$F$77</f>
        <v/>
      </c>
      <c r="AA18" s="43">
        <f>('Revenue Forecast'!AA44+'Revenue Forecast'!AA45)*(1-'Revenue Forecast'!AA15)*Assumptions!$F$77</f>
        <v/>
      </c>
      <c r="AB18" s="43">
        <f>('Revenue Forecast'!AB44+'Revenue Forecast'!AB45)*(1-'Revenue Forecast'!AB15)*Assumptions!$F$77</f>
        <v/>
      </c>
      <c r="AC18" s="43">
        <f>('Revenue Forecast'!AC44+'Revenue Forecast'!AC45)*(1-'Revenue Forecast'!AC15)*Assumptions!$F$77</f>
        <v/>
      </c>
      <c r="AD18" s="43">
        <f>('Revenue Forecast'!AD44+'Revenue Forecast'!AD45)*(1-'Revenue Forecast'!AD15)*Assumptions!$F$77</f>
        <v/>
      </c>
      <c r="AE18" s="43">
        <f>('Revenue Forecast'!AE44+'Revenue Forecast'!AE45)*(1-'Revenue Forecast'!AE15)*Assumptions!$F$77</f>
        <v/>
      </c>
      <c r="AF18" s="43">
        <f>('Revenue Forecast'!AF44+'Revenue Forecast'!AF45)*(1-'Revenue Forecast'!AF15)*Assumptions!$F$77</f>
        <v/>
      </c>
      <c r="AG18" s="43">
        <f>('Revenue Forecast'!AG44+'Revenue Forecast'!AG45)*(1-'Revenue Forecast'!AG15)*Assumptions!$F$77</f>
        <v/>
      </c>
      <c r="AH18" s="43">
        <f>('Revenue Forecast'!AH44+'Revenue Forecast'!AH45)*(1-'Revenue Forecast'!AH15)*Assumptions!$F$77</f>
        <v/>
      </c>
      <c r="AI18" s="43">
        <f>('Revenue Forecast'!AI44+'Revenue Forecast'!AI45)*(1-'Revenue Forecast'!AI15)*Assumptions!$F$77</f>
        <v/>
      </c>
      <c r="AJ18" s="43">
        <f>('Revenue Forecast'!AJ44+'Revenue Forecast'!AJ45)*(1-'Revenue Forecast'!AJ15)*Assumptions!$F$77</f>
        <v/>
      </c>
      <c r="AK18" s="43">
        <f>('Revenue Forecast'!AK44+'Revenue Forecast'!AK45)*(1-'Revenue Forecast'!AK15)*Assumptions!$F$77</f>
        <v/>
      </c>
      <c r="AL18" s="43">
        <f>('Revenue Forecast'!AL44+'Revenue Forecast'!AL45)*(1-'Revenue Forecast'!AL15)*Assumptions!$F$77</f>
        <v/>
      </c>
      <c r="AM18" s="43">
        <f>('Revenue Forecast'!AM44+'Revenue Forecast'!AM45)*(1-'Revenue Forecast'!AM15)*Assumptions!$F$77</f>
        <v/>
      </c>
      <c r="AN18" s="43">
        <f>('Revenue Forecast'!AN44+'Revenue Forecast'!AN45)*(1-'Revenue Forecast'!AN15)*Assumptions!$F$77</f>
        <v/>
      </c>
      <c r="AO18" s="43">
        <f>('Revenue Forecast'!AO44+'Revenue Forecast'!AO45)*(1-'Revenue Forecast'!AO15)*Assumptions!$F$77</f>
        <v/>
      </c>
      <c r="AP18" s="43">
        <f>('Revenue Forecast'!AP44+'Revenue Forecast'!AP45)*(1-'Revenue Forecast'!AP15)*Assumptions!$F$77</f>
        <v/>
      </c>
      <c r="AQ18" s="43">
        <f>('Revenue Forecast'!AQ44+'Revenue Forecast'!AQ45)*(1-'Revenue Forecast'!AQ15)*Assumptions!$F$77</f>
        <v/>
      </c>
      <c r="AR18" s="43">
        <f>('Revenue Forecast'!AR44+'Revenue Forecast'!AR45)*(1-'Revenue Forecast'!AR15)*Assumptions!$F$77</f>
        <v/>
      </c>
      <c r="AS18" s="43">
        <f>('Revenue Forecast'!AS44+'Revenue Forecast'!AS45)*(1-'Revenue Forecast'!AS15)*Assumptions!$F$77</f>
        <v/>
      </c>
      <c r="AT18" s="43">
        <f>('Revenue Forecast'!AT44+'Revenue Forecast'!AT45)*(1-'Revenue Forecast'!AT15)*Assumptions!$F$77</f>
        <v/>
      </c>
      <c r="AU18" s="43">
        <f>('Revenue Forecast'!AU44+'Revenue Forecast'!AU45)*(1-'Revenue Forecast'!AU15)*Assumptions!$F$77</f>
        <v/>
      </c>
      <c r="AV18" s="43">
        <f>('Revenue Forecast'!AV44+'Revenue Forecast'!AV45)*(1-'Revenue Forecast'!AV15)*Assumptions!$F$77</f>
        <v/>
      </c>
      <c r="AW18" s="43">
        <f>('Revenue Forecast'!AW44+'Revenue Forecast'!AW45)*(1-'Revenue Forecast'!AW15)*Assumptions!$F$77</f>
        <v/>
      </c>
      <c r="AX18" s="43">
        <f>('Revenue Forecast'!AX44+'Revenue Forecast'!AX45)*(1-'Revenue Forecast'!AX15)*Assumptions!$F$77</f>
        <v/>
      </c>
      <c r="AY18" s="43">
        <f>('Revenue Forecast'!AY44+'Revenue Forecast'!AY45)*(1-'Revenue Forecast'!AY15)*Assumptions!$F$77</f>
        <v/>
      </c>
      <c r="AZ18" s="43">
        <f>('Revenue Forecast'!AZ44+'Revenue Forecast'!AZ45)*(1-'Revenue Forecast'!AZ15)*Assumptions!$F$77</f>
        <v/>
      </c>
      <c r="BA18" s="43">
        <f>('Revenue Forecast'!BA44+'Revenue Forecast'!BA45)*(1-'Revenue Forecast'!BA15)*Assumptions!$F$77</f>
        <v/>
      </c>
      <c r="BB18" s="43">
        <f>('Revenue Forecast'!BB44+'Revenue Forecast'!BB45)*(1-'Revenue Forecast'!BB15)*Assumptions!$F$77</f>
        <v/>
      </c>
      <c r="BC18" s="43">
        <f>('Revenue Forecast'!BC44+'Revenue Forecast'!BC45)*(1-'Revenue Forecast'!BC15)*Assumptions!$F$77</f>
        <v/>
      </c>
      <c r="BD18" s="43">
        <f>('Revenue Forecast'!BD44+'Revenue Forecast'!BD45)*(1-'Revenue Forecast'!BD15)*Assumptions!$F$77</f>
        <v/>
      </c>
      <c r="BE18" s="43">
        <f>('Revenue Forecast'!BE44+'Revenue Forecast'!BE45)*(1-'Revenue Forecast'!BE15)*Assumptions!$F$77</f>
        <v/>
      </c>
      <c r="BF18" s="43">
        <f>('Revenue Forecast'!BF44+'Revenue Forecast'!BF45)*(1-'Revenue Forecast'!BF15)*Assumptions!$F$77</f>
        <v/>
      </c>
      <c r="BG18" s="43">
        <f>('Revenue Forecast'!BG44+'Revenue Forecast'!BG45)*(1-'Revenue Forecast'!BG15)*Assumptions!$F$77</f>
        <v/>
      </c>
      <c r="BH18" s="43">
        <f>('Revenue Forecast'!BH44+'Revenue Forecast'!BH45)*(1-'Revenue Forecast'!BH15)*Assumptions!$F$77</f>
        <v/>
      </c>
      <c r="BI18" s="43">
        <f>('Revenue Forecast'!BI44+'Revenue Forecast'!BI45)*(1-'Revenue Forecast'!BI15)*Assumptions!$F$77</f>
        <v/>
      </c>
      <c r="BJ18" s="43">
        <f>('Revenue Forecast'!BJ44+'Revenue Forecast'!BJ45)*(1-'Revenue Forecast'!BJ15)*Assumptions!$F$77</f>
        <v/>
      </c>
      <c r="BK18" s="43">
        <f>('Revenue Forecast'!BK44+'Revenue Forecast'!BK45)*(1-'Revenue Forecast'!BK15)*Assumptions!$F$77</f>
        <v/>
      </c>
      <c r="BL18" s="43">
        <f>('Revenue Forecast'!BL44+'Revenue Forecast'!BL45)*(1-'Revenue Forecast'!BL15)*Assumptions!$F$77</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Forecast'!E19*Assumptions!$F$130</f>
        <v/>
      </c>
      <c r="F13" s="43">
        <f>'Revenue Forecast'!F19*Assumptions!$F$130</f>
        <v/>
      </c>
      <c r="G13" s="43">
        <f>'Revenue Forecast'!G19*Assumptions!$F$130</f>
        <v/>
      </c>
      <c r="H13" s="43">
        <f>'Revenue Forecast'!H19*Assumptions!$F$130</f>
        <v/>
      </c>
      <c r="I13" s="43">
        <f>'Revenue Forecast'!I19*Assumptions!$F$130</f>
        <v/>
      </c>
      <c r="J13" s="43">
        <f>'Revenue Forecast'!J19*Assumptions!$F$130</f>
        <v/>
      </c>
      <c r="K13" s="43">
        <f>'Revenue Forecast'!K19*Assumptions!$F$130</f>
        <v/>
      </c>
      <c r="L13" s="43">
        <f>'Revenue Forecast'!L19*Assumptions!$F$130</f>
        <v/>
      </c>
      <c r="M13" s="43">
        <f>'Revenue Forecast'!M19*Assumptions!$F$130</f>
        <v/>
      </c>
      <c r="N13" s="43">
        <f>'Revenue Forecast'!N19*Assumptions!$F$130</f>
        <v/>
      </c>
      <c r="O13" s="43">
        <f>'Revenue Forecast'!O19*Assumptions!$F$130</f>
        <v/>
      </c>
      <c r="P13" s="43">
        <f>'Revenue Forecast'!P19*Assumptions!$F$130</f>
        <v/>
      </c>
      <c r="Q13" s="43">
        <f>'Revenue Forecast'!Q19*Assumptions!$F$130</f>
        <v/>
      </c>
      <c r="R13" s="43">
        <f>'Revenue Forecast'!R19*Assumptions!$F$130</f>
        <v/>
      </c>
      <c r="S13" s="43">
        <f>'Revenue Forecast'!S19*Assumptions!$F$130</f>
        <v/>
      </c>
      <c r="T13" s="43">
        <f>'Revenue Forecast'!T19*Assumptions!$F$130</f>
        <v/>
      </c>
      <c r="U13" s="43">
        <f>'Revenue Forecast'!U19*Assumptions!$F$130</f>
        <v/>
      </c>
      <c r="V13" s="43">
        <f>'Revenue Forecast'!V19*Assumptions!$F$130</f>
        <v/>
      </c>
      <c r="W13" s="43">
        <f>'Revenue Forecast'!W19*Assumptions!$F$130</f>
        <v/>
      </c>
      <c r="X13" s="43">
        <f>'Revenue Forecast'!X19*Assumptions!$F$130</f>
        <v/>
      </c>
      <c r="Y13" s="43">
        <f>'Revenue Forecast'!Y19*Assumptions!$F$130</f>
        <v/>
      </c>
      <c r="Z13" s="43">
        <f>'Revenue Forecast'!Z19*Assumptions!$F$130</f>
        <v/>
      </c>
      <c r="AA13" s="43">
        <f>'Revenue Forecast'!AA19*Assumptions!$F$130</f>
        <v/>
      </c>
      <c r="AB13" s="43">
        <f>'Revenue Forecast'!AB19*Assumptions!$F$130</f>
        <v/>
      </c>
      <c r="AC13" s="43">
        <f>'Revenue Forecast'!AC19*Assumptions!$F$130</f>
        <v/>
      </c>
      <c r="AD13" s="43">
        <f>'Revenue Forecast'!AD19*Assumptions!$F$130</f>
        <v/>
      </c>
      <c r="AE13" s="43">
        <f>'Revenue Forecast'!AE19*Assumptions!$F$130</f>
        <v/>
      </c>
      <c r="AF13" s="43">
        <f>'Revenue Forecast'!AF19*Assumptions!$F$130</f>
        <v/>
      </c>
      <c r="AG13" s="43">
        <f>'Revenue Forecast'!AG19*Assumptions!$F$130</f>
        <v/>
      </c>
      <c r="AH13" s="43">
        <f>'Revenue Forecast'!AH19*Assumptions!$F$130</f>
        <v/>
      </c>
      <c r="AI13" s="43">
        <f>'Revenue Forecast'!AI19*Assumptions!$F$130</f>
        <v/>
      </c>
      <c r="AJ13" s="43">
        <f>'Revenue Forecast'!AJ19*Assumptions!$F$130</f>
        <v/>
      </c>
      <c r="AK13" s="43">
        <f>'Revenue Forecast'!AK19*Assumptions!$F$130</f>
        <v/>
      </c>
      <c r="AL13" s="43">
        <f>'Revenue Forecast'!AL19*Assumptions!$F$130</f>
        <v/>
      </c>
      <c r="AM13" s="43">
        <f>'Revenue Forecast'!AM19*Assumptions!$F$130</f>
        <v/>
      </c>
      <c r="AN13" s="43">
        <f>'Revenue Forecast'!AN19*Assumptions!$F$130</f>
        <v/>
      </c>
      <c r="AO13" s="43">
        <f>'Revenue Forecast'!AO19*Assumptions!$F$130</f>
        <v/>
      </c>
      <c r="AP13" s="43">
        <f>'Revenue Forecast'!AP19*Assumptions!$F$130</f>
        <v/>
      </c>
      <c r="AQ13" s="43">
        <f>'Revenue Forecast'!AQ19*Assumptions!$F$130</f>
        <v/>
      </c>
      <c r="AR13" s="43">
        <f>'Revenue Forecast'!AR19*Assumptions!$F$130</f>
        <v/>
      </c>
      <c r="AS13" s="43">
        <f>'Revenue Forecast'!AS19*Assumptions!$F$130</f>
        <v/>
      </c>
      <c r="AT13" s="43">
        <f>'Revenue Forecast'!AT19*Assumptions!$F$130</f>
        <v/>
      </c>
      <c r="AU13" s="43">
        <f>'Revenue Forecast'!AU19*Assumptions!$F$130</f>
        <v/>
      </c>
      <c r="AV13" s="43">
        <f>'Revenue Forecast'!AV19*Assumptions!$F$130</f>
        <v/>
      </c>
      <c r="AW13" s="43">
        <f>'Revenue Forecast'!AW19*Assumptions!$F$130</f>
        <v/>
      </c>
      <c r="AX13" s="43">
        <f>'Revenue Forecast'!AX19*Assumptions!$F$130</f>
        <v/>
      </c>
      <c r="AY13" s="43">
        <f>'Revenue Forecast'!AY19*Assumptions!$F$130</f>
        <v/>
      </c>
      <c r="AZ13" s="43">
        <f>'Revenue Forecast'!AZ19*Assumptions!$F$130</f>
        <v/>
      </c>
      <c r="BA13" s="43">
        <f>'Revenue Forecast'!BA19*Assumptions!$F$130</f>
        <v/>
      </c>
      <c r="BB13" s="43">
        <f>'Revenue Forecast'!BB19*Assumptions!$F$130</f>
        <v/>
      </c>
      <c r="BC13" s="43">
        <f>'Revenue Forecast'!BC19*Assumptions!$F$130</f>
        <v/>
      </c>
      <c r="BD13" s="43">
        <f>'Revenue Forecast'!BD19*Assumptions!$F$130</f>
        <v/>
      </c>
      <c r="BE13" s="43">
        <f>'Revenue Forecast'!BE19*Assumptions!$F$130</f>
        <v/>
      </c>
      <c r="BF13" s="43">
        <f>'Revenue Forecast'!BF19*Assumptions!$F$130</f>
        <v/>
      </c>
      <c r="BG13" s="43">
        <f>'Revenue Forecast'!BG19*Assumptions!$F$130</f>
        <v/>
      </c>
      <c r="BH13" s="43">
        <f>'Revenue Forecast'!BH19*Assumptions!$F$130</f>
        <v/>
      </c>
      <c r="BI13" s="43">
        <f>'Revenue Forecast'!BI19*Assumptions!$F$130</f>
        <v/>
      </c>
      <c r="BJ13" s="43">
        <f>'Revenue Forecast'!BJ19*Assumptions!$F$130</f>
        <v/>
      </c>
      <c r="BK13" s="43">
        <f>'Revenue Forecast'!BK19*Assumptions!$F$130</f>
        <v/>
      </c>
      <c r="BL13" s="43">
        <f>'Revenue Forecast'!BL19*Assumptions!$F$130</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Assumptions!$F$133*(1+Assumptions!$F$135)^(YEAR(E$3)-2026)</f>
        <v/>
      </c>
      <c r="F17" s="43">
        <f>Assumptions!$F$133*(1+Assumptions!$F$135)^(YEAR(F$3)-2026)</f>
        <v/>
      </c>
      <c r="G17" s="43">
        <f>Assumptions!$F$133*(1+Assumptions!$F$135)^(YEAR(G$3)-2026)</f>
        <v/>
      </c>
      <c r="H17" s="43">
        <f>Assumptions!$F$133*(1+Assumptions!$F$135)^(YEAR(H$3)-2026)</f>
        <v/>
      </c>
      <c r="I17" s="43">
        <f>Assumptions!$F$133*(1+Assumptions!$F$135)^(YEAR(I$3)-2026)</f>
        <v/>
      </c>
      <c r="J17" s="43">
        <f>Assumptions!$F$133*(1+Assumptions!$F$135)^(YEAR(J$3)-2026)</f>
        <v/>
      </c>
      <c r="K17" s="43">
        <f>Assumptions!$F$133*(1+Assumptions!$F$135)^(YEAR(K$3)-2026)</f>
        <v/>
      </c>
      <c r="L17" s="43">
        <f>Assumptions!$F$133*(1+Assumptions!$F$135)^(YEAR(L$3)-2026)</f>
        <v/>
      </c>
      <c r="M17" s="43">
        <f>Assumptions!$F$133*(1+Assumptions!$F$135)^(YEAR(M$3)-2026)</f>
        <v/>
      </c>
      <c r="N17" s="43">
        <f>Assumptions!$F$133*(1+Assumptions!$F$135)^(YEAR(N$3)-2026)</f>
        <v/>
      </c>
      <c r="O17" s="43">
        <f>Assumptions!$F$133*(1+Assumptions!$F$135)^(YEAR(O$3)-2026)</f>
        <v/>
      </c>
      <c r="P17" s="43">
        <f>Assumptions!$F$133*(1+Assumptions!$F$135)^(YEAR(P$3)-2026)</f>
        <v/>
      </c>
      <c r="Q17" s="43">
        <f>Assumptions!$F$133*(1+Assumptions!$F$135)^(YEAR(Q$3)-2026)</f>
        <v/>
      </c>
      <c r="R17" s="43">
        <f>Assumptions!$F$133*(1+Assumptions!$F$135)^(YEAR(R$3)-2026)</f>
        <v/>
      </c>
      <c r="S17" s="43">
        <f>Assumptions!$F$133*(1+Assumptions!$F$135)^(YEAR(S$3)-2026)</f>
        <v/>
      </c>
      <c r="T17" s="43">
        <f>Assumptions!$F$133*(1+Assumptions!$F$135)^(YEAR(T$3)-2026)</f>
        <v/>
      </c>
      <c r="U17" s="43">
        <f>Assumptions!$F$133*(1+Assumptions!$F$135)^(YEAR(U$3)-2026)</f>
        <v/>
      </c>
      <c r="V17" s="43">
        <f>Assumptions!$F$133*(1+Assumptions!$F$135)^(YEAR(V$3)-2026)</f>
        <v/>
      </c>
      <c r="W17" s="43">
        <f>Assumptions!$F$133*(1+Assumptions!$F$135)^(YEAR(W$3)-2026)</f>
        <v/>
      </c>
      <c r="X17" s="43">
        <f>Assumptions!$F$133*(1+Assumptions!$F$135)^(YEAR(X$3)-2026)</f>
        <v/>
      </c>
      <c r="Y17" s="43">
        <f>Assumptions!$F$133*(1+Assumptions!$F$135)^(YEAR(Y$3)-2026)</f>
        <v/>
      </c>
      <c r="Z17" s="43">
        <f>Assumptions!$F$133*(1+Assumptions!$F$135)^(YEAR(Z$3)-2026)</f>
        <v/>
      </c>
      <c r="AA17" s="43">
        <f>Assumptions!$F$133*(1+Assumptions!$F$135)^(YEAR(AA$3)-2026)</f>
        <v/>
      </c>
      <c r="AB17" s="43">
        <f>Assumptions!$F$133*(1+Assumptions!$F$135)^(YEAR(AB$3)-2026)</f>
        <v/>
      </c>
      <c r="AC17" s="43">
        <f>Assumptions!$F$133*(1+Assumptions!$F$135)^(YEAR(AC$3)-2026)</f>
        <v/>
      </c>
      <c r="AD17" s="43">
        <f>Assumptions!$F$133*(1+Assumptions!$F$135)^(YEAR(AD$3)-2026)</f>
        <v/>
      </c>
      <c r="AE17" s="43">
        <f>Assumptions!$F$133*(1+Assumptions!$F$135)^(YEAR(AE$3)-2026)</f>
        <v/>
      </c>
      <c r="AF17" s="43">
        <f>Assumptions!$F$133*(1+Assumptions!$F$135)^(YEAR(AF$3)-2026)</f>
        <v/>
      </c>
      <c r="AG17" s="43">
        <f>Assumptions!$F$133*(1+Assumptions!$F$135)^(YEAR(AG$3)-2026)</f>
        <v/>
      </c>
      <c r="AH17" s="43">
        <f>Assumptions!$F$133*(1+Assumptions!$F$135)^(YEAR(AH$3)-2026)</f>
        <v/>
      </c>
      <c r="AI17" s="43">
        <f>Assumptions!$F$133*(1+Assumptions!$F$135)^(YEAR(AI$3)-2026)</f>
        <v/>
      </c>
      <c r="AJ17" s="43">
        <f>Assumptions!$F$133*(1+Assumptions!$F$135)^(YEAR(AJ$3)-2026)</f>
        <v/>
      </c>
      <c r="AK17" s="43">
        <f>Assumptions!$F$133*(1+Assumptions!$F$135)^(YEAR(AK$3)-2026)</f>
        <v/>
      </c>
      <c r="AL17" s="43">
        <f>Assumptions!$F$133*(1+Assumptions!$F$135)^(YEAR(AL$3)-2026)</f>
        <v/>
      </c>
      <c r="AM17" s="43">
        <f>Assumptions!$F$133*(1+Assumptions!$F$135)^(YEAR(AM$3)-2026)</f>
        <v/>
      </c>
      <c r="AN17" s="43">
        <f>Assumptions!$F$133*(1+Assumptions!$F$135)^(YEAR(AN$3)-2026)</f>
        <v/>
      </c>
      <c r="AO17" s="43">
        <f>Assumptions!$F$133*(1+Assumptions!$F$135)^(YEAR(AO$3)-2026)</f>
        <v/>
      </c>
      <c r="AP17" s="43">
        <f>Assumptions!$F$133*(1+Assumptions!$F$135)^(YEAR(AP$3)-2026)</f>
        <v/>
      </c>
      <c r="AQ17" s="43">
        <f>Assumptions!$F$133*(1+Assumptions!$F$135)^(YEAR(AQ$3)-2026)</f>
        <v/>
      </c>
      <c r="AR17" s="43">
        <f>Assumptions!$F$133*(1+Assumptions!$F$135)^(YEAR(AR$3)-2026)</f>
        <v/>
      </c>
      <c r="AS17" s="43">
        <f>Assumptions!$F$133*(1+Assumptions!$F$135)^(YEAR(AS$3)-2026)</f>
        <v/>
      </c>
      <c r="AT17" s="43">
        <f>Assumptions!$F$133*(1+Assumptions!$F$135)^(YEAR(AT$3)-2026)</f>
        <v/>
      </c>
      <c r="AU17" s="43">
        <f>Assumptions!$F$133*(1+Assumptions!$F$135)^(YEAR(AU$3)-2026)</f>
        <v/>
      </c>
      <c r="AV17" s="43">
        <f>Assumptions!$F$133*(1+Assumptions!$F$135)^(YEAR(AV$3)-2026)</f>
        <v/>
      </c>
      <c r="AW17" s="43">
        <f>Assumptions!$F$133*(1+Assumptions!$F$135)^(YEAR(AW$3)-2026)</f>
        <v/>
      </c>
      <c r="AX17" s="43">
        <f>Assumptions!$F$133*(1+Assumptions!$F$135)^(YEAR(AX$3)-2026)</f>
        <v/>
      </c>
      <c r="AY17" s="43">
        <f>Assumptions!$F$133*(1+Assumptions!$F$135)^(YEAR(AY$3)-2026)</f>
        <v/>
      </c>
      <c r="AZ17" s="43">
        <f>Assumptions!$F$133*(1+Assumptions!$F$135)^(YEAR(AZ$3)-2026)</f>
        <v/>
      </c>
      <c r="BA17" s="43">
        <f>Assumptions!$F$133*(1+Assumptions!$F$135)^(YEAR(BA$3)-2026)</f>
        <v/>
      </c>
      <c r="BB17" s="43">
        <f>Assumptions!$F$133*(1+Assumptions!$F$135)^(YEAR(BB$3)-2026)</f>
        <v/>
      </c>
      <c r="BC17" s="43">
        <f>Assumptions!$F$133*(1+Assumptions!$F$135)^(YEAR(BC$3)-2026)</f>
        <v/>
      </c>
      <c r="BD17" s="43">
        <f>Assumptions!$F$133*(1+Assumptions!$F$135)^(YEAR(BD$3)-2026)</f>
        <v/>
      </c>
      <c r="BE17" s="43">
        <f>Assumptions!$F$133*(1+Assumptions!$F$135)^(YEAR(BE$3)-2026)</f>
        <v/>
      </c>
      <c r="BF17" s="43">
        <f>Assumptions!$F$133*(1+Assumptions!$F$135)^(YEAR(BF$3)-2026)</f>
        <v/>
      </c>
      <c r="BG17" s="43">
        <f>Assumptions!$F$133*(1+Assumptions!$F$135)^(YEAR(BG$3)-2026)</f>
        <v/>
      </c>
      <c r="BH17" s="43">
        <f>Assumptions!$F$133*(1+Assumptions!$F$135)^(YEAR(BH$3)-2026)</f>
        <v/>
      </c>
      <c r="BI17" s="43">
        <f>Assumptions!$F$133*(1+Assumptions!$F$135)^(YEAR(BI$3)-2026)</f>
        <v/>
      </c>
      <c r="BJ17" s="43">
        <f>Assumptions!$F$133*(1+Assumptions!$F$135)^(YEAR(BJ$3)-2026)</f>
        <v/>
      </c>
      <c r="BK17" s="43">
        <f>Assumptions!$F$133*(1+Assumptions!$F$135)^(YEAR(BK$3)-2026)</f>
        <v/>
      </c>
      <c r="BL17" s="43">
        <f>Assumptions!$F$133*(1+Assumptions!$F$135)^(YEAR(BL$3)-2026)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Assumptions!$F$134*(1+Assumptions!$F$135)^(YEAR(E$3)-2026)</f>
        <v/>
      </c>
      <c r="F18" s="43">
        <f>Assumptions!$F$134*(1+Assumptions!$F$135)^(YEAR(F$3)-2026)</f>
        <v/>
      </c>
      <c r="G18" s="43">
        <f>Assumptions!$F$134*(1+Assumptions!$F$135)^(YEAR(G$3)-2026)</f>
        <v/>
      </c>
      <c r="H18" s="43">
        <f>Assumptions!$F$134*(1+Assumptions!$F$135)^(YEAR(H$3)-2026)</f>
        <v/>
      </c>
      <c r="I18" s="43">
        <f>Assumptions!$F$134*(1+Assumptions!$F$135)^(YEAR(I$3)-2026)</f>
        <v/>
      </c>
      <c r="J18" s="43">
        <f>Assumptions!$F$134*(1+Assumptions!$F$135)^(YEAR(J$3)-2026)</f>
        <v/>
      </c>
      <c r="K18" s="43">
        <f>Assumptions!$F$134*(1+Assumptions!$F$135)^(YEAR(K$3)-2026)</f>
        <v/>
      </c>
      <c r="L18" s="43">
        <f>Assumptions!$F$134*(1+Assumptions!$F$135)^(YEAR(L$3)-2026)</f>
        <v/>
      </c>
      <c r="M18" s="43">
        <f>Assumptions!$F$134*(1+Assumptions!$F$135)^(YEAR(M$3)-2026)</f>
        <v/>
      </c>
      <c r="N18" s="43">
        <f>Assumptions!$F$134*(1+Assumptions!$F$135)^(YEAR(N$3)-2026)</f>
        <v/>
      </c>
      <c r="O18" s="43">
        <f>Assumptions!$F$134*(1+Assumptions!$F$135)^(YEAR(O$3)-2026)</f>
        <v/>
      </c>
      <c r="P18" s="43">
        <f>Assumptions!$F$134*(1+Assumptions!$F$135)^(YEAR(P$3)-2026)</f>
        <v/>
      </c>
      <c r="Q18" s="43">
        <f>Assumptions!$F$134*(1+Assumptions!$F$135)^(YEAR(Q$3)-2026)</f>
        <v/>
      </c>
      <c r="R18" s="43">
        <f>Assumptions!$F$134*(1+Assumptions!$F$135)^(YEAR(R$3)-2026)</f>
        <v/>
      </c>
      <c r="S18" s="43">
        <f>Assumptions!$F$134*(1+Assumptions!$F$135)^(YEAR(S$3)-2026)</f>
        <v/>
      </c>
      <c r="T18" s="43">
        <f>Assumptions!$F$134*(1+Assumptions!$F$135)^(YEAR(T$3)-2026)</f>
        <v/>
      </c>
      <c r="U18" s="43">
        <f>Assumptions!$F$134*(1+Assumptions!$F$135)^(YEAR(U$3)-2026)</f>
        <v/>
      </c>
      <c r="V18" s="43">
        <f>Assumptions!$F$134*(1+Assumptions!$F$135)^(YEAR(V$3)-2026)</f>
        <v/>
      </c>
      <c r="W18" s="43">
        <f>Assumptions!$F$134*(1+Assumptions!$F$135)^(YEAR(W$3)-2026)</f>
        <v/>
      </c>
      <c r="X18" s="43">
        <f>Assumptions!$F$134*(1+Assumptions!$F$135)^(YEAR(X$3)-2026)</f>
        <v/>
      </c>
      <c r="Y18" s="43">
        <f>Assumptions!$F$134*(1+Assumptions!$F$135)^(YEAR(Y$3)-2026)</f>
        <v/>
      </c>
      <c r="Z18" s="43">
        <f>Assumptions!$F$134*(1+Assumptions!$F$135)^(YEAR(Z$3)-2026)</f>
        <v/>
      </c>
      <c r="AA18" s="43">
        <f>Assumptions!$F$134*(1+Assumptions!$F$135)^(YEAR(AA$3)-2026)</f>
        <v/>
      </c>
      <c r="AB18" s="43">
        <f>Assumptions!$F$134*(1+Assumptions!$F$135)^(YEAR(AB$3)-2026)</f>
        <v/>
      </c>
      <c r="AC18" s="43">
        <f>Assumptions!$F$134*(1+Assumptions!$F$135)^(YEAR(AC$3)-2026)</f>
        <v/>
      </c>
      <c r="AD18" s="43">
        <f>Assumptions!$F$134*(1+Assumptions!$F$135)^(YEAR(AD$3)-2026)</f>
        <v/>
      </c>
      <c r="AE18" s="43">
        <f>Assumptions!$F$134*(1+Assumptions!$F$135)^(YEAR(AE$3)-2026)</f>
        <v/>
      </c>
      <c r="AF18" s="43">
        <f>Assumptions!$F$134*(1+Assumptions!$F$135)^(YEAR(AF$3)-2026)</f>
        <v/>
      </c>
      <c r="AG18" s="43">
        <f>Assumptions!$F$134*(1+Assumptions!$F$135)^(YEAR(AG$3)-2026)</f>
        <v/>
      </c>
      <c r="AH18" s="43">
        <f>Assumptions!$F$134*(1+Assumptions!$F$135)^(YEAR(AH$3)-2026)</f>
        <v/>
      </c>
      <c r="AI18" s="43">
        <f>Assumptions!$F$134*(1+Assumptions!$F$135)^(YEAR(AI$3)-2026)</f>
        <v/>
      </c>
      <c r="AJ18" s="43">
        <f>Assumptions!$F$134*(1+Assumptions!$F$135)^(YEAR(AJ$3)-2026)</f>
        <v/>
      </c>
      <c r="AK18" s="43">
        <f>Assumptions!$F$134*(1+Assumptions!$F$135)^(YEAR(AK$3)-2026)</f>
        <v/>
      </c>
      <c r="AL18" s="43">
        <f>Assumptions!$F$134*(1+Assumptions!$F$135)^(YEAR(AL$3)-2026)</f>
        <v/>
      </c>
      <c r="AM18" s="43">
        <f>Assumptions!$F$134*(1+Assumptions!$F$135)^(YEAR(AM$3)-2026)</f>
        <v/>
      </c>
      <c r="AN18" s="43">
        <f>Assumptions!$F$134*(1+Assumptions!$F$135)^(YEAR(AN$3)-2026)</f>
        <v/>
      </c>
      <c r="AO18" s="43">
        <f>Assumptions!$F$134*(1+Assumptions!$F$135)^(YEAR(AO$3)-2026)</f>
        <v/>
      </c>
      <c r="AP18" s="43">
        <f>Assumptions!$F$134*(1+Assumptions!$F$135)^(YEAR(AP$3)-2026)</f>
        <v/>
      </c>
      <c r="AQ18" s="43">
        <f>Assumptions!$F$134*(1+Assumptions!$F$135)^(YEAR(AQ$3)-2026)</f>
        <v/>
      </c>
      <c r="AR18" s="43">
        <f>Assumptions!$F$134*(1+Assumptions!$F$135)^(YEAR(AR$3)-2026)</f>
        <v/>
      </c>
      <c r="AS18" s="43">
        <f>Assumptions!$F$134*(1+Assumptions!$F$135)^(YEAR(AS$3)-2026)</f>
        <v/>
      </c>
      <c r="AT18" s="43">
        <f>Assumptions!$F$134*(1+Assumptions!$F$135)^(YEAR(AT$3)-2026)</f>
        <v/>
      </c>
      <c r="AU18" s="43">
        <f>Assumptions!$F$134*(1+Assumptions!$F$135)^(YEAR(AU$3)-2026)</f>
        <v/>
      </c>
      <c r="AV18" s="43">
        <f>Assumptions!$F$134*(1+Assumptions!$F$135)^(YEAR(AV$3)-2026)</f>
        <v/>
      </c>
      <c r="AW18" s="43">
        <f>Assumptions!$F$134*(1+Assumptions!$F$135)^(YEAR(AW$3)-2026)</f>
        <v/>
      </c>
      <c r="AX18" s="43">
        <f>Assumptions!$F$134*(1+Assumptions!$F$135)^(YEAR(AX$3)-2026)</f>
        <v/>
      </c>
      <c r="AY18" s="43">
        <f>Assumptions!$F$134*(1+Assumptions!$F$135)^(YEAR(AY$3)-2026)</f>
        <v/>
      </c>
      <c r="AZ18" s="43">
        <f>Assumptions!$F$134*(1+Assumptions!$F$135)^(YEAR(AZ$3)-2026)</f>
        <v/>
      </c>
      <c r="BA18" s="43">
        <f>Assumptions!$F$134*(1+Assumptions!$F$135)^(YEAR(BA$3)-2026)</f>
        <v/>
      </c>
      <c r="BB18" s="43">
        <f>Assumptions!$F$134*(1+Assumptions!$F$135)^(YEAR(BB$3)-2026)</f>
        <v/>
      </c>
      <c r="BC18" s="43">
        <f>Assumptions!$F$134*(1+Assumptions!$F$135)^(YEAR(BC$3)-2026)</f>
        <v/>
      </c>
      <c r="BD18" s="43">
        <f>Assumptions!$F$134*(1+Assumptions!$F$135)^(YEAR(BD$3)-2026)</f>
        <v/>
      </c>
      <c r="BE18" s="43">
        <f>Assumptions!$F$134*(1+Assumptions!$F$135)^(YEAR(BE$3)-2026)</f>
        <v/>
      </c>
      <c r="BF18" s="43">
        <f>Assumptions!$F$134*(1+Assumptions!$F$135)^(YEAR(BF$3)-2026)</f>
        <v/>
      </c>
      <c r="BG18" s="43">
        <f>Assumptions!$F$134*(1+Assumptions!$F$135)^(YEAR(BG$3)-2026)</f>
        <v/>
      </c>
      <c r="BH18" s="43">
        <f>Assumptions!$F$134*(1+Assumptions!$F$135)^(YEAR(BH$3)-2026)</f>
        <v/>
      </c>
      <c r="BI18" s="43">
        <f>Assumptions!$F$134*(1+Assumptions!$F$135)^(YEAR(BI$3)-2026)</f>
        <v/>
      </c>
      <c r="BJ18" s="43">
        <f>Assumptions!$F$134*(1+Assumptions!$F$135)^(YEAR(BJ$3)-2026)</f>
        <v/>
      </c>
      <c r="BK18" s="43">
        <f>Assumptions!$F$134*(1+Assumptions!$F$135)^(YEAR(BK$3)-2026)</f>
        <v/>
      </c>
      <c r="BL18" s="43">
        <f>Assumptions!$F$134*(1+Assumptions!$F$135)^(YEAR(BL$3)-2026)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Personnel!E20*(Assumptions!$F$126+Assumptions!$F$127+Assumptions!$F$128)</f>
        <v/>
      </c>
      <c r="F22" s="43">
        <f>Personnel!F20*(Assumptions!$F$126+Assumptions!$F$127+Assumptions!$F$128)</f>
        <v/>
      </c>
      <c r="G22" s="43">
        <f>Personnel!G20*(Assumptions!$F$126+Assumptions!$F$127+Assumptions!$F$128)</f>
        <v/>
      </c>
      <c r="H22" s="43">
        <f>Personnel!H20*(Assumptions!$F$126+Assumptions!$F$127+Assumptions!$F$128)</f>
        <v/>
      </c>
      <c r="I22" s="43">
        <f>Personnel!I20*(Assumptions!$F$126+Assumptions!$F$127+Assumptions!$F$128)</f>
        <v/>
      </c>
      <c r="J22" s="43">
        <f>Personnel!J20*(Assumptions!$F$126+Assumptions!$F$127+Assumptions!$F$128)</f>
        <v/>
      </c>
      <c r="K22" s="43">
        <f>Personnel!K20*(Assumptions!$F$126+Assumptions!$F$127+Assumptions!$F$128)</f>
        <v/>
      </c>
      <c r="L22" s="43">
        <f>Personnel!L20*(Assumptions!$F$126+Assumptions!$F$127+Assumptions!$F$128)</f>
        <v/>
      </c>
      <c r="M22" s="43">
        <f>Personnel!M20*(Assumptions!$F$126+Assumptions!$F$127+Assumptions!$F$128)</f>
        <v/>
      </c>
      <c r="N22" s="43">
        <f>Personnel!N20*(Assumptions!$F$126+Assumptions!$F$127+Assumptions!$F$128)</f>
        <v/>
      </c>
      <c r="O22" s="43">
        <f>Personnel!O20*(Assumptions!$F$126+Assumptions!$F$127+Assumptions!$F$128)</f>
        <v/>
      </c>
      <c r="P22" s="43">
        <f>Personnel!P20*(Assumptions!$F$126+Assumptions!$F$127+Assumptions!$F$128)</f>
        <v/>
      </c>
      <c r="Q22" s="43">
        <f>Personnel!Q20*(Assumptions!$F$126+Assumptions!$F$127+Assumptions!$F$128)</f>
        <v/>
      </c>
      <c r="R22" s="43">
        <f>Personnel!R20*(Assumptions!$F$126+Assumptions!$F$127+Assumptions!$F$128)</f>
        <v/>
      </c>
      <c r="S22" s="43">
        <f>Personnel!S20*(Assumptions!$F$126+Assumptions!$F$127+Assumptions!$F$128)</f>
        <v/>
      </c>
      <c r="T22" s="43">
        <f>Personnel!T20*(Assumptions!$F$126+Assumptions!$F$127+Assumptions!$F$128)</f>
        <v/>
      </c>
      <c r="U22" s="43">
        <f>Personnel!U20*(Assumptions!$F$126+Assumptions!$F$127+Assumptions!$F$128)</f>
        <v/>
      </c>
      <c r="V22" s="43">
        <f>Personnel!V20*(Assumptions!$F$126+Assumptions!$F$127+Assumptions!$F$128)</f>
        <v/>
      </c>
      <c r="W22" s="43">
        <f>Personnel!W20*(Assumptions!$F$126+Assumptions!$F$127+Assumptions!$F$128)</f>
        <v/>
      </c>
      <c r="X22" s="43">
        <f>Personnel!X20*(Assumptions!$F$126+Assumptions!$F$127+Assumptions!$F$128)</f>
        <v/>
      </c>
      <c r="Y22" s="43">
        <f>Personnel!Y20*(Assumptions!$F$126+Assumptions!$F$127+Assumptions!$F$128)</f>
        <v/>
      </c>
      <c r="Z22" s="43">
        <f>Personnel!Z20*(Assumptions!$F$126+Assumptions!$F$127+Assumptions!$F$128)</f>
        <v/>
      </c>
      <c r="AA22" s="43">
        <f>Personnel!AA20*(Assumptions!$F$126+Assumptions!$F$127+Assumptions!$F$128)</f>
        <v/>
      </c>
      <c r="AB22" s="43">
        <f>Personnel!AB20*(Assumptions!$F$126+Assumptions!$F$127+Assumptions!$F$128)</f>
        <v/>
      </c>
      <c r="AC22" s="43">
        <f>Personnel!AC20*(Assumptions!$F$126+Assumptions!$F$127+Assumptions!$F$128)</f>
        <v/>
      </c>
      <c r="AD22" s="43">
        <f>Personnel!AD20*(Assumptions!$F$126+Assumptions!$F$127+Assumptions!$F$128)</f>
        <v/>
      </c>
      <c r="AE22" s="43">
        <f>Personnel!AE20*(Assumptions!$F$126+Assumptions!$F$127+Assumptions!$F$128)</f>
        <v/>
      </c>
      <c r="AF22" s="43">
        <f>Personnel!AF20*(Assumptions!$F$126+Assumptions!$F$127+Assumptions!$F$128)</f>
        <v/>
      </c>
      <c r="AG22" s="43">
        <f>Personnel!AG20*(Assumptions!$F$126+Assumptions!$F$127+Assumptions!$F$128)</f>
        <v/>
      </c>
      <c r="AH22" s="43">
        <f>Personnel!AH20*(Assumptions!$F$126+Assumptions!$F$127+Assumptions!$F$128)</f>
        <v/>
      </c>
      <c r="AI22" s="43">
        <f>Personnel!AI20*(Assumptions!$F$126+Assumptions!$F$127+Assumptions!$F$128)</f>
        <v/>
      </c>
      <c r="AJ22" s="43">
        <f>Personnel!AJ20*(Assumptions!$F$126+Assumptions!$F$127+Assumptions!$F$128)</f>
        <v/>
      </c>
      <c r="AK22" s="43">
        <f>Personnel!AK20*(Assumptions!$F$126+Assumptions!$F$127+Assumptions!$F$128)</f>
        <v/>
      </c>
      <c r="AL22" s="43">
        <f>Personnel!AL20*(Assumptions!$F$126+Assumptions!$F$127+Assumptions!$F$128)</f>
        <v/>
      </c>
      <c r="AM22" s="43">
        <f>Personnel!AM20*(Assumptions!$F$126+Assumptions!$F$127+Assumptions!$F$128)</f>
        <v/>
      </c>
      <c r="AN22" s="43">
        <f>Personnel!AN20*(Assumptions!$F$126+Assumptions!$F$127+Assumptions!$F$128)</f>
        <v/>
      </c>
      <c r="AO22" s="43">
        <f>Personnel!AO20*(Assumptions!$F$126+Assumptions!$F$127+Assumptions!$F$128)</f>
        <v/>
      </c>
      <c r="AP22" s="43">
        <f>Personnel!AP20*(Assumptions!$F$126+Assumptions!$F$127+Assumptions!$F$128)</f>
        <v/>
      </c>
      <c r="AQ22" s="43">
        <f>Personnel!AQ20*(Assumptions!$F$126+Assumptions!$F$127+Assumptions!$F$128)</f>
        <v/>
      </c>
      <c r="AR22" s="43">
        <f>Personnel!AR20*(Assumptions!$F$126+Assumptions!$F$127+Assumptions!$F$128)</f>
        <v/>
      </c>
      <c r="AS22" s="43">
        <f>Personnel!AS20*(Assumptions!$F$126+Assumptions!$F$127+Assumptions!$F$128)</f>
        <v/>
      </c>
      <c r="AT22" s="43">
        <f>Personnel!AT20*(Assumptions!$F$126+Assumptions!$F$127+Assumptions!$F$128)</f>
        <v/>
      </c>
      <c r="AU22" s="43">
        <f>Personnel!AU20*(Assumptions!$F$126+Assumptions!$F$127+Assumptions!$F$128)</f>
        <v/>
      </c>
      <c r="AV22" s="43">
        <f>Personnel!AV20*(Assumptions!$F$126+Assumptions!$F$127+Assumptions!$F$128)</f>
        <v/>
      </c>
      <c r="AW22" s="43">
        <f>Personnel!AW20*(Assumptions!$F$126+Assumptions!$F$127+Assumptions!$F$128)</f>
        <v/>
      </c>
      <c r="AX22" s="43">
        <f>Personnel!AX20*(Assumptions!$F$126+Assumptions!$F$127+Assumptions!$F$128)</f>
        <v/>
      </c>
      <c r="AY22" s="43">
        <f>Personnel!AY20*(Assumptions!$F$126+Assumptions!$F$127+Assumptions!$F$128)</f>
        <v/>
      </c>
      <c r="AZ22" s="43">
        <f>Personnel!AZ20*(Assumptions!$F$126+Assumptions!$F$127+Assumptions!$F$128)</f>
        <v/>
      </c>
      <c r="BA22" s="43">
        <f>Personnel!BA20*(Assumptions!$F$126+Assumptions!$F$127+Assumptions!$F$128)</f>
        <v/>
      </c>
      <c r="BB22" s="43">
        <f>Personnel!BB20*(Assumptions!$F$126+Assumptions!$F$127+Assumptions!$F$128)</f>
        <v/>
      </c>
      <c r="BC22" s="43">
        <f>Personnel!BC20*(Assumptions!$F$126+Assumptions!$F$127+Assumptions!$F$128)</f>
        <v/>
      </c>
      <c r="BD22" s="43">
        <f>Personnel!BD20*(Assumptions!$F$126+Assumptions!$F$127+Assumptions!$F$128)</f>
        <v/>
      </c>
      <c r="BE22" s="43">
        <f>Personnel!BE20*(Assumptions!$F$126+Assumptions!$F$127+Assumptions!$F$128)</f>
        <v/>
      </c>
      <c r="BF22" s="43">
        <f>Personnel!BF20*(Assumptions!$F$126+Assumptions!$F$127+Assumptions!$F$128)</f>
        <v/>
      </c>
      <c r="BG22" s="43">
        <f>Personnel!BG20*(Assumptions!$F$126+Assumptions!$F$127+Assumptions!$F$128)</f>
        <v/>
      </c>
      <c r="BH22" s="43">
        <f>Personnel!BH20*(Assumptions!$F$126+Assumptions!$F$127+Assumptions!$F$128)</f>
        <v/>
      </c>
      <c r="BI22" s="43">
        <f>Personnel!BI20*(Assumptions!$F$126+Assumptions!$F$127+Assumptions!$F$128)</f>
        <v/>
      </c>
      <c r="BJ22" s="43">
        <f>Personnel!BJ20*(Assumptions!$F$126+Assumptions!$F$127+Assumptions!$F$128)</f>
        <v/>
      </c>
      <c r="BK22" s="43">
        <f>Personnel!BK20*(Assumptions!$F$126+Assumptions!$F$127+Assumptions!$F$128)</f>
        <v/>
      </c>
      <c r="BL22" s="43">
        <f>Personnel!BL20*(Assumptions!$F$126+Assumptions!$F$127+Assumptions!$F$128)</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MAX(0,Personnel!F20-Personnel!E20)*Assumptions!$F$129</f>
        <v/>
      </c>
      <c r="G23" s="43">
        <f>MAX(0,Personnel!G20-Personnel!F20)*Assumptions!$F$129</f>
        <v/>
      </c>
      <c r="H23" s="43">
        <f>MAX(0,Personnel!H20-Personnel!G20)*Assumptions!$F$129</f>
        <v/>
      </c>
      <c r="I23" s="43">
        <f>MAX(0,Personnel!I20-Personnel!H20)*Assumptions!$F$129</f>
        <v/>
      </c>
      <c r="J23" s="43">
        <f>MAX(0,Personnel!J20-Personnel!I20)*Assumptions!$F$129</f>
        <v/>
      </c>
      <c r="K23" s="43">
        <f>MAX(0,Personnel!K20-Personnel!J20)*Assumptions!$F$129</f>
        <v/>
      </c>
      <c r="L23" s="43">
        <f>MAX(0,Personnel!L20-Personnel!K20)*Assumptions!$F$129</f>
        <v/>
      </c>
      <c r="M23" s="43">
        <f>MAX(0,Personnel!M20-Personnel!L20)*Assumptions!$F$129</f>
        <v/>
      </c>
      <c r="N23" s="43">
        <f>MAX(0,Personnel!N20-Personnel!M20)*Assumptions!$F$129</f>
        <v/>
      </c>
      <c r="O23" s="43">
        <f>MAX(0,Personnel!O20-Personnel!N20)*Assumptions!$F$129</f>
        <v/>
      </c>
      <c r="P23" s="43">
        <f>MAX(0,Personnel!P20-Personnel!O20)*Assumptions!$F$129</f>
        <v/>
      </c>
      <c r="Q23" s="43">
        <f>MAX(0,Personnel!Q20-Personnel!P20)*Assumptions!$F$129</f>
        <v/>
      </c>
      <c r="R23" s="43">
        <f>MAX(0,Personnel!R20-Personnel!Q20)*Assumptions!$F$129</f>
        <v/>
      </c>
      <c r="S23" s="43">
        <f>MAX(0,Personnel!S20-Personnel!R20)*Assumptions!$F$129</f>
        <v/>
      </c>
      <c r="T23" s="43">
        <f>MAX(0,Personnel!T20-Personnel!S20)*Assumptions!$F$129</f>
        <v/>
      </c>
      <c r="U23" s="43">
        <f>MAX(0,Personnel!U20-Personnel!T20)*Assumptions!$F$129</f>
        <v/>
      </c>
      <c r="V23" s="43">
        <f>MAX(0,Personnel!V20-Personnel!U20)*Assumptions!$F$129</f>
        <v/>
      </c>
      <c r="W23" s="43">
        <f>MAX(0,Personnel!W20-Personnel!V20)*Assumptions!$F$129</f>
        <v/>
      </c>
      <c r="X23" s="43">
        <f>MAX(0,Personnel!X20-Personnel!W20)*Assumptions!$F$129</f>
        <v/>
      </c>
      <c r="Y23" s="43">
        <f>MAX(0,Personnel!Y20-Personnel!X20)*Assumptions!$F$129</f>
        <v/>
      </c>
      <c r="Z23" s="43">
        <f>MAX(0,Personnel!Z20-Personnel!Y20)*Assumptions!$F$129</f>
        <v/>
      </c>
      <c r="AA23" s="43">
        <f>MAX(0,Personnel!AA20-Personnel!Z20)*Assumptions!$F$129</f>
        <v/>
      </c>
      <c r="AB23" s="43">
        <f>MAX(0,Personnel!AB20-Personnel!AA20)*Assumptions!$F$129</f>
        <v/>
      </c>
      <c r="AC23" s="43">
        <f>MAX(0,Personnel!AC20-Personnel!AB20)*Assumptions!$F$129</f>
        <v/>
      </c>
      <c r="AD23" s="43">
        <f>MAX(0,Personnel!AD20-Personnel!AC20)*Assumptions!$F$129</f>
        <v/>
      </c>
      <c r="AE23" s="43">
        <f>MAX(0,Personnel!AE20-Personnel!AD20)*Assumptions!$F$129</f>
        <v/>
      </c>
      <c r="AF23" s="43">
        <f>MAX(0,Personnel!AF20-Personnel!AE20)*Assumptions!$F$129</f>
        <v/>
      </c>
      <c r="AG23" s="43">
        <f>MAX(0,Personnel!AG20-Personnel!AF20)*Assumptions!$F$129</f>
        <v/>
      </c>
      <c r="AH23" s="43">
        <f>MAX(0,Personnel!AH20-Personnel!AG20)*Assumptions!$F$129</f>
        <v/>
      </c>
      <c r="AI23" s="43">
        <f>MAX(0,Personnel!AI20-Personnel!AH20)*Assumptions!$F$129</f>
        <v/>
      </c>
      <c r="AJ23" s="43">
        <f>MAX(0,Personnel!AJ20-Personnel!AI20)*Assumptions!$F$129</f>
        <v/>
      </c>
      <c r="AK23" s="43">
        <f>MAX(0,Personnel!AK20-Personnel!AJ20)*Assumptions!$F$129</f>
        <v/>
      </c>
      <c r="AL23" s="43">
        <f>MAX(0,Personnel!AL20-Personnel!AK20)*Assumptions!$F$129</f>
        <v/>
      </c>
      <c r="AM23" s="43">
        <f>MAX(0,Personnel!AM20-Personnel!AL20)*Assumptions!$F$129</f>
        <v/>
      </c>
      <c r="AN23" s="43">
        <f>MAX(0,Personnel!AN20-Personnel!AM20)*Assumptions!$F$129</f>
        <v/>
      </c>
      <c r="AO23" s="43">
        <f>MAX(0,Personnel!AO20-Personnel!AN20)*Assumptions!$F$129</f>
        <v/>
      </c>
      <c r="AP23" s="43">
        <f>MAX(0,Personnel!AP20-Personnel!AO20)*Assumptions!$F$129</f>
        <v/>
      </c>
      <c r="AQ23" s="43">
        <f>MAX(0,Personnel!AQ20-Personnel!AP20)*Assumptions!$F$129</f>
        <v/>
      </c>
      <c r="AR23" s="43">
        <f>MAX(0,Personnel!AR20-Personnel!AQ20)*Assumptions!$F$129</f>
        <v/>
      </c>
      <c r="AS23" s="43">
        <f>MAX(0,Personnel!AS20-Personnel!AR20)*Assumptions!$F$129</f>
        <v/>
      </c>
      <c r="AT23" s="43">
        <f>MAX(0,Personnel!AT20-Personnel!AS20)*Assumptions!$F$129</f>
        <v/>
      </c>
      <c r="AU23" s="43">
        <f>MAX(0,Personnel!AU20-Personnel!AT20)*Assumptions!$F$129</f>
        <v/>
      </c>
      <c r="AV23" s="43">
        <f>MAX(0,Personnel!AV20-Personnel!AU20)*Assumptions!$F$129</f>
        <v/>
      </c>
      <c r="AW23" s="43">
        <f>MAX(0,Personnel!AW20-Personnel!AV20)*Assumptions!$F$129</f>
        <v/>
      </c>
      <c r="AX23" s="43">
        <f>MAX(0,Personnel!AX20-Personnel!AW20)*Assumptions!$F$129</f>
        <v/>
      </c>
      <c r="AY23" s="43">
        <f>MAX(0,Personnel!AY20-Personnel!AX20)*Assumptions!$F$129</f>
        <v/>
      </c>
      <c r="AZ23" s="43">
        <f>MAX(0,Personnel!AZ20-Personnel!AY20)*Assumptions!$F$129</f>
        <v/>
      </c>
      <c r="BA23" s="43">
        <f>MAX(0,Personnel!BA20-Personnel!AZ20)*Assumptions!$F$129</f>
        <v/>
      </c>
      <c r="BB23" s="43">
        <f>MAX(0,Personnel!BB20-Personnel!BA20)*Assumptions!$F$129</f>
        <v/>
      </c>
      <c r="BC23" s="43">
        <f>MAX(0,Personnel!BC20-Personnel!BB20)*Assumptions!$F$129</f>
        <v/>
      </c>
      <c r="BD23" s="43">
        <f>MAX(0,Personnel!BD20-Personnel!BC20)*Assumptions!$F$129</f>
        <v/>
      </c>
      <c r="BE23" s="43">
        <f>MAX(0,Personnel!BE20-Personnel!BD20)*Assumptions!$F$129</f>
        <v/>
      </c>
      <c r="BF23" s="43">
        <f>MAX(0,Personnel!BF20-Personnel!BE20)*Assumptions!$F$129</f>
        <v/>
      </c>
      <c r="BG23" s="43">
        <f>MAX(0,Personnel!BG20-Personnel!BF20)*Assumptions!$F$129</f>
        <v/>
      </c>
      <c r="BH23" s="43">
        <f>MAX(0,Personnel!BH20-Personnel!BG20)*Assumptions!$F$129</f>
        <v/>
      </c>
      <c r="BI23" s="43">
        <f>MAX(0,Personnel!BI20-Personnel!BH20)*Assumptions!$F$129</f>
        <v/>
      </c>
      <c r="BJ23" s="43">
        <f>MAX(0,Personnel!BJ20-Personnel!BI20)*Assumptions!$F$129</f>
        <v/>
      </c>
      <c r="BK23" s="43">
        <f>MAX(0,Personnel!BK20-Personnel!BJ20)*Assumptions!$F$129</f>
        <v/>
      </c>
      <c r="BL23" s="43">
        <f>MAX(0,Personnel!BL20-Personnel!BK20)*Assumptions!$F$129</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Forecast'!E29*Assumptions!$F$89</f>
        <v/>
      </c>
      <c r="F24" s="43">
        <f>'Revenue Forecast'!F29*Assumptions!$F$89</f>
        <v/>
      </c>
      <c r="G24" s="43">
        <f>'Revenue Forecast'!G29*Assumptions!$F$89</f>
        <v/>
      </c>
      <c r="H24" s="43">
        <f>'Revenue Forecast'!H29*Assumptions!$F$89</f>
        <v/>
      </c>
      <c r="I24" s="43">
        <f>'Revenue Forecast'!I29*Assumptions!$F$89</f>
        <v/>
      </c>
      <c r="J24" s="43">
        <f>'Revenue Forecast'!J29*Assumptions!$F$89</f>
        <v/>
      </c>
      <c r="K24" s="43">
        <f>'Revenue Forecast'!K29*Assumptions!$F$89</f>
        <v/>
      </c>
      <c r="L24" s="43">
        <f>'Revenue Forecast'!L29*Assumptions!$F$89</f>
        <v/>
      </c>
      <c r="M24" s="43">
        <f>'Revenue Forecast'!M29*Assumptions!$F$89</f>
        <v/>
      </c>
      <c r="N24" s="43">
        <f>'Revenue Forecast'!N29*Assumptions!$F$89</f>
        <v/>
      </c>
      <c r="O24" s="43">
        <f>'Revenue Forecast'!O29*Assumptions!$F$89</f>
        <v/>
      </c>
      <c r="P24" s="43">
        <f>'Revenue Forecast'!P29*Assumptions!$F$89</f>
        <v/>
      </c>
      <c r="Q24" s="43">
        <f>'Revenue Forecast'!Q29*Assumptions!$F$89</f>
        <v/>
      </c>
      <c r="R24" s="43">
        <f>'Revenue Forecast'!R29*Assumptions!$F$89</f>
        <v/>
      </c>
      <c r="S24" s="43">
        <f>'Revenue Forecast'!S29*Assumptions!$F$89</f>
        <v/>
      </c>
      <c r="T24" s="43">
        <f>'Revenue Forecast'!T29*Assumptions!$F$89</f>
        <v/>
      </c>
      <c r="U24" s="43">
        <f>'Revenue Forecast'!U29*Assumptions!$F$89</f>
        <v/>
      </c>
      <c r="V24" s="43">
        <f>'Revenue Forecast'!V29*Assumptions!$F$89</f>
        <v/>
      </c>
      <c r="W24" s="43">
        <f>'Revenue Forecast'!W29*Assumptions!$F$89</f>
        <v/>
      </c>
      <c r="X24" s="43">
        <f>'Revenue Forecast'!X29*Assumptions!$F$89</f>
        <v/>
      </c>
      <c r="Y24" s="43">
        <f>'Revenue Forecast'!Y29*Assumptions!$F$89</f>
        <v/>
      </c>
      <c r="Z24" s="43">
        <f>'Revenue Forecast'!Z29*Assumptions!$F$89</f>
        <v/>
      </c>
      <c r="AA24" s="43">
        <f>'Revenue Forecast'!AA29*Assumptions!$F$89</f>
        <v/>
      </c>
      <c r="AB24" s="43">
        <f>'Revenue Forecast'!AB29*Assumptions!$F$89</f>
        <v/>
      </c>
      <c r="AC24" s="43">
        <f>'Revenue Forecast'!AC29*Assumptions!$F$89</f>
        <v/>
      </c>
      <c r="AD24" s="43">
        <f>'Revenue Forecast'!AD29*Assumptions!$F$89</f>
        <v/>
      </c>
      <c r="AE24" s="43">
        <f>'Revenue Forecast'!AE29*Assumptions!$F$89</f>
        <v/>
      </c>
      <c r="AF24" s="43">
        <f>'Revenue Forecast'!AF29*Assumptions!$F$89</f>
        <v/>
      </c>
      <c r="AG24" s="43">
        <f>'Revenue Forecast'!AG29*Assumptions!$F$89</f>
        <v/>
      </c>
      <c r="AH24" s="43">
        <f>'Revenue Forecast'!AH29*Assumptions!$F$89</f>
        <v/>
      </c>
      <c r="AI24" s="43">
        <f>'Revenue Forecast'!AI29*Assumptions!$F$89</f>
        <v/>
      </c>
      <c r="AJ24" s="43">
        <f>'Revenue Forecast'!AJ29*Assumptions!$F$89</f>
        <v/>
      </c>
      <c r="AK24" s="43">
        <f>'Revenue Forecast'!AK29*Assumptions!$F$89</f>
        <v/>
      </c>
      <c r="AL24" s="43">
        <f>'Revenue Forecast'!AL29*Assumptions!$F$89</f>
        <v/>
      </c>
      <c r="AM24" s="43">
        <f>'Revenue Forecast'!AM29*Assumptions!$F$89</f>
        <v/>
      </c>
      <c r="AN24" s="43">
        <f>'Revenue Forecast'!AN29*Assumptions!$F$89</f>
        <v/>
      </c>
      <c r="AO24" s="43">
        <f>'Revenue Forecast'!AO29*Assumptions!$F$89</f>
        <v/>
      </c>
      <c r="AP24" s="43">
        <f>'Revenue Forecast'!AP29*Assumptions!$F$89</f>
        <v/>
      </c>
      <c r="AQ24" s="43">
        <f>'Revenue Forecast'!AQ29*Assumptions!$F$89</f>
        <v/>
      </c>
      <c r="AR24" s="43">
        <f>'Revenue Forecast'!AR29*Assumptions!$F$89</f>
        <v/>
      </c>
      <c r="AS24" s="43">
        <f>'Revenue Forecast'!AS29*Assumptions!$F$89</f>
        <v/>
      </c>
      <c r="AT24" s="43">
        <f>'Revenue Forecast'!AT29*Assumptions!$F$89</f>
        <v/>
      </c>
      <c r="AU24" s="43">
        <f>'Revenue Forecast'!AU29*Assumptions!$F$89</f>
        <v/>
      </c>
      <c r="AV24" s="43">
        <f>'Revenue Forecast'!AV29*Assumptions!$F$89</f>
        <v/>
      </c>
      <c r="AW24" s="43">
        <f>'Revenue Forecast'!AW29*Assumptions!$F$89</f>
        <v/>
      </c>
      <c r="AX24" s="43">
        <f>'Revenue Forecast'!AX29*Assumptions!$F$89</f>
        <v/>
      </c>
      <c r="AY24" s="43">
        <f>'Revenue Forecast'!AY29*Assumptions!$F$89</f>
        <v/>
      </c>
      <c r="AZ24" s="43">
        <f>'Revenue Forecast'!AZ29*Assumptions!$F$89</f>
        <v/>
      </c>
      <c r="BA24" s="43">
        <f>'Revenue Forecast'!BA29*Assumptions!$F$89</f>
        <v/>
      </c>
      <c r="BB24" s="43">
        <f>'Revenue Forecast'!BB29*Assumptions!$F$89</f>
        <v/>
      </c>
      <c r="BC24" s="43">
        <f>'Revenue Forecast'!BC29*Assumptions!$F$89</f>
        <v/>
      </c>
      <c r="BD24" s="43">
        <f>'Revenue Forecast'!BD29*Assumptions!$F$89</f>
        <v/>
      </c>
      <c r="BE24" s="43">
        <f>'Revenue Forecast'!BE29*Assumptions!$F$89</f>
        <v/>
      </c>
      <c r="BF24" s="43">
        <f>'Revenue Forecast'!BF29*Assumptions!$F$89</f>
        <v/>
      </c>
      <c r="BG24" s="43">
        <f>'Revenue Forecast'!BG29*Assumptions!$F$89</f>
        <v/>
      </c>
      <c r="BH24" s="43">
        <f>'Revenue Forecast'!BH29*Assumptions!$F$89</f>
        <v/>
      </c>
      <c r="BI24" s="43">
        <f>'Revenue Forecast'!BI29*Assumptions!$F$89</f>
        <v/>
      </c>
      <c r="BJ24" s="43">
        <f>'Revenue Forecast'!BJ29*Assumptions!$F$89</f>
        <v/>
      </c>
      <c r="BK24" s="43">
        <f>'Revenue Forecast'!BK29*Assumptions!$F$89</f>
        <v/>
      </c>
      <c r="BL24" s="43">
        <f>'Revenue Forecast'!BL29*Assumptions!$F$89</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Assumptions!$F$131*(1+Assumptions!$F$135)^(YEAR(E$3)-2026)</f>
        <v/>
      </c>
      <c r="F25" s="43">
        <f>Assumptions!$F$131*(1+Assumptions!$F$135)^(YEAR(F$3)-2026)</f>
        <v/>
      </c>
      <c r="G25" s="43">
        <f>Assumptions!$F$131*(1+Assumptions!$F$135)^(YEAR(G$3)-2026)</f>
        <v/>
      </c>
      <c r="H25" s="43">
        <f>Assumptions!$F$131*(1+Assumptions!$F$135)^(YEAR(H$3)-2026)</f>
        <v/>
      </c>
      <c r="I25" s="43">
        <f>Assumptions!$F$131*(1+Assumptions!$F$135)^(YEAR(I$3)-2026)</f>
        <v/>
      </c>
      <c r="J25" s="43">
        <f>Assumptions!$F$131*(1+Assumptions!$F$135)^(YEAR(J$3)-2026)</f>
        <v/>
      </c>
      <c r="K25" s="43">
        <f>Assumptions!$F$131*(1+Assumptions!$F$135)^(YEAR(K$3)-2026)</f>
        <v/>
      </c>
      <c r="L25" s="43">
        <f>Assumptions!$F$131*(1+Assumptions!$F$135)^(YEAR(L$3)-2026)</f>
        <v/>
      </c>
      <c r="M25" s="43">
        <f>Assumptions!$F$131*(1+Assumptions!$F$135)^(YEAR(M$3)-2026)</f>
        <v/>
      </c>
      <c r="N25" s="43">
        <f>Assumptions!$F$131*(1+Assumptions!$F$135)^(YEAR(N$3)-2026)</f>
        <v/>
      </c>
      <c r="O25" s="43">
        <f>Assumptions!$F$131*(1+Assumptions!$F$135)^(YEAR(O$3)-2026)</f>
        <v/>
      </c>
      <c r="P25" s="43">
        <f>Assumptions!$F$131*(1+Assumptions!$F$135)^(YEAR(P$3)-2026)</f>
        <v/>
      </c>
      <c r="Q25" s="43">
        <f>Assumptions!$F$131*(1+Assumptions!$F$135)^(YEAR(Q$3)-2026)</f>
        <v/>
      </c>
      <c r="R25" s="43">
        <f>Assumptions!$F$131*(1+Assumptions!$F$135)^(YEAR(R$3)-2026)</f>
        <v/>
      </c>
      <c r="S25" s="43">
        <f>Assumptions!$F$131*(1+Assumptions!$F$135)^(YEAR(S$3)-2026)</f>
        <v/>
      </c>
      <c r="T25" s="43">
        <f>Assumptions!$F$131*(1+Assumptions!$F$135)^(YEAR(T$3)-2026)</f>
        <v/>
      </c>
      <c r="U25" s="43">
        <f>Assumptions!$F$131*(1+Assumptions!$F$135)^(YEAR(U$3)-2026)</f>
        <v/>
      </c>
      <c r="V25" s="43">
        <f>Assumptions!$F$131*(1+Assumptions!$F$135)^(YEAR(V$3)-2026)</f>
        <v/>
      </c>
      <c r="W25" s="43">
        <f>Assumptions!$F$131*(1+Assumptions!$F$135)^(YEAR(W$3)-2026)</f>
        <v/>
      </c>
      <c r="X25" s="43">
        <f>Assumptions!$F$131*(1+Assumptions!$F$135)^(YEAR(X$3)-2026)</f>
        <v/>
      </c>
      <c r="Y25" s="43">
        <f>Assumptions!$F$131*(1+Assumptions!$F$135)^(YEAR(Y$3)-2026)</f>
        <v/>
      </c>
      <c r="Z25" s="43">
        <f>Assumptions!$F$131*(1+Assumptions!$F$135)^(YEAR(Z$3)-2026)</f>
        <v/>
      </c>
      <c r="AA25" s="43">
        <f>Assumptions!$F$131*(1+Assumptions!$F$135)^(YEAR(AA$3)-2026)</f>
        <v/>
      </c>
      <c r="AB25" s="43">
        <f>Assumptions!$F$131*(1+Assumptions!$F$135)^(YEAR(AB$3)-2026)</f>
        <v/>
      </c>
      <c r="AC25" s="43">
        <f>Assumptions!$F$131*(1+Assumptions!$F$135)^(YEAR(AC$3)-2026)</f>
        <v/>
      </c>
      <c r="AD25" s="43">
        <f>Assumptions!$F$131*(1+Assumptions!$F$135)^(YEAR(AD$3)-2026)</f>
        <v/>
      </c>
      <c r="AE25" s="43">
        <f>Assumptions!$F$131*(1+Assumptions!$F$135)^(YEAR(AE$3)-2026)</f>
        <v/>
      </c>
      <c r="AF25" s="43">
        <f>Assumptions!$F$131*(1+Assumptions!$F$135)^(YEAR(AF$3)-2026)</f>
        <v/>
      </c>
      <c r="AG25" s="43">
        <f>Assumptions!$F$131*(1+Assumptions!$F$135)^(YEAR(AG$3)-2026)</f>
        <v/>
      </c>
      <c r="AH25" s="43">
        <f>Assumptions!$F$131*(1+Assumptions!$F$135)^(YEAR(AH$3)-2026)</f>
        <v/>
      </c>
      <c r="AI25" s="43">
        <f>Assumptions!$F$131*(1+Assumptions!$F$135)^(YEAR(AI$3)-2026)</f>
        <v/>
      </c>
      <c r="AJ25" s="43">
        <f>Assumptions!$F$131*(1+Assumptions!$F$135)^(YEAR(AJ$3)-2026)</f>
        <v/>
      </c>
      <c r="AK25" s="43">
        <f>Assumptions!$F$131*(1+Assumptions!$F$135)^(YEAR(AK$3)-2026)</f>
        <v/>
      </c>
      <c r="AL25" s="43">
        <f>Assumptions!$F$131*(1+Assumptions!$F$135)^(YEAR(AL$3)-2026)</f>
        <v/>
      </c>
      <c r="AM25" s="43">
        <f>Assumptions!$F$131*(1+Assumptions!$F$135)^(YEAR(AM$3)-2026)</f>
        <v/>
      </c>
      <c r="AN25" s="43">
        <f>Assumptions!$F$131*(1+Assumptions!$F$135)^(YEAR(AN$3)-2026)</f>
        <v/>
      </c>
      <c r="AO25" s="43">
        <f>Assumptions!$F$131*(1+Assumptions!$F$135)^(YEAR(AO$3)-2026)</f>
        <v/>
      </c>
      <c r="AP25" s="43">
        <f>Assumptions!$F$131*(1+Assumptions!$F$135)^(YEAR(AP$3)-2026)</f>
        <v/>
      </c>
      <c r="AQ25" s="43">
        <f>Assumptions!$F$131*(1+Assumptions!$F$135)^(YEAR(AQ$3)-2026)</f>
        <v/>
      </c>
      <c r="AR25" s="43">
        <f>Assumptions!$F$131*(1+Assumptions!$F$135)^(YEAR(AR$3)-2026)</f>
        <v/>
      </c>
      <c r="AS25" s="43">
        <f>Assumptions!$F$131*(1+Assumptions!$F$135)^(YEAR(AS$3)-2026)</f>
        <v/>
      </c>
      <c r="AT25" s="43">
        <f>Assumptions!$F$131*(1+Assumptions!$F$135)^(YEAR(AT$3)-2026)</f>
        <v/>
      </c>
      <c r="AU25" s="43">
        <f>Assumptions!$F$131*(1+Assumptions!$F$135)^(YEAR(AU$3)-2026)</f>
        <v/>
      </c>
      <c r="AV25" s="43">
        <f>Assumptions!$F$131*(1+Assumptions!$F$135)^(YEAR(AV$3)-2026)</f>
        <v/>
      </c>
      <c r="AW25" s="43">
        <f>Assumptions!$F$131*(1+Assumptions!$F$135)^(YEAR(AW$3)-2026)</f>
        <v/>
      </c>
      <c r="AX25" s="43">
        <f>Assumptions!$F$131*(1+Assumptions!$F$135)^(YEAR(AX$3)-2026)</f>
        <v/>
      </c>
      <c r="AY25" s="43">
        <f>Assumptions!$F$131*(1+Assumptions!$F$135)^(YEAR(AY$3)-2026)</f>
        <v/>
      </c>
      <c r="AZ25" s="43">
        <f>Assumptions!$F$131*(1+Assumptions!$F$135)^(YEAR(AZ$3)-2026)</f>
        <v/>
      </c>
      <c r="BA25" s="43">
        <f>Assumptions!$F$131*(1+Assumptions!$F$135)^(YEAR(BA$3)-2026)</f>
        <v/>
      </c>
      <c r="BB25" s="43">
        <f>Assumptions!$F$131*(1+Assumptions!$F$135)^(YEAR(BB$3)-2026)</f>
        <v/>
      </c>
      <c r="BC25" s="43">
        <f>Assumptions!$F$131*(1+Assumptions!$F$135)^(YEAR(BC$3)-2026)</f>
        <v/>
      </c>
      <c r="BD25" s="43">
        <f>Assumptions!$F$131*(1+Assumptions!$F$135)^(YEAR(BD$3)-2026)</f>
        <v/>
      </c>
      <c r="BE25" s="43">
        <f>Assumptions!$F$131*(1+Assumptions!$F$135)^(YEAR(BE$3)-2026)</f>
        <v/>
      </c>
      <c r="BF25" s="43">
        <f>Assumptions!$F$131*(1+Assumptions!$F$135)^(YEAR(BF$3)-2026)</f>
        <v/>
      </c>
      <c r="BG25" s="43">
        <f>Assumptions!$F$131*(1+Assumptions!$F$135)^(YEAR(BG$3)-2026)</f>
        <v/>
      </c>
      <c r="BH25" s="43">
        <f>Assumptions!$F$131*(1+Assumptions!$F$135)^(YEAR(BH$3)-2026)</f>
        <v/>
      </c>
      <c r="BI25" s="43">
        <f>Assumptions!$F$131*(1+Assumptions!$F$135)^(YEAR(BI$3)-2026)</f>
        <v/>
      </c>
      <c r="BJ25" s="43">
        <f>Assumptions!$F$131*(1+Assumptions!$F$135)^(YEAR(BJ$3)-2026)</f>
        <v/>
      </c>
      <c r="BK25" s="43">
        <f>Assumptions!$F$131*(1+Assumptions!$F$135)^(YEAR(BK$3)-2026)</f>
        <v/>
      </c>
      <c r="BL25" s="43">
        <f>Assumptions!$F$131*(1+Assumptions!$F$135)^(YEAR(BL$3)-2026)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Assumptions!$F$132*(1+Assumptions!$F$135)^(YEAR(E$3)-2026)</f>
        <v/>
      </c>
      <c r="F26" s="43">
        <f>Assumptions!$F$132*(1+Assumptions!$F$135)^(YEAR(F$3)-2026)</f>
        <v/>
      </c>
      <c r="G26" s="43">
        <f>Assumptions!$F$132*(1+Assumptions!$F$135)^(YEAR(G$3)-2026)</f>
        <v/>
      </c>
      <c r="H26" s="43">
        <f>Assumptions!$F$132*(1+Assumptions!$F$135)^(YEAR(H$3)-2026)</f>
        <v/>
      </c>
      <c r="I26" s="43">
        <f>Assumptions!$F$132*(1+Assumptions!$F$135)^(YEAR(I$3)-2026)</f>
        <v/>
      </c>
      <c r="J26" s="43">
        <f>Assumptions!$F$132*(1+Assumptions!$F$135)^(YEAR(J$3)-2026)</f>
        <v/>
      </c>
      <c r="K26" s="43">
        <f>Assumptions!$F$132*(1+Assumptions!$F$135)^(YEAR(K$3)-2026)</f>
        <v/>
      </c>
      <c r="L26" s="43">
        <f>Assumptions!$F$132*(1+Assumptions!$F$135)^(YEAR(L$3)-2026)</f>
        <v/>
      </c>
      <c r="M26" s="43">
        <f>Assumptions!$F$132*(1+Assumptions!$F$135)^(YEAR(M$3)-2026)</f>
        <v/>
      </c>
      <c r="N26" s="43">
        <f>Assumptions!$F$132*(1+Assumptions!$F$135)^(YEAR(N$3)-2026)</f>
        <v/>
      </c>
      <c r="O26" s="43">
        <f>Assumptions!$F$132*(1+Assumptions!$F$135)^(YEAR(O$3)-2026)</f>
        <v/>
      </c>
      <c r="P26" s="43">
        <f>Assumptions!$F$132*(1+Assumptions!$F$135)^(YEAR(P$3)-2026)</f>
        <v/>
      </c>
      <c r="Q26" s="43">
        <f>Assumptions!$F$132*(1+Assumptions!$F$135)^(YEAR(Q$3)-2026)</f>
        <v/>
      </c>
      <c r="R26" s="43">
        <f>Assumptions!$F$132*(1+Assumptions!$F$135)^(YEAR(R$3)-2026)</f>
        <v/>
      </c>
      <c r="S26" s="43">
        <f>Assumptions!$F$132*(1+Assumptions!$F$135)^(YEAR(S$3)-2026)</f>
        <v/>
      </c>
      <c r="T26" s="43">
        <f>Assumptions!$F$132*(1+Assumptions!$F$135)^(YEAR(T$3)-2026)</f>
        <v/>
      </c>
      <c r="U26" s="43">
        <f>Assumptions!$F$132*(1+Assumptions!$F$135)^(YEAR(U$3)-2026)</f>
        <v/>
      </c>
      <c r="V26" s="43">
        <f>Assumptions!$F$132*(1+Assumptions!$F$135)^(YEAR(V$3)-2026)</f>
        <v/>
      </c>
      <c r="W26" s="43">
        <f>Assumptions!$F$132*(1+Assumptions!$F$135)^(YEAR(W$3)-2026)</f>
        <v/>
      </c>
      <c r="X26" s="43">
        <f>Assumptions!$F$132*(1+Assumptions!$F$135)^(YEAR(X$3)-2026)</f>
        <v/>
      </c>
      <c r="Y26" s="43">
        <f>Assumptions!$F$132*(1+Assumptions!$F$135)^(YEAR(Y$3)-2026)</f>
        <v/>
      </c>
      <c r="Z26" s="43">
        <f>Assumptions!$F$132*(1+Assumptions!$F$135)^(YEAR(Z$3)-2026)</f>
        <v/>
      </c>
      <c r="AA26" s="43">
        <f>Assumptions!$F$132*(1+Assumptions!$F$135)^(YEAR(AA$3)-2026)</f>
        <v/>
      </c>
      <c r="AB26" s="43">
        <f>Assumptions!$F$132*(1+Assumptions!$F$135)^(YEAR(AB$3)-2026)</f>
        <v/>
      </c>
      <c r="AC26" s="43">
        <f>Assumptions!$F$132*(1+Assumptions!$F$135)^(YEAR(AC$3)-2026)</f>
        <v/>
      </c>
      <c r="AD26" s="43">
        <f>Assumptions!$F$132*(1+Assumptions!$F$135)^(YEAR(AD$3)-2026)</f>
        <v/>
      </c>
      <c r="AE26" s="43">
        <f>Assumptions!$F$132*(1+Assumptions!$F$135)^(YEAR(AE$3)-2026)</f>
        <v/>
      </c>
      <c r="AF26" s="43">
        <f>Assumptions!$F$132*(1+Assumptions!$F$135)^(YEAR(AF$3)-2026)</f>
        <v/>
      </c>
      <c r="AG26" s="43">
        <f>Assumptions!$F$132*(1+Assumptions!$F$135)^(YEAR(AG$3)-2026)</f>
        <v/>
      </c>
      <c r="AH26" s="43">
        <f>Assumptions!$F$132*(1+Assumptions!$F$135)^(YEAR(AH$3)-2026)</f>
        <v/>
      </c>
      <c r="AI26" s="43">
        <f>Assumptions!$F$132*(1+Assumptions!$F$135)^(YEAR(AI$3)-2026)</f>
        <v/>
      </c>
      <c r="AJ26" s="43">
        <f>Assumptions!$F$132*(1+Assumptions!$F$135)^(YEAR(AJ$3)-2026)</f>
        <v/>
      </c>
      <c r="AK26" s="43">
        <f>Assumptions!$F$132*(1+Assumptions!$F$135)^(YEAR(AK$3)-2026)</f>
        <v/>
      </c>
      <c r="AL26" s="43">
        <f>Assumptions!$F$132*(1+Assumptions!$F$135)^(YEAR(AL$3)-2026)</f>
        <v/>
      </c>
      <c r="AM26" s="43">
        <f>Assumptions!$F$132*(1+Assumptions!$F$135)^(YEAR(AM$3)-2026)</f>
        <v/>
      </c>
      <c r="AN26" s="43">
        <f>Assumptions!$F$132*(1+Assumptions!$F$135)^(YEAR(AN$3)-2026)</f>
        <v/>
      </c>
      <c r="AO26" s="43">
        <f>Assumptions!$F$132*(1+Assumptions!$F$135)^(YEAR(AO$3)-2026)</f>
        <v/>
      </c>
      <c r="AP26" s="43">
        <f>Assumptions!$F$132*(1+Assumptions!$F$135)^(YEAR(AP$3)-2026)</f>
        <v/>
      </c>
      <c r="AQ26" s="43">
        <f>Assumptions!$F$132*(1+Assumptions!$F$135)^(YEAR(AQ$3)-2026)</f>
        <v/>
      </c>
      <c r="AR26" s="43">
        <f>Assumptions!$F$132*(1+Assumptions!$F$135)^(YEAR(AR$3)-2026)</f>
        <v/>
      </c>
      <c r="AS26" s="43">
        <f>Assumptions!$F$132*(1+Assumptions!$F$135)^(YEAR(AS$3)-2026)</f>
        <v/>
      </c>
      <c r="AT26" s="43">
        <f>Assumptions!$F$132*(1+Assumptions!$F$135)^(YEAR(AT$3)-2026)</f>
        <v/>
      </c>
      <c r="AU26" s="43">
        <f>Assumptions!$F$132*(1+Assumptions!$F$135)^(YEAR(AU$3)-2026)</f>
        <v/>
      </c>
      <c r="AV26" s="43">
        <f>Assumptions!$F$132*(1+Assumptions!$F$135)^(YEAR(AV$3)-2026)</f>
        <v/>
      </c>
      <c r="AW26" s="43">
        <f>Assumptions!$F$132*(1+Assumptions!$F$135)^(YEAR(AW$3)-2026)</f>
        <v/>
      </c>
      <c r="AX26" s="43">
        <f>Assumptions!$F$132*(1+Assumptions!$F$135)^(YEAR(AX$3)-2026)</f>
        <v/>
      </c>
      <c r="AY26" s="43">
        <f>Assumptions!$F$132*(1+Assumptions!$F$135)^(YEAR(AY$3)-2026)</f>
        <v/>
      </c>
      <c r="AZ26" s="43">
        <f>Assumptions!$F$132*(1+Assumptions!$F$135)^(YEAR(AZ$3)-2026)</f>
        <v/>
      </c>
      <c r="BA26" s="43">
        <f>Assumptions!$F$132*(1+Assumptions!$F$135)^(YEAR(BA$3)-2026)</f>
        <v/>
      </c>
      <c r="BB26" s="43">
        <f>Assumptions!$F$132*(1+Assumptions!$F$135)^(YEAR(BB$3)-2026)</f>
        <v/>
      </c>
      <c r="BC26" s="43">
        <f>Assumptions!$F$132*(1+Assumptions!$F$135)^(YEAR(BC$3)-2026)</f>
        <v/>
      </c>
      <c r="BD26" s="43">
        <f>Assumptions!$F$132*(1+Assumptions!$F$135)^(YEAR(BD$3)-2026)</f>
        <v/>
      </c>
      <c r="BE26" s="43">
        <f>Assumptions!$F$132*(1+Assumptions!$F$135)^(YEAR(BE$3)-2026)</f>
        <v/>
      </c>
      <c r="BF26" s="43">
        <f>Assumptions!$F$132*(1+Assumptions!$F$135)^(YEAR(BF$3)-2026)</f>
        <v/>
      </c>
      <c r="BG26" s="43">
        <f>Assumptions!$F$132*(1+Assumptions!$F$135)^(YEAR(BG$3)-2026)</f>
        <v/>
      </c>
      <c r="BH26" s="43">
        <f>Assumptions!$F$132*(1+Assumptions!$F$135)^(YEAR(BH$3)-2026)</f>
        <v/>
      </c>
      <c r="BI26" s="43">
        <f>Assumptions!$F$132*(1+Assumptions!$F$135)^(YEAR(BI$3)-2026)</f>
        <v/>
      </c>
      <c r="BJ26" s="43">
        <f>Assumptions!$F$132*(1+Assumptions!$F$135)^(YEAR(BJ$3)-2026)</f>
        <v/>
      </c>
      <c r="BK26" s="43">
        <f>Assumptions!$F$132*(1+Assumptions!$F$135)^(YEAR(BK$3)-2026)</f>
        <v/>
      </c>
      <c r="BL26" s="43">
        <f>Assumptions!$F$132*(1+Assumptions!$F$135)^(YEAR(BL$3)-2026)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 The back office is typed in directly.</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Forecast'!E19*12/Assumptions!$F$109,0)</f>
        <v/>
      </c>
      <c r="F8" s="54">
        <f>ROUND('Revenue Forecast'!F19*12/Assumptions!$F$109,0)</f>
        <v/>
      </c>
      <c r="G8" s="54">
        <f>ROUND('Revenue Forecast'!G19*12/Assumptions!$F$109,0)</f>
        <v/>
      </c>
      <c r="H8" s="54">
        <f>ROUND('Revenue Forecast'!H19*12/Assumptions!$F$109,0)</f>
        <v/>
      </c>
      <c r="I8" s="54">
        <f>ROUND('Revenue Forecast'!I19*12/Assumptions!$F$109,0)</f>
        <v/>
      </c>
      <c r="J8" s="54">
        <f>ROUND('Revenue Forecast'!J19*12/Assumptions!$F$109,0)</f>
        <v/>
      </c>
      <c r="K8" s="54">
        <f>ROUND('Revenue Forecast'!K19*12/Assumptions!$F$109,0)</f>
        <v/>
      </c>
      <c r="L8" s="54">
        <f>ROUND('Revenue Forecast'!L19*12/Assumptions!$F$109,0)</f>
        <v/>
      </c>
      <c r="M8" s="54">
        <f>ROUND('Revenue Forecast'!M19*12/Assumptions!$F$109,0)</f>
        <v/>
      </c>
      <c r="N8" s="54">
        <f>ROUND('Revenue Forecast'!N19*12/Assumptions!$F$109,0)</f>
        <v/>
      </c>
      <c r="O8" s="54">
        <f>ROUND('Revenue Forecast'!O19*12/Assumptions!$F$109,0)</f>
        <v/>
      </c>
      <c r="P8" s="54">
        <f>ROUND('Revenue Forecast'!P19*12/Assumptions!$F$109,0)</f>
        <v/>
      </c>
      <c r="Q8" s="54">
        <f>ROUND('Revenue Forecast'!Q19*12/Assumptions!$F$109,0)</f>
        <v/>
      </c>
      <c r="R8" s="54">
        <f>ROUND('Revenue Forecast'!R19*12/Assumptions!$F$109,0)</f>
        <v/>
      </c>
      <c r="S8" s="54">
        <f>ROUND('Revenue Forecast'!S19*12/Assumptions!$F$109,0)</f>
        <v/>
      </c>
      <c r="T8" s="54">
        <f>ROUND('Revenue Forecast'!T19*12/Assumptions!$F$109,0)</f>
        <v/>
      </c>
      <c r="U8" s="54">
        <f>ROUND('Revenue Forecast'!U19*12/Assumptions!$F$109,0)</f>
        <v/>
      </c>
      <c r="V8" s="54">
        <f>ROUND('Revenue Forecast'!V19*12/Assumptions!$F$109,0)</f>
        <v/>
      </c>
      <c r="W8" s="54">
        <f>ROUND('Revenue Forecast'!W19*12/Assumptions!$F$109,0)</f>
        <v/>
      </c>
      <c r="X8" s="54">
        <f>ROUND('Revenue Forecast'!X19*12/Assumptions!$F$109,0)</f>
        <v/>
      </c>
      <c r="Y8" s="54">
        <f>ROUND('Revenue Forecast'!Y19*12/Assumptions!$F$109,0)</f>
        <v/>
      </c>
      <c r="Z8" s="54">
        <f>ROUND('Revenue Forecast'!Z19*12/Assumptions!$F$109,0)</f>
        <v/>
      </c>
      <c r="AA8" s="54">
        <f>ROUND('Revenue Forecast'!AA19*12/Assumptions!$F$109,0)</f>
        <v/>
      </c>
      <c r="AB8" s="54">
        <f>ROUND('Revenue Forecast'!AB19*12/Assumptions!$F$109,0)</f>
        <v/>
      </c>
      <c r="AC8" s="54">
        <f>ROUND('Revenue Forecast'!AC19*12/Assumptions!$F$109,0)</f>
        <v/>
      </c>
      <c r="AD8" s="54">
        <f>ROUND('Revenue Forecast'!AD19*12/Assumptions!$F$109,0)</f>
        <v/>
      </c>
      <c r="AE8" s="54">
        <f>ROUND('Revenue Forecast'!AE19*12/Assumptions!$F$109,0)</f>
        <v/>
      </c>
      <c r="AF8" s="54">
        <f>ROUND('Revenue Forecast'!AF19*12/Assumptions!$F$109,0)</f>
        <v/>
      </c>
      <c r="AG8" s="54">
        <f>ROUND('Revenue Forecast'!AG19*12/Assumptions!$F$109,0)</f>
        <v/>
      </c>
      <c r="AH8" s="54">
        <f>ROUND('Revenue Forecast'!AH19*12/Assumptions!$F$109,0)</f>
        <v/>
      </c>
      <c r="AI8" s="54">
        <f>ROUND('Revenue Forecast'!AI19*12/Assumptions!$F$109,0)</f>
        <v/>
      </c>
      <c r="AJ8" s="54">
        <f>ROUND('Revenue Forecast'!AJ19*12/Assumptions!$F$109,0)</f>
        <v/>
      </c>
      <c r="AK8" s="54">
        <f>ROUND('Revenue Forecast'!AK19*12/Assumptions!$F$109,0)</f>
        <v/>
      </c>
      <c r="AL8" s="54">
        <f>ROUND('Revenue Forecast'!AL19*12/Assumptions!$F$109,0)</f>
        <v/>
      </c>
      <c r="AM8" s="54">
        <f>ROUND('Revenue Forecast'!AM19*12/Assumptions!$F$109,0)</f>
        <v/>
      </c>
      <c r="AN8" s="54">
        <f>ROUND('Revenue Forecast'!AN19*12/Assumptions!$F$109,0)</f>
        <v/>
      </c>
      <c r="AO8" s="54">
        <f>ROUND('Revenue Forecast'!AO19*12/Assumptions!$F$109,0)</f>
        <v/>
      </c>
      <c r="AP8" s="54">
        <f>ROUND('Revenue Forecast'!AP19*12/Assumptions!$F$109,0)</f>
        <v/>
      </c>
      <c r="AQ8" s="54">
        <f>ROUND('Revenue Forecast'!AQ19*12/Assumptions!$F$109,0)</f>
        <v/>
      </c>
      <c r="AR8" s="54">
        <f>ROUND('Revenue Forecast'!AR19*12/Assumptions!$F$109,0)</f>
        <v/>
      </c>
      <c r="AS8" s="54">
        <f>ROUND('Revenue Forecast'!AS19*12/Assumptions!$F$109,0)</f>
        <v/>
      </c>
      <c r="AT8" s="54">
        <f>ROUND('Revenue Forecast'!AT19*12/Assumptions!$F$109,0)</f>
        <v/>
      </c>
      <c r="AU8" s="54">
        <f>ROUND('Revenue Forecast'!AU19*12/Assumptions!$F$109,0)</f>
        <v/>
      </c>
      <c r="AV8" s="54">
        <f>ROUND('Revenue Forecast'!AV19*12/Assumptions!$F$109,0)</f>
        <v/>
      </c>
      <c r="AW8" s="54">
        <f>ROUND('Revenue Forecast'!AW19*12/Assumptions!$F$109,0)</f>
        <v/>
      </c>
      <c r="AX8" s="54">
        <f>ROUND('Revenue Forecast'!AX19*12/Assumptions!$F$109,0)</f>
        <v/>
      </c>
      <c r="AY8" s="54">
        <f>ROUND('Revenue Forecast'!AY19*12/Assumptions!$F$109,0)</f>
        <v/>
      </c>
      <c r="AZ8" s="54">
        <f>ROUND('Revenue Forecast'!AZ19*12/Assumptions!$F$109,0)</f>
        <v/>
      </c>
      <c r="BA8" s="54">
        <f>ROUND('Revenue Forecast'!BA19*12/Assumptions!$F$109,0)</f>
        <v/>
      </c>
      <c r="BB8" s="54">
        <f>ROUND('Revenue Forecast'!BB19*12/Assumptions!$F$109,0)</f>
        <v/>
      </c>
      <c r="BC8" s="54">
        <f>ROUND('Revenue Forecast'!BC19*12/Assumptions!$F$109,0)</f>
        <v/>
      </c>
      <c r="BD8" s="54">
        <f>ROUND('Revenue Forecast'!BD19*12/Assumptions!$F$109,0)</f>
        <v/>
      </c>
      <c r="BE8" s="54">
        <f>ROUND('Revenue Forecast'!BE19*12/Assumptions!$F$109,0)</f>
        <v/>
      </c>
      <c r="BF8" s="54">
        <f>ROUND('Revenue Forecast'!BF19*12/Assumptions!$F$109,0)</f>
        <v/>
      </c>
      <c r="BG8" s="54">
        <f>ROUND('Revenue Forecast'!BG19*12/Assumptions!$F$109,0)</f>
        <v/>
      </c>
      <c r="BH8" s="54">
        <f>ROUND('Revenue Forecast'!BH19*12/Assumptions!$F$109,0)</f>
        <v/>
      </c>
      <c r="BI8" s="54">
        <f>ROUND('Revenue Forecast'!BI19*12/Assumptions!$F$109,0)</f>
        <v/>
      </c>
      <c r="BJ8" s="54">
        <f>ROUND('Revenue Forecast'!BJ19*12/Assumptions!$F$109,0)</f>
        <v/>
      </c>
      <c r="BK8" s="54">
        <f>ROUND('Revenue Forecast'!BK19*12/Assumptions!$F$109,0)</f>
        <v/>
      </c>
      <c r="BL8" s="54">
        <f>ROUND('Revenue Forecast'!BL19*12/Assumptions!$F$109,0)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Forecast'!E34*12/Assumptions!$F$110,0)</f>
        <v/>
      </c>
      <c r="F9" s="54">
        <f>ROUND('Revenue Forecast'!F34*12/Assumptions!$F$110,0)</f>
        <v/>
      </c>
      <c r="G9" s="54">
        <f>ROUND('Revenue Forecast'!G34*12/Assumptions!$F$110,0)</f>
        <v/>
      </c>
      <c r="H9" s="54">
        <f>ROUND('Revenue Forecast'!H34*12/Assumptions!$F$110,0)</f>
        <v/>
      </c>
      <c r="I9" s="54">
        <f>ROUND('Revenue Forecast'!I34*12/Assumptions!$F$110,0)</f>
        <v/>
      </c>
      <c r="J9" s="54">
        <f>ROUND('Revenue Forecast'!J34*12/Assumptions!$F$110,0)</f>
        <v/>
      </c>
      <c r="K9" s="54">
        <f>ROUND('Revenue Forecast'!K34*12/Assumptions!$F$110,0)</f>
        <v/>
      </c>
      <c r="L9" s="54">
        <f>ROUND('Revenue Forecast'!L34*12/Assumptions!$F$110,0)</f>
        <v/>
      </c>
      <c r="M9" s="54">
        <f>ROUND('Revenue Forecast'!M34*12/Assumptions!$F$110,0)</f>
        <v/>
      </c>
      <c r="N9" s="54">
        <f>ROUND('Revenue Forecast'!N34*12/Assumptions!$F$110,0)</f>
        <v/>
      </c>
      <c r="O9" s="54">
        <f>ROUND('Revenue Forecast'!O34*12/Assumptions!$F$110,0)</f>
        <v/>
      </c>
      <c r="P9" s="54">
        <f>ROUND('Revenue Forecast'!P34*12/Assumptions!$F$110,0)</f>
        <v/>
      </c>
      <c r="Q9" s="54">
        <f>ROUND('Revenue Forecast'!Q34*12/Assumptions!$F$110,0)</f>
        <v/>
      </c>
      <c r="R9" s="54">
        <f>ROUND('Revenue Forecast'!R34*12/Assumptions!$F$110,0)</f>
        <v/>
      </c>
      <c r="S9" s="54">
        <f>ROUND('Revenue Forecast'!S34*12/Assumptions!$F$110,0)</f>
        <v/>
      </c>
      <c r="T9" s="54">
        <f>ROUND('Revenue Forecast'!T34*12/Assumptions!$F$110,0)</f>
        <v/>
      </c>
      <c r="U9" s="54">
        <f>ROUND('Revenue Forecast'!U34*12/Assumptions!$F$110,0)</f>
        <v/>
      </c>
      <c r="V9" s="54">
        <f>ROUND('Revenue Forecast'!V34*12/Assumptions!$F$110,0)</f>
        <v/>
      </c>
      <c r="W9" s="54">
        <f>ROUND('Revenue Forecast'!W34*12/Assumptions!$F$110,0)</f>
        <v/>
      </c>
      <c r="X9" s="54">
        <f>ROUND('Revenue Forecast'!X34*12/Assumptions!$F$110,0)</f>
        <v/>
      </c>
      <c r="Y9" s="54">
        <f>ROUND('Revenue Forecast'!Y34*12/Assumptions!$F$110,0)</f>
        <v/>
      </c>
      <c r="Z9" s="54">
        <f>ROUND('Revenue Forecast'!Z34*12/Assumptions!$F$110,0)</f>
        <v/>
      </c>
      <c r="AA9" s="54">
        <f>ROUND('Revenue Forecast'!AA34*12/Assumptions!$F$110,0)</f>
        <v/>
      </c>
      <c r="AB9" s="54">
        <f>ROUND('Revenue Forecast'!AB34*12/Assumptions!$F$110,0)</f>
        <v/>
      </c>
      <c r="AC9" s="54">
        <f>ROUND('Revenue Forecast'!AC34*12/Assumptions!$F$110,0)</f>
        <v/>
      </c>
      <c r="AD9" s="54">
        <f>ROUND('Revenue Forecast'!AD34*12/Assumptions!$F$110,0)</f>
        <v/>
      </c>
      <c r="AE9" s="54">
        <f>ROUND('Revenue Forecast'!AE34*12/Assumptions!$F$110,0)</f>
        <v/>
      </c>
      <c r="AF9" s="54">
        <f>ROUND('Revenue Forecast'!AF34*12/Assumptions!$F$110,0)</f>
        <v/>
      </c>
      <c r="AG9" s="54">
        <f>ROUND('Revenue Forecast'!AG34*12/Assumptions!$F$110,0)</f>
        <v/>
      </c>
      <c r="AH9" s="54">
        <f>ROUND('Revenue Forecast'!AH34*12/Assumptions!$F$110,0)</f>
        <v/>
      </c>
      <c r="AI9" s="54">
        <f>ROUND('Revenue Forecast'!AI34*12/Assumptions!$F$110,0)</f>
        <v/>
      </c>
      <c r="AJ9" s="54">
        <f>ROUND('Revenue Forecast'!AJ34*12/Assumptions!$F$110,0)</f>
        <v/>
      </c>
      <c r="AK9" s="54">
        <f>ROUND('Revenue Forecast'!AK34*12/Assumptions!$F$110,0)</f>
        <v/>
      </c>
      <c r="AL9" s="54">
        <f>ROUND('Revenue Forecast'!AL34*12/Assumptions!$F$110,0)</f>
        <v/>
      </c>
      <c r="AM9" s="54">
        <f>ROUND('Revenue Forecast'!AM34*12/Assumptions!$F$110,0)</f>
        <v/>
      </c>
      <c r="AN9" s="54">
        <f>ROUND('Revenue Forecast'!AN34*12/Assumptions!$F$110,0)</f>
        <v/>
      </c>
      <c r="AO9" s="54">
        <f>ROUND('Revenue Forecast'!AO34*12/Assumptions!$F$110,0)</f>
        <v/>
      </c>
      <c r="AP9" s="54">
        <f>ROUND('Revenue Forecast'!AP34*12/Assumptions!$F$110,0)</f>
        <v/>
      </c>
      <c r="AQ9" s="54">
        <f>ROUND('Revenue Forecast'!AQ34*12/Assumptions!$F$110,0)</f>
        <v/>
      </c>
      <c r="AR9" s="54">
        <f>ROUND('Revenue Forecast'!AR34*12/Assumptions!$F$110,0)</f>
        <v/>
      </c>
      <c r="AS9" s="54">
        <f>ROUND('Revenue Forecast'!AS34*12/Assumptions!$F$110,0)</f>
        <v/>
      </c>
      <c r="AT9" s="54">
        <f>ROUND('Revenue Forecast'!AT34*12/Assumptions!$F$110,0)</f>
        <v/>
      </c>
      <c r="AU9" s="54">
        <f>ROUND('Revenue Forecast'!AU34*12/Assumptions!$F$110,0)</f>
        <v/>
      </c>
      <c r="AV9" s="54">
        <f>ROUND('Revenue Forecast'!AV34*12/Assumptions!$F$110,0)</f>
        <v/>
      </c>
      <c r="AW9" s="54">
        <f>ROUND('Revenue Forecast'!AW34*12/Assumptions!$F$110,0)</f>
        <v/>
      </c>
      <c r="AX9" s="54">
        <f>ROUND('Revenue Forecast'!AX34*12/Assumptions!$F$110,0)</f>
        <v/>
      </c>
      <c r="AY9" s="54">
        <f>ROUND('Revenue Forecast'!AY34*12/Assumptions!$F$110,0)</f>
        <v/>
      </c>
      <c r="AZ9" s="54">
        <f>ROUND('Revenue Forecast'!AZ34*12/Assumptions!$F$110,0)</f>
        <v/>
      </c>
      <c r="BA9" s="54">
        <f>ROUND('Revenue Forecast'!BA34*12/Assumptions!$F$110,0)</f>
        <v/>
      </c>
      <c r="BB9" s="54">
        <f>ROUND('Revenue Forecast'!BB34*12/Assumptions!$F$110,0)</f>
        <v/>
      </c>
      <c r="BC9" s="54">
        <f>ROUND('Revenue Forecast'!BC34*12/Assumptions!$F$110,0)</f>
        <v/>
      </c>
      <c r="BD9" s="54">
        <f>ROUND('Revenue Forecast'!BD34*12/Assumptions!$F$110,0)</f>
        <v/>
      </c>
      <c r="BE9" s="54">
        <f>ROUND('Revenue Forecast'!BE34*12/Assumptions!$F$110,0)</f>
        <v/>
      </c>
      <c r="BF9" s="54">
        <f>ROUND('Revenue Forecast'!BF34*12/Assumptions!$F$110,0)</f>
        <v/>
      </c>
      <c r="BG9" s="54">
        <f>ROUND('Revenue Forecast'!BG34*12/Assumptions!$F$110,0)</f>
        <v/>
      </c>
      <c r="BH9" s="54">
        <f>ROUND('Revenue Forecast'!BH34*12/Assumptions!$F$110,0)</f>
        <v/>
      </c>
      <c r="BI9" s="54">
        <f>ROUND('Revenue Forecast'!BI34*12/Assumptions!$F$110,0)</f>
        <v/>
      </c>
      <c r="BJ9" s="54">
        <f>ROUND('Revenue Forecast'!BJ34*12/Assumptions!$F$110,0)</f>
        <v/>
      </c>
      <c r="BK9" s="54">
        <f>ROUND('Revenue Forecast'!BK34*12/Assumptions!$F$110,0)</f>
        <v/>
      </c>
      <c r="BL9" s="54">
        <f>ROUND('Revenue Forecast'!BL34*12/Assumptions!$F$110,0)</f>
        <v/>
      </c>
      <c r="BN9" s="55">
        <f>P9</f>
        <v/>
      </c>
      <c r="BO9" s="55">
        <f>AB9</f>
        <v/>
      </c>
      <c r="BP9" s="55">
        <f>AN9</f>
        <v/>
      </c>
      <c r="BQ9" s="55">
        <f>AZ9</f>
        <v/>
      </c>
      <c r="BR9" s="55">
        <f>BL9</f>
        <v/>
      </c>
    </row>
    <row r="10">
      <c r="B10" s="9" t="inlineStr">
        <is>
          <t>Marketing</t>
        </is>
      </c>
      <c r="C10" s="42" t="inlineStr">
        <is>
          <t>FTE</t>
        </is>
      </c>
      <c r="E10" s="54">
        <f>Assumptions!$F$105+ROUND('Revenue Forecast'!E6*12/Assumptions!$F$111,0)</f>
        <v/>
      </c>
      <c r="F10" s="54">
        <f>Assumptions!$F$105+ROUND('Revenue Forecast'!F6*12/Assumptions!$F$111,0)</f>
        <v/>
      </c>
      <c r="G10" s="54">
        <f>Assumptions!$F$105+ROUND('Revenue Forecast'!G6*12/Assumptions!$F$111,0)</f>
        <v/>
      </c>
      <c r="H10" s="54">
        <f>Assumptions!$F$105+ROUND('Revenue Forecast'!H6*12/Assumptions!$F$111,0)</f>
        <v/>
      </c>
      <c r="I10" s="54">
        <f>Assumptions!$F$105+ROUND('Revenue Forecast'!I6*12/Assumptions!$F$111,0)</f>
        <v/>
      </c>
      <c r="J10" s="54">
        <f>Assumptions!$F$105+ROUND('Revenue Forecast'!J6*12/Assumptions!$F$111,0)</f>
        <v/>
      </c>
      <c r="K10" s="54">
        <f>Assumptions!$F$105+ROUND('Revenue Forecast'!K6*12/Assumptions!$F$111,0)</f>
        <v/>
      </c>
      <c r="L10" s="54">
        <f>Assumptions!$F$105+ROUND('Revenue Forecast'!L6*12/Assumptions!$F$111,0)</f>
        <v/>
      </c>
      <c r="M10" s="54">
        <f>Assumptions!$F$105+ROUND('Revenue Forecast'!M6*12/Assumptions!$F$111,0)</f>
        <v/>
      </c>
      <c r="N10" s="54">
        <f>Assumptions!$F$105+ROUND('Revenue Forecast'!N6*12/Assumptions!$F$111,0)</f>
        <v/>
      </c>
      <c r="O10" s="54">
        <f>Assumptions!$F$105+ROUND('Revenue Forecast'!O6*12/Assumptions!$F$111,0)</f>
        <v/>
      </c>
      <c r="P10" s="54">
        <f>Assumptions!$F$105+ROUND('Revenue Forecast'!P6*12/Assumptions!$F$111,0)</f>
        <v/>
      </c>
      <c r="Q10" s="54">
        <f>Assumptions!$F$105+ROUND('Revenue Forecast'!Q6*12/Assumptions!$F$111,0)</f>
        <v/>
      </c>
      <c r="R10" s="54">
        <f>Assumptions!$F$105+ROUND('Revenue Forecast'!R6*12/Assumptions!$F$111,0)</f>
        <v/>
      </c>
      <c r="S10" s="54">
        <f>Assumptions!$F$105+ROUND('Revenue Forecast'!S6*12/Assumptions!$F$111,0)</f>
        <v/>
      </c>
      <c r="T10" s="54">
        <f>Assumptions!$F$105+ROUND('Revenue Forecast'!T6*12/Assumptions!$F$111,0)</f>
        <v/>
      </c>
      <c r="U10" s="54">
        <f>Assumptions!$F$105+ROUND('Revenue Forecast'!U6*12/Assumptions!$F$111,0)</f>
        <v/>
      </c>
      <c r="V10" s="54">
        <f>Assumptions!$F$105+ROUND('Revenue Forecast'!V6*12/Assumptions!$F$111,0)</f>
        <v/>
      </c>
      <c r="W10" s="54">
        <f>Assumptions!$F$105+ROUND('Revenue Forecast'!W6*12/Assumptions!$F$111,0)</f>
        <v/>
      </c>
      <c r="X10" s="54">
        <f>Assumptions!$F$105+ROUND('Revenue Forecast'!X6*12/Assumptions!$F$111,0)</f>
        <v/>
      </c>
      <c r="Y10" s="54">
        <f>Assumptions!$F$105+ROUND('Revenue Forecast'!Y6*12/Assumptions!$F$111,0)</f>
        <v/>
      </c>
      <c r="Z10" s="54">
        <f>Assumptions!$F$105+ROUND('Revenue Forecast'!Z6*12/Assumptions!$F$111,0)</f>
        <v/>
      </c>
      <c r="AA10" s="54">
        <f>Assumptions!$F$105+ROUND('Revenue Forecast'!AA6*12/Assumptions!$F$111,0)</f>
        <v/>
      </c>
      <c r="AB10" s="54">
        <f>Assumptions!$F$105+ROUND('Revenue Forecast'!AB6*12/Assumptions!$F$111,0)</f>
        <v/>
      </c>
      <c r="AC10" s="54">
        <f>Assumptions!$F$105+ROUND('Revenue Forecast'!AC6*12/Assumptions!$F$111,0)</f>
        <v/>
      </c>
      <c r="AD10" s="54">
        <f>Assumptions!$F$105+ROUND('Revenue Forecast'!AD6*12/Assumptions!$F$111,0)</f>
        <v/>
      </c>
      <c r="AE10" s="54">
        <f>Assumptions!$F$105+ROUND('Revenue Forecast'!AE6*12/Assumptions!$F$111,0)</f>
        <v/>
      </c>
      <c r="AF10" s="54">
        <f>Assumptions!$F$105+ROUND('Revenue Forecast'!AF6*12/Assumptions!$F$111,0)</f>
        <v/>
      </c>
      <c r="AG10" s="54">
        <f>Assumptions!$F$105+ROUND('Revenue Forecast'!AG6*12/Assumptions!$F$111,0)</f>
        <v/>
      </c>
      <c r="AH10" s="54">
        <f>Assumptions!$F$105+ROUND('Revenue Forecast'!AH6*12/Assumptions!$F$111,0)</f>
        <v/>
      </c>
      <c r="AI10" s="54">
        <f>Assumptions!$F$105+ROUND('Revenue Forecast'!AI6*12/Assumptions!$F$111,0)</f>
        <v/>
      </c>
      <c r="AJ10" s="54">
        <f>Assumptions!$F$105+ROUND('Revenue Forecast'!AJ6*12/Assumptions!$F$111,0)</f>
        <v/>
      </c>
      <c r="AK10" s="54">
        <f>Assumptions!$F$105+ROUND('Revenue Forecast'!AK6*12/Assumptions!$F$111,0)</f>
        <v/>
      </c>
      <c r="AL10" s="54">
        <f>Assumptions!$F$105+ROUND('Revenue Forecast'!AL6*12/Assumptions!$F$111,0)</f>
        <v/>
      </c>
      <c r="AM10" s="54">
        <f>Assumptions!$F$105+ROUND('Revenue Forecast'!AM6*12/Assumptions!$F$111,0)</f>
        <v/>
      </c>
      <c r="AN10" s="54">
        <f>Assumptions!$F$105+ROUND('Revenue Forecast'!AN6*12/Assumptions!$F$111,0)</f>
        <v/>
      </c>
      <c r="AO10" s="54">
        <f>Assumptions!$F$105+ROUND('Revenue Forecast'!AO6*12/Assumptions!$F$111,0)</f>
        <v/>
      </c>
      <c r="AP10" s="54">
        <f>Assumptions!$F$105+ROUND('Revenue Forecast'!AP6*12/Assumptions!$F$111,0)</f>
        <v/>
      </c>
      <c r="AQ10" s="54">
        <f>Assumptions!$F$105+ROUND('Revenue Forecast'!AQ6*12/Assumptions!$F$111,0)</f>
        <v/>
      </c>
      <c r="AR10" s="54">
        <f>Assumptions!$F$105+ROUND('Revenue Forecast'!AR6*12/Assumptions!$F$111,0)</f>
        <v/>
      </c>
      <c r="AS10" s="54">
        <f>Assumptions!$F$105+ROUND('Revenue Forecast'!AS6*12/Assumptions!$F$111,0)</f>
        <v/>
      </c>
      <c r="AT10" s="54">
        <f>Assumptions!$F$105+ROUND('Revenue Forecast'!AT6*12/Assumptions!$F$111,0)</f>
        <v/>
      </c>
      <c r="AU10" s="54">
        <f>Assumptions!$F$105+ROUND('Revenue Forecast'!AU6*12/Assumptions!$F$111,0)</f>
        <v/>
      </c>
      <c r="AV10" s="54">
        <f>Assumptions!$F$105+ROUND('Revenue Forecast'!AV6*12/Assumptions!$F$111,0)</f>
        <v/>
      </c>
      <c r="AW10" s="54">
        <f>Assumptions!$F$105+ROUND('Revenue Forecast'!AW6*12/Assumptions!$F$111,0)</f>
        <v/>
      </c>
      <c r="AX10" s="54">
        <f>Assumptions!$F$105+ROUND('Revenue Forecast'!AX6*12/Assumptions!$F$111,0)</f>
        <v/>
      </c>
      <c r="AY10" s="54">
        <f>Assumptions!$F$105+ROUND('Revenue Forecast'!AY6*12/Assumptions!$F$111,0)</f>
        <v/>
      </c>
      <c r="AZ10" s="54">
        <f>Assumptions!$F$105+ROUND('Revenue Forecast'!AZ6*12/Assumptions!$F$111,0)</f>
        <v/>
      </c>
      <c r="BA10" s="54">
        <f>Assumptions!$F$105+ROUND('Revenue Forecast'!BA6*12/Assumptions!$F$111,0)</f>
        <v/>
      </c>
      <c r="BB10" s="54">
        <f>Assumptions!$F$105+ROUND('Revenue Forecast'!BB6*12/Assumptions!$F$111,0)</f>
        <v/>
      </c>
      <c r="BC10" s="54">
        <f>Assumptions!$F$105+ROUND('Revenue Forecast'!BC6*12/Assumptions!$F$111,0)</f>
        <v/>
      </c>
      <c r="BD10" s="54">
        <f>Assumptions!$F$105+ROUND('Revenue Forecast'!BD6*12/Assumptions!$F$111,0)</f>
        <v/>
      </c>
      <c r="BE10" s="54">
        <f>Assumptions!$F$105+ROUND('Revenue Forecast'!BE6*12/Assumptions!$F$111,0)</f>
        <v/>
      </c>
      <c r="BF10" s="54">
        <f>Assumptions!$F$105+ROUND('Revenue Forecast'!BF6*12/Assumptions!$F$111,0)</f>
        <v/>
      </c>
      <c r="BG10" s="54">
        <f>Assumptions!$F$105+ROUND('Revenue Forecast'!BG6*12/Assumptions!$F$111,0)</f>
        <v/>
      </c>
      <c r="BH10" s="54">
        <f>Assumptions!$F$105+ROUND('Revenue Forecast'!BH6*12/Assumptions!$F$111,0)</f>
        <v/>
      </c>
      <c r="BI10" s="54">
        <f>Assumptions!$F$105+ROUND('Revenue Forecast'!BI6*12/Assumptions!$F$111,0)</f>
        <v/>
      </c>
      <c r="BJ10" s="54">
        <f>Assumptions!$F$105+ROUND('Revenue Forecast'!BJ6*12/Assumptions!$F$111,0)</f>
        <v/>
      </c>
      <c r="BK10" s="54">
        <f>Assumptions!$F$105+ROUND('Revenue Forecast'!BK6*12/Assumptions!$F$111,0)</f>
        <v/>
      </c>
      <c r="BL10" s="54">
        <f>Assumptions!$F$105+ROUND('Revenue Forecast'!BL6*12/Assumptions!$F$111,0)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Forecast'!E34*12/Assumptions!$F$106,0)</f>
        <v/>
      </c>
      <c r="F12" s="54">
        <f>ROUND('Revenue Forecast'!F34*12/Assumptions!$F$106,0)</f>
        <v/>
      </c>
      <c r="G12" s="54">
        <f>ROUND('Revenue Forecast'!G34*12/Assumptions!$F$106,0)</f>
        <v/>
      </c>
      <c r="H12" s="54">
        <f>ROUND('Revenue Forecast'!H34*12/Assumptions!$F$106,0)</f>
        <v/>
      </c>
      <c r="I12" s="54">
        <f>ROUND('Revenue Forecast'!I34*12/Assumptions!$F$106,0)</f>
        <v/>
      </c>
      <c r="J12" s="54">
        <f>ROUND('Revenue Forecast'!J34*12/Assumptions!$F$106,0)</f>
        <v/>
      </c>
      <c r="K12" s="54">
        <f>ROUND('Revenue Forecast'!K34*12/Assumptions!$F$106,0)</f>
        <v/>
      </c>
      <c r="L12" s="54">
        <f>ROUND('Revenue Forecast'!L34*12/Assumptions!$F$106,0)</f>
        <v/>
      </c>
      <c r="M12" s="54">
        <f>ROUND('Revenue Forecast'!M34*12/Assumptions!$F$106,0)</f>
        <v/>
      </c>
      <c r="N12" s="54">
        <f>ROUND('Revenue Forecast'!N34*12/Assumptions!$F$106,0)</f>
        <v/>
      </c>
      <c r="O12" s="54">
        <f>ROUND('Revenue Forecast'!O34*12/Assumptions!$F$106,0)</f>
        <v/>
      </c>
      <c r="P12" s="54">
        <f>ROUND('Revenue Forecast'!P34*12/Assumptions!$F$106,0)</f>
        <v/>
      </c>
      <c r="Q12" s="54">
        <f>ROUND('Revenue Forecast'!Q34*12/Assumptions!$F$106,0)</f>
        <v/>
      </c>
      <c r="R12" s="54">
        <f>ROUND('Revenue Forecast'!R34*12/Assumptions!$F$106,0)</f>
        <v/>
      </c>
      <c r="S12" s="54">
        <f>ROUND('Revenue Forecast'!S34*12/Assumptions!$F$106,0)</f>
        <v/>
      </c>
      <c r="T12" s="54">
        <f>ROUND('Revenue Forecast'!T34*12/Assumptions!$F$106,0)</f>
        <v/>
      </c>
      <c r="U12" s="54">
        <f>ROUND('Revenue Forecast'!U34*12/Assumptions!$F$106,0)</f>
        <v/>
      </c>
      <c r="V12" s="54">
        <f>ROUND('Revenue Forecast'!V34*12/Assumptions!$F$106,0)</f>
        <v/>
      </c>
      <c r="W12" s="54">
        <f>ROUND('Revenue Forecast'!W34*12/Assumptions!$F$106,0)</f>
        <v/>
      </c>
      <c r="X12" s="54">
        <f>ROUND('Revenue Forecast'!X34*12/Assumptions!$F$106,0)</f>
        <v/>
      </c>
      <c r="Y12" s="54">
        <f>ROUND('Revenue Forecast'!Y34*12/Assumptions!$F$106,0)</f>
        <v/>
      </c>
      <c r="Z12" s="54">
        <f>ROUND('Revenue Forecast'!Z34*12/Assumptions!$F$106,0)</f>
        <v/>
      </c>
      <c r="AA12" s="54">
        <f>ROUND('Revenue Forecast'!AA34*12/Assumptions!$F$106,0)</f>
        <v/>
      </c>
      <c r="AB12" s="54">
        <f>ROUND('Revenue Forecast'!AB34*12/Assumptions!$F$106,0)</f>
        <v/>
      </c>
      <c r="AC12" s="54">
        <f>ROUND('Revenue Forecast'!AC34*12/Assumptions!$F$106,0)</f>
        <v/>
      </c>
      <c r="AD12" s="54">
        <f>ROUND('Revenue Forecast'!AD34*12/Assumptions!$F$106,0)</f>
        <v/>
      </c>
      <c r="AE12" s="54">
        <f>ROUND('Revenue Forecast'!AE34*12/Assumptions!$F$106,0)</f>
        <v/>
      </c>
      <c r="AF12" s="54">
        <f>ROUND('Revenue Forecast'!AF34*12/Assumptions!$F$106,0)</f>
        <v/>
      </c>
      <c r="AG12" s="54">
        <f>ROUND('Revenue Forecast'!AG34*12/Assumptions!$F$106,0)</f>
        <v/>
      </c>
      <c r="AH12" s="54">
        <f>ROUND('Revenue Forecast'!AH34*12/Assumptions!$F$106,0)</f>
        <v/>
      </c>
      <c r="AI12" s="54">
        <f>ROUND('Revenue Forecast'!AI34*12/Assumptions!$F$106,0)</f>
        <v/>
      </c>
      <c r="AJ12" s="54">
        <f>ROUND('Revenue Forecast'!AJ34*12/Assumptions!$F$106,0)</f>
        <v/>
      </c>
      <c r="AK12" s="54">
        <f>ROUND('Revenue Forecast'!AK34*12/Assumptions!$F$106,0)</f>
        <v/>
      </c>
      <c r="AL12" s="54">
        <f>ROUND('Revenue Forecast'!AL34*12/Assumptions!$F$106,0)</f>
        <v/>
      </c>
      <c r="AM12" s="54">
        <f>ROUND('Revenue Forecast'!AM34*12/Assumptions!$F$106,0)</f>
        <v/>
      </c>
      <c r="AN12" s="54">
        <f>ROUND('Revenue Forecast'!AN34*12/Assumptions!$F$106,0)</f>
        <v/>
      </c>
      <c r="AO12" s="54">
        <f>ROUND('Revenue Forecast'!AO34*12/Assumptions!$F$106,0)</f>
        <v/>
      </c>
      <c r="AP12" s="54">
        <f>ROUND('Revenue Forecast'!AP34*12/Assumptions!$F$106,0)</f>
        <v/>
      </c>
      <c r="AQ12" s="54">
        <f>ROUND('Revenue Forecast'!AQ34*12/Assumptions!$F$106,0)</f>
        <v/>
      </c>
      <c r="AR12" s="54">
        <f>ROUND('Revenue Forecast'!AR34*12/Assumptions!$F$106,0)</f>
        <v/>
      </c>
      <c r="AS12" s="54">
        <f>ROUND('Revenue Forecast'!AS34*12/Assumptions!$F$106,0)</f>
        <v/>
      </c>
      <c r="AT12" s="54">
        <f>ROUND('Revenue Forecast'!AT34*12/Assumptions!$F$106,0)</f>
        <v/>
      </c>
      <c r="AU12" s="54">
        <f>ROUND('Revenue Forecast'!AU34*12/Assumptions!$F$106,0)</f>
        <v/>
      </c>
      <c r="AV12" s="54">
        <f>ROUND('Revenue Forecast'!AV34*12/Assumptions!$F$106,0)</f>
        <v/>
      </c>
      <c r="AW12" s="54">
        <f>ROUND('Revenue Forecast'!AW34*12/Assumptions!$F$106,0)</f>
        <v/>
      </c>
      <c r="AX12" s="54">
        <f>ROUND('Revenue Forecast'!AX34*12/Assumptions!$F$106,0)</f>
        <v/>
      </c>
      <c r="AY12" s="54">
        <f>ROUND('Revenue Forecast'!AY34*12/Assumptions!$F$106,0)</f>
        <v/>
      </c>
      <c r="AZ12" s="54">
        <f>ROUND('Revenue Forecast'!AZ34*12/Assumptions!$F$106,0)</f>
        <v/>
      </c>
      <c r="BA12" s="54">
        <f>ROUND('Revenue Forecast'!BA34*12/Assumptions!$F$106,0)</f>
        <v/>
      </c>
      <c r="BB12" s="54">
        <f>ROUND('Revenue Forecast'!BB34*12/Assumptions!$F$106,0)</f>
        <v/>
      </c>
      <c r="BC12" s="54">
        <f>ROUND('Revenue Forecast'!BC34*12/Assumptions!$F$106,0)</f>
        <v/>
      </c>
      <c r="BD12" s="54">
        <f>ROUND('Revenue Forecast'!BD34*12/Assumptions!$F$106,0)</f>
        <v/>
      </c>
      <c r="BE12" s="54">
        <f>ROUND('Revenue Forecast'!BE34*12/Assumptions!$F$106,0)</f>
        <v/>
      </c>
      <c r="BF12" s="54">
        <f>ROUND('Revenue Forecast'!BF34*12/Assumptions!$F$106,0)</f>
        <v/>
      </c>
      <c r="BG12" s="54">
        <f>ROUND('Revenue Forecast'!BG34*12/Assumptions!$F$106,0)</f>
        <v/>
      </c>
      <c r="BH12" s="54">
        <f>ROUND('Revenue Forecast'!BH34*12/Assumptions!$F$106,0)</f>
        <v/>
      </c>
      <c r="BI12" s="54">
        <f>ROUND('Revenue Forecast'!BI34*12/Assumptions!$F$106,0)</f>
        <v/>
      </c>
      <c r="BJ12" s="54">
        <f>ROUND('Revenue Forecast'!BJ34*12/Assumptions!$F$106,0)</f>
        <v/>
      </c>
      <c r="BK12" s="54">
        <f>ROUND('Revenue Forecast'!BK34*12/Assumptions!$F$106,0)</f>
        <v/>
      </c>
      <c r="BL12" s="54">
        <f>ROUND('Revenue Forecast'!BL34*12/Assumptions!$F$106,0)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Forecast'!E29*Assumptions!$F$88</f>
        <v/>
      </c>
      <c r="F13" s="54">
        <f>'Revenue Forecast'!F29*Assumptions!$F$88</f>
        <v/>
      </c>
      <c r="G13" s="54">
        <f>'Revenue Forecast'!G29*Assumptions!$F$88</f>
        <v/>
      </c>
      <c r="H13" s="54">
        <f>'Revenue Forecast'!H29*Assumptions!$F$88</f>
        <v/>
      </c>
      <c r="I13" s="54">
        <f>'Revenue Forecast'!I29*Assumptions!$F$88</f>
        <v/>
      </c>
      <c r="J13" s="54">
        <f>'Revenue Forecast'!J29*Assumptions!$F$88</f>
        <v/>
      </c>
      <c r="K13" s="54">
        <f>'Revenue Forecast'!K29*Assumptions!$F$88</f>
        <v/>
      </c>
      <c r="L13" s="54">
        <f>'Revenue Forecast'!L29*Assumptions!$F$88</f>
        <v/>
      </c>
      <c r="M13" s="54">
        <f>'Revenue Forecast'!M29*Assumptions!$F$88</f>
        <v/>
      </c>
      <c r="N13" s="54">
        <f>'Revenue Forecast'!N29*Assumptions!$F$88</f>
        <v/>
      </c>
      <c r="O13" s="54">
        <f>'Revenue Forecast'!O29*Assumptions!$F$88</f>
        <v/>
      </c>
      <c r="P13" s="54">
        <f>'Revenue Forecast'!P29*Assumptions!$F$88</f>
        <v/>
      </c>
      <c r="Q13" s="54">
        <f>'Revenue Forecast'!Q29*Assumptions!$F$88</f>
        <v/>
      </c>
      <c r="R13" s="54">
        <f>'Revenue Forecast'!R29*Assumptions!$F$88</f>
        <v/>
      </c>
      <c r="S13" s="54">
        <f>'Revenue Forecast'!S29*Assumptions!$F$88</f>
        <v/>
      </c>
      <c r="T13" s="54">
        <f>'Revenue Forecast'!T29*Assumptions!$F$88</f>
        <v/>
      </c>
      <c r="U13" s="54">
        <f>'Revenue Forecast'!U29*Assumptions!$F$88</f>
        <v/>
      </c>
      <c r="V13" s="54">
        <f>'Revenue Forecast'!V29*Assumptions!$F$88</f>
        <v/>
      </c>
      <c r="W13" s="54">
        <f>'Revenue Forecast'!W29*Assumptions!$F$88</f>
        <v/>
      </c>
      <c r="X13" s="54">
        <f>'Revenue Forecast'!X29*Assumptions!$F$88</f>
        <v/>
      </c>
      <c r="Y13" s="54">
        <f>'Revenue Forecast'!Y29*Assumptions!$F$88</f>
        <v/>
      </c>
      <c r="Z13" s="54">
        <f>'Revenue Forecast'!Z29*Assumptions!$F$88</f>
        <v/>
      </c>
      <c r="AA13" s="54">
        <f>'Revenue Forecast'!AA29*Assumptions!$F$88</f>
        <v/>
      </c>
      <c r="AB13" s="54">
        <f>'Revenue Forecast'!AB29*Assumptions!$F$88</f>
        <v/>
      </c>
      <c r="AC13" s="54">
        <f>'Revenue Forecast'!AC29*Assumptions!$F$88</f>
        <v/>
      </c>
      <c r="AD13" s="54">
        <f>'Revenue Forecast'!AD29*Assumptions!$F$88</f>
        <v/>
      </c>
      <c r="AE13" s="54">
        <f>'Revenue Forecast'!AE29*Assumptions!$F$88</f>
        <v/>
      </c>
      <c r="AF13" s="54">
        <f>'Revenue Forecast'!AF29*Assumptions!$F$88</f>
        <v/>
      </c>
      <c r="AG13" s="54">
        <f>'Revenue Forecast'!AG29*Assumptions!$F$88</f>
        <v/>
      </c>
      <c r="AH13" s="54">
        <f>'Revenue Forecast'!AH29*Assumptions!$F$88</f>
        <v/>
      </c>
      <c r="AI13" s="54">
        <f>'Revenue Forecast'!AI29*Assumptions!$F$88</f>
        <v/>
      </c>
      <c r="AJ13" s="54">
        <f>'Revenue Forecast'!AJ29*Assumptions!$F$88</f>
        <v/>
      </c>
      <c r="AK13" s="54">
        <f>'Revenue Forecast'!AK29*Assumptions!$F$88</f>
        <v/>
      </c>
      <c r="AL13" s="54">
        <f>'Revenue Forecast'!AL29*Assumptions!$F$88</f>
        <v/>
      </c>
      <c r="AM13" s="54">
        <f>'Revenue Forecast'!AM29*Assumptions!$F$88</f>
        <v/>
      </c>
      <c r="AN13" s="54">
        <f>'Revenue Forecast'!AN29*Assumptions!$F$88</f>
        <v/>
      </c>
      <c r="AO13" s="54">
        <f>'Revenue Forecast'!AO29*Assumptions!$F$88</f>
        <v/>
      </c>
      <c r="AP13" s="54">
        <f>'Revenue Forecast'!AP29*Assumptions!$F$88</f>
        <v/>
      </c>
      <c r="AQ13" s="54">
        <f>'Revenue Forecast'!AQ29*Assumptions!$F$88</f>
        <v/>
      </c>
      <c r="AR13" s="54">
        <f>'Revenue Forecast'!AR29*Assumptions!$F$88</f>
        <v/>
      </c>
      <c r="AS13" s="54">
        <f>'Revenue Forecast'!AS29*Assumptions!$F$88</f>
        <v/>
      </c>
      <c r="AT13" s="54">
        <f>'Revenue Forecast'!AT29*Assumptions!$F$88</f>
        <v/>
      </c>
      <c r="AU13" s="54">
        <f>'Revenue Forecast'!AU29*Assumptions!$F$88</f>
        <v/>
      </c>
      <c r="AV13" s="54">
        <f>'Revenue Forecast'!AV29*Assumptions!$F$88</f>
        <v/>
      </c>
      <c r="AW13" s="54">
        <f>'Revenue Forecast'!AW29*Assumptions!$F$88</f>
        <v/>
      </c>
      <c r="AX13" s="54">
        <f>'Revenue Forecast'!AX29*Assumptions!$F$88</f>
        <v/>
      </c>
      <c r="AY13" s="54">
        <f>'Revenue Forecast'!AY29*Assumptions!$F$88</f>
        <v/>
      </c>
      <c r="AZ13" s="54">
        <f>'Revenue Forecast'!AZ29*Assumptions!$F$88</f>
        <v/>
      </c>
      <c r="BA13" s="54">
        <f>'Revenue Forecast'!BA29*Assumptions!$F$88</f>
        <v/>
      </c>
      <c r="BB13" s="54">
        <f>'Revenue Forecast'!BB29*Assumptions!$F$88</f>
        <v/>
      </c>
      <c r="BC13" s="54">
        <f>'Revenue Forecast'!BC29*Assumptions!$F$88</f>
        <v/>
      </c>
      <c r="BD13" s="54">
        <f>'Revenue Forecast'!BD29*Assumptions!$F$88</f>
        <v/>
      </c>
      <c r="BE13" s="54">
        <f>'Revenue Forecast'!BE29*Assumptions!$F$88</f>
        <v/>
      </c>
      <c r="BF13" s="54">
        <f>'Revenue Forecast'!BF29*Assumptions!$F$88</f>
        <v/>
      </c>
      <c r="BG13" s="54">
        <f>'Revenue Forecast'!BG29*Assumptions!$F$88</f>
        <v/>
      </c>
      <c r="BH13" s="54">
        <f>'Revenue Forecast'!BH29*Assumptions!$F$88</f>
        <v/>
      </c>
      <c r="BI13" s="54">
        <f>'Revenue Forecast'!BI29*Assumptions!$F$88</f>
        <v/>
      </c>
      <c r="BJ13" s="54">
        <f>'Revenue Forecast'!BJ29*Assumptions!$F$88</f>
        <v/>
      </c>
      <c r="BK13" s="54">
        <f>'Revenue Forecast'!BK29*Assumptions!$F$88</f>
        <v/>
      </c>
      <c r="BL13" s="54">
        <f>'Revenue Forecast'!BL29*Assumptions!$F$88</f>
        <v/>
      </c>
      <c r="BN13" s="55">
        <f>P13</f>
        <v/>
      </c>
      <c r="BO13" s="55">
        <f>AB13</f>
        <v/>
      </c>
      <c r="BP13" s="55">
        <f>AN13</f>
        <v/>
      </c>
      <c r="BQ13" s="55">
        <f>AZ13</f>
        <v/>
      </c>
      <c r="BR13" s="55">
        <f>BL13</f>
        <v/>
      </c>
    </row>
    <row r="14">
      <c r="B14" s="9" t="inlineStr">
        <is>
          <t>Customer support</t>
        </is>
      </c>
      <c r="C14" s="42" t="inlineStr">
        <is>
          <t>FTE</t>
        </is>
      </c>
      <c r="E14" s="54">
        <f>ROUND('Revenue Forecast'!E41/Assumptions!$F$107,0)</f>
        <v/>
      </c>
      <c r="F14" s="54">
        <f>ROUND('Revenue Forecast'!F41/Assumptions!$F$107,0)</f>
        <v/>
      </c>
      <c r="G14" s="54">
        <f>ROUND('Revenue Forecast'!G41/Assumptions!$F$107,0)</f>
        <v/>
      </c>
      <c r="H14" s="54">
        <f>ROUND('Revenue Forecast'!H41/Assumptions!$F$107,0)</f>
        <v/>
      </c>
      <c r="I14" s="54">
        <f>ROUND('Revenue Forecast'!I41/Assumptions!$F$107,0)</f>
        <v/>
      </c>
      <c r="J14" s="54">
        <f>ROUND('Revenue Forecast'!J41/Assumptions!$F$107,0)</f>
        <v/>
      </c>
      <c r="K14" s="54">
        <f>ROUND('Revenue Forecast'!K41/Assumptions!$F$107,0)</f>
        <v/>
      </c>
      <c r="L14" s="54">
        <f>ROUND('Revenue Forecast'!L41/Assumptions!$F$107,0)</f>
        <v/>
      </c>
      <c r="M14" s="54">
        <f>ROUND('Revenue Forecast'!M41/Assumptions!$F$107,0)</f>
        <v/>
      </c>
      <c r="N14" s="54">
        <f>ROUND('Revenue Forecast'!N41/Assumptions!$F$107,0)</f>
        <v/>
      </c>
      <c r="O14" s="54">
        <f>ROUND('Revenue Forecast'!O41/Assumptions!$F$107,0)</f>
        <v/>
      </c>
      <c r="P14" s="54">
        <f>ROUND('Revenue Forecast'!P41/Assumptions!$F$107,0)</f>
        <v/>
      </c>
      <c r="Q14" s="54">
        <f>ROUND('Revenue Forecast'!Q41/Assumptions!$F$107,0)</f>
        <v/>
      </c>
      <c r="R14" s="54">
        <f>ROUND('Revenue Forecast'!R41/Assumptions!$F$107,0)</f>
        <v/>
      </c>
      <c r="S14" s="54">
        <f>ROUND('Revenue Forecast'!S41/Assumptions!$F$107,0)</f>
        <v/>
      </c>
      <c r="T14" s="54">
        <f>ROUND('Revenue Forecast'!T41/Assumptions!$F$107,0)</f>
        <v/>
      </c>
      <c r="U14" s="54">
        <f>ROUND('Revenue Forecast'!U41/Assumptions!$F$107,0)</f>
        <v/>
      </c>
      <c r="V14" s="54">
        <f>ROUND('Revenue Forecast'!V41/Assumptions!$F$107,0)</f>
        <v/>
      </c>
      <c r="W14" s="54">
        <f>ROUND('Revenue Forecast'!W41/Assumptions!$F$107,0)</f>
        <v/>
      </c>
      <c r="X14" s="54">
        <f>ROUND('Revenue Forecast'!X41/Assumptions!$F$107,0)</f>
        <v/>
      </c>
      <c r="Y14" s="54">
        <f>ROUND('Revenue Forecast'!Y41/Assumptions!$F$107,0)</f>
        <v/>
      </c>
      <c r="Z14" s="54">
        <f>ROUND('Revenue Forecast'!Z41/Assumptions!$F$107,0)</f>
        <v/>
      </c>
      <c r="AA14" s="54">
        <f>ROUND('Revenue Forecast'!AA41/Assumptions!$F$107,0)</f>
        <v/>
      </c>
      <c r="AB14" s="54">
        <f>ROUND('Revenue Forecast'!AB41/Assumptions!$F$107,0)</f>
        <v/>
      </c>
      <c r="AC14" s="54">
        <f>ROUND('Revenue Forecast'!AC41/Assumptions!$F$107,0)</f>
        <v/>
      </c>
      <c r="AD14" s="54">
        <f>ROUND('Revenue Forecast'!AD41/Assumptions!$F$107,0)</f>
        <v/>
      </c>
      <c r="AE14" s="54">
        <f>ROUND('Revenue Forecast'!AE41/Assumptions!$F$107,0)</f>
        <v/>
      </c>
      <c r="AF14" s="54">
        <f>ROUND('Revenue Forecast'!AF41/Assumptions!$F$107,0)</f>
        <v/>
      </c>
      <c r="AG14" s="54">
        <f>ROUND('Revenue Forecast'!AG41/Assumptions!$F$107,0)</f>
        <v/>
      </c>
      <c r="AH14" s="54">
        <f>ROUND('Revenue Forecast'!AH41/Assumptions!$F$107,0)</f>
        <v/>
      </c>
      <c r="AI14" s="54">
        <f>ROUND('Revenue Forecast'!AI41/Assumptions!$F$107,0)</f>
        <v/>
      </c>
      <c r="AJ14" s="54">
        <f>ROUND('Revenue Forecast'!AJ41/Assumptions!$F$107,0)</f>
        <v/>
      </c>
      <c r="AK14" s="54">
        <f>ROUND('Revenue Forecast'!AK41/Assumptions!$F$107,0)</f>
        <v/>
      </c>
      <c r="AL14" s="54">
        <f>ROUND('Revenue Forecast'!AL41/Assumptions!$F$107,0)</f>
        <v/>
      </c>
      <c r="AM14" s="54">
        <f>ROUND('Revenue Forecast'!AM41/Assumptions!$F$107,0)</f>
        <v/>
      </c>
      <c r="AN14" s="54">
        <f>ROUND('Revenue Forecast'!AN41/Assumptions!$F$107,0)</f>
        <v/>
      </c>
      <c r="AO14" s="54">
        <f>ROUND('Revenue Forecast'!AO41/Assumptions!$F$107,0)</f>
        <v/>
      </c>
      <c r="AP14" s="54">
        <f>ROUND('Revenue Forecast'!AP41/Assumptions!$F$107,0)</f>
        <v/>
      </c>
      <c r="AQ14" s="54">
        <f>ROUND('Revenue Forecast'!AQ41/Assumptions!$F$107,0)</f>
        <v/>
      </c>
      <c r="AR14" s="54">
        <f>ROUND('Revenue Forecast'!AR41/Assumptions!$F$107,0)</f>
        <v/>
      </c>
      <c r="AS14" s="54">
        <f>ROUND('Revenue Forecast'!AS41/Assumptions!$F$107,0)</f>
        <v/>
      </c>
      <c r="AT14" s="54">
        <f>ROUND('Revenue Forecast'!AT41/Assumptions!$F$107,0)</f>
        <v/>
      </c>
      <c r="AU14" s="54">
        <f>ROUND('Revenue Forecast'!AU41/Assumptions!$F$107,0)</f>
        <v/>
      </c>
      <c r="AV14" s="54">
        <f>ROUND('Revenue Forecast'!AV41/Assumptions!$F$107,0)</f>
        <v/>
      </c>
      <c r="AW14" s="54">
        <f>ROUND('Revenue Forecast'!AW41/Assumptions!$F$107,0)</f>
        <v/>
      </c>
      <c r="AX14" s="54">
        <f>ROUND('Revenue Forecast'!AX41/Assumptions!$F$107,0)</f>
        <v/>
      </c>
      <c r="AY14" s="54">
        <f>ROUND('Revenue Forecast'!AY41/Assumptions!$F$107,0)</f>
        <v/>
      </c>
      <c r="AZ14" s="54">
        <f>ROUND('Revenue Forecast'!AZ41/Assumptions!$F$107,0)</f>
        <v/>
      </c>
      <c r="BA14" s="54">
        <f>ROUND('Revenue Forecast'!BA41/Assumptions!$F$107,0)</f>
        <v/>
      </c>
      <c r="BB14" s="54">
        <f>ROUND('Revenue Forecast'!BB41/Assumptions!$F$107,0)</f>
        <v/>
      </c>
      <c r="BC14" s="54">
        <f>ROUND('Revenue Forecast'!BC41/Assumptions!$F$107,0)</f>
        <v/>
      </c>
      <c r="BD14" s="54">
        <f>ROUND('Revenue Forecast'!BD41/Assumptions!$F$107,0)</f>
        <v/>
      </c>
      <c r="BE14" s="54">
        <f>ROUND('Revenue Forecast'!BE41/Assumptions!$F$107,0)</f>
        <v/>
      </c>
      <c r="BF14" s="54">
        <f>ROUND('Revenue Forecast'!BF41/Assumptions!$F$107,0)</f>
        <v/>
      </c>
      <c r="BG14" s="54">
        <f>ROUND('Revenue Forecast'!BG41/Assumptions!$F$107,0)</f>
        <v/>
      </c>
      <c r="BH14" s="54">
        <f>ROUND('Revenue Forecast'!BH41/Assumptions!$F$107,0)</f>
        <v/>
      </c>
      <c r="BI14" s="54">
        <f>ROUND('Revenue Forecast'!BI41/Assumptions!$F$107,0)</f>
        <v/>
      </c>
      <c r="BJ14" s="54">
        <f>ROUND('Revenue Forecast'!BJ41/Assumptions!$F$107,0)</f>
        <v/>
      </c>
      <c r="BK14" s="54">
        <f>ROUND('Revenue Forecast'!BK41/Assumptions!$F$107,0)</f>
        <v/>
      </c>
      <c r="BL14" s="54">
        <f>ROUND('Revenue Forecast'!BL41/Assumptions!$F$107,0)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Forecast'!E41/Assumptions!$F$108,0)</f>
        <v/>
      </c>
      <c r="F15" s="54">
        <f>ROUND('Revenue Forecast'!F41/Assumptions!$F$108,0)</f>
        <v/>
      </c>
      <c r="G15" s="54">
        <f>ROUND('Revenue Forecast'!G41/Assumptions!$F$108,0)</f>
        <v/>
      </c>
      <c r="H15" s="54">
        <f>ROUND('Revenue Forecast'!H41/Assumptions!$F$108,0)</f>
        <v/>
      </c>
      <c r="I15" s="54">
        <f>ROUND('Revenue Forecast'!I41/Assumptions!$F$108,0)</f>
        <v/>
      </c>
      <c r="J15" s="54">
        <f>ROUND('Revenue Forecast'!J41/Assumptions!$F$108,0)</f>
        <v/>
      </c>
      <c r="K15" s="54">
        <f>ROUND('Revenue Forecast'!K41/Assumptions!$F$108,0)</f>
        <v/>
      </c>
      <c r="L15" s="54">
        <f>ROUND('Revenue Forecast'!L41/Assumptions!$F$108,0)</f>
        <v/>
      </c>
      <c r="M15" s="54">
        <f>ROUND('Revenue Forecast'!M41/Assumptions!$F$108,0)</f>
        <v/>
      </c>
      <c r="N15" s="54">
        <f>ROUND('Revenue Forecast'!N41/Assumptions!$F$108,0)</f>
        <v/>
      </c>
      <c r="O15" s="54">
        <f>ROUND('Revenue Forecast'!O41/Assumptions!$F$108,0)</f>
        <v/>
      </c>
      <c r="P15" s="54">
        <f>ROUND('Revenue Forecast'!P41/Assumptions!$F$108,0)</f>
        <v/>
      </c>
      <c r="Q15" s="54">
        <f>ROUND('Revenue Forecast'!Q41/Assumptions!$F$108,0)</f>
        <v/>
      </c>
      <c r="R15" s="54">
        <f>ROUND('Revenue Forecast'!R41/Assumptions!$F$108,0)</f>
        <v/>
      </c>
      <c r="S15" s="54">
        <f>ROUND('Revenue Forecast'!S41/Assumptions!$F$108,0)</f>
        <v/>
      </c>
      <c r="T15" s="54">
        <f>ROUND('Revenue Forecast'!T41/Assumptions!$F$108,0)</f>
        <v/>
      </c>
      <c r="U15" s="54">
        <f>ROUND('Revenue Forecast'!U41/Assumptions!$F$108,0)</f>
        <v/>
      </c>
      <c r="V15" s="54">
        <f>ROUND('Revenue Forecast'!V41/Assumptions!$F$108,0)</f>
        <v/>
      </c>
      <c r="W15" s="54">
        <f>ROUND('Revenue Forecast'!W41/Assumptions!$F$108,0)</f>
        <v/>
      </c>
      <c r="X15" s="54">
        <f>ROUND('Revenue Forecast'!X41/Assumptions!$F$108,0)</f>
        <v/>
      </c>
      <c r="Y15" s="54">
        <f>ROUND('Revenue Forecast'!Y41/Assumptions!$F$108,0)</f>
        <v/>
      </c>
      <c r="Z15" s="54">
        <f>ROUND('Revenue Forecast'!Z41/Assumptions!$F$108,0)</f>
        <v/>
      </c>
      <c r="AA15" s="54">
        <f>ROUND('Revenue Forecast'!AA41/Assumptions!$F$108,0)</f>
        <v/>
      </c>
      <c r="AB15" s="54">
        <f>ROUND('Revenue Forecast'!AB41/Assumptions!$F$108,0)</f>
        <v/>
      </c>
      <c r="AC15" s="54">
        <f>ROUND('Revenue Forecast'!AC41/Assumptions!$F$108,0)</f>
        <v/>
      </c>
      <c r="AD15" s="54">
        <f>ROUND('Revenue Forecast'!AD41/Assumptions!$F$108,0)</f>
        <v/>
      </c>
      <c r="AE15" s="54">
        <f>ROUND('Revenue Forecast'!AE41/Assumptions!$F$108,0)</f>
        <v/>
      </c>
      <c r="AF15" s="54">
        <f>ROUND('Revenue Forecast'!AF41/Assumptions!$F$108,0)</f>
        <v/>
      </c>
      <c r="AG15" s="54">
        <f>ROUND('Revenue Forecast'!AG41/Assumptions!$F$108,0)</f>
        <v/>
      </c>
      <c r="AH15" s="54">
        <f>ROUND('Revenue Forecast'!AH41/Assumptions!$F$108,0)</f>
        <v/>
      </c>
      <c r="AI15" s="54">
        <f>ROUND('Revenue Forecast'!AI41/Assumptions!$F$108,0)</f>
        <v/>
      </c>
      <c r="AJ15" s="54">
        <f>ROUND('Revenue Forecast'!AJ41/Assumptions!$F$108,0)</f>
        <v/>
      </c>
      <c r="AK15" s="54">
        <f>ROUND('Revenue Forecast'!AK41/Assumptions!$F$108,0)</f>
        <v/>
      </c>
      <c r="AL15" s="54">
        <f>ROUND('Revenue Forecast'!AL41/Assumptions!$F$108,0)</f>
        <v/>
      </c>
      <c r="AM15" s="54">
        <f>ROUND('Revenue Forecast'!AM41/Assumptions!$F$108,0)</f>
        <v/>
      </c>
      <c r="AN15" s="54">
        <f>ROUND('Revenue Forecast'!AN41/Assumptions!$F$108,0)</f>
        <v/>
      </c>
      <c r="AO15" s="54">
        <f>ROUND('Revenue Forecast'!AO41/Assumptions!$F$108,0)</f>
        <v/>
      </c>
      <c r="AP15" s="54">
        <f>ROUND('Revenue Forecast'!AP41/Assumptions!$F$108,0)</f>
        <v/>
      </c>
      <c r="AQ15" s="54">
        <f>ROUND('Revenue Forecast'!AQ41/Assumptions!$F$108,0)</f>
        <v/>
      </c>
      <c r="AR15" s="54">
        <f>ROUND('Revenue Forecast'!AR41/Assumptions!$F$108,0)</f>
        <v/>
      </c>
      <c r="AS15" s="54">
        <f>ROUND('Revenue Forecast'!AS41/Assumptions!$F$108,0)</f>
        <v/>
      </c>
      <c r="AT15" s="54">
        <f>ROUND('Revenue Forecast'!AT41/Assumptions!$F$108,0)</f>
        <v/>
      </c>
      <c r="AU15" s="54">
        <f>ROUND('Revenue Forecast'!AU41/Assumptions!$F$108,0)</f>
        <v/>
      </c>
      <c r="AV15" s="54">
        <f>ROUND('Revenue Forecast'!AV41/Assumptions!$F$108,0)</f>
        <v/>
      </c>
      <c r="AW15" s="54">
        <f>ROUND('Revenue Forecast'!AW41/Assumptions!$F$108,0)</f>
        <v/>
      </c>
      <c r="AX15" s="54">
        <f>ROUND('Revenue Forecast'!AX41/Assumptions!$F$108,0)</f>
        <v/>
      </c>
      <c r="AY15" s="54">
        <f>ROUND('Revenue Forecast'!AY41/Assumptions!$F$108,0)</f>
        <v/>
      </c>
      <c r="AZ15" s="54">
        <f>ROUND('Revenue Forecast'!AZ41/Assumptions!$F$108,0)</f>
        <v/>
      </c>
      <c r="BA15" s="54">
        <f>ROUND('Revenue Forecast'!BA41/Assumptions!$F$108,0)</f>
        <v/>
      </c>
      <c r="BB15" s="54">
        <f>ROUND('Revenue Forecast'!BB41/Assumptions!$F$108,0)</f>
        <v/>
      </c>
      <c r="BC15" s="54">
        <f>ROUND('Revenue Forecast'!BC41/Assumptions!$F$108,0)</f>
        <v/>
      </c>
      <c r="BD15" s="54">
        <f>ROUND('Revenue Forecast'!BD41/Assumptions!$F$108,0)</f>
        <v/>
      </c>
      <c r="BE15" s="54">
        <f>ROUND('Revenue Forecast'!BE41/Assumptions!$F$108,0)</f>
        <v/>
      </c>
      <c r="BF15" s="54">
        <f>ROUND('Revenue Forecast'!BF41/Assumptions!$F$108,0)</f>
        <v/>
      </c>
      <c r="BG15" s="54">
        <f>ROUND('Revenue Forecast'!BG41/Assumptions!$F$108,0)</f>
        <v/>
      </c>
      <c r="BH15" s="54">
        <f>ROUND('Revenue Forecast'!BH41/Assumptions!$F$108,0)</f>
        <v/>
      </c>
      <c r="BI15" s="54">
        <f>ROUND('Revenue Forecast'!BI41/Assumptions!$F$108,0)</f>
        <v/>
      </c>
      <c r="BJ15" s="54">
        <f>ROUND('Revenue Forecast'!BJ41/Assumptions!$F$108,0)</f>
        <v/>
      </c>
      <c r="BK15" s="54">
        <f>ROUND('Revenue Forecast'!BK41/Assumptions!$F$108,0)</f>
        <v/>
      </c>
      <c r="BL15" s="54">
        <f>ROUND('Revenue Forecast'!BL41/Assumptions!$F$108,0)</f>
        <v/>
      </c>
      <c r="BN15" s="55">
        <f>P15</f>
        <v/>
      </c>
      <c r="BO15" s="55">
        <f>AB15</f>
        <v/>
      </c>
      <c r="BP15" s="55">
        <f>AN15</f>
        <v/>
      </c>
      <c r="BQ15" s="55">
        <f>AZ15</f>
        <v/>
      </c>
      <c r="BR15" s="55">
        <f>BL15</f>
        <v/>
      </c>
    </row>
    <row r="16">
      <c r="B16" s="9" t="inlineStr">
        <is>
          <t>R&amp;D engineers</t>
        </is>
      </c>
      <c r="C16" s="42" t="inlineStr">
        <is>
          <t>FTE</t>
        </is>
      </c>
      <c r="E16" s="54">
        <f>Assumptions!$F$104+SUMIF(Assumptions!$D$99:$H$99,"&lt;="&amp;YEAR(E$3),Assumptions!$D$102:$H$102)</f>
        <v/>
      </c>
      <c r="F16" s="54">
        <f>Assumptions!$F$104+SUMIF(Assumptions!$D$99:$H$99,"&lt;="&amp;YEAR(F$3),Assumptions!$D$102:$H$102)</f>
        <v/>
      </c>
      <c r="G16" s="54">
        <f>Assumptions!$F$104+SUMIF(Assumptions!$D$99:$H$99,"&lt;="&amp;YEAR(G$3),Assumptions!$D$102:$H$102)</f>
        <v/>
      </c>
      <c r="H16" s="54">
        <f>Assumptions!$F$104+SUMIF(Assumptions!$D$99:$H$99,"&lt;="&amp;YEAR(H$3),Assumptions!$D$102:$H$102)</f>
        <v/>
      </c>
      <c r="I16" s="54">
        <f>Assumptions!$F$104+SUMIF(Assumptions!$D$99:$H$99,"&lt;="&amp;YEAR(I$3),Assumptions!$D$102:$H$102)</f>
        <v/>
      </c>
      <c r="J16" s="54">
        <f>Assumptions!$F$104+SUMIF(Assumptions!$D$99:$H$99,"&lt;="&amp;YEAR(J$3),Assumptions!$D$102:$H$102)</f>
        <v/>
      </c>
      <c r="K16" s="54">
        <f>Assumptions!$F$104+SUMIF(Assumptions!$D$99:$H$99,"&lt;="&amp;YEAR(K$3),Assumptions!$D$102:$H$102)</f>
        <v/>
      </c>
      <c r="L16" s="54">
        <f>Assumptions!$F$104+SUMIF(Assumptions!$D$99:$H$99,"&lt;="&amp;YEAR(L$3),Assumptions!$D$102:$H$102)</f>
        <v/>
      </c>
      <c r="M16" s="54">
        <f>Assumptions!$F$104+SUMIF(Assumptions!$D$99:$H$99,"&lt;="&amp;YEAR(M$3),Assumptions!$D$102:$H$102)</f>
        <v/>
      </c>
      <c r="N16" s="54">
        <f>Assumptions!$F$104+SUMIF(Assumptions!$D$99:$H$99,"&lt;="&amp;YEAR(N$3),Assumptions!$D$102:$H$102)</f>
        <v/>
      </c>
      <c r="O16" s="54">
        <f>Assumptions!$F$104+SUMIF(Assumptions!$D$99:$H$99,"&lt;="&amp;YEAR(O$3),Assumptions!$D$102:$H$102)</f>
        <v/>
      </c>
      <c r="P16" s="54">
        <f>Assumptions!$F$104+SUMIF(Assumptions!$D$99:$H$99,"&lt;="&amp;YEAR(P$3),Assumptions!$D$102:$H$102)</f>
        <v/>
      </c>
      <c r="Q16" s="54">
        <f>Assumptions!$F$104+SUMIF(Assumptions!$D$99:$H$99,"&lt;="&amp;YEAR(Q$3),Assumptions!$D$102:$H$102)</f>
        <v/>
      </c>
      <c r="R16" s="54">
        <f>Assumptions!$F$104+SUMIF(Assumptions!$D$99:$H$99,"&lt;="&amp;YEAR(R$3),Assumptions!$D$102:$H$102)</f>
        <v/>
      </c>
      <c r="S16" s="54">
        <f>Assumptions!$F$104+SUMIF(Assumptions!$D$99:$H$99,"&lt;="&amp;YEAR(S$3),Assumptions!$D$102:$H$102)</f>
        <v/>
      </c>
      <c r="T16" s="54">
        <f>Assumptions!$F$104+SUMIF(Assumptions!$D$99:$H$99,"&lt;="&amp;YEAR(T$3),Assumptions!$D$102:$H$102)</f>
        <v/>
      </c>
      <c r="U16" s="54">
        <f>Assumptions!$F$104+SUMIF(Assumptions!$D$99:$H$99,"&lt;="&amp;YEAR(U$3),Assumptions!$D$102:$H$102)</f>
        <v/>
      </c>
      <c r="V16" s="54">
        <f>Assumptions!$F$104+SUMIF(Assumptions!$D$99:$H$99,"&lt;="&amp;YEAR(V$3),Assumptions!$D$102:$H$102)</f>
        <v/>
      </c>
      <c r="W16" s="54">
        <f>Assumptions!$F$104+SUMIF(Assumptions!$D$99:$H$99,"&lt;="&amp;YEAR(W$3),Assumptions!$D$102:$H$102)</f>
        <v/>
      </c>
      <c r="X16" s="54">
        <f>Assumptions!$F$104+SUMIF(Assumptions!$D$99:$H$99,"&lt;="&amp;YEAR(X$3),Assumptions!$D$102:$H$102)</f>
        <v/>
      </c>
      <c r="Y16" s="54">
        <f>Assumptions!$F$104+SUMIF(Assumptions!$D$99:$H$99,"&lt;="&amp;YEAR(Y$3),Assumptions!$D$102:$H$102)</f>
        <v/>
      </c>
      <c r="Z16" s="54">
        <f>Assumptions!$F$104+SUMIF(Assumptions!$D$99:$H$99,"&lt;="&amp;YEAR(Z$3),Assumptions!$D$102:$H$102)</f>
        <v/>
      </c>
      <c r="AA16" s="54">
        <f>Assumptions!$F$104+SUMIF(Assumptions!$D$99:$H$99,"&lt;="&amp;YEAR(AA$3),Assumptions!$D$102:$H$102)</f>
        <v/>
      </c>
      <c r="AB16" s="54">
        <f>Assumptions!$F$104+SUMIF(Assumptions!$D$99:$H$99,"&lt;="&amp;YEAR(AB$3),Assumptions!$D$102:$H$102)</f>
        <v/>
      </c>
      <c r="AC16" s="54">
        <f>Assumptions!$F$104+SUMIF(Assumptions!$D$99:$H$99,"&lt;="&amp;YEAR(AC$3),Assumptions!$D$102:$H$102)</f>
        <v/>
      </c>
      <c r="AD16" s="54">
        <f>Assumptions!$F$104+SUMIF(Assumptions!$D$99:$H$99,"&lt;="&amp;YEAR(AD$3),Assumptions!$D$102:$H$102)</f>
        <v/>
      </c>
      <c r="AE16" s="54">
        <f>Assumptions!$F$104+SUMIF(Assumptions!$D$99:$H$99,"&lt;="&amp;YEAR(AE$3),Assumptions!$D$102:$H$102)</f>
        <v/>
      </c>
      <c r="AF16" s="54">
        <f>Assumptions!$F$104+SUMIF(Assumptions!$D$99:$H$99,"&lt;="&amp;YEAR(AF$3),Assumptions!$D$102:$H$102)</f>
        <v/>
      </c>
      <c r="AG16" s="54">
        <f>Assumptions!$F$104+SUMIF(Assumptions!$D$99:$H$99,"&lt;="&amp;YEAR(AG$3),Assumptions!$D$102:$H$102)</f>
        <v/>
      </c>
      <c r="AH16" s="54">
        <f>Assumptions!$F$104+SUMIF(Assumptions!$D$99:$H$99,"&lt;="&amp;YEAR(AH$3),Assumptions!$D$102:$H$102)</f>
        <v/>
      </c>
      <c r="AI16" s="54">
        <f>Assumptions!$F$104+SUMIF(Assumptions!$D$99:$H$99,"&lt;="&amp;YEAR(AI$3),Assumptions!$D$102:$H$102)</f>
        <v/>
      </c>
      <c r="AJ16" s="54">
        <f>Assumptions!$F$104+SUMIF(Assumptions!$D$99:$H$99,"&lt;="&amp;YEAR(AJ$3),Assumptions!$D$102:$H$102)</f>
        <v/>
      </c>
      <c r="AK16" s="54">
        <f>Assumptions!$F$104+SUMIF(Assumptions!$D$99:$H$99,"&lt;="&amp;YEAR(AK$3),Assumptions!$D$102:$H$102)</f>
        <v/>
      </c>
      <c r="AL16" s="54">
        <f>Assumptions!$F$104+SUMIF(Assumptions!$D$99:$H$99,"&lt;="&amp;YEAR(AL$3),Assumptions!$D$102:$H$102)</f>
        <v/>
      </c>
      <c r="AM16" s="54">
        <f>Assumptions!$F$104+SUMIF(Assumptions!$D$99:$H$99,"&lt;="&amp;YEAR(AM$3),Assumptions!$D$102:$H$102)</f>
        <v/>
      </c>
      <c r="AN16" s="54">
        <f>Assumptions!$F$104+SUMIF(Assumptions!$D$99:$H$99,"&lt;="&amp;YEAR(AN$3),Assumptions!$D$102:$H$102)</f>
        <v/>
      </c>
      <c r="AO16" s="54">
        <f>Assumptions!$F$104+SUMIF(Assumptions!$D$99:$H$99,"&lt;="&amp;YEAR(AO$3),Assumptions!$D$102:$H$102)</f>
        <v/>
      </c>
      <c r="AP16" s="54">
        <f>Assumptions!$F$104+SUMIF(Assumptions!$D$99:$H$99,"&lt;="&amp;YEAR(AP$3),Assumptions!$D$102:$H$102)</f>
        <v/>
      </c>
      <c r="AQ16" s="54">
        <f>Assumptions!$F$104+SUMIF(Assumptions!$D$99:$H$99,"&lt;="&amp;YEAR(AQ$3),Assumptions!$D$102:$H$102)</f>
        <v/>
      </c>
      <c r="AR16" s="54">
        <f>Assumptions!$F$104+SUMIF(Assumptions!$D$99:$H$99,"&lt;="&amp;YEAR(AR$3),Assumptions!$D$102:$H$102)</f>
        <v/>
      </c>
      <c r="AS16" s="54">
        <f>Assumptions!$F$104+SUMIF(Assumptions!$D$99:$H$99,"&lt;="&amp;YEAR(AS$3),Assumptions!$D$102:$H$102)</f>
        <v/>
      </c>
      <c r="AT16" s="54">
        <f>Assumptions!$F$104+SUMIF(Assumptions!$D$99:$H$99,"&lt;="&amp;YEAR(AT$3),Assumptions!$D$102:$H$102)</f>
        <v/>
      </c>
      <c r="AU16" s="54">
        <f>Assumptions!$F$104+SUMIF(Assumptions!$D$99:$H$99,"&lt;="&amp;YEAR(AU$3),Assumptions!$D$102:$H$102)</f>
        <v/>
      </c>
      <c r="AV16" s="54">
        <f>Assumptions!$F$104+SUMIF(Assumptions!$D$99:$H$99,"&lt;="&amp;YEAR(AV$3),Assumptions!$D$102:$H$102)</f>
        <v/>
      </c>
      <c r="AW16" s="54">
        <f>Assumptions!$F$104+SUMIF(Assumptions!$D$99:$H$99,"&lt;="&amp;YEAR(AW$3),Assumptions!$D$102:$H$102)</f>
        <v/>
      </c>
      <c r="AX16" s="54">
        <f>Assumptions!$F$104+SUMIF(Assumptions!$D$99:$H$99,"&lt;="&amp;YEAR(AX$3),Assumptions!$D$102:$H$102)</f>
        <v/>
      </c>
      <c r="AY16" s="54">
        <f>Assumptions!$F$104+SUMIF(Assumptions!$D$99:$H$99,"&lt;="&amp;YEAR(AY$3),Assumptions!$D$102:$H$102)</f>
        <v/>
      </c>
      <c r="AZ16" s="54">
        <f>Assumptions!$F$104+SUMIF(Assumptions!$D$99:$H$99,"&lt;="&amp;YEAR(AZ$3),Assumptions!$D$102:$H$102)</f>
        <v/>
      </c>
      <c r="BA16" s="54">
        <f>Assumptions!$F$104+SUMIF(Assumptions!$D$99:$H$99,"&lt;="&amp;YEAR(BA$3),Assumptions!$D$102:$H$102)</f>
        <v/>
      </c>
      <c r="BB16" s="54">
        <f>Assumptions!$F$104+SUMIF(Assumptions!$D$99:$H$99,"&lt;="&amp;YEAR(BB$3),Assumptions!$D$102:$H$102)</f>
        <v/>
      </c>
      <c r="BC16" s="54">
        <f>Assumptions!$F$104+SUMIF(Assumptions!$D$99:$H$99,"&lt;="&amp;YEAR(BC$3),Assumptions!$D$102:$H$102)</f>
        <v/>
      </c>
      <c r="BD16" s="54">
        <f>Assumptions!$F$104+SUMIF(Assumptions!$D$99:$H$99,"&lt;="&amp;YEAR(BD$3),Assumptions!$D$102:$H$102)</f>
        <v/>
      </c>
      <c r="BE16" s="54">
        <f>Assumptions!$F$104+SUMIF(Assumptions!$D$99:$H$99,"&lt;="&amp;YEAR(BE$3),Assumptions!$D$102:$H$102)</f>
        <v/>
      </c>
      <c r="BF16" s="54">
        <f>Assumptions!$F$104+SUMIF(Assumptions!$D$99:$H$99,"&lt;="&amp;YEAR(BF$3),Assumptions!$D$102:$H$102)</f>
        <v/>
      </c>
      <c r="BG16" s="54">
        <f>Assumptions!$F$104+SUMIF(Assumptions!$D$99:$H$99,"&lt;="&amp;YEAR(BG$3),Assumptions!$D$102:$H$102)</f>
        <v/>
      </c>
      <c r="BH16" s="54">
        <f>Assumptions!$F$104+SUMIF(Assumptions!$D$99:$H$99,"&lt;="&amp;YEAR(BH$3),Assumptions!$D$102:$H$102)</f>
        <v/>
      </c>
      <c r="BI16" s="54">
        <f>Assumptions!$F$104+SUMIF(Assumptions!$D$99:$H$99,"&lt;="&amp;YEAR(BI$3),Assumptions!$D$102:$H$102)</f>
        <v/>
      </c>
      <c r="BJ16" s="54">
        <f>Assumptions!$F$104+SUMIF(Assumptions!$D$99:$H$99,"&lt;="&amp;YEAR(BJ$3),Assumptions!$D$102:$H$102)</f>
        <v/>
      </c>
      <c r="BK16" s="54">
        <f>Assumptions!$F$104+SUMIF(Assumptions!$D$99:$H$99,"&lt;="&amp;YEAR(BK$3),Assumptions!$D$102:$H$102)</f>
        <v/>
      </c>
      <c r="BL16" s="54">
        <f>Assumptions!$F$104+SUMIF(Assumptions!$D$99:$H$99,"&lt;="&amp;YEAR(BL$3),Assumptions!$D$102:$H$102)</f>
        <v/>
      </c>
      <c r="BN16" s="55">
        <f>P16</f>
        <v/>
      </c>
      <c r="BO16" s="55">
        <f>AB16</f>
        <v/>
      </c>
      <c r="BP16" s="55">
        <f>AN16</f>
        <v/>
      </c>
      <c r="BQ16" s="55">
        <f>AZ16</f>
        <v/>
      </c>
      <c r="BR16" s="55">
        <f>BL16</f>
        <v/>
      </c>
      <c r="BT16" s="20" t="inlineStr">
        <is>
          <t>the founding engineers plus everyone hired up to and including this year</t>
        </is>
      </c>
    </row>
    <row r="17">
      <c r="B17" s="9" t="inlineStr">
        <is>
          <t>Leadership, finance, HR, IT and legal</t>
        </is>
      </c>
      <c r="C17" s="42" t="inlineStr">
        <is>
          <t>FTE</t>
        </is>
      </c>
      <c r="E17" s="29" t="n">
        <v>3</v>
      </c>
      <c r="F17" s="29" t="n">
        <v>3</v>
      </c>
      <c r="G17" s="29" t="n">
        <v>3</v>
      </c>
      <c r="H17" s="29" t="n">
        <v>3</v>
      </c>
      <c r="I17" s="29" t="n">
        <v>3</v>
      </c>
      <c r="J17" s="29" t="n">
        <v>3</v>
      </c>
      <c r="K17" s="29" t="n">
        <v>3</v>
      </c>
      <c r="L17" s="29" t="n">
        <v>3</v>
      </c>
      <c r="M17" s="29" t="n">
        <v>3</v>
      </c>
      <c r="N17" s="29" t="n">
        <v>3</v>
      </c>
      <c r="O17" s="29" t="n">
        <v>3</v>
      </c>
      <c r="P17" s="29" t="n">
        <v>3</v>
      </c>
      <c r="Q17" s="29" t="n">
        <v>4</v>
      </c>
      <c r="R17" s="29" t="n">
        <v>4</v>
      </c>
      <c r="S17" s="29" t="n">
        <v>4</v>
      </c>
      <c r="T17" s="29" t="n">
        <v>4</v>
      </c>
      <c r="U17" s="29" t="n">
        <v>4</v>
      </c>
      <c r="V17" s="29" t="n">
        <v>4</v>
      </c>
      <c r="W17" s="29" t="n">
        <v>4</v>
      </c>
      <c r="X17" s="29" t="n">
        <v>4</v>
      </c>
      <c r="Y17" s="29" t="n">
        <v>4</v>
      </c>
      <c r="Z17" s="29" t="n">
        <v>4</v>
      </c>
      <c r="AA17" s="29" t="n">
        <v>4</v>
      </c>
      <c r="AB17" s="29" t="n">
        <v>4</v>
      </c>
      <c r="AC17" s="29" t="n">
        <v>5</v>
      </c>
      <c r="AD17" s="29" t="n">
        <v>5</v>
      </c>
      <c r="AE17" s="29" t="n">
        <v>5</v>
      </c>
      <c r="AF17" s="29" t="n">
        <v>5</v>
      </c>
      <c r="AG17" s="29" t="n">
        <v>5</v>
      </c>
      <c r="AH17" s="29" t="n">
        <v>5</v>
      </c>
      <c r="AI17" s="29" t="n">
        <v>5</v>
      </c>
      <c r="AJ17" s="29" t="n">
        <v>5</v>
      </c>
      <c r="AK17" s="29" t="n">
        <v>5</v>
      </c>
      <c r="AL17" s="29" t="n">
        <v>5</v>
      </c>
      <c r="AM17" s="29" t="n">
        <v>5</v>
      </c>
      <c r="AN17" s="29" t="n">
        <v>5</v>
      </c>
      <c r="AO17" s="29" t="n">
        <v>6</v>
      </c>
      <c r="AP17" s="29" t="n">
        <v>6</v>
      </c>
      <c r="AQ17" s="29" t="n">
        <v>6</v>
      </c>
      <c r="AR17" s="29" t="n">
        <v>6</v>
      </c>
      <c r="AS17" s="29" t="n">
        <v>6</v>
      </c>
      <c r="AT17" s="29" t="n">
        <v>6</v>
      </c>
      <c r="AU17" s="29" t="n">
        <v>6</v>
      </c>
      <c r="AV17" s="29" t="n">
        <v>6</v>
      </c>
      <c r="AW17" s="29" t="n">
        <v>6</v>
      </c>
      <c r="AX17" s="29" t="n">
        <v>6</v>
      </c>
      <c r="AY17" s="29" t="n">
        <v>6</v>
      </c>
      <c r="AZ17" s="29" t="n">
        <v>6</v>
      </c>
      <c r="BA17" s="29" t="n">
        <v>8</v>
      </c>
      <c r="BB17" s="29" t="n">
        <v>8</v>
      </c>
      <c r="BC17" s="29" t="n">
        <v>8</v>
      </c>
      <c r="BD17" s="29" t="n">
        <v>8</v>
      </c>
      <c r="BE17" s="29" t="n">
        <v>8</v>
      </c>
      <c r="BF17" s="29" t="n">
        <v>8</v>
      </c>
      <c r="BG17" s="29" t="n">
        <v>8</v>
      </c>
      <c r="BH17" s="29" t="n">
        <v>8</v>
      </c>
      <c r="BI17" s="29" t="n">
        <v>8</v>
      </c>
      <c r="BJ17" s="29" t="n">
        <v>8</v>
      </c>
      <c r="BK17" s="29" t="n">
        <v>8</v>
      </c>
      <c r="BL17" s="29" t="n">
        <v>8</v>
      </c>
      <c r="BN17" s="55">
        <f>P17</f>
        <v/>
      </c>
      <c r="BO17" s="55">
        <f>AB17</f>
        <v/>
      </c>
      <c r="BP17" s="55">
        <f>AN17</f>
        <v/>
      </c>
      <c r="BQ17" s="55">
        <f>AZ17</f>
        <v/>
      </c>
      <c r="BR17" s="55">
        <f>BL17</f>
        <v/>
      </c>
      <c r="BT17" s="20" t="inlineStr">
        <is>
          <t>typed here, not driven: the leadership team, then finance, HR, IT and legal as the company grows. Same in both cases</t>
        </is>
      </c>
    </row>
    <row r="18">
      <c r="B18" s="9" t="inlineStr">
        <is>
          <t>Field service engineers</t>
        </is>
      </c>
      <c r="C18" s="42" t="inlineStr">
        <is>
          <t>FTE</t>
        </is>
      </c>
      <c r="E18" s="54">
        <f>ROUND('Revenue Forecast'!E41*Assumptions!$F$45/Assumptions!$F$113,0)</f>
        <v/>
      </c>
      <c r="F18" s="54">
        <f>ROUND('Revenue Forecast'!F41*Assumptions!$F$45/Assumptions!$F$113,0)</f>
        <v/>
      </c>
      <c r="G18" s="54">
        <f>ROUND('Revenue Forecast'!G41*Assumptions!$F$45/Assumptions!$F$113,0)</f>
        <v/>
      </c>
      <c r="H18" s="54">
        <f>ROUND('Revenue Forecast'!H41*Assumptions!$F$45/Assumptions!$F$113,0)</f>
        <v/>
      </c>
      <c r="I18" s="54">
        <f>ROUND('Revenue Forecast'!I41*Assumptions!$F$45/Assumptions!$F$113,0)</f>
        <v/>
      </c>
      <c r="J18" s="54">
        <f>ROUND('Revenue Forecast'!J41*Assumptions!$F$45/Assumptions!$F$113,0)</f>
        <v/>
      </c>
      <c r="K18" s="54">
        <f>ROUND('Revenue Forecast'!K41*Assumptions!$F$45/Assumptions!$F$113,0)</f>
        <v/>
      </c>
      <c r="L18" s="54">
        <f>ROUND('Revenue Forecast'!L41*Assumptions!$F$45/Assumptions!$F$113,0)</f>
        <v/>
      </c>
      <c r="M18" s="54">
        <f>ROUND('Revenue Forecast'!M41*Assumptions!$F$45/Assumptions!$F$113,0)</f>
        <v/>
      </c>
      <c r="N18" s="54">
        <f>ROUND('Revenue Forecast'!N41*Assumptions!$F$45/Assumptions!$F$113,0)</f>
        <v/>
      </c>
      <c r="O18" s="54">
        <f>ROUND('Revenue Forecast'!O41*Assumptions!$F$45/Assumptions!$F$113,0)</f>
        <v/>
      </c>
      <c r="P18" s="54">
        <f>ROUND('Revenue Forecast'!P41*Assumptions!$F$45/Assumptions!$F$113,0)</f>
        <v/>
      </c>
      <c r="Q18" s="54">
        <f>ROUND('Revenue Forecast'!Q41*Assumptions!$F$45/Assumptions!$F$113,0)</f>
        <v/>
      </c>
      <c r="R18" s="54">
        <f>ROUND('Revenue Forecast'!R41*Assumptions!$F$45/Assumptions!$F$113,0)</f>
        <v/>
      </c>
      <c r="S18" s="54">
        <f>ROUND('Revenue Forecast'!S41*Assumptions!$F$45/Assumptions!$F$113,0)</f>
        <v/>
      </c>
      <c r="T18" s="54">
        <f>ROUND('Revenue Forecast'!T41*Assumptions!$F$45/Assumptions!$F$113,0)</f>
        <v/>
      </c>
      <c r="U18" s="54">
        <f>ROUND('Revenue Forecast'!U41*Assumptions!$F$45/Assumptions!$F$113,0)</f>
        <v/>
      </c>
      <c r="V18" s="54">
        <f>ROUND('Revenue Forecast'!V41*Assumptions!$F$45/Assumptions!$F$113,0)</f>
        <v/>
      </c>
      <c r="W18" s="54">
        <f>ROUND('Revenue Forecast'!W41*Assumptions!$F$45/Assumptions!$F$113,0)</f>
        <v/>
      </c>
      <c r="X18" s="54">
        <f>ROUND('Revenue Forecast'!X41*Assumptions!$F$45/Assumptions!$F$113,0)</f>
        <v/>
      </c>
      <c r="Y18" s="54">
        <f>ROUND('Revenue Forecast'!Y41*Assumptions!$F$45/Assumptions!$F$113,0)</f>
        <v/>
      </c>
      <c r="Z18" s="54">
        <f>ROUND('Revenue Forecast'!Z41*Assumptions!$F$45/Assumptions!$F$113,0)</f>
        <v/>
      </c>
      <c r="AA18" s="54">
        <f>ROUND('Revenue Forecast'!AA41*Assumptions!$F$45/Assumptions!$F$113,0)</f>
        <v/>
      </c>
      <c r="AB18" s="54">
        <f>ROUND('Revenue Forecast'!AB41*Assumptions!$F$45/Assumptions!$F$113,0)</f>
        <v/>
      </c>
      <c r="AC18" s="54">
        <f>ROUND('Revenue Forecast'!AC41*Assumptions!$F$45/Assumptions!$F$113,0)</f>
        <v/>
      </c>
      <c r="AD18" s="54">
        <f>ROUND('Revenue Forecast'!AD41*Assumptions!$F$45/Assumptions!$F$113,0)</f>
        <v/>
      </c>
      <c r="AE18" s="54">
        <f>ROUND('Revenue Forecast'!AE41*Assumptions!$F$45/Assumptions!$F$113,0)</f>
        <v/>
      </c>
      <c r="AF18" s="54">
        <f>ROUND('Revenue Forecast'!AF41*Assumptions!$F$45/Assumptions!$F$113,0)</f>
        <v/>
      </c>
      <c r="AG18" s="54">
        <f>ROUND('Revenue Forecast'!AG41*Assumptions!$F$45/Assumptions!$F$113,0)</f>
        <v/>
      </c>
      <c r="AH18" s="54">
        <f>ROUND('Revenue Forecast'!AH41*Assumptions!$F$45/Assumptions!$F$113,0)</f>
        <v/>
      </c>
      <c r="AI18" s="54">
        <f>ROUND('Revenue Forecast'!AI41*Assumptions!$F$45/Assumptions!$F$113,0)</f>
        <v/>
      </c>
      <c r="AJ18" s="54">
        <f>ROUND('Revenue Forecast'!AJ41*Assumptions!$F$45/Assumptions!$F$113,0)</f>
        <v/>
      </c>
      <c r="AK18" s="54">
        <f>ROUND('Revenue Forecast'!AK41*Assumptions!$F$45/Assumptions!$F$113,0)</f>
        <v/>
      </c>
      <c r="AL18" s="54">
        <f>ROUND('Revenue Forecast'!AL41*Assumptions!$F$45/Assumptions!$F$113,0)</f>
        <v/>
      </c>
      <c r="AM18" s="54">
        <f>ROUND('Revenue Forecast'!AM41*Assumptions!$F$45/Assumptions!$F$113,0)</f>
        <v/>
      </c>
      <c r="AN18" s="54">
        <f>ROUND('Revenue Forecast'!AN41*Assumptions!$F$45/Assumptions!$F$113,0)</f>
        <v/>
      </c>
      <c r="AO18" s="54">
        <f>ROUND('Revenue Forecast'!AO41*Assumptions!$F$45/Assumptions!$F$113,0)</f>
        <v/>
      </c>
      <c r="AP18" s="54">
        <f>ROUND('Revenue Forecast'!AP41*Assumptions!$F$45/Assumptions!$F$113,0)</f>
        <v/>
      </c>
      <c r="AQ18" s="54">
        <f>ROUND('Revenue Forecast'!AQ41*Assumptions!$F$45/Assumptions!$F$113,0)</f>
        <v/>
      </c>
      <c r="AR18" s="54">
        <f>ROUND('Revenue Forecast'!AR41*Assumptions!$F$45/Assumptions!$F$113,0)</f>
        <v/>
      </c>
      <c r="AS18" s="54">
        <f>ROUND('Revenue Forecast'!AS41*Assumptions!$F$45/Assumptions!$F$113,0)</f>
        <v/>
      </c>
      <c r="AT18" s="54">
        <f>ROUND('Revenue Forecast'!AT41*Assumptions!$F$45/Assumptions!$F$113,0)</f>
        <v/>
      </c>
      <c r="AU18" s="54">
        <f>ROUND('Revenue Forecast'!AU41*Assumptions!$F$45/Assumptions!$F$113,0)</f>
        <v/>
      </c>
      <c r="AV18" s="54">
        <f>ROUND('Revenue Forecast'!AV41*Assumptions!$F$45/Assumptions!$F$113,0)</f>
        <v/>
      </c>
      <c r="AW18" s="54">
        <f>ROUND('Revenue Forecast'!AW41*Assumptions!$F$45/Assumptions!$F$113,0)</f>
        <v/>
      </c>
      <c r="AX18" s="54">
        <f>ROUND('Revenue Forecast'!AX41*Assumptions!$F$45/Assumptions!$F$113,0)</f>
        <v/>
      </c>
      <c r="AY18" s="54">
        <f>ROUND('Revenue Forecast'!AY41*Assumptions!$F$45/Assumptions!$F$113,0)</f>
        <v/>
      </c>
      <c r="AZ18" s="54">
        <f>ROUND('Revenue Forecast'!AZ41*Assumptions!$F$45/Assumptions!$F$113,0)</f>
        <v/>
      </c>
      <c r="BA18" s="54">
        <f>ROUND('Revenue Forecast'!BA41*Assumptions!$F$45/Assumptions!$F$113,0)</f>
        <v/>
      </c>
      <c r="BB18" s="54">
        <f>ROUND('Revenue Forecast'!BB41*Assumptions!$F$45/Assumptions!$F$113,0)</f>
        <v/>
      </c>
      <c r="BC18" s="54">
        <f>ROUND('Revenue Forecast'!BC41*Assumptions!$F$45/Assumptions!$F$113,0)</f>
        <v/>
      </c>
      <c r="BD18" s="54">
        <f>ROUND('Revenue Forecast'!BD41*Assumptions!$F$45/Assumptions!$F$113,0)</f>
        <v/>
      </c>
      <c r="BE18" s="54">
        <f>ROUND('Revenue Forecast'!BE41*Assumptions!$F$45/Assumptions!$F$113,0)</f>
        <v/>
      </c>
      <c r="BF18" s="54">
        <f>ROUND('Revenue Forecast'!BF41*Assumptions!$F$45/Assumptions!$F$113,0)</f>
        <v/>
      </c>
      <c r="BG18" s="54">
        <f>ROUND('Revenue Forecast'!BG41*Assumptions!$F$45/Assumptions!$F$113,0)</f>
        <v/>
      </c>
      <c r="BH18" s="54">
        <f>ROUND('Revenue Forecast'!BH41*Assumptions!$F$45/Assumptions!$F$113,0)</f>
        <v/>
      </c>
      <c r="BI18" s="54">
        <f>ROUND('Revenue Forecast'!BI41*Assumptions!$F$45/Assumptions!$F$113,0)</f>
        <v/>
      </c>
      <c r="BJ18" s="54">
        <f>ROUND('Revenue Forecast'!BJ41*Assumptions!$F$45/Assumptions!$F$113,0)</f>
        <v/>
      </c>
      <c r="BK18" s="54">
        <f>ROUND('Revenue Forecast'!BK41*Assumptions!$F$45/Assumptions!$F$113,0)</f>
        <v/>
      </c>
      <c r="BL18" s="54">
        <f>ROUND('Revenue Forecast'!BL41*Assumptions!$F$45/Assumptions!$F$113,0)</f>
        <v/>
      </c>
      <c r="BN18" s="55">
        <f>P18</f>
        <v/>
      </c>
      <c r="BO18" s="55">
        <f>AB18</f>
        <v/>
      </c>
      <c r="BP18" s="55">
        <f>AN18</f>
        <v/>
      </c>
      <c r="BQ18" s="55">
        <f>AZ18</f>
        <v/>
      </c>
      <c r="BR18" s="55">
        <f>BL18</f>
        <v/>
      </c>
      <c r="BT18" s="20" t="inlineStr">
        <is>
          <t>salaried staff: boilers on a service contract divided by the boilers one engineer can look after</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39" t="inlineStr">
        <is>
          <t>Total headcount</t>
        </is>
      </c>
      <c r="C20" s="45" t="inlineStr">
        <is>
          <t>FTE</t>
        </is>
      </c>
      <c r="D20" s="1" t="n"/>
      <c r="E20" s="69">
        <f>E11+E19</f>
        <v/>
      </c>
      <c r="F20" s="69">
        <f>F11+F19</f>
        <v/>
      </c>
      <c r="G20" s="69">
        <f>G11+G19</f>
        <v/>
      </c>
      <c r="H20" s="69">
        <f>H11+H19</f>
        <v/>
      </c>
      <c r="I20" s="69">
        <f>I11+I19</f>
        <v/>
      </c>
      <c r="J20" s="69">
        <f>J11+J19</f>
        <v/>
      </c>
      <c r="K20" s="69">
        <f>K11+K19</f>
        <v/>
      </c>
      <c r="L20" s="69">
        <f>L11+L19</f>
        <v/>
      </c>
      <c r="M20" s="69">
        <f>M11+M19</f>
        <v/>
      </c>
      <c r="N20" s="69">
        <f>N11+N19</f>
        <v/>
      </c>
      <c r="O20" s="69">
        <f>O11+O19</f>
        <v/>
      </c>
      <c r="P20" s="69">
        <f>P11+P19</f>
        <v/>
      </c>
      <c r="Q20" s="69">
        <f>Q11+Q19</f>
        <v/>
      </c>
      <c r="R20" s="69">
        <f>R11+R19</f>
        <v/>
      </c>
      <c r="S20" s="69">
        <f>S11+S19</f>
        <v/>
      </c>
      <c r="T20" s="69">
        <f>T11+T19</f>
        <v/>
      </c>
      <c r="U20" s="69">
        <f>U11+U19</f>
        <v/>
      </c>
      <c r="V20" s="69">
        <f>V11+V19</f>
        <v/>
      </c>
      <c r="W20" s="69">
        <f>W11+W19</f>
        <v/>
      </c>
      <c r="X20" s="69">
        <f>X11+X19</f>
        <v/>
      </c>
      <c r="Y20" s="69">
        <f>Y11+Y19</f>
        <v/>
      </c>
      <c r="Z20" s="69">
        <f>Z11+Z19</f>
        <v/>
      </c>
      <c r="AA20" s="69">
        <f>AA11+AA19</f>
        <v/>
      </c>
      <c r="AB20" s="69">
        <f>AB11+AB19</f>
        <v/>
      </c>
      <c r="AC20" s="69">
        <f>AC11+AC19</f>
        <v/>
      </c>
      <c r="AD20" s="69">
        <f>AD11+AD19</f>
        <v/>
      </c>
      <c r="AE20" s="69">
        <f>AE11+AE19</f>
        <v/>
      </c>
      <c r="AF20" s="69">
        <f>AF11+AF19</f>
        <v/>
      </c>
      <c r="AG20" s="69">
        <f>AG11+AG19</f>
        <v/>
      </c>
      <c r="AH20" s="69">
        <f>AH11+AH19</f>
        <v/>
      </c>
      <c r="AI20" s="69">
        <f>AI11+AI19</f>
        <v/>
      </c>
      <c r="AJ20" s="69">
        <f>AJ11+AJ19</f>
        <v/>
      </c>
      <c r="AK20" s="69">
        <f>AK11+AK19</f>
        <v/>
      </c>
      <c r="AL20" s="69">
        <f>AL11+AL19</f>
        <v/>
      </c>
      <c r="AM20" s="69">
        <f>AM11+AM19</f>
        <v/>
      </c>
      <c r="AN20" s="69">
        <f>AN11+AN19</f>
        <v/>
      </c>
      <c r="AO20" s="69">
        <f>AO11+AO19</f>
        <v/>
      </c>
      <c r="AP20" s="69">
        <f>AP11+AP19</f>
        <v/>
      </c>
      <c r="AQ20" s="69">
        <f>AQ11+AQ19</f>
        <v/>
      </c>
      <c r="AR20" s="69">
        <f>AR11+AR19</f>
        <v/>
      </c>
      <c r="AS20" s="69">
        <f>AS11+AS19</f>
        <v/>
      </c>
      <c r="AT20" s="69">
        <f>AT11+AT19</f>
        <v/>
      </c>
      <c r="AU20" s="69">
        <f>AU11+AU19</f>
        <v/>
      </c>
      <c r="AV20" s="69">
        <f>AV11+AV19</f>
        <v/>
      </c>
      <c r="AW20" s="69">
        <f>AW11+AW19</f>
        <v/>
      </c>
      <c r="AX20" s="69">
        <f>AX11+AX19</f>
        <v/>
      </c>
      <c r="AY20" s="69">
        <f>AY11+AY19</f>
        <v/>
      </c>
      <c r="AZ20" s="69">
        <f>AZ11+AZ19</f>
        <v/>
      </c>
      <c r="BA20" s="69">
        <f>BA11+BA19</f>
        <v/>
      </c>
      <c r="BB20" s="69">
        <f>BB11+BB19</f>
        <v/>
      </c>
      <c r="BC20" s="69">
        <f>BC11+BC19</f>
        <v/>
      </c>
      <c r="BD20" s="69">
        <f>BD11+BD19</f>
        <v/>
      </c>
      <c r="BE20" s="69">
        <f>BE11+BE19</f>
        <v/>
      </c>
      <c r="BF20" s="69">
        <f>BF11+BF19</f>
        <v/>
      </c>
      <c r="BG20" s="69">
        <f>BG11+BG19</f>
        <v/>
      </c>
      <c r="BH20" s="69">
        <f>BH11+BH19</f>
        <v/>
      </c>
      <c r="BI20" s="69">
        <f>BI11+BI19</f>
        <v/>
      </c>
      <c r="BJ20" s="69">
        <f>BJ11+BJ19</f>
        <v/>
      </c>
      <c r="BK20" s="69">
        <f>BK11+BK19</f>
        <v/>
      </c>
      <c r="BL20" s="69">
        <f>BL11+BL19</f>
        <v/>
      </c>
      <c r="BM20" s="1" t="n"/>
      <c r="BN20" s="69">
        <f>P20</f>
        <v/>
      </c>
      <c r="BO20" s="69">
        <f>AB20</f>
        <v/>
      </c>
      <c r="BP20" s="69">
        <f>AN20</f>
        <v/>
      </c>
      <c r="BQ20" s="69">
        <f>AZ20</f>
        <v/>
      </c>
      <c r="BR20" s="69">
        <f>BL20</f>
        <v/>
      </c>
      <c r="BS20"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E16*Assumptions!$F$122*(1+Assumptions!$F$10)^(YEAR(E$3)-2026)</f>
        <v/>
      </c>
      <c r="F26" s="43">
        <f>F16*Assumptions!$F$122*(1+Assumptions!$F$10)^(YEAR(F$3)-2026)</f>
        <v/>
      </c>
      <c r="G26" s="43">
        <f>G16*Assumptions!$F$122*(1+Assumptions!$F$10)^(YEAR(G$3)-2026)</f>
        <v/>
      </c>
      <c r="H26" s="43">
        <f>H16*Assumptions!$F$122*(1+Assumptions!$F$10)^(YEAR(H$3)-2026)</f>
        <v/>
      </c>
      <c r="I26" s="43">
        <f>I16*Assumptions!$F$122*(1+Assumptions!$F$10)^(YEAR(I$3)-2026)</f>
        <v/>
      </c>
      <c r="J26" s="43">
        <f>J16*Assumptions!$F$122*(1+Assumptions!$F$10)^(YEAR(J$3)-2026)</f>
        <v/>
      </c>
      <c r="K26" s="43">
        <f>K16*Assumptions!$F$122*(1+Assumptions!$F$10)^(YEAR(K$3)-2026)</f>
        <v/>
      </c>
      <c r="L26" s="43">
        <f>L16*Assumptions!$F$122*(1+Assumptions!$F$10)^(YEAR(L$3)-2026)</f>
        <v/>
      </c>
      <c r="M26" s="43">
        <f>M16*Assumptions!$F$122*(1+Assumptions!$F$10)^(YEAR(M$3)-2026)</f>
        <v/>
      </c>
      <c r="N26" s="43">
        <f>N16*Assumptions!$F$122*(1+Assumptions!$F$10)^(YEAR(N$3)-2026)</f>
        <v/>
      </c>
      <c r="O26" s="43">
        <f>O16*Assumptions!$F$122*(1+Assumptions!$F$10)^(YEAR(O$3)-2026)</f>
        <v/>
      </c>
      <c r="P26" s="43">
        <f>P16*Assumptions!$F$122*(1+Assumptions!$F$10)^(YEAR(P$3)-2026)</f>
        <v/>
      </c>
      <c r="Q26" s="43">
        <f>Q16*Assumptions!$F$122*(1+Assumptions!$F$10)^(YEAR(Q$3)-2026)</f>
        <v/>
      </c>
      <c r="R26" s="43">
        <f>R16*Assumptions!$F$122*(1+Assumptions!$F$10)^(YEAR(R$3)-2026)</f>
        <v/>
      </c>
      <c r="S26" s="43">
        <f>S16*Assumptions!$F$122*(1+Assumptions!$F$10)^(YEAR(S$3)-2026)</f>
        <v/>
      </c>
      <c r="T26" s="43">
        <f>T16*Assumptions!$F$122*(1+Assumptions!$F$10)^(YEAR(T$3)-2026)</f>
        <v/>
      </c>
      <c r="U26" s="43">
        <f>U16*Assumptions!$F$122*(1+Assumptions!$F$10)^(YEAR(U$3)-2026)</f>
        <v/>
      </c>
      <c r="V26" s="43">
        <f>V16*Assumptions!$F$122*(1+Assumptions!$F$10)^(YEAR(V$3)-2026)</f>
        <v/>
      </c>
      <c r="W26" s="43">
        <f>W16*Assumptions!$F$122*(1+Assumptions!$F$10)^(YEAR(W$3)-2026)</f>
        <v/>
      </c>
      <c r="X26" s="43">
        <f>X16*Assumptions!$F$122*(1+Assumptions!$F$10)^(YEAR(X$3)-2026)</f>
        <v/>
      </c>
      <c r="Y26" s="43">
        <f>Y16*Assumptions!$F$122*(1+Assumptions!$F$10)^(YEAR(Y$3)-2026)</f>
        <v/>
      </c>
      <c r="Z26" s="43">
        <f>Z16*Assumptions!$F$122*(1+Assumptions!$F$10)^(YEAR(Z$3)-2026)</f>
        <v/>
      </c>
      <c r="AA26" s="43">
        <f>AA16*Assumptions!$F$122*(1+Assumptions!$F$10)^(YEAR(AA$3)-2026)</f>
        <v/>
      </c>
      <c r="AB26" s="43">
        <f>AB16*Assumptions!$F$122*(1+Assumptions!$F$10)^(YEAR(AB$3)-2026)</f>
        <v/>
      </c>
      <c r="AC26" s="43">
        <f>AC16*Assumptions!$F$122*(1+Assumptions!$F$10)^(YEAR(AC$3)-2026)</f>
        <v/>
      </c>
      <c r="AD26" s="43">
        <f>AD16*Assumptions!$F$122*(1+Assumptions!$F$10)^(YEAR(AD$3)-2026)</f>
        <v/>
      </c>
      <c r="AE26" s="43">
        <f>AE16*Assumptions!$F$122*(1+Assumptions!$F$10)^(YEAR(AE$3)-2026)</f>
        <v/>
      </c>
      <c r="AF26" s="43">
        <f>AF16*Assumptions!$F$122*(1+Assumptions!$F$10)^(YEAR(AF$3)-2026)</f>
        <v/>
      </c>
      <c r="AG26" s="43">
        <f>AG16*Assumptions!$F$122*(1+Assumptions!$F$10)^(YEAR(AG$3)-2026)</f>
        <v/>
      </c>
      <c r="AH26" s="43">
        <f>AH16*Assumptions!$F$122*(1+Assumptions!$F$10)^(YEAR(AH$3)-2026)</f>
        <v/>
      </c>
      <c r="AI26" s="43">
        <f>AI16*Assumptions!$F$122*(1+Assumptions!$F$10)^(YEAR(AI$3)-2026)</f>
        <v/>
      </c>
      <c r="AJ26" s="43">
        <f>AJ16*Assumptions!$F$122*(1+Assumptions!$F$10)^(YEAR(AJ$3)-2026)</f>
        <v/>
      </c>
      <c r="AK26" s="43">
        <f>AK16*Assumptions!$F$122*(1+Assumptions!$F$10)^(YEAR(AK$3)-2026)</f>
        <v/>
      </c>
      <c r="AL26" s="43">
        <f>AL16*Assumptions!$F$122*(1+Assumptions!$F$10)^(YEAR(AL$3)-2026)</f>
        <v/>
      </c>
      <c r="AM26" s="43">
        <f>AM16*Assumptions!$F$122*(1+Assumptions!$F$10)^(YEAR(AM$3)-2026)</f>
        <v/>
      </c>
      <c r="AN26" s="43">
        <f>AN16*Assumptions!$F$122*(1+Assumptions!$F$10)^(YEAR(AN$3)-2026)</f>
        <v/>
      </c>
      <c r="AO26" s="43">
        <f>AO16*Assumptions!$F$122*(1+Assumptions!$F$10)^(YEAR(AO$3)-2026)</f>
        <v/>
      </c>
      <c r="AP26" s="43">
        <f>AP16*Assumptions!$F$122*(1+Assumptions!$F$10)^(YEAR(AP$3)-2026)</f>
        <v/>
      </c>
      <c r="AQ26" s="43">
        <f>AQ16*Assumptions!$F$122*(1+Assumptions!$F$10)^(YEAR(AQ$3)-2026)</f>
        <v/>
      </c>
      <c r="AR26" s="43">
        <f>AR16*Assumptions!$F$122*(1+Assumptions!$F$10)^(YEAR(AR$3)-2026)</f>
        <v/>
      </c>
      <c r="AS26" s="43">
        <f>AS16*Assumptions!$F$122*(1+Assumptions!$F$10)^(YEAR(AS$3)-2026)</f>
        <v/>
      </c>
      <c r="AT26" s="43">
        <f>AT16*Assumptions!$F$122*(1+Assumptions!$F$10)^(YEAR(AT$3)-2026)</f>
        <v/>
      </c>
      <c r="AU26" s="43">
        <f>AU16*Assumptions!$F$122*(1+Assumptions!$F$10)^(YEAR(AU$3)-2026)</f>
        <v/>
      </c>
      <c r="AV26" s="43">
        <f>AV16*Assumptions!$F$122*(1+Assumptions!$F$10)^(YEAR(AV$3)-2026)</f>
        <v/>
      </c>
      <c r="AW26" s="43">
        <f>AW16*Assumptions!$F$122*(1+Assumptions!$F$10)^(YEAR(AW$3)-2026)</f>
        <v/>
      </c>
      <c r="AX26" s="43">
        <f>AX16*Assumptions!$F$122*(1+Assumptions!$F$10)^(YEAR(AX$3)-2026)</f>
        <v/>
      </c>
      <c r="AY26" s="43">
        <f>AY16*Assumptions!$F$122*(1+Assumptions!$F$10)^(YEAR(AY$3)-2026)</f>
        <v/>
      </c>
      <c r="AZ26" s="43">
        <f>AZ16*Assumptions!$F$122*(1+Assumptions!$F$10)^(YEAR(AZ$3)-2026)</f>
        <v/>
      </c>
      <c r="BA26" s="43">
        <f>BA16*Assumptions!$F$122*(1+Assumptions!$F$10)^(YEAR(BA$3)-2026)</f>
        <v/>
      </c>
      <c r="BB26" s="43">
        <f>BB16*Assumptions!$F$122*(1+Assumptions!$F$10)^(YEAR(BB$3)-2026)</f>
        <v/>
      </c>
      <c r="BC26" s="43">
        <f>BC16*Assumptions!$F$122*(1+Assumptions!$F$10)^(YEAR(BC$3)-2026)</f>
        <v/>
      </c>
      <c r="BD26" s="43">
        <f>BD16*Assumptions!$F$122*(1+Assumptions!$F$10)^(YEAR(BD$3)-2026)</f>
        <v/>
      </c>
      <c r="BE26" s="43">
        <f>BE16*Assumptions!$F$122*(1+Assumptions!$F$10)^(YEAR(BE$3)-2026)</f>
        <v/>
      </c>
      <c r="BF26" s="43">
        <f>BF16*Assumptions!$F$122*(1+Assumptions!$F$10)^(YEAR(BF$3)-2026)</f>
        <v/>
      </c>
      <c r="BG26" s="43">
        <f>BG16*Assumptions!$F$122*(1+Assumptions!$F$10)^(YEAR(BG$3)-2026)</f>
        <v/>
      </c>
      <c r="BH26" s="43">
        <f>BH16*Assumptions!$F$122*(1+Assumptions!$F$10)^(YEAR(BH$3)-2026)</f>
        <v/>
      </c>
      <c r="BI26" s="43">
        <f>BI16*Assumptions!$F$122*(1+Assumptions!$F$10)^(YEAR(BI$3)-2026)</f>
        <v/>
      </c>
      <c r="BJ26" s="43">
        <f>BJ16*Assumptions!$F$122*(1+Assumptions!$F$10)^(YEAR(BJ$3)-2026)</f>
        <v/>
      </c>
      <c r="BK26" s="43">
        <f>BK16*Assumptions!$F$122*(1+Assumptions!$F$10)^(YEAR(BK$3)-2026)</f>
        <v/>
      </c>
      <c r="BL26" s="43">
        <f>BL16*Assumptions!$F$122*(1+Assumptions!$F$10)^(YEAR(BL$3)-2026)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(E6*Assumptions!$F$116+E7*Assumptions!$F$117+(E8+E9+E10)*Assumptions!$F$118)*(1+Assumptions!$F$10)^(YEAR(E$3)-2026)</f>
        <v/>
      </c>
      <c r="F27" s="43">
        <f>(F6*Assumptions!$F$116+F7*Assumptions!$F$117+(F8+F9+F10)*Assumptions!$F$118)*(1+Assumptions!$F$10)^(YEAR(F$3)-2026)</f>
        <v/>
      </c>
      <c r="G27" s="43">
        <f>(G6*Assumptions!$F$116+G7*Assumptions!$F$117+(G8+G9+G10)*Assumptions!$F$118)*(1+Assumptions!$F$10)^(YEAR(G$3)-2026)</f>
        <v/>
      </c>
      <c r="H27" s="43">
        <f>(H6*Assumptions!$F$116+H7*Assumptions!$F$117+(H8+H9+H10)*Assumptions!$F$118)*(1+Assumptions!$F$10)^(YEAR(H$3)-2026)</f>
        <v/>
      </c>
      <c r="I27" s="43">
        <f>(I6*Assumptions!$F$116+I7*Assumptions!$F$117+(I8+I9+I10)*Assumptions!$F$118)*(1+Assumptions!$F$10)^(YEAR(I$3)-2026)</f>
        <v/>
      </c>
      <c r="J27" s="43">
        <f>(J6*Assumptions!$F$116+J7*Assumptions!$F$117+(J8+J9+J10)*Assumptions!$F$118)*(1+Assumptions!$F$10)^(YEAR(J$3)-2026)</f>
        <v/>
      </c>
      <c r="K27" s="43">
        <f>(K6*Assumptions!$F$116+K7*Assumptions!$F$117+(K8+K9+K10)*Assumptions!$F$118)*(1+Assumptions!$F$10)^(YEAR(K$3)-2026)</f>
        <v/>
      </c>
      <c r="L27" s="43">
        <f>(L6*Assumptions!$F$116+L7*Assumptions!$F$117+(L8+L9+L10)*Assumptions!$F$118)*(1+Assumptions!$F$10)^(YEAR(L$3)-2026)</f>
        <v/>
      </c>
      <c r="M27" s="43">
        <f>(M6*Assumptions!$F$116+M7*Assumptions!$F$117+(M8+M9+M10)*Assumptions!$F$118)*(1+Assumptions!$F$10)^(YEAR(M$3)-2026)</f>
        <v/>
      </c>
      <c r="N27" s="43">
        <f>(N6*Assumptions!$F$116+N7*Assumptions!$F$117+(N8+N9+N10)*Assumptions!$F$118)*(1+Assumptions!$F$10)^(YEAR(N$3)-2026)</f>
        <v/>
      </c>
      <c r="O27" s="43">
        <f>(O6*Assumptions!$F$116+O7*Assumptions!$F$117+(O8+O9+O10)*Assumptions!$F$118)*(1+Assumptions!$F$10)^(YEAR(O$3)-2026)</f>
        <v/>
      </c>
      <c r="P27" s="43">
        <f>(P6*Assumptions!$F$116+P7*Assumptions!$F$117+(P8+P9+P10)*Assumptions!$F$118)*(1+Assumptions!$F$10)^(YEAR(P$3)-2026)</f>
        <v/>
      </c>
      <c r="Q27" s="43">
        <f>(Q6*Assumptions!$F$116+Q7*Assumptions!$F$117+(Q8+Q9+Q10)*Assumptions!$F$118)*(1+Assumptions!$F$10)^(YEAR(Q$3)-2026)</f>
        <v/>
      </c>
      <c r="R27" s="43">
        <f>(R6*Assumptions!$F$116+R7*Assumptions!$F$117+(R8+R9+R10)*Assumptions!$F$118)*(1+Assumptions!$F$10)^(YEAR(R$3)-2026)</f>
        <v/>
      </c>
      <c r="S27" s="43">
        <f>(S6*Assumptions!$F$116+S7*Assumptions!$F$117+(S8+S9+S10)*Assumptions!$F$118)*(1+Assumptions!$F$10)^(YEAR(S$3)-2026)</f>
        <v/>
      </c>
      <c r="T27" s="43">
        <f>(T6*Assumptions!$F$116+T7*Assumptions!$F$117+(T8+T9+T10)*Assumptions!$F$118)*(1+Assumptions!$F$10)^(YEAR(T$3)-2026)</f>
        <v/>
      </c>
      <c r="U27" s="43">
        <f>(U6*Assumptions!$F$116+U7*Assumptions!$F$117+(U8+U9+U10)*Assumptions!$F$118)*(1+Assumptions!$F$10)^(YEAR(U$3)-2026)</f>
        <v/>
      </c>
      <c r="V27" s="43">
        <f>(V6*Assumptions!$F$116+V7*Assumptions!$F$117+(V8+V9+V10)*Assumptions!$F$118)*(1+Assumptions!$F$10)^(YEAR(V$3)-2026)</f>
        <v/>
      </c>
      <c r="W27" s="43">
        <f>(W6*Assumptions!$F$116+W7*Assumptions!$F$117+(W8+W9+W10)*Assumptions!$F$118)*(1+Assumptions!$F$10)^(YEAR(W$3)-2026)</f>
        <v/>
      </c>
      <c r="X27" s="43">
        <f>(X6*Assumptions!$F$116+X7*Assumptions!$F$117+(X8+X9+X10)*Assumptions!$F$118)*(1+Assumptions!$F$10)^(YEAR(X$3)-2026)</f>
        <v/>
      </c>
      <c r="Y27" s="43">
        <f>(Y6*Assumptions!$F$116+Y7*Assumptions!$F$117+(Y8+Y9+Y10)*Assumptions!$F$118)*(1+Assumptions!$F$10)^(YEAR(Y$3)-2026)</f>
        <v/>
      </c>
      <c r="Z27" s="43">
        <f>(Z6*Assumptions!$F$116+Z7*Assumptions!$F$117+(Z8+Z9+Z10)*Assumptions!$F$118)*(1+Assumptions!$F$10)^(YEAR(Z$3)-2026)</f>
        <v/>
      </c>
      <c r="AA27" s="43">
        <f>(AA6*Assumptions!$F$116+AA7*Assumptions!$F$117+(AA8+AA9+AA10)*Assumptions!$F$118)*(1+Assumptions!$F$10)^(YEAR(AA$3)-2026)</f>
        <v/>
      </c>
      <c r="AB27" s="43">
        <f>(AB6*Assumptions!$F$116+AB7*Assumptions!$F$117+(AB8+AB9+AB10)*Assumptions!$F$118)*(1+Assumptions!$F$10)^(YEAR(AB$3)-2026)</f>
        <v/>
      </c>
      <c r="AC27" s="43">
        <f>(AC6*Assumptions!$F$116+AC7*Assumptions!$F$117+(AC8+AC9+AC10)*Assumptions!$F$118)*(1+Assumptions!$F$10)^(YEAR(AC$3)-2026)</f>
        <v/>
      </c>
      <c r="AD27" s="43">
        <f>(AD6*Assumptions!$F$116+AD7*Assumptions!$F$117+(AD8+AD9+AD10)*Assumptions!$F$118)*(1+Assumptions!$F$10)^(YEAR(AD$3)-2026)</f>
        <v/>
      </c>
      <c r="AE27" s="43">
        <f>(AE6*Assumptions!$F$116+AE7*Assumptions!$F$117+(AE8+AE9+AE10)*Assumptions!$F$118)*(1+Assumptions!$F$10)^(YEAR(AE$3)-2026)</f>
        <v/>
      </c>
      <c r="AF27" s="43">
        <f>(AF6*Assumptions!$F$116+AF7*Assumptions!$F$117+(AF8+AF9+AF10)*Assumptions!$F$118)*(1+Assumptions!$F$10)^(YEAR(AF$3)-2026)</f>
        <v/>
      </c>
      <c r="AG27" s="43">
        <f>(AG6*Assumptions!$F$116+AG7*Assumptions!$F$117+(AG8+AG9+AG10)*Assumptions!$F$118)*(1+Assumptions!$F$10)^(YEAR(AG$3)-2026)</f>
        <v/>
      </c>
      <c r="AH27" s="43">
        <f>(AH6*Assumptions!$F$116+AH7*Assumptions!$F$117+(AH8+AH9+AH10)*Assumptions!$F$118)*(1+Assumptions!$F$10)^(YEAR(AH$3)-2026)</f>
        <v/>
      </c>
      <c r="AI27" s="43">
        <f>(AI6*Assumptions!$F$116+AI7*Assumptions!$F$117+(AI8+AI9+AI10)*Assumptions!$F$118)*(1+Assumptions!$F$10)^(YEAR(AI$3)-2026)</f>
        <v/>
      </c>
      <c r="AJ27" s="43">
        <f>(AJ6*Assumptions!$F$116+AJ7*Assumptions!$F$117+(AJ8+AJ9+AJ10)*Assumptions!$F$118)*(1+Assumptions!$F$10)^(YEAR(AJ$3)-2026)</f>
        <v/>
      </c>
      <c r="AK27" s="43">
        <f>(AK6*Assumptions!$F$116+AK7*Assumptions!$F$117+(AK8+AK9+AK10)*Assumptions!$F$118)*(1+Assumptions!$F$10)^(YEAR(AK$3)-2026)</f>
        <v/>
      </c>
      <c r="AL27" s="43">
        <f>(AL6*Assumptions!$F$116+AL7*Assumptions!$F$117+(AL8+AL9+AL10)*Assumptions!$F$118)*(1+Assumptions!$F$10)^(YEAR(AL$3)-2026)</f>
        <v/>
      </c>
      <c r="AM27" s="43">
        <f>(AM6*Assumptions!$F$116+AM7*Assumptions!$F$117+(AM8+AM9+AM10)*Assumptions!$F$118)*(1+Assumptions!$F$10)^(YEAR(AM$3)-2026)</f>
        <v/>
      </c>
      <c r="AN27" s="43">
        <f>(AN6*Assumptions!$F$116+AN7*Assumptions!$F$117+(AN8+AN9+AN10)*Assumptions!$F$118)*(1+Assumptions!$F$10)^(YEAR(AN$3)-2026)</f>
        <v/>
      </c>
      <c r="AO27" s="43">
        <f>(AO6*Assumptions!$F$116+AO7*Assumptions!$F$117+(AO8+AO9+AO10)*Assumptions!$F$118)*(1+Assumptions!$F$10)^(YEAR(AO$3)-2026)</f>
        <v/>
      </c>
      <c r="AP27" s="43">
        <f>(AP6*Assumptions!$F$116+AP7*Assumptions!$F$117+(AP8+AP9+AP10)*Assumptions!$F$118)*(1+Assumptions!$F$10)^(YEAR(AP$3)-2026)</f>
        <v/>
      </c>
      <c r="AQ27" s="43">
        <f>(AQ6*Assumptions!$F$116+AQ7*Assumptions!$F$117+(AQ8+AQ9+AQ10)*Assumptions!$F$118)*(1+Assumptions!$F$10)^(YEAR(AQ$3)-2026)</f>
        <v/>
      </c>
      <c r="AR27" s="43">
        <f>(AR6*Assumptions!$F$116+AR7*Assumptions!$F$117+(AR8+AR9+AR10)*Assumptions!$F$118)*(1+Assumptions!$F$10)^(YEAR(AR$3)-2026)</f>
        <v/>
      </c>
      <c r="AS27" s="43">
        <f>(AS6*Assumptions!$F$116+AS7*Assumptions!$F$117+(AS8+AS9+AS10)*Assumptions!$F$118)*(1+Assumptions!$F$10)^(YEAR(AS$3)-2026)</f>
        <v/>
      </c>
      <c r="AT27" s="43">
        <f>(AT6*Assumptions!$F$116+AT7*Assumptions!$F$117+(AT8+AT9+AT10)*Assumptions!$F$118)*(1+Assumptions!$F$10)^(YEAR(AT$3)-2026)</f>
        <v/>
      </c>
      <c r="AU27" s="43">
        <f>(AU6*Assumptions!$F$116+AU7*Assumptions!$F$117+(AU8+AU9+AU10)*Assumptions!$F$118)*(1+Assumptions!$F$10)^(YEAR(AU$3)-2026)</f>
        <v/>
      </c>
      <c r="AV27" s="43">
        <f>(AV6*Assumptions!$F$116+AV7*Assumptions!$F$117+(AV8+AV9+AV10)*Assumptions!$F$118)*(1+Assumptions!$F$10)^(YEAR(AV$3)-2026)</f>
        <v/>
      </c>
      <c r="AW27" s="43">
        <f>(AW6*Assumptions!$F$116+AW7*Assumptions!$F$117+(AW8+AW9+AW10)*Assumptions!$F$118)*(1+Assumptions!$F$10)^(YEAR(AW$3)-2026)</f>
        <v/>
      </c>
      <c r="AX27" s="43">
        <f>(AX6*Assumptions!$F$116+AX7*Assumptions!$F$117+(AX8+AX9+AX10)*Assumptions!$F$118)*(1+Assumptions!$F$10)^(YEAR(AX$3)-2026)</f>
        <v/>
      </c>
      <c r="AY27" s="43">
        <f>(AY6*Assumptions!$F$116+AY7*Assumptions!$F$117+(AY8+AY9+AY10)*Assumptions!$F$118)*(1+Assumptions!$F$10)^(YEAR(AY$3)-2026)</f>
        <v/>
      </c>
      <c r="AZ27" s="43">
        <f>(AZ6*Assumptions!$F$116+AZ7*Assumptions!$F$117+(AZ8+AZ9+AZ10)*Assumptions!$F$118)*(1+Assumptions!$F$10)^(YEAR(AZ$3)-2026)</f>
        <v/>
      </c>
      <c r="BA27" s="43">
        <f>(BA6*Assumptions!$F$116+BA7*Assumptions!$F$117+(BA8+BA9+BA10)*Assumptions!$F$118)*(1+Assumptions!$F$10)^(YEAR(BA$3)-2026)</f>
        <v/>
      </c>
      <c r="BB27" s="43">
        <f>(BB6*Assumptions!$F$116+BB7*Assumptions!$F$117+(BB8+BB9+BB10)*Assumptions!$F$118)*(1+Assumptions!$F$10)^(YEAR(BB$3)-2026)</f>
        <v/>
      </c>
      <c r="BC27" s="43">
        <f>(BC6*Assumptions!$F$116+BC7*Assumptions!$F$117+(BC8+BC9+BC10)*Assumptions!$F$118)*(1+Assumptions!$F$10)^(YEAR(BC$3)-2026)</f>
        <v/>
      </c>
      <c r="BD27" s="43">
        <f>(BD6*Assumptions!$F$116+BD7*Assumptions!$F$117+(BD8+BD9+BD10)*Assumptions!$F$118)*(1+Assumptions!$F$10)^(YEAR(BD$3)-2026)</f>
        <v/>
      </c>
      <c r="BE27" s="43">
        <f>(BE6*Assumptions!$F$116+BE7*Assumptions!$F$117+(BE8+BE9+BE10)*Assumptions!$F$118)*(1+Assumptions!$F$10)^(YEAR(BE$3)-2026)</f>
        <v/>
      </c>
      <c r="BF27" s="43">
        <f>(BF6*Assumptions!$F$116+BF7*Assumptions!$F$117+(BF8+BF9+BF10)*Assumptions!$F$118)*(1+Assumptions!$F$10)^(YEAR(BF$3)-2026)</f>
        <v/>
      </c>
      <c r="BG27" s="43">
        <f>(BG6*Assumptions!$F$116+BG7*Assumptions!$F$117+(BG8+BG9+BG10)*Assumptions!$F$118)*(1+Assumptions!$F$10)^(YEAR(BG$3)-2026)</f>
        <v/>
      </c>
      <c r="BH27" s="43">
        <f>(BH6*Assumptions!$F$116+BH7*Assumptions!$F$117+(BH8+BH9+BH10)*Assumptions!$F$118)*(1+Assumptions!$F$10)^(YEAR(BH$3)-2026)</f>
        <v/>
      </c>
      <c r="BI27" s="43">
        <f>(BI6*Assumptions!$F$116+BI7*Assumptions!$F$117+(BI8+BI9+BI10)*Assumptions!$F$118)*(1+Assumptions!$F$10)^(YEAR(BI$3)-2026)</f>
        <v/>
      </c>
      <c r="BJ27" s="43">
        <f>(BJ6*Assumptions!$F$116+BJ7*Assumptions!$F$117+(BJ8+BJ9+BJ10)*Assumptions!$F$118)*(1+Assumptions!$F$10)^(YEAR(BJ$3)-2026)</f>
        <v/>
      </c>
      <c r="BK27" s="43">
        <f>(BK6*Assumptions!$F$116+BK7*Assumptions!$F$117+(BK8+BK9+BK10)*Assumptions!$F$118)*(1+Assumptions!$F$10)^(YEAR(BK$3)-2026)</f>
        <v/>
      </c>
      <c r="BL27" s="43">
        <f>(BL6*Assumptions!$F$116+BL7*Assumptions!$F$117+(BL8+BL9+BL10)*Assumptions!$F$118)*(1+Assumptions!$F$10)^(YEAR(BL$3)-2026)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((E12+E13)*Assumptions!$F$119+(E14+E15)*Assumptions!$F$120+E17*Assumptions!$F$121+E18*Assumptions!$F$123)*(1+Assumptions!$F$10)^(YEAR(E$3)-2026)</f>
        <v/>
      </c>
      <c r="F28" s="43">
        <f>((F12+F13)*Assumptions!$F$119+(F14+F15)*Assumptions!$F$120+F17*Assumptions!$F$121+F18*Assumptions!$F$123)*(1+Assumptions!$F$10)^(YEAR(F$3)-2026)</f>
        <v/>
      </c>
      <c r="G28" s="43">
        <f>((G12+G13)*Assumptions!$F$119+(G14+G15)*Assumptions!$F$120+G17*Assumptions!$F$121+G18*Assumptions!$F$123)*(1+Assumptions!$F$10)^(YEAR(G$3)-2026)</f>
        <v/>
      </c>
      <c r="H28" s="43">
        <f>((H12+H13)*Assumptions!$F$119+(H14+H15)*Assumptions!$F$120+H17*Assumptions!$F$121+H18*Assumptions!$F$123)*(1+Assumptions!$F$10)^(YEAR(H$3)-2026)</f>
        <v/>
      </c>
      <c r="I28" s="43">
        <f>((I12+I13)*Assumptions!$F$119+(I14+I15)*Assumptions!$F$120+I17*Assumptions!$F$121+I18*Assumptions!$F$123)*(1+Assumptions!$F$10)^(YEAR(I$3)-2026)</f>
        <v/>
      </c>
      <c r="J28" s="43">
        <f>((J12+J13)*Assumptions!$F$119+(J14+J15)*Assumptions!$F$120+J17*Assumptions!$F$121+J18*Assumptions!$F$123)*(1+Assumptions!$F$10)^(YEAR(J$3)-2026)</f>
        <v/>
      </c>
      <c r="K28" s="43">
        <f>((K12+K13)*Assumptions!$F$119+(K14+K15)*Assumptions!$F$120+K17*Assumptions!$F$121+K18*Assumptions!$F$123)*(1+Assumptions!$F$10)^(YEAR(K$3)-2026)</f>
        <v/>
      </c>
      <c r="L28" s="43">
        <f>((L12+L13)*Assumptions!$F$119+(L14+L15)*Assumptions!$F$120+L17*Assumptions!$F$121+L18*Assumptions!$F$123)*(1+Assumptions!$F$10)^(YEAR(L$3)-2026)</f>
        <v/>
      </c>
      <c r="M28" s="43">
        <f>((M12+M13)*Assumptions!$F$119+(M14+M15)*Assumptions!$F$120+M17*Assumptions!$F$121+M18*Assumptions!$F$123)*(1+Assumptions!$F$10)^(YEAR(M$3)-2026)</f>
        <v/>
      </c>
      <c r="N28" s="43">
        <f>((N12+N13)*Assumptions!$F$119+(N14+N15)*Assumptions!$F$120+N17*Assumptions!$F$121+N18*Assumptions!$F$123)*(1+Assumptions!$F$10)^(YEAR(N$3)-2026)</f>
        <v/>
      </c>
      <c r="O28" s="43">
        <f>((O12+O13)*Assumptions!$F$119+(O14+O15)*Assumptions!$F$120+O17*Assumptions!$F$121+O18*Assumptions!$F$123)*(1+Assumptions!$F$10)^(YEAR(O$3)-2026)</f>
        <v/>
      </c>
      <c r="P28" s="43">
        <f>((P12+P13)*Assumptions!$F$119+(P14+P15)*Assumptions!$F$120+P17*Assumptions!$F$121+P18*Assumptions!$F$123)*(1+Assumptions!$F$10)^(YEAR(P$3)-2026)</f>
        <v/>
      </c>
      <c r="Q28" s="43">
        <f>((Q12+Q13)*Assumptions!$F$119+(Q14+Q15)*Assumptions!$F$120+Q17*Assumptions!$F$121+Q18*Assumptions!$F$123)*(1+Assumptions!$F$10)^(YEAR(Q$3)-2026)</f>
        <v/>
      </c>
      <c r="R28" s="43">
        <f>((R12+R13)*Assumptions!$F$119+(R14+R15)*Assumptions!$F$120+R17*Assumptions!$F$121+R18*Assumptions!$F$123)*(1+Assumptions!$F$10)^(YEAR(R$3)-2026)</f>
        <v/>
      </c>
      <c r="S28" s="43">
        <f>((S12+S13)*Assumptions!$F$119+(S14+S15)*Assumptions!$F$120+S17*Assumptions!$F$121+S18*Assumptions!$F$123)*(1+Assumptions!$F$10)^(YEAR(S$3)-2026)</f>
        <v/>
      </c>
      <c r="T28" s="43">
        <f>((T12+T13)*Assumptions!$F$119+(T14+T15)*Assumptions!$F$120+T17*Assumptions!$F$121+T18*Assumptions!$F$123)*(1+Assumptions!$F$10)^(YEAR(T$3)-2026)</f>
        <v/>
      </c>
      <c r="U28" s="43">
        <f>((U12+U13)*Assumptions!$F$119+(U14+U15)*Assumptions!$F$120+U17*Assumptions!$F$121+U18*Assumptions!$F$123)*(1+Assumptions!$F$10)^(YEAR(U$3)-2026)</f>
        <v/>
      </c>
      <c r="V28" s="43">
        <f>((V12+V13)*Assumptions!$F$119+(V14+V15)*Assumptions!$F$120+V17*Assumptions!$F$121+V18*Assumptions!$F$123)*(1+Assumptions!$F$10)^(YEAR(V$3)-2026)</f>
        <v/>
      </c>
      <c r="W28" s="43">
        <f>((W12+W13)*Assumptions!$F$119+(W14+W15)*Assumptions!$F$120+W17*Assumptions!$F$121+W18*Assumptions!$F$123)*(1+Assumptions!$F$10)^(YEAR(W$3)-2026)</f>
        <v/>
      </c>
      <c r="X28" s="43">
        <f>((X12+X13)*Assumptions!$F$119+(X14+X15)*Assumptions!$F$120+X17*Assumptions!$F$121+X18*Assumptions!$F$123)*(1+Assumptions!$F$10)^(YEAR(X$3)-2026)</f>
        <v/>
      </c>
      <c r="Y28" s="43">
        <f>((Y12+Y13)*Assumptions!$F$119+(Y14+Y15)*Assumptions!$F$120+Y17*Assumptions!$F$121+Y18*Assumptions!$F$123)*(1+Assumptions!$F$10)^(YEAR(Y$3)-2026)</f>
        <v/>
      </c>
      <c r="Z28" s="43">
        <f>((Z12+Z13)*Assumptions!$F$119+(Z14+Z15)*Assumptions!$F$120+Z17*Assumptions!$F$121+Z18*Assumptions!$F$123)*(1+Assumptions!$F$10)^(YEAR(Z$3)-2026)</f>
        <v/>
      </c>
      <c r="AA28" s="43">
        <f>((AA12+AA13)*Assumptions!$F$119+(AA14+AA15)*Assumptions!$F$120+AA17*Assumptions!$F$121+AA18*Assumptions!$F$123)*(1+Assumptions!$F$10)^(YEAR(AA$3)-2026)</f>
        <v/>
      </c>
      <c r="AB28" s="43">
        <f>((AB12+AB13)*Assumptions!$F$119+(AB14+AB15)*Assumptions!$F$120+AB17*Assumptions!$F$121+AB18*Assumptions!$F$123)*(1+Assumptions!$F$10)^(YEAR(AB$3)-2026)</f>
        <v/>
      </c>
      <c r="AC28" s="43">
        <f>((AC12+AC13)*Assumptions!$F$119+(AC14+AC15)*Assumptions!$F$120+AC17*Assumptions!$F$121+AC18*Assumptions!$F$123)*(1+Assumptions!$F$10)^(YEAR(AC$3)-2026)</f>
        <v/>
      </c>
      <c r="AD28" s="43">
        <f>((AD12+AD13)*Assumptions!$F$119+(AD14+AD15)*Assumptions!$F$120+AD17*Assumptions!$F$121+AD18*Assumptions!$F$123)*(1+Assumptions!$F$10)^(YEAR(AD$3)-2026)</f>
        <v/>
      </c>
      <c r="AE28" s="43">
        <f>((AE12+AE13)*Assumptions!$F$119+(AE14+AE15)*Assumptions!$F$120+AE17*Assumptions!$F$121+AE18*Assumptions!$F$123)*(1+Assumptions!$F$10)^(YEAR(AE$3)-2026)</f>
        <v/>
      </c>
      <c r="AF28" s="43">
        <f>((AF12+AF13)*Assumptions!$F$119+(AF14+AF15)*Assumptions!$F$120+AF17*Assumptions!$F$121+AF18*Assumptions!$F$123)*(1+Assumptions!$F$10)^(YEAR(AF$3)-2026)</f>
        <v/>
      </c>
      <c r="AG28" s="43">
        <f>((AG12+AG13)*Assumptions!$F$119+(AG14+AG15)*Assumptions!$F$120+AG17*Assumptions!$F$121+AG18*Assumptions!$F$123)*(1+Assumptions!$F$10)^(YEAR(AG$3)-2026)</f>
        <v/>
      </c>
      <c r="AH28" s="43">
        <f>((AH12+AH13)*Assumptions!$F$119+(AH14+AH15)*Assumptions!$F$120+AH17*Assumptions!$F$121+AH18*Assumptions!$F$123)*(1+Assumptions!$F$10)^(YEAR(AH$3)-2026)</f>
        <v/>
      </c>
      <c r="AI28" s="43">
        <f>((AI12+AI13)*Assumptions!$F$119+(AI14+AI15)*Assumptions!$F$120+AI17*Assumptions!$F$121+AI18*Assumptions!$F$123)*(1+Assumptions!$F$10)^(YEAR(AI$3)-2026)</f>
        <v/>
      </c>
      <c r="AJ28" s="43">
        <f>((AJ12+AJ13)*Assumptions!$F$119+(AJ14+AJ15)*Assumptions!$F$120+AJ17*Assumptions!$F$121+AJ18*Assumptions!$F$123)*(1+Assumptions!$F$10)^(YEAR(AJ$3)-2026)</f>
        <v/>
      </c>
      <c r="AK28" s="43">
        <f>((AK12+AK13)*Assumptions!$F$119+(AK14+AK15)*Assumptions!$F$120+AK17*Assumptions!$F$121+AK18*Assumptions!$F$123)*(1+Assumptions!$F$10)^(YEAR(AK$3)-2026)</f>
        <v/>
      </c>
      <c r="AL28" s="43">
        <f>((AL12+AL13)*Assumptions!$F$119+(AL14+AL15)*Assumptions!$F$120+AL17*Assumptions!$F$121+AL18*Assumptions!$F$123)*(1+Assumptions!$F$10)^(YEAR(AL$3)-2026)</f>
        <v/>
      </c>
      <c r="AM28" s="43">
        <f>((AM12+AM13)*Assumptions!$F$119+(AM14+AM15)*Assumptions!$F$120+AM17*Assumptions!$F$121+AM18*Assumptions!$F$123)*(1+Assumptions!$F$10)^(YEAR(AM$3)-2026)</f>
        <v/>
      </c>
      <c r="AN28" s="43">
        <f>((AN12+AN13)*Assumptions!$F$119+(AN14+AN15)*Assumptions!$F$120+AN17*Assumptions!$F$121+AN18*Assumptions!$F$123)*(1+Assumptions!$F$10)^(YEAR(AN$3)-2026)</f>
        <v/>
      </c>
      <c r="AO28" s="43">
        <f>((AO12+AO13)*Assumptions!$F$119+(AO14+AO15)*Assumptions!$F$120+AO17*Assumptions!$F$121+AO18*Assumptions!$F$123)*(1+Assumptions!$F$10)^(YEAR(AO$3)-2026)</f>
        <v/>
      </c>
      <c r="AP28" s="43">
        <f>((AP12+AP13)*Assumptions!$F$119+(AP14+AP15)*Assumptions!$F$120+AP17*Assumptions!$F$121+AP18*Assumptions!$F$123)*(1+Assumptions!$F$10)^(YEAR(AP$3)-2026)</f>
        <v/>
      </c>
      <c r="AQ28" s="43">
        <f>((AQ12+AQ13)*Assumptions!$F$119+(AQ14+AQ15)*Assumptions!$F$120+AQ17*Assumptions!$F$121+AQ18*Assumptions!$F$123)*(1+Assumptions!$F$10)^(YEAR(AQ$3)-2026)</f>
        <v/>
      </c>
      <c r="AR28" s="43">
        <f>((AR12+AR13)*Assumptions!$F$119+(AR14+AR15)*Assumptions!$F$120+AR17*Assumptions!$F$121+AR18*Assumptions!$F$123)*(1+Assumptions!$F$10)^(YEAR(AR$3)-2026)</f>
        <v/>
      </c>
      <c r="AS28" s="43">
        <f>((AS12+AS13)*Assumptions!$F$119+(AS14+AS15)*Assumptions!$F$120+AS17*Assumptions!$F$121+AS18*Assumptions!$F$123)*(1+Assumptions!$F$10)^(YEAR(AS$3)-2026)</f>
        <v/>
      </c>
      <c r="AT28" s="43">
        <f>((AT12+AT13)*Assumptions!$F$119+(AT14+AT15)*Assumptions!$F$120+AT17*Assumptions!$F$121+AT18*Assumptions!$F$123)*(1+Assumptions!$F$10)^(YEAR(AT$3)-2026)</f>
        <v/>
      </c>
      <c r="AU28" s="43">
        <f>((AU12+AU13)*Assumptions!$F$119+(AU14+AU15)*Assumptions!$F$120+AU17*Assumptions!$F$121+AU18*Assumptions!$F$123)*(1+Assumptions!$F$10)^(YEAR(AU$3)-2026)</f>
        <v/>
      </c>
      <c r="AV28" s="43">
        <f>((AV12+AV13)*Assumptions!$F$119+(AV14+AV15)*Assumptions!$F$120+AV17*Assumptions!$F$121+AV18*Assumptions!$F$123)*(1+Assumptions!$F$10)^(YEAR(AV$3)-2026)</f>
        <v/>
      </c>
      <c r="AW28" s="43">
        <f>((AW12+AW13)*Assumptions!$F$119+(AW14+AW15)*Assumptions!$F$120+AW17*Assumptions!$F$121+AW18*Assumptions!$F$123)*(1+Assumptions!$F$10)^(YEAR(AW$3)-2026)</f>
        <v/>
      </c>
      <c r="AX28" s="43">
        <f>((AX12+AX13)*Assumptions!$F$119+(AX14+AX15)*Assumptions!$F$120+AX17*Assumptions!$F$121+AX18*Assumptions!$F$123)*(1+Assumptions!$F$10)^(YEAR(AX$3)-2026)</f>
        <v/>
      </c>
      <c r="AY28" s="43">
        <f>((AY12+AY13)*Assumptions!$F$119+(AY14+AY15)*Assumptions!$F$120+AY17*Assumptions!$F$121+AY18*Assumptions!$F$123)*(1+Assumptions!$F$10)^(YEAR(AY$3)-2026)</f>
        <v/>
      </c>
      <c r="AZ28" s="43">
        <f>((AZ12+AZ13)*Assumptions!$F$119+(AZ14+AZ15)*Assumptions!$F$120+AZ17*Assumptions!$F$121+AZ18*Assumptions!$F$123)*(1+Assumptions!$F$10)^(YEAR(AZ$3)-2026)</f>
        <v/>
      </c>
      <c r="BA28" s="43">
        <f>((BA12+BA13)*Assumptions!$F$119+(BA14+BA15)*Assumptions!$F$120+BA17*Assumptions!$F$121+BA18*Assumptions!$F$123)*(1+Assumptions!$F$10)^(YEAR(BA$3)-2026)</f>
        <v/>
      </c>
      <c r="BB28" s="43">
        <f>((BB12+BB13)*Assumptions!$F$119+(BB14+BB15)*Assumptions!$F$120+BB17*Assumptions!$F$121+BB18*Assumptions!$F$123)*(1+Assumptions!$F$10)^(YEAR(BB$3)-2026)</f>
        <v/>
      </c>
      <c r="BC28" s="43">
        <f>((BC12+BC13)*Assumptions!$F$119+(BC14+BC15)*Assumptions!$F$120+BC17*Assumptions!$F$121+BC18*Assumptions!$F$123)*(1+Assumptions!$F$10)^(YEAR(BC$3)-2026)</f>
        <v/>
      </c>
      <c r="BD28" s="43">
        <f>((BD12+BD13)*Assumptions!$F$119+(BD14+BD15)*Assumptions!$F$120+BD17*Assumptions!$F$121+BD18*Assumptions!$F$123)*(1+Assumptions!$F$10)^(YEAR(BD$3)-2026)</f>
        <v/>
      </c>
      <c r="BE28" s="43">
        <f>((BE12+BE13)*Assumptions!$F$119+(BE14+BE15)*Assumptions!$F$120+BE17*Assumptions!$F$121+BE18*Assumptions!$F$123)*(1+Assumptions!$F$10)^(YEAR(BE$3)-2026)</f>
        <v/>
      </c>
      <c r="BF28" s="43">
        <f>((BF12+BF13)*Assumptions!$F$119+(BF14+BF15)*Assumptions!$F$120+BF17*Assumptions!$F$121+BF18*Assumptions!$F$123)*(1+Assumptions!$F$10)^(YEAR(BF$3)-2026)</f>
        <v/>
      </c>
      <c r="BG28" s="43">
        <f>((BG12+BG13)*Assumptions!$F$119+(BG14+BG15)*Assumptions!$F$120+BG17*Assumptions!$F$121+BG18*Assumptions!$F$123)*(1+Assumptions!$F$10)^(YEAR(BG$3)-2026)</f>
        <v/>
      </c>
      <c r="BH28" s="43">
        <f>((BH12+BH13)*Assumptions!$F$119+(BH14+BH15)*Assumptions!$F$120+BH17*Assumptions!$F$121+BH18*Assumptions!$F$123)*(1+Assumptions!$F$10)^(YEAR(BH$3)-2026)</f>
        <v/>
      </c>
      <c r="BI28" s="43">
        <f>((BI12+BI13)*Assumptions!$F$119+(BI14+BI15)*Assumptions!$F$120+BI17*Assumptions!$F$121+BI18*Assumptions!$F$123)*(1+Assumptions!$F$10)^(YEAR(BI$3)-2026)</f>
        <v/>
      </c>
      <c r="BJ28" s="43">
        <f>((BJ12+BJ13)*Assumptions!$F$119+(BJ14+BJ15)*Assumptions!$F$120+BJ17*Assumptions!$F$121+BJ18*Assumptions!$F$123)*(1+Assumptions!$F$10)^(YEAR(BJ$3)-2026)</f>
        <v/>
      </c>
      <c r="BK28" s="43">
        <f>((BK12+BK13)*Assumptions!$F$119+(BK14+BK15)*Assumptions!$F$120+BK17*Assumptions!$F$121+BK18*Assumptions!$F$123)*(1+Assumptions!$F$10)^(YEAR(BK$3)-2026)</f>
        <v/>
      </c>
      <c r="BL28" s="43">
        <f>((BL12+BL13)*Assumptions!$F$119+(BL14+BL15)*Assumptions!$F$120+BL17*Assumptions!$F$121+BL18*Assumptions!$F$123)*(1+Assumptions!$F$10)^(YEAR(BL$3)-2026)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IFERROR(E29/E20,0)</f>
        <v/>
      </c>
      <c r="F31" s="65">
        <f>IFERROR(F29/F20,0)</f>
        <v/>
      </c>
      <c r="G31" s="65">
        <f>IFERROR(G29/G20,0)</f>
        <v/>
      </c>
      <c r="H31" s="65">
        <f>IFERROR(H29/H20,0)</f>
        <v/>
      </c>
      <c r="I31" s="65">
        <f>IFERROR(I29/I20,0)</f>
        <v/>
      </c>
      <c r="J31" s="65">
        <f>IFERROR(J29/J20,0)</f>
        <v/>
      </c>
      <c r="K31" s="65">
        <f>IFERROR(K29/K20,0)</f>
        <v/>
      </c>
      <c r="L31" s="65">
        <f>IFERROR(L29/L20,0)</f>
        <v/>
      </c>
      <c r="M31" s="65">
        <f>IFERROR(M29/M20,0)</f>
        <v/>
      </c>
      <c r="N31" s="65">
        <f>IFERROR(N29/N20,0)</f>
        <v/>
      </c>
      <c r="O31" s="65">
        <f>IFERROR(O29/O20,0)</f>
        <v/>
      </c>
      <c r="P31" s="65">
        <f>IFERROR(P29/P20,0)</f>
        <v/>
      </c>
      <c r="Q31" s="65">
        <f>IFERROR(Q29/Q20,0)</f>
        <v/>
      </c>
      <c r="R31" s="65">
        <f>IFERROR(R29/R20,0)</f>
        <v/>
      </c>
      <c r="S31" s="65">
        <f>IFERROR(S29/S20,0)</f>
        <v/>
      </c>
      <c r="T31" s="65">
        <f>IFERROR(T29/T20,0)</f>
        <v/>
      </c>
      <c r="U31" s="65">
        <f>IFERROR(U29/U20,0)</f>
        <v/>
      </c>
      <c r="V31" s="65">
        <f>IFERROR(V29/V20,0)</f>
        <v/>
      </c>
      <c r="W31" s="65">
        <f>IFERROR(W29/W20,0)</f>
        <v/>
      </c>
      <c r="X31" s="65">
        <f>IFERROR(X29/X20,0)</f>
        <v/>
      </c>
      <c r="Y31" s="65">
        <f>IFERROR(Y29/Y20,0)</f>
        <v/>
      </c>
      <c r="Z31" s="65">
        <f>IFERROR(Z29/Z20,0)</f>
        <v/>
      </c>
      <c r="AA31" s="65">
        <f>IFERROR(AA29/AA20,0)</f>
        <v/>
      </c>
      <c r="AB31" s="65">
        <f>IFERROR(AB29/AB20,0)</f>
        <v/>
      </c>
      <c r="AC31" s="65">
        <f>IFERROR(AC29/AC20,0)</f>
        <v/>
      </c>
      <c r="AD31" s="65">
        <f>IFERROR(AD29/AD20,0)</f>
        <v/>
      </c>
      <c r="AE31" s="65">
        <f>IFERROR(AE29/AE20,0)</f>
        <v/>
      </c>
      <c r="AF31" s="65">
        <f>IFERROR(AF29/AF20,0)</f>
        <v/>
      </c>
      <c r="AG31" s="65">
        <f>IFERROR(AG29/AG20,0)</f>
        <v/>
      </c>
      <c r="AH31" s="65">
        <f>IFERROR(AH29/AH20,0)</f>
        <v/>
      </c>
      <c r="AI31" s="65">
        <f>IFERROR(AI29/AI20,0)</f>
        <v/>
      </c>
      <c r="AJ31" s="65">
        <f>IFERROR(AJ29/AJ20,0)</f>
        <v/>
      </c>
      <c r="AK31" s="65">
        <f>IFERROR(AK29/AK20,0)</f>
        <v/>
      </c>
      <c r="AL31" s="65">
        <f>IFERROR(AL29/AL20,0)</f>
        <v/>
      </c>
      <c r="AM31" s="65">
        <f>IFERROR(AM29/AM20,0)</f>
        <v/>
      </c>
      <c r="AN31" s="65">
        <f>IFERROR(AN29/AN20,0)</f>
        <v/>
      </c>
      <c r="AO31" s="65">
        <f>IFERROR(AO29/AO20,0)</f>
        <v/>
      </c>
      <c r="AP31" s="65">
        <f>IFERROR(AP29/AP20,0)</f>
        <v/>
      </c>
      <c r="AQ31" s="65">
        <f>IFERROR(AQ29/AQ20,0)</f>
        <v/>
      </c>
      <c r="AR31" s="65">
        <f>IFERROR(AR29/AR20,0)</f>
        <v/>
      </c>
      <c r="AS31" s="65">
        <f>IFERROR(AS29/AS20,0)</f>
        <v/>
      </c>
      <c r="AT31" s="65">
        <f>IFERROR(AT29/AT20,0)</f>
        <v/>
      </c>
      <c r="AU31" s="65">
        <f>IFERROR(AU29/AU20,0)</f>
        <v/>
      </c>
      <c r="AV31" s="65">
        <f>IFERROR(AV29/AV20,0)</f>
        <v/>
      </c>
      <c r="AW31" s="65">
        <f>IFERROR(AW29/AW20,0)</f>
        <v/>
      </c>
      <c r="AX31" s="65">
        <f>IFERROR(AX29/AX20,0)</f>
        <v/>
      </c>
      <c r="AY31" s="65">
        <f>IFERROR(AY29/AY20,0)</f>
        <v/>
      </c>
      <c r="AZ31" s="65">
        <f>IFERROR(AZ29/AZ20,0)</f>
        <v/>
      </c>
      <c r="BA31" s="65">
        <f>IFERROR(BA29/BA20,0)</f>
        <v/>
      </c>
      <c r="BB31" s="65">
        <f>IFERROR(BB29/BB20,0)</f>
        <v/>
      </c>
      <c r="BC31" s="65">
        <f>IFERROR(BC29/BC20,0)</f>
        <v/>
      </c>
      <c r="BD31" s="65">
        <f>IFERROR(BD29/BD20,0)</f>
        <v/>
      </c>
      <c r="BE31" s="65">
        <f>IFERROR(BE29/BE20,0)</f>
        <v/>
      </c>
      <c r="BF31" s="65">
        <f>IFERROR(BF29/BF20,0)</f>
        <v/>
      </c>
      <c r="BG31" s="65">
        <f>IFERROR(BG29/BG20,0)</f>
        <v/>
      </c>
      <c r="BH31" s="65">
        <f>IFERROR(BH29/BH20,0)</f>
        <v/>
      </c>
      <c r="BI31" s="65">
        <f>IFERROR(BI29/BI20,0)</f>
        <v/>
      </c>
      <c r="BJ31" s="65">
        <f>IFERROR(BJ29/BJ20,0)</f>
        <v/>
      </c>
      <c r="BK31" s="65">
        <f>IFERROR(BK29/BK20,0)</f>
        <v/>
      </c>
      <c r="BL31" s="65">
        <f>IFERROR(BL29/BL20,0)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Personnel!BN18</f>
        <v/>
      </c>
      <c r="E23" s="54">
        <f>Personnel!BO18</f>
        <v/>
      </c>
      <c r="F23" s="54">
        <f>Personnel!BP18</f>
        <v/>
      </c>
      <c r="G23" s="54">
        <f>Personnel!BQ18</f>
        <v/>
      </c>
      <c r="H23" s="54">
        <f>Personnel!BR18</f>
        <v/>
      </c>
    </row>
    <row r="24">
      <c r="B24" s="17" t="inlineStr">
        <is>
          <t>Total headcount</t>
        </is>
      </c>
      <c r="D24" s="38">
        <f>Personnel!BN20</f>
        <v/>
      </c>
      <c r="E24" s="38">
        <f>Personnel!BO20</f>
        <v/>
      </c>
      <c r="F24" s="38">
        <f>Personnel!BP20</f>
        <v/>
      </c>
      <c r="G24" s="38">
        <f>Personnel!BQ20</f>
        <v/>
      </c>
      <c r="H24" s="38">
        <f>Personnel!BR20</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2026-09-04T15:17:07Z</dcterms:created>
  <dcterms:modified xsi:type="dcterms:W3CDTF">2026-09-04T15:17:07Z</dcterms:modified>
</cp:coreProperties>
</file>