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<sst xmlns="http://schemas.openxmlformats.org/spreadsheetml/2006/main" count="240" uniqueCount="140">
  <si>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</si>
  <si>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</si>
  <si>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</si>
  <si>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</si>
  <si>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</si>
  <si>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</si>
  <si>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</si>
  <si>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</si>
  <si>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</si>
  <si>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</si>
  <si>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</si>
  <si>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</si>
  <si>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</si>
  <si>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</si>
  <si>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</si>
  <si>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</si>
  <si>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</si>
  <si>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</si>
  <si>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</si>
  <si>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</si>
  <si>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</si>
  <si>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</si>
  <si>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</si>
  <si>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</si>
  <si>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 — Evolute (€)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</si>
  <si>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</si>
  <si>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</si>
  <si>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</si>
  <si>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</si>
  <si>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</si>
  <si>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</si>
  <si>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</si>
  <si>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</si>
  <si>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</si>
  <si>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</si>
  <si>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</si>
  <si>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</si>
  <si>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DEAL FLOW</t>
  </si>
  <si>
    <t>New deals started / yr</t>
  </si>
  <si>
    <t>#</t>
  </si>
  <si>
    <t>Growth Capital mix %</t>
  </si>
  <si>
    <t>SOURCING &amp; COMPENSATION</t>
  </si>
  <si>
    <t xml:space="preserve">is  </t>
  </si>
  <si>
    <t>Industry-partner — share of deals they source %</t>
  </si>
  <si>
    <t>Sales-hire source share %</t>
  </si>
  <si>
    <t>Industry-partner — cut of those deals' revenue %</t>
  </si>
  <si>
    <t>Success-fee bonus pool %</t>
  </si>
  <si>
    <t>PERSONNEL</t>
  </si>
  <si>
    <t>Rob salary / month</t>
  </si>
  <si>
    <t>Simon salary / month</t>
  </si>
  <si>
    <t>Analyst salary / month</t>
  </si>
  <si>
    <t>Associate salary / month</t>
  </si>
  <si>
    <t>Intern salary / month</t>
  </si>
  <si>
    <t>Sales hire cost / yr</t>
  </si>
  <si>
    <t>€/yr</t>
  </si>
  <si>
    <t>Holiday pay %</t>
  </si>
  <si>
    <t>Employer tax %</t>
  </si>
  <si>
    <t>Live projects per analyst</t>
  </si>
  <si>
    <t>Associate trigger 1 (live proj)</t>
  </si>
  <si>
    <t>Associate trigger 2 (live proj)</t>
  </si>
  <si>
    <t>Starting interns</t>
  </si>
  <si>
    <t>OPEX (monthly)</t>
  </si>
  <si>
    <t>Rent / FTE</t>
  </si>
  <si>
    <t>€/FTE</t>
  </si>
  <si>
    <t>Software / FTE</t>
  </si>
  <si>
    <t>Database (fixed)</t>
  </si>
  <si>
    <t>Hardware / FTE</t>
  </si>
  <si>
    <t>F&amp;B / FTE</t>
  </si>
  <si>
    <t>Marketing &amp; Sales (fixed)</t>
  </si>
  <si>
    <t>Travel (fixed)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</si>
  <si>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</si>
  <si>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</si>
  <si>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</si>
  <si>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</si>
  <si>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</si>
  <si>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</si>
  <si>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</si>
  <si>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</si>
  <si>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</si>
  <si>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</si>
  <si>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</si>
  <si>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TOTAL REVENUE</t>
  </si>
  <si>
    <t>Total retainer</t>
  </si>
  <si>
    <t>Total success fees</t>
  </si>
  <si>
    <t>Total revenue (gross)</t>
  </si>
  <si>
    <t>Less: industry-partner share</t>
  </si>
  <si>
    <t>Net revenue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</si>
  <si>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</si>
  <si>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</si>
  <si>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</si>
  <si>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</si>
  <si>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</si>
  <si>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</si>
  <si>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</si>
  <si>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Rob (Partner)</t>
  </si>
  <si>
    <t>Simon (Client Lead)</t>
  </si>
  <si>
    <t>Total FTE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</si>
  <si>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</si>
  <si>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</si>
  <si>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</si>
  <si>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</si>
  <si>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</si>
  <si>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</si>
  <si>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</si>
  <si>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</si>
  <si>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</si>
  <si>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</si>
  <si>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</si>
  <si>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</si>
  <si>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</si>
  <si>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</si>
  <si>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Travel</t>
  </si>
  <si>
    <t>SG&amp;A (F&amp;B)</t>
  </si>
  <si>
    <t>Other</t>
  </si>
  <si>
    <t>RX allocation</t>
  </si>
  <si>
    <t>Total other OPEX</t>
  </si>
  <si>
    <t>Financial Statements — Income Statement, Monthly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</si>
  <si>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</si>
  <si>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</si>
  <si>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</si>
  <si>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</si>
  <si>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</si>
  <si>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</si>
  <si>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</si>
  <si>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</si>
  <si>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</si>
  <si>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</si>
  <si>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</si>
  <si>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</si>
  <si>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</si>
  <si>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</si>
  <si>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</si>
  <si>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</si>
  <si>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</si>
  <si>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Dashboard — Annual Summary 2027–2030</t>
  </si>
  <si>
    <t>Revenue (gross)</t>
  </si>
  <si>
    <t>EBITDA</t>
  </si>
  <si>
    <t>EBITDA margin %</t>
  </si>
  <si>
    <t>New deals</t>
  </si>
  <si>
    <t>Live projects (avg)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</si>
</sst>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€#,##0;(€#,##0)"/>
    <numFmt numFmtId="165" formatCode="0.0%"/>
    <numFmt numFmtId="166" formatCode="mmm yy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rgb="FFFFFFFF"/>
      <name val="Arial"/>
    </font>
    <font>
      <b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0" fontId="4" numFmtId="1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2" fontId="5" numFmtId="0" xfId="0" applyAlignment="1" applyFont="1">
      <alignment readingOrder="0"/>
    </xf>
    <xf borderId="0" fillId="2" fontId="4" numFmtId="1" xfId="0" applyAlignment="1" applyFont="1" applyNumberFormat="1">
      <alignment horizontal="right" readingOrder="0"/>
    </xf>
    <xf borderId="0" fillId="2" fontId="5" numFmtId="0" xfId="0" applyFont="1"/>
    <xf borderId="0" fillId="0" fontId="1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2" fontId="3" numFmtId="165" xfId="0" applyAlignment="1" applyFont="1" applyNumberFormat="1">
      <alignment readingOrder="0"/>
    </xf>
    <xf borderId="0" fillId="2" fontId="3" numFmtId="165" xfId="0" applyFont="1" applyNumberFormat="1"/>
    <xf borderId="0" fillId="0" fontId="1" numFmtId="165" xfId="0" applyAlignment="1" applyFont="1" applyNumberFormat="1">
      <alignment horizontal="right" readingOrder="0"/>
    </xf>
    <xf borderId="0" fillId="0" fontId="6" numFmtId="165" xfId="0" applyAlignment="1" applyFont="1" applyNumberFormat="1">
      <alignment horizontal="right" readingOrder="0"/>
    </xf>
    <xf borderId="0" fillId="2" fontId="3" numFmtId="164" xfId="0" applyAlignment="1" applyFont="1" applyNumberFormat="1">
      <alignment readingOrder="0"/>
    </xf>
    <xf borderId="0" fillId="2" fontId="3" numFmtId="164" xfId="0" applyFont="1" applyNumberFormat="1"/>
    <xf borderId="0" fillId="2" fontId="5" numFmtId="3" xfId="0" applyAlignment="1" applyFont="1" applyNumberFormat="1">
      <alignment readingOrder="0"/>
    </xf>
    <xf borderId="0" fillId="2" fontId="5" numFmtId="3" xfId="0" applyFont="1" applyNumberFormat="1"/>
    <xf borderId="0" fillId="2" fontId="3" numFmtId="0" xfId="0" applyAlignment="1" applyFont="1">
      <alignment readingOrder="0"/>
    </xf>
    <xf borderId="0" fillId="0" fontId="4" numFmtId="166" xfId="0" applyAlignment="1" applyFont="1" applyNumberFormat="1">
      <alignment horizontal="right" readingOrder="0"/>
    </xf>
    <xf borderId="0" fillId="3" fontId="4" numFmtId="0" xfId="0" applyAlignment="1" applyFill="1" applyFont="1">
      <alignment readingOrder="0"/>
    </xf>
    <xf borderId="0" fillId="3" fontId="4" numFmtId="0" xfId="0" applyFont="1"/>
    <xf borderId="0" fillId="3" fontId="4" numFmtId="164" xfId="0" applyFont="1" applyNumberFormat="1"/>
    <xf borderId="0" fillId="3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4" t="s">
        <v>25</v>
      </c>
      <c r="C3" s="5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/>
      <c r="C4" s="6">
        <v>2027.0</v>
      </c>
      <c r="D4" s="6">
        <v>2028.0</v>
      </c>
      <c r="E4" s="6">
        <v>2029.0</v>
      </c>
      <c r="F4" s="6">
        <v>2030.0</v>
      </c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26</v>
      </c>
      <c r="C5" s="7">
        <v>7000.0</v>
      </c>
      <c r="D5" s="8"/>
      <c r="E5" s="8"/>
      <c r="F5" s="8"/>
      <c r="G5" s="9" t="s">
        <v>27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28</v>
      </c>
      <c r="C6" s="9">
        <v>5.0</v>
      </c>
      <c r="D6" s="10"/>
      <c r="E6" s="10"/>
      <c r="F6" s="10"/>
      <c r="G6" s="7" t="s">
        <v>29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30</v>
      </c>
      <c r="C7" s="11">
        <v>0.02</v>
      </c>
      <c r="D7" s="12"/>
      <c r="E7" s="12"/>
      <c r="F7" s="12"/>
      <c r="G7" s="9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32</v>
      </c>
      <c r="C8" s="7">
        <v>5000000.0</v>
      </c>
      <c r="D8" s="7">
        <v>7000000.0</v>
      </c>
      <c r="E8" s="7">
        <v>1.0E7</v>
      </c>
      <c r="F8" s="7">
        <v>1.5E7</v>
      </c>
      <c r="G8" s="3" t="s">
        <v>33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34</v>
      </c>
      <c r="C9" s="11">
        <v>0.15</v>
      </c>
      <c r="D9" s="11">
        <v>0.18</v>
      </c>
      <c r="E9" s="11">
        <v>0.22</v>
      </c>
      <c r="F9" s="11">
        <v>0.25</v>
      </c>
      <c r="G9" s="7" t="s">
        <v>31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/>
      <c r="C10" s="11"/>
      <c r="D10" s="12"/>
      <c r="E10" s="12"/>
      <c r="F10" s="12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4" t="s">
        <v>35</v>
      </c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13"/>
      <c r="C12" s="14">
        <v>2027.0</v>
      </c>
      <c r="D12" s="14">
        <v>2028.0</v>
      </c>
      <c r="E12" s="14">
        <v>2029.0</v>
      </c>
      <c r="F12" s="14">
        <v>2030.0</v>
      </c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26</v>
      </c>
      <c r="C13" s="16">
        <v>8000.0</v>
      </c>
      <c r="D13" s="17"/>
      <c r="E13" s="17"/>
      <c r="F13" s="17"/>
      <c r="G13" s="3" t="s">
        <v>27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28</v>
      </c>
      <c r="C14" s="9">
        <v>7.0</v>
      </c>
      <c r="D14" s="9"/>
      <c r="E14" s="9"/>
      <c r="F14" s="9"/>
      <c r="G14" s="9" t="s">
        <v>29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30</v>
      </c>
      <c r="C15" s="11">
        <v>0.02</v>
      </c>
      <c r="D15" s="11"/>
      <c r="E15" s="11"/>
      <c r="F15" s="11"/>
      <c r="G15" s="3" t="s">
        <v>31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36</v>
      </c>
      <c r="C16" s="7">
        <v>1.2E7</v>
      </c>
      <c r="D16" s="7">
        <v>2.5E7</v>
      </c>
      <c r="E16" s="7">
        <v>4.2E7</v>
      </c>
      <c r="F16" s="7">
        <v>6.0E7</v>
      </c>
      <c r="G16" s="7" t="s">
        <v>33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34</v>
      </c>
      <c r="C17" s="11">
        <v>0.5</v>
      </c>
      <c r="D17" s="11">
        <v>0.56</v>
      </c>
      <c r="E17" s="11">
        <v>0.63</v>
      </c>
      <c r="F17" s="11">
        <v>0.7</v>
      </c>
      <c r="G17" s="3" t="s">
        <v>31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/>
      <c r="C18" s="11"/>
      <c r="D18" s="11"/>
      <c r="E18" s="11"/>
      <c r="F18" s="11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4" t="s">
        <v>37</v>
      </c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3"/>
      <c r="C20" s="14">
        <v>2027.0</v>
      </c>
      <c r="D20" s="14">
        <v>2028.0</v>
      </c>
      <c r="E20" s="14">
        <v>2029.0</v>
      </c>
      <c r="F20" s="14">
        <v>2030.0</v>
      </c>
      <c r="G20" s="1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38</v>
      </c>
      <c r="C21" s="9">
        <v>20.0</v>
      </c>
      <c r="D21" s="9">
        <v>40.0</v>
      </c>
      <c r="E21" s="9">
        <v>58.0</v>
      </c>
      <c r="F21" s="9">
        <v>74.0</v>
      </c>
      <c r="G21" s="3" t="s">
        <v>39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40</v>
      </c>
      <c r="C22" s="11">
        <v>0.9</v>
      </c>
      <c r="D22" s="11">
        <v>0.77</v>
      </c>
      <c r="E22" s="11">
        <v>0.63</v>
      </c>
      <c r="F22" s="11">
        <v>0.5</v>
      </c>
      <c r="G22" s="3" t="s">
        <v>31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/>
      <c r="C23" s="11"/>
      <c r="D23" s="12"/>
      <c r="E23" s="12"/>
      <c r="F23" s="12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4" t="s">
        <v>41</v>
      </c>
      <c r="C24" s="18"/>
      <c r="D24" s="19"/>
      <c r="E24" s="19"/>
      <c r="F24" s="19"/>
      <c r="G24" s="19"/>
      <c r="H24" s="1"/>
      <c r="I24" s="1"/>
      <c r="J24" s="3" t="s">
        <v>42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 t="s">
        <v>43</v>
      </c>
      <c r="C25" s="11">
        <v>0.25</v>
      </c>
      <c r="D25" s="12"/>
      <c r="E25" s="12"/>
      <c r="F25" s="12"/>
      <c r="G25" s="3" t="s">
        <v>31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3" t="s">
        <v>44</v>
      </c>
      <c r="C26" s="11">
        <v>0.375</v>
      </c>
      <c r="D26" s="12"/>
      <c r="E26" s="12"/>
      <c r="F26" s="12"/>
      <c r="G26" s="3" t="s">
        <v>31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45</v>
      </c>
      <c r="C27" s="20">
        <v>0.25</v>
      </c>
      <c r="D27" s="21"/>
      <c r="E27" s="21"/>
      <c r="F27" s="21"/>
      <c r="G27" s="3" t="s">
        <v>31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 t="s">
        <v>46</v>
      </c>
      <c r="C28" s="11">
        <v>0.4</v>
      </c>
      <c r="D28" s="12"/>
      <c r="E28" s="12"/>
      <c r="F28" s="12"/>
      <c r="G28" s="7" t="s">
        <v>31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3"/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4" t="s">
        <v>47</v>
      </c>
      <c r="C30" s="22"/>
      <c r="D30" s="23"/>
      <c r="E30" s="23"/>
      <c r="F30" s="23"/>
      <c r="G30" s="2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/>
      <c r="C31" s="6">
        <v>2027.0</v>
      </c>
      <c r="D31" s="6">
        <v>2028.0</v>
      </c>
      <c r="E31" s="6">
        <v>2029.0</v>
      </c>
      <c r="F31" s="6">
        <v>2030.0</v>
      </c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48</v>
      </c>
      <c r="C32" s="7">
        <f t="shared" ref="C32:F32" si="1">10000+2000*(C$31-2026)</f>
        <v>12000</v>
      </c>
      <c r="D32" s="8">
        <f t="shared" si="1"/>
        <v>14000</v>
      </c>
      <c r="E32" s="8">
        <f t="shared" si="1"/>
        <v>16000</v>
      </c>
      <c r="F32" s="8">
        <f t="shared" si="1"/>
        <v>18000</v>
      </c>
      <c r="G32" s="3" t="s">
        <v>27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49</v>
      </c>
      <c r="C33" s="7">
        <f t="shared" ref="C33:F33" si="2">6500+2000*(C$31-2026)</f>
        <v>8500</v>
      </c>
      <c r="D33" s="8">
        <f t="shared" si="2"/>
        <v>10500</v>
      </c>
      <c r="E33" s="8">
        <f t="shared" si="2"/>
        <v>12500</v>
      </c>
      <c r="F33" s="8">
        <f t="shared" si="2"/>
        <v>14500</v>
      </c>
      <c r="G33" s="7" t="s">
        <v>27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50</v>
      </c>
      <c r="C34" s="7">
        <v>3000.0</v>
      </c>
      <c r="D34" s="8"/>
      <c r="E34" s="8"/>
      <c r="F34" s="8"/>
      <c r="G34" s="3" t="s">
        <v>27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 t="s">
        <v>51</v>
      </c>
      <c r="C35" s="7">
        <v>4500.0</v>
      </c>
      <c r="D35" s="8"/>
      <c r="E35" s="8"/>
      <c r="F35" s="8"/>
      <c r="G35" s="3" t="s">
        <v>27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3" t="s">
        <v>52</v>
      </c>
      <c r="C36" s="9">
        <v>500.0</v>
      </c>
      <c r="D36" s="10"/>
      <c r="E36" s="10"/>
      <c r="F36" s="10"/>
      <c r="G36" s="9" t="s">
        <v>27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53</v>
      </c>
      <c r="C37" s="7">
        <v>90000.0</v>
      </c>
      <c r="D37" s="8"/>
      <c r="E37" s="8"/>
      <c r="F37" s="8"/>
      <c r="G37" s="9" t="s">
        <v>54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55</v>
      </c>
      <c r="C38" s="11">
        <v>0.08</v>
      </c>
      <c r="D38" s="12"/>
      <c r="E38" s="12"/>
      <c r="F38" s="12"/>
      <c r="G38" s="9" t="s">
        <v>31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56</v>
      </c>
      <c r="C39" s="11">
        <v>0.19</v>
      </c>
      <c r="D39" s="12"/>
      <c r="E39" s="12"/>
      <c r="F39" s="12"/>
      <c r="G39" s="9" t="s">
        <v>31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57</v>
      </c>
      <c r="C40" s="9">
        <v>3.0</v>
      </c>
      <c r="D40" s="10"/>
      <c r="E40" s="10"/>
      <c r="F40" s="10"/>
      <c r="G40" s="3" t="s">
        <v>39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3" t="s">
        <v>58</v>
      </c>
      <c r="C41" s="24">
        <v>10.0</v>
      </c>
      <c r="D41" s="25"/>
      <c r="E41" s="25"/>
      <c r="F41" s="25"/>
      <c r="G41" s="13" t="s">
        <v>39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 t="s">
        <v>59</v>
      </c>
      <c r="C42" s="9">
        <v>15.0</v>
      </c>
      <c r="D42" s="10"/>
      <c r="E42" s="10"/>
      <c r="F42" s="10"/>
      <c r="G42" s="3" t="s">
        <v>39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60</v>
      </c>
      <c r="C43" s="9">
        <v>2.0</v>
      </c>
      <c r="D43" s="10"/>
      <c r="E43" s="10"/>
      <c r="F43" s="10"/>
      <c r="G43" s="3" t="s">
        <v>39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/>
      <c r="C44" s="8"/>
      <c r="D44" s="8"/>
      <c r="E44" s="8"/>
      <c r="F44" s="8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4" t="s">
        <v>61</v>
      </c>
      <c r="C45" s="26"/>
      <c r="D45" s="5"/>
      <c r="E45" s="5"/>
      <c r="F45" s="5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62</v>
      </c>
      <c r="C46" s="7">
        <v>600.0</v>
      </c>
      <c r="D46" s="8"/>
      <c r="E46" s="8"/>
      <c r="F46" s="8"/>
      <c r="G46" s="3" t="s">
        <v>63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64</v>
      </c>
      <c r="C47" s="7">
        <v>120.0</v>
      </c>
      <c r="D47" s="8"/>
      <c r="E47" s="8"/>
      <c r="F47" s="8"/>
      <c r="G47" s="7" t="s">
        <v>63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65</v>
      </c>
      <c r="C48" s="7">
        <f>19000/12</f>
        <v>1583.333333</v>
      </c>
      <c r="D48" s="8"/>
      <c r="E48" s="8"/>
      <c r="F48" s="8"/>
      <c r="G48" s="7" t="s">
        <v>27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 t="s">
        <v>66</v>
      </c>
      <c r="C49" s="7">
        <v>40.0</v>
      </c>
      <c r="D49" s="8"/>
      <c r="E49" s="8"/>
      <c r="F49" s="8"/>
      <c r="G49" s="7" t="s">
        <v>63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" t="s">
        <v>67</v>
      </c>
      <c r="C50" s="7">
        <v>100.0</v>
      </c>
      <c r="D50" s="8"/>
      <c r="E50" s="8"/>
      <c r="F50" s="8"/>
      <c r="G50" s="7" t="s">
        <v>63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68</v>
      </c>
      <c r="C51" s="7">
        <v>2000.0</v>
      </c>
      <c r="D51" s="8"/>
      <c r="E51" s="8"/>
      <c r="F51" s="8"/>
      <c r="G51" s="3" t="s">
        <v>27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69</v>
      </c>
      <c r="C52" s="7">
        <v>500.0</v>
      </c>
      <c r="D52" s="8"/>
      <c r="E52" s="8"/>
      <c r="F52" s="8"/>
      <c r="G52" s="3" t="s">
        <v>27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 t="s">
        <v>70</v>
      </c>
      <c r="C53" s="7">
        <v>1307.0</v>
      </c>
      <c r="D53" s="8"/>
      <c r="E53" s="8"/>
      <c r="F53" s="8"/>
      <c r="G53" s="3" t="s">
        <v>27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" t="s">
        <v>71</v>
      </c>
      <c r="C54" s="7">
        <v>140.0</v>
      </c>
      <c r="D54" s="8"/>
      <c r="E54" s="8"/>
      <c r="F54" s="8"/>
      <c r="G54" s="3" t="s">
        <v>27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72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73</v>
      </c>
      <c r="F3" s="27">
        <v>46388.0</v>
      </c>
      <c r="G3" s="27">
        <v>46419.0</v>
      </c>
      <c r="H3" s="27">
        <v>46447.0</v>
      </c>
      <c r="I3" s="27">
        <v>46478.0</v>
      </c>
      <c r="J3" s="27">
        <v>46508.0</v>
      </c>
      <c r="K3" s="27">
        <v>46539.0</v>
      </c>
      <c r="L3" s="27">
        <v>46569.0</v>
      </c>
      <c r="M3" s="27">
        <v>46600.0</v>
      </c>
      <c r="N3" s="27">
        <v>46631.0</v>
      </c>
      <c r="O3" s="27">
        <v>46661.0</v>
      </c>
      <c r="P3" s="27">
        <v>46692.0</v>
      </c>
      <c r="Q3" s="27">
        <v>46722.0</v>
      </c>
      <c r="R3" s="27">
        <v>46753.0</v>
      </c>
      <c r="S3" s="27">
        <v>46784.0</v>
      </c>
      <c r="T3" s="27">
        <v>46813.0</v>
      </c>
      <c r="U3" s="27">
        <v>46844.0</v>
      </c>
      <c r="V3" s="27">
        <v>46874.0</v>
      </c>
      <c r="W3" s="27">
        <v>46905.0</v>
      </c>
      <c r="X3" s="27">
        <v>46935.0</v>
      </c>
      <c r="Y3" s="27">
        <v>46966.0</v>
      </c>
      <c r="Z3" s="27">
        <v>46997.0</v>
      </c>
      <c r="AA3" s="27">
        <v>47027.0</v>
      </c>
      <c r="AB3" s="27">
        <v>47058.0</v>
      </c>
      <c r="AC3" s="27">
        <v>47088.0</v>
      </c>
      <c r="AD3" s="27">
        <v>47119.0</v>
      </c>
      <c r="AE3" s="27">
        <v>47150.0</v>
      </c>
      <c r="AF3" s="27">
        <v>47178.0</v>
      </c>
      <c r="AG3" s="27">
        <v>47209.0</v>
      </c>
      <c r="AH3" s="27">
        <v>47239.0</v>
      </c>
      <c r="AI3" s="27">
        <v>47270.0</v>
      </c>
      <c r="AJ3" s="27">
        <v>47300.0</v>
      </c>
      <c r="AK3" s="27">
        <v>47331.0</v>
      </c>
      <c r="AL3" s="27">
        <v>47362.0</v>
      </c>
      <c r="AM3" s="27">
        <v>47392.0</v>
      </c>
      <c r="AN3" s="27">
        <v>47423.0</v>
      </c>
      <c r="AO3" s="27">
        <v>47453.0</v>
      </c>
      <c r="AP3" s="27">
        <v>47484.0</v>
      </c>
      <c r="AQ3" s="27">
        <v>47515.0</v>
      </c>
      <c r="AR3" s="27">
        <v>47543.0</v>
      </c>
      <c r="AS3" s="27">
        <v>47574.0</v>
      </c>
      <c r="AT3" s="27">
        <v>47604.0</v>
      </c>
      <c r="AU3" s="27">
        <v>47635.0</v>
      </c>
      <c r="AV3" s="27">
        <v>47665.0</v>
      </c>
      <c r="AW3" s="27">
        <v>47696.0</v>
      </c>
      <c r="AX3" s="27">
        <v>47727.0</v>
      </c>
      <c r="AY3" s="27">
        <v>47757.0</v>
      </c>
      <c r="AZ3" s="27">
        <v>47788.0</v>
      </c>
      <c r="BA3" s="27">
        <v>47818.0</v>
      </c>
      <c r="BB3" s="1"/>
      <c r="BC3" s="6">
        <v>2027.0</v>
      </c>
      <c r="BD3" s="6">
        <v>2028.0</v>
      </c>
      <c r="BE3" s="6">
        <v>2029.0</v>
      </c>
      <c r="BF3" s="6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4" t="s">
        <v>25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>
      <c r="A7" s="1"/>
      <c r="B7" s="3" t="s">
        <v>74</v>
      </c>
      <c r="C7" s="1"/>
      <c r="D7" s="1"/>
      <c r="E7" s="3" t="s">
        <v>39</v>
      </c>
      <c r="F7" s="10">
        <f t="array" ref="F7">ROUND((INDEX(Assumptions!$C$21:$F$21,MATCH(YEAR(F$3),Assumptions!$C$4:$F$4,0))*INDEX(Assumptions!$C$22:$F$22,MATCH(YEAR(F$3),Assumptions!$C$4:$F$4,0)))*MONTH(F$3)/12,0)-ROUND((INDEX(Assumptions!$C$21:$F$21,MATCH(YEAR(F$3),Assumptions!$C$4:$F$4,0))*INDEX(Assumptions!$C$22:$F$22,MATCH(YEAR(F$3),Assumptions!$C$4:$F$4,0)))*(MONTH(F$3)-1)/12,0)</f>
        <v>2</v>
      </c>
      <c r="G7" s="10">
        <f t="array" ref="G7">ROUND((INDEX(Assumptions!$C$21:$F$21,MATCH(YEAR(G$3),Assumptions!$C$4:$F$4,0))*INDEX(Assumptions!$C$22:$F$22,MATCH(YEAR(G$3),Assumptions!$C$4:$F$4,0)))*MONTH(G$3)/12,0)-ROUND((INDEX(Assumptions!$C$21:$F$21,MATCH(YEAR(G$3),Assumptions!$C$4:$F$4,0))*INDEX(Assumptions!$C$22:$F$22,MATCH(YEAR(G$3),Assumptions!$C$4:$F$4,0)))*(MONTH(G$3)-1)/12,0)</f>
        <v>1</v>
      </c>
      <c r="H7" s="10">
        <f t="array" ref="H7">ROUND((INDEX(Assumptions!$C$21:$F$21,MATCH(YEAR(H$3),Assumptions!$C$4:$F$4,0))*INDEX(Assumptions!$C$22:$F$22,MATCH(YEAR(H$3),Assumptions!$C$4:$F$4,0)))*MONTH(H$3)/12,0)-ROUND((INDEX(Assumptions!$C$21:$F$21,MATCH(YEAR(H$3),Assumptions!$C$4:$F$4,0))*INDEX(Assumptions!$C$22:$F$22,MATCH(YEAR(H$3),Assumptions!$C$4:$F$4,0)))*(MONTH(H$3)-1)/12,0)</f>
        <v>2</v>
      </c>
      <c r="I7" s="10">
        <f t="array" ref="I7">ROUND((INDEX(Assumptions!$C$21:$F$21,MATCH(YEAR(I$3),Assumptions!$C$4:$F$4,0))*INDEX(Assumptions!$C$22:$F$22,MATCH(YEAR(I$3),Assumptions!$C$4:$F$4,0)))*MONTH(I$3)/12,0)-ROUND((INDEX(Assumptions!$C$21:$F$21,MATCH(YEAR(I$3),Assumptions!$C$4:$F$4,0))*INDEX(Assumptions!$C$22:$F$22,MATCH(YEAR(I$3),Assumptions!$C$4:$F$4,0)))*(MONTH(I$3)-1)/12,0)</f>
        <v>1</v>
      </c>
      <c r="J7" s="10">
        <f t="array" ref="J7">ROUND((INDEX(Assumptions!$C$21:$F$21,MATCH(YEAR(J$3),Assumptions!$C$4:$F$4,0))*INDEX(Assumptions!$C$22:$F$22,MATCH(YEAR(J$3),Assumptions!$C$4:$F$4,0)))*MONTH(J$3)/12,0)-ROUND((INDEX(Assumptions!$C$21:$F$21,MATCH(YEAR(J$3),Assumptions!$C$4:$F$4,0))*INDEX(Assumptions!$C$22:$F$22,MATCH(YEAR(J$3),Assumptions!$C$4:$F$4,0)))*(MONTH(J$3)-1)/12,0)</f>
        <v>2</v>
      </c>
      <c r="K7" s="10">
        <f t="array" ref="K7">ROUND((INDEX(Assumptions!$C$21:$F$21,MATCH(YEAR(K$3),Assumptions!$C$4:$F$4,0))*INDEX(Assumptions!$C$22:$F$22,MATCH(YEAR(K$3),Assumptions!$C$4:$F$4,0)))*MONTH(K$3)/12,0)-ROUND((INDEX(Assumptions!$C$21:$F$21,MATCH(YEAR(K$3),Assumptions!$C$4:$F$4,0))*INDEX(Assumptions!$C$22:$F$22,MATCH(YEAR(K$3),Assumptions!$C$4:$F$4,0)))*(MONTH(K$3)-1)/12,0)</f>
        <v>1</v>
      </c>
      <c r="L7" s="10">
        <f t="array" ref="L7">ROUND((INDEX(Assumptions!$C$21:$F$21,MATCH(YEAR(L$3),Assumptions!$C$4:$F$4,0))*INDEX(Assumptions!$C$22:$F$22,MATCH(YEAR(L$3),Assumptions!$C$4:$F$4,0)))*MONTH(L$3)/12,0)-ROUND((INDEX(Assumptions!$C$21:$F$21,MATCH(YEAR(L$3),Assumptions!$C$4:$F$4,0))*INDEX(Assumptions!$C$22:$F$22,MATCH(YEAR(L$3),Assumptions!$C$4:$F$4,0)))*(MONTH(L$3)-1)/12,0)</f>
        <v>2</v>
      </c>
      <c r="M7" s="10">
        <f t="array" ref="M7">ROUND((INDEX(Assumptions!$C$21:$F$21,MATCH(YEAR(M$3),Assumptions!$C$4:$F$4,0))*INDEX(Assumptions!$C$22:$F$22,MATCH(YEAR(M$3),Assumptions!$C$4:$F$4,0)))*MONTH(M$3)/12,0)-ROUND((INDEX(Assumptions!$C$21:$F$21,MATCH(YEAR(M$3),Assumptions!$C$4:$F$4,0))*INDEX(Assumptions!$C$22:$F$22,MATCH(YEAR(M$3),Assumptions!$C$4:$F$4,0)))*(MONTH(M$3)-1)/12,0)</f>
        <v>1</v>
      </c>
      <c r="N7" s="10">
        <f t="array" ref="N7">ROUND((INDEX(Assumptions!$C$21:$F$21,MATCH(YEAR(N$3),Assumptions!$C$4:$F$4,0))*INDEX(Assumptions!$C$22:$F$22,MATCH(YEAR(N$3),Assumptions!$C$4:$F$4,0)))*MONTH(N$3)/12,0)-ROUND((INDEX(Assumptions!$C$21:$F$21,MATCH(YEAR(N$3),Assumptions!$C$4:$F$4,0))*INDEX(Assumptions!$C$22:$F$22,MATCH(YEAR(N$3),Assumptions!$C$4:$F$4,0)))*(MONTH(N$3)-1)/12,0)</f>
        <v>2</v>
      </c>
      <c r="O7" s="10">
        <f t="array" ref="O7">ROUND((INDEX(Assumptions!$C$21:$F$21,MATCH(YEAR(O$3),Assumptions!$C$4:$F$4,0))*INDEX(Assumptions!$C$22:$F$22,MATCH(YEAR(O$3),Assumptions!$C$4:$F$4,0)))*MONTH(O$3)/12,0)-ROUND((INDEX(Assumptions!$C$21:$F$21,MATCH(YEAR(O$3),Assumptions!$C$4:$F$4,0))*INDEX(Assumptions!$C$22:$F$22,MATCH(YEAR(O$3),Assumptions!$C$4:$F$4,0)))*(MONTH(O$3)-1)/12,0)</f>
        <v>1</v>
      </c>
      <c r="P7" s="10">
        <f t="array" ref="P7">ROUND((INDEX(Assumptions!$C$21:$F$21,MATCH(YEAR(P$3),Assumptions!$C$4:$F$4,0))*INDEX(Assumptions!$C$22:$F$22,MATCH(YEAR(P$3),Assumptions!$C$4:$F$4,0)))*MONTH(P$3)/12,0)-ROUND((INDEX(Assumptions!$C$21:$F$21,MATCH(YEAR(P$3),Assumptions!$C$4:$F$4,0))*INDEX(Assumptions!$C$22:$F$22,MATCH(YEAR(P$3),Assumptions!$C$4:$F$4,0)))*(MONTH(P$3)-1)/12,0)</f>
        <v>2</v>
      </c>
      <c r="Q7" s="10">
        <f t="array" ref="Q7">ROUND((INDEX(Assumptions!$C$21:$F$21,MATCH(YEAR(Q$3),Assumptions!$C$4:$F$4,0))*INDEX(Assumptions!$C$22:$F$22,MATCH(YEAR(Q$3),Assumptions!$C$4:$F$4,0)))*MONTH(Q$3)/12,0)-ROUND((INDEX(Assumptions!$C$21:$F$21,MATCH(YEAR(Q$3),Assumptions!$C$4:$F$4,0))*INDEX(Assumptions!$C$22:$F$22,MATCH(YEAR(Q$3),Assumptions!$C$4:$F$4,0)))*(MONTH(Q$3)-1)/12,0)</f>
        <v>1</v>
      </c>
      <c r="R7" s="10">
        <f t="array" ref="R7">ROUND((INDEX(Assumptions!$C$21:$F$21,MATCH(YEAR(R$3),Assumptions!$C$4:$F$4,0))*INDEX(Assumptions!$C$22:$F$22,MATCH(YEAR(R$3),Assumptions!$C$4:$F$4,0)))*MONTH(R$3)/12,0)-ROUND((INDEX(Assumptions!$C$21:$F$21,MATCH(YEAR(R$3),Assumptions!$C$4:$F$4,0))*INDEX(Assumptions!$C$22:$F$22,MATCH(YEAR(R$3),Assumptions!$C$4:$F$4,0)))*(MONTH(R$3)-1)/12,0)</f>
        <v>3</v>
      </c>
      <c r="S7" s="10">
        <f t="array" ref="S7">ROUND((INDEX(Assumptions!$C$21:$F$21,MATCH(YEAR(S$3),Assumptions!$C$4:$F$4,0))*INDEX(Assumptions!$C$22:$F$22,MATCH(YEAR(S$3),Assumptions!$C$4:$F$4,0)))*MONTH(S$3)/12,0)-ROUND((INDEX(Assumptions!$C$21:$F$21,MATCH(YEAR(S$3),Assumptions!$C$4:$F$4,0))*INDEX(Assumptions!$C$22:$F$22,MATCH(YEAR(S$3),Assumptions!$C$4:$F$4,0)))*(MONTH(S$3)-1)/12,0)</f>
        <v>2</v>
      </c>
      <c r="T7" s="10">
        <f t="array" ref="T7">ROUND((INDEX(Assumptions!$C$21:$F$21,MATCH(YEAR(T$3),Assumptions!$C$4:$F$4,0))*INDEX(Assumptions!$C$22:$F$22,MATCH(YEAR(T$3),Assumptions!$C$4:$F$4,0)))*MONTH(T$3)/12,0)-ROUND((INDEX(Assumptions!$C$21:$F$21,MATCH(YEAR(T$3),Assumptions!$C$4:$F$4,0))*INDEX(Assumptions!$C$22:$F$22,MATCH(YEAR(T$3),Assumptions!$C$4:$F$4,0)))*(MONTH(T$3)-1)/12,0)</f>
        <v>3</v>
      </c>
      <c r="U7" s="10">
        <f t="array" ref="U7">ROUND((INDEX(Assumptions!$C$21:$F$21,MATCH(YEAR(U$3),Assumptions!$C$4:$F$4,0))*INDEX(Assumptions!$C$22:$F$22,MATCH(YEAR(U$3),Assumptions!$C$4:$F$4,0)))*MONTH(U$3)/12,0)-ROUND((INDEX(Assumptions!$C$21:$F$21,MATCH(YEAR(U$3),Assumptions!$C$4:$F$4,0))*INDEX(Assumptions!$C$22:$F$22,MATCH(YEAR(U$3),Assumptions!$C$4:$F$4,0)))*(MONTH(U$3)-1)/12,0)</f>
        <v>2</v>
      </c>
      <c r="V7" s="10">
        <f t="array" ref="V7">ROUND((INDEX(Assumptions!$C$21:$F$21,MATCH(YEAR(V$3),Assumptions!$C$4:$F$4,0))*INDEX(Assumptions!$C$22:$F$22,MATCH(YEAR(V$3),Assumptions!$C$4:$F$4,0)))*MONTH(V$3)/12,0)-ROUND((INDEX(Assumptions!$C$21:$F$21,MATCH(YEAR(V$3),Assumptions!$C$4:$F$4,0))*INDEX(Assumptions!$C$22:$F$22,MATCH(YEAR(V$3),Assumptions!$C$4:$F$4,0)))*(MONTH(V$3)-1)/12,0)</f>
        <v>3</v>
      </c>
      <c r="W7" s="10">
        <f t="array" ref="W7">ROUND((INDEX(Assumptions!$C$21:$F$21,MATCH(YEAR(W$3),Assumptions!$C$4:$F$4,0))*INDEX(Assumptions!$C$22:$F$22,MATCH(YEAR(W$3),Assumptions!$C$4:$F$4,0)))*MONTH(W$3)/12,0)-ROUND((INDEX(Assumptions!$C$21:$F$21,MATCH(YEAR(W$3),Assumptions!$C$4:$F$4,0))*INDEX(Assumptions!$C$22:$F$22,MATCH(YEAR(W$3),Assumptions!$C$4:$F$4,0)))*(MONTH(W$3)-1)/12,0)</f>
        <v>2</v>
      </c>
      <c r="X7" s="10">
        <f t="array" ref="X7">ROUND((INDEX(Assumptions!$C$21:$F$21,MATCH(YEAR(X$3),Assumptions!$C$4:$F$4,0))*INDEX(Assumptions!$C$22:$F$22,MATCH(YEAR(X$3),Assumptions!$C$4:$F$4,0)))*MONTH(X$3)/12,0)-ROUND((INDEX(Assumptions!$C$21:$F$21,MATCH(YEAR(X$3),Assumptions!$C$4:$F$4,0))*INDEX(Assumptions!$C$22:$F$22,MATCH(YEAR(X$3),Assumptions!$C$4:$F$4,0)))*(MONTH(X$3)-1)/12,0)</f>
        <v>3</v>
      </c>
      <c r="Y7" s="10">
        <f t="array" ref="Y7">ROUND((INDEX(Assumptions!$C$21:$F$21,MATCH(YEAR(Y$3),Assumptions!$C$4:$F$4,0))*INDEX(Assumptions!$C$22:$F$22,MATCH(YEAR(Y$3),Assumptions!$C$4:$F$4,0)))*MONTH(Y$3)/12,0)-ROUND((INDEX(Assumptions!$C$21:$F$21,MATCH(YEAR(Y$3),Assumptions!$C$4:$F$4,0))*INDEX(Assumptions!$C$22:$F$22,MATCH(YEAR(Y$3),Assumptions!$C$4:$F$4,0)))*(MONTH(Y$3)-1)/12,0)</f>
        <v>3</v>
      </c>
      <c r="Z7" s="10">
        <f t="array" ref="Z7">ROUND((INDEX(Assumptions!$C$21:$F$21,MATCH(YEAR(Z$3),Assumptions!$C$4:$F$4,0))*INDEX(Assumptions!$C$22:$F$22,MATCH(YEAR(Z$3),Assumptions!$C$4:$F$4,0)))*MONTH(Z$3)/12,0)-ROUND((INDEX(Assumptions!$C$21:$F$21,MATCH(YEAR(Z$3),Assumptions!$C$4:$F$4,0))*INDEX(Assumptions!$C$22:$F$22,MATCH(YEAR(Z$3),Assumptions!$C$4:$F$4,0)))*(MONTH(Z$3)-1)/12,0)</f>
        <v>2</v>
      </c>
      <c r="AA7" s="10">
        <f t="array" ref="AA7">ROUND((INDEX(Assumptions!$C$21:$F$21,MATCH(YEAR(AA$3),Assumptions!$C$4:$F$4,0))*INDEX(Assumptions!$C$22:$F$22,MATCH(YEAR(AA$3),Assumptions!$C$4:$F$4,0)))*MONTH(AA$3)/12,0)-ROUND((INDEX(Assumptions!$C$21:$F$21,MATCH(YEAR(AA$3),Assumptions!$C$4:$F$4,0))*INDEX(Assumptions!$C$22:$F$22,MATCH(YEAR(AA$3),Assumptions!$C$4:$F$4,0)))*(MONTH(AA$3)-1)/12,0)</f>
        <v>3</v>
      </c>
      <c r="AB7" s="10">
        <f t="array" ref="AB7">ROUND((INDEX(Assumptions!$C$21:$F$21,MATCH(YEAR(AB$3),Assumptions!$C$4:$F$4,0))*INDEX(Assumptions!$C$22:$F$22,MATCH(YEAR(AB$3),Assumptions!$C$4:$F$4,0)))*MONTH(AB$3)/12,0)-ROUND((INDEX(Assumptions!$C$21:$F$21,MATCH(YEAR(AB$3),Assumptions!$C$4:$F$4,0))*INDEX(Assumptions!$C$22:$F$22,MATCH(YEAR(AB$3),Assumptions!$C$4:$F$4,0)))*(MONTH(AB$3)-1)/12,0)</f>
        <v>2</v>
      </c>
      <c r="AC7" s="10">
        <f t="array" ref="AC7">ROUND((INDEX(Assumptions!$C$21:$F$21,MATCH(YEAR(AC$3),Assumptions!$C$4:$F$4,0))*INDEX(Assumptions!$C$22:$F$22,MATCH(YEAR(AC$3),Assumptions!$C$4:$F$4,0)))*MONTH(AC$3)/12,0)-ROUND((INDEX(Assumptions!$C$21:$F$21,MATCH(YEAR(AC$3),Assumptions!$C$4:$F$4,0))*INDEX(Assumptions!$C$22:$F$22,MATCH(YEAR(AC$3),Assumptions!$C$4:$F$4,0)))*(MONTH(AC$3)-1)/12,0)</f>
        <v>3</v>
      </c>
      <c r="AD7" s="10">
        <f t="array" ref="AD7">ROUND((INDEX(Assumptions!$C$21:$F$21,MATCH(YEAR(AD$3),Assumptions!$C$4:$F$4,0))*INDEX(Assumptions!$C$22:$F$22,MATCH(YEAR(AD$3),Assumptions!$C$4:$F$4,0)))*MONTH(AD$3)/12,0)-ROUND((INDEX(Assumptions!$C$21:$F$21,MATCH(YEAR(AD$3),Assumptions!$C$4:$F$4,0))*INDEX(Assumptions!$C$22:$F$22,MATCH(YEAR(AD$3),Assumptions!$C$4:$F$4,0)))*(MONTH(AD$3)-1)/12,0)</f>
        <v>3</v>
      </c>
      <c r="AE7" s="10">
        <f t="array" ref="AE7">ROUND((INDEX(Assumptions!$C$21:$F$21,MATCH(YEAR(AE$3),Assumptions!$C$4:$F$4,0))*INDEX(Assumptions!$C$22:$F$22,MATCH(YEAR(AE$3),Assumptions!$C$4:$F$4,0)))*MONTH(AE$3)/12,0)-ROUND((INDEX(Assumptions!$C$21:$F$21,MATCH(YEAR(AE$3),Assumptions!$C$4:$F$4,0))*INDEX(Assumptions!$C$22:$F$22,MATCH(YEAR(AE$3),Assumptions!$C$4:$F$4,0)))*(MONTH(AE$3)-1)/12,0)</f>
        <v>3</v>
      </c>
      <c r="AF7" s="10">
        <f t="array" ref="AF7">ROUND((INDEX(Assumptions!$C$21:$F$21,MATCH(YEAR(AF$3),Assumptions!$C$4:$F$4,0))*INDEX(Assumptions!$C$22:$F$22,MATCH(YEAR(AF$3),Assumptions!$C$4:$F$4,0)))*MONTH(AF$3)/12,0)-ROUND((INDEX(Assumptions!$C$21:$F$21,MATCH(YEAR(AF$3),Assumptions!$C$4:$F$4,0))*INDEX(Assumptions!$C$22:$F$22,MATCH(YEAR(AF$3),Assumptions!$C$4:$F$4,0)))*(MONTH(AF$3)-1)/12,0)</f>
        <v>3</v>
      </c>
      <c r="AG7" s="10">
        <f t="array" ref="AG7">ROUND((INDEX(Assumptions!$C$21:$F$21,MATCH(YEAR(AG$3),Assumptions!$C$4:$F$4,0))*INDEX(Assumptions!$C$22:$F$22,MATCH(YEAR(AG$3),Assumptions!$C$4:$F$4,0)))*MONTH(AG$3)/12,0)-ROUND((INDEX(Assumptions!$C$21:$F$21,MATCH(YEAR(AG$3),Assumptions!$C$4:$F$4,0))*INDEX(Assumptions!$C$22:$F$22,MATCH(YEAR(AG$3),Assumptions!$C$4:$F$4,0)))*(MONTH(AG$3)-1)/12,0)</f>
        <v>3</v>
      </c>
      <c r="AH7" s="10">
        <f t="array" ref="AH7">ROUND((INDEX(Assumptions!$C$21:$F$21,MATCH(YEAR(AH$3),Assumptions!$C$4:$F$4,0))*INDEX(Assumptions!$C$22:$F$22,MATCH(YEAR(AH$3),Assumptions!$C$4:$F$4,0)))*MONTH(AH$3)/12,0)-ROUND((INDEX(Assumptions!$C$21:$F$21,MATCH(YEAR(AH$3),Assumptions!$C$4:$F$4,0))*INDEX(Assumptions!$C$22:$F$22,MATCH(YEAR(AH$3),Assumptions!$C$4:$F$4,0)))*(MONTH(AH$3)-1)/12,0)</f>
        <v>3</v>
      </c>
      <c r="AI7" s="10">
        <f t="array" ref="AI7">ROUND((INDEX(Assumptions!$C$21:$F$21,MATCH(YEAR(AI$3),Assumptions!$C$4:$F$4,0))*INDEX(Assumptions!$C$22:$F$22,MATCH(YEAR(AI$3),Assumptions!$C$4:$F$4,0)))*MONTH(AI$3)/12,0)-ROUND((INDEX(Assumptions!$C$21:$F$21,MATCH(YEAR(AI$3),Assumptions!$C$4:$F$4,0))*INDEX(Assumptions!$C$22:$F$22,MATCH(YEAR(AI$3),Assumptions!$C$4:$F$4,0)))*(MONTH(AI$3)-1)/12,0)</f>
        <v>3</v>
      </c>
      <c r="AJ7" s="10">
        <f t="array" ref="AJ7">ROUND((INDEX(Assumptions!$C$21:$F$21,MATCH(YEAR(AJ$3),Assumptions!$C$4:$F$4,0))*INDEX(Assumptions!$C$22:$F$22,MATCH(YEAR(AJ$3),Assumptions!$C$4:$F$4,0)))*MONTH(AJ$3)/12,0)-ROUND((INDEX(Assumptions!$C$21:$F$21,MATCH(YEAR(AJ$3),Assumptions!$C$4:$F$4,0))*INDEX(Assumptions!$C$22:$F$22,MATCH(YEAR(AJ$3),Assumptions!$C$4:$F$4,0)))*(MONTH(AJ$3)-1)/12,0)</f>
        <v>3</v>
      </c>
      <c r="AK7" s="10">
        <f t="array" ref="AK7">ROUND((INDEX(Assumptions!$C$21:$F$21,MATCH(YEAR(AK$3),Assumptions!$C$4:$F$4,0))*INDEX(Assumptions!$C$22:$F$22,MATCH(YEAR(AK$3),Assumptions!$C$4:$F$4,0)))*MONTH(AK$3)/12,0)-ROUND((INDEX(Assumptions!$C$21:$F$21,MATCH(YEAR(AK$3),Assumptions!$C$4:$F$4,0))*INDEX(Assumptions!$C$22:$F$22,MATCH(YEAR(AK$3),Assumptions!$C$4:$F$4,0)))*(MONTH(AK$3)-1)/12,0)</f>
        <v>3</v>
      </c>
      <c r="AL7" s="10">
        <f t="array" ref="AL7">ROUND((INDEX(Assumptions!$C$21:$F$21,MATCH(YEAR(AL$3),Assumptions!$C$4:$F$4,0))*INDEX(Assumptions!$C$22:$F$22,MATCH(YEAR(AL$3),Assumptions!$C$4:$F$4,0)))*MONTH(AL$3)/12,0)-ROUND((INDEX(Assumptions!$C$21:$F$21,MATCH(YEAR(AL$3),Assumptions!$C$4:$F$4,0))*INDEX(Assumptions!$C$22:$F$22,MATCH(YEAR(AL$3),Assumptions!$C$4:$F$4,0)))*(MONTH(AL$3)-1)/12,0)</f>
        <v>3</v>
      </c>
      <c r="AM7" s="10">
        <f t="array" ref="AM7">ROUND((INDEX(Assumptions!$C$21:$F$21,MATCH(YEAR(AM$3),Assumptions!$C$4:$F$4,0))*INDEX(Assumptions!$C$22:$F$22,MATCH(YEAR(AM$3),Assumptions!$C$4:$F$4,0)))*MONTH(AM$3)/12,0)-ROUND((INDEX(Assumptions!$C$21:$F$21,MATCH(YEAR(AM$3),Assumptions!$C$4:$F$4,0))*INDEX(Assumptions!$C$22:$F$22,MATCH(YEAR(AM$3),Assumptions!$C$4:$F$4,0)))*(MONTH(AM$3)-1)/12,0)</f>
        <v>3</v>
      </c>
      <c r="AN7" s="10">
        <f t="array" ref="AN7">ROUND((INDEX(Assumptions!$C$21:$F$21,MATCH(YEAR(AN$3),Assumptions!$C$4:$F$4,0))*INDEX(Assumptions!$C$22:$F$22,MATCH(YEAR(AN$3),Assumptions!$C$4:$F$4,0)))*MONTH(AN$3)/12,0)-ROUND((INDEX(Assumptions!$C$21:$F$21,MATCH(YEAR(AN$3),Assumptions!$C$4:$F$4,0))*INDEX(Assumptions!$C$22:$F$22,MATCH(YEAR(AN$3),Assumptions!$C$4:$F$4,0)))*(MONTH(AN$3)-1)/12,0)</f>
        <v>3</v>
      </c>
      <c r="AO7" s="10">
        <f t="array" ref="AO7">ROUND((INDEX(Assumptions!$C$21:$F$21,MATCH(YEAR(AO$3),Assumptions!$C$4:$F$4,0))*INDEX(Assumptions!$C$22:$F$22,MATCH(YEAR(AO$3),Assumptions!$C$4:$F$4,0)))*MONTH(AO$3)/12,0)-ROUND((INDEX(Assumptions!$C$21:$F$21,MATCH(YEAR(AO$3),Assumptions!$C$4:$F$4,0))*INDEX(Assumptions!$C$22:$F$22,MATCH(YEAR(AO$3),Assumptions!$C$4:$F$4,0)))*(MONTH(AO$3)-1)/12,0)</f>
        <v>4</v>
      </c>
      <c r="AP7" s="10">
        <f t="array" ref="AP7">ROUND((INDEX(Assumptions!$C$21:$F$21,MATCH(YEAR(AP$3),Assumptions!$C$4:$F$4,0))*INDEX(Assumptions!$C$22:$F$22,MATCH(YEAR(AP$3),Assumptions!$C$4:$F$4,0)))*MONTH(AP$3)/12,0)-ROUND((INDEX(Assumptions!$C$21:$F$21,MATCH(YEAR(AP$3),Assumptions!$C$4:$F$4,0))*INDEX(Assumptions!$C$22:$F$22,MATCH(YEAR(AP$3),Assumptions!$C$4:$F$4,0)))*(MONTH(AP$3)-1)/12,0)</f>
        <v>3</v>
      </c>
      <c r="AQ7" s="10">
        <f t="array" ref="AQ7">ROUND((INDEX(Assumptions!$C$21:$F$21,MATCH(YEAR(AQ$3),Assumptions!$C$4:$F$4,0))*INDEX(Assumptions!$C$22:$F$22,MATCH(YEAR(AQ$3),Assumptions!$C$4:$F$4,0)))*MONTH(AQ$3)/12,0)-ROUND((INDEX(Assumptions!$C$21:$F$21,MATCH(YEAR(AQ$3),Assumptions!$C$4:$F$4,0))*INDEX(Assumptions!$C$22:$F$22,MATCH(YEAR(AQ$3),Assumptions!$C$4:$F$4,0)))*(MONTH(AQ$3)-1)/12,0)</f>
        <v>3</v>
      </c>
      <c r="AR7" s="10">
        <f t="array" ref="AR7">ROUND((INDEX(Assumptions!$C$21:$F$21,MATCH(YEAR(AR$3),Assumptions!$C$4:$F$4,0))*INDEX(Assumptions!$C$22:$F$22,MATCH(YEAR(AR$3),Assumptions!$C$4:$F$4,0)))*MONTH(AR$3)/12,0)-ROUND((INDEX(Assumptions!$C$21:$F$21,MATCH(YEAR(AR$3),Assumptions!$C$4:$F$4,0))*INDEX(Assumptions!$C$22:$F$22,MATCH(YEAR(AR$3),Assumptions!$C$4:$F$4,0)))*(MONTH(AR$3)-1)/12,0)</f>
        <v>3</v>
      </c>
      <c r="AS7" s="10">
        <f t="array" ref="AS7">ROUND((INDEX(Assumptions!$C$21:$F$21,MATCH(YEAR(AS$3),Assumptions!$C$4:$F$4,0))*INDEX(Assumptions!$C$22:$F$22,MATCH(YEAR(AS$3),Assumptions!$C$4:$F$4,0)))*MONTH(AS$3)/12,0)-ROUND((INDEX(Assumptions!$C$21:$F$21,MATCH(YEAR(AS$3),Assumptions!$C$4:$F$4,0))*INDEX(Assumptions!$C$22:$F$22,MATCH(YEAR(AS$3),Assumptions!$C$4:$F$4,0)))*(MONTH(AS$3)-1)/12,0)</f>
        <v>3</v>
      </c>
      <c r="AT7" s="10">
        <f t="array" ref="AT7">ROUND((INDEX(Assumptions!$C$21:$F$21,MATCH(YEAR(AT$3),Assumptions!$C$4:$F$4,0))*INDEX(Assumptions!$C$22:$F$22,MATCH(YEAR(AT$3),Assumptions!$C$4:$F$4,0)))*MONTH(AT$3)/12,0)-ROUND((INDEX(Assumptions!$C$21:$F$21,MATCH(YEAR(AT$3),Assumptions!$C$4:$F$4,0))*INDEX(Assumptions!$C$22:$F$22,MATCH(YEAR(AT$3),Assumptions!$C$4:$F$4,0)))*(MONTH(AT$3)-1)/12,0)</f>
        <v>3</v>
      </c>
      <c r="AU7" s="10">
        <f t="array" ref="AU7">ROUND((INDEX(Assumptions!$C$21:$F$21,MATCH(YEAR(AU$3),Assumptions!$C$4:$F$4,0))*INDEX(Assumptions!$C$22:$F$22,MATCH(YEAR(AU$3),Assumptions!$C$4:$F$4,0)))*MONTH(AU$3)/12,0)-ROUND((INDEX(Assumptions!$C$21:$F$21,MATCH(YEAR(AU$3),Assumptions!$C$4:$F$4,0))*INDEX(Assumptions!$C$22:$F$22,MATCH(YEAR(AU$3),Assumptions!$C$4:$F$4,0)))*(MONTH(AU$3)-1)/12,0)</f>
        <v>4</v>
      </c>
      <c r="AV7" s="10">
        <f t="array" ref="AV7">ROUND((INDEX(Assumptions!$C$21:$F$21,MATCH(YEAR(AV$3),Assumptions!$C$4:$F$4,0))*INDEX(Assumptions!$C$22:$F$22,MATCH(YEAR(AV$3),Assumptions!$C$4:$F$4,0)))*MONTH(AV$3)/12,0)-ROUND((INDEX(Assumptions!$C$21:$F$21,MATCH(YEAR(AV$3),Assumptions!$C$4:$F$4,0))*INDEX(Assumptions!$C$22:$F$22,MATCH(YEAR(AV$3),Assumptions!$C$4:$F$4,0)))*(MONTH(AV$3)-1)/12,0)</f>
        <v>3</v>
      </c>
      <c r="AW7" s="10">
        <f t="array" ref="AW7">ROUND((INDEX(Assumptions!$C$21:$F$21,MATCH(YEAR(AW$3),Assumptions!$C$4:$F$4,0))*INDEX(Assumptions!$C$22:$F$22,MATCH(YEAR(AW$3),Assumptions!$C$4:$F$4,0)))*MONTH(AW$3)/12,0)-ROUND((INDEX(Assumptions!$C$21:$F$21,MATCH(YEAR(AW$3),Assumptions!$C$4:$F$4,0))*INDEX(Assumptions!$C$22:$F$22,MATCH(YEAR(AW$3),Assumptions!$C$4:$F$4,0)))*(MONTH(AW$3)-1)/12,0)</f>
        <v>3</v>
      </c>
      <c r="AX7" s="10">
        <f t="array" ref="AX7">ROUND((INDEX(Assumptions!$C$21:$F$21,MATCH(YEAR(AX$3),Assumptions!$C$4:$F$4,0))*INDEX(Assumptions!$C$22:$F$22,MATCH(YEAR(AX$3),Assumptions!$C$4:$F$4,0)))*MONTH(AX$3)/12,0)-ROUND((INDEX(Assumptions!$C$21:$F$21,MATCH(YEAR(AX$3),Assumptions!$C$4:$F$4,0))*INDEX(Assumptions!$C$22:$F$22,MATCH(YEAR(AX$3),Assumptions!$C$4:$F$4,0)))*(MONTH(AX$3)-1)/12,0)</f>
        <v>3</v>
      </c>
      <c r="AY7" s="10">
        <f t="array" ref="AY7">ROUND((INDEX(Assumptions!$C$21:$F$21,MATCH(YEAR(AY$3),Assumptions!$C$4:$F$4,0))*INDEX(Assumptions!$C$22:$F$22,MATCH(YEAR(AY$3),Assumptions!$C$4:$F$4,0)))*MONTH(AY$3)/12,0)-ROUND((INDEX(Assumptions!$C$21:$F$21,MATCH(YEAR(AY$3),Assumptions!$C$4:$F$4,0))*INDEX(Assumptions!$C$22:$F$22,MATCH(YEAR(AY$3),Assumptions!$C$4:$F$4,0)))*(MONTH(AY$3)-1)/12,0)</f>
        <v>3</v>
      </c>
      <c r="AZ7" s="10">
        <f t="array" ref="AZ7">ROUND((INDEX(Assumptions!$C$21:$F$21,MATCH(YEAR(AZ$3),Assumptions!$C$4:$F$4,0))*INDEX(Assumptions!$C$22:$F$22,MATCH(YEAR(AZ$3),Assumptions!$C$4:$F$4,0)))*MONTH(AZ$3)/12,0)-ROUND((INDEX(Assumptions!$C$21:$F$21,MATCH(YEAR(AZ$3),Assumptions!$C$4:$F$4,0))*INDEX(Assumptions!$C$22:$F$22,MATCH(YEAR(AZ$3),Assumptions!$C$4:$F$4,0)))*(MONTH(AZ$3)-1)/12,0)</f>
        <v>3</v>
      </c>
      <c r="BA7" s="10">
        <f t="array" ref="BA7">ROUND((INDEX(Assumptions!$C$21:$F$21,MATCH(YEAR(BA$3),Assumptions!$C$4:$F$4,0))*INDEX(Assumptions!$C$22:$F$22,MATCH(YEAR(BA$3),Assumptions!$C$4:$F$4,0)))*MONTH(BA$3)/12,0)-ROUND((INDEX(Assumptions!$C$21:$F$21,MATCH(YEAR(BA$3),Assumptions!$C$4:$F$4,0))*INDEX(Assumptions!$C$22:$F$22,MATCH(YEAR(BA$3),Assumptions!$C$4:$F$4,0)))*(MONTH(BA$3)-1)/12,0)</f>
        <v>3</v>
      </c>
      <c r="BB7" s="10"/>
      <c r="BC7" s="10">
        <f t="shared" ref="BC7:BF7" si="1">SUMPRODUCT((YEAR($F$3:$BA$3)=BC$3)*$F7:$BA7)</f>
        <v>18</v>
      </c>
      <c r="BD7" s="10">
        <f t="shared" si="1"/>
        <v>31</v>
      </c>
      <c r="BE7" s="10">
        <f t="shared" si="1"/>
        <v>37</v>
      </c>
      <c r="BF7" s="10">
        <f t="shared" si="1"/>
        <v>37</v>
      </c>
    </row>
    <row r="8">
      <c r="A8" s="1"/>
      <c r="B8" s="3" t="s">
        <v>75</v>
      </c>
      <c r="C8" s="1"/>
      <c r="D8" s="1"/>
      <c r="E8" s="3" t="s">
        <v>39</v>
      </c>
      <c r="F8" s="10">
        <f>SUM(F7)</f>
        <v>2</v>
      </c>
      <c r="G8" s="10">
        <f>SUM(F7:G7)</f>
        <v>3</v>
      </c>
      <c r="H8" s="10">
        <f>SUM(F7:H7)</f>
        <v>5</v>
      </c>
      <c r="I8" s="10">
        <f>SUM(F7:I7)</f>
        <v>6</v>
      </c>
      <c r="J8" s="10">
        <f t="shared" ref="J8:BA8" si="2">SUM(F7:J7)</f>
        <v>8</v>
      </c>
      <c r="K8" s="10">
        <f t="shared" si="2"/>
        <v>7</v>
      </c>
      <c r="L8" s="10">
        <f t="shared" si="2"/>
        <v>8</v>
      </c>
      <c r="M8" s="10">
        <f t="shared" si="2"/>
        <v>7</v>
      </c>
      <c r="N8" s="10">
        <f t="shared" si="2"/>
        <v>8</v>
      </c>
      <c r="O8" s="10">
        <f t="shared" si="2"/>
        <v>7</v>
      </c>
      <c r="P8" s="10">
        <f t="shared" si="2"/>
        <v>8</v>
      </c>
      <c r="Q8" s="10">
        <f t="shared" si="2"/>
        <v>7</v>
      </c>
      <c r="R8" s="10">
        <f t="shared" si="2"/>
        <v>9</v>
      </c>
      <c r="S8" s="10">
        <f t="shared" si="2"/>
        <v>9</v>
      </c>
      <c r="T8" s="10">
        <f t="shared" si="2"/>
        <v>11</v>
      </c>
      <c r="U8" s="10">
        <f t="shared" si="2"/>
        <v>11</v>
      </c>
      <c r="V8" s="10">
        <f t="shared" si="2"/>
        <v>13</v>
      </c>
      <c r="W8" s="10">
        <f t="shared" si="2"/>
        <v>12</v>
      </c>
      <c r="X8" s="10">
        <f t="shared" si="2"/>
        <v>13</v>
      </c>
      <c r="Y8" s="10">
        <f t="shared" si="2"/>
        <v>13</v>
      </c>
      <c r="Z8" s="10">
        <f t="shared" si="2"/>
        <v>13</v>
      </c>
      <c r="AA8" s="10">
        <f t="shared" si="2"/>
        <v>13</v>
      </c>
      <c r="AB8" s="10">
        <f t="shared" si="2"/>
        <v>13</v>
      </c>
      <c r="AC8" s="10">
        <f t="shared" si="2"/>
        <v>13</v>
      </c>
      <c r="AD8" s="10">
        <f t="shared" si="2"/>
        <v>13</v>
      </c>
      <c r="AE8" s="10">
        <f t="shared" si="2"/>
        <v>14</v>
      </c>
      <c r="AF8" s="10">
        <f t="shared" si="2"/>
        <v>14</v>
      </c>
      <c r="AG8" s="10">
        <f t="shared" si="2"/>
        <v>15</v>
      </c>
      <c r="AH8" s="10">
        <f t="shared" si="2"/>
        <v>15</v>
      </c>
      <c r="AI8" s="10">
        <f t="shared" si="2"/>
        <v>15</v>
      </c>
      <c r="AJ8" s="10">
        <f t="shared" si="2"/>
        <v>15</v>
      </c>
      <c r="AK8" s="10">
        <f t="shared" si="2"/>
        <v>15</v>
      </c>
      <c r="AL8" s="10">
        <f t="shared" si="2"/>
        <v>15</v>
      </c>
      <c r="AM8" s="10">
        <f t="shared" si="2"/>
        <v>15</v>
      </c>
      <c r="AN8" s="10">
        <f t="shared" si="2"/>
        <v>15</v>
      </c>
      <c r="AO8" s="10">
        <f t="shared" si="2"/>
        <v>16</v>
      </c>
      <c r="AP8" s="10">
        <f t="shared" si="2"/>
        <v>16</v>
      </c>
      <c r="AQ8" s="10">
        <f t="shared" si="2"/>
        <v>16</v>
      </c>
      <c r="AR8" s="10">
        <f t="shared" si="2"/>
        <v>16</v>
      </c>
      <c r="AS8" s="10">
        <f t="shared" si="2"/>
        <v>16</v>
      </c>
      <c r="AT8" s="10">
        <f t="shared" si="2"/>
        <v>15</v>
      </c>
      <c r="AU8" s="10">
        <f t="shared" si="2"/>
        <v>16</v>
      </c>
      <c r="AV8" s="10">
        <f t="shared" si="2"/>
        <v>16</v>
      </c>
      <c r="AW8" s="10">
        <f t="shared" si="2"/>
        <v>16</v>
      </c>
      <c r="AX8" s="10">
        <f t="shared" si="2"/>
        <v>16</v>
      </c>
      <c r="AY8" s="10">
        <f t="shared" si="2"/>
        <v>16</v>
      </c>
      <c r="AZ8" s="10">
        <f t="shared" si="2"/>
        <v>15</v>
      </c>
      <c r="BA8" s="10">
        <f t="shared" si="2"/>
        <v>15</v>
      </c>
      <c r="BB8" s="10"/>
      <c r="BC8" s="10">
        <f t="shared" ref="BC8:BF8" si="3">SUMPRODUCT((YEAR($F$3:$BA$3)=BC$3)*$F8:$BA8)/12</f>
        <v>6.333333333</v>
      </c>
      <c r="BD8" s="10">
        <f t="shared" si="3"/>
        <v>11.91666667</v>
      </c>
      <c r="BE8" s="10">
        <f t="shared" si="3"/>
        <v>14.75</v>
      </c>
      <c r="BF8" s="10">
        <f t="shared" si="3"/>
        <v>15.75</v>
      </c>
    </row>
    <row r="9">
      <c r="A9" s="1"/>
      <c r="B9" s="3" t="s">
        <v>76</v>
      </c>
      <c r="C9" s="1"/>
      <c r="D9" s="1"/>
      <c r="E9" s="3" t="s">
        <v>33</v>
      </c>
      <c r="F9" s="8">
        <f>F8*Assumptions!$C$5</f>
        <v>14000</v>
      </c>
      <c r="G9" s="8">
        <f>G8*Assumptions!$C$5</f>
        <v>21000</v>
      </c>
      <c r="H9" s="8">
        <f>H8*Assumptions!$C$5</f>
        <v>35000</v>
      </c>
      <c r="I9" s="8">
        <f>I8*Assumptions!$C$5</f>
        <v>42000</v>
      </c>
      <c r="J9" s="8">
        <f>J8*Assumptions!$C$5</f>
        <v>56000</v>
      </c>
      <c r="K9" s="8">
        <f>K8*Assumptions!$C$5</f>
        <v>49000</v>
      </c>
      <c r="L9" s="8">
        <f>L8*Assumptions!$C$5</f>
        <v>56000</v>
      </c>
      <c r="M9" s="8">
        <f>M8*Assumptions!$C$5</f>
        <v>49000</v>
      </c>
      <c r="N9" s="8">
        <f>N8*Assumptions!$C$5</f>
        <v>56000</v>
      </c>
      <c r="O9" s="8">
        <f>O8*Assumptions!$C$5</f>
        <v>49000</v>
      </c>
      <c r="P9" s="8">
        <f>P8*Assumptions!$C$5</f>
        <v>56000</v>
      </c>
      <c r="Q9" s="8">
        <f>Q8*Assumptions!$C$5</f>
        <v>49000</v>
      </c>
      <c r="R9" s="8">
        <f>R8*Assumptions!$C$5</f>
        <v>63000</v>
      </c>
      <c r="S9" s="8">
        <f>S8*Assumptions!$C$5</f>
        <v>63000</v>
      </c>
      <c r="T9" s="8">
        <f>T8*Assumptions!$C$5</f>
        <v>77000</v>
      </c>
      <c r="U9" s="8">
        <f>U8*Assumptions!$C$5</f>
        <v>77000</v>
      </c>
      <c r="V9" s="8">
        <f>V8*Assumptions!$C$5</f>
        <v>91000</v>
      </c>
      <c r="W9" s="8">
        <f>W8*Assumptions!$C$5</f>
        <v>84000</v>
      </c>
      <c r="X9" s="8">
        <f>X8*Assumptions!$C$5</f>
        <v>91000</v>
      </c>
      <c r="Y9" s="8">
        <f>Y8*Assumptions!$C$5</f>
        <v>91000</v>
      </c>
      <c r="Z9" s="8">
        <f>Z8*Assumptions!$C$5</f>
        <v>91000</v>
      </c>
      <c r="AA9" s="8">
        <f>AA8*Assumptions!$C$5</f>
        <v>91000</v>
      </c>
      <c r="AB9" s="8">
        <f>AB8*Assumptions!$C$5</f>
        <v>91000</v>
      </c>
      <c r="AC9" s="8">
        <f>AC8*Assumptions!$C$5</f>
        <v>91000</v>
      </c>
      <c r="AD9" s="8">
        <f>AD8*Assumptions!$C$5</f>
        <v>91000</v>
      </c>
      <c r="AE9" s="8">
        <f>AE8*Assumptions!$C$5</f>
        <v>98000</v>
      </c>
      <c r="AF9" s="8">
        <f>AF8*Assumptions!$C$5</f>
        <v>98000</v>
      </c>
      <c r="AG9" s="8">
        <f>AG8*Assumptions!$C$5</f>
        <v>105000</v>
      </c>
      <c r="AH9" s="8">
        <f>AH8*Assumptions!$C$5</f>
        <v>105000</v>
      </c>
      <c r="AI9" s="8">
        <f>AI8*Assumptions!$C$5</f>
        <v>105000</v>
      </c>
      <c r="AJ9" s="8">
        <f>AJ8*Assumptions!$C$5</f>
        <v>105000</v>
      </c>
      <c r="AK9" s="8">
        <f>AK8*Assumptions!$C$5</f>
        <v>105000</v>
      </c>
      <c r="AL9" s="8">
        <f>AL8*Assumptions!$C$5</f>
        <v>105000</v>
      </c>
      <c r="AM9" s="8">
        <f>AM8*Assumptions!$C$5</f>
        <v>105000</v>
      </c>
      <c r="AN9" s="8">
        <f>AN8*Assumptions!$C$5</f>
        <v>105000</v>
      </c>
      <c r="AO9" s="8">
        <f>AO8*Assumptions!$C$5</f>
        <v>112000</v>
      </c>
      <c r="AP9" s="8">
        <f>AP8*Assumptions!$C$5</f>
        <v>112000</v>
      </c>
      <c r="AQ9" s="8">
        <f>AQ8*Assumptions!$C$5</f>
        <v>112000</v>
      </c>
      <c r="AR9" s="8">
        <f>AR8*Assumptions!$C$5</f>
        <v>112000</v>
      </c>
      <c r="AS9" s="8">
        <f>AS8*Assumptions!$C$5</f>
        <v>112000</v>
      </c>
      <c r="AT9" s="8">
        <f>AT8*Assumptions!$C$5</f>
        <v>105000</v>
      </c>
      <c r="AU9" s="8">
        <f>AU8*Assumptions!$C$5</f>
        <v>112000</v>
      </c>
      <c r="AV9" s="8">
        <f>AV8*Assumptions!$C$5</f>
        <v>112000</v>
      </c>
      <c r="AW9" s="8">
        <f>AW8*Assumptions!$C$5</f>
        <v>112000</v>
      </c>
      <c r="AX9" s="8">
        <f>AX8*Assumptions!$C$5</f>
        <v>112000</v>
      </c>
      <c r="AY9" s="8">
        <f>AY8*Assumptions!$C$5</f>
        <v>112000</v>
      </c>
      <c r="AZ9" s="8">
        <f>AZ8*Assumptions!$C$5</f>
        <v>105000</v>
      </c>
      <c r="BA9" s="8">
        <f>BA8*Assumptions!$C$5</f>
        <v>105000</v>
      </c>
      <c r="BB9" s="8"/>
      <c r="BC9" s="8">
        <f t="shared" ref="BC9:BF9" si="4">SUMPRODUCT((YEAR($F$3:$BA$3)=BC$3)*$F9:$BA9)</f>
        <v>532000</v>
      </c>
      <c r="BD9" s="8">
        <f t="shared" si="4"/>
        <v>1001000</v>
      </c>
      <c r="BE9" s="8">
        <f t="shared" si="4"/>
        <v>1239000</v>
      </c>
      <c r="BF9" s="8">
        <f t="shared" si="4"/>
        <v>1323000</v>
      </c>
    </row>
    <row r="10">
      <c r="A10" s="1"/>
      <c r="B10" s="3" t="s">
        <v>77</v>
      </c>
      <c r="C10" s="1"/>
      <c r="D10" s="1"/>
      <c r="E10" s="3" t="s">
        <v>39</v>
      </c>
      <c r="F10" s="9">
        <v>0.0</v>
      </c>
      <c r="G10" s="9">
        <v>0.0</v>
      </c>
      <c r="H10" s="9">
        <v>0.0</v>
      </c>
      <c r="I10" s="9">
        <v>0.0</v>
      </c>
      <c r="J10" s="9">
        <v>0.0</v>
      </c>
      <c r="K10" s="10">
        <f t="array" ref="K10">F7*INDEX(Assumptions!$C$9:$F$9,MATCH(YEAR(K$3),Assumptions!$C$4:$F$4,0))</f>
        <v>0.3</v>
      </c>
      <c r="L10" s="10">
        <f t="array" ref="L10">G7*INDEX(Assumptions!$C$9:$F$9,MATCH(YEAR(L$3),Assumptions!$C$4:$F$4,0))</f>
        <v>0.15</v>
      </c>
      <c r="M10" s="10">
        <f t="array" ref="M10">H7*INDEX(Assumptions!$C$9:$F$9,MATCH(YEAR(M$3),Assumptions!$C$4:$F$4,0))</f>
        <v>0.3</v>
      </c>
      <c r="N10" s="10">
        <f t="array" ref="N10">I7*INDEX(Assumptions!$C$9:$F$9,MATCH(YEAR(N$3),Assumptions!$C$4:$F$4,0))</f>
        <v>0.15</v>
      </c>
      <c r="O10" s="10">
        <f t="array" ref="O10">J7*INDEX(Assumptions!$C$9:$F$9,MATCH(YEAR(O$3),Assumptions!$C$4:$F$4,0))</f>
        <v>0.3</v>
      </c>
      <c r="P10" s="10">
        <f t="array" ref="P10">K7*INDEX(Assumptions!$C$9:$F$9,MATCH(YEAR(P$3),Assumptions!$C$4:$F$4,0))</f>
        <v>0.15</v>
      </c>
      <c r="Q10" s="10">
        <f t="array" ref="Q10">L7*INDEX(Assumptions!$C$9:$F$9,MATCH(YEAR(Q$3),Assumptions!$C$4:$F$4,0))</f>
        <v>0.3</v>
      </c>
      <c r="R10" s="10">
        <f t="array" ref="R10">M7*INDEX(Assumptions!$C$9:$F$9,MATCH(YEAR(R$3),Assumptions!$C$4:$F$4,0))</f>
        <v>0.18</v>
      </c>
      <c r="S10" s="10">
        <f t="array" ref="S10">N7*INDEX(Assumptions!$C$9:$F$9,MATCH(YEAR(S$3),Assumptions!$C$4:$F$4,0))</f>
        <v>0.36</v>
      </c>
      <c r="T10" s="10">
        <f t="array" ref="T10">O7*INDEX(Assumptions!$C$9:$F$9,MATCH(YEAR(T$3),Assumptions!$C$4:$F$4,0))</f>
        <v>0.18</v>
      </c>
      <c r="U10" s="10">
        <f t="array" ref="U10">P7*INDEX(Assumptions!$C$9:$F$9,MATCH(YEAR(U$3),Assumptions!$C$4:$F$4,0))</f>
        <v>0.36</v>
      </c>
      <c r="V10" s="10">
        <f t="array" ref="V10">Q7*INDEX(Assumptions!$C$9:$F$9,MATCH(YEAR(V$3),Assumptions!$C$4:$F$4,0))</f>
        <v>0.18</v>
      </c>
      <c r="W10" s="10">
        <f t="array" ref="W10">R7*INDEX(Assumptions!$C$9:$F$9,MATCH(YEAR(W$3),Assumptions!$C$4:$F$4,0))</f>
        <v>0.54</v>
      </c>
      <c r="X10" s="10">
        <f t="array" ref="X10">S7*INDEX(Assumptions!$C$9:$F$9,MATCH(YEAR(X$3),Assumptions!$C$4:$F$4,0))</f>
        <v>0.36</v>
      </c>
      <c r="Y10" s="10">
        <f t="array" ref="Y10">T7*INDEX(Assumptions!$C$9:$F$9,MATCH(YEAR(Y$3),Assumptions!$C$4:$F$4,0))</f>
        <v>0.54</v>
      </c>
      <c r="Z10" s="10">
        <f t="array" ref="Z10">U7*INDEX(Assumptions!$C$9:$F$9,MATCH(YEAR(Z$3),Assumptions!$C$4:$F$4,0))</f>
        <v>0.36</v>
      </c>
      <c r="AA10" s="10">
        <f t="array" ref="AA10">V7*INDEX(Assumptions!$C$9:$F$9,MATCH(YEAR(AA$3),Assumptions!$C$4:$F$4,0))</f>
        <v>0.54</v>
      </c>
      <c r="AB10" s="10">
        <f t="array" ref="AB10">W7*INDEX(Assumptions!$C$9:$F$9,MATCH(YEAR(AB$3),Assumptions!$C$4:$F$4,0))</f>
        <v>0.36</v>
      </c>
      <c r="AC10" s="10">
        <f t="array" ref="AC10">X7*INDEX(Assumptions!$C$9:$F$9,MATCH(YEAR(AC$3),Assumptions!$C$4:$F$4,0))</f>
        <v>0.54</v>
      </c>
      <c r="AD10" s="10">
        <f t="array" ref="AD10">Y7*INDEX(Assumptions!$C$9:$F$9,MATCH(YEAR(AD$3),Assumptions!$C$4:$F$4,0))</f>
        <v>0.66</v>
      </c>
      <c r="AE10" s="10">
        <f t="array" ref="AE10">Z7*INDEX(Assumptions!$C$9:$F$9,MATCH(YEAR(AE$3),Assumptions!$C$4:$F$4,0))</f>
        <v>0.44</v>
      </c>
      <c r="AF10" s="10">
        <f t="array" ref="AF10">AA7*INDEX(Assumptions!$C$9:$F$9,MATCH(YEAR(AF$3),Assumptions!$C$4:$F$4,0))</f>
        <v>0.66</v>
      </c>
      <c r="AG10" s="10">
        <f t="array" ref="AG10">AB7*INDEX(Assumptions!$C$9:$F$9,MATCH(YEAR(AG$3),Assumptions!$C$4:$F$4,0))</f>
        <v>0.44</v>
      </c>
      <c r="AH10" s="10">
        <f t="array" ref="AH10">AC7*INDEX(Assumptions!$C$9:$F$9,MATCH(YEAR(AH$3),Assumptions!$C$4:$F$4,0))</f>
        <v>0.66</v>
      </c>
      <c r="AI10" s="10">
        <f t="array" ref="AI10">AD7*INDEX(Assumptions!$C$9:$F$9,MATCH(YEAR(AI$3),Assumptions!$C$4:$F$4,0))</f>
        <v>0.66</v>
      </c>
      <c r="AJ10" s="10">
        <f t="array" ref="AJ10">AE7*INDEX(Assumptions!$C$9:$F$9,MATCH(YEAR(AJ$3),Assumptions!$C$4:$F$4,0))</f>
        <v>0.66</v>
      </c>
      <c r="AK10" s="10">
        <f t="array" ref="AK10">AF7*INDEX(Assumptions!$C$9:$F$9,MATCH(YEAR(AK$3),Assumptions!$C$4:$F$4,0))</f>
        <v>0.66</v>
      </c>
      <c r="AL10" s="10">
        <f t="array" ref="AL10">AG7*INDEX(Assumptions!$C$9:$F$9,MATCH(YEAR(AL$3),Assumptions!$C$4:$F$4,0))</f>
        <v>0.66</v>
      </c>
      <c r="AM10" s="10">
        <f t="array" ref="AM10">AH7*INDEX(Assumptions!$C$9:$F$9,MATCH(YEAR(AM$3),Assumptions!$C$4:$F$4,0))</f>
        <v>0.66</v>
      </c>
      <c r="AN10" s="10">
        <f t="array" ref="AN10">AI7*INDEX(Assumptions!$C$9:$F$9,MATCH(YEAR(AN$3),Assumptions!$C$4:$F$4,0))</f>
        <v>0.66</v>
      </c>
      <c r="AO10" s="10">
        <f t="array" ref="AO10">AJ7*INDEX(Assumptions!$C$9:$F$9,MATCH(YEAR(AO$3),Assumptions!$C$4:$F$4,0))</f>
        <v>0.66</v>
      </c>
      <c r="AP10" s="10">
        <f t="array" ref="AP10">AK7*INDEX(Assumptions!$C$9:$F$9,MATCH(YEAR(AP$3),Assumptions!$C$4:$F$4,0))</f>
        <v>0.75</v>
      </c>
      <c r="AQ10" s="10">
        <f t="array" ref="AQ10">AL7*INDEX(Assumptions!$C$9:$F$9,MATCH(YEAR(AQ$3),Assumptions!$C$4:$F$4,0))</f>
        <v>0.75</v>
      </c>
      <c r="AR10" s="10">
        <f t="array" ref="AR10">AM7*INDEX(Assumptions!$C$9:$F$9,MATCH(YEAR(AR$3),Assumptions!$C$4:$F$4,0))</f>
        <v>0.75</v>
      </c>
      <c r="AS10" s="10">
        <f t="array" ref="AS10">AN7*INDEX(Assumptions!$C$9:$F$9,MATCH(YEAR(AS$3),Assumptions!$C$4:$F$4,0))</f>
        <v>0.75</v>
      </c>
      <c r="AT10" s="10">
        <f t="array" ref="AT10">AO7*INDEX(Assumptions!$C$9:$F$9,MATCH(YEAR(AT$3),Assumptions!$C$4:$F$4,0))</f>
        <v>1</v>
      </c>
      <c r="AU10" s="10">
        <f t="array" ref="AU10">AP7*INDEX(Assumptions!$C$9:$F$9,MATCH(YEAR(AU$3),Assumptions!$C$4:$F$4,0))</f>
        <v>0.75</v>
      </c>
      <c r="AV10" s="10">
        <f t="array" ref="AV10">AQ7*INDEX(Assumptions!$C$9:$F$9,MATCH(YEAR(AV$3),Assumptions!$C$4:$F$4,0))</f>
        <v>0.75</v>
      </c>
      <c r="AW10" s="10">
        <f t="array" ref="AW10">AR7*INDEX(Assumptions!$C$9:$F$9,MATCH(YEAR(AW$3),Assumptions!$C$4:$F$4,0))</f>
        <v>0.75</v>
      </c>
      <c r="AX10" s="10">
        <f t="array" ref="AX10">AS7*INDEX(Assumptions!$C$9:$F$9,MATCH(YEAR(AX$3),Assumptions!$C$4:$F$4,0))</f>
        <v>0.75</v>
      </c>
      <c r="AY10" s="10">
        <f t="array" ref="AY10">AT7*INDEX(Assumptions!$C$9:$F$9,MATCH(YEAR(AY$3),Assumptions!$C$4:$F$4,0))</f>
        <v>0.75</v>
      </c>
      <c r="AZ10" s="10">
        <f t="array" ref="AZ10">AU7*INDEX(Assumptions!$C$9:$F$9,MATCH(YEAR(AZ$3),Assumptions!$C$4:$F$4,0))</f>
        <v>1</v>
      </c>
      <c r="BA10" s="10">
        <f t="array" ref="BA10">AV7*INDEX(Assumptions!$C$9:$F$9,MATCH(YEAR(BA$3),Assumptions!$C$4:$F$4,0))</f>
        <v>0.75</v>
      </c>
      <c r="BB10" s="10"/>
      <c r="BC10" s="10">
        <f t="shared" ref="BC10:BF10" si="5">SUMPRODUCT((YEAR($F$3:$BA$3)=BC$3)*$F10:$BA10)</f>
        <v>1.65</v>
      </c>
      <c r="BD10" s="10">
        <f t="shared" si="5"/>
        <v>4.5</v>
      </c>
      <c r="BE10" s="10">
        <f t="shared" si="5"/>
        <v>7.48</v>
      </c>
      <c r="BF10" s="10">
        <f t="shared" si="5"/>
        <v>9.5</v>
      </c>
    </row>
    <row r="11">
      <c r="A11" s="1"/>
      <c r="B11" s="3" t="s">
        <v>78</v>
      </c>
      <c r="C11" s="1"/>
      <c r="D11" s="1"/>
      <c r="E11" s="3" t="s">
        <v>33</v>
      </c>
      <c r="F11" s="8">
        <f t="array" ref="F11">F10*(INDEX(Assumptions!$C$8:$F$8,MATCH(YEAR(F$3),Assumptions!$C$4:$F$4,0))*Assumptions!$C$7)</f>
        <v>0</v>
      </c>
      <c r="G11" s="8">
        <f t="array" ref="G11">G10*(INDEX(Assumptions!$C$8:$F$8,MATCH(YEAR(G$3),Assumptions!$C$4:$F$4,0))*Assumptions!$C$7)</f>
        <v>0</v>
      </c>
      <c r="H11" s="8">
        <f t="array" ref="H11">H10*(INDEX(Assumptions!$C$8:$F$8,MATCH(YEAR(H$3),Assumptions!$C$4:$F$4,0))*Assumptions!$C$7)</f>
        <v>0</v>
      </c>
      <c r="I11" s="8">
        <f t="array" ref="I11">I10*(INDEX(Assumptions!$C$8:$F$8,MATCH(YEAR(I$3),Assumptions!$C$4:$F$4,0))*Assumptions!$C$7)</f>
        <v>0</v>
      </c>
      <c r="J11" s="8">
        <f t="array" ref="J11">J10*(INDEX(Assumptions!$C$8:$F$8,MATCH(YEAR(J$3),Assumptions!$C$4:$F$4,0))*Assumptions!$C$7)</f>
        <v>0</v>
      </c>
      <c r="K11" s="8">
        <f t="array" ref="K11">K10*(INDEX(Assumptions!$C$8:$F$8,MATCH(YEAR(K$3),Assumptions!$C$4:$F$4,0))*Assumptions!$C$7)</f>
        <v>30000</v>
      </c>
      <c r="L11" s="8">
        <f t="array" ref="L11">L10*(INDEX(Assumptions!$C$8:$F$8,MATCH(YEAR(L$3),Assumptions!$C$4:$F$4,0))*Assumptions!$C$7)</f>
        <v>15000</v>
      </c>
      <c r="M11" s="8">
        <f t="array" ref="M11">M10*(INDEX(Assumptions!$C$8:$F$8,MATCH(YEAR(M$3),Assumptions!$C$4:$F$4,0))*Assumptions!$C$7)</f>
        <v>30000</v>
      </c>
      <c r="N11" s="8">
        <f t="array" ref="N11">N10*(INDEX(Assumptions!$C$8:$F$8,MATCH(YEAR(N$3),Assumptions!$C$4:$F$4,0))*Assumptions!$C$7)</f>
        <v>15000</v>
      </c>
      <c r="O11" s="8">
        <f t="array" ref="O11">O10*(INDEX(Assumptions!$C$8:$F$8,MATCH(YEAR(O$3),Assumptions!$C$4:$F$4,0))*Assumptions!$C$7)</f>
        <v>30000</v>
      </c>
      <c r="P11" s="8">
        <f t="array" ref="P11">P10*(INDEX(Assumptions!$C$8:$F$8,MATCH(YEAR(P$3),Assumptions!$C$4:$F$4,0))*Assumptions!$C$7)</f>
        <v>15000</v>
      </c>
      <c r="Q11" s="8">
        <f t="array" ref="Q11">Q10*(INDEX(Assumptions!$C$8:$F$8,MATCH(YEAR(Q$3),Assumptions!$C$4:$F$4,0))*Assumptions!$C$7)</f>
        <v>30000</v>
      </c>
      <c r="R11" s="8">
        <f t="array" ref="R11">R10*(INDEX(Assumptions!$C$8:$F$8,MATCH(YEAR(R$3),Assumptions!$C$4:$F$4,0))*Assumptions!$C$7)</f>
        <v>25200</v>
      </c>
      <c r="S11" s="8">
        <f t="array" ref="S11">S10*(INDEX(Assumptions!$C$8:$F$8,MATCH(YEAR(S$3),Assumptions!$C$4:$F$4,0))*Assumptions!$C$7)</f>
        <v>50400</v>
      </c>
      <c r="T11" s="8">
        <f t="array" ref="T11">T10*(INDEX(Assumptions!$C$8:$F$8,MATCH(YEAR(T$3),Assumptions!$C$4:$F$4,0))*Assumptions!$C$7)</f>
        <v>25200</v>
      </c>
      <c r="U11" s="8">
        <f t="array" ref="U11">U10*(INDEX(Assumptions!$C$8:$F$8,MATCH(YEAR(U$3),Assumptions!$C$4:$F$4,0))*Assumptions!$C$7)</f>
        <v>50400</v>
      </c>
      <c r="V11" s="8">
        <f t="array" ref="V11">V10*(INDEX(Assumptions!$C$8:$F$8,MATCH(YEAR(V$3),Assumptions!$C$4:$F$4,0))*Assumptions!$C$7)</f>
        <v>25200</v>
      </c>
      <c r="W11" s="8">
        <f t="array" ref="W11">W10*(INDEX(Assumptions!$C$8:$F$8,MATCH(YEAR(W$3),Assumptions!$C$4:$F$4,0))*Assumptions!$C$7)</f>
        <v>75600</v>
      </c>
      <c r="X11" s="8">
        <f t="array" ref="X11">X10*(INDEX(Assumptions!$C$8:$F$8,MATCH(YEAR(X$3),Assumptions!$C$4:$F$4,0))*Assumptions!$C$7)</f>
        <v>50400</v>
      </c>
      <c r="Y11" s="8">
        <f t="array" ref="Y11">Y10*(INDEX(Assumptions!$C$8:$F$8,MATCH(YEAR(Y$3),Assumptions!$C$4:$F$4,0))*Assumptions!$C$7)</f>
        <v>75600</v>
      </c>
      <c r="Z11" s="8">
        <f t="array" ref="Z11">Z10*(INDEX(Assumptions!$C$8:$F$8,MATCH(YEAR(Z$3),Assumptions!$C$4:$F$4,0))*Assumptions!$C$7)</f>
        <v>50400</v>
      </c>
      <c r="AA11" s="8">
        <f t="array" ref="AA11">AA10*(INDEX(Assumptions!$C$8:$F$8,MATCH(YEAR(AA$3),Assumptions!$C$4:$F$4,0))*Assumptions!$C$7)</f>
        <v>75600</v>
      </c>
      <c r="AB11" s="8">
        <f t="array" ref="AB11">AB10*(INDEX(Assumptions!$C$8:$F$8,MATCH(YEAR(AB$3),Assumptions!$C$4:$F$4,0))*Assumptions!$C$7)</f>
        <v>50400</v>
      </c>
      <c r="AC11" s="8">
        <f t="array" ref="AC11">AC10*(INDEX(Assumptions!$C$8:$F$8,MATCH(YEAR(AC$3),Assumptions!$C$4:$F$4,0))*Assumptions!$C$7)</f>
        <v>75600</v>
      </c>
      <c r="AD11" s="8">
        <f t="array" ref="AD11">AD10*(INDEX(Assumptions!$C$8:$F$8,MATCH(YEAR(AD$3),Assumptions!$C$4:$F$4,0))*Assumptions!$C$7)</f>
        <v>132000</v>
      </c>
      <c r="AE11" s="8">
        <f t="array" ref="AE11">AE10*(INDEX(Assumptions!$C$8:$F$8,MATCH(YEAR(AE$3),Assumptions!$C$4:$F$4,0))*Assumptions!$C$7)</f>
        <v>88000</v>
      </c>
      <c r="AF11" s="8">
        <f t="array" ref="AF11">AF10*(INDEX(Assumptions!$C$8:$F$8,MATCH(YEAR(AF$3),Assumptions!$C$4:$F$4,0))*Assumptions!$C$7)</f>
        <v>132000</v>
      </c>
      <c r="AG11" s="8">
        <f t="array" ref="AG11">AG10*(INDEX(Assumptions!$C$8:$F$8,MATCH(YEAR(AG$3),Assumptions!$C$4:$F$4,0))*Assumptions!$C$7)</f>
        <v>88000</v>
      </c>
      <c r="AH11" s="8">
        <f t="array" ref="AH11">AH10*(INDEX(Assumptions!$C$8:$F$8,MATCH(YEAR(AH$3),Assumptions!$C$4:$F$4,0))*Assumptions!$C$7)</f>
        <v>132000</v>
      </c>
      <c r="AI11" s="8">
        <f t="array" ref="AI11">AI10*(INDEX(Assumptions!$C$8:$F$8,MATCH(YEAR(AI$3),Assumptions!$C$4:$F$4,0))*Assumptions!$C$7)</f>
        <v>132000</v>
      </c>
      <c r="AJ11" s="8">
        <f t="array" ref="AJ11">AJ10*(INDEX(Assumptions!$C$8:$F$8,MATCH(YEAR(AJ$3),Assumptions!$C$4:$F$4,0))*Assumptions!$C$7)</f>
        <v>132000</v>
      </c>
      <c r="AK11" s="8">
        <f t="array" ref="AK11">AK10*(INDEX(Assumptions!$C$8:$F$8,MATCH(YEAR(AK$3),Assumptions!$C$4:$F$4,0))*Assumptions!$C$7)</f>
        <v>132000</v>
      </c>
      <c r="AL11" s="8">
        <f t="array" ref="AL11">AL10*(INDEX(Assumptions!$C$8:$F$8,MATCH(YEAR(AL$3),Assumptions!$C$4:$F$4,0))*Assumptions!$C$7)</f>
        <v>132000</v>
      </c>
      <c r="AM11" s="8">
        <f t="array" ref="AM11">AM10*(INDEX(Assumptions!$C$8:$F$8,MATCH(YEAR(AM$3),Assumptions!$C$4:$F$4,0))*Assumptions!$C$7)</f>
        <v>132000</v>
      </c>
      <c r="AN11" s="8">
        <f t="array" ref="AN11">AN10*(INDEX(Assumptions!$C$8:$F$8,MATCH(YEAR(AN$3),Assumptions!$C$4:$F$4,0))*Assumptions!$C$7)</f>
        <v>132000</v>
      </c>
      <c r="AO11" s="8">
        <f t="array" ref="AO11">AO10*(INDEX(Assumptions!$C$8:$F$8,MATCH(YEAR(AO$3),Assumptions!$C$4:$F$4,0))*Assumptions!$C$7)</f>
        <v>132000</v>
      </c>
      <c r="AP11" s="8">
        <f t="array" ref="AP11">AP10*(INDEX(Assumptions!$C$8:$F$8,MATCH(YEAR(AP$3),Assumptions!$C$4:$F$4,0))*Assumptions!$C$7)</f>
        <v>225000</v>
      </c>
      <c r="AQ11" s="8">
        <f t="array" ref="AQ11">AQ10*(INDEX(Assumptions!$C$8:$F$8,MATCH(YEAR(AQ$3),Assumptions!$C$4:$F$4,0))*Assumptions!$C$7)</f>
        <v>225000</v>
      </c>
      <c r="AR11" s="8">
        <f t="array" ref="AR11">AR10*(INDEX(Assumptions!$C$8:$F$8,MATCH(YEAR(AR$3),Assumptions!$C$4:$F$4,0))*Assumptions!$C$7)</f>
        <v>225000</v>
      </c>
      <c r="AS11" s="8">
        <f t="array" ref="AS11">AS10*(INDEX(Assumptions!$C$8:$F$8,MATCH(YEAR(AS$3),Assumptions!$C$4:$F$4,0))*Assumptions!$C$7)</f>
        <v>225000</v>
      </c>
      <c r="AT11" s="8">
        <f t="array" ref="AT11">AT10*(INDEX(Assumptions!$C$8:$F$8,MATCH(YEAR(AT$3),Assumptions!$C$4:$F$4,0))*Assumptions!$C$7)</f>
        <v>300000</v>
      </c>
      <c r="AU11" s="8">
        <f t="array" ref="AU11">AU10*(INDEX(Assumptions!$C$8:$F$8,MATCH(YEAR(AU$3),Assumptions!$C$4:$F$4,0))*Assumptions!$C$7)</f>
        <v>225000</v>
      </c>
      <c r="AV11" s="8">
        <f t="array" ref="AV11">AV10*(INDEX(Assumptions!$C$8:$F$8,MATCH(YEAR(AV$3),Assumptions!$C$4:$F$4,0))*Assumptions!$C$7)</f>
        <v>225000</v>
      </c>
      <c r="AW11" s="8">
        <f t="array" ref="AW11">AW10*(INDEX(Assumptions!$C$8:$F$8,MATCH(YEAR(AW$3),Assumptions!$C$4:$F$4,0))*Assumptions!$C$7)</f>
        <v>225000</v>
      </c>
      <c r="AX11" s="8">
        <f t="array" ref="AX11">AX10*(INDEX(Assumptions!$C$8:$F$8,MATCH(YEAR(AX$3),Assumptions!$C$4:$F$4,0))*Assumptions!$C$7)</f>
        <v>225000</v>
      </c>
      <c r="AY11" s="8">
        <f t="array" ref="AY11">AY10*(INDEX(Assumptions!$C$8:$F$8,MATCH(YEAR(AY$3),Assumptions!$C$4:$F$4,0))*Assumptions!$C$7)</f>
        <v>225000</v>
      </c>
      <c r="AZ11" s="8">
        <f t="array" ref="AZ11">AZ10*(INDEX(Assumptions!$C$8:$F$8,MATCH(YEAR(AZ$3),Assumptions!$C$4:$F$4,0))*Assumptions!$C$7)</f>
        <v>300000</v>
      </c>
      <c r="BA11" s="8">
        <f t="array" ref="BA11">BA10*(INDEX(Assumptions!$C$8:$F$8,MATCH(YEAR(BA$3),Assumptions!$C$4:$F$4,0))*Assumptions!$C$7)</f>
        <v>225000</v>
      </c>
      <c r="BB11" s="8"/>
      <c r="BC11" s="8">
        <f t="shared" ref="BC11:BF11" si="6">SUMPRODUCT((YEAR($F$3:$BA$3)=BC$3)*$F11:$BA11)</f>
        <v>165000</v>
      </c>
      <c r="BD11" s="8">
        <f t="shared" si="6"/>
        <v>630000</v>
      </c>
      <c r="BE11" s="8">
        <f t="shared" si="6"/>
        <v>1496000</v>
      </c>
      <c r="BF11" s="8">
        <f t="shared" si="6"/>
        <v>2850000</v>
      </c>
    </row>
    <row r="12">
      <c r="A12" s="1"/>
      <c r="B12" s="28" t="s">
        <v>79</v>
      </c>
      <c r="C12" s="29"/>
      <c r="D12" s="29"/>
      <c r="E12" s="28" t="s">
        <v>33</v>
      </c>
      <c r="F12" s="30">
        <f t="shared" ref="F12:BA12" si="7">F9+F11</f>
        <v>14000</v>
      </c>
      <c r="G12" s="30">
        <f t="shared" si="7"/>
        <v>21000</v>
      </c>
      <c r="H12" s="30">
        <f t="shared" si="7"/>
        <v>35000</v>
      </c>
      <c r="I12" s="30">
        <f t="shared" si="7"/>
        <v>42000</v>
      </c>
      <c r="J12" s="30">
        <f t="shared" si="7"/>
        <v>56000</v>
      </c>
      <c r="K12" s="30">
        <f t="shared" si="7"/>
        <v>79000</v>
      </c>
      <c r="L12" s="30">
        <f t="shared" si="7"/>
        <v>71000</v>
      </c>
      <c r="M12" s="30">
        <f t="shared" si="7"/>
        <v>79000</v>
      </c>
      <c r="N12" s="30">
        <f t="shared" si="7"/>
        <v>71000</v>
      </c>
      <c r="O12" s="30">
        <f t="shared" si="7"/>
        <v>79000</v>
      </c>
      <c r="P12" s="30">
        <f t="shared" si="7"/>
        <v>71000</v>
      </c>
      <c r="Q12" s="30">
        <f t="shared" si="7"/>
        <v>79000</v>
      </c>
      <c r="R12" s="30">
        <f t="shared" si="7"/>
        <v>88200</v>
      </c>
      <c r="S12" s="30">
        <f t="shared" si="7"/>
        <v>113400</v>
      </c>
      <c r="T12" s="30">
        <f t="shared" si="7"/>
        <v>102200</v>
      </c>
      <c r="U12" s="30">
        <f t="shared" si="7"/>
        <v>127400</v>
      </c>
      <c r="V12" s="30">
        <f t="shared" si="7"/>
        <v>116200</v>
      </c>
      <c r="W12" s="30">
        <f t="shared" si="7"/>
        <v>159600</v>
      </c>
      <c r="X12" s="30">
        <f t="shared" si="7"/>
        <v>141400</v>
      </c>
      <c r="Y12" s="30">
        <f t="shared" si="7"/>
        <v>166600</v>
      </c>
      <c r="Z12" s="30">
        <f t="shared" si="7"/>
        <v>141400</v>
      </c>
      <c r="AA12" s="30">
        <f t="shared" si="7"/>
        <v>166600</v>
      </c>
      <c r="AB12" s="30">
        <f t="shared" si="7"/>
        <v>141400</v>
      </c>
      <c r="AC12" s="30">
        <f t="shared" si="7"/>
        <v>166600</v>
      </c>
      <c r="AD12" s="30">
        <f t="shared" si="7"/>
        <v>223000</v>
      </c>
      <c r="AE12" s="30">
        <f t="shared" si="7"/>
        <v>186000</v>
      </c>
      <c r="AF12" s="30">
        <f t="shared" si="7"/>
        <v>230000</v>
      </c>
      <c r="AG12" s="30">
        <f t="shared" si="7"/>
        <v>193000</v>
      </c>
      <c r="AH12" s="30">
        <f t="shared" si="7"/>
        <v>237000</v>
      </c>
      <c r="AI12" s="30">
        <f t="shared" si="7"/>
        <v>237000</v>
      </c>
      <c r="AJ12" s="30">
        <f t="shared" si="7"/>
        <v>237000</v>
      </c>
      <c r="AK12" s="30">
        <f t="shared" si="7"/>
        <v>237000</v>
      </c>
      <c r="AL12" s="30">
        <f t="shared" si="7"/>
        <v>237000</v>
      </c>
      <c r="AM12" s="30">
        <f t="shared" si="7"/>
        <v>237000</v>
      </c>
      <c r="AN12" s="30">
        <f t="shared" si="7"/>
        <v>237000</v>
      </c>
      <c r="AO12" s="30">
        <f t="shared" si="7"/>
        <v>244000</v>
      </c>
      <c r="AP12" s="30">
        <f t="shared" si="7"/>
        <v>337000</v>
      </c>
      <c r="AQ12" s="30">
        <f t="shared" si="7"/>
        <v>337000</v>
      </c>
      <c r="AR12" s="30">
        <f t="shared" si="7"/>
        <v>337000</v>
      </c>
      <c r="AS12" s="30">
        <f t="shared" si="7"/>
        <v>337000</v>
      </c>
      <c r="AT12" s="30">
        <f t="shared" si="7"/>
        <v>405000</v>
      </c>
      <c r="AU12" s="30">
        <f t="shared" si="7"/>
        <v>337000</v>
      </c>
      <c r="AV12" s="30">
        <f t="shared" si="7"/>
        <v>337000</v>
      </c>
      <c r="AW12" s="30">
        <f t="shared" si="7"/>
        <v>337000</v>
      </c>
      <c r="AX12" s="30">
        <f t="shared" si="7"/>
        <v>337000</v>
      </c>
      <c r="AY12" s="30">
        <f t="shared" si="7"/>
        <v>337000</v>
      </c>
      <c r="AZ12" s="30">
        <f t="shared" si="7"/>
        <v>405000</v>
      </c>
      <c r="BA12" s="30">
        <f t="shared" si="7"/>
        <v>330000</v>
      </c>
      <c r="BB12" s="30"/>
      <c r="BC12" s="30">
        <f t="shared" ref="BC12:BF12" si="8">SUMPRODUCT((YEAR($F$3:$BA$3)=BC$3)*$F12:$BA12)</f>
        <v>697000</v>
      </c>
      <c r="BD12" s="30">
        <f t="shared" si="8"/>
        <v>1631000</v>
      </c>
      <c r="BE12" s="30">
        <f t="shared" si="8"/>
        <v>2735000</v>
      </c>
      <c r="BF12" s="30">
        <f t="shared" si="8"/>
        <v>4173000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4" t="s">
        <v>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>
      <c r="A15" s="1"/>
      <c r="B15" s="3" t="s">
        <v>74</v>
      </c>
      <c r="C15" s="1"/>
      <c r="D15" s="1"/>
      <c r="E15" s="3" t="s">
        <v>39</v>
      </c>
      <c r="F15" s="10">
        <f t="array" ref="F15">ROUND((INDEX(Assumptions!$C$21:$F$21,MATCH(YEAR(F$3),Assumptions!$C$4:$F$4,0))*(1-INDEX(Assumptions!$C$22:$F$22,MATCH(YEAR(F$3),Assumptions!$C$4:$F$4,0))))*MONTH(F$3)/12,0)-ROUND((INDEX(Assumptions!$C$21:$F$21,MATCH(YEAR(F$3),Assumptions!$C$4:$F$4,0))*(1-INDEX(Assumptions!$C$22:$F$22,MATCH(YEAR(F$3),Assumptions!$C$4:$F$4,0))))*(MONTH(F$3)-1)/12,0)</f>
        <v>0</v>
      </c>
      <c r="G15" s="10">
        <f t="array" ref="G15">ROUND((INDEX(Assumptions!$C$21:$F$21,MATCH(YEAR(G$3),Assumptions!$C$4:$F$4,0))*(1-INDEX(Assumptions!$C$22:$F$22,MATCH(YEAR(G$3),Assumptions!$C$4:$F$4,0))))*MONTH(G$3)/12,0)-ROUND((INDEX(Assumptions!$C$21:$F$21,MATCH(YEAR(G$3),Assumptions!$C$4:$F$4,0))*(1-INDEX(Assumptions!$C$22:$F$22,MATCH(YEAR(G$3),Assumptions!$C$4:$F$4,0))))*(MONTH(G$3)-1)/12,0)</f>
        <v>0</v>
      </c>
      <c r="H15" s="10">
        <f t="array" ref="H15">ROUND((INDEX(Assumptions!$C$21:$F$21,MATCH(YEAR(H$3),Assumptions!$C$4:$F$4,0))*(1-INDEX(Assumptions!$C$22:$F$22,MATCH(YEAR(H$3),Assumptions!$C$4:$F$4,0))))*MONTH(H$3)/12,0)-ROUND((INDEX(Assumptions!$C$21:$F$21,MATCH(YEAR(H$3),Assumptions!$C$4:$F$4,0))*(1-INDEX(Assumptions!$C$22:$F$22,MATCH(YEAR(H$3),Assumptions!$C$4:$F$4,0))))*(MONTH(H$3)-1)/12,0)</f>
        <v>1</v>
      </c>
      <c r="I15" s="10">
        <f t="array" ref="I15">ROUND((INDEX(Assumptions!$C$21:$F$21,MATCH(YEAR(I$3),Assumptions!$C$4:$F$4,0))*(1-INDEX(Assumptions!$C$22:$F$22,MATCH(YEAR(I$3),Assumptions!$C$4:$F$4,0))))*MONTH(I$3)/12,0)-ROUND((INDEX(Assumptions!$C$21:$F$21,MATCH(YEAR(I$3),Assumptions!$C$4:$F$4,0))*(1-INDEX(Assumptions!$C$22:$F$22,MATCH(YEAR(I$3),Assumptions!$C$4:$F$4,0))))*(MONTH(I$3)-1)/12,0)</f>
        <v>0</v>
      </c>
      <c r="J15" s="10">
        <f t="array" ref="J15">ROUND((INDEX(Assumptions!$C$21:$F$21,MATCH(YEAR(J$3),Assumptions!$C$4:$F$4,0))*(1-INDEX(Assumptions!$C$22:$F$22,MATCH(YEAR(J$3),Assumptions!$C$4:$F$4,0))))*MONTH(J$3)/12,0)-ROUND((INDEX(Assumptions!$C$21:$F$21,MATCH(YEAR(J$3),Assumptions!$C$4:$F$4,0))*(1-INDEX(Assumptions!$C$22:$F$22,MATCH(YEAR(J$3),Assumptions!$C$4:$F$4,0))))*(MONTH(J$3)-1)/12,0)</f>
        <v>0</v>
      </c>
      <c r="K15" s="10">
        <f t="array" ref="K15">ROUND((INDEX(Assumptions!$C$21:$F$21,MATCH(YEAR(K$3),Assumptions!$C$4:$F$4,0))*(1-INDEX(Assumptions!$C$22:$F$22,MATCH(YEAR(K$3),Assumptions!$C$4:$F$4,0))))*MONTH(K$3)/12,0)-ROUND((INDEX(Assumptions!$C$21:$F$21,MATCH(YEAR(K$3),Assumptions!$C$4:$F$4,0))*(1-INDEX(Assumptions!$C$22:$F$22,MATCH(YEAR(K$3),Assumptions!$C$4:$F$4,0))))*(MONTH(K$3)-1)/12,0)</f>
        <v>0</v>
      </c>
      <c r="L15" s="10">
        <f t="array" ref="L15">ROUND((INDEX(Assumptions!$C$21:$F$21,MATCH(YEAR(L$3),Assumptions!$C$4:$F$4,0))*(1-INDEX(Assumptions!$C$22:$F$22,MATCH(YEAR(L$3),Assumptions!$C$4:$F$4,0))))*MONTH(L$3)/12,0)-ROUND((INDEX(Assumptions!$C$21:$F$21,MATCH(YEAR(L$3),Assumptions!$C$4:$F$4,0))*(1-INDEX(Assumptions!$C$22:$F$22,MATCH(YEAR(L$3),Assumptions!$C$4:$F$4,0))))*(MONTH(L$3)-1)/12,0)</f>
        <v>0</v>
      </c>
      <c r="M15" s="10">
        <f t="array" ref="M15">ROUND((INDEX(Assumptions!$C$21:$F$21,MATCH(YEAR(M$3),Assumptions!$C$4:$F$4,0))*(1-INDEX(Assumptions!$C$22:$F$22,MATCH(YEAR(M$3),Assumptions!$C$4:$F$4,0))))*MONTH(M$3)/12,0)-ROUND((INDEX(Assumptions!$C$21:$F$21,MATCH(YEAR(M$3),Assumptions!$C$4:$F$4,0))*(1-INDEX(Assumptions!$C$22:$F$22,MATCH(YEAR(M$3),Assumptions!$C$4:$F$4,0))))*(MONTH(M$3)-1)/12,0)</f>
        <v>0</v>
      </c>
      <c r="N15" s="10">
        <f t="array" ref="N15">ROUND((INDEX(Assumptions!$C$21:$F$21,MATCH(YEAR(N$3),Assumptions!$C$4:$F$4,0))*(1-INDEX(Assumptions!$C$22:$F$22,MATCH(YEAR(N$3),Assumptions!$C$4:$F$4,0))))*MONTH(N$3)/12,0)-ROUND((INDEX(Assumptions!$C$21:$F$21,MATCH(YEAR(N$3),Assumptions!$C$4:$F$4,0))*(1-INDEX(Assumptions!$C$22:$F$22,MATCH(YEAR(N$3),Assumptions!$C$4:$F$4,0))))*(MONTH(N$3)-1)/12,0)</f>
        <v>1</v>
      </c>
      <c r="O15" s="10">
        <f t="array" ref="O15">ROUND((INDEX(Assumptions!$C$21:$F$21,MATCH(YEAR(O$3),Assumptions!$C$4:$F$4,0))*(1-INDEX(Assumptions!$C$22:$F$22,MATCH(YEAR(O$3),Assumptions!$C$4:$F$4,0))))*MONTH(O$3)/12,0)-ROUND((INDEX(Assumptions!$C$21:$F$21,MATCH(YEAR(O$3),Assumptions!$C$4:$F$4,0))*(1-INDEX(Assumptions!$C$22:$F$22,MATCH(YEAR(O$3),Assumptions!$C$4:$F$4,0))))*(MONTH(O$3)-1)/12,0)</f>
        <v>0</v>
      </c>
      <c r="P15" s="10">
        <f t="array" ref="P15">ROUND((INDEX(Assumptions!$C$21:$F$21,MATCH(YEAR(P$3),Assumptions!$C$4:$F$4,0))*(1-INDEX(Assumptions!$C$22:$F$22,MATCH(YEAR(P$3),Assumptions!$C$4:$F$4,0))))*MONTH(P$3)/12,0)-ROUND((INDEX(Assumptions!$C$21:$F$21,MATCH(YEAR(P$3),Assumptions!$C$4:$F$4,0))*(1-INDEX(Assumptions!$C$22:$F$22,MATCH(YEAR(P$3),Assumptions!$C$4:$F$4,0))))*(MONTH(P$3)-1)/12,0)</f>
        <v>0</v>
      </c>
      <c r="Q15" s="10">
        <f t="array" ref="Q15">ROUND((INDEX(Assumptions!$C$21:$F$21,MATCH(YEAR(Q$3),Assumptions!$C$4:$F$4,0))*(1-INDEX(Assumptions!$C$22:$F$22,MATCH(YEAR(Q$3),Assumptions!$C$4:$F$4,0))))*MONTH(Q$3)/12,0)-ROUND((INDEX(Assumptions!$C$21:$F$21,MATCH(YEAR(Q$3),Assumptions!$C$4:$F$4,0))*(1-INDEX(Assumptions!$C$22:$F$22,MATCH(YEAR(Q$3),Assumptions!$C$4:$F$4,0))))*(MONTH(Q$3)-1)/12,0)</f>
        <v>0</v>
      </c>
      <c r="R15" s="10">
        <f t="array" ref="R15">ROUND((INDEX(Assumptions!$C$21:$F$21,MATCH(YEAR(R$3),Assumptions!$C$4:$F$4,0))*(1-INDEX(Assumptions!$C$22:$F$22,MATCH(YEAR(R$3),Assumptions!$C$4:$F$4,0))))*MONTH(R$3)/12,0)-ROUND((INDEX(Assumptions!$C$21:$F$21,MATCH(YEAR(R$3),Assumptions!$C$4:$F$4,0))*(1-INDEX(Assumptions!$C$22:$F$22,MATCH(YEAR(R$3),Assumptions!$C$4:$F$4,0))))*(MONTH(R$3)-1)/12,0)</f>
        <v>1</v>
      </c>
      <c r="S15" s="10">
        <f t="array" ref="S15">ROUND((INDEX(Assumptions!$C$21:$F$21,MATCH(YEAR(S$3),Assumptions!$C$4:$F$4,0))*(1-INDEX(Assumptions!$C$22:$F$22,MATCH(YEAR(S$3),Assumptions!$C$4:$F$4,0))))*MONTH(S$3)/12,0)-ROUND((INDEX(Assumptions!$C$21:$F$21,MATCH(YEAR(S$3),Assumptions!$C$4:$F$4,0))*(1-INDEX(Assumptions!$C$22:$F$22,MATCH(YEAR(S$3),Assumptions!$C$4:$F$4,0))))*(MONTH(S$3)-1)/12,0)</f>
        <v>1</v>
      </c>
      <c r="T15" s="10">
        <f t="array" ref="T15">ROUND((INDEX(Assumptions!$C$21:$F$21,MATCH(YEAR(T$3),Assumptions!$C$4:$F$4,0))*(1-INDEX(Assumptions!$C$22:$F$22,MATCH(YEAR(T$3),Assumptions!$C$4:$F$4,0))))*MONTH(T$3)/12,0)-ROUND((INDEX(Assumptions!$C$21:$F$21,MATCH(YEAR(T$3),Assumptions!$C$4:$F$4,0))*(1-INDEX(Assumptions!$C$22:$F$22,MATCH(YEAR(T$3),Assumptions!$C$4:$F$4,0))))*(MONTH(T$3)-1)/12,0)</f>
        <v>0</v>
      </c>
      <c r="U15" s="10">
        <f t="array" ref="U15">ROUND((INDEX(Assumptions!$C$21:$F$21,MATCH(YEAR(U$3),Assumptions!$C$4:$F$4,0))*(1-INDEX(Assumptions!$C$22:$F$22,MATCH(YEAR(U$3),Assumptions!$C$4:$F$4,0))))*MONTH(U$3)/12,0)-ROUND((INDEX(Assumptions!$C$21:$F$21,MATCH(YEAR(U$3),Assumptions!$C$4:$F$4,0))*(1-INDEX(Assumptions!$C$22:$F$22,MATCH(YEAR(U$3),Assumptions!$C$4:$F$4,0))))*(MONTH(U$3)-1)/12,0)</f>
        <v>1</v>
      </c>
      <c r="V15" s="10">
        <f t="array" ref="V15">ROUND((INDEX(Assumptions!$C$21:$F$21,MATCH(YEAR(V$3),Assumptions!$C$4:$F$4,0))*(1-INDEX(Assumptions!$C$22:$F$22,MATCH(YEAR(V$3),Assumptions!$C$4:$F$4,0))))*MONTH(V$3)/12,0)-ROUND((INDEX(Assumptions!$C$21:$F$21,MATCH(YEAR(V$3),Assumptions!$C$4:$F$4,0))*(1-INDEX(Assumptions!$C$22:$F$22,MATCH(YEAR(V$3),Assumptions!$C$4:$F$4,0))))*(MONTH(V$3)-1)/12,0)</f>
        <v>1</v>
      </c>
      <c r="W15" s="10">
        <f t="array" ref="W15">ROUND((INDEX(Assumptions!$C$21:$F$21,MATCH(YEAR(W$3),Assumptions!$C$4:$F$4,0))*(1-INDEX(Assumptions!$C$22:$F$22,MATCH(YEAR(W$3),Assumptions!$C$4:$F$4,0))))*MONTH(W$3)/12,0)-ROUND((INDEX(Assumptions!$C$21:$F$21,MATCH(YEAR(W$3),Assumptions!$C$4:$F$4,0))*(1-INDEX(Assumptions!$C$22:$F$22,MATCH(YEAR(W$3),Assumptions!$C$4:$F$4,0))))*(MONTH(W$3)-1)/12,0)</f>
        <v>1</v>
      </c>
      <c r="X15" s="10">
        <f t="array" ref="X15">ROUND((INDEX(Assumptions!$C$21:$F$21,MATCH(YEAR(X$3),Assumptions!$C$4:$F$4,0))*(1-INDEX(Assumptions!$C$22:$F$22,MATCH(YEAR(X$3),Assumptions!$C$4:$F$4,0))))*MONTH(X$3)/12,0)-ROUND((INDEX(Assumptions!$C$21:$F$21,MATCH(YEAR(X$3),Assumptions!$C$4:$F$4,0))*(1-INDEX(Assumptions!$C$22:$F$22,MATCH(YEAR(X$3),Assumptions!$C$4:$F$4,0))))*(MONTH(X$3)-1)/12,0)</f>
        <v>0</v>
      </c>
      <c r="Y15" s="10">
        <f t="array" ref="Y15">ROUND((INDEX(Assumptions!$C$21:$F$21,MATCH(YEAR(Y$3),Assumptions!$C$4:$F$4,0))*(1-INDEX(Assumptions!$C$22:$F$22,MATCH(YEAR(Y$3),Assumptions!$C$4:$F$4,0))))*MONTH(Y$3)/12,0)-ROUND((INDEX(Assumptions!$C$21:$F$21,MATCH(YEAR(Y$3),Assumptions!$C$4:$F$4,0))*(1-INDEX(Assumptions!$C$22:$F$22,MATCH(YEAR(Y$3),Assumptions!$C$4:$F$4,0))))*(MONTH(Y$3)-1)/12,0)</f>
        <v>1</v>
      </c>
      <c r="Z15" s="10">
        <f t="array" ref="Z15">ROUND((INDEX(Assumptions!$C$21:$F$21,MATCH(YEAR(Z$3),Assumptions!$C$4:$F$4,0))*(1-INDEX(Assumptions!$C$22:$F$22,MATCH(YEAR(Z$3),Assumptions!$C$4:$F$4,0))))*MONTH(Z$3)/12,0)-ROUND((INDEX(Assumptions!$C$21:$F$21,MATCH(YEAR(Z$3),Assumptions!$C$4:$F$4,0))*(1-INDEX(Assumptions!$C$22:$F$22,MATCH(YEAR(Z$3),Assumptions!$C$4:$F$4,0))))*(MONTH(Z$3)-1)/12,0)</f>
        <v>1</v>
      </c>
      <c r="AA15" s="10">
        <f t="array" ref="AA15">ROUND((INDEX(Assumptions!$C$21:$F$21,MATCH(YEAR(AA$3),Assumptions!$C$4:$F$4,0))*(1-INDEX(Assumptions!$C$22:$F$22,MATCH(YEAR(AA$3),Assumptions!$C$4:$F$4,0))))*MONTH(AA$3)/12,0)-ROUND((INDEX(Assumptions!$C$21:$F$21,MATCH(YEAR(AA$3),Assumptions!$C$4:$F$4,0))*(1-INDEX(Assumptions!$C$22:$F$22,MATCH(YEAR(AA$3),Assumptions!$C$4:$F$4,0))))*(MONTH(AA$3)-1)/12,0)</f>
        <v>1</v>
      </c>
      <c r="AB15" s="10">
        <f t="array" ref="AB15">ROUND((INDEX(Assumptions!$C$21:$F$21,MATCH(YEAR(AB$3),Assumptions!$C$4:$F$4,0))*(1-INDEX(Assumptions!$C$22:$F$22,MATCH(YEAR(AB$3),Assumptions!$C$4:$F$4,0))))*MONTH(AB$3)/12,0)-ROUND((INDEX(Assumptions!$C$21:$F$21,MATCH(YEAR(AB$3),Assumptions!$C$4:$F$4,0))*(1-INDEX(Assumptions!$C$22:$F$22,MATCH(YEAR(AB$3),Assumptions!$C$4:$F$4,0))))*(MONTH(AB$3)-1)/12,0)</f>
        <v>0</v>
      </c>
      <c r="AC15" s="10">
        <f t="array" ref="AC15">ROUND((INDEX(Assumptions!$C$21:$F$21,MATCH(YEAR(AC$3),Assumptions!$C$4:$F$4,0))*(1-INDEX(Assumptions!$C$22:$F$22,MATCH(YEAR(AC$3),Assumptions!$C$4:$F$4,0))))*MONTH(AC$3)/12,0)-ROUND((INDEX(Assumptions!$C$21:$F$21,MATCH(YEAR(AC$3),Assumptions!$C$4:$F$4,0))*(1-INDEX(Assumptions!$C$22:$F$22,MATCH(YEAR(AC$3),Assumptions!$C$4:$F$4,0))))*(MONTH(AC$3)-1)/12,0)</f>
        <v>1</v>
      </c>
      <c r="AD15" s="10">
        <f t="array" ref="AD15">ROUND((INDEX(Assumptions!$C$21:$F$21,MATCH(YEAR(AD$3),Assumptions!$C$4:$F$4,0))*(1-INDEX(Assumptions!$C$22:$F$22,MATCH(YEAR(AD$3),Assumptions!$C$4:$F$4,0))))*MONTH(AD$3)/12,0)-ROUND((INDEX(Assumptions!$C$21:$F$21,MATCH(YEAR(AD$3),Assumptions!$C$4:$F$4,0))*(1-INDEX(Assumptions!$C$22:$F$22,MATCH(YEAR(AD$3),Assumptions!$C$4:$F$4,0))))*(MONTH(AD$3)-1)/12,0)</f>
        <v>2</v>
      </c>
      <c r="AE15" s="10">
        <f t="array" ref="AE15">ROUND((INDEX(Assumptions!$C$21:$F$21,MATCH(YEAR(AE$3),Assumptions!$C$4:$F$4,0))*(1-INDEX(Assumptions!$C$22:$F$22,MATCH(YEAR(AE$3),Assumptions!$C$4:$F$4,0))))*MONTH(AE$3)/12,0)-ROUND((INDEX(Assumptions!$C$21:$F$21,MATCH(YEAR(AE$3),Assumptions!$C$4:$F$4,0))*(1-INDEX(Assumptions!$C$22:$F$22,MATCH(YEAR(AE$3),Assumptions!$C$4:$F$4,0))))*(MONTH(AE$3)-1)/12,0)</f>
        <v>2</v>
      </c>
      <c r="AF15" s="10">
        <f t="array" ref="AF15">ROUND((INDEX(Assumptions!$C$21:$F$21,MATCH(YEAR(AF$3),Assumptions!$C$4:$F$4,0))*(1-INDEX(Assumptions!$C$22:$F$22,MATCH(YEAR(AF$3),Assumptions!$C$4:$F$4,0))))*MONTH(AF$3)/12,0)-ROUND((INDEX(Assumptions!$C$21:$F$21,MATCH(YEAR(AF$3),Assumptions!$C$4:$F$4,0))*(1-INDEX(Assumptions!$C$22:$F$22,MATCH(YEAR(AF$3),Assumptions!$C$4:$F$4,0))))*(MONTH(AF$3)-1)/12,0)</f>
        <v>1</v>
      </c>
      <c r="AG15" s="10">
        <f t="array" ref="AG15">ROUND((INDEX(Assumptions!$C$21:$F$21,MATCH(YEAR(AG$3),Assumptions!$C$4:$F$4,0))*(1-INDEX(Assumptions!$C$22:$F$22,MATCH(YEAR(AG$3),Assumptions!$C$4:$F$4,0))))*MONTH(AG$3)/12,0)-ROUND((INDEX(Assumptions!$C$21:$F$21,MATCH(YEAR(AG$3),Assumptions!$C$4:$F$4,0))*(1-INDEX(Assumptions!$C$22:$F$22,MATCH(YEAR(AG$3),Assumptions!$C$4:$F$4,0))))*(MONTH(AG$3)-1)/12,0)</f>
        <v>2</v>
      </c>
      <c r="AH15" s="10">
        <f t="array" ref="AH15">ROUND((INDEX(Assumptions!$C$21:$F$21,MATCH(YEAR(AH$3),Assumptions!$C$4:$F$4,0))*(1-INDEX(Assumptions!$C$22:$F$22,MATCH(YEAR(AH$3),Assumptions!$C$4:$F$4,0))))*MONTH(AH$3)/12,0)-ROUND((INDEX(Assumptions!$C$21:$F$21,MATCH(YEAR(AH$3),Assumptions!$C$4:$F$4,0))*(1-INDEX(Assumptions!$C$22:$F$22,MATCH(YEAR(AH$3),Assumptions!$C$4:$F$4,0))))*(MONTH(AH$3)-1)/12,0)</f>
        <v>2</v>
      </c>
      <c r="AI15" s="10">
        <f t="array" ref="AI15">ROUND((INDEX(Assumptions!$C$21:$F$21,MATCH(YEAR(AI$3),Assumptions!$C$4:$F$4,0))*(1-INDEX(Assumptions!$C$22:$F$22,MATCH(YEAR(AI$3),Assumptions!$C$4:$F$4,0))))*MONTH(AI$3)/12,0)-ROUND((INDEX(Assumptions!$C$21:$F$21,MATCH(YEAR(AI$3),Assumptions!$C$4:$F$4,0))*(1-INDEX(Assumptions!$C$22:$F$22,MATCH(YEAR(AI$3),Assumptions!$C$4:$F$4,0))))*(MONTH(AI$3)-1)/12,0)</f>
        <v>2</v>
      </c>
      <c r="AJ15" s="10">
        <f t="array" ref="AJ15">ROUND((INDEX(Assumptions!$C$21:$F$21,MATCH(YEAR(AJ$3),Assumptions!$C$4:$F$4,0))*(1-INDEX(Assumptions!$C$22:$F$22,MATCH(YEAR(AJ$3),Assumptions!$C$4:$F$4,0))))*MONTH(AJ$3)/12,0)-ROUND((INDEX(Assumptions!$C$21:$F$21,MATCH(YEAR(AJ$3),Assumptions!$C$4:$F$4,0))*(1-INDEX(Assumptions!$C$22:$F$22,MATCH(YEAR(AJ$3),Assumptions!$C$4:$F$4,0))))*(MONTH(AJ$3)-1)/12,0)</f>
        <v>2</v>
      </c>
      <c r="AK15" s="10">
        <f t="array" ref="AK15">ROUND((INDEX(Assumptions!$C$21:$F$21,MATCH(YEAR(AK$3),Assumptions!$C$4:$F$4,0))*(1-INDEX(Assumptions!$C$22:$F$22,MATCH(YEAR(AK$3),Assumptions!$C$4:$F$4,0))))*MONTH(AK$3)/12,0)-ROUND((INDEX(Assumptions!$C$21:$F$21,MATCH(YEAR(AK$3),Assumptions!$C$4:$F$4,0))*(1-INDEX(Assumptions!$C$22:$F$22,MATCH(YEAR(AK$3),Assumptions!$C$4:$F$4,0))))*(MONTH(AK$3)-1)/12,0)</f>
        <v>1</v>
      </c>
      <c r="AL15" s="10">
        <f t="array" ref="AL15">ROUND((INDEX(Assumptions!$C$21:$F$21,MATCH(YEAR(AL$3),Assumptions!$C$4:$F$4,0))*(1-INDEX(Assumptions!$C$22:$F$22,MATCH(YEAR(AL$3),Assumptions!$C$4:$F$4,0))))*MONTH(AL$3)/12,0)-ROUND((INDEX(Assumptions!$C$21:$F$21,MATCH(YEAR(AL$3),Assumptions!$C$4:$F$4,0))*(1-INDEX(Assumptions!$C$22:$F$22,MATCH(YEAR(AL$3),Assumptions!$C$4:$F$4,0))))*(MONTH(AL$3)-1)/12,0)</f>
        <v>2</v>
      </c>
      <c r="AM15" s="10">
        <f t="array" ref="AM15">ROUND((INDEX(Assumptions!$C$21:$F$21,MATCH(YEAR(AM$3),Assumptions!$C$4:$F$4,0))*(1-INDEX(Assumptions!$C$22:$F$22,MATCH(YEAR(AM$3),Assumptions!$C$4:$F$4,0))))*MONTH(AM$3)/12,0)-ROUND((INDEX(Assumptions!$C$21:$F$21,MATCH(YEAR(AM$3),Assumptions!$C$4:$F$4,0))*(1-INDEX(Assumptions!$C$22:$F$22,MATCH(YEAR(AM$3),Assumptions!$C$4:$F$4,0))))*(MONTH(AM$3)-1)/12,0)</f>
        <v>2</v>
      </c>
      <c r="AN15" s="10">
        <f t="array" ref="AN15">ROUND((INDEX(Assumptions!$C$21:$F$21,MATCH(YEAR(AN$3),Assumptions!$C$4:$F$4,0))*(1-INDEX(Assumptions!$C$22:$F$22,MATCH(YEAR(AN$3),Assumptions!$C$4:$F$4,0))))*MONTH(AN$3)/12,0)-ROUND((INDEX(Assumptions!$C$21:$F$21,MATCH(YEAR(AN$3),Assumptions!$C$4:$F$4,0))*(1-INDEX(Assumptions!$C$22:$F$22,MATCH(YEAR(AN$3),Assumptions!$C$4:$F$4,0))))*(MONTH(AN$3)-1)/12,0)</f>
        <v>2</v>
      </c>
      <c r="AO15" s="10">
        <f t="array" ref="AO15">ROUND((INDEX(Assumptions!$C$21:$F$21,MATCH(YEAR(AO$3),Assumptions!$C$4:$F$4,0))*(1-INDEX(Assumptions!$C$22:$F$22,MATCH(YEAR(AO$3),Assumptions!$C$4:$F$4,0))))*MONTH(AO$3)/12,0)-ROUND((INDEX(Assumptions!$C$21:$F$21,MATCH(YEAR(AO$3),Assumptions!$C$4:$F$4,0))*(1-INDEX(Assumptions!$C$22:$F$22,MATCH(YEAR(AO$3),Assumptions!$C$4:$F$4,0))))*(MONTH(AO$3)-1)/12,0)</f>
        <v>1</v>
      </c>
      <c r="AP15" s="10">
        <f t="array" ref="AP15">ROUND((INDEX(Assumptions!$C$21:$F$21,MATCH(YEAR(AP$3),Assumptions!$C$4:$F$4,0))*(1-INDEX(Assumptions!$C$22:$F$22,MATCH(YEAR(AP$3),Assumptions!$C$4:$F$4,0))))*MONTH(AP$3)/12,0)-ROUND((INDEX(Assumptions!$C$21:$F$21,MATCH(YEAR(AP$3),Assumptions!$C$4:$F$4,0))*(1-INDEX(Assumptions!$C$22:$F$22,MATCH(YEAR(AP$3),Assumptions!$C$4:$F$4,0))))*(MONTH(AP$3)-1)/12,0)</f>
        <v>3</v>
      </c>
      <c r="AQ15" s="10">
        <f t="array" ref="AQ15">ROUND((INDEX(Assumptions!$C$21:$F$21,MATCH(YEAR(AQ$3),Assumptions!$C$4:$F$4,0))*(1-INDEX(Assumptions!$C$22:$F$22,MATCH(YEAR(AQ$3),Assumptions!$C$4:$F$4,0))))*MONTH(AQ$3)/12,0)-ROUND((INDEX(Assumptions!$C$21:$F$21,MATCH(YEAR(AQ$3),Assumptions!$C$4:$F$4,0))*(1-INDEX(Assumptions!$C$22:$F$22,MATCH(YEAR(AQ$3),Assumptions!$C$4:$F$4,0))))*(MONTH(AQ$3)-1)/12,0)</f>
        <v>3</v>
      </c>
      <c r="AR15" s="10">
        <f t="array" ref="AR15">ROUND((INDEX(Assumptions!$C$21:$F$21,MATCH(YEAR(AR$3),Assumptions!$C$4:$F$4,0))*(1-INDEX(Assumptions!$C$22:$F$22,MATCH(YEAR(AR$3),Assumptions!$C$4:$F$4,0))))*MONTH(AR$3)/12,0)-ROUND((INDEX(Assumptions!$C$21:$F$21,MATCH(YEAR(AR$3),Assumptions!$C$4:$F$4,0))*(1-INDEX(Assumptions!$C$22:$F$22,MATCH(YEAR(AR$3),Assumptions!$C$4:$F$4,0))))*(MONTH(AR$3)-1)/12,0)</f>
        <v>3</v>
      </c>
      <c r="AS15" s="10">
        <f t="array" ref="AS15">ROUND((INDEX(Assumptions!$C$21:$F$21,MATCH(YEAR(AS$3),Assumptions!$C$4:$F$4,0))*(1-INDEX(Assumptions!$C$22:$F$22,MATCH(YEAR(AS$3),Assumptions!$C$4:$F$4,0))))*MONTH(AS$3)/12,0)-ROUND((INDEX(Assumptions!$C$21:$F$21,MATCH(YEAR(AS$3),Assumptions!$C$4:$F$4,0))*(1-INDEX(Assumptions!$C$22:$F$22,MATCH(YEAR(AS$3),Assumptions!$C$4:$F$4,0))))*(MONTH(AS$3)-1)/12,0)</f>
        <v>3</v>
      </c>
      <c r="AT15" s="10">
        <f t="array" ref="AT15">ROUND((INDEX(Assumptions!$C$21:$F$21,MATCH(YEAR(AT$3),Assumptions!$C$4:$F$4,0))*(1-INDEX(Assumptions!$C$22:$F$22,MATCH(YEAR(AT$3),Assumptions!$C$4:$F$4,0))))*MONTH(AT$3)/12,0)-ROUND((INDEX(Assumptions!$C$21:$F$21,MATCH(YEAR(AT$3),Assumptions!$C$4:$F$4,0))*(1-INDEX(Assumptions!$C$22:$F$22,MATCH(YEAR(AT$3),Assumptions!$C$4:$F$4,0))))*(MONTH(AT$3)-1)/12,0)</f>
        <v>3</v>
      </c>
      <c r="AU15" s="10">
        <f t="array" ref="AU15">ROUND((INDEX(Assumptions!$C$21:$F$21,MATCH(YEAR(AU$3),Assumptions!$C$4:$F$4,0))*(1-INDEX(Assumptions!$C$22:$F$22,MATCH(YEAR(AU$3),Assumptions!$C$4:$F$4,0))))*MONTH(AU$3)/12,0)-ROUND((INDEX(Assumptions!$C$21:$F$21,MATCH(YEAR(AU$3),Assumptions!$C$4:$F$4,0))*(1-INDEX(Assumptions!$C$22:$F$22,MATCH(YEAR(AU$3),Assumptions!$C$4:$F$4,0))))*(MONTH(AU$3)-1)/12,0)</f>
        <v>4</v>
      </c>
      <c r="AV15" s="10">
        <f t="array" ref="AV15">ROUND((INDEX(Assumptions!$C$21:$F$21,MATCH(YEAR(AV$3),Assumptions!$C$4:$F$4,0))*(1-INDEX(Assumptions!$C$22:$F$22,MATCH(YEAR(AV$3),Assumptions!$C$4:$F$4,0))))*MONTH(AV$3)/12,0)-ROUND((INDEX(Assumptions!$C$21:$F$21,MATCH(YEAR(AV$3),Assumptions!$C$4:$F$4,0))*(1-INDEX(Assumptions!$C$22:$F$22,MATCH(YEAR(AV$3),Assumptions!$C$4:$F$4,0))))*(MONTH(AV$3)-1)/12,0)</f>
        <v>3</v>
      </c>
      <c r="AW15" s="10">
        <f t="array" ref="AW15">ROUND((INDEX(Assumptions!$C$21:$F$21,MATCH(YEAR(AW$3),Assumptions!$C$4:$F$4,0))*(1-INDEX(Assumptions!$C$22:$F$22,MATCH(YEAR(AW$3),Assumptions!$C$4:$F$4,0))))*MONTH(AW$3)/12,0)-ROUND((INDEX(Assumptions!$C$21:$F$21,MATCH(YEAR(AW$3),Assumptions!$C$4:$F$4,0))*(1-INDEX(Assumptions!$C$22:$F$22,MATCH(YEAR(AW$3),Assumptions!$C$4:$F$4,0))))*(MONTH(AW$3)-1)/12,0)</f>
        <v>3</v>
      </c>
      <c r="AX15" s="10">
        <f t="array" ref="AX15">ROUND((INDEX(Assumptions!$C$21:$F$21,MATCH(YEAR(AX$3),Assumptions!$C$4:$F$4,0))*(1-INDEX(Assumptions!$C$22:$F$22,MATCH(YEAR(AX$3),Assumptions!$C$4:$F$4,0))))*MONTH(AX$3)/12,0)-ROUND((INDEX(Assumptions!$C$21:$F$21,MATCH(YEAR(AX$3),Assumptions!$C$4:$F$4,0))*(1-INDEX(Assumptions!$C$22:$F$22,MATCH(YEAR(AX$3),Assumptions!$C$4:$F$4,0))))*(MONTH(AX$3)-1)/12,0)</f>
        <v>3</v>
      </c>
      <c r="AY15" s="10">
        <f t="array" ref="AY15">ROUND((INDEX(Assumptions!$C$21:$F$21,MATCH(YEAR(AY$3),Assumptions!$C$4:$F$4,0))*(1-INDEX(Assumptions!$C$22:$F$22,MATCH(YEAR(AY$3),Assumptions!$C$4:$F$4,0))))*MONTH(AY$3)/12,0)-ROUND((INDEX(Assumptions!$C$21:$F$21,MATCH(YEAR(AY$3),Assumptions!$C$4:$F$4,0))*(1-INDEX(Assumptions!$C$22:$F$22,MATCH(YEAR(AY$3),Assumptions!$C$4:$F$4,0))))*(MONTH(AY$3)-1)/12,0)</f>
        <v>3</v>
      </c>
      <c r="AZ15" s="10">
        <f t="array" ref="AZ15">ROUND((INDEX(Assumptions!$C$21:$F$21,MATCH(YEAR(AZ$3),Assumptions!$C$4:$F$4,0))*(1-INDEX(Assumptions!$C$22:$F$22,MATCH(YEAR(AZ$3),Assumptions!$C$4:$F$4,0))))*MONTH(AZ$3)/12,0)-ROUND((INDEX(Assumptions!$C$21:$F$21,MATCH(YEAR(AZ$3),Assumptions!$C$4:$F$4,0))*(1-INDEX(Assumptions!$C$22:$F$22,MATCH(YEAR(AZ$3),Assumptions!$C$4:$F$4,0))))*(MONTH(AZ$3)-1)/12,0)</f>
        <v>3</v>
      </c>
      <c r="BA15" s="10">
        <f t="array" ref="BA15">ROUND((INDEX(Assumptions!$C$21:$F$21,MATCH(YEAR(BA$3),Assumptions!$C$4:$F$4,0))*(1-INDEX(Assumptions!$C$22:$F$22,MATCH(YEAR(BA$3),Assumptions!$C$4:$F$4,0))))*MONTH(BA$3)/12,0)-ROUND((INDEX(Assumptions!$C$21:$F$21,MATCH(YEAR(BA$3),Assumptions!$C$4:$F$4,0))*(1-INDEX(Assumptions!$C$22:$F$22,MATCH(YEAR(BA$3),Assumptions!$C$4:$F$4,0))))*(MONTH(BA$3)-1)/12,0)</f>
        <v>3</v>
      </c>
      <c r="BB15" s="10"/>
      <c r="BC15" s="10">
        <f t="shared" ref="BC15:BF15" si="9">SUMPRODUCT((YEAR($F$3:$BA$3)=BC$3)*$F15:$BA15)</f>
        <v>2</v>
      </c>
      <c r="BD15" s="10">
        <f t="shared" si="9"/>
        <v>9</v>
      </c>
      <c r="BE15" s="10">
        <f t="shared" si="9"/>
        <v>21</v>
      </c>
      <c r="BF15" s="10">
        <f t="shared" si="9"/>
        <v>37</v>
      </c>
    </row>
    <row r="16">
      <c r="A16" s="1"/>
      <c r="B16" s="3" t="s">
        <v>75</v>
      </c>
      <c r="C16" s="1"/>
      <c r="D16" s="1"/>
      <c r="E16" s="3" t="s">
        <v>39</v>
      </c>
      <c r="F16" s="10">
        <f>SUM(F15)</f>
        <v>0</v>
      </c>
      <c r="G16" s="10">
        <f>SUM(F15:G15)</f>
        <v>0</v>
      </c>
      <c r="H16" s="10">
        <f>SUM(F15:H15)</f>
        <v>1</v>
      </c>
      <c r="I16" s="10">
        <f>SUM(F15:I15)</f>
        <v>1</v>
      </c>
      <c r="J16" s="10">
        <f>SUM(F15:J15)</f>
        <v>1</v>
      </c>
      <c r="K16" s="10">
        <f>SUM(F15:K15)</f>
        <v>1</v>
      </c>
      <c r="L16" s="10">
        <f t="shared" ref="L16:BA16" si="10">SUM(F15:L15)</f>
        <v>1</v>
      </c>
      <c r="M16" s="10">
        <f t="shared" si="10"/>
        <v>1</v>
      </c>
      <c r="N16" s="10">
        <f t="shared" si="10"/>
        <v>2</v>
      </c>
      <c r="O16" s="10">
        <f t="shared" si="10"/>
        <v>1</v>
      </c>
      <c r="P16" s="10">
        <f t="shared" si="10"/>
        <v>1</v>
      </c>
      <c r="Q16" s="10">
        <f t="shared" si="10"/>
        <v>1</v>
      </c>
      <c r="R16" s="10">
        <f t="shared" si="10"/>
        <v>2</v>
      </c>
      <c r="S16" s="10">
        <f t="shared" si="10"/>
        <v>3</v>
      </c>
      <c r="T16" s="10">
        <f t="shared" si="10"/>
        <v>3</v>
      </c>
      <c r="U16" s="10">
        <f t="shared" si="10"/>
        <v>3</v>
      </c>
      <c r="V16" s="10">
        <f t="shared" si="10"/>
        <v>4</v>
      </c>
      <c r="W16" s="10">
        <f t="shared" si="10"/>
        <v>5</v>
      </c>
      <c r="X16" s="10">
        <f t="shared" si="10"/>
        <v>5</v>
      </c>
      <c r="Y16" s="10">
        <f t="shared" si="10"/>
        <v>5</v>
      </c>
      <c r="Z16" s="10">
        <f t="shared" si="10"/>
        <v>5</v>
      </c>
      <c r="AA16" s="10">
        <f t="shared" si="10"/>
        <v>6</v>
      </c>
      <c r="AB16" s="10">
        <f t="shared" si="10"/>
        <v>5</v>
      </c>
      <c r="AC16" s="10">
        <f t="shared" si="10"/>
        <v>5</v>
      </c>
      <c r="AD16" s="10">
        <f t="shared" si="10"/>
        <v>6</v>
      </c>
      <c r="AE16" s="10">
        <f t="shared" si="10"/>
        <v>8</v>
      </c>
      <c r="AF16" s="10">
        <f t="shared" si="10"/>
        <v>8</v>
      </c>
      <c r="AG16" s="10">
        <f t="shared" si="10"/>
        <v>9</v>
      </c>
      <c r="AH16" s="10">
        <f t="shared" si="10"/>
        <v>10</v>
      </c>
      <c r="AI16" s="10">
        <f t="shared" si="10"/>
        <v>12</v>
      </c>
      <c r="AJ16" s="10">
        <f t="shared" si="10"/>
        <v>13</v>
      </c>
      <c r="AK16" s="10">
        <f t="shared" si="10"/>
        <v>12</v>
      </c>
      <c r="AL16" s="10">
        <f t="shared" si="10"/>
        <v>12</v>
      </c>
      <c r="AM16" s="10">
        <f t="shared" si="10"/>
        <v>13</v>
      </c>
      <c r="AN16" s="10">
        <f t="shared" si="10"/>
        <v>13</v>
      </c>
      <c r="AO16" s="10">
        <f t="shared" si="10"/>
        <v>12</v>
      </c>
      <c r="AP16" s="10">
        <f t="shared" si="10"/>
        <v>13</v>
      </c>
      <c r="AQ16" s="10">
        <f t="shared" si="10"/>
        <v>14</v>
      </c>
      <c r="AR16" s="10">
        <f t="shared" si="10"/>
        <v>16</v>
      </c>
      <c r="AS16" s="10">
        <f t="shared" si="10"/>
        <v>17</v>
      </c>
      <c r="AT16" s="10">
        <f t="shared" si="10"/>
        <v>18</v>
      </c>
      <c r="AU16" s="10">
        <f t="shared" si="10"/>
        <v>20</v>
      </c>
      <c r="AV16" s="10">
        <f t="shared" si="10"/>
        <v>22</v>
      </c>
      <c r="AW16" s="10">
        <f t="shared" si="10"/>
        <v>22</v>
      </c>
      <c r="AX16" s="10">
        <f t="shared" si="10"/>
        <v>22</v>
      </c>
      <c r="AY16" s="10">
        <f t="shared" si="10"/>
        <v>22</v>
      </c>
      <c r="AZ16" s="10">
        <f t="shared" si="10"/>
        <v>22</v>
      </c>
      <c r="BA16" s="10">
        <f t="shared" si="10"/>
        <v>22</v>
      </c>
      <c r="BB16" s="10"/>
      <c r="BC16" s="10">
        <f t="shared" ref="BC16:BF16" si="11">SUMPRODUCT((YEAR($F$3:$BA$3)=BC$3)*$F16:$BA16)/12</f>
        <v>0.9166666667</v>
      </c>
      <c r="BD16" s="10">
        <f t="shared" si="11"/>
        <v>4.25</v>
      </c>
      <c r="BE16" s="10">
        <f t="shared" si="11"/>
        <v>10.66666667</v>
      </c>
      <c r="BF16" s="10">
        <f t="shared" si="11"/>
        <v>19.16666667</v>
      </c>
    </row>
    <row r="17">
      <c r="A17" s="1"/>
      <c r="B17" s="3" t="s">
        <v>76</v>
      </c>
      <c r="C17" s="1"/>
      <c r="D17" s="1"/>
      <c r="E17" s="3" t="s">
        <v>33</v>
      </c>
      <c r="F17" s="8">
        <f>F16*Assumptions!$C$13</f>
        <v>0</v>
      </c>
      <c r="G17" s="8">
        <f>G16*Assumptions!$C$13</f>
        <v>0</v>
      </c>
      <c r="H17" s="8">
        <f>H16*Assumptions!$C$13</f>
        <v>8000</v>
      </c>
      <c r="I17" s="8">
        <f>I16*Assumptions!$C$13</f>
        <v>8000</v>
      </c>
      <c r="J17" s="8">
        <f>J16*Assumptions!$C$13</f>
        <v>8000</v>
      </c>
      <c r="K17" s="8">
        <f>K16*Assumptions!$C$13</f>
        <v>8000</v>
      </c>
      <c r="L17" s="8">
        <f>L16*Assumptions!$C$13</f>
        <v>8000</v>
      </c>
      <c r="M17" s="8">
        <f>M16*Assumptions!$C$13</f>
        <v>8000</v>
      </c>
      <c r="N17" s="8">
        <f>N16*Assumptions!$C$13</f>
        <v>16000</v>
      </c>
      <c r="O17" s="8">
        <f>O16*Assumptions!$C$13</f>
        <v>8000</v>
      </c>
      <c r="P17" s="8">
        <f>P16*Assumptions!$C$13</f>
        <v>8000</v>
      </c>
      <c r="Q17" s="8">
        <f>Q16*Assumptions!$C$13</f>
        <v>8000</v>
      </c>
      <c r="R17" s="8">
        <f>R16*Assumptions!$C$13</f>
        <v>16000</v>
      </c>
      <c r="S17" s="8">
        <f>S16*Assumptions!$C$13</f>
        <v>24000</v>
      </c>
      <c r="T17" s="8">
        <f>T16*Assumptions!$C$13</f>
        <v>24000</v>
      </c>
      <c r="U17" s="8">
        <f>U16*Assumptions!$C$13</f>
        <v>24000</v>
      </c>
      <c r="V17" s="8">
        <f>V16*Assumptions!$C$13</f>
        <v>32000</v>
      </c>
      <c r="W17" s="8">
        <f>W16*Assumptions!$C$13</f>
        <v>40000</v>
      </c>
      <c r="X17" s="8">
        <f>X16*Assumptions!$C$13</f>
        <v>40000</v>
      </c>
      <c r="Y17" s="8">
        <f>Y16*Assumptions!$C$13</f>
        <v>40000</v>
      </c>
      <c r="Z17" s="8">
        <f>Z16*Assumptions!$C$13</f>
        <v>40000</v>
      </c>
      <c r="AA17" s="8">
        <f>AA16*Assumptions!$C$13</f>
        <v>48000</v>
      </c>
      <c r="AB17" s="8">
        <f>AB16*Assumptions!$C$13</f>
        <v>40000</v>
      </c>
      <c r="AC17" s="8">
        <f>AC16*Assumptions!$C$13</f>
        <v>40000</v>
      </c>
      <c r="AD17" s="8">
        <f>AD16*Assumptions!$C$13</f>
        <v>48000</v>
      </c>
      <c r="AE17" s="8">
        <f>AE16*Assumptions!$C$13</f>
        <v>64000</v>
      </c>
      <c r="AF17" s="8">
        <f>AF16*Assumptions!$C$13</f>
        <v>64000</v>
      </c>
      <c r="AG17" s="8">
        <f>AG16*Assumptions!$C$13</f>
        <v>72000</v>
      </c>
      <c r="AH17" s="8">
        <f>AH16*Assumptions!$C$13</f>
        <v>80000</v>
      </c>
      <c r="AI17" s="8">
        <f>AI16*Assumptions!$C$13</f>
        <v>96000</v>
      </c>
      <c r="AJ17" s="8">
        <f>AJ16*Assumptions!$C$13</f>
        <v>104000</v>
      </c>
      <c r="AK17" s="8">
        <f>AK16*Assumptions!$C$13</f>
        <v>96000</v>
      </c>
      <c r="AL17" s="8">
        <f>AL16*Assumptions!$C$13</f>
        <v>96000</v>
      </c>
      <c r="AM17" s="8">
        <f>AM16*Assumptions!$C$13</f>
        <v>104000</v>
      </c>
      <c r="AN17" s="8">
        <f>AN16*Assumptions!$C$13</f>
        <v>104000</v>
      </c>
      <c r="AO17" s="8">
        <f>AO16*Assumptions!$C$13</f>
        <v>96000</v>
      </c>
      <c r="AP17" s="8">
        <f>AP16*Assumptions!$C$13</f>
        <v>104000</v>
      </c>
      <c r="AQ17" s="8">
        <f>AQ16*Assumptions!$C$13</f>
        <v>112000</v>
      </c>
      <c r="AR17" s="8">
        <f>AR16*Assumptions!$C$13</f>
        <v>128000</v>
      </c>
      <c r="AS17" s="8">
        <f>AS16*Assumptions!$C$13</f>
        <v>136000</v>
      </c>
      <c r="AT17" s="8">
        <f>AT16*Assumptions!$C$13</f>
        <v>144000</v>
      </c>
      <c r="AU17" s="8">
        <f>AU16*Assumptions!$C$13</f>
        <v>160000</v>
      </c>
      <c r="AV17" s="8">
        <f>AV16*Assumptions!$C$13</f>
        <v>176000</v>
      </c>
      <c r="AW17" s="8">
        <f>AW16*Assumptions!$C$13</f>
        <v>176000</v>
      </c>
      <c r="AX17" s="8">
        <f>AX16*Assumptions!$C$13</f>
        <v>176000</v>
      </c>
      <c r="AY17" s="8">
        <f>AY16*Assumptions!$C$13</f>
        <v>176000</v>
      </c>
      <c r="AZ17" s="8">
        <f>AZ16*Assumptions!$C$13</f>
        <v>176000</v>
      </c>
      <c r="BA17" s="8">
        <f>BA16*Assumptions!$C$13</f>
        <v>176000</v>
      </c>
      <c r="BB17" s="8"/>
      <c r="BC17" s="8">
        <f t="shared" ref="BC17:BF17" si="12">SUMPRODUCT((YEAR($F$3:$BA$3)=BC$3)*$F17:$BA17)</f>
        <v>88000</v>
      </c>
      <c r="BD17" s="8">
        <f t="shared" si="12"/>
        <v>408000</v>
      </c>
      <c r="BE17" s="8">
        <f t="shared" si="12"/>
        <v>1024000</v>
      </c>
      <c r="BF17" s="8">
        <f t="shared" si="12"/>
        <v>1840000</v>
      </c>
    </row>
    <row r="18">
      <c r="A18" s="1"/>
      <c r="B18" s="3" t="s">
        <v>77</v>
      </c>
      <c r="C18" s="1"/>
      <c r="D18" s="1"/>
      <c r="E18" s="3" t="s">
        <v>39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10">
        <f t="array" ref="M18">F15*INDEX(Assumptions!$C$17:$F$17,MATCH(YEAR(M$3),Assumptions!$C$4:$F$4,0))</f>
        <v>0</v>
      </c>
      <c r="N18" s="10">
        <f t="array" ref="N18">G15*INDEX(Assumptions!$C$17:$F$17,MATCH(YEAR(N$3),Assumptions!$C$4:$F$4,0))</f>
        <v>0</v>
      </c>
      <c r="O18" s="10">
        <f t="array" ref="O18">H15*INDEX(Assumptions!$C$17:$F$17,MATCH(YEAR(O$3),Assumptions!$C$4:$F$4,0))</f>
        <v>0.5</v>
      </c>
      <c r="P18" s="10">
        <f t="array" ref="P18">I15*INDEX(Assumptions!$C$17:$F$17,MATCH(YEAR(P$3),Assumptions!$C$4:$F$4,0))</f>
        <v>0</v>
      </c>
      <c r="Q18" s="10">
        <f t="array" ref="Q18">J15*INDEX(Assumptions!$C$17:$F$17,MATCH(YEAR(Q$3),Assumptions!$C$4:$F$4,0))</f>
        <v>0</v>
      </c>
      <c r="R18" s="10">
        <f t="array" ref="R18">K15*INDEX(Assumptions!$C$17:$F$17,MATCH(YEAR(R$3),Assumptions!$C$4:$F$4,0))</f>
        <v>0</v>
      </c>
      <c r="S18" s="10">
        <f t="array" ref="S18">L15*INDEX(Assumptions!$C$17:$F$17,MATCH(YEAR(S$3),Assumptions!$C$4:$F$4,0))</f>
        <v>0</v>
      </c>
      <c r="T18" s="10">
        <f t="array" ref="T18">M15*INDEX(Assumptions!$C$17:$F$17,MATCH(YEAR(T$3),Assumptions!$C$4:$F$4,0))</f>
        <v>0</v>
      </c>
      <c r="U18" s="10">
        <f t="array" ref="U18">N15*INDEX(Assumptions!$C$17:$F$17,MATCH(YEAR(U$3),Assumptions!$C$4:$F$4,0))</f>
        <v>0.56</v>
      </c>
      <c r="V18" s="10">
        <f t="array" ref="V18">O15*INDEX(Assumptions!$C$17:$F$17,MATCH(YEAR(V$3),Assumptions!$C$4:$F$4,0))</f>
        <v>0</v>
      </c>
      <c r="W18" s="10">
        <f t="array" ref="W18">P15*INDEX(Assumptions!$C$17:$F$17,MATCH(YEAR(W$3),Assumptions!$C$4:$F$4,0))</f>
        <v>0</v>
      </c>
      <c r="X18" s="10">
        <f t="array" ref="X18">Q15*INDEX(Assumptions!$C$17:$F$17,MATCH(YEAR(X$3),Assumptions!$C$4:$F$4,0))</f>
        <v>0</v>
      </c>
      <c r="Y18" s="10">
        <f t="array" ref="Y18">R15*INDEX(Assumptions!$C$17:$F$17,MATCH(YEAR(Y$3),Assumptions!$C$4:$F$4,0))</f>
        <v>0.56</v>
      </c>
      <c r="Z18" s="10">
        <f t="array" ref="Z18">S15*INDEX(Assumptions!$C$17:$F$17,MATCH(YEAR(Z$3),Assumptions!$C$4:$F$4,0))</f>
        <v>0.56</v>
      </c>
      <c r="AA18" s="10">
        <f t="array" ref="AA18">T15*INDEX(Assumptions!$C$17:$F$17,MATCH(YEAR(AA$3),Assumptions!$C$4:$F$4,0))</f>
        <v>0</v>
      </c>
      <c r="AB18" s="10">
        <f t="array" ref="AB18">U15*INDEX(Assumptions!$C$17:$F$17,MATCH(YEAR(AB$3),Assumptions!$C$4:$F$4,0))</f>
        <v>0.56</v>
      </c>
      <c r="AC18" s="10">
        <f t="array" ref="AC18">V15*INDEX(Assumptions!$C$17:$F$17,MATCH(YEAR(AC$3),Assumptions!$C$4:$F$4,0))</f>
        <v>0.56</v>
      </c>
      <c r="AD18" s="10">
        <f t="array" ref="AD18">W15*INDEX(Assumptions!$C$17:$F$17,MATCH(YEAR(AD$3),Assumptions!$C$4:$F$4,0))</f>
        <v>0.63</v>
      </c>
      <c r="AE18" s="10">
        <f t="array" ref="AE18">X15*INDEX(Assumptions!$C$17:$F$17,MATCH(YEAR(AE$3),Assumptions!$C$4:$F$4,0))</f>
        <v>0</v>
      </c>
      <c r="AF18" s="10">
        <f t="array" ref="AF18">Y15*INDEX(Assumptions!$C$17:$F$17,MATCH(YEAR(AF$3),Assumptions!$C$4:$F$4,0))</f>
        <v>0.63</v>
      </c>
      <c r="AG18" s="10">
        <f t="array" ref="AG18">Z15*INDEX(Assumptions!$C$17:$F$17,MATCH(YEAR(AG$3),Assumptions!$C$4:$F$4,0))</f>
        <v>0.63</v>
      </c>
      <c r="AH18" s="10">
        <f t="array" ref="AH18">AA15*INDEX(Assumptions!$C$17:$F$17,MATCH(YEAR(AH$3),Assumptions!$C$4:$F$4,0))</f>
        <v>0.63</v>
      </c>
      <c r="AI18" s="10">
        <f t="array" ref="AI18">AB15*INDEX(Assumptions!$C$17:$F$17,MATCH(YEAR(AI$3),Assumptions!$C$4:$F$4,0))</f>
        <v>0</v>
      </c>
      <c r="AJ18" s="10">
        <f t="array" ref="AJ18">AC15*INDEX(Assumptions!$C$17:$F$17,MATCH(YEAR(AJ$3),Assumptions!$C$4:$F$4,0))</f>
        <v>0.63</v>
      </c>
      <c r="AK18" s="10">
        <f t="array" ref="AK18">AD15*INDEX(Assumptions!$C$17:$F$17,MATCH(YEAR(AK$3),Assumptions!$C$4:$F$4,0))</f>
        <v>1.26</v>
      </c>
      <c r="AL18" s="10">
        <f t="array" ref="AL18">AE15*INDEX(Assumptions!$C$17:$F$17,MATCH(YEAR(AL$3),Assumptions!$C$4:$F$4,0))</f>
        <v>1.26</v>
      </c>
      <c r="AM18" s="10">
        <f t="array" ref="AM18">AF15*INDEX(Assumptions!$C$17:$F$17,MATCH(YEAR(AM$3),Assumptions!$C$4:$F$4,0))</f>
        <v>0.63</v>
      </c>
      <c r="AN18" s="10">
        <f t="array" ref="AN18">AG15*INDEX(Assumptions!$C$17:$F$17,MATCH(YEAR(AN$3),Assumptions!$C$4:$F$4,0))</f>
        <v>1.26</v>
      </c>
      <c r="AO18" s="10">
        <f t="array" ref="AO18">AH15*INDEX(Assumptions!$C$17:$F$17,MATCH(YEAR(AO$3),Assumptions!$C$4:$F$4,0))</f>
        <v>1.26</v>
      </c>
      <c r="AP18" s="10">
        <f t="array" ref="AP18">AI15*INDEX(Assumptions!$C$17:$F$17,MATCH(YEAR(AP$3),Assumptions!$C$4:$F$4,0))</f>
        <v>1.4</v>
      </c>
      <c r="AQ18" s="10">
        <f t="array" ref="AQ18">AJ15*INDEX(Assumptions!$C$17:$F$17,MATCH(YEAR(AQ$3),Assumptions!$C$4:$F$4,0))</f>
        <v>1.4</v>
      </c>
      <c r="AR18" s="10">
        <f t="array" ref="AR18">AK15*INDEX(Assumptions!$C$17:$F$17,MATCH(YEAR(AR$3),Assumptions!$C$4:$F$4,0))</f>
        <v>0.7</v>
      </c>
      <c r="AS18" s="10">
        <f t="array" ref="AS18">AL15*INDEX(Assumptions!$C$17:$F$17,MATCH(YEAR(AS$3),Assumptions!$C$4:$F$4,0))</f>
        <v>1.4</v>
      </c>
      <c r="AT18" s="10">
        <f t="array" ref="AT18">AM15*INDEX(Assumptions!$C$17:$F$17,MATCH(YEAR(AT$3),Assumptions!$C$4:$F$4,0))</f>
        <v>1.4</v>
      </c>
      <c r="AU18" s="10">
        <f t="array" ref="AU18">AN15*INDEX(Assumptions!$C$17:$F$17,MATCH(YEAR(AU$3),Assumptions!$C$4:$F$4,0))</f>
        <v>1.4</v>
      </c>
      <c r="AV18" s="10">
        <f t="array" ref="AV18">AO15*INDEX(Assumptions!$C$17:$F$17,MATCH(YEAR(AV$3),Assumptions!$C$4:$F$4,0))</f>
        <v>0.7</v>
      </c>
      <c r="AW18" s="10">
        <f t="array" ref="AW18">AP15*INDEX(Assumptions!$C$17:$F$17,MATCH(YEAR(AW$3),Assumptions!$C$4:$F$4,0))</f>
        <v>2.1</v>
      </c>
      <c r="AX18" s="10">
        <f t="array" ref="AX18">AQ15*INDEX(Assumptions!$C$17:$F$17,MATCH(YEAR(AX$3),Assumptions!$C$4:$F$4,0))</f>
        <v>2.1</v>
      </c>
      <c r="AY18" s="10">
        <f t="array" ref="AY18">AR15*INDEX(Assumptions!$C$17:$F$17,MATCH(YEAR(AY$3),Assumptions!$C$4:$F$4,0))</f>
        <v>2.1</v>
      </c>
      <c r="AZ18" s="10">
        <f t="array" ref="AZ18">AS15*INDEX(Assumptions!$C$17:$F$17,MATCH(YEAR(AZ$3),Assumptions!$C$4:$F$4,0))</f>
        <v>2.1</v>
      </c>
      <c r="BA18" s="10">
        <f t="array" ref="BA18">AT15*INDEX(Assumptions!$C$17:$F$17,MATCH(YEAR(BA$3),Assumptions!$C$4:$F$4,0))</f>
        <v>2.1</v>
      </c>
      <c r="BB18" s="10"/>
      <c r="BC18" s="10">
        <f t="shared" ref="BC18:BF18" si="13">SUMPRODUCT((YEAR($F$3:$BA$3)=BC$3)*$F18:$BA18)</f>
        <v>0.5</v>
      </c>
      <c r="BD18" s="10">
        <f t="shared" si="13"/>
        <v>2.8</v>
      </c>
      <c r="BE18" s="10">
        <f t="shared" si="13"/>
        <v>8.82</v>
      </c>
      <c r="BF18" s="10">
        <f t="shared" si="13"/>
        <v>18.9</v>
      </c>
    </row>
    <row r="19">
      <c r="A19" s="1"/>
      <c r="B19" s="3" t="s">
        <v>78</v>
      </c>
      <c r="C19" s="1"/>
      <c r="D19" s="1"/>
      <c r="E19" s="3" t="s">
        <v>33</v>
      </c>
      <c r="F19" s="8">
        <f t="array" ref="F19">F18*(INDEX(Assumptions!$C$16:$F$16,MATCH(YEAR(F$3),Assumptions!$C$4:$F$4,0))*Assumptions!$C$15)</f>
        <v>0</v>
      </c>
      <c r="G19" s="8">
        <f t="array" ref="G19">G18*(INDEX(Assumptions!$C$16:$F$16,MATCH(YEAR(G$3),Assumptions!$C$4:$F$4,0))*Assumptions!$C$15)</f>
        <v>0</v>
      </c>
      <c r="H19" s="8">
        <f t="array" ref="H19">H18*(INDEX(Assumptions!$C$16:$F$16,MATCH(YEAR(H$3),Assumptions!$C$4:$F$4,0))*Assumptions!$C$15)</f>
        <v>0</v>
      </c>
      <c r="I19" s="8">
        <f t="array" ref="I19">I18*(INDEX(Assumptions!$C$16:$F$16,MATCH(YEAR(I$3),Assumptions!$C$4:$F$4,0))*Assumptions!$C$15)</f>
        <v>0</v>
      </c>
      <c r="J19" s="8">
        <f t="array" ref="J19">J18*(INDEX(Assumptions!$C$16:$F$16,MATCH(YEAR(J$3),Assumptions!$C$4:$F$4,0))*Assumptions!$C$15)</f>
        <v>0</v>
      </c>
      <c r="K19" s="8">
        <f t="array" ref="K19">K18*(INDEX(Assumptions!$C$16:$F$16,MATCH(YEAR(K$3),Assumptions!$C$4:$F$4,0))*Assumptions!$C$15)</f>
        <v>0</v>
      </c>
      <c r="L19" s="8">
        <f t="array" ref="L19">L18*(INDEX(Assumptions!$C$16:$F$16,MATCH(YEAR(L$3),Assumptions!$C$4:$F$4,0))*Assumptions!$C$15)</f>
        <v>0</v>
      </c>
      <c r="M19" s="8">
        <f t="array" ref="M19">M18*(INDEX(Assumptions!$C$16:$F$16,MATCH(YEAR(M$3),Assumptions!$C$4:$F$4,0))*Assumptions!$C$15)</f>
        <v>0</v>
      </c>
      <c r="N19" s="8">
        <f t="array" ref="N19">N18*(INDEX(Assumptions!$C$16:$F$16,MATCH(YEAR(N$3),Assumptions!$C$4:$F$4,0))*Assumptions!$C$15)</f>
        <v>0</v>
      </c>
      <c r="O19" s="8">
        <f t="array" ref="O19">O18*(INDEX(Assumptions!$C$16:$F$16,MATCH(YEAR(O$3),Assumptions!$C$4:$F$4,0))*Assumptions!$C$15)</f>
        <v>120000</v>
      </c>
      <c r="P19" s="8">
        <f t="array" ref="P19">P18*(INDEX(Assumptions!$C$16:$F$16,MATCH(YEAR(P$3),Assumptions!$C$4:$F$4,0))*Assumptions!$C$15)</f>
        <v>0</v>
      </c>
      <c r="Q19" s="8">
        <f t="array" ref="Q19">Q18*(INDEX(Assumptions!$C$16:$F$16,MATCH(YEAR(Q$3),Assumptions!$C$4:$F$4,0))*Assumptions!$C$15)</f>
        <v>0</v>
      </c>
      <c r="R19" s="8">
        <f t="array" ref="R19">R18*(INDEX(Assumptions!$C$16:$F$16,MATCH(YEAR(R$3),Assumptions!$C$4:$F$4,0))*Assumptions!$C$15)</f>
        <v>0</v>
      </c>
      <c r="S19" s="8">
        <f t="array" ref="S19">S18*(INDEX(Assumptions!$C$16:$F$16,MATCH(YEAR(S$3),Assumptions!$C$4:$F$4,0))*Assumptions!$C$15)</f>
        <v>0</v>
      </c>
      <c r="T19" s="8">
        <f t="array" ref="T19">T18*(INDEX(Assumptions!$C$16:$F$16,MATCH(YEAR(T$3),Assumptions!$C$4:$F$4,0))*Assumptions!$C$15)</f>
        <v>0</v>
      </c>
      <c r="U19" s="8">
        <f t="array" ref="U19">U18*(INDEX(Assumptions!$C$16:$F$16,MATCH(YEAR(U$3),Assumptions!$C$4:$F$4,0))*Assumptions!$C$15)</f>
        <v>280000</v>
      </c>
      <c r="V19" s="8">
        <f t="array" ref="V19">V18*(INDEX(Assumptions!$C$16:$F$16,MATCH(YEAR(V$3),Assumptions!$C$4:$F$4,0))*Assumptions!$C$15)</f>
        <v>0</v>
      </c>
      <c r="W19" s="8">
        <f t="array" ref="W19">W18*(INDEX(Assumptions!$C$16:$F$16,MATCH(YEAR(W$3),Assumptions!$C$4:$F$4,0))*Assumptions!$C$15)</f>
        <v>0</v>
      </c>
      <c r="X19" s="8">
        <f t="array" ref="X19">X18*(INDEX(Assumptions!$C$16:$F$16,MATCH(YEAR(X$3),Assumptions!$C$4:$F$4,0))*Assumptions!$C$15)</f>
        <v>0</v>
      </c>
      <c r="Y19" s="8">
        <f t="array" ref="Y19">Y18*(INDEX(Assumptions!$C$16:$F$16,MATCH(YEAR(Y$3),Assumptions!$C$4:$F$4,0))*Assumptions!$C$15)</f>
        <v>280000</v>
      </c>
      <c r="Z19" s="8">
        <f t="array" ref="Z19">Z18*(INDEX(Assumptions!$C$16:$F$16,MATCH(YEAR(Z$3),Assumptions!$C$4:$F$4,0))*Assumptions!$C$15)</f>
        <v>280000</v>
      </c>
      <c r="AA19" s="8">
        <f t="array" ref="AA19">AA18*(INDEX(Assumptions!$C$16:$F$16,MATCH(YEAR(AA$3),Assumptions!$C$4:$F$4,0))*Assumptions!$C$15)</f>
        <v>0</v>
      </c>
      <c r="AB19" s="8">
        <f t="array" ref="AB19">AB18*(INDEX(Assumptions!$C$16:$F$16,MATCH(YEAR(AB$3),Assumptions!$C$4:$F$4,0))*Assumptions!$C$15)</f>
        <v>280000</v>
      </c>
      <c r="AC19" s="8">
        <f t="array" ref="AC19">AC18*(INDEX(Assumptions!$C$16:$F$16,MATCH(YEAR(AC$3),Assumptions!$C$4:$F$4,0))*Assumptions!$C$15)</f>
        <v>280000</v>
      </c>
      <c r="AD19" s="8">
        <f t="array" ref="AD19">AD18*(INDEX(Assumptions!$C$16:$F$16,MATCH(YEAR(AD$3),Assumptions!$C$4:$F$4,0))*Assumptions!$C$15)</f>
        <v>529200</v>
      </c>
      <c r="AE19" s="8">
        <f t="array" ref="AE19">AE18*(INDEX(Assumptions!$C$16:$F$16,MATCH(YEAR(AE$3),Assumptions!$C$4:$F$4,0))*Assumptions!$C$15)</f>
        <v>0</v>
      </c>
      <c r="AF19" s="8">
        <f t="array" ref="AF19">AF18*(INDEX(Assumptions!$C$16:$F$16,MATCH(YEAR(AF$3),Assumptions!$C$4:$F$4,0))*Assumptions!$C$15)</f>
        <v>529200</v>
      </c>
      <c r="AG19" s="8">
        <f t="array" ref="AG19">AG18*(INDEX(Assumptions!$C$16:$F$16,MATCH(YEAR(AG$3),Assumptions!$C$4:$F$4,0))*Assumptions!$C$15)</f>
        <v>529200</v>
      </c>
      <c r="AH19" s="8">
        <f t="array" ref="AH19">AH18*(INDEX(Assumptions!$C$16:$F$16,MATCH(YEAR(AH$3),Assumptions!$C$4:$F$4,0))*Assumptions!$C$15)</f>
        <v>529200</v>
      </c>
      <c r="AI19" s="8">
        <f t="array" ref="AI19">AI18*(INDEX(Assumptions!$C$16:$F$16,MATCH(YEAR(AI$3),Assumptions!$C$4:$F$4,0))*Assumptions!$C$15)</f>
        <v>0</v>
      </c>
      <c r="AJ19" s="8">
        <f t="array" ref="AJ19">AJ18*(INDEX(Assumptions!$C$16:$F$16,MATCH(YEAR(AJ$3),Assumptions!$C$4:$F$4,0))*Assumptions!$C$15)</f>
        <v>529200</v>
      </c>
      <c r="AK19" s="8">
        <f t="array" ref="AK19">AK18*(INDEX(Assumptions!$C$16:$F$16,MATCH(YEAR(AK$3),Assumptions!$C$4:$F$4,0))*Assumptions!$C$15)</f>
        <v>1058400</v>
      </c>
      <c r="AL19" s="8">
        <f t="array" ref="AL19">AL18*(INDEX(Assumptions!$C$16:$F$16,MATCH(YEAR(AL$3),Assumptions!$C$4:$F$4,0))*Assumptions!$C$15)</f>
        <v>1058400</v>
      </c>
      <c r="AM19" s="8">
        <f t="array" ref="AM19">AM18*(INDEX(Assumptions!$C$16:$F$16,MATCH(YEAR(AM$3),Assumptions!$C$4:$F$4,0))*Assumptions!$C$15)</f>
        <v>529200</v>
      </c>
      <c r="AN19" s="8">
        <f t="array" ref="AN19">AN18*(INDEX(Assumptions!$C$16:$F$16,MATCH(YEAR(AN$3),Assumptions!$C$4:$F$4,0))*Assumptions!$C$15)</f>
        <v>1058400</v>
      </c>
      <c r="AO19" s="8">
        <f t="array" ref="AO19">AO18*(INDEX(Assumptions!$C$16:$F$16,MATCH(YEAR(AO$3),Assumptions!$C$4:$F$4,0))*Assumptions!$C$15)</f>
        <v>1058400</v>
      </c>
      <c r="AP19" s="8">
        <f t="array" ref="AP19">AP18*(INDEX(Assumptions!$C$16:$F$16,MATCH(YEAR(AP$3),Assumptions!$C$4:$F$4,0))*Assumptions!$C$15)</f>
        <v>1680000</v>
      </c>
      <c r="AQ19" s="8">
        <f t="array" ref="AQ19">AQ18*(INDEX(Assumptions!$C$16:$F$16,MATCH(YEAR(AQ$3),Assumptions!$C$4:$F$4,0))*Assumptions!$C$15)</f>
        <v>1680000</v>
      </c>
      <c r="AR19" s="8">
        <f t="array" ref="AR19">AR18*(INDEX(Assumptions!$C$16:$F$16,MATCH(YEAR(AR$3),Assumptions!$C$4:$F$4,0))*Assumptions!$C$15)</f>
        <v>840000</v>
      </c>
      <c r="AS19" s="8">
        <f t="array" ref="AS19">AS18*(INDEX(Assumptions!$C$16:$F$16,MATCH(YEAR(AS$3),Assumptions!$C$4:$F$4,0))*Assumptions!$C$15)</f>
        <v>1680000</v>
      </c>
      <c r="AT19" s="8">
        <f t="array" ref="AT19">AT18*(INDEX(Assumptions!$C$16:$F$16,MATCH(YEAR(AT$3),Assumptions!$C$4:$F$4,0))*Assumptions!$C$15)</f>
        <v>1680000</v>
      </c>
      <c r="AU19" s="8">
        <f t="array" ref="AU19">AU18*(INDEX(Assumptions!$C$16:$F$16,MATCH(YEAR(AU$3),Assumptions!$C$4:$F$4,0))*Assumptions!$C$15)</f>
        <v>1680000</v>
      </c>
      <c r="AV19" s="8">
        <f t="array" ref="AV19">AV18*(INDEX(Assumptions!$C$16:$F$16,MATCH(YEAR(AV$3),Assumptions!$C$4:$F$4,0))*Assumptions!$C$15)</f>
        <v>840000</v>
      </c>
      <c r="AW19" s="8">
        <f t="array" ref="AW19">AW18*(INDEX(Assumptions!$C$16:$F$16,MATCH(YEAR(AW$3),Assumptions!$C$4:$F$4,0))*Assumptions!$C$15)</f>
        <v>2520000</v>
      </c>
      <c r="AX19" s="8">
        <f t="array" ref="AX19">AX18*(INDEX(Assumptions!$C$16:$F$16,MATCH(YEAR(AX$3),Assumptions!$C$4:$F$4,0))*Assumptions!$C$15)</f>
        <v>2520000</v>
      </c>
      <c r="AY19" s="8">
        <f t="array" ref="AY19">AY18*(INDEX(Assumptions!$C$16:$F$16,MATCH(YEAR(AY$3),Assumptions!$C$4:$F$4,0))*Assumptions!$C$15)</f>
        <v>2520000</v>
      </c>
      <c r="AZ19" s="8">
        <f t="array" ref="AZ19">AZ18*(INDEX(Assumptions!$C$16:$F$16,MATCH(YEAR(AZ$3),Assumptions!$C$4:$F$4,0))*Assumptions!$C$15)</f>
        <v>2520000</v>
      </c>
      <c r="BA19" s="8">
        <f t="array" ref="BA19">BA18*(INDEX(Assumptions!$C$16:$F$16,MATCH(YEAR(BA$3),Assumptions!$C$4:$F$4,0))*Assumptions!$C$15)</f>
        <v>2520000</v>
      </c>
      <c r="BB19" s="8"/>
      <c r="BC19" s="8">
        <f t="shared" ref="BC19:BF19" si="14">SUMPRODUCT((YEAR($F$3:$BA$3)=BC$3)*$F19:$BA19)</f>
        <v>120000</v>
      </c>
      <c r="BD19" s="8">
        <f t="shared" si="14"/>
        <v>1400000</v>
      </c>
      <c r="BE19" s="8">
        <f t="shared" si="14"/>
        <v>7408800</v>
      </c>
      <c r="BF19" s="8">
        <f t="shared" si="14"/>
        <v>22680000</v>
      </c>
    </row>
    <row r="20">
      <c r="A20" s="1"/>
      <c r="B20" s="28" t="s">
        <v>80</v>
      </c>
      <c r="C20" s="29"/>
      <c r="D20" s="29"/>
      <c r="E20" s="28" t="s">
        <v>33</v>
      </c>
      <c r="F20" s="30">
        <f t="shared" ref="F20:BA20" si="15">F17+F19</f>
        <v>0</v>
      </c>
      <c r="G20" s="30">
        <f t="shared" si="15"/>
        <v>0</v>
      </c>
      <c r="H20" s="30">
        <f t="shared" si="15"/>
        <v>8000</v>
      </c>
      <c r="I20" s="30">
        <f t="shared" si="15"/>
        <v>8000</v>
      </c>
      <c r="J20" s="30">
        <f t="shared" si="15"/>
        <v>8000</v>
      </c>
      <c r="K20" s="30">
        <f t="shared" si="15"/>
        <v>8000</v>
      </c>
      <c r="L20" s="30">
        <f t="shared" si="15"/>
        <v>8000</v>
      </c>
      <c r="M20" s="30">
        <f t="shared" si="15"/>
        <v>8000</v>
      </c>
      <c r="N20" s="30">
        <f t="shared" si="15"/>
        <v>16000</v>
      </c>
      <c r="O20" s="30">
        <f t="shared" si="15"/>
        <v>128000</v>
      </c>
      <c r="P20" s="30">
        <f t="shared" si="15"/>
        <v>8000</v>
      </c>
      <c r="Q20" s="30">
        <f t="shared" si="15"/>
        <v>8000</v>
      </c>
      <c r="R20" s="30">
        <f t="shared" si="15"/>
        <v>16000</v>
      </c>
      <c r="S20" s="30">
        <f t="shared" si="15"/>
        <v>24000</v>
      </c>
      <c r="T20" s="30">
        <f t="shared" si="15"/>
        <v>24000</v>
      </c>
      <c r="U20" s="30">
        <f t="shared" si="15"/>
        <v>304000</v>
      </c>
      <c r="V20" s="30">
        <f t="shared" si="15"/>
        <v>32000</v>
      </c>
      <c r="W20" s="30">
        <f t="shared" si="15"/>
        <v>40000</v>
      </c>
      <c r="X20" s="30">
        <f t="shared" si="15"/>
        <v>40000</v>
      </c>
      <c r="Y20" s="30">
        <f t="shared" si="15"/>
        <v>320000</v>
      </c>
      <c r="Z20" s="30">
        <f t="shared" si="15"/>
        <v>320000</v>
      </c>
      <c r="AA20" s="30">
        <f t="shared" si="15"/>
        <v>48000</v>
      </c>
      <c r="AB20" s="30">
        <f t="shared" si="15"/>
        <v>320000</v>
      </c>
      <c r="AC20" s="30">
        <f t="shared" si="15"/>
        <v>320000</v>
      </c>
      <c r="AD20" s="30">
        <f t="shared" si="15"/>
        <v>577200</v>
      </c>
      <c r="AE20" s="30">
        <f t="shared" si="15"/>
        <v>64000</v>
      </c>
      <c r="AF20" s="30">
        <f t="shared" si="15"/>
        <v>593200</v>
      </c>
      <c r="AG20" s="30">
        <f t="shared" si="15"/>
        <v>601200</v>
      </c>
      <c r="AH20" s="30">
        <f t="shared" si="15"/>
        <v>609200</v>
      </c>
      <c r="AI20" s="30">
        <f t="shared" si="15"/>
        <v>96000</v>
      </c>
      <c r="AJ20" s="30">
        <f t="shared" si="15"/>
        <v>633200</v>
      </c>
      <c r="AK20" s="30">
        <f t="shared" si="15"/>
        <v>1154400</v>
      </c>
      <c r="AL20" s="30">
        <f t="shared" si="15"/>
        <v>1154400</v>
      </c>
      <c r="AM20" s="30">
        <f t="shared" si="15"/>
        <v>633200</v>
      </c>
      <c r="AN20" s="30">
        <f t="shared" si="15"/>
        <v>1162400</v>
      </c>
      <c r="AO20" s="30">
        <f t="shared" si="15"/>
        <v>1154400</v>
      </c>
      <c r="AP20" s="30">
        <f t="shared" si="15"/>
        <v>1784000</v>
      </c>
      <c r="AQ20" s="30">
        <f t="shared" si="15"/>
        <v>1792000</v>
      </c>
      <c r="AR20" s="30">
        <f t="shared" si="15"/>
        <v>968000</v>
      </c>
      <c r="AS20" s="30">
        <f t="shared" si="15"/>
        <v>1816000</v>
      </c>
      <c r="AT20" s="30">
        <f t="shared" si="15"/>
        <v>1824000</v>
      </c>
      <c r="AU20" s="30">
        <f t="shared" si="15"/>
        <v>1840000</v>
      </c>
      <c r="AV20" s="30">
        <f t="shared" si="15"/>
        <v>1016000</v>
      </c>
      <c r="AW20" s="30">
        <f t="shared" si="15"/>
        <v>2696000</v>
      </c>
      <c r="AX20" s="30">
        <f t="shared" si="15"/>
        <v>2696000</v>
      </c>
      <c r="AY20" s="30">
        <f t="shared" si="15"/>
        <v>2696000</v>
      </c>
      <c r="AZ20" s="30">
        <f t="shared" si="15"/>
        <v>2696000</v>
      </c>
      <c r="BA20" s="30">
        <f t="shared" si="15"/>
        <v>2696000</v>
      </c>
      <c r="BB20" s="30"/>
      <c r="BC20" s="30">
        <f t="shared" ref="BC20:BF20" si="16">SUMPRODUCT((YEAR($F$3:$BA$3)=BC$3)*$F20:$BA20)</f>
        <v>208000</v>
      </c>
      <c r="BD20" s="30">
        <f t="shared" si="16"/>
        <v>1808000</v>
      </c>
      <c r="BE20" s="30">
        <f t="shared" si="16"/>
        <v>8432800</v>
      </c>
      <c r="BF20" s="30">
        <f t="shared" si="16"/>
        <v>24520000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4" t="s">
        <v>81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>
      <c r="A23" s="1"/>
      <c r="B23" s="3" t="s">
        <v>82</v>
      </c>
      <c r="C23" s="1"/>
      <c r="D23" s="1"/>
      <c r="E23" s="3" t="s">
        <v>33</v>
      </c>
      <c r="F23" s="8">
        <f t="shared" ref="F23:BA23" si="17">F9+F17</f>
        <v>14000</v>
      </c>
      <c r="G23" s="8">
        <f t="shared" si="17"/>
        <v>21000</v>
      </c>
      <c r="H23" s="8">
        <f t="shared" si="17"/>
        <v>43000</v>
      </c>
      <c r="I23" s="8">
        <f t="shared" si="17"/>
        <v>50000</v>
      </c>
      <c r="J23" s="8">
        <f t="shared" si="17"/>
        <v>64000</v>
      </c>
      <c r="K23" s="8">
        <f t="shared" si="17"/>
        <v>57000</v>
      </c>
      <c r="L23" s="8">
        <f t="shared" si="17"/>
        <v>64000</v>
      </c>
      <c r="M23" s="8">
        <f t="shared" si="17"/>
        <v>57000</v>
      </c>
      <c r="N23" s="8">
        <f t="shared" si="17"/>
        <v>72000</v>
      </c>
      <c r="O23" s="8">
        <f t="shared" si="17"/>
        <v>57000</v>
      </c>
      <c r="P23" s="8">
        <f t="shared" si="17"/>
        <v>64000</v>
      </c>
      <c r="Q23" s="8">
        <f t="shared" si="17"/>
        <v>57000</v>
      </c>
      <c r="R23" s="8">
        <f t="shared" si="17"/>
        <v>79000</v>
      </c>
      <c r="S23" s="8">
        <f t="shared" si="17"/>
        <v>87000</v>
      </c>
      <c r="T23" s="8">
        <f t="shared" si="17"/>
        <v>101000</v>
      </c>
      <c r="U23" s="8">
        <f t="shared" si="17"/>
        <v>101000</v>
      </c>
      <c r="V23" s="8">
        <f t="shared" si="17"/>
        <v>123000</v>
      </c>
      <c r="W23" s="8">
        <f t="shared" si="17"/>
        <v>124000</v>
      </c>
      <c r="X23" s="8">
        <f t="shared" si="17"/>
        <v>131000</v>
      </c>
      <c r="Y23" s="8">
        <f t="shared" si="17"/>
        <v>131000</v>
      </c>
      <c r="Z23" s="8">
        <f t="shared" si="17"/>
        <v>131000</v>
      </c>
      <c r="AA23" s="8">
        <f t="shared" si="17"/>
        <v>139000</v>
      </c>
      <c r="AB23" s="8">
        <f t="shared" si="17"/>
        <v>131000</v>
      </c>
      <c r="AC23" s="8">
        <f t="shared" si="17"/>
        <v>131000</v>
      </c>
      <c r="AD23" s="8">
        <f t="shared" si="17"/>
        <v>139000</v>
      </c>
      <c r="AE23" s="8">
        <f t="shared" si="17"/>
        <v>162000</v>
      </c>
      <c r="AF23" s="8">
        <f t="shared" si="17"/>
        <v>162000</v>
      </c>
      <c r="AG23" s="8">
        <f t="shared" si="17"/>
        <v>177000</v>
      </c>
      <c r="AH23" s="8">
        <f t="shared" si="17"/>
        <v>185000</v>
      </c>
      <c r="AI23" s="8">
        <f t="shared" si="17"/>
        <v>201000</v>
      </c>
      <c r="AJ23" s="8">
        <f t="shared" si="17"/>
        <v>209000</v>
      </c>
      <c r="AK23" s="8">
        <f t="shared" si="17"/>
        <v>201000</v>
      </c>
      <c r="AL23" s="8">
        <f t="shared" si="17"/>
        <v>201000</v>
      </c>
      <c r="AM23" s="8">
        <f t="shared" si="17"/>
        <v>209000</v>
      </c>
      <c r="AN23" s="8">
        <f t="shared" si="17"/>
        <v>209000</v>
      </c>
      <c r="AO23" s="8">
        <f t="shared" si="17"/>
        <v>208000</v>
      </c>
      <c r="AP23" s="8">
        <f t="shared" si="17"/>
        <v>216000</v>
      </c>
      <c r="AQ23" s="8">
        <f t="shared" si="17"/>
        <v>224000</v>
      </c>
      <c r="AR23" s="8">
        <f t="shared" si="17"/>
        <v>240000</v>
      </c>
      <c r="AS23" s="8">
        <f t="shared" si="17"/>
        <v>248000</v>
      </c>
      <c r="AT23" s="8">
        <f t="shared" si="17"/>
        <v>249000</v>
      </c>
      <c r="AU23" s="8">
        <f t="shared" si="17"/>
        <v>272000</v>
      </c>
      <c r="AV23" s="8">
        <f t="shared" si="17"/>
        <v>288000</v>
      </c>
      <c r="AW23" s="8">
        <f t="shared" si="17"/>
        <v>288000</v>
      </c>
      <c r="AX23" s="8">
        <f t="shared" si="17"/>
        <v>288000</v>
      </c>
      <c r="AY23" s="8">
        <f t="shared" si="17"/>
        <v>288000</v>
      </c>
      <c r="AZ23" s="8">
        <f t="shared" si="17"/>
        <v>281000</v>
      </c>
      <c r="BA23" s="8">
        <f t="shared" si="17"/>
        <v>281000</v>
      </c>
      <c r="BB23" s="8"/>
      <c r="BC23" s="8">
        <f t="shared" ref="BC23:BF23" si="18">SUMPRODUCT((YEAR($F$3:$BA$3)=BC$3)*$F23:$BA23)</f>
        <v>620000</v>
      </c>
      <c r="BD23" s="8">
        <f t="shared" si="18"/>
        <v>1409000</v>
      </c>
      <c r="BE23" s="8">
        <f t="shared" si="18"/>
        <v>2263000</v>
      </c>
      <c r="BF23" s="8">
        <f t="shared" si="18"/>
        <v>3163000</v>
      </c>
    </row>
    <row r="24">
      <c r="A24" s="1"/>
      <c r="B24" s="3" t="s">
        <v>83</v>
      </c>
      <c r="C24" s="1"/>
      <c r="D24" s="1"/>
      <c r="E24" s="3" t="s">
        <v>33</v>
      </c>
      <c r="F24" s="8">
        <f t="shared" ref="F24:BA24" si="19">F11+F19</f>
        <v>0</v>
      </c>
      <c r="G24" s="8">
        <f t="shared" si="19"/>
        <v>0</v>
      </c>
      <c r="H24" s="8">
        <f t="shared" si="19"/>
        <v>0</v>
      </c>
      <c r="I24" s="8">
        <f t="shared" si="19"/>
        <v>0</v>
      </c>
      <c r="J24" s="8">
        <f t="shared" si="19"/>
        <v>0</v>
      </c>
      <c r="K24" s="8">
        <f t="shared" si="19"/>
        <v>30000</v>
      </c>
      <c r="L24" s="8">
        <f t="shared" si="19"/>
        <v>15000</v>
      </c>
      <c r="M24" s="8">
        <f t="shared" si="19"/>
        <v>30000</v>
      </c>
      <c r="N24" s="8">
        <f t="shared" si="19"/>
        <v>15000</v>
      </c>
      <c r="O24" s="8">
        <f t="shared" si="19"/>
        <v>150000</v>
      </c>
      <c r="P24" s="8">
        <f t="shared" si="19"/>
        <v>15000</v>
      </c>
      <c r="Q24" s="8">
        <f t="shared" si="19"/>
        <v>30000</v>
      </c>
      <c r="R24" s="8">
        <f t="shared" si="19"/>
        <v>25200</v>
      </c>
      <c r="S24" s="8">
        <f t="shared" si="19"/>
        <v>50400</v>
      </c>
      <c r="T24" s="8">
        <f t="shared" si="19"/>
        <v>25200</v>
      </c>
      <c r="U24" s="8">
        <f t="shared" si="19"/>
        <v>330400</v>
      </c>
      <c r="V24" s="8">
        <f t="shared" si="19"/>
        <v>25200</v>
      </c>
      <c r="W24" s="8">
        <f t="shared" si="19"/>
        <v>75600</v>
      </c>
      <c r="X24" s="8">
        <f t="shared" si="19"/>
        <v>50400</v>
      </c>
      <c r="Y24" s="8">
        <f t="shared" si="19"/>
        <v>355600</v>
      </c>
      <c r="Z24" s="8">
        <f t="shared" si="19"/>
        <v>330400</v>
      </c>
      <c r="AA24" s="8">
        <f t="shared" si="19"/>
        <v>75600</v>
      </c>
      <c r="AB24" s="8">
        <f t="shared" si="19"/>
        <v>330400</v>
      </c>
      <c r="AC24" s="8">
        <f t="shared" si="19"/>
        <v>355600</v>
      </c>
      <c r="AD24" s="8">
        <f t="shared" si="19"/>
        <v>661200</v>
      </c>
      <c r="AE24" s="8">
        <f t="shared" si="19"/>
        <v>88000</v>
      </c>
      <c r="AF24" s="8">
        <f t="shared" si="19"/>
        <v>661200</v>
      </c>
      <c r="AG24" s="8">
        <f t="shared" si="19"/>
        <v>617200</v>
      </c>
      <c r="AH24" s="8">
        <f t="shared" si="19"/>
        <v>661200</v>
      </c>
      <c r="AI24" s="8">
        <f t="shared" si="19"/>
        <v>132000</v>
      </c>
      <c r="AJ24" s="8">
        <f t="shared" si="19"/>
        <v>661200</v>
      </c>
      <c r="AK24" s="8">
        <f t="shared" si="19"/>
        <v>1190400</v>
      </c>
      <c r="AL24" s="8">
        <f t="shared" si="19"/>
        <v>1190400</v>
      </c>
      <c r="AM24" s="8">
        <f t="shared" si="19"/>
        <v>661200</v>
      </c>
      <c r="AN24" s="8">
        <f t="shared" si="19"/>
        <v>1190400</v>
      </c>
      <c r="AO24" s="8">
        <f t="shared" si="19"/>
        <v>1190400</v>
      </c>
      <c r="AP24" s="8">
        <f t="shared" si="19"/>
        <v>1905000</v>
      </c>
      <c r="AQ24" s="8">
        <f t="shared" si="19"/>
        <v>1905000</v>
      </c>
      <c r="AR24" s="8">
        <f t="shared" si="19"/>
        <v>1065000</v>
      </c>
      <c r="AS24" s="8">
        <f t="shared" si="19"/>
        <v>1905000</v>
      </c>
      <c r="AT24" s="8">
        <f t="shared" si="19"/>
        <v>1980000</v>
      </c>
      <c r="AU24" s="8">
        <f t="shared" si="19"/>
        <v>1905000</v>
      </c>
      <c r="AV24" s="8">
        <f t="shared" si="19"/>
        <v>1065000</v>
      </c>
      <c r="AW24" s="8">
        <f t="shared" si="19"/>
        <v>2745000</v>
      </c>
      <c r="AX24" s="8">
        <f t="shared" si="19"/>
        <v>2745000</v>
      </c>
      <c r="AY24" s="8">
        <f t="shared" si="19"/>
        <v>2745000</v>
      </c>
      <c r="AZ24" s="8">
        <f t="shared" si="19"/>
        <v>2820000</v>
      </c>
      <c r="BA24" s="8">
        <f t="shared" si="19"/>
        <v>2745000</v>
      </c>
      <c r="BB24" s="8"/>
      <c r="BC24" s="8">
        <f t="shared" ref="BC24:BF24" si="20">SUMPRODUCT((YEAR($F$3:$BA$3)=BC$3)*$F24:$BA24)</f>
        <v>285000</v>
      </c>
      <c r="BD24" s="8">
        <f t="shared" si="20"/>
        <v>2030000</v>
      </c>
      <c r="BE24" s="8">
        <f t="shared" si="20"/>
        <v>8904800</v>
      </c>
      <c r="BF24" s="8">
        <f t="shared" si="20"/>
        <v>25530000</v>
      </c>
    </row>
    <row r="25">
      <c r="A25" s="1"/>
      <c r="B25" s="28" t="s">
        <v>84</v>
      </c>
      <c r="C25" s="29"/>
      <c r="D25" s="29"/>
      <c r="E25" s="28" t="s">
        <v>33</v>
      </c>
      <c r="F25" s="30">
        <f t="shared" ref="F25:BA25" si="21">F23+F24</f>
        <v>14000</v>
      </c>
      <c r="G25" s="30">
        <f t="shared" si="21"/>
        <v>21000</v>
      </c>
      <c r="H25" s="30">
        <f t="shared" si="21"/>
        <v>43000</v>
      </c>
      <c r="I25" s="30">
        <f t="shared" si="21"/>
        <v>50000</v>
      </c>
      <c r="J25" s="30">
        <f t="shared" si="21"/>
        <v>64000</v>
      </c>
      <c r="K25" s="30">
        <f t="shared" si="21"/>
        <v>87000</v>
      </c>
      <c r="L25" s="30">
        <f t="shared" si="21"/>
        <v>79000</v>
      </c>
      <c r="M25" s="30">
        <f t="shared" si="21"/>
        <v>87000</v>
      </c>
      <c r="N25" s="30">
        <f t="shared" si="21"/>
        <v>87000</v>
      </c>
      <c r="O25" s="30">
        <f t="shared" si="21"/>
        <v>207000</v>
      </c>
      <c r="P25" s="30">
        <f t="shared" si="21"/>
        <v>79000</v>
      </c>
      <c r="Q25" s="30">
        <f t="shared" si="21"/>
        <v>87000</v>
      </c>
      <c r="R25" s="30">
        <f t="shared" si="21"/>
        <v>104200</v>
      </c>
      <c r="S25" s="30">
        <f t="shared" si="21"/>
        <v>137400</v>
      </c>
      <c r="T25" s="30">
        <f t="shared" si="21"/>
        <v>126200</v>
      </c>
      <c r="U25" s="30">
        <f t="shared" si="21"/>
        <v>431400</v>
      </c>
      <c r="V25" s="30">
        <f t="shared" si="21"/>
        <v>148200</v>
      </c>
      <c r="W25" s="30">
        <f t="shared" si="21"/>
        <v>199600</v>
      </c>
      <c r="X25" s="30">
        <f t="shared" si="21"/>
        <v>181400</v>
      </c>
      <c r="Y25" s="30">
        <f t="shared" si="21"/>
        <v>486600</v>
      </c>
      <c r="Z25" s="30">
        <f t="shared" si="21"/>
        <v>461400</v>
      </c>
      <c r="AA25" s="30">
        <f t="shared" si="21"/>
        <v>214600</v>
      </c>
      <c r="AB25" s="30">
        <f t="shared" si="21"/>
        <v>461400</v>
      </c>
      <c r="AC25" s="30">
        <f t="shared" si="21"/>
        <v>486600</v>
      </c>
      <c r="AD25" s="30">
        <f t="shared" si="21"/>
        <v>800200</v>
      </c>
      <c r="AE25" s="30">
        <f t="shared" si="21"/>
        <v>250000</v>
      </c>
      <c r="AF25" s="30">
        <f t="shared" si="21"/>
        <v>823200</v>
      </c>
      <c r="AG25" s="30">
        <f t="shared" si="21"/>
        <v>794200</v>
      </c>
      <c r="AH25" s="30">
        <f t="shared" si="21"/>
        <v>846200</v>
      </c>
      <c r="AI25" s="30">
        <f t="shared" si="21"/>
        <v>333000</v>
      </c>
      <c r="AJ25" s="30">
        <f t="shared" si="21"/>
        <v>870200</v>
      </c>
      <c r="AK25" s="30">
        <f t="shared" si="21"/>
        <v>1391400</v>
      </c>
      <c r="AL25" s="30">
        <f t="shared" si="21"/>
        <v>1391400</v>
      </c>
      <c r="AM25" s="30">
        <f t="shared" si="21"/>
        <v>870200</v>
      </c>
      <c r="AN25" s="30">
        <f t="shared" si="21"/>
        <v>1399400</v>
      </c>
      <c r="AO25" s="30">
        <f t="shared" si="21"/>
        <v>1398400</v>
      </c>
      <c r="AP25" s="30">
        <f t="shared" si="21"/>
        <v>2121000</v>
      </c>
      <c r="AQ25" s="30">
        <f t="shared" si="21"/>
        <v>2129000</v>
      </c>
      <c r="AR25" s="30">
        <f t="shared" si="21"/>
        <v>1305000</v>
      </c>
      <c r="AS25" s="30">
        <f t="shared" si="21"/>
        <v>2153000</v>
      </c>
      <c r="AT25" s="30">
        <f t="shared" si="21"/>
        <v>2229000</v>
      </c>
      <c r="AU25" s="30">
        <f t="shared" si="21"/>
        <v>2177000</v>
      </c>
      <c r="AV25" s="30">
        <f t="shared" si="21"/>
        <v>1353000</v>
      </c>
      <c r="AW25" s="30">
        <f t="shared" si="21"/>
        <v>3033000</v>
      </c>
      <c r="AX25" s="30">
        <f t="shared" si="21"/>
        <v>3033000</v>
      </c>
      <c r="AY25" s="30">
        <f t="shared" si="21"/>
        <v>3033000</v>
      </c>
      <c r="AZ25" s="30">
        <f t="shared" si="21"/>
        <v>3101000</v>
      </c>
      <c r="BA25" s="30">
        <f t="shared" si="21"/>
        <v>3026000</v>
      </c>
      <c r="BB25" s="30"/>
      <c r="BC25" s="30">
        <f t="shared" ref="BC25:BF25" si="22">SUMPRODUCT((YEAR($F$3:$BA$3)=BC$3)*$F25:$BA25)</f>
        <v>905000</v>
      </c>
      <c r="BD25" s="30">
        <f t="shared" si="22"/>
        <v>3439000</v>
      </c>
      <c r="BE25" s="30">
        <f t="shared" si="22"/>
        <v>11167800</v>
      </c>
      <c r="BF25" s="30">
        <f t="shared" si="22"/>
        <v>28693000</v>
      </c>
    </row>
    <row r="26">
      <c r="A26" s="1"/>
      <c r="B26" s="3" t="s">
        <v>85</v>
      </c>
      <c r="C26" s="1"/>
      <c r="D26" s="1"/>
      <c r="E26" s="3" t="s">
        <v>33</v>
      </c>
      <c r="F26" s="8">
        <f>-Assumptions!$C$25*Assumptions!$C$27*F25</f>
        <v>-875</v>
      </c>
      <c r="G26" s="8">
        <f>-Assumptions!$C$25*Assumptions!$C$27*G25</f>
        <v>-1312.5</v>
      </c>
      <c r="H26" s="8">
        <f>-Assumptions!$C$25*Assumptions!$C$27*H25</f>
        <v>-2687.5</v>
      </c>
      <c r="I26" s="8">
        <f>-Assumptions!$C$25*Assumptions!$C$27*I25</f>
        <v>-3125</v>
      </c>
      <c r="J26" s="8">
        <f>-Assumptions!$C$25*Assumptions!$C$27*J25</f>
        <v>-4000</v>
      </c>
      <c r="K26" s="8">
        <f>-Assumptions!$C$25*Assumptions!$C$27*K25</f>
        <v>-5437.5</v>
      </c>
      <c r="L26" s="8">
        <f>-Assumptions!$C$25*Assumptions!$C$27*L25</f>
        <v>-4937.5</v>
      </c>
      <c r="M26" s="8">
        <f>-Assumptions!$C$25*Assumptions!$C$27*M25</f>
        <v>-5437.5</v>
      </c>
      <c r="N26" s="8">
        <f>-Assumptions!$C$25*Assumptions!$C$27*N25</f>
        <v>-5437.5</v>
      </c>
      <c r="O26" s="8">
        <f>-Assumptions!$C$25*Assumptions!$C$27*O25</f>
        <v>-12937.5</v>
      </c>
      <c r="P26" s="8">
        <f>-Assumptions!$C$25*Assumptions!$C$27*P25</f>
        <v>-4937.5</v>
      </c>
      <c r="Q26" s="8">
        <f>-Assumptions!$C$25*Assumptions!$C$27*Q25</f>
        <v>-5437.5</v>
      </c>
      <c r="R26" s="8">
        <f>-Assumptions!$C$25*Assumptions!$C$27*R25</f>
        <v>-6512.5</v>
      </c>
      <c r="S26" s="8">
        <f>-Assumptions!$C$25*Assumptions!$C$27*S25</f>
        <v>-8587.5</v>
      </c>
      <c r="T26" s="8">
        <f>-Assumptions!$C$25*Assumptions!$C$27*T25</f>
        <v>-7887.5</v>
      </c>
      <c r="U26" s="8">
        <f>-Assumptions!$C$25*Assumptions!$C$27*U25</f>
        <v>-26962.5</v>
      </c>
      <c r="V26" s="8">
        <f>-Assumptions!$C$25*Assumptions!$C$27*V25</f>
        <v>-9262.5</v>
      </c>
      <c r="W26" s="8">
        <f>-Assumptions!$C$25*Assumptions!$C$27*W25</f>
        <v>-12475</v>
      </c>
      <c r="X26" s="8">
        <f>-Assumptions!$C$25*Assumptions!$C$27*X25</f>
        <v>-11337.5</v>
      </c>
      <c r="Y26" s="8">
        <f>-Assumptions!$C$25*Assumptions!$C$27*Y25</f>
        <v>-30412.5</v>
      </c>
      <c r="Z26" s="8">
        <f>-Assumptions!$C$25*Assumptions!$C$27*Z25</f>
        <v>-28837.5</v>
      </c>
      <c r="AA26" s="8">
        <f>-Assumptions!$C$25*Assumptions!$C$27*AA25</f>
        <v>-13412.5</v>
      </c>
      <c r="AB26" s="8">
        <f>-Assumptions!$C$25*Assumptions!$C$27*AB25</f>
        <v>-28837.5</v>
      </c>
      <c r="AC26" s="8">
        <f>-Assumptions!$C$25*Assumptions!$C$27*AC25</f>
        <v>-30412.5</v>
      </c>
      <c r="AD26" s="8">
        <f>-Assumptions!$C$25*Assumptions!$C$27*AD25</f>
        <v>-50012.5</v>
      </c>
      <c r="AE26" s="8">
        <f>-Assumptions!$C$25*Assumptions!$C$27*AE25</f>
        <v>-15625</v>
      </c>
      <c r="AF26" s="8">
        <f>-Assumptions!$C$25*Assumptions!$C$27*AF25</f>
        <v>-51450</v>
      </c>
      <c r="AG26" s="8">
        <f>-Assumptions!$C$25*Assumptions!$C$27*AG25</f>
        <v>-49637.5</v>
      </c>
      <c r="AH26" s="8">
        <f>-Assumptions!$C$25*Assumptions!$C$27*AH25</f>
        <v>-52887.5</v>
      </c>
      <c r="AI26" s="8">
        <f>-Assumptions!$C$25*Assumptions!$C$27*AI25</f>
        <v>-20812.5</v>
      </c>
      <c r="AJ26" s="8">
        <f>-Assumptions!$C$25*Assumptions!$C$27*AJ25</f>
        <v>-54387.5</v>
      </c>
      <c r="AK26" s="8">
        <f>-Assumptions!$C$25*Assumptions!$C$27*AK25</f>
        <v>-86962.5</v>
      </c>
      <c r="AL26" s="8">
        <f>-Assumptions!$C$25*Assumptions!$C$27*AL25</f>
        <v>-86962.5</v>
      </c>
      <c r="AM26" s="8">
        <f>-Assumptions!$C$25*Assumptions!$C$27*AM25</f>
        <v>-54387.5</v>
      </c>
      <c r="AN26" s="8">
        <f>-Assumptions!$C$25*Assumptions!$C$27*AN25</f>
        <v>-87462.5</v>
      </c>
      <c r="AO26" s="8">
        <f>-Assumptions!$C$25*Assumptions!$C$27*AO25</f>
        <v>-87400</v>
      </c>
      <c r="AP26" s="8">
        <f>-Assumptions!$C$25*Assumptions!$C$27*AP25</f>
        <v>-132562.5</v>
      </c>
      <c r="AQ26" s="8">
        <f>-Assumptions!$C$25*Assumptions!$C$27*AQ25</f>
        <v>-133062.5</v>
      </c>
      <c r="AR26" s="8">
        <f>-Assumptions!$C$25*Assumptions!$C$27*AR25</f>
        <v>-81562.5</v>
      </c>
      <c r="AS26" s="8">
        <f>-Assumptions!$C$25*Assumptions!$C$27*AS25</f>
        <v>-134562.5</v>
      </c>
      <c r="AT26" s="8">
        <f>-Assumptions!$C$25*Assumptions!$C$27*AT25</f>
        <v>-139312.5</v>
      </c>
      <c r="AU26" s="8">
        <f>-Assumptions!$C$25*Assumptions!$C$27*AU25</f>
        <v>-136062.5</v>
      </c>
      <c r="AV26" s="8">
        <f>-Assumptions!$C$25*Assumptions!$C$27*AV25</f>
        <v>-84562.5</v>
      </c>
      <c r="AW26" s="8">
        <f>-Assumptions!$C$25*Assumptions!$C$27*AW25</f>
        <v>-189562.5</v>
      </c>
      <c r="AX26" s="8">
        <f>-Assumptions!$C$25*Assumptions!$C$27*AX25</f>
        <v>-189562.5</v>
      </c>
      <c r="AY26" s="8">
        <f>-Assumptions!$C$25*Assumptions!$C$27*AY25</f>
        <v>-189562.5</v>
      </c>
      <c r="AZ26" s="8">
        <f>-Assumptions!$C$25*Assumptions!$C$27*AZ25</f>
        <v>-193812.5</v>
      </c>
      <c r="BA26" s="8">
        <f>-Assumptions!$C$25*Assumptions!$C$27*BA25</f>
        <v>-189125</v>
      </c>
      <c r="BB26" s="8"/>
      <c r="BC26" s="8">
        <f t="shared" ref="BC26:BF26" si="23">SUMPRODUCT((YEAR($F$3:$BA$3)=BC$3)*$F26:$BA26)</f>
        <v>-56562.5</v>
      </c>
      <c r="BD26" s="8">
        <f t="shared" si="23"/>
        <v>-214937.5</v>
      </c>
      <c r="BE26" s="8">
        <f t="shared" si="23"/>
        <v>-697987.5</v>
      </c>
      <c r="BF26" s="8">
        <f t="shared" si="23"/>
        <v>-1793312.5</v>
      </c>
    </row>
    <row r="27">
      <c r="A27" s="1"/>
      <c r="B27" s="28" t="s">
        <v>86</v>
      </c>
      <c r="C27" s="29"/>
      <c r="D27" s="29"/>
      <c r="E27" s="28" t="s">
        <v>33</v>
      </c>
      <c r="F27" s="30">
        <f t="shared" ref="F27:BA27" si="24">F25+F26</f>
        <v>13125</v>
      </c>
      <c r="G27" s="30">
        <f t="shared" si="24"/>
        <v>19687.5</v>
      </c>
      <c r="H27" s="30">
        <f t="shared" si="24"/>
        <v>40312.5</v>
      </c>
      <c r="I27" s="30">
        <f t="shared" si="24"/>
        <v>46875</v>
      </c>
      <c r="J27" s="30">
        <f t="shared" si="24"/>
        <v>60000</v>
      </c>
      <c r="K27" s="30">
        <f t="shared" si="24"/>
        <v>81562.5</v>
      </c>
      <c r="L27" s="30">
        <f t="shared" si="24"/>
        <v>74062.5</v>
      </c>
      <c r="M27" s="30">
        <f t="shared" si="24"/>
        <v>81562.5</v>
      </c>
      <c r="N27" s="30">
        <f t="shared" si="24"/>
        <v>81562.5</v>
      </c>
      <c r="O27" s="30">
        <f t="shared" si="24"/>
        <v>194062.5</v>
      </c>
      <c r="P27" s="30">
        <f t="shared" si="24"/>
        <v>74062.5</v>
      </c>
      <c r="Q27" s="30">
        <f t="shared" si="24"/>
        <v>81562.5</v>
      </c>
      <c r="R27" s="30">
        <f t="shared" si="24"/>
        <v>97687.5</v>
      </c>
      <c r="S27" s="30">
        <f t="shared" si="24"/>
        <v>128812.5</v>
      </c>
      <c r="T27" s="30">
        <f t="shared" si="24"/>
        <v>118312.5</v>
      </c>
      <c r="U27" s="30">
        <f t="shared" si="24"/>
        <v>404437.5</v>
      </c>
      <c r="V27" s="30">
        <f t="shared" si="24"/>
        <v>138937.5</v>
      </c>
      <c r="W27" s="30">
        <f t="shared" si="24"/>
        <v>187125</v>
      </c>
      <c r="X27" s="30">
        <f t="shared" si="24"/>
        <v>170062.5</v>
      </c>
      <c r="Y27" s="30">
        <f t="shared" si="24"/>
        <v>456187.5</v>
      </c>
      <c r="Z27" s="30">
        <f t="shared" si="24"/>
        <v>432562.5</v>
      </c>
      <c r="AA27" s="30">
        <f t="shared" si="24"/>
        <v>201187.5</v>
      </c>
      <c r="AB27" s="30">
        <f t="shared" si="24"/>
        <v>432562.5</v>
      </c>
      <c r="AC27" s="30">
        <f t="shared" si="24"/>
        <v>456187.5</v>
      </c>
      <c r="AD27" s="30">
        <f t="shared" si="24"/>
        <v>750187.5</v>
      </c>
      <c r="AE27" s="30">
        <f t="shared" si="24"/>
        <v>234375</v>
      </c>
      <c r="AF27" s="30">
        <f t="shared" si="24"/>
        <v>771750</v>
      </c>
      <c r="AG27" s="30">
        <f t="shared" si="24"/>
        <v>744562.5</v>
      </c>
      <c r="AH27" s="30">
        <f t="shared" si="24"/>
        <v>793312.5</v>
      </c>
      <c r="AI27" s="30">
        <f t="shared" si="24"/>
        <v>312187.5</v>
      </c>
      <c r="AJ27" s="30">
        <f t="shared" si="24"/>
        <v>815812.5</v>
      </c>
      <c r="AK27" s="30">
        <f t="shared" si="24"/>
        <v>1304437.5</v>
      </c>
      <c r="AL27" s="30">
        <f t="shared" si="24"/>
        <v>1304437.5</v>
      </c>
      <c r="AM27" s="30">
        <f t="shared" si="24"/>
        <v>815812.5</v>
      </c>
      <c r="AN27" s="30">
        <f t="shared" si="24"/>
        <v>1311937.5</v>
      </c>
      <c r="AO27" s="30">
        <f t="shared" si="24"/>
        <v>1311000</v>
      </c>
      <c r="AP27" s="30">
        <f t="shared" si="24"/>
        <v>1988437.5</v>
      </c>
      <c r="AQ27" s="30">
        <f t="shared" si="24"/>
        <v>1995937.5</v>
      </c>
      <c r="AR27" s="30">
        <f t="shared" si="24"/>
        <v>1223437.5</v>
      </c>
      <c r="AS27" s="30">
        <f t="shared" si="24"/>
        <v>2018437.5</v>
      </c>
      <c r="AT27" s="30">
        <f t="shared" si="24"/>
        <v>2089687.5</v>
      </c>
      <c r="AU27" s="30">
        <f t="shared" si="24"/>
        <v>2040937.5</v>
      </c>
      <c r="AV27" s="30">
        <f t="shared" si="24"/>
        <v>1268437.5</v>
      </c>
      <c r="AW27" s="30">
        <f t="shared" si="24"/>
        <v>2843437.5</v>
      </c>
      <c r="AX27" s="30">
        <f t="shared" si="24"/>
        <v>2843437.5</v>
      </c>
      <c r="AY27" s="30">
        <f t="shared" si="24"/>
        <v>2843437.5</v>
      </c>
      <c r="AZ27" s="30">
        <f t="shared" si="24"/>
        <v>2907187.5</v>
      </c>
      <c r="BA27" s="30">
        <f t="shared" si="24"/>
        <v>2836875</v>
      </c>
      <c r="BB27" s="30"/>
      <c r="BC27" s="30">
        <f t="shared" ref="BC27:BF27" si="25">SUMPRODUCT((YEAR($F$3:$BA$3)=BC$3)*$F27:$BA27)</f>
        <v>848437.5</v>
      </c>
      <c r="BD27" s="30">
        <f t="shared" si="25"/>
        <v>3224062.5</v>
      </c>
      <c r="BE27" s="30">
        <f t="shared" si="25"/>
        <v>10469812.5</v>
      </c>
      <c r="BF27" s="30">
        <f t="shared" si="25"/>
        <v>26899687.5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87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73</v>
      </c>
      <c r="F3" s="27">
        <v>46388.0</v>
      </c>
      <c r="G3" s="27">
        <v>46419.0</v>
      </c>
      <c r="H3" s="27">
        <v>46447.0</v>
      </c>
      <c r="I3" s="27">
        <v>46478.0</v>
      </c>
      <c r="J3" s="27">
        <v>46508.0</v>
      </c>
      <c r="K3" s="27">
        <v>46539.0</v>
      </c>
      <c r="L3" s="27">
        <v>46569.0</v>
      </c>
      <c r="M3" s="27">
        <v>46600.0</v>
      </c>
      <c r="N3" s="27">
        <v>46631.0</v>
      </c>
      <c r="O3" s="27">
        <v>46661.0</v>
      </c>
      <c r="P3" s="27">
        <v>46692.0</v>
      </c>
      <c r="Q3" s="27">
        <v>46722.0</v>
      </c>
      <c r="R3" s="27">
        <v>46753.0</v>
      </c>
      <c r="S3" s="27">
        <v>46784.0</v>
      </c>
      <c r="T3" s="27">
        <v>46813.0</v>
      </c>
      <c r="U3" s="27">
        <v>46844.0</v>
      </c>
      <c r="V3" s="27">
        <v>46874.0</v>
      </c>
      <c r="W3" s="27">
        <v>46905.0</v>
      </c>
      <c r="X3" s="27">
        <v>46935.0</v>
      </c>
      <c r="Y3" s="27">
        <v>46966.0</v>
      </c>
      <c r="Z3" s="27">
        <v>46997.0</v>
      </c>
      <c r="AA3" s="27">
        <v>47027.0</v>
      </c>
      <c r="AB3" s="27">
        <v>47058.0</v>
      </c>
      <c r="AC3" s="27">
        <v>47088.0</v>
      </c>
      <c r="AD3" s="27">
        <v>47119.0</v>
      </c>
      <c r="AE3" s="27">
        <v>47150.0</v>
      </c>
      <c r="AF3" s="27">
        <v>47178.0</v>
      </c>
      <c r="AG3" s="27">
        <v>47209.0</v>
      </c>
      <c r="AH3" s="27">
        <v>47239.0</v>
      </c>
      <c r="AI3" s="27">
        <v>47270.0</v>
      </c>
      <c r="AJ3" s="27">
        <v>47300.0</v>
      </c>
      <c r="AK3" s="27">
        <v>47331.0</v>
      </c>
      <c r="AL3" s="27">
        <v>47362.0</v>
      </c>
      <c r="AM3" s="27">
        <v>47392.0</v>
      </c>
      <c r="AN3" s="27">
        <v>47423.0</v>
      </c>
      <c r="AO3" s="27">
        <v>47453.0</v>
      </c>
      <c r="AP3" s="27">
        <v>47484.0</v>
      </c>
      <c r="AQ3" s="27">
        <v>47515.0</v>
      </c>
      <c r="AR3" s="27">
        <v>47543.0</v>
      </c>
      <c r="AS3" s="27">
        <v>47574.0</v>
      </c>
      <c r="AT3" s="27">
        <v>47604.0</v>
      </c>
      <c r="AU3" s="27">
        <v>47635.0</v>
      </c>
      <c r="AV3" s="27">
        <v>47665.0</v>
      </c>
      <c r="AW3" s="27">
        <v>47696.0</v>
      </c>
      <c r="AX3" s="27">
        <v>47727.0</v>
      </c>
      <c r="AY3" s="27">
        <v>47757.0</v>
      </c>
      <c r="AZ3" s="27">
        <v>47788.0</v>
      </c>
      <c r="BA3" s="27">
        <v>47818.0</v>
      </c>
      <c r="BB3" s="1"/>
      <c r="BC3" s="6">
        <v>2027.0</v>
      </c>
      <c r="BD3" s="6">
        <v>2028.0</v>
      </c>
      <c r="BE3" s="6">
        <v>2029.0</v>
      </c>
      <c r="BF3" s="6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4" t="s">
        <v>88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>
      <c r="A7" s="1"/>
      <c r="B7" s="3" t="s">
        <v>89</v>
      </c>
      <c r="C7" s="1"/>
      <c r="D7" s="1"/>
      <c r="E7" s="3" t="s">
        <v>39</v>
      </c>
      <c r="F7" s="10">
        <f>'Revenue forecast'!F8+'Revenue forecast'!F16</f>
        <v>2</v>
      </c>
      <c r="G7" s="10">
        <f>'Revenue forecast'!G8+'Revenue forecast'!G16</f>
        <v>3</v>
      </c>
      <c r="H7" s="10">
        <f>'Revenue forecast'!H8+'Revenue forecast'!H16</f>
        <v>6</v>
      </c>
      <c r="I7" s="10">
        <f>'Revenue forecast'!I8+'Revenue forecast'!I16</f>
        <v>7</v>
      </c>
      <c r="J7" s="10">
        <f>'Revenue forecast'!J8+'Revenue forecast'!J16</f>
        <v>9</v>
      </c>
      <c r="K7" s="10">
        <f>'Revenue forecast'!K8+'Revenue forecast'!K16</f>
        <v>8</v>
      </c>
      <c r="L7" s="10">
        <f>'Revenue forecast'!L8+'Revenue forecast'!L16</f>
        <v>9</v>
      </c>
      <c r="M7" s="10">
        <f>'Revenue forecast'!M8+'Revenue forecast'!M16</f>
        <v>8</v>
      </c>
      <c r="N7" s="10">
        <f>'Revenue forecast'!N8+'Revenue forecast'!N16</f>
        <v>10</v>
      </c>
      <c r="O7" s="10">
        <f>'Revenue forecast'!O8+'Revenue forecast'!O16</f>
        <v>8</v>
      </c>
      <c r="P7" s="10">
        <f>'Revenue forecast'!P8+'Revenue forecast'!P16</f>
        <v>9</v>
      </c>
      <c r="Q7" s="10">
        <f>'Revenue forecast'!Q8+'Revenue forecast'!Q16</f>
        <v>8</v>
      </c>
      <c r="R7" s="10">
        <f>'Revenue forecast'!R8+'Revenue forecast'!R16</f>
        <v>11</v>
      </c>
      <c r="S7" s="10">
        <f>'Revenue forecast'!S8+'Revenue forecast'!S16</f>
        <v>12</v>
      </c>
      <c r="T7" s="10">
        <f>'Revenue forecast'!T8+'Revenue forecast'!T16</f>
        <v>14</v>
      </c>
      <c r="U7" s="10">
        <f>'Revenue forecast'!U8+'Revenue forecast'!U16</f>
        <v>14</v>
      </c>
      <c r="V7" s="10">
        <f>'Revenue forecast'!V8+'Revenue forecast'!V16</f>
        <v>17</v>
      </c>
      <c r="W7" s="10">
        <f>'Revenue forecast'!W8+'Revenue forecast'!W16</f>
        <v>17</v>
      </c>
      <c r="X7" s="10">
        <f>'Revenue forecast'!X8+'Revenue forecast'!X16</f>
        <v>18</v>
      </c>
      <c r="Y7" s="10">
        <f>'Revenue forecast'!Y8+'Revenue forecast'!Y16</f>
        <v>18</v>
      </c>
      <c r="Z7" s="10">
        <f>'Revenue forecast'!Z8+'Revenue forecast'!Z16</f>
        <v>18</v>
      </c>
      <c r="AA7" s="10">
        <f>'Revenue forecast'!AA8+'Revenue forecast'!AA16</f>
        <v>19</v>
      </c>
      <c r="AB7" s="10">
        <f>'Revenue forecast'!AB8+'Revenue forecast'!AB16</f>
        <v>18</v>
      </c>
      <c r="AC7" s="10">
        <f>'Revenue forecast'!AC8+'Revenue forecast'!AC16</f>
        <v>18</v>
      </c>
      <c r="AD7" s="10">
        <f>'Revenue forecast'!AD8+'Revenue forecast'!AD16</f>
        <v>19</v>
      </c>
      <c r="AE7" s="10">
        <f>'Revenue forecast'!AE8+'Revenue forecast'!AE16</f>
        <v>22</v>
      </c>
      <c r="AF7" s="10">
        <f>'Revenue forecast'!AF8+'Revenue forecast'!AF16</f>
        <v>22</v>
      </c>
      <c r="AG7" s="10">
        <f>'Revenue forecast'!AG8+'Revenue forecast'!AG16</f>
        <v>24</v>
      </c>
      <c r="AH7" s="10">
        <f>'Revenue forecast'!AH8+'Revenue forecast'!AH16</f>
        <v>25</v>
      </c>
      <c r="AI7" s="10">
        <f>'Revenue forecast'!AI8+'Revenue forecast'!AI16</f>
        <v>27</v>
      </c>
      <c r="AJ7" s="10">
        <f>'Revenue forecast'!AJ8+'Revenue forecast'!AJ16</f>
        <v>28</v>
      </c>
      <c r="AK7" s="10">
        <f>'Revenue forecast'!AK8+'Revenue forecast'!AK16</f>
        <v>27</v>
      </c>
      <c r="AL7" s="10">
        <f>'Revenue forecast'!AL8+'Revenue forecast'!AL16</f>
        <v>27</v>
      </c>
      <c r="AM7" s="10">
        <f>'Revenue forecast'!AM8+'Revenue forecast'!AM16</f>
        <v>28</v>
      </c>
      <c r="AN7" s="10">
        <f>'Revenue forecast'!AN8+'Revenue forecast'!AN16</f>
        <v>28</v>
      </c>
      <c r="AO7" s="10">
        <f>'Revenue forecast'!AO8+'Revenue forecast'!AO16</f>
        <v>28</v>
      </c>
      <c r="AP7" s="10">
        <f>'Revenue forecast'!AP8+'Revenue forecast'!AP16</f>
        <v>29</v>
      </c>
      <c r="AQ7" s="10">
        <f>'Revenue forecast'!AQ8+'Revenue forecast'!AQ16</f>
        <v>30</v>
      </c>
      <c r="AR7" s="10">
        <f>'Revenue forecast'!AR8+'Revenue forecast'!AR16</f>
        <v>32</v>
      </c>
      <c r="AS7" s="10">
        <f>'Revenue forecast'!AS8+'Revenue forecast'!AS16</f>
        <v>33</v>
      </c>
      <c r="AT7" s="10">
        <f>'Revenue forecast'!AT8+'Revenue forecast'!AT16</f>
        <v>33</v>
      </c>
      <c r="AU7" s="10">
        <f>'Revenue forecast'!AU8+'Revenue forecast'!AU16</f>
        <v>36</v>
      </c>
      <c r="AV7" s="10">
        <f>'Revenue forecast'!AV8+'Revenue forecast'!AV16</f>
        <v>38</v>
      </c>
      <c r="AW7" s="10">
        <f>'Revenue forecast'!AW8+'Revenue forecast'!AW16</f>
        <v>38</v>
      </c>
      <c r="AX7" s="10">
        <f>'Revenue forecast'!AX8+'Revenue forecast'!AX16</f>
        <v>38</v>
      </c>
      <c r="AY7" s="10">
        <f>'Revenue forecast'!AY8+'Revenue forecast'!AY16</f>
        <v>38</v>
      </c>
      <c r="AZ7" s="10">
        <f>'Revenue forecast'!AZ8+'Revenue forecast'!AZ16</f>
        <v>37</v>
      </c>
      <c r="BA7" s="10">
        <f>'Revenue forecast'!BA8+'Revenue forecast'!BA16</f>
        <v>37</v>
      </c>
      <c r="BB7" s="10"/>
      <c r="BC7" s="10">
        <f t="shared" ref="BC7:BC14" si="1">Q7</f>
        <v>8</v>
      </c>
      <c r="BD7" s="10">
        <f t="shared" ref="BD7:BD14" si="2">AC7</f>
        <v>18</v>
      </c>
      <c r="BE7" s="10">
        <f t="shared" ref="BE7:BE14" si="3">AO7</f>
        <v>28</v>
      </c>
      <c r="BF7" s="10">
        <f t="shared" ref="BF7:BF14" si="4">BA7</f>
        <v>37</v>
      </c>
    </row>
    <row r="8">
      <c r="A8" s="1"/>
      <c r="B8" s="3" t="s">
        <v>90</v>
      </c>
      <c r="C8" s="1"/>
      <c r="D8" s="1"/>
      <c r="E8" s="3" t="s">
        <v>39</v>
      </c>
      <c r="F8" s="10">
        <f>MAX(1,CEILING(F7/Assumptions!$C$40,1))</f>
        <v>1</v>
      </c>
      <c r="G8" s="10">
        <f>MAX(1,CEILING(G7/Assumptions!$C$40,1))</f>
        <v>1</v>
      </c>
      <c r="H8" s="10">
        <f>MAX(1,CEILING(H7/Assumptions!$C$40,1))</f>
        <v>2</v>
      </c>
      <c r="I8" s="10">
        <f>MAX(1,CEILING(I7/Assumptions!$C$40,1))</f>
        <v>3</v>
      </c>
      <c r="J8" s="10">
        <f>MAX(1,CEILING(J7/Assumptions!$C$40,1))</f>
        <v>3</v>
      </c>
      <c r="K8" s="10">
        <f>MAX(1,CEILING(K7/Assumptions!$C$40,1))</f>
        <v>3</v>
      </c>
      <c r="L8" s="10">
        <f>MAX(1,CEILING(L7/Assumptions!$C$40,1))</f>
        <v>3</v>
      </c>
      <c r="M8" s="10">
        <f>MAX(1,CEILING(M7/Assumptions!$C$40,1))</f>
        <v>3</v>
      </c>
      <c r="N8" s="10">
        <f>MAX(1,CEILING(N7/Assumptions!$C$40,1))</f>
        <v>4</v>
      </c>
      <c r="O8" s="10">
        <f>MAX(1,CEILING(O7/Assumptions!$C$40,1))</f>
        <v>3</v>
      </c>
      <c r="P8" s="10">
        <f>MAX(1,CEILING(P7/Assumptions!$C$40,1))</f>
        <v>3</v>
      </c>
      <c r="Q8" s="10">
        <f>MAX(1,CEILING(Q7/Assumptions!$C$40,1))</f>
        <v>3</v>
      </c>
      <c r="R8" s="10">
        <f>MAX(1,CEILING(R7/Assumptions!$C$40,1))</f>
        <v>4</v>
      </c>
      <c r="S8" s="10">
        <f>MAX(1,CEILING(S7/Assumptions!$C$40,1))</f>
        <v>4</v>
      </c>
      <c r="T8" s="10">
        <f>MAX(1,CEILING(T7/Assumptions!$C$40,1))</f>
        <v>5</v>
      </c>
      <c r="U8" s="10">
        <f>MAX(1,CEILING(U7/Assumptions!$C$40,1))</f>
        <v>5</v>
      </c>
      <c r="V8" s="10">
        <f>MAX(1,CEILING(V7/Assumptions!$C$40,1))</f>
        <v>6</v>
      </c>
      <c r="W8" s="10">
        <f>MAX(1,CEILING(W7/Assumptions!$C$40,1))</f>
        <v>6</v>
      </c>
      <c r="X8" s="10">
        <f>MAX(1,CEILING(X7/Assumptions!$C$40,1))</f>
        <v>6</v>
      </c>
      <c r="Y8" s="10">
        <f>MAX(1,CEILING(Y7/Assumptions!$C$40,1))</f>
        <v>6</v>
      </c>
      <c r="Z8" s="10">
        <f>MAX(1,CEILING(Z7/Assumptions!$C$40,1))</f>
        <v>6</v>
      </c>
      <c r="AA8" s="10">
        <f>MAX(1,CEILING(AA7/Assumptions!$C$40,1))</f>
        <v>7</v>
      </c>
      <c r="AB8" s="10">
        <f>MAX(1,CEILING(AB7/Assumptions!$C$40,1))</f>
        <v>6</v>
      </c>
      <c r="AC8" s="10">
        <f>MAX(1,CEILING(AC7/Assumptions!$C$40,1))</f>
        <v>6</v>
      </c>
      <c r="AD8" s="10">
        <f>MAX(1,CEILING(AD7/Assumptions!$C$40,1))</f>
        <v>7</v>
      </c>
      <c r="AE8" s="10">
        <f>MAX(1,CEILING(AE7/Assumptions!$C$40,1))</f>
        <v>8</v>
      </c>
      <c r="AF8" s="10">
        <f>MAX(1,CEILING(AF7/Assumptions!$C$40,1))</f>
        <v>8</v>
      </c>
      <c r="AG8" s="10">
        <f>MAX(1,CEILING(AG7/Assumptions!$C$40,1))</f>
        <v>8</v>
      </c>
      <c r="AH8" s="10">
        <f>MAX(1,CEILING(AH7/Assumptions!$C$40,1))</f>
        <v>9</v>
      </c>
      <c r="AI8" s="10">
        <f>MAX(1,CEILING(AI7/Assumptions!$C$40,1))</f>
        <v>9</v>
      </c>
      <c r="AJ8" s="10">
        <f>MAX(1,CEILING(AJ7/Assumptions!$C$40,1))</f>
        <v>10</v>
      </c>
      <c r="AK8" s="10">
        <f>MAX(1,CEILING(AK7/Assumptions!$C$40,1))</f>
        <v>9</v>
      </c>
      <c r="AL8" s="10">
        <f>MAX(1,CEILING(AL7/Assumptions!$C$40,1))</f>
        <v>9</v>
      </c>
      <c r="AM8" s="10">
        <f>MAX(1,CEILING(AM7/Assumptions!$C$40,1))</f>
        <v>10</v>
      </c>
      <c r="AN8" s="10">
        <f>MAX(1,CEILING(AN7/Assumptions!$C$40,1))</f>
        <v>10</v>
      </c>
      <c r="AO8" s="10">
        <f>MAX(1,CEILING(AO7/Assumptions!$C$40,1))</f>
        <v>10</v>
      </c>
      <c r="AP8" s="10">
        <f>MAX(1,CEILING(AP7/Assumptions!$C$40,1))</f>
        <v>10</v>
      </c>
      <c r="AQ8" s="10">
        <f>MAX(1,CEILING(AQ7/Assumptions!$C$40,1))</f>
        <v>10</v>
      </c>
      <c r="AR8" s="10">
        <f>MAX(1,CEILING(AR7/Assumptions!$C$40,1))</f>
        <v>11</v>
      </c>
      <c r="AS8" s="10">
        <f>MAX(1,CEILING(AS7/Assumptions!$C$40,1))</f>
        <v>11</v>
      </c>
      <c r="AT8" s="10">
        <f>MAX(1,CEILING(AT7/Assumptions!$C$40,1))</f>
        <v>11</v>
      </c>
      <c r="AU8" s="10">
        <f>MAX(1,CEILING(AU7/Assumptions!$C$40,1))</f>
        <v>12</v>
      </c>
      <c r="AV8" s="10">
        <f>MAX(1,CEILING(AV7/Assumptions!$C$40,1))</f>
        <v>13</v>
      </c>
      <c r="AW8" s="10">
        <f>MAX(1,CEILING(AW7/Assumptions!$C$40,1))</f>
        <v>13</v>
      </c>
      <c r="AX8" s="10">
        <f>MAX(1,CEILING(AX7/Assumptions!$C$40,1))</f>
        <v>13</v>
      </c>
      <c r="AY8" s="10">
        <f>MAX(1,CEILING(AY7/Assumptions!$C$40,1))</f>
        <v>13</v>
      </c>
      <c r="AZ8" s="10">
        <f>MAX(1,CEILING(AZ7/Assumptions!$C$40,1))</f>
        <v>13</v>
      </c>
      <c r="BA8" s="10">
        <f>MAX(1,CEILING(BA7/Assumptions!$C$40,1))</f>
        <v>13</v>
      </c>
      <c r="BB8" s="10"/>
      <c r="BC8" s="10">
        <f t="shared" si="1"/>
        <v>3</v>
      </c>
      <c r="BD8" s="10">
        <f t="shared" si="2"/>
        <v>6</v>
      </c>
      <c r="BE8" s="10">
        <f t="shared" si="3"/>
        <v>10</v>
      </c>
      <c r="BF8" s="10">
        <f t="shared" si="4"/>
        <v>13</v>
      </c>
    </row>
    <row r="9">
      <c r="A9" s="1"/>
      <c r="B9" s="3" t="s">
        <v>91</v>
      </c>
      <c r="C9" s="1"/>
      <c r="D9" s="1"/>
      <c r="E9" s="3" t="s">
        <v>39</v>
      </c>
      <c r="F9" s="10">
        <f>IF(F7&gt;=Assumptions!$C$42,2,IF(F7&gt;=Assumptions!$C$41,1,0))</f>
        <v>0</v>
      </c>
      <c r="G9" s="10">
        <f>IF(G7&gt;=Assumptions!$C$42,2,IF(G7&gt;=Assumptions!$C$41,1,0))</f>
        <v>0</v>
      </c>
      <c r="H9" s="10">
        <f>IF(H7&gt;=Assumptions!$C$42,2,IF(H7&gt;=Assumptions!$C$41,1,0))</f>
        <v>0</v>
      </c>
      <c r="I9" s="10">
        <f>IF(I7&gt;=Assumptions!$C$42,2,IF(I7&gt;=Assumptions!$C$41,1,0))</f>
        <v>0</v>
      </c>
      <c r="J9" s="10">
        <f>IF(J7&gt;=Assumptions!$C$42,2,IF(J7&gt;=Assumptions!$C$41,1,0))</f>
        <v>0</v>
      </c>
      <c r="K9" s="10">
        <f>IF(K7&gt;=Assumptions!$C$42,2,IF(K7&gt;=Assumptions!$C$41,1,0))</f>
        <v>0</v>
      </c>
      <c r="L9" s="10">
        <f>IF(L7&gt;=Assumptions!$C$42,2,IF(L7&gt;=Assumptions!$C$41,1,0))</f>
        <v>0</v>
      </c>
      <c r="M9" s="10">
        <f>IF(M7&gt;=Assumptions!$C$42,2,IF(M7&gt;=Assumptions!$C$41,1,0))</f>
        <v>0</v>
      </c>
      <c r="N9" s="10">
        <f>IF(N7&gt;=Assumptions!$C$42,2,IF(N7&gt;=Assumptions!$C$41,1,0))</f>
        <v>1</v>
      </c>
      <c r="O9" s="10">
        <f>IF(O7&gt;=Assumptions!$C$42,2,IF(O7&gt;=Assumptions!$C$41,1,0))</f>
        <v>0</v>
      </c>
      <c r="P9" s="10">
        <f>IF(P7&gt;=Assumptions!$C$42,2,IF(P7&gt;=Assumptions!$C$41,1,0))</f>
        <v>0</v>
      </c>
      <c r="Q9" s="10">
        <f>IF(Q7&gt;=Assumptions!$C$42,2,IF(Q7&gt;=Assumptions!$C$41,1,0))</f>
        <v>0</v>
      </c>
      <c r="R9" s="10">
        <f>IF(R7&gt;=Assumptions!$C$42,2,IF(R7&gt;=Assumptions!$C$41,1,0))</f>
        <v>1</v>
      </c>
      <c r="S9" s="10">
        <f>IF(S7&gt;=Assumptions!$C$42,2,IF(S7&gt;=Assumptions!$C$41,1,0))</f>
        <v>1</v>
      </c>
      <c r="T9" s="10">
        <f>IF(T7&gt;=Assumptions!$C$42,2,IF(T7&gt;=Assumptions!$C$41,1,0))</f>
        <v>1</v>
      </c>
      <c r="U9" s="10">
        <f>IF(U7&gt;=Assumptions!$C$42,2,IF(U7&gt;=Assumptions!$C$41,1,0))</f>
        <v>1</v>
      </c>
      <c r="V9" s="10">
        <f>IF(V7&gt;=Assumptions!$C$42,2,IF(V7&gt;=Assumptions!$C$41,1,0))</f>
        <v>2</v>
      </c>
      <c r="W9" s="10">
        <f>IF(W7&gt;=Assumptions!$C$42,2,IF(W7&gt;=Assumptions!$C$41,1,0))</f>
        <v>2</v>
      </c>
      <c r="X9" s="10">
        <f>IF(X7&gt;=Assumptions!$C$42,2,IF(X7&gt;=Assumptions!$C$41,1,0))</f>
        <v>2</v>
      </c>
      <c r="Y9" s="10">
        <f>IF(Y7&gt;=Assumptions!$C$42,2,IF(Y7&gt;=Assumptions!$C$41,1,0))</f>
        <v>2</v>
      </c>
      <c r="Z9" s="10">
        <f>IF(Z7&gt;=Assumptions!$C$42,2,IF(Z7&gt;=Assumptions!$C$41,1,0))</f>
        <v>2</v>
      </c>
      <c r="AA9" s="10">
        <f>IF(AA7&gt;=Assumptions!$C$42,2,IF(AA7&gt;=Assumptions!$C$41,1,0))</f>
        <v>2</v>
      </c>
      <c r="AB9" s="10">
        <f>IF(AB7&gt;=Assumptions!$C$42,2,IF(AB7&gt;=Assumptions!$C$41,1,0))</f>
        <v>2</v>
      </c>
      <c r="AC9" s="10">
        <f>IF(AC7&gt;=Assumptions!$C$42,2,IF(AC7&gt;=Assumptions!$C$41,1,0))</f>
        <v>2</v>
      </c>
      <c r="AD9" s="10">
        <f>IF(AD7&gt;=Assumptions!$C$42,2,IF(AD7&gt;=Assumptions!$C$41,1,0))</f>
        <v>2</v>
      </c>
      <c r="AE9" s="10">
        <f>IF(AE7&gt;=Assumptions!$C$42,2,IF(AE7&gt;=Assumptions!$C$41,1,0))</f>
        <v>2</v>
      </c>
      <c r="AF9" s="10">
        <f>IF(AF7&gt;=Assumptions!$C$42,2,IF(AF7&gt;=Assumptions!$C$41,1,0))</f>
        <v>2</v>
      </c>
      <c r="AG9" s="10">
        <f>IF(AG7&gt;=Assumptions!$C$42,2,IF(AG7&gt;=Assumptions!$C$41,1,0))</f>
        <v>2</v>
      </c>
      <c r="AH9" s="10">
        <f>IF(AH7&gt;=Assumptions!$C$42,2,IF(AH7&gt;=Assumptions!$C$41,1,0))</f>
        <v>2</v>
      </c>
      <c r="AI9" s="10">
        <f>IF(AI7&gt;=Assumptions!$C$42,2,IF(AI7&gt;=Assumptions!$C$41,1,0))</f>
        <v>2</v>
      </c>
      <c r="AJ9" s="10">
        <f>IF(AJ7&gt;=Assumptions!$C$42,2,IF(AJ7&gt;=Assumptions!$C$41,1,0))</f>
        <v>2</v>
      </c>
      <c r="AK9" s="10">
        <f>IF(AK7&gt;=Assumptions!$C$42,2,IF(AK7&gt;=Assumptions!$C$41,1,0))</f>
        <v>2</v>
      </c>
      <c r="AL9" s="10">
        <f>IF(AL7&gt;=Assumptions!$C$42,2,IF(AL7&gt;=Assumptions!$C$41,1,0))</f>
        <v>2</v>
      </c>
      <c r="AM9" s="10">
        <f>IF(AM7&gt;=Assumptions!$C$42,2,IF(AM7&gt;=Assumptions!$C$41,1,0))</f>
        <v>2</v>
      </c>
      <c r="AN9" s="10">
        <f>IF(AN7&gt;=Assumptions!$C$42,2,IF(AN7&gt;=Assumptions!$C$41,1,0))</f>
        <v>2</v>
      </c>
      <c r="AO9" s="10">
        <f>IF(AO7&gt;=Assumptions!$C$42,2,IF(AO7&gt;=Assumptions!$C$41,1,0))</f>
        <v>2</v>
      </c>
      <c r="AP9" s="10">
        <f>IF(AP7&gt;=Assumptions!$C$42,2,IF(AP7&gt;=Assumptions!$C$41,1,0))</f>
        <v>2</v>
      </c>
      <c r="AQ9" s="10">
        <f>IF(AQ7&gt;=Assumptions!$C$42,2,IF(AQ7&gt;=Assumptions!$C$41,1,0))</f>
        <v>2</v>
      </c>
      <c r="AR9" s="10">
        <f>IF(AR7&gt;=Assumptions!$C$42,2,IF(AR7&gt;=Assumptions!$C$41,1,0))</f>
        <v>2</v>
      </c>
      <c r="AS9" s="10">
        <f>IF(AS7&gt;=Assumptions!$C$42,2,IF(AS7&gt;=Assumptions!$C$41,1,0))</f>
        <v>2</v>
      </c>
      <c r="AT9" s="10">
        <f>IF(AT7&gt;=Assumptions!$C$42,2,IF(AT7&gt;=Assumptions!$C$41,1,0))</f>
        <v>2</v>
      </c>
      <c r="AU9" s="10">
        <f>IF(AU7&gt;=Assumptions!$C$42,2,IF(AU7&gt;=Assumptions!$C$41,1,0))</f>
        <v>2</v>
      </c>
      <c r="AV9" s="10">
        <f>IF(AV7&gt;=Assumptions!$C$42,2,IF(AV7&gt;=Assumptions!$C$41,1,0))</f>
        <v>2</v>
      </c>
      <c r="AW9" s="10">
        <f>IF(AW7&gt;=Assumptions!$C$42,2,IF(AW7&gt;=Assumptions!$C$41,1,0))</f>
        <v>2</v>
      </c>
      <c r="AX9" s="10">
        <f>IF(AX7&gt;=Assumptions!$C$42,2,IF(AX7&gt;=Assumptions!$C$41,1,0))</f>
        <v>2</v>
      </c>
      <c r="AY9" s="10">
        <f>IF(AY7&gt;=Assumptions!$C$42,2,IF(AY7&gt;=Assumptions!$C$41,1,0))</f>
        <v>2</v>
      </c>
      <c r="AZ9" s="10">
        <f>IF(AZ7&gt;=Assumptions!$C$42,2,IF(AZ7&gt;=Assumptions!$C$41,1,0))</f>
        <v>2</v>
      </c>
      <c r="BA9" s="10">
        <f>IF(BA7&gt;=Assumptions!$C$42,2,IF(BA7&gt;=Assumptions!$C$41,1,0))</f>
        <v>2</v>
      </c>
      <c r="BB9" s="10"/>
      <c r="BC9" s="10">
        <f t="shared" si="1"/>
        <v>0</v>
      </c>
      <c r="BD9" s="10">
        <f t="shared" si="2"/>
        <v>2</v>
      </c>
      <c r="BE9" s="10">
        <f t="shared" si="3"/>
        <v>2</v>
      </c>
      <c r="BF9" s="10">
        <f t="shared" si="4"/>
        <v>2</v>
      </c>
    </row>
    <row r="10">
      <c r="A10" s="1"/>
      <c r="B10" s="3" t="s">
        <v>92</v>
      </c>
      <c r="C10" s="1"/>
      <c r="D10" s="1"/>
      <c r="E10" s="3" t="s">
        <v>39</v>
      </c>
      <c r="F10" s="10">
        <f>Assumptions!$C$43</f>
        <v>2</v>
      </c>
      <c r="G10" s="10">
        <f>Assumptions!$C$43</f>
        <v>2</v>
      </c>
      <c r="H10" s="10">
        <f>Assumptions!$C$43</f>
        <v>2</v>
      </c>
      <c r="I10" s="10">
        <f>Assumptions!$C$43</f>
        <v>2</v>
      </c>
      <c r="J10" s="10">
        <f>Assumptions!$C$43</f>
        <v>2</v>
      </c>
      <c r="K10" s="10">
        <f>Assumptions!$C$43</f>
        <v>2</v>
      </c>
      <c r="L10" s="10">
        <f>Assumptions!$C$43</f>
        <v>2</v>
      </c>
      <c r="M10" s="10">
        <f>Assumptions!$C$43</f>
        <v>2</v>
      </c>
      <c r="N10" s="10">
        <f>Assumptions!$C$43</f>
        <v>2</v>
      </c>
      <c r="O10" s="10">
        <f>Assumptions!$C$43</f>
        <v>2</v>
      </c>
      <c r="P10" s="10">
        <f>Assumptions!$C$43</f>
        <v>2</v>
      </c>
      <c r="Q10" s="10">
        <f>Assumptions!$C$43</f>
        <v>2</v>
      </c>
      <c r="R10" s="10">
        <f>Assumptions!$C$43</f>
        <v>2</v>
      </c>
      <c r="S10" s="10">
        <f>Assumptions!$C$43</f>
        <v>2</v>
      </c>
      <c r="T10" s="10">
        <f>Assumptions!$C$43</f>
        <v>2</v>
      </c>
      <c r="U10" s="10">
        <f>Assumptions!$C$43</f>
        <v>2</v>
      </c>
      <c r="V10" s="10">
        <f>Assumptions!$C$43</f>
        <v>2</v>
      </c>
      <c r="W10" s="10">
        <f>Assumptions!$C$43</f>
        <v>2</v>
      </c>
      <c r="X10" s="10">
        <f>Assumptions!$C$43</f>
        <v>2</v>
      </c>
      <c r="Y10" s="10">
        <f>Assumptions!$C$43</f>
        <v>2</v>
      </c>
      <c r="Z10" s="10">
        <f>Assumptions!$C$43</f>
        <v>2</v>
      </c>
      <c r="AA10" s="10">
        <f>Assumptions!$C$43</f>
        <v>2</v>
      </c>
      <c r="AB10" s="10">
        <f>Assumptions!$C$43</f>
        <v>2</v>
      </c>
      <c r="AC10" s="10">
        <f>Assumptions!$C$43</f>
        <v>2</v>
      </c>
      <c r="AD10" s="10">
        <f>Assumptions!$C$43</f>
        <v>2</v>
      </c>
      <c r="AE10" s="10">
        <f>Assumptions!$C$43</f>
        <v>2</v>
      </c>
      <c r="AF10" s="10">
        <f>Assumptions!$C$43</f>
        <v>2</v>
      </c>
      <c r="AG10" s="10">
        <f>Assumptions!$C$43</f>
        <v>2</v>
      </c>
      <c r="AH10" s="10">
        <f>Assumptions!$C$43</f>
        <v>2</v>
      </c>
      <c r="AI10" s="10">
        <f>Assumptions!$C$43</f>
        <v>2</v>
      </c>
      <c r="AJ10" s="10">
        <f>Assumptions!$C$43</f>
        <v>2</v>
      </c>
      <c r="AK10" s="10">
        <f>Assumptions!$C$43</f>
        <v>2</v>
      </c>
      <c r="AL10" s="10">
        <f>Assumptions!$C$43</f>
        <v>2</v>
      </c>
      <c r="AM10" s="10">
        <f>Assumptions!$C$43</f>
        <v>2</v>
      </c>
      <c r="AN10" s="10">
        <f>Assumptions!$C$43</f>
        <v>2</v>
      </c>
      <c r="AO10" s="10">
        <f>Assumptions!$C$43</f>
        <v>2</v>
      </c>
      <c r="AP10" s="10">
        <f>Assumptions!$C$43</f>
        <v>2</v>
      </c>
      <c r="AQ10" s="10">
        <f>Assumptions!$C$43</f>
        <v>2</v>
      </c>
      <c r="AR10" s="10">
        <f>Assumptions!$C$43</f>
        <v>2</v>
      </c>
      <c r="AS10" s="10">
        <f>Assumptions!$C$43</f>
        <v>2</v>
      </c>
      <c r="AT10" s="10">
        <f>Assumptions!$C$43</f>
        <v>2</v>
      </c>
      <c r="AU10" s="10">
        <f>Assumptions!$C$43</f>
        <v>2</v>
      </c>
      <c r="AV10" s="10">
        <f>Assumptions!$C$43</f>
        <v>2</v>
      </c>
      <c r="AW10" s="10">
        <f>Assumptions!$C$43</f>
        <v>2</v>
      </c>
      <c r="AX10" s="10">
        <f>Assumptions!$C$43</f>
        <v>2</v>
      </c>
      <c r="AY10" s="10">
        <f>Assumptions!$C$43</f>
        <v>2</v>
      </c>
      <c r="AZ10" s="10">
        <f>Assumptions!$C$43</f>
        <v>2</v>
      </c>
      <c r="BA10" s="10">
        <f>Assumptions!$C$43</f>
        <v>2</v>
      </c>
      <c r="BB10" s="10"/>
      <c r="BC10" s="10">
        <f t="shared" si="1"/>
        <v>2</v>
      </c>
      <c r="BD10" s="10">
        <f t="shared" si="2"/>
        <v>2</v>
      </c>
      <c r="BE10" s="10">
        <f t="shared" si="3"/>
        <v>2</v>
      </c>
      <c r="BF10" s="10">
        <f t="shared" si="4"/>
        <v>2</v>
      </c>
    </row>
    <row r="11">
      <c r="A11" s="1"/>
      <c r="B11" s="3" t="s">
        <v>93</v>
      </c>
      <c r="C11" s="1"/>
      <c r="D11" s="1"/>
      <c r="E11" s="3" t="s">
        <v>39</v>
      </c>
      <c r="F11" s="9">
        <v>1.0</v>
      </c>
      <c r="G11" s="9">
        <v>1.0</v>
      </c>
      <c r="H11" s="9">
        <v>1.0</v>
      </c>
      <c r="I11" s="9">
        <v>1.0</v>
      </c>
      <c r="J11" s="9">
        <v>1.0</v>
      </c>
      <c r="K11" s="9">
        <v>1.0</v>
      </c>
      <c r="L11" s="9">
        <v>1.0</v>
      </c>
      <c r="M11" s="9">
        <v>1.0</v>
      </c>
      <c r="N11" s="9">
        <v>1.0</v>
      </c>
      <c r="O11" s="9">
        <v>1.0</v>
      </c>
      <c r="P11" s="9">
        <v>1.0</v>
      </c>
      <c r="Q11" s="9">
        <v>1.0</v>
      </c>
      <c r="R11" s="9">
        <v>1.0</v>
      </c>
      <c r="S11" s="9">
        <v>1.0</v>
      </c>
      <c r="T11" s="9">
        <v>1.0</v>
      </c>
      <c r="U11" s="9">
        <v>1.0</v>
      </c>
      <c r="V11" s="9">
        <v>1.0</v>
      </c>
      <c r="W11" s="9">
        <v>1.0</v>
      </c>
      <c r="X11" s="9">
        <v>1.0</v>
      </c>
      <c r="Y11" s="9">
        <v>1.0</v>
      </c>
      <c r="Z11" s="9">
        <v>1.0</v>
      </c>
      <c r="AA11" s="9">
        <v>1.0</v>
      </c>
      <c r="AB11" s="9">
        <v>1.0</v>
      </c>
      <c r="AC11" s="9">
        <v>1.0</v>
      </c>
      <c r="AD11" s="9">
        <v>1.0</v>
      </c>
      <c r="AE11" s="9">
        <v>1.0</v>
      </c>
      <c r="AF11" s="9">
        <v>1.0</v>
      </c>
      <c r="AG11" s="9">
        <v>1.0</v>
      </c>
      <c r="AH11" s="9">
        <v>1.0</v>
      </c>
      <c r="AI11" s="9">
        <v>1.0</v>
      </c>
      <c r="AJ11" s="9">
        <v>1.0</v>
      </c>
      <c r="AK11" s="9">
        <v>1.0</v>
      </c>
      <c r="AL11" s="9">
        <v>1.0</v>
      </c>
      <c r="AM11" s="9">
        <v>1.0</v>
      </c>
      <c r="AN11" s="9">
        <v>1.0</v>
      </c>
      <c r="AO11" s="9">
        <v>1.0</v>
      </c>
      <c r="AP11" s="9">
        <v>1.0</v>
      </c>
      <c r="AQ11" s="9">
        <v>1.0</v>
      </c>
      <c r="AR11" s="9">
        <v>1.0</v>
      </c>
      <c r="AS11" s="9">
        <v>1.0</v>
      </c>
      <c r="AT11" s="9">
        <v>1.0</v>
      </c>
      <c r="AU11" s="9">
        <v>1.0</v>
      </c>
      <c r="AV11" s="9">
        <v>1.0</v>
      </c>
      <c r="AW11" s="9">
        <v>1.0</v>
      </c>
      <c r="AX11" s="9">
        <v>1.0</v>
      </c>
      <c r="AY11" s="9">
        <v>1.0</v>
      </c>
      <c r="AZ11" s="9">
        <v>1.0</v>
      </c>
      <c r="BA11" s="9">
        <v>1.0</v>
      </c>
      <c r="BB11" s="10"/>
      <c r="BC11" s="10">
        <f t="shared" si="1"/>
        <v>1</v>
      </c>
      <c r="BD11" s="10">
        <f t="shared" si="2"/>
        <v>1</v>
      </c>
      <c r="BE11" s="10">
        <f t="shared" si="3"/>
        <v>1</v>
      </c>
      <c r="BF11" s="10">
        <f t="shared" si="4"/>
        <v>1</v>
      </c>
    </row>
    <row r="12">
      <c r="A12" s="1"/>
      <c r="B12" s="3" t="s">
        <v>94</v>
      </c>
      <c r="C12" s="1"/>
      <c r="D12" s="1"/>
      <c r="E12" s="3" t="s">
        <v>39</v>
      </c>
      <c r="F12" s="9">
        <v>1.0</v>
      </c>
      <c r="G12" s="9">
        <v>1.0</v>
      </c>
      <c r="H12" s="9">
        <v>1.0</v>
      </c>
      <c r="I12" s="9">
        <v>1.0</v>
      </c>
      <c r="J12" s="9">
        <v>1.0</v>
      </c>
      <c r="K12" s="9">
        <v>1.0</v>
      </c>
      <c r="L12" s="9">
        <v>1.0</v>
      </c>
      <c r="M12" s="9">
        <v>1.0</v>
      </c>
      <c r="N12" s="9">
        <v>1.0</v>
      </c>
      <c r="O12" s="9">
        <v>1.0</v>
      </c>
      <c r="P12" s="9">
        <v>1.0</v>
      </c>
      <c r="Q12" s="9">
        <v>1.0</v>
      </c>
      <c r="R12" s="9">
        <v>1.0</v>
      </c>
      <c r="S12" s="9">
        <v>1.0</v>
      </c>
      <c r="T12" s="9">
        <v>1.0</v>
      </c>
      <c r="U12" s="9">
        <v>1.0</v>
      </c>
      <c r="V12" s="9">
        <v>1.0</v>
      </c>
      <c r="W12" s="9">
        <v>1.0</v>
      </c>
      <c r="X12" s="9">
        <v>1.0</v>
      </c>
      <c r="Y12" s="9">
        <v>1.0</v>
      </c>
      <c r="Z12" s="9">
        <v>1.0</v>
      </c>
      <c r="AA12" s="9">
        <v>1.0</v>
      </c>
      <c r="AB12" s="9">
        <v>1.0</v>
      </c>
      <c r="AC12" s="9">
        <v>1.0</v>
      </c>
      <c r="AD12" s="9">
        <v>1.0</v>
      </c>
      <c r="AE12" s="9">
        <v>1.0</v>
      </c>
      <c r="AF12" s="9">
        <v>1.0</v>
      </c>
      <c r="AG12" s="9">
        <v>1.0</v>
      </c>
      <c r="AH12" s="9">
        <v>1.0</v>
      </c>
      <c r="AI12" s="9">
        <v>1.0</v>
      </c>
      <c r="AJ12" s="9">
        <v>1.0</v>
      </c>
      <c r="AK12" s="9">
        <v>1.0</v>
      </c>
      <c r="AL12" s="9">
        <v>1.0</v>
      </c>
      <c r="AM12" s="9">
        <v>1.0</v>
      </c>
      <c r="AN12" s="9">
        <v>1.0</v>
      </c>
      <c r="AO12" s="9">
        <v>1.0</v>
      </c>
      <c r="AP12" s="9">
        <v>1.0</v>
      </c>
      <c r="AQ12" s="9">
        <v>1.0</v>
      </c>
      <c r="AR12" s="9">
        <v>1.0</v>
      </c>
      <c r="AS12" s="9">
        <v>1.0</v>
      </c>
      <c r="AT12" s="9">
        <v>1.0</v>
      </c>
      <c r="AU12" s="9">
        <v>1.0</v>
      </c>
      <c r="AV12" s="9">
        <v>1.0</v>
      </c>
      <c r="AW12" s="9">
        <v>1.0</v>
      </c>
      <c r="AX12" s="9">
        <v>1.0</v>
      </c>
      <c r="AY12" s="9">
        <v>1.0</v>
      </c>
      <c r="AZ12" s="9">
        <v>1.0</v>
      </c>
      <c r="BA12" s="9">
        <v>1.0</v>
      </c>
      <c r="BB12" s="10"/>
      <c r="BC12" s="10">
        <f t="shared" si="1"/>
        <v>1</v>
      </c>
      <c r="BD12" s="10">
        <f t="shared" si="2"/>
        <v>1</v>
      </c>
      <c r="BE12" s="10">
        <f t="shared" si="3"/>
        <v>1</v>
      </c>
      <c r="BF12" s="10">
        <f t="shared" si="4"/>
        <v>1</v>
      </c>
    </row>
    <row r="13">
      <c r="A13" s="1"/>
      <c r="B13" s="3" t="s">
        <v>95</v>
      </c>
      <c r="C13" s="1"/>
      <c r="D13" s="1"/>
      <c r="E13" s="3" t="s">
        <v>39</v>
      </c>
      <c r="F13" s="9">
        <v>1.0</v>
      </c>
      <c r="G13" s="9">
        <v>1.0</v>
      </c>
      <c r="H13" s="9">
        <v>1.0</v>
      </c>
      <c r="I13" s="9">
        <v>1.0</v>
      </c>
      <c r="J13" s="9">
        <v>1.0</v>
      </c>
      <c r="K13" s="9">
        <v>1.0</v>
      </c>
      <c r="L13" s="9">
        <v>1.0</v>
      </c>
      <c r="M13" s="9">
        <v>1.0</v>
      </c>
      <c r="N13" s="9">
        <v>1.0</v>
      </c>
      <c r="O13" s="9">
        <v>1.0</v>
      </c>
      <c r="P13" s="9">
        <v>1.0</v>
      </c>
      <c r="Q13" s="9">
        <v>1.0</v>
      </c>
      <c r="R13" s="9">
        <v>1.0</v>
      </c>
      <c r="S13" s="9">
        <v>1.0</v>
      </c>
      <c r="T13" s="9">
        <v>1.0</v>
      </c>
      <c r="U13" s="9">
        <v>1.0</v>
      </c>
      <c r="V13" s="9">
        <v>1.0</v>
      </c>
      <c r="W13" s="9">
        <v>1.0</v>
      </c>
      <c r="X13" s="9">
        <v>1.0</v>
      </c>
      <c r="Y13" s="9">
        <v>1.0</v>
      </c>
      <c r="Z13" s="9">
        <v>1.0</v>
      </c>
      <c r="AA13" s="9">
        <v>1.0</v>
      </c>
      <c r="AB13" s="9">
        <v>1.0</v>
      </c>
      <c r="AC13" s="9">
        <v>1.0</v>
      </c>
      <c r="AD13" s="9">
        <v>1.0</v>
      </c>
      <c r="AE13" s="9">
        <v>1.0</v>
      </c>
      <c r="AF13" s="9">
        <v>1.0</v>
      </c>
      <c r="AG13" s="9">
        <v>1.0</v>
      </c>
      <c r="AH13" s="9">
        <v>1.0</v>
      </c>
      <c r="AI13" s="9">
        <v>1.0</v>
      </c>
      <c r="AJ13" s="9">
        <v>1.0</v>
      </c>
      <c r="AK13" s="9">
        <v>1.0</v>
      </c>
      <c r="AL13" s="9">
        <v>1.0</v>
      </c>
      <c r="AM13" s="9">
        <v>1.0</v>
      </c>
      <c r="AN13" s="9">
        <v>1.0</v>
      </c>
      <c r="AO13" s="9">
        <v>1.0</v>
      </c>
      <c r="AP13" s="9">
        <v>1.0</v>
      </c>
      <c r="AQ13" s="9">
        <v>1.0</v>
      </c>
      <c r="AR13" s="9">
        <v>1.0</v>
      </c>
      <c r="AS13" s="9">
        <v>1.0</v>
      </c>
      <c r="AT13" s="9">
        <v>1.0</v>
      </c>
      <c r="AU13" s="9">
        <v>1.0</v>
      </c>
      <c r="AV13" s="9">
        <v>1.0</v>
      </c>
      <c r="AW13" s="9">
        <v>1.0</v>
      </c>
      <c r="AX13" s="9">
        <v>1.0</v>
      </c>
      <c r="AY13" s="9">
        <v>1.0</v>
      </c>
      <c r="AZ13" s="9">
        <v>1.0</v>
      </c>
      <c r="BA13" s="9">
        <v>1.0</v>
      </c>
      <c r="BB13" s="10"/>
      <c r="BC13" s="10">
        <f t="shared" si="1"/>
        <v>1</v>
      </c>
      <c r="BD13" s="10">
        <f t="shared" si="2"/>
        <v>1</v>
      </c>
      <c r="BE13" s="10">
        <f t="shared" si="3"/>
        <v>1</v>
      </c>
      <c r="BF13" s="10">
        <f t="shared" si="4"/>
        <v>1</v>
      </c>
    </row>
    <row r="14">
      <c r="A14" s="1"/>
      <c r="B14" s="28" t="s">
        <v>96</v>
      </c>
      <c r="C14" s="29"/>
      <c r="D14" s="29"/>
      <c r="E14" s="28" t="s">
        <v>39</v>
      </c>
      <c r="F14" s="31">
        <f t="shared" ref="F14:BA14" si="5">SUM(F8:F13)</f>
        <v>6</v>
      </c>
      <c r="G14" s="31">
        <f t="shared" si="5"/>
        <v>6</v>
      </c>
      <c r="H14" s="31">
        <f t="shared" si="5"/>
        <v>7</v>
      </c>
      <c r="I14" s="31">
        <f t="shared" si="5"/>
        <v>8</v>
      </c>
      <c r="J14" s="31">
        <f t="shared" si="5"/>
        <v>8</v>
      </c>
      <c r="K14" s="31">
        <f t="shared" si="5"/>
        <v>8</v>
      </c>
      <c r="L14" s="31">
        <f t="shared" si="5"/>
        <v>8</v>
      </c>
      <c r="M14" s="31">
        <f t="shared" si="5"/>
        <v>8</v>
      </c>
      <c r="N14" s="31">
        <f t="shared" si="5"/>
        <v>10</v>
      </c>
      <c r="O14" s="31">
        <f t="shared" si="5"/>
        <v>8</v>
      </c>
      <c r="P14" s="31">
        <f t="shared" si="5"/>
        <v>8</v>
      </c>
      <c r="Q14" s="31">
        <f t="shared" si="5"/>
        <v>8</v>
      </c>
      <c r="R14" s="31">
        <f t="shared" si="5"/>
        <v>10</v>
      </c>
      <c r="S14" s="31">
        <f t="shared" si="5"/>
        <v>10</v>
      </c>
      <c r="T14" s="31">
        <f t="shared" si="5"/>
        <v>11</v>
      </c>
      <c r="U14" s="31">
        <f t="shared" si="5"/>
        <v>11</v>
      </c>
      <c r="V14" s="31">
        <f t="shared" si="5"/>
        <v>13</v>
      </c>
      <c r="W14" s="31">
        <f t="shared" si="5"/>
        <v>13</v>
      </c>
      <c r="X14" s="31">
        <f t="shared" si="5"/>
        <v>13</v>
      </c>
      <c r="Y14" s="31">
        <f t="shared" si="5"/>
        <v>13</v>
      </c>
      <c r="Z14" s="31">
        <f t="shared" si="5"/>
        <v>13</v>
      </c>
      <c r="AA14" s="31">
        <f t="shared" si="5"/>
        <v>14</v>
      </c>
      <c r="AB14" s="31">
        <f t="shared" si="5"/>
        <v>13</v>
      </c>
      <c r="AC14" s="31">
        <f t="shared" si="5"/>
        <v>13</v>
      </c>
      <c r="AD14" s="31">
        <f t="shared" si="5"/>
        <v>14</v>
      </c>
      <c r="AE14" s="31">
        <f t="shared" si="5"/>
        <v>15</v>
      </c>
      <c r="AF14" s="31">
        <f t="shared" si="5"/>
        <v>15</v>
      </c>
      <c r="AG14" s="31">
        <f t="shared" si="5"/>
        <v>15</v>
      </c>
      <c r="AH14" s="31">
        <f t="shared" si="5"/>
        <v>16</v>
      </c>
      <c r="AI14" s="31">
        <f t="shared" si="5"/>
        <v>16</v>
      </c>
      <c r="AJ14" s="31">
        <f t="shared" si="5"/>
        <v>17</v>
      </c>
      <c r="AK14" s="31">
        <f t="shared" si="5"/>
        <v>16</v>
      </c>
      <c r="AL14" s="31">
        <f t="shared" si="5"/>
        <v>16</v>
      </c>
      <c r="AM14" s="31">
        <f t="shared" si="5"/>
        <v>17</v>
      </c>
      <c r="AN14" s="31">
        <f t="shared" si="5"/>
        <v>17</v>
      </c>
      <c r="AO14" s="31">
        <f t="shared" si="5"/>
        <v>17</v>
      </c>
      <c r="AP14" s="31">
        <f t="shared" si="5"/>
        <v>17</v>
      </c>
      <c r="AQ14" s="31">
        <f t="shared" si="5"/>
        <v>17</v>
      </c>
      <c r="AR14" s="31">
        <f t="shared" si="5"/>
        <v>18</v>
      </c>
      <c r="AS14" s="31">
        <f t="shared" si="5"/>
        <v>18</v>
      </c>
      <c r="AT14" s="31">
        <f t="shared" si="5"/>
        <v>18</v>
      </c>
      <c r="AU14" s="31">
        <f t="shared" si="5"/>
        <v>19</v>
      </c>
      <c r="AV14" s="31">
        <f t="shared" si="5"/>
        <v>20</v>
      </c>
      <c r="AW14" s="31">
        <f t="shared" si="5"/>
        <v>20</v>
      </c>
      <c r="AX14" s="31">
        <f t="shared" si="5"/>
        <v>20</v>
      </c>
      <c r="AY14" s="31">
        <f t="shared" si="5"/>
        <v>20</v>
      </c>
      <c r="AZ14" s="31">
        <f t="shared" si="5"/>
        <v>20</v>
      </c>
      <c r="BA14" s="31">
        <f t="shared" si="5"/>
        <v>20</v>
      </c>
      <c r="BB14" s="31"/>
      <c r="BC14" s="31">
        <f t="shared" si="1"/>
        <v>8</v>
      </c>
      <c r="BD14" s="31">
        <f t="shared" si="2"/>
        <v>13</v>
      </c>
      <c r="BE14" s="31">
        <f t="shared" si="3"/>
        <v>17</v>
      </c>
      <c r="BF14" s="31">
        <f t="shared" si="4"/>
        <v>20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4" t="s">
        <v>97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</row>
    <row r="17">
      <c r="A17" s="1"/>
      <c r="B17" s="3" t="s">
        <v>98</v>
      </c>
      <c r="C17" s="1"/>
      <c r="D17" s="1"/>
      <c r="E17" s="3" t="s">
        <v>33</v>
      </c>
      <c r="F17" s="8">
        <f t="array" ref="F17">INDEX(Assumptions!$C$32:$F$32,MATCH(YEAR(F$3),Assumptions!$C$4:$F$4,0))+INDEX(Assumptions!$C$33:$F$33,MATCH(YEAR(F$3),Assumptions!$C$4:$F$4,0))+F8*Assumptions!$C$34+F9*Assumptions!$C$35+F10*Assumptions!$C$36</f>
        <v>24500</v>
      </c>
      <c r="G17" s="8">
        <f t="array" ref="G17">INDEX(Assumptions!$C$32:$F$32,MATCH(YEAR(G$3),Assumptions!$C$4:$F$4,0))+INDEX(Assumptions!$C$33:$F$33,MATCH(YEAR(G$3),Assumptions!$C$4:$F$4,0))+G8*Assumptions!$C$34+G9*Assumptions!$C$35+G10*Assumptions!$C$36</f>
        <v>24500</v>
      </c>
      <c r="H17" s="8">
        <f t="array" ref="H17">INDEX(Assumptions!$C$32:$F$32,MATCH(YEAR(H$3),Assumptions!$C$4:$F$4,0))+INDEX(Assumptions!$C$33:$F$33,MATCH(YEAR(H$3),Assumptions!$C$4:$F$4,0))+H8*Assumptions!$C$34+H9*Assumptions!$C$35+H10*Assumptions!$C$36</f>
        <v>27500</v>
      </c>
      <c r="I17" s="8">
        <f t="array" ref="I17">INDEX(Assumptions!$C$32:$F$32,MATCH(YEAR(I$3),Assumptions!$C$4:$F$4,0))+INDEX(Assumptions!$C$33:$F$33,MATCH(YEAR(I$3),Assumptions!$C$4:$F$4,0))+I8*Assumptions!$C$34+I9*Assumptions!$C$35+I10*Assumptions!$C$36</f>
        <v>30500</v>
      </c>
      <c r="J17" s="8">
        <f t="array" ref="J17">INDEX(Assumptions!$C$32:$F$32,MATCH(YEAR(J$3),Assumptions!$C$4:$F$4,0))+INDEX(Assumptions!$C$33:$F$33,MATCH(YEAR(J$3),Assumptions!$C$4:$F$4,0))+J8*Assumptions!$C$34+J9*Assumptions!$C$35+J10*Assumptions!$C$36</f>
        <v>30500</v>
      </c>
      <c r="K17" s="8">
        <f t="array" ref="K17">INDEX(Assumptions!$C$32:$F$32,MATCH(YEAR(K$3),Assumptions!$C$4:$F$4,0))+INDEX(Assumptions!$C$33:$F$33,MATCH(YEAR(K$3),Assumptions!$C$4:$F$4,0))+K8*Assumptions!$C$34+K9*Assumptions!$C$35+K10*Assumptions!$C$36</f>
        <v>30500</v>
      </c>
      <c r="L17" s="8">
        <f t="array" ref="L17">INDEX(Assumptions!$C$32:$F$32,MATCH(YEAR(L$3),Assumptions!$C$4:$F$4,0))+INDEX(Assumptions!$C$33:$F$33,MATCH(YEAR(L$3),Assumptions!$C$4:$F$4,0))+L8*Assumptions!$C$34+L9*Assumptions!$C$35+L10*Assumptions!$C$36</f>
        <v>30500</v>
      </c>
      <c r="M17" s="8">
        <f t="array" ref="M17">INDEX(Assumptions!$C$32:$F$32,MATCH(YEAR(M$3),Assumptions!$C$4:$F$4,0))+INDEX(Assumptions!$C$33:$F$33,MATCH(YEAR(M$3),Assumptions!$C$4:$F$4,0))+M8*Assumptions!$C$34+M9*Assumptions!$C$35+M10*Assumptions!$C$36</f>
        <v>30500</v>
      </c>
      <c r="N17" s="8">
        <f t="array" ref="N17">INDEX(Assumptions!$C$32:$F$32,MATCH(YEAR(N$3),Assumptions!$C$4:$F$4,0))+INDEX(Assumptions!$C$33:$F$33,MATCH(YEAR(N$3),Assumptions!$C$4:$F$4,0))+N8*Assumptions!$C$34+N9*Assumptions!$C$35+N10*Assumptions!$C$36</f>
        <v>38000</v>
      </c>
      <c r="O17" s="8">
        <f t="array" ref="O17">INDEX(Assumptions!$C$32:$F$32,MATCH(YEAR(O$3),Assumptions!$C$4:$F$4,0))+INDEX(Assumptions!$C$33:$F$33,MATCH(YEAR(O$3),Assumptions!$C$4:$F$4,0))+O8*Assumptions!$C$34+O9*Assumptions!$C$35+O10*Assumptions!$C$36</f>
        <v>30500</v>
      </c>
      <c r="P17" s="8">
        <f t="array" ref="P17">INDEX(Assumptions!$C$32:$F$32,MATCH(YEAR(P$3),Assumptions!$C$4:$F$4,0))+INDEX(Assumptions!$C$33:$F$33,MATCH(YEAR(P$3),Assumptions!$C$4:$F$4,0))+P8*Assumptions!$C$34+P9*Assumptions!$C$35+P10*Assumptions!$C$36</f>
        <v>30500</v>
      </c>
      <c r="Q17" s="8">
        <f t="array" ref="Q17">INDEX(Assumptions!$C$32:$F$32,MATCH(YEAR(Q$3),Assumptions!$C$4:$F$4,0))+INDEX(Assumptions!$C$33:$F$33,MATCH(YEAR(Q$3),Assumptions!$C$4:$F$4,0))+Q8*Assumptions!$C$34+Q9*Assumptions!$C$35+Q10*Assumptions!$C$36</f>
        <v>30500</v>
      </c>
      <c r="R17" s="8">
        <f t="array" ref="R17">INDEX(Assumptions!$C$32:$F$32,MATCH(YEAR(R$3),Assumptions!$C$4:$F$4,0))+INDEX(Assumptions!$C$33:$F$33,MATCH(YEAR(R$3),Assumptions!$C$4:$F$4,0))+R8*Assumptions!$C$34+R9*Assumptions!$C$35+R10*Assumptions!$C$36</f>
        <v>42000</v>
      </c>
      <c r="S17" s="8">
        <f t="array" ref="S17">INDEX(Assumptions!$C$32:$F$32,MATCH(YEAR(S$3),Assumptions!$C$4:$F$4,0))+INDEX(Assumptions!$C$33:$F$33,MATCH(YEAR(S$3),Assumptions!$C$4:$F$4,0))+S8*Assumptions!$C$34+S9*Assumptions!$C$35+S10*Assumptions!$C$36</f>
        <v>42000</v>
      </c>
      <c r="T17" s="8">
        <f t="array" ref="T17">INDEX(Assumptions!$C$32:$F$32,MATCH(YEAR(T$3),Assumptions!$C$4:$F$4,0))+INDEX(Assumptions!$C$33:$F$33,MATCH(YEAR(T$3),Assumptions!$C$4:$F$4,0))+T8*Assumptions!$C$34+T9*Assumptions!$C$35+T10*Assumptions!$C$36</f>
        <v>45000</v>
      </c>
      <c r="U17" s="8">
        <f t="array" ref="U17">INDEX(Assumptions!$C$32:$F$32,MATCH(YEAR(U$3),Assumptions!$C$4:$F$4,0))+INDEX(Assumptions!$C$33:$F$33,MATCH(YEAR(U$3),Assumptions!$C$4:$F$4,0))+U8*Assumptions!$C$34+U9*Assumptions!$C$35+U10*Assumptions!$C$36</f>
        <v>45000</v>
      </c>
      <c r="V17" s="8">
        <f t="array" ref="V17">INDEX(Assumptions!$C$32:$F$32,MATCH(YEAR(V$3),Assumptions!$C$4:$F$4,0))+INDEX(Assumptions!$C$33:$F$33,MATCH(YEAR(V$3),Assumptions!$C$4:$F$4,0))+V8*Assumptions!$C$34+V9*Assumptions!$C$35+V10*Assumptions!$C$36</f>
        <v>52500</v>
      </c>
      <c r="W17" s="8">
        <f t="array" ref="W17">INDEX(Assumptions!$C$32:$F$32,MATCH(YEAR(W$3),Assumptions!$C$4:$F$4,0))+INDEX(Assumptions!$C$33:$F$33,MATCH(YEAR(W$3),Assumptions!$C$4:$F$4,0))+W8*Assumptions!$C$34+W9*Assumptions!$C$35+W10*Assumptions!$C$36</f>
        <v>52500</v>
      </c>
      <c r="X17" s="8">
        <f t="array" ref="X17">INDEX(Assumptions!$C$32:$F$32,MATCH(YEAR(X$3),Assumptions!$C$4:$F$4,0))+INDEX(Assumptions!$C$33:$F$33,MATCH(YEAR(X$3),Assumptions!$C$4:$F$4,0))+X8*Assumptions!$C$34+X9*Assumptions!$C$35+X10*Assumptions!$C$36</f>
        <v>52500</v>
      </c>
      <c r="Y17" s="8">
        <f t="array" ref="Y17">INDEX(Assumptions!$C$32:$F$32,MATCH(YEAR(Y$3),Assumptions!$C$4:$F$4,0))+INDEX(Assumptions!$C$33:$F$33,MATCH(YEAR(Y$3),Assumptions!$C$4:$F$4,0))+Y8*Assumptions!$C$34+Y9*Assumptions!$C$35+Y10*Assumptions!$C$36</f>
        <v>52500</v>
      </c>
      <c r="Z17" s="8">
        <f t="array" ref="Z17">INDEX(Assumptions!$C$32:$F$32,MATCH(YEAR(Z$3),Assumptions!$C$4:$F$4,0))+INDEX(Assumptions!$C$33:$F$33,MATCH(YEAR(Z$3),Assumptions!$C$4:$F$4,0))+Z8*Assumptions!$C$34+Z9*Assumptions!$C$35+Z10*Assumptions!$C$36</f>
        <v>52500</v>
      </c>
      <c r="AA17" s="8">
        <f t="array" ref="AA17">INDEX(Assumptions!$C$32:$F$32,MATCH(YEAR(AA$3),Assumptions!$C$4:$F$4,0))+INDEX(Assumptions!$C$33:$F$33,MATCH(YEAR(AA$3),Assumptions!$C$4:$F$4,0))+AA8*Assumptions!$C$34+AA9*Assumptions!$C$35+AA10*Assumptions!$C$36</f>
        <v>55500</v>
      </c>
      <c r="AB17" s="8">
        <f t="array" ref="AB17">INDEX(Assumptions!$C$32:$F$32,MATCH(YEAR(AB$3),Assumptions!$C$4:$F$4,0))+INDEX(Assumptions!$C$33:$F$33,MATCH(YEAR(AB$3),Assumptions!$C$4:$F$4,0))+AB8*Assumptions!$C$34+AB9*Assumptions!$C$35+AB10*Assumptions!$C$36</f>
        <v>52500</v>
      </c>
      <c r="AC17" s="8">
        <f t="array" ref="AC17">INDEX(Assumptions!$C$32:$F$32,MATCH(YEAR(AC$3),Assumptions!$C$4:$F$4,0))+INDEX(Assumptions!$C$33:$F$33,MATCH(YEAR(AC$3),Assumptions!$C$4:$F$4,0))+AC8*Assumptions!$C$34+AC9*Assumptions!$C$35+AC10*Assumptions!$C$36</f>
        <v>52500</v>
      </c>
      <c r="AD17" s="8">
        <f t="array" ref="AD17">INDEX(Assumptions!$C$32:$F$32,MATCH(YEAR(AD$3),Assumptions!$C$4:$F$4,0))+INDEX(Assumptions!$C$33:$F$33,MATCH(YEAR(AD$3),Assumptions!$C$4:$F$4,0))+AD8*Assumptions!$C$34+AD9*Assumptions!$C$35+AD10*Assumptions!$C$36</f>
        <v>59500</v>
      </c>
      <c r="AE17" s="8">
        <f t="array" ref="AE17">INDEX(Assumptions!$C$32:$F$32,MATCH(YEAR(AE$3),Assumptions!$C$4:$F$4,0))+INDEX(Assumptions!$C$33:$F$33,MATCH(YEAR(AE$3),Assumptions!$C$4:$F$4,0))+AE8*Assumptions!$C$34+AE9*Assumptions!$C$35+AE10*Assumptions!$C$36</f>
        <v>62500</v>
      </c>
      <c r="AF17" s="8">
        <f t="array" ref="AF17">INDEX(Assumptions!$C$32:$F$32,MATCH(YEAR(AF$3),Assumptions!$C$4:$F$4,0))+INDEX(Assumptions!$C$33:$F$33,MATCH(YEAR(AF$3),Assumptions!$C$4:$F$4,0))+AF8*Assumptions!$C$34+AF9*Assumptions!$C$35+AF10*Assumptions!$C$36</f>
        <v>62500</v>
      </c>
      <c r="AG17" s="8">
        <f t="array" ref="AG17">INDEX(Assumptions!$C$32:$F$32,MATCH(YEAR(AG$3),Assumptions!$C$4:$F$4,0))+INDEX(Assumptions!$C$33:$F$33,MATCH(YEAR(AG$3),Assumptions!$C$4:$F$4,0))+AG8*Assumptions!$C$34+AG9*Assumptions!$C$35+AG10*Assumptions!$C$36</f>
        <v>62500</v>
      </c>
      <c r="AH17" s="8">
        <f t="array" ref="AH17">INDEX(Assumptions!$C$32:$F$32,MATCH(YEAR(AH$3),Assumptions!$C$4:$F$4,0))+INDEX(Assumptions!$C$33:$F$33,MATCH(YEAR(AH$3),Assumptions!$C$4:$F$4,0))+AH8*Assumptions!$C$34+AH9*Assumptions!$C$35+AH10*Assumptions!$C$36</f>
        <v>65500</v>
      </c>
      <c r="AI17" s="8">
        <f t="array" ref="AI17">INDEX(Assumptions!$C$32:$F$32,MATCH(YEAR(AI$3),Assumptions!$C$4:$F$4,0))+INDEX(Assumptions!$C$33:$F$33,MATCH(YEAR(AI$3),Assumptions!$C$4:$F$4,0))+AI8*Assumptions!$C$34+AI9*Assumptions!$C$35+AI10*Assumptions!$C$36</f>
        <v>65500</v>
      </c>
      <c r="AJ17" s="8">
        <f t="array" ref="AJ17">INDEX(Assumptions!$C$32:$F$32,MATCH(YEAR(AJ$3),Assumptions!$C$4:$F$4,0))+INDEX(Assumptions!$C$33:$F$33,MATCH(YEAR(AJ$3),Assumptions!$C$4:$F$4,0))+AJ8*Assumptions!$C$34+AJ9*Assumptions!$C$35+AJ10*Assumptions!$C$36</f>
        <v>68500</v>
      </c>
      <c r="AK17" s="8">
        <f t="array" ref="AK17">INDEX(Assumptions!$C$32:$F$32,MATCH(YEAR(AK$3),Assumptions!$C$4:$F$4,0))+INDEX(Assumptions!$C$33:$F$33,MATCH(YEAR(AK$3),Assumptions!$C$4:$F$4,0))+AK8*Assumptions!$C$34+AK9*Assumptions!$C$35+AK10*Assumptions!$C$36</f>
        <v>65500</v>
      </c>
      <c r="AL17" s="8">
        <f t="array" ref="AL17">INDEX(Assumptions!$C$32:$F$32,MATCH(YEAR(AL$3),Assumptions!$C$4:$F$4,0))+INDEX(Assumptions!$C$33:$F$33,MATCH(YEAR(AL$3),Assumptions!$C$4:$F$4,0))+AL8*Assumptions!$C$34+AL9*Assumptions!$C$35+AL10*Assumptions!$C$36</f>
        <v>65500</v>
      </c>
      <c r="AM17" s="8">
        <f t="array" ref="AM17">INDEX(Assumptions!$C$32:$F$32,MATCH(YEAR(AM$3),Assumptions!$C$4:$F$4,0))+INDEX(Assumptions!$C$33:$F$33,MATCH(YEAR(AM$3),Assumptions!$C$4:$F$4,0))+AM8*Assumptions!$C$34+AM9*Assumptions!$C$35+AM10*Assumptions!$C$36</f>
        <v>68500</v>
      </c>
      <c r="AN17" s="8">
        <f t="array" ref="AN17">INDEX(Assumptions!$C$32:$F$32,MATCH(YEAR(AN$3),Assumptions!$C$4:$F$4,0))+INDEX(Assumptions!$C$33:$F$33,MATCH(YEAR(AN$3),Assumptions!$C$4:$F$4,0))+AN8*Assumptions!$C$34+AN9*Assumptions!$C$35+AN10*Assumptions!$C$36</f>
        <v>68500</v>
      </c>
      <c r="AO17" s="8">
        <f t="array" ref="AO17">INDEX(Assumptions!$C$32:$F$32,MATCH(YEAR(AO$3),Assumptions!$C$4:$F$4,0))+INDEX(Assumptions!$C$33:$F$33,MATCH(YEAR(AO$3),Assumptions!$C$4:$F$4,0))+AO8*Assumptions!$C$34+AO9*Assumptions!$C$35+AO10*Assumptions!$C$36</f>
        <v>68500</v>
      </c>
      <c r="AP17" s="8">
        <f t="array" ref="AP17">INDEX(Assumptions!$C$32:$F$32,MATCH(YEAR(AP$3),Assumptions!$C$4:$F$4,0))+INDEX(Assumptions!$C$33:$F$33,MATCH(YEAR(AP$3),Assumptions!$C$4:$F$4,0))+AP8*Assumptions!$C$34+AP9*Assumptions!$C$35+AP10*Assumptions!$C$36</f>
        <v>72500</v>
      </c>
      <c r="AQ17" s="8">
        <f t="array" ref="AQ17">INDEX(Assumptions!$C$32:$F$32,MATCH(YEAR(AQ$3),Assumptions!$C$4:$F$4,0))+INDEX(Assumptions!$C$33:$F$33,MATCH(YEAR(AQ$3),Assumptions!$C$4:$F$4,0))+AQ8*Assumptions!$C$34+AQ9*Assumptions!$C$35+AQ10*Assumptions!$C$36</f>
        <v>72500</v>
      </c>
      <c r="AR17" s="8">
        <f t="array" ref="AR17">INDEX(Assumptions!$C$32:$F$32,MATCH(YEAR(AR$3),Assumptions!$C$4:$F$4,0))+INDEX(Assumptions!$C$33:$F$33,MATCH(YEAR(AR$3),Assumptions!$C$4:$F$4,0))+AR8*Assumptions!$C$34+AR9*Assumptions!$C$35+AR10*Assumptions!$C$36</f>
        <v>75500</v>
      </c>
      <c r="AS17" s="8">
        <f t="array" ref="AS17">INDEX(Assumptions!$C$32:$F$32,MATCH(YEAR(AS$3),Assumptions!$C$4:$F$4,0))+INDEX(Assumptions!$C$33:$F$33,MATCH(YEAR(AS$3),Assumptions!$C$4:$F$4,0))+AS8*Assumptions!$C$34+AS9*Assumptions!$C$35+AS10*Assumptions!$C$36</f>
        <v>75500</v>
      </c>
      <c r="AT17" s="8">
        <f t="array" ref="AT17">INDEX(Assumptions!$C$32:$F$32,MATCH(YEAR(AT$3),Assumptions!$C$4:$F$4,0))+INDEX(Assumptions!$C$33:$F$33,MATCH(YEAR(AT$3),Assumptions!$C$4:$F$4,0))+AT8*Assumptions!$C$34+AT9*Assumptions!$C$35+AT10*Assumptions!$C$36</f>
        <v>75500</v>
      </c>
      <c r="AU17" s="8">
        <f t="array" ref="AU17">INDEX(Assumptions!$C$32:$F$32,MATCH(YEAR(AU$3),Assumptions!$C$4:$F$4,0))+INDEX(Assumptions!$C$33:$F$33,MATCH(YEAR(AU$3),Assumptions!$C$4:$F$4,0))+AU8*Assumptions!$C$34+AU9*Assumptions!$C$35+AU10*Assumptions!$C$36</f>
        <v>78500</v>
      </c>
      <c r="AV17" s="8">
        <f t="array" ref="AV17">INDEX(Assumptions!$C$32:$F$32,MATCH(YEAR(AV$3),Assumptions!$C$4:$F$4,0))+INDEX(Assumptions!$C$33:$F$33,MATCH(YEAR(AV$3),Assumptions!$C$4:$F$4,0))+AV8*Assumptions!$C$34+AV9*Assumptions!$C$35+AV10*Assumptions!$C$36</f>
        <v>81500</v>
      </c>
      <c r="AW17" s="8">
        <f t="array" ref="AW17">INDEX(Assumptions!$C$32:$F$32,MATCH(YEAR(AW$3),Assumptions!$C$4:$F$4,0))+INDEX(Assumptions!$C$33:$F$33,MATCH(YEAR(AW$3),Assumptions!$C$4:$F$4,0))+AW8*Assumptions!$C$34+AW9*Assumptions!$C$35+AW10*Assumptions!$C$36</f>
        <v>81500</v>
      </c>
      <c r="AX17" s="8">
        <f t="array" ref="AX17">INDEX(Assumptions!$C$32:$F$32,MATCH(YEAR(AX$3),Assumptions!$C$4:$F$4,0))+INDEX(Assumptions!$C$33:$F$33,MATCH(YEAR(AX$3),Assumptions!$C$4:$F$4,0))+AX8*Assumptions!$C$34+AX9*Assumptions!$C$35+AX10*Assumptions!$C$36</f>
        <v>81500</v>
      </c>
      <c r="AY17" s="8">
        <f t="array" ref="AY17">INDEX(Assumptions!$C$32:$F$32,MATCH(YEAR(AY$3),Assumptions!$C$4:$F$4,0))+INDEX(Assumptions!$C$33:$F$33,MATCH(YEAR(AY$3),Assumptions!$C$4:$F$4,0))+AY8*Assumptions!$C$34+AY9*Assumptions!$C$35+AY10*Assumptions!$C$36</f>
        <v>81500</v>
      </c>
      <c r="AZ17" s="8">
        <f t="array" ref="AZ17">INDEX(Assumptions!$C$32:$F$32,MATCH(YEAR(AZ$3),Assumptions!$C$4:$F$4,0))+INDEX(Assumptions!$C$33:$F$33,MATCH(YEAR(AZ$3),Assumptions!$C$4:$F$4,0))+AZ8*Assumptions!$C$34+AZ9*Assumptions!$C$35+AZ10*Assumptions!$C$36</f>
        <v>81500</v>
      </c>
      <c r="BA17" s="8">
        <f t="array" ref="BA17">INDEX(Assumptions!$C$32:$F$32,MATCH(YEAR(BA$3),Assumptions!$C$4:$F$4,0))+INDEX(Assumptions!$C$33:$F$33,MATCH(YEAR(BA$3),Assumptions!$C$4:$F$4,0))+BA8*Assumptions!$C$34+BA9*Assumptions!$C$35+BA10*Assumptions!$C$36</f>
        <v>81500</v>
      </c>
      <c r="BB17" s="8"/>
      <c r="BC17" s="8">
        <f t="shared" ref="BC17:BF17" si="6">SUMPRODUCT((YEAR($F$3:$BA$3)=BC$3)*$F17:$BA17)</f>
        <v>358500</v>
      </c>
      <c r="BD17" s="8">
        <f t="shared" si="6"/>
        <v>597000</v>
      </c>
      <c r="BE17" s="8">
        <f t="shared" si="6"/>
        <v>783000</v>
      </c>
      <c r="BF17" s="8">
        <f t="shared" si="6"/>
        <v>939000</v>
      </c>
    </row>
    <row r="18">
      <c r="A18" s="1"/>
      <c r="B18" s="3" t="s">
        <v>99</v>
      </c>
      <c r="C18" s="1"/>
      <c r="D18" s="1"/>
      <c r="E18" s="3" t="s">
        <v>33</v>
      </c>
      <c r="F18" s="8">
        <f>Assumptions!$C$38*F17</f>
        <v>1960</v>
      </c>
      <c r="G18" s="8">
        <f>Assumptions!$C$38*G17</f>
        <v>1960</v>
      </c>
      <c r="H18" s="8">
        <f>Assumptions!$C$38*H17</f>
        <v>2200</v>
      </c>
      <c r="I18" s="8">
        <f>Assumptions!$C$38*I17</f>
        <v>2440</v>
      </c>
      <c r="J18" s="8">
        <f>Assumptions!$C$38*J17</f>
        <v>2440</v>
      </c>
      <c r="K18" s="8">
        <f>Assumptions!$C$38*K17</f>
        <v>2440</v>
      </c>
      <c r="L18" s="8">
        <f>Assumptions!$C$38*L17</f>
        <v>2440</v>
      </c>
      <c r="M18" s="8">
        <f>Assumptions!$C$38*M17</f>
        <v>2440</v>
      </c>
      <c r="N18" s="8">
        <f>Assumptions!$C$38*N17</f>
        <v>3040</v>
      </c>
      <c r="O18" s="8">
        <f>Assumptions!$C$38*O17</f>
        <v>2440</v>
      </c>
      <c r="P18" s="8">
        <f>Assumptions!$C$38*P17</f>
        <v>2440</v>
      </c>
      <c r="Q18" s="8">
        <f>Assumptions!$C$38*Q17</f>
        <v>2440</v>
      </c>
      <c r="R18" s="8">
        <f>Assumptions!$C$38*R17</f>
        <v>3360</v>
      </c>
      <c r="S18" s="8">
        <f>Assumptions!$C$38*S17</f>
        <v>3360</v>
      </c>
      <c r="T18" s="8">
        <f>Assumptions!$C$38*T17</f>
        <v>3600</v>
      </c>
      <c r="U18" s="8">
        <f>Assumptions!$C$38*U17</f>
        <v>3600</v>
      </c>
      <c r="V18" s="8">
        <f>Assumptions!$C$38*V17</f>
        <v>4200</v>
      </c>
      <c r="W18" s="8">
        <f>Assumptions!$C$38*W17</f>
        <v>4200</v>
      </c>
      <c r="X18" s="8">
        <f>Assumptions!$C$38*X17</f>
        <v>4200</v>
      </c>
      <c r="Y18" s="8">
        <f>Assumptions!$C$38*Y17</f>
        <v>4200</v>
      </c>
      <c r="Z18" s="8">
        <f>Assumptions!$C$38*Z17</f>
        <v>4200</v>
      </c>
      <c r="AA18" s="8">
        <f>Assumptions!$C$38*AA17</f>
        <v>4440</v>
      </c>
      <c r="AB18" s="8">
        <f>Assumptions!$C$38*AB17</f>
        <v>4200</v>
      </c>
      <c r="AC18" s="8">
        <f>Assumptions!$C$38*AC17</f>
        <v>4200</v>
      </c>
      <c r="AD18" s="8">
        <f>Assumptions!$C$38*AD17</f>
        <v>4760</v>
      </c>
      <c r="AE18" s="8">
        <f>Assumptions!$C$38*AE17</f>
        <v>5000</v>
      </c>
      <c r="AF18" s="8">
        <f>Assumptions!$C$38*AF17</f>
        <v>5000</v>
      </c>
      <c r="AG18" s="8">
        <f>Assumptions!$C$38*AG17</f>
        <v>5000</v>
      </c>
      <c r="AH18" s="8">
        <f>Assumptions!$C$38*AH17</f>
        <v>5240</v>
      </c>
      <c r="AI18" s="8">
        <f>Assumptions!$C$38*AI17</f>
        <v>5240</v>
      </c>
      <c r="AJ18" s="8">
        <f>Assumptions!$C$38*AJ17</f>
        <v>5480</v>
      </c>
      <c r="AK18" s="8">
        <f>Assumptions!$C$38*AK17</f>
        <v>5240</v>
      </c>
      <c r="AL18" s="8">
        <f>Assumptions!$C$38*AL17</f>
        <v>5240</v>
      </c>
      <c r="AM18" s="8">
        <f>Assumptions!$C$38*AM17</f>
        <v>5480</v>
      </c>
      <c r="AN18" s="8">
        <f>Assumptions!$C$38*AN17</f>
        <v>5480</v>
      </c>
      <c r="AO18" s="8">
        <f>Assumptions!$C$38*AO17</f>
        <v>5480</v>
      </c>
      <c r="AP18" s="8">
        <f>Assumptions!$C$38*AP17</f>
        <v>5800</v>
      </c>
      <c r="AQ18" s="8">
        <f>Assumptions!$C$38*AQ17</f>
        <v>5800</v>
      </c>
      <c r="AR18" s="8">
        <f>Assumptions!$C$38*AR17</f>
        <v>6040</v>
      </c>
      <c r="AS18" s="8">
        <f>Assumptions!$C$38*AS17</f>
        <v>6040</v>
      </c>
      <c r="AT18" s="8">
        <f>Assumptions!$C$38*AT17</f>
        <v>6040</v>
      </c>
      <c r="AU18" s="8">
        <f>Assumptions!$C$38*AU17</f>
        <v>6280</v>
      </c>
      <c r="AV18" s="8">
        <f>Assumptions!$C$38*AV17</f>
        <v>6520</v>
      </c>
      <c r="AW18" s="8">
        <f>Assumptions!$C$38*AW17</f>
        <v>6520</v>
      </c>
      <c r="AX18" s="8">
        <f>Assumptions!$C$38*AX17</f>
        <v>6520</v>
      </c>
      <c r="AY18" s="8">
        <f>Assumptions!$C$38*AY17</f>
        <v>6520</v>
      </c>
      <c r="AZ18" s="8">
        <f>Assumptions!$C$38*AZ17</f>
        <v>6520</v>
      </c>
      <c r="BA18" s="8">
        <f>Assumptions!$C$38*BA17</f>
        <v>6520</v>
      </c>
      <c r="BB18" s="8"/>
      <c r="BC18" s="8">
        <f t="shared" ref="BC18:BF18" si="7">SUMPRODUCT((YEAR($F$3:$BA$3)=BC$3)*$F18:$BA18)</f>
        <v>28680</v>
      </c>
      <c r="BD18" s="8">
        <f t="shared" si="7"/>
        <v>47760</v>
      </c>
      <c r="BE18" s="8">
        <f t="shared" si="7"/>
        <v>62640</v>
      </c>
      <c r="BF18" s="8">
        <f t="shared" si="7"/>
        <v>75120</v>
      </c>
    </row>
    <row r="19">
      <c r="A19" s="1"/>
      <c r="B19" s="3" t="s">
        <v>100</v>
      </c>
      <c r="C19" s="1"/>
      <c r="D19" s="1"/>
      <c r="E19" s="3" t="s">
        <v>33</v>
      </c>
      <c r="F19" s="8">
        <f>Assumptions!$C$39*(F17+F18)</f>
        <v>5027.4</v>
      </c>
      <c r="G19" s="8">
        <f>Assumptions!$C$39*(G17+G18)</f>
        <v>5027.4</v>
      </c>
      <c r="H19" s="8">
        <f>Assumptions!$C$39*(H17+H18)</f>
        <v>5643</v>
      </c>
      <c r="I19" s="8">
        <f>Assumptions!$C$39*(I17+I18)</f>
        <v>6258.6</v>
      </c>
      <c r="J19" s="8">
        <f>Assumptions!$C$39*(J17+J18)</f>
        <v>6258.6</v>
      </c>
      <c r="K19" s="8">
        <f>Assumptions!$C$39*(K17+K18)</f>
        <v>6258.6</v>
      </c>
      <c r="L19" s="8">
        <f>Assumptions!$C$39*(L17+L18)</f>
        <v>6258.6</v>
      </c>
      <c r="M19" s="8">
        <f>Assumptions!$C$39*(M17+M18)</f>
        <v>6258.6</v>
      </c>
      <c r="N19" s="8">
        <f>Assumptions!$C$39*(N17+N18)</f>
        <v>7797.6</v>
      </c>
      <c r="O19" s="8">
        <f>Assumptions!$C$39*(O17+O18)</f>
        <v>6258.6</v>
      </c>
      <c r="P19" s="8">
        <f>Assumptions!$C$39*(P17+P18)</f>
        <v>6258.6</v>
      </c>
      <c r="Q19" s="8">
        <f>Assumptions!$C$39*(Q17+Q18)</f>
        <v>6258.6</v>
      </c>
      <c r="R19" s="8">
        <f>Assumptions!$C$39*(R17+R18)</f>
        <v>8618.4</v>
      </c>
      <c r="S19" s="8">
        <f>Assumptions!$C$39*(S17+S18)</f>
        <v>8618.4</v>
      </c>
      <c r="T19" s="8">
        <f>Assumptions!$C$39*(T17+T18)</f>
        <v>9234</v>
      </c>
      <c r="U19" s="8">
        <f>Assumptions!$C$39*(U17+U18)</f>
        <v>9234</v>
      </c>
      <c r="V19" s="8">
        <f>Assumptions!$C$39*(V17+V18)</f>
        <v>10773</v>
      </c>
      <c r="W19" s="8">
        <f>Assumptions!$C$39*(W17+W18)</f>
        <v>10773</v>
      </c>
      <c r="X19" s="8">
        <f>Assumptions!$C$39*(X17+X18)</f>
        <v>10773</v>
      </c>
      <c r="Y19" s="8">
        <f>Assumptions!$C$39*(Y17+Y18)</f>
        <v>10773</v>
      </c>
      <c r="Z19" s="8">
        <f>Assumptions!$C$39*(Z17+Z18)</f>
        <v>10773</v>
      </c>
      <c r="AA19" s="8">
        <f>Assumptions!$C$39*(AA17+AA18)</f>
        <v>11388.6</v>
      </c>
      <c r="AB19" s="8">
        <f>Assumptions!$C$39*(AB17+AB18)</f>
        <v>10773</v>
      </c>
      <c r="AC19" s="8">
        <f>Assumptions!$C$39*(AC17+AC18)</f>
        <v>10773</v>
      </c>
      <c r="AD19" s="8">
        <f>Assumptions!$C$39*(AD17+AD18)</f>
        <v>12209.4</v>
      </c>
      <c r="AE19" s="8">
        <f>Assumptions!$C$39*(AE17+AE18)</f>
        <v>12825</v>
      </c>
      <c r="AF19" s="8">
        <f>Assumptions!$C$39*(AF17+AF18)</f>
        <v>12825</v>
      </c>
      <c r="AG19" s="8">
        <f>Assumptions!$C$39*(AG17+AG18)</f>
        <v>12825</v>
      </c>
      <c r="AH19" s="8">
        <f>Assumptions!$C$39*(AH17+AH18)</f>
        <v>13440.6</v>
      </c>
      <c r="AI19" s="8">
        <f>Assumptions!$C$39*(AI17+AI18)</f>
        <v>13440.6</v>
      </c>
      <c r="AJ19" s="8">
        <f>Assumptions!$C$39*(AJ17+AJ18)</f>
        <v>14056.2</v>
      </c>
      <c r="AK19" s="8">
        <f>Assumptions!$C$39*(AK17+AK18)</f>
        <v>13440.6</v>
      </c>
      <c r="AL19" s="8">
        <f>Assumptions!$C$39*(AL17+AL18)</f>
        <v>13440.6</v>
      </c>
      <c r="AM19" s="8">
        <f>Assumptions!$C$39*(AM17+AM18)</f>
        <v>14056.2</v>
      </c>
      <c r="AN19" s="8">
        <f>Assumptions!$C$39*(AN17+AN18)</f>
        <v>14056.2</v>
      </c>
      <c r="AO19" s="8">
        <f>Assumptions!$C$39*(AO17+AO18)</f>
        <v>14056.2</v>
      </c>
      <c r="AP19" s="8">
        <f>Assumptions!$C$39*(AP17+AP18)</f>
        <v>14877</v>
      </c>
      <c r="AQ19" s="8">
        <f>Assumptions!$C$39*(AQ17+AQ18)</f>
        <v>14877</v>
      </c>
      <c r="AR19" s="8">
        <f>Assumptions!$C$39*(AR17+AR18)</f>
        <v>15492.6</v>
      </c>
      <c r="AS19" s="8">
        <f>Assumptions!$C$39*(AS17+AS18)</f>
        <v>15492.6</v>
      </c>
      <c r="AT19" s="8">
        <f>Assumptions!$C$39*(AT17+AT18)</f>
        <v>15492.6</v>
      </c>
      <c r="AU19" s="8">
        <f>Assumptions!$C$39*(AU17+AU18)</f>
        <v>16108.2</v>
      </c>
      <c r="AV19" s="8">
        <f>Assumptions!$C$39*(AV17+AV18)</f>
        <v>16723.8</v>
      </c>
      <c r="AW19" s="8">
        <f>Assumptions!$C$39*(AW17+AW18)</f>
        <v>16723.8</v>
      </c>
      <c r="AX19" s="8">
        <f>Assumptions!$C$39*(AX17+AX18)</f>
        <v>16723.8</v>
      </c>
      <c r="AY19" s="8">
        <f>Assumptions!$C$39*(AY17+AY18)</f>
        <v>16723.8</v>
      </c>
      <c r="AZ19" s="8">
        <f>Assumptions!$C$39*(AZ17+AZ18)</f>
        <v>16723.8</v>
      </c>
      <c r="BA19" s="8">
        <f>Assumptions!$C$39*(BA17+BA18)</f>
        <v>16723.8</v>
      </c>
      <c r="BB19" s="8"/>
      <c r="BC19" s="8">
        <f t="shared" ref="BC19:BF19" si="8">SUMPRODUCT((YEAR($F$3:$BA$3)=BC$3)*$F19:$BA19)</f>
        <v>73564.2</v>
      </c>
      <c r="BD19" s="8">
        <f t="shared" si="8"/>
        <v>122504.4</v>
      </c>
      <c r="BE19" s="8">
        <f t="shared" si="8"/>
        <v>160671.6</v>
      </c>
      <c r="BF19" s="8">
        <f t="shared" si="8"/>
        <v>192682.8</v>
      </c>
    </row>
    <row r="20">
      <c r="A20" s="1"/>
      <c r="B20" s="3" t="s">
        <v>93</v>
      </c>
      <c r="C20" s="1"/>
      <c r="D20" s="1"/>
      <c r="E20" s="3" t="s">
        <v>33</v>
      </c>
      <c r="F20" s="8">
        <f>Assumptions!$C$37/12</f>
        <v>7500</v>
      </c>
      <c r="G20" s="8">
        <f>Assumptions!$C$37/12</f>
        <v>7500</v>
      </c>
      <c r="H20" s="8">
        <f>Assumptions!$C$37/12</f>
        <v>7500</v>
      </c>
      <c r="I20" s="8">
        <f>Assumptions!$C$37/12</f>
        <v>7500</v>
      </c>
      <c r="J20" s="8">
        <f>Assumptions!$C$37/12</f>
        <v>7500</v>
      </c>
      <c r="K20" s="8">
        <f>Assumptions!$C$37/12</f>
        <v>7500</v>
      </c>
      <c r="L20" s="8">
        <f>Assumptions!$C$37/12</f>
        <v>7500</v>
      </c>
      <c r="M20" s="8">
        <f>Assumptions!$C$37/12</f>
        <v>7500</v>
      </c>
      <c r="N20" s="8">
        <f>Assumptions!$C$37/12</f>
        <v>7500</v>
      </c>
      <c r="O20" s="8">
        <f>Assumptions!$C$37/12</f>
        <v>7500</v>
      </c>
      <c r="P20" s="8">
        <f>Assumptions!$C$37/12</f>
        <v>7500</v>
      </c>
      <c r="Q20" s="8">
        <f>Assumptions!$C$37/12</f>
        <v>7500</v>
      </c>
      <c r="R20" s="8">
        <f>Assumptions!$C$37/12</f>
        <v>7500</v>
      </c>
      <c r="S20" s="8">
        <f>Assumptions!$C$37/12</f>
        <v>7500</v>
      </c>
      <c r="T20" s="8">
        <f>Assumptions!$C$37/12</f>
        <v>7500</v>
      </c>
      <c r="U20" s="8">
        <f>Assumptions!$C$37/12</f>
        <v>7500</v>
      </c>
      <c r="V20" s="8">
        <f>Assumptions!$C$37/12</f>
        <v>7500</v>
      </c>
      <c r="W20" s="8">
        <f>Assumptions!$C$37/12</f>
        <v>7500</v>
      </c>
      <c r="X20" s="8">
        <f>Assumptions!$C$37/12</f>
        <v>7500</v>
      </c>
      <c r="Y20" s="8">
        <f>Assumptions!$C$37/12</f>
        <v>7500</v>
      </c>
      <c r="Z20" s="8">
        <f>Assumptions!$C$37/12</f>
        <v>7500</v>
      </c>
      <c r="AA20" s="8">
        <f>Assumptions!$C$37/12</f>
        <v>7500</v>
      </c>
      <c r="AB20" s="8">
        <f>Assumptions!$C$37/12</f>
        <v>7500</v>
      </c>
      <c r="AC20" s="8">
        <f>Assumptions!$C$37/12</f>
        <v>7500</v>
      </c>
      <c r="AD20" s="8">
        <f>Assumptions!$C$37/12</f>
        <v>7500</v>
      </c>
      <c r="AE20" s="8">
        <f>Assumptions!$C$37/12</f>
        <v>7500</v>
      </c>
      <c r="AF20" s="8">
        <f>Assumptions!$C$37/12</f>
        <v>7500</v>
      </c>
      <c r="AG20" s="8">
        <f>Assumptions!$C$37/12</f>
        <v>7500</v>
      </c>
      <c r="AH20" s="8">
        <f>Assumptions!$C$37/12</f>
        <v>7500</v>
      </c>
      <c r="AI20" s="8">
        <f>Assumptions!$C$37/12</f>
        <v>7500</v>
      </c>
      <c r="AJ20" s="8">
        <f>Assumptions!$C$37/12</f>
        <v>7500</v>
      </c>
      <c r="AK20" s="8">
        <f>Assumptions!$C$37/12</f>
        <v>7500</v>
      </c>
      <c r="AL20" s="8">
        <f>Assumptions!$C$37/12</f>
        <v>7500</v>
      </c>
      <c r="AM20" s="8">
        <f>Assumptions!$C$37/12</f>
        <v>7500</v>
      </c>
      <c r="AN20" s="8">
        <f>Assumptions!$C$37/12</f>
        <v>7500</v>
      </c>
      <c r="AO20" s="8">
        <f>Assumptions!$C$37/12</f>
        <v>7500</v>
      </c>
      <c r="AP20" s="8">
        <f>Assumptions!$C$37/12</f>
        <v>7500</v>
      </c>
      <c r="AQ20" s="8">
        <f>Assumptions!$C$37/12</f>
        <v>7500</v>
      </c>
      <c r="AR20" s="8">
        <f>Assumptions!$C$37/12</f>
        <v>7500</v>
      </c>
      <c r="AS20" s="8">
        <f>Assumptions!$C$37/12</f>
        <v>7500</v>
      </c>
      <c r="AT20" s="8">
        <f>Assumptions!$C$37/12</f>
        <v>7500</v>
      </c>
      <c r="AU20" s="8">
        <f>Assumptions!$C$37/12</f>
        <v>7500</v>
      </c>
      <c r="AV20" s="8">
        <f>Assumptions!$C$37/12</f>
        <v>7500</v>
      </c>
      <c r="AW20" s="8">
        <f>Assumptions!$C$37/12</f>
        <v>7500</v>
      </c>
      <c r="AX20" s="8">
        <f>Assumptions!$C$37/12</f>
        <v>7500</v>
      </c>
      <c r="AY20" s="8">
        <f>Assumptions!$C$37/12</f>
        <v>7500</v>
      </c>
      <c r="AZ20" s="8">
        <f>Assumptions!$C$37/12</f>
        <v>7500</v>
      </c>
      <c r="BA20" s="8">
        <f>Assumptions!$C$37/12</f>
        <v>7500</v>
      </c>
      <c r="BB20" s="8"/>
      <c r="BC20" s="8">
        <f t="shared" ref="BC20:BF20" si="9">SUMPRODUCT((YEAR($F$3:$BA$3)=BC$3)*$F20:$BA20)</f>
        <v>90000</v>
      </c>
      <c r="BD20" s="8">
        <f t="shared" si="9"/>
        <v>90000</v>
      </c>
      <c r="BE20" s="8">
        <f t="shared" si="9"/>
        <v>90000</v>
      </c>
      <c r="BF20" s="8">
        <f t="shared" si="9"/>
        <v>90000</v>
      </c>
    </row>
    <row r="21">
      <c r="A21" s="1"/>
      <c r="B21" s="3" t="s">
        <v>101</v>
      </c>
      <c r="C21" s="1"/>
      <c r="D21" s="1"/>
      <c r="E21" s="3" t="s">
        <v>33</v>
      </c>
      <c r="F21" s="8">
        <f>'Revenue forecast'!F24*Assumptions!$C$28*(0.9+0.1*(Assumptions!$C$25+Assumptions!$C$26))</f>
        <v>0</v>
      </c>
      <c r="G21" s="8">
        <f>'Revenue forecast'!G24*Assumptions!$C$28*(0.9+0.1*(Assumptions!$C$25+Assumptions!$C$26))</f>
        <v>0</v>
      </c>
      <c r="H21" s="8">
        <f>'Revenue forecast'!H24*Assumptions!$C$28*(0.9+0.1*(Assumptions!$C$25+Assumptions!$C$26))</f>
        <v>0</v>
      </c>
      <c r="I21" s="8">
        <f>'Revenue forecast'!I24*Assumptions!$C$28*(0.9+0.1*(Assumptions!$C$25+Assumptions!$C$26))</f>
        <v>0</v>
      </c>
      <c r="J21" s="8">
        <f>'Revenue forecast'!J24*Assumptions!$C$28*(0.9+0.1*(Assumptions!$C$25+Assumptions!$C$26))</f>
        <v>0</v>
      </c>
      <c r="K21" s="8">
        <f>'Revenue forecast'!K24*Assumptions!$C$28*(0.9+0.1*(Assumptions!$C$25+Assumptions!$C$26))</f>
        <v>11550</v>
      </c>
      <c r="L21" s="8">
        <f>'Revenue forecast'!L24*Assumptions!$C$28*(0.9+0.1*(Assumptions!$C$25+Assumptions!$C$26))</f>
        <v>5775</v>
      </c>
      <c r="M21" s="8">
        <f>'Revenue forecast'!M24*Assumptions!$C$28*(0.9+0.1*(Assumptions!$C$25+Assumptions!$C$26))</f>
        <v>11550</v>
      </c>
      <c r="N21" s="8">
        <f>'Revenue forecast'!N24*Assumptions!$C$28*(0.9+0.1*(Assumptions!$C$25+Assumptions!$C$26))</f>
        <v>5775</v>
      </c>
      <c r="O21" s="8">
        <f>'Revenue forecast'!O24*Assumptions!$C$28*(0.9+0.1*(Assumptions!$C$25+Assumptions!$C$26))</f>
        <v>57750</v>
      </c>
      <c r="P21" s="8">
        <f>'Revenue forecast'!P24*Assumptions!$C$28*(0.9+0.1*(Assumptions!$C$25+Assumptions!$C$26))</f>
        <v>5775</v>
      </c>
      <c r="Q21" s="8">
        <f>'Revenue forecast'!Q24*Assumptions!$C$28*(0.9+0.1*(Assumptions!$C$25+Assumptions!$C$26))</f>
        <v>11550</v>
      </c>
      <c r="R21" s="8">
        <f>'Revenue forecast'!R24*Assumptions!$C$28*(0.9+0.1*(Assumptions!$C$25+Assumptions!$C$26))</f>
        <v>9702</v>
      </c>
      <c r="S21" s="8">
        <f>'Revenue forecast'!S24*Assumptions!$C$28*(0.9+0.1*(Assumptions!$C$25+Assumptions!$C$26))</f>
        <v>19404</v>
      </c>
      <c r="T21" s="8">
        <f>'Revenue forecast'!T24*Assumptions!$C$28*(0.9+0.1*(Assumptions!$C$25+Assumptions!$C$26))</f>
        <v>9702</v>
      </c>
      <c r="U21" s="8">
        <f>'Revenue forecast'!U24*Assumptions!$C$28*(0.9+0.1*(Assumptions!$C$25+Assumptions!$C$26))</f>
        <v>127204</v>
      </c>
      <c r="V21" s="8">
        <f>'Revenue forecast'!V24*Assumptions!$C$28*(0.9+0.1*(Assumptions!$C$25+Assumptions!$C$26))</f>
        <v>9702</v>
      </c>
      <c r="W21" s="8">
        <f>'Revenue forecast'!W24*Assumptions!$C$28*(0.9+0.1*(Assumptions!$C$25+Assumptions!$C$26))</f>
        <v>29106</v>
      </c>
      <c r="X21" s="8">
        <f>'Revenue forecast'!X24*Assumptions!$C$28*(0.9+0.1*(Assumptions!$C$25+Assumptions!$C$26))</f>
        <v>19404</v>
      </c>
      <c r="Y21" s="8">
        <f>'Revenue forecast'!Y24*Assumptions!$C$28*(0.9+0.1*(Assumptions!$C$25+Assumptions!$C$26))</f>
        <v>136906</v>
      </c>
      <c r="Z21" s="8">
        <f>'Revenue forecast'!Z24*Assumptions!$C$28*(0.9+0.1*(Assumptions!$C$25+Assumptions!$C$26))</f>
        <v>127204</v>
      </c>
      <c r="AA21" s="8">
        <f>'Revenue forecast'!AA24*Assumptions!$C$28*(0.9+0.1*(Assumptions!$C$25+Assumptions!$C$26))</f>
        <v>29106</v>
      </c>
      <c r="AB21" s="8">
        <f>'Revenue forecast'!AB24*Assumptions!$C$28*(0.9+0.1*(Assumptions!$C$25+Assumptions!$C$26))</f>
        <v>127204</v>
      </c>
      <c r="AC21" s="8">
        <f>'Revenue forecast'!AC24*Assumptions!$C$28*(0.9+0.1*(Assumptions!$C$25+Assumptions!$C$26))</f>
        <v>136906</v>
      </c>
      <c r="AD21" s="8">
        <f>'Revenue forecast'!AD24*Assumptions!$C$28*(0.9+0.1*(Assumptions!$C$25+Assumptions!$C$26))</f>
        <v>254562</v>
      </c>
      <c r="AE21" s="8">
        <f>'Revenue forecast'!AE24*Assumptions!$C$28*(0.9+0.1*(Assumptions!$C$25+Assumptions!$C$26))</f>
        <v>33880</v>
      </c>
      <c r="AF21" s="8">
        <f>'Revenue forecast'!AF24*Assumptions!$C$28*(0.9+0.1*(Assumptions!$C$25+Assumptions!$C$26))</f>
        <v>254562</v>
      </c>
      <c r="AG21" s="8">
        <f>'Revenue forecast'!AG24*Assumptions!$C$28*(0.9+0.1*(Assumptions!$C$25+Assumptions!$C$26))</f>
        <v>237622</v>
      </c>
      <c r="AH21" s="8">
        <f>'Revenue forecast'!AH24*Assumptions!$C$28*(0.9+0.1*(Assumptions!$C$25+Assumptions!$C$26))</f>
        <v>254562</v>
      </c>
      <c r="AI21" s="8">
        <f>'Revenue forecast'!AI24*Assumptions!$C$28*(0.9+0.1*(Assumptions!$C$25+Assumptions!$C$26))</f>
        <v>50820</v>
      </c>
      <c r="AJ21" s="8">
        <f>'Revenue forecast'!AJ24*Assumptions!$C$28*(0.9+0.1*(Assumptions!$C$25+Assumptions!$C$26))</f>
        <v>254562</v>
      </c>
      <c r="AK21" s="8">
        <f>'Revenue forecast'!AK24*Assumptions!$C$28*(0.9+0.1*(Assumptions!$C$25+Assumptions!$C$26))</f>
        <v>458304</v>
      </c>
      <c r="AL21" s="8">
        <f>'Revenue forecast'!AL24*Assumptions!$C$28*(0.9+0.1*(Assumptions!$C$25+Assumptions!$C$26))</f>
        <v>458304</v>
      </c>
      <c r="AM21" s="8">
        <f>'Revenue forecast'!AM24*Assumptions!$C$28*(0.9+0.1*(Assumptions!$C$25+Assumptions!$C$26))</f>
        <v>254562</v>
      </c>
      <c r="AN21" s="8">
        <f>'Revenue forecast'!AN24*Assumptions!$C$28*(0.9+0.1*(Assumptions!$C$25+Assumptions!$C$26))</f>
        <v>458304</v>
      </c>
      <c r="AO21" s="8">
        <f>'Revenue forecast'!AO24*Assumptions!$C$28*(0.9+0.1*(Assumptions!$C$25+Assumptions!$C$26))</f>
        <v>458304</v>
      </c>
      <c r="AP21" s="8">
        <f>'Revenue forecast'!AP24*Assumptions!$C$28*(0.9+0.1*(Assumptions!$C$25+Assumptions!$C$26))</f>
        <v>733425</v>
      </c>
      <c r="AQ21" s="8">
        <f>'Revenue forecast'!AQ24*Assumptions!$C$28*(0.9+0.1*(Assumptions!$C$25+Assumptions!$C$26))</f>
        <v>733425</v>
      </c>
      <c r="AR21" s="8">
        <f>'Revenue forecast'!AR24*Assumptions!$C$28*(0.9+0.1*(Assumptions!$C$25+Assumptions!$C$26))</f>
        <v>410025</v>
      </c>
      <c r="AS21" s="8">
        <f>'Revenue forecast'!AS24*Assumptions!$C$28*(0.9+0.1*(Assumptions!$C$25+Assumptions!$C$26))</f>
        <v>733425</v>
      </c>
      <c r="AT21" s="8">
        <f>'Revenue forecast'!AT24*Assumptions!$C$28*(0.9+0.1*(Assumptions!$C$25+Assumptions!$C$26))</f>
        <v>762300</v>
      </c>
      <c r="AU21" s="8">
        <f>'Revenue forecast'!AU24*Assumptions!$C$28*(0.9+0.1*(Assumptions!$C$25+Assumptions!$C$26))</f>
        <v>733425</v>
      </c>
      <c r="AV21" s="8">
        <f>'Revenue forecast'!AV24*Assumptions!$C$28*(0.9+0.1*(Assumptions!$C$25+Assumptions!$C$26))</f>
        <v>410025</v>
      </c>
      <c r="AW21" s="8">
        <f>'Revenue forecast'!AW24*Assumptions!$C$28*(0.9+0.1*(Assumptions!$C$25+Assumptions!$C$26))</f>
        <v>1056825</v>
      </c>
      <c r="AX21" s="8">
        <f>'Revenue forecast'!AX24*Assumptions!$C$28*(0.9+0.1*(Assumptions!$C$25+Assumptions!$C$26))</f>
        <v>1056825</v>
      </c>
      <c r="AY21" s="8">
        <f>'Revenue forecast'!AY24*Assumptions!$C$28*(0.9+0.1*(Assumptions!$C$25+Assumptions!$C$26))</f>
        <v>1056825</v>
      </c>
      <c r="AZ21" s="8">
        <f>'Revenue forecast'!AZ24*Assumptions!$C$28*(0.9+0.1*(Assumptions!$C$25+Assumptions!$C$26))</f>
        <v>1085700</v>
      </c>
      <c r="BA21" s="8">
        <f>'Revenue forecast'!BA24*Assumptions!$C$28*(0.9+0.1*(Assumptions!$C$25+Assumptions!$C$26))</f>
        <v>1056825</v>
      </c>
      <c r="BB21" s="8"/>
      <c r="BC21" s="8">
        <f t="shared" ref="BC21:BF21" si="10">SUMPRODUCT((YEAR($F$3:$BA$3)=BC$3)*$F21:$BA21)</f>
        <v>109725</v>
      </c>
      <c r="BD21" s="8">
        <f t="shared" si="10"/>
        <v>781550</v>
      </c>
      <c r="BE21" s="8">
        <f t="shared" si="10"/>
        <v>3428348</v>
      </c>
      <c r="BF21" s="8">
        <f t="shared" si="10"/>
        <v>9829050</v>
      </c>
    </row>
    <row r="22">
      <c r="A22" s="1"/>
      <c r="B22" s="3" t="s">
        <v>102</v>
      </c>
      <c r="C22" s="1"/>
      <c r="D22" s="1"/>
      <c r="E22" s="3" t="s">
        <v>33</v>
      </c>
      <c r="F22" s="7">
        <v>450.0</v>
      </c>
      <c r="G22" s="7">
        <v>450.0</v>
      </c>
      <c r="H22" s="7">
        <v>450.0</v>
      </c>
      <c r="I22" s="7">
        <v>450.0</v>
      </c>
      <c r="J22" s="7">
        <v>450.0</v>
      </c>
      <c r="K22" s="7">
        <v>450.0</v>
      </c>
      <c r="L22" s="7">
        <v>450.0</v>
      </c>
      <c r="M22" s="7">
        <v>450.0</v>
      </c>
      <c r="N22" s="7">
        <v>450.0</v>
      </c>
      <c r="O22" s="7">
        <v>450.0</v>
      </c>
      <c r="P22" s="7">
        <v>450.0</v>
      </c>
      <c r="Q22" s="7">
        <v>450.0</v>
      </c>
      <c r="R22" s="7">
        <v>450.0</v>
      </c>
      <c r="S22" s="7">
        <v>450.0</v>
      </c>
      <c r="T22" s="7">
        <v>450.0</v>
      </c>
      <c r="U22" s="7">
        <v>450.0</v>
      </c>
      <c r="V22" s="7">
        <v>450.0</v>
      </c>
      <c r="W22" s="7">
        <v>450.0</v>
      </c>
      <c r="X22" s="7">
        <v>450.0</v>
      </c>
      <c r="Y22" s="7">
        <v>450.0</v>
      </c>
      <c r="Z22" s="7">
        <v>450.0</v>
      </c>
      <c r="AA22" s="7">
        <v>450.0</v>
      </c>
      <c r="AB22" s="7">
        <v>450.0</v>
      </c>
      <c r="AC22" s="7">
        <v>450.0</v>
      </c>
      <c r="AD22" s="7">
        <v>450.0</v>
      </c>
      <c r="AE22" s="7">
        <v>450.0</v>
      </c>
      <c r="AF22" s="7">
        <v>450.0</v>
      </c>
      <c r="AG22" s="7">
        <v>450.0</v>
      </c>
      <c r="AH22" s="7">
        <v>450.0</v>
      </c>
      <c r="AI22" s="7">
        <v>450.0</v>
      </c>
      <c r="AJ22" s="7">
        <v>450.0</v>
      </c>
      <c r="AK22" s="7">
        <v>450.0</v>
      </c>
      <c r="AL22" s="7">
        <v>450.0</v>
      </c>
      <c r="AM22" s="7">
        <v>450.0</v>
      </c>
      <c r="AN22" s="7">
        <v>450.0</v>
      </c>
      <c r="AO22" s="7">
        <v>450.0</v>
      </c>
      <c r="AP22" s="7">
        <v>450.0</v>
      </c>
      <c r="AQ22" s="7">
        <v>450.0</v>
      </c>
      <c r="AR22" s="7">
        <v>450.0</v>
      </c>
      <c r="AS22" s="7">
        <v>450.0</v>
      </c>
      <c r="AT22" s="7">
        <v>450.0</v>
      </c>
      <c r="AU22" s="7">
        <v>450.0</v>
      </c>
      <c r="AV22" s="7">
        <v>450.0</v>
      </c>
      <c r="AW22" s="7">
        <v>450.0</v>
      </c>
      <c r="AX22" s="7">
        <v>450.0</v>
      </c>
      <c r="AY22" s="7">
        <v>450.0</v>
      </c>
      <c r="AZ22" s="7">
        <v>450.0</v>
      </c>
      <c r="BA22" s="7">
        <v>450.0</v>
      </c>
      <c r="BB22" s="8"/>
      <c r="BC22" s="8">
        <f t="shared" ref="BC22:BF22" si="11">SUMPRODUCT((YEAR($F$3:$BA$3)=BC$3)*$F22:$BA22)</f>
        <v>5400</v>
      </c>
      <c r="BD22" s="8">
        <f t="shared" si="11"/>
        <v>5400</v>
      </c>
      <c r="BE22" s="8">
        <f t="shared" si="11"/>
        <v>5400</v>
      </c>
      <c r="BF22" s="8">
        <f t="shared" si="11"/>
        <v>5400</v>
      </c>
    </row>
    <row r="23">
      <c r="A23" s="1"/>
      <c r="B23" s="3" t="s">
        <v>103</v>
      </c>
      <c r="C23" s="1"/>
      <c r="D23" s="1"/>
      <c r="E23" s="3" t="s">
        <v>33</v>
      </c>
      <c r="F23" s="7">
        <v>267.0</v>
      </c>
      <c r="G23" s="7">
        <v>267.0</v>
      </c>
      <c r="H23" s="7">
        <v>267.0</v>
      </c>
      <c r="I23" s="7">
        <v>267.0</v>
      </c>
      <c r="J23" s="7">
        <v>267.0</v>
      </c>
      <c r="K23" s="7">
        <v>267.0</v>
      </c>
      <c r="L23" s="7">
        <v>267.0</v>
      </c>
      <c r="M23" s="7">
        <v>267.0</v>
      </c>
      <c r="N23" s="7">
        <v>267.0</v>
      </c>
      <c r="O23" s="7">
        <v>267.0</v>
      </c>
      <c r="P23" s="7">
        <v>267.0</v>
      </c>
      <c r="Q23" s="7">
        <v>267.0</v>
      </c>
      <c r="R23" s="7">
        <v>267.0</v>
      </c>
      <c r="S23" s="7">
        <v>267.0</v>
      </c>
      <c r="T23" s="7">
        <v>267.0</v>
      </c>
      <c r="U23" s="7">
        <v>267.0</v>
      </c>
      <c r="V23" s="7">
        <v>267.0</v>
      </c>
      <c r="W23" s="7">
        <v>267.0</v>
      </c>
      <c r="X23" s="7">
        <v>267.0</v>
      </c>
      <c r="Y23" s="7">
        <v>267.0</v>
      </c>
      <c r="Z23" s="7">
        <v>267.0</v>
      </c>
      <c r="AA23" s="7">
        <v>267.0</v>
      </c>
      <c r="AB23" s="7">
        <v>267.0</v>
      </c>
      <c r="AC23" s="7">
        <v>267.0</v>
      </c>
      <c r="AD23" s="7">
        <v>267.0</v>
      </c>
      <c r="AE23" s="7">
        <v>267.0</v>
      </c>
      <c r="AF23" s="7">
        <v>267.0</v>
      </c>
      <c r="AG23" s="7">
        <v>267.0</v>
      </c>
      <c r="AH23" s="7">
        <v>267.0</v>
      </c>
      <c r="AI23" s="7">
        <v>267.0</v>
      </c>
      <c r="AJ23" s="7">
        <v>267.0</v>
      </c>
      <c r="AK23" s="7">
        <v>267.0</v>
      </c>
      <c r="AL23" s="7">
        <v>267.0</v>
      </c>
      <c r="AM23" s="7">
        <v>267.0</v>
      </c>
      <c r="AN23" s="7">
        <v>267.0</v>
      </c>
      <c r="AO23" s="7">
        <v>267.0</v>
      </c>
      <c r="AP23" s="7">
        <v>267.0</v>
      </c>
      <c r="AQ23" s="7">
        <v>267.0</v>
      </c>
      <c r="AR23" s="7">
        <v>267.0</v>
      </c>
      <c r="AS23" s="7">
        <v>267.0</v>
      </c>
      <c r="AT23" s="7">
        <v>267.0</v>
      </c>
      <c r="AU23" s="7">
        <v>267.0</v>
      </c>
      <c r="AV23" s="7">
        <v>267.0</v>
      </c>
      <c r="AW23" s="7">
        <v>267.0</v>
      </c>
      <c r="AX23" s="7">
        <v>267.0</v>
      </c>
      <c r="AY23" s="7">
        <v>267.0</v>
      </c>
      <c r="AZ23" s="7">
        <v>267.0</v>
      </c>
      <c r="BA23" s="7">
        <v>267.0</v>
      </c>
      <c r="BB23" s="8"/>
      <c r="BC23" s="8">
        <f t="shared" ref="BC23:BF23" si="12">SUMPRODUCT((YEAR($F$3:$BA$3)=BC$3)*$F23:$BA23)</f>
        <v>3204</v>
      </c>
      <c r="BD23" s="8">
        <f t="shared" si="12"/>
        <v>3204</v>
      </c>
      <c r="BE23" s="8">
        <f t="shared" si="12"/>
        <v>3204</v>
      </c>
      <c r="BF23" s="8">
        <f t="shared" si="12"/>
        <v>3204</v>
      </c>
    </row>
    <row r="24">
      <c r="A24" s="1"/>
      <c r="B24" s="28" t="s">
        <v>104</v>
      </c>
      <c r="C24" s="29"/>
      <c r="D24" s="29"/>
      <c r="E24" s="28" t="s">
        <v>33</v>
      </c>
      <c r="F24" s="30">
        <f t="shared" ref="F24:BA24" si="13">SUM(F17:F23)</f>
        <v>39704.4</v>
      </c>
      <c r="G24" s="30">
        <f t="shared" si="13"/>
        <v>39704.4</v>
      </c>
      <c r="H24" s="30">
        <f t="shared" si="13"/>
        <v>43560</v>
      </c>
      <c r="I24" s="30">
        <f t="shared" si="13"/>
        <v>47415.6</v>
      </c>
      <c r="J24" s="30">
        <f t="shared" si="13"/>
        <v>47415.6</v>
      </c>
      <c r="K24" s="30">
        <f t="shared" si="13"/>
        <v>58965.6</v>
      </c>
      <c r="L24" s="30">
        <f t="shared" si="13"/>
        <v>53190.6</v>
      </c>
      <c r="M24" s="30">
        <f t="shared" si="13"/>
        <v>58965.6</v>
      </c>
      <c r="N24" s="30">
        <f t="shared" si="13"/>
        <v>62829.6</v>
      </c>
      <c r="O24" s="30">
        <f t="shared" si="13"/>
        <v>105165.6</v>
      </c>
      <c r="P24" s="30">
        <f t="shared" si="13"/>
        <v>53190.6</v>
      </c>
      <c r="Q24" s="30">
        <f t="shared" si="13"/>
        <v>58965.6</v>
      </c>
      <c r="R24" s="30">
        <f t="shared" si="13"/>
        <v>71897.4</v>
      </c>
      <c r="S24" s="30">
        <f t="shared" si="13"/>
        <v>81599.4</v>
      </c>
      <c r="T24" s="30">
        <f t="shared" si="13"/>
        <v>75753</v>
      </c>
      <c r="U24" s="30">
        <f t="shared" si="13"/>
        <v>193255</v>
      </c>
      <c r="V24" s="30">
        <f t="shared" si="13"/>
        <v>85392</v>
      </c>
      <c r="W24" s="30">
        <f t="shared" si="13"/>
        <v>104796</v>
      </c>
      <c r="X24" s="30">
        <f t="shared" si="13"/>
        <v>95094</v>
      </c>
      <c r="Y24" s="30">
        <f t="shared" si="13"/>
        <v>212596</v>
      </c>
      <c r="Z24" s="30">
        <f t="shared" si="13"/>
        <v>202894</v>
      </c>
      <c r="AA24" s="30">
        <f t="shared" si="13"/>
        <v>108651.6</v>
      </c>
      <c r="AB24" s="30">
        <f t="shared" si="13"/>
        <v>202894</v>
      </c>
      <c r="AC24" s="30">
        <f t="shared" si="13"/>
        <v>212596</v>
      </c>
      <c r="AD24" s="30">
        <f t="shared" si="13"/>
        <v>339248.4</v>
      </c>
      <c r="AE24" s="30">
        <f t="shared" si="13"/>
        <v>122422</v>
      </c>
      <c r="AF24" s="30">
        <f t="shared" si="13"/>
        <v>343104</v>
      </c>
      <c r="AG24" s="30">
        <f t="shared" si="13"/>
        <v>326164</v>
      </c>
      <c r="AH24" s="30">
        <f t="shared" si="13"/>
        <v>346959.6</v>
      </c>
      <c r="AI24" s="30">
        <f t="shared" si="13"/>
        <v>143217.6</v>
      </c>
      <c r="AJ24" s="30">
        <f t="shared" si="13"/>
        <v>350815.2</v>
      </c>
      <c r="AK24" s="30">
        <f t="shared" si="13"/>
        <v>550701.6</v>
      </c>
      <c r="AL24" s="30">
        <f t="shared" si="13"/>
        <v>550701.6</v>
      </c>
      <c r="AM24" s="30">
        <f t="shared" si="13"/>
        <v>350815.2</v>
      </c>
      <c r="AN24" s="30">
        <f t="shared" si="13"/>
        <v>554557.2</v>
      </c>
      <c r="AO24" s="30">
        <f t="shared" si="13"/>
        <v>554557.2</v>
      </c>
      <c r="AP24" s="30">
        <f t="shared" si="13"/>
        <v>834819</v>
      </c>
      <c r="AQ24" s="30">
        <f t="shared" si="13"/>
        <v>834819</v>
      </c>
      <c r="AR24" s="30">
        <f t="shared" si="13"/>
        <v>515274.6</v>
      </c>
      <c r="AS24" s="30">
        <f t="shared" si="13"/>
        <v>838674.6</v>
      </c>
      <c r="AT24" s="30">
        <f t="shared" si="13"/>
        <v>867549.6</v>
      </c>
      <c r="AU24" s="30">
        <f t="shared" si="13"/>
        <v>842530.2</v>
      </c>
      <c r="AV24" s="30">
        <f t="shared" si="13"/>
        <v>522985.8</v>
      </c>
      <c r="AW24" s="30">
        <f t="shared" si="13"/>
        <v>1169785.8</v>
      </c>
      <c r="AX24" s="30">
        <f t="shared" si="13"/>
        <v>1169785.8</v>
      </c>
      <c r="AY24" s="30">
        <f t="shared" si="13"/>
        <v>1169785.8</v>
      </c>
      <c r="AZ24" s="30">
        <f t="shared" si="13"/>
        <v>1198660.8</v>
      </c>
      <c r="BA24" s="30">
        <f t="shared" si="13"/>
        <v>1169785.8</v>
      </c>
      <c r="BB24" s="30"/>
      <c r="BC24" s="30">
        <f t="shared" ref="BC24:BF24" si="14">SUMPRODUCT((YEAR($F$3:$BA$3)=BC$3)*$F24:$BA24)</f>
        <v>669073.2</v>
      </c>
      <c r="BD24" s="30">
        <f t="shared" si="14"/>
        <v>1647418.4</v>
      </c>
      <c r="BE24" s="30">
        <f t="shared" si="14"/>
        <v>4533263.6</v>
      </c>
      <c r="BF24" s="30">
        <f t="shared" si="14"/>
        <v>11134456.8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105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73</v>
      </c>
      <c r="F3" s="27">
        <v>46388.0</v>
      </c>
      <c r="G3" s="27">
        <v>46419.0</v>
      </c>
      <c r="H3" s="27">
        <v>46447.0</v>
      </c>
      <c r="I3" s="27">
        <v>46478.0</v>
      </c>
      <c r="J3" s="27">
        <v>46508.0</v>
      </c>
      <c r="K3" s="27">
        <v>46539.0</v>
      </c>
      <c r="L3" s="27">
        <v>46569.0</v>
      </c>
      <c r="M3" s="27">
        <v>46600.0</v>
      </c>
      <c r="N3" s="27">
        <v>46631.0</v>
      </c>
      <c r="O3" s="27">
        <v>46661.0</v>
      </c>
      <c r="P3" s="27">
        <v>46692.0</v>
      </c>
      <c r="Q3" s="27">
        <v>46722.0</v>
      </c>
      <c r="R3" s="27">
        <v>46753.0</v>
      </c>
      <c r="S3" s="27">
        <v>46784.0</v>
      </c>
      <c r="T3" s="27">
        <v>46813.0</v>
      </c>
      <c r="U3" s="27">
        <v>46844.0</v>
      </c>
      <c r="V3" s="27">
        <v>46874.0</v>
      </c>
      <c r="W3" s="27">
        <v>46905.0</v>
      </c>
      <c r="X3" s="27">
        <v>46935.0</v>
      </c>
      <c r="Y3" s="27">
        <v>46966.0</v>
      </c>
      <c r="Z3" s="27">
        <v>46997.0</v>
      </c>
      <c r="AA3" s="27">
        <v>47027.0</v>
      </c>
      <c r="AB3" s="27">
        <v>47058.0</v>
      </c>
      <c r="AC3" s="27">
        <v>47088.0</v>
      </c>
      <c r="AD3" s="27">
        <v>47119.0</v>
      </c>
      <c r="AE3" s="27">
        <v>47150.0</v>
      </c>
      <c r="AF3" s="27">
        <v>47178.0</v>
      </c>
      <c r="AG3" s="27">
        <v>47209.0</v>
      </c>
      <c r="AH3" s="27">
        <v>47239.0</v>
      </c>
      <c r="AI3" s="27">
        <v>47270.0</v>
      </c>
      <c r="AJ3" s="27">
        <v>47300.0</v>
      </c>
      <c r="AK3" s="27">
        <v>47331.0</v>
      </c>
      <c r="AL3" s="27">
        <v>47362.0</v>
      </c>
      <c r="AM3" s="27">
        <v>47392.0</v>
      </c>
      <c r="AN3" s="27">
        <v>47423.0</v>
      </c>
      <c r="AO3" s="27">
        <v>47453.0</v>
      </c>
      <c r="AP3" s="27">
        <v>47484.0</v>
      </c>
      <c r="AQ3" s="27">
        <v>47515.0</v>
      </c>
      <c r="AR3" s="27">
        <v>47543.0</v>
      </c>
      <c r="AS3" s="27">
        <v>47574.0</v>
      </c>
      <c r="AT3" s="27">
        <v>47604.0</v>
      </c>
      <c r="AU3" s="27">
        <v>47635.0</v>
      </c>
      <c r="AV3" s="27">
        <v>47665.0</v>
      </c>
      <c r="AW3" s="27">
        <v>47696.0</v>
      </c>
      <c r="AX3" s="27">
        <v>47727.0</v>
      </c>
      <c r="AY3" s="27">
        <v>47757.0</v>
      </c>
      <c r="AZ3" s="27">
        <v>47788.0</v>
      </c>
      <c r="BA3" s="27">
        <v>47818.0</v>
      </c>
      <c r="BB3" s="1"/>
      <c r="BC3" s="6">
        <v>2027.0</v>
      </c>
      <c r="BD3" s="6">
        <v>2028.0</v>
      </c>
      <c r="BE3" s="6">
        <v>2029.0</v>
      </c>
      <c r="BF3" s="6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4" t="s">
        <v>106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>
      <c r="A7" s="1"/>
      <c r="B7" s="3" t="s">
        <v>107</v>
      </c>
      <c r="C7" s="1"/>
      <c r="D7" s="1"/>
      <c r="E7" s="3" t="s">
        <v>33</v>
      </c>
      <c r="F7" s="8">
        <f>Personnel!F14*Assumptions!$C$46</f>
        <v>3600</v>
      </c>
      <c r="G7" s="8">
        <f>Personnel!G14*Assumptions!$C$46</f>
        <v>3600</v>
      </c>
      <c r="H7" s="8">
        <f>Personnel!H14*Assumptions!$C$46</f>
        <v>4200</v>
      </c>
      <c r="I7" s="8">
        <f>Personnel!I14*Assumptions!$C$46</f>
        <v>4800</v>
      </c>
      <c r="J7" s="8">
        <f>Personnel!J14*Assumptions!$C$46</f>
        <v>4800</v>
      </c>
      <c r="K7" s="8">
        <f>Personnel!K14*Assumptions!$C$46</f>
        <v>4800</v>
      </c>
      <c r="L7" s="8">
        <f>Personnel!L14*Assumptions!$C$46</f>
        <v>4800</v>
      </c>
      <c r="M7" s="8">
        <f>Personnel!M14*Assumptions!$C$46</f>
        <v>4800</v>
      </c>
      <c r="N7" s="8">
        <f>Personnel!N14*Assumptions!$C$46</f>
        <v>6000</v>
      </c>
      <c r="O7" s="8">
        <f>Personnel!O14*Assumptions!$C$46</f>
        <v>4800</v>
      </c>
      <c r="P7" s="8">
        <f>Personnel!P14*Assumptions!$C$46</f>
        <v>4800</v>
      </c>
      <c r="Q7" s="8">
        <f>Personnel!Q14*Assumptions!$C$46</f>
        <v>4800</v>
      </c>
      <c r="R7" s="8">
        <f>Personnel!R14*Assumptions!$C$46</f>
        <v>6000</v>
      </c>
      <c r="S7" s="8">
        <f>Personnel!S14*Assumptions!$C$46</f>
        <v>6000</v>
      </c>
      <c r="T7" s="8">
        <f>Personnel!T14*Assumptions!$C$46</f>
        <v>6600</v>
      </c>
      <c r="U7" s="8">
        <f>Personnel!U14*Assumptions!$C$46</f>
        <v>6600</v>
      </c>
      <c r="V7" s="8">
        <f>Personnel!V14*Assumptions!$C$46</f>
        <v>7800</v>
      </c>
      <c r="W7" s="8">
        <f>Personnel!W14*Assumptions!$C$46</f>
        <v>7800</v>
      </c>
      <c r="X7" s="8">
        <f>Personnel!X14*Assumptions!$C$46</f>
        <v>7800</v>
      </c>
      <c r="Y7" s="8">
        <f>Personnel!Y14*Assumptions!$C$46</f>
        <v>7800</v>
      </c>
      <c r="Z7" s="8">
        <f>Personnel!Z14*Assumptions!$C$46</f>
        <v>7800</v>
      </c>
      <c r="AA7" s="8">
        <f>Personnel!AA14*Assumptions!$C$46</f>
        <v>8400</v>
      </c>
      <c r="AB7" s="8">
        <f>Personnel!AB14*Assumptions!$C$46</f>
        <v>7800</v>
      </c>
      <c r="AC7" s="8">
        <f>Personnel!AC14*Assumptions!$C$46</f>
        <v>7800</v>
      </c>
      <c r="AD7" s="8">
        <f>Personnel!AD14*Assumptions!$C$46</f>
        <v>8400</v>
      </c>
      <c r="AE7" s="8">
        <f>Personnel!AE14*Assumptions!$C$46</f>
        <v>9000</v>
      </c>
      <c r="AF7" s="8">
        <f>Personnel!AF14*Assumptions!$C$46</f>
        <v>9000</v>
      </c>
      <c r="AG7" s="8">
        <f>Personnel!AG14*Assumptions!$C$46</f>
        <v>9000</v>
      </c>
      <c r="AH7" s="8">
        <f>Personnel!AH14*Assumptions!$C$46</f>
        <v>9600</v>
      </c>
      <c r="AI7" s="8">
        <f>Personnel!AI14*Assumptions!$C$46</f>
        <v>9600</v>
      </c>
      <c r="AJ7" s="8">
        <f>Personnel!AJ14*Assumptions!$C$46</f>
        <v>10200</v>
      </c>
      <c r="AK7" s="8">
        <f>Personnel!AK14*Assumptions!$C$46</f>
        <v>9600</v>
      </c>
      <c r="AL7" s="8">
        <f>Personnel!AL14*Assumptions!$C$46</f>
        <v>9600</v>
      </c>
      <c r="AM7" s="8">
        <f>Personnel!AM14*Assumptions!$C$46</f>
        <v>10200</v>
      </c>
      <c r="AN7" s="8">
        <f>Personnel!AN14*Assumptions!$C$46</f>
        <v>10200</v>
      </c>
      <c r="AO7" s="8">
        <f>Personnel!AO14*Assumptions!$C$46</f>
        <v>10200</v>
      </c>
      <c r="AP7" s="8">
        <f>Personnel!AP14*Assumptions!$C$46</f>
        <v>10200</v>
      </c>
      <c r="AQ7" s="8">
        <f>Personnel!AQ14*Assumptions!$C$46</f>
        <v>10200</v>
      </c>
      <c r="AR7" s="8">
        <f>Personnel!AR14*Assumptions!$C$46</f>
        <v>10800</v>
      </c>
      <c r="AS7" s="8">
        <f>Personnel!AS14*Assumptions!$C$46</f>
        <v>10800</v>
      </c>
      <c r="AT7" s="8">
        <f>Personnel!AT14*Assumptions!$C$46</f>
        <v>10800</v>
      </c>
      <c r="AU7" s="8">
        <f>Personnel!AU14*Assumptions!$C$46</f>
        <v>11400</v>
      </c>
      <c r="AV7" s="8">
        <f>Personnel!AV14*Assumptions!$C$46</f>
        <v>12000</v>
      </c>
      <c r="AW7" s="8">
        <f>Personnel!AW14*Assumptions!$C$46</f>
        <v>12000</v>
      </c>
      <c r="AX7" s="8">
        <f>Personnel!AX14*Assumptions!$C$46</f>
        <v>12000</v>
      </c>
      <c r="AY7" s="8">
        <f>Personnel!AY14*Assumptions!$C$46</f>
        <v>12000</v>
      </c>
      <c r="AZ7" s="8">
        <f>Personnel!AZ14*Assumptions!$C$46</f>
        <v>12000</v>
      </c>
      <c r="BA7" s="8">
        <f>Personnel!BA14*Assumptions!$C$46</f>
        <v>12000</v>
      </c>
      <c r="BB7" s="8"/>
      <c r="BC7" s="8">
        <f t="shared" ref="BC7:BF7" si="1">SUMPRODUCT((YEAR($F$3:$BA$3)=BC$3)*$F7:$BA7)</f>
        <v>55800</v>
      </c>
      <c r="BD7" s="8">
        <f t="shared" si="1"/>
        <v>88200</v>
      </c>
      <c r="BE7" s="8">
        <f t="shared" si="1"/>
        <v>114600</v>
      </c>
      <c r="BF7" s="8">
        <f t="shared" si="1"/>
        <v>136200</v>
      </c>
    </row>
    <row r="8">
      <c r="A8" s="1"/>
      <c r="B8" s="3" t="s">
        <v>108</v>
      </c>
      <c r="C8" s="1"/>
      <c r="D8" s="1"/>
      <c r="E8" s="3" t="s">
        <v>33</v>
      </c>
      <c r="F8" s="8">
        <f>Assumptions!$C$48+Personnel!F14*Assumptions!$C$47</f>
        <v>2303.333333</v>
      </c>
      <c r="G8" s="8">
        <f>Assumptions!$C$48+Personnel!G14*Assumptions!$C$47</f>
        <v>2303.333333</v>
      </c>
      <c r="H8" s="8">
        <f>Assumptions!$C$48+Personnel!H14*Assumptions!$C$47</f>
        <v>2423.333333</v>
      </c>
      <c r="I8" s="8">
        <f>Assumptions!$C$48+Personnel!I14*Assumptions!$C$47</f>
        <v>2543.333333</v>
      </c>
      <c r="J8" s="8">
        <f>Assumptions!$C$48+Personnel!J14*Assumptions!$C$47</f>
        <v>2543.333333</v>
      </c>
      <c r="K8" s="8">
        <f>Assumptions!$C$48+Personnel!K14*Assumptions!$C$47</f>
        <v>2543.333333</v>
      </c>
      <c r="L8" s="8">
        <f>Assumptions!$C$48+Personnel!L14*Assumptions!$C$47</f>
        <v>2543.333333</v>
      </c>
      <c r="M8" s="8">
        <f>Assumptions!$C$48+Personnel!M14*Assumptions!$C$47</f>
        <v>2543.333333</v>
      </c>
      <c r="N8" s="8">
        <f>Assumptions!$C$48+Personnel!N14*Assumptions!$C$47</f>
        <v>2783.333333</v>
      </c>
      <c r="O8" s="8">
        <f>Assumptions!$C$48+Personnel!O14*Assumptions!$C$47</f>
        <v>2543.333333</v>
      </c>
      <c r="P8" s="8">
        <f>Assumptions!$C$48+Personnel!P14*Assumptions!$C$47</f>
        <v>2543.333333</v>
      </c>
      <c r="Q8" s="8">
        <f>Assumptions!$C$48+Personnel!Q14*Assumptions!$C$47</f>
        <v>2543.333333</v>
      </c>
      <c r="R8" s="8">
        <f>Assumptions!$C$48+Personnel!R14*Assumptions!$C$47</f>
        <v>2783.333333</v>
      </c>
      <c r="S8" s="8">
        <f>Assumptions!$C$48+Personnel!S14*Assumptions!$C$47</f>
        <v>2783.333333</v>
      </c>
      <c r="T8" s="8">
        <f>Assumptions!$C$48+Personnel!T14*Assumptions!$C$47</f>
        <v>2903.333333</v>
      </c>
      <c r="U8" s="8">
        <f>Assumptions!$C$48+Personnel!U14*Assumptions!$C$47</f>
        <v>2903.333333</v>
      </c>
      <c r="V8" s="8">
        <f>Assumptions!$C$48+Personnel!V14*Assumptions!$C$47</f>
        <v>3143.333333</v>
      </c>
      <c r="W8" s="8">
        <f>Assumptions!$C$48+Personnel!W14*Assumptions!$C$47</f>
        <v>3143.333333</v>
      </c>
      <c r="X8" s="8">
        <f>Assumptions!$C$48+Personnel!X14*Assumptions!$C$47</f>
        <v>3143.333333</v>
      </c>
      <c r="Y8" s="8">
        <f>Assumptions!$C$48+Personnel!Y14*Assumptions!$C$47</f>
        <v>3143.333333</v>
      </c>
      <c r="Z8" s="8">
        <f>Assumptions!$C$48+Personnel!Z14*Assumptions!$C$47</f>
        <v>3143.333333</v>
      </c>
      <c r="AA8" s="8">
        <f>Assumptions!$C$48+Personnel!AA14*Assumptions!$C$47</f>
        <v>3263.333333</v>
      </c>
      <c r="AB8" s="8">
        <f>Assumptions!$C$48+Personnel!AB14*Assumptions!$C$47</f>
        <v>3143.333333</v>
      </c>
      <c r="AC8" s="8">
        <f>Assumptions!$C$48+Personnel!AC14*Assumptions!$C$47</f>
        <v>3143.333333</v>
      </c>
      <c r="AD8" s="8">
        <f>Assumptions!$C$48+Personnel!AD14*Assumptions!$C$47</f>
        <v>3263.333333</v>
      </c>
      <c r="AE8" s="8">
        <f>Assumptions!$C$48+Personnel!AE14*Assumptions!$C$47</f>
        <v>3383.333333</v>
      </c>
      <c r="AF8" s="8">
        <f>Assumptions!$C$48+Personnel!AF14*Assumptions!$C$47</f>
        <v>3383.333333</v>
      </c>
      <c r="AG8" s="8">
        <f>Assumptions!$C$48+Personnel!AG14*Assumptions!$C$47</f>
        <v>3383.333333</v>
      </c>
      <c r="AH8" s="8">
        <f>Assumptions!$C$48+Personnel!AH14*Assumptions!$C$47</f>
        <v>3503.333333</v>
      </c>
      <c r="AI8" s="8">
        <f>Assumptions!$C$48+Personnel!AI14*Assumptions!$C$47</f>
        <v>3503.333333</v>
      </c>
      <c r="AJ8" s="8">
        <f>Assumptions!$C$48+Personnel!AJ14*Assumptions!$C$47</f>
        <v>3623.333333</v>
      </c>
      <c r="AK8" s="8">
        <f>Assumptions!$C$48+Personnel!AK14*Assumptions!$C$47</f>
        <v>3503.333333</v>
      </c>
      <c r="AL8" s="8">
        <f>Assumptions!$C$48+Personnel!AL14*Assumptions!$C$47</f>
        <v>3503.333333</v>
      </c>
      <c r="AM8" s="8">
        <f>Assumptions!$C$48+Personnel!AM14*Assumptions!$C$47</f>
        <v>3623.333333</v>
      </c>
      <c r="AN8" s="8">
        <f>Assumptions!$C$48+Personnel!AN14*Assumptions!$C$47</f>
        <v>3623.333333</v>
      </c>
      <c r="AO8" s="8">
        <f>Assumptions!$C$48+Personnel!AO14*Assumptions!$C$47</f>
        <v>3623.333333</v>
      </c>
      <c r="AP8" s="8">
        <f>Assumptions!$C$48+Personnel!AP14*Assumptions!$C$47</f>
        <v>3623.333333</v>
      </c>
      <c r="AQ8" s="8">
        <f>Assumptions!$C$48+Personnel!AQ14*Assumptions!$C$47</f>
        <v>3623.333333</v>
      </c>
      <c r="AR8" s="8">
        <f>Assumptions!$C$48+Personnel!AR14*Assumptions!$C$47</f>
        <v>3743.333333</v>
      </c>
      <c r="AS8" s="8">
        <f>Assumptions!$C$48+Personnel!AS14*Assumptions!$C$47</f>
        <v>3743.333333</v>
      </c>
      <c r="AT8" s="8">
        <f>Assumptions!$C$48+Personnel!AT14*Assumptions!$C$47</f>
        <v>3743.333333</v>
      </c>
      <c r="AU8" s="8">
        <f>Assumptions!$C$48+Personnel!AU14*Assumptions!$C$47</f>
        <v>3863.333333</v>
      </c>
      <c r="AV8" s="8">
        <f>Assumptions!$C$48+Personnel!AV14*Assumptions!$C$47</f>
        <v>3983.333333</v>
      </c>
      <c r="AW8" s="8">
        <f>Assumptions!$C$48+Personnel!AW14*Assumptions!$C$47</f>
        <v>3983.333333</v>
      </c>
      <c r="AX8" s="8">
        <f>Assumptions!$C$48+Personnel!AX14*Assumptions!$C$47</f>
        <v>3983.333333</v>
      </c>
      <c r="AY8" s="8">
        <f>Assumptions!$C$48+Personnel!AY14*Assumptions!$C$47</f>
        <v>3983.333333</v>
      </c>
      <c r="AZ8" s="8">
        <f>Assumptions!$C$48+Personnel!AZ14*Assumptions!$C$47</f>
        <v>3983.333333</v>
      </c>
      <c r="BA8" s="8">
        <f>Assumptions!$C$48+Personnel!BA14*Assumptions!$C$47</f>
        <v>3983.333333</v>
      </c>
      <c r="BB8" s="8"/>
      <c r="BC8" s="8">
        <f t="shared" ref="BC8:BF8" si="2">SUMPRODUCT((YEAR($F$3:$BA$3)=BC$3)*$F8:$BA8)</f>
        <v>30160</v>
      </c>
      <c r="BD8" s="8">
        <f t="shared" si="2"/>
        <v>36640</v>
      </c>
      <c r="BE8" s="8">
        <f t="shared" si="2"/>
        <v>41920</v>
      </c>
      <c r="BF8" s="8">
        <f t="shared" si="2"/>
        <v>46240</v>
      </c>
    </row>
    <row r="9">
      <c r="A9" s="1"/>
      <c r="B9" s="3" t="s">
        <v>109</v>
      </c>
      <c r="C9" s="1"/>
      <c r="D9" s="1"/>
      <c r="E9" s="3" t="s">
        <v>33</v>
      </c>
      <c r="F9" s="8">
        <f>Personnel!F14*Assumptions!$C$49</f>
        <v>240</v>
      </c>
      <c r="G9" s="8">
        <f>Personnel!G14*Assumptions!$C$49</f>
        <v>240</v>
      </c>
      <c r="H9" s="8">
        <f>Personnel!H14*Assumptions!$C$49</f>
        <v>280</v>
      </c>
      <c r="I9" s="8">
        <f>Personnel!I14*Assumptions!$C$49</f>
        <v>320</v>
      </c>
      <c r="J9" s="8">
        <f>Personnel!J14*Assumptions!$C$49</f>
        <v>320</v>
      </c>
      <c r="K9" s="8">
        <f>Personnel!K14*Assumptions!$C$49</f>
        <v>320</v>
      </c>
      <c r="L9" s="8">
        <f>Personnel!L14*Assumptions!$C$49</f>
        <v>320</v>
      </c>
      <c r="M9" s="8">
        <f>Personnel!M14*Assumptions!$C$49</f>
        <v>320</v>
      </c>
      <c r="N9" s="8">
        <f>Personnel!N14*Assumptions!$C$49</f>
        <v>400</v>
      </c>
      <c r="O9" s="8">
        <f>Personnel!O14*Assumptions!$C$49</f>
        <v>320</v>
      </c>
      <c r="P9" s="8">
        <f>Personnel!P14*Assumptions!$C$49</f>
        <v>320</v>
      </c>
      <c r="Q9" s="8">
        <f>Personnel!Q14*Assumptions!$C$49</f>
        <v>320</v>
      </c>
      <c r="R9" s="8">
        <f>Personnel!R14*Assumptions!$C$49</f>
        <v>400</v>
      </c>
      <c r="S9" s="8">
        <f>Personnel!S14*Assumptions!$C$49</f>
        <v>400</v>
      </c>
      <c r="T9" s="8">
        <f>Personnel!T14*Assumptions!$C$49</f>
        <v>440</v>
      </c>
      <c r="U9" s="8">
        <f>Personnel!U14*Assumptions!$C$49</f>
        <v>440</v>
      </c>
      <c r="V9" s="8">
        <f>Personnel!V14*Assumptions!$C$49</f>
        <v>520</v>
      </c>
      <c r="W9" s="8">
        <f>Personnel!W14*Assumptions!$C$49</f>
        <v>520</v>
      </c>
      <c r="X9" s="8">
        <f>Personnel!X14*Assumptions!$C$49</f>
        <v>520</v>
      </c>
      <c r="Y9" s="8">
        <f>Personnel!Y14*Assumptions!$C$49</f>
        <v>520</v>
      </c>
      <c r="Z9" s="8">
        <f>Personnel!Z14*Assumptions!$C$49</f>
        <v>520</v>
      </c>
      <c r="AA9" s="8">
        <f>Personnel!AA14*Assumptions!$C$49</f>
        <v>560</v>
      </c>
      <c r="AB9" s="8">
        <f>Personnel!AB14*Assumptions!$C$49</f>
        <v>520</v>
      </c>
      <c r="AC9" s="8">
        <f>Personnel!AC14*Assumptions!$C$49</f>
        <v>520</v>
      </c>
      <c r="AD9" s="8">
        <f>Personnel!AD14*Assumptions!$C$49</f>
        <v>560</v>
      </c>
      <c r="AE9" s="8">
        <f>Personnel!AE14*Assumptions!$C$49</f>
        <v>600</v>
      </c>
      <c r="AF9" s="8">
        <f>Personnel!AF14*Assumptions!$C$49</f>
        <v>600</v>
      </c>
      <c r="AG9" s="8">
        <f>Personnel!AG14*Assumptions!$C$49</f>
        <v>600</v>
      </c>
      <c r="AH9" s="8">
        <f>Personnel!AH14*Assumptions!$C$49</f>
        <v>640</v>
      </c>
      <c r="AI9" s="8">
        <f>Personnel!AI14*Assumptions!$C$49</f>
        <v>640</v>
      </c>
      <c r="AJ9" s="8">
        <f>Personnel!AJ14*Assumptions!$C$49</f>
        <v>680</v>
      </c>
      <c r="AK9" s="8">
        <f>Personnel!AK14*Assumptions!$C$49</f>
        <v>640</v>
      </c>
      <c r="AL9" s="8">
        <f>Personnel!AL14*Assumptions!$C$49</f>
        <v>640</v>
      </c>
      <c r="AM9" s="8">
        <f>Personnel!AM14*Assumptions!$C$49</f>
        <v>680</v>
      </c>
      <c r="AN9" s="8">
        <f>Personnel!AN14*Assumptions!$C$49</f>
        <v>680</v>
      </c>
      <c r="AO9" s="8">
        <f>Personnel!AO14*Assumptions!$C$49</f>
        <v>680</v>
      </c>
      <c r="AP9" s="8">
        <f>Personnel!AP14*Assumptions!$C$49</f>
        <v>680</v>
      </c>
      <c r="AQ9" s="8">
        <f>Personnel!AQ14*Assumptions!$C$49</f>
        <v>680</v>
      </c>
      <c r="AR9" s="8">
        <f>Personnel!AR14*Assumptions!$C$49</f>
        <v>720</v>
      </c>
      <c r="AS9" s="8">
        <f>Personnel!AS14*Assumptions!$C$49</f>
        <v>720</v>
      </c>
      <c r="AT9" s="8">
        <f>Personnel!AT14*Assumptions!$C$49</f>
        <v>720</v>
      </c>
      <c r="AU9" s="8">
        <f>Personnel!AU14*Assumptions!$C$49</f>
        <v>760</v>
      </c>
      <c r="AV9" s="8">
        <f>Personnel!AV14*Assumptions!$C$49</f>
        <v>800</v>
      </c>
      <c r="AW9" s="8">
        <f>Personnel!AW14*Assumptions!$C$49</f>
        <v>800</v>
      </c>
      <c r="AX9" s="8">
        <f>Personnel!AX14*Assumptions!$C$49</f>
        <v>800</v>
      </c>
      <c r="AY9" s="8">
        <f>Personnel!AY14*Assumptions!$C$49</f>
        <v>800</v>
      </c>
      <c r="AZ9" s="8">
        <f>Personnel!AZ14*Assumptions!$C$49</f>
        <v>800</v>
      </c>
      <c r="BA9" s="8">
        <f>Personnel!BA14*Assumptions!$C$49</f>
        <v>800</v>
      </c>
      <c r="BB9" s="8"/>
      <c r="BC9" s="8">
        <f t="shared" ref="BC9:BF9" si="3">SUMPRODUCT((YEAR($F$3:$BA$3)=BC$3)*$F9:$BA9)</f>
        <v>3720</v>
      </c>
      <c r="BD9" s="8">
        <f t="shared" si="3"/>
        <v>5880</v>
      </c>
      <c r="BE9" s="8">
        <f t="shared" si="3"/>
        <v>7640</v>
      </c>
      <c r="BF9" s="8">
        <f t="shared" si="3"/>
        <v>9080</v>
      </c>
    </row>
    <row r="10">
      <c r="A10" s="1"/>
      <c r="B10" s="3" t="s">
        <v>110</v>
      </c>
      <c r="C10" s="1"/>
      <c r="D10" s="1"/>
      <c r="E10" s="3" t="s">
        <v>33</v>
      </c>
      <c r="F10" s="8">
        <f>Assumptions!$C$51</f>
        <v>2000</v>
      </c>
      <c r="G10" s="8">
        <f>Assumptions!$C$51</f>
        <v>2000</v>
      </c>
      <c r="H10" s="8">
        <f>Assumptions!$C$51</f>
        <v>2000</v>
      </c>
      <c r="I10" s="8">
        <f>Assumptions!$C$51</f>
        <v>2000</v>
      </c>
      <c r="J10" s="8">
        <f>Assumptions!$C$51</f>
        <v>2000</v>
      </c>
      <c r="K10" s="8">
        <f>Assumptions!$C$51</f>
        <v>2000</v>
      </c>
      <c r="L10" s="8">
        <f>Assumptions!$C$51</f>
        <v>2000</v>
      </c>
      <c r="M10" s="8">
        <f>Assumptions!$C$51</f>
        <v>2000</v>
      </c>
      <c r="N10" s="8">
        <f>Assumptions!$C$51</f>
        <v>2000</v>
      </c>
      <c r="O10" s="8">
        <f>Assumptions!$C$51</f>
        <v>2000</v>
      </c>
      <c r="P10" s="8">
        <f>Assumptions!$C$51</f>
        <v>2000</v>
      </c>
      <c r="Q10" s="8">
        <f>Assumptions!$C$51</f>
        <v>2000</v>
      </c>
      <c r="R10" s="8">
        <f>Assumptions!$C$51</f>
        <v>2000</v>
      </c>
      <c r="S10" s="8">
        <f>Assumptions!$C$51</f>
        <v>2000</v>
      </c>
      <c r="T10" s="8">
        <f>Assumptions!$C$51</f>
        <v>2000</v>
      </c>
      <c r="U10" s="8">
        <f>Assumptions!$C$51</f>
        <v>2000</v>
      </c>
      <c r="V10" s="8">
        <f>Assumptions!$C$51</f>
        <v>2000</v>
      </c>
      <c r="W10" s="8">
        <f>Assumptions!$C$51</f>
        <v>2000</v>
      </c>
      <c r="X10" s="8">
        <f>Assumptions!$C$51</f>
        <v>2000</v>
      </c>
      <c r="Y10" s="8">
        <f>Assumptions!$C$51</f>
        <v>2000</v>
      </c>
      <c r="Z10" s="8">
        <f>Assumptions!$C$51</f>
        <v>2000</v>
      </c>
      <c r="AA10" s="8">
        <f>Assumptions!$C$51</f>
        <v>2000</v>
      </c>
      <c r="AB10" s="8">
        <f>Assumptions!$C$51</f>
        <v>2000</v>
      </c>
      <c r="AC10" s="8">
        <f>Assumptions!$C$51</f>
        <v>2000</v>
      </c>
      <c r="AD10" s="8">
        <f>Assumptions!$C$51</f>
        <v>2000</v>
      </c>
      <c r="AE10" s="8">
        <f>Assumptions!$C$51</f>
        <v>2000</v>
      </c>
      <c r="AF10" s="8">
        <f>Assumptions!$C$51</f>
        <v>2000</v>
      </c>
      <c r="AG10" s="8">
        <f>Assumptions!$C$51</f>
        <v>2000</v>
      </c>
      <c r="AH10" s="8">
        <f>Assumptions!$C$51</f>
        <v>2000</v>
      </c>
      <c r="AI10" s="8">
        <f>Assumptions!$C$51</f>
        <v>2000</v>
      </c>
      <c r="AJ10" s="8">
        <f>Assumptions!$C$51</f>
        <v>2000</v>
      </c>
      <c r="AK10" s="8">
        <f>Assumptions!$C$51</f>
        <v>2000</v>
      </c>
      <c r="AL10" s="8">
        <f>Assumptions!$C$51</f>
        <v>2000</v>
      </c>
      <c r="AM10" s="8">
        <f>Assumptions!$C$51</f>
        <v>2000</v>
      </c>
      <c r="AN10" s="8">
        <f>Assumptions!$C$51</f>
        <v>2000</v>
      </c>
      <c r="AO10" s="8">
        <f>Assumptions!$C$51</f>
        <v>2000</v>
      </c>
      <c r="AP10" s="8">
        <f>Assumptions!$C$51</f>
        <v>2000</v>
      </c>
      <c r="AQ10" s="8">
        <f>Assumptions!$C$51</f>
        <v>2000</v>
      </c>
      <c r="AR10" s="8">
        <f>Assumptions!$C$51</f>
        <v>2000</v>
      </c>
      <c r="AS10" s="8">
        <f>Assumptions!$C$51</f>
        <v>2000</v>
      </c>
      <c r="AT10" s="8">
        <f>Assumptions!$C$51</f>
        <v>2000</v>
      </c>
      <c r="AU10" s="8">
        <f>Assumptions!$C$51</f>
        <v>2000</v>
      </c>
      <c r="AV10" s="8">
        <f>Assumptions!$C$51</f>
        <v>2000</v>
      </c>
      <c r="AW10" s="8">
        <f>Assumptions!$C$51</f>
        <v>2000</v>
      </c>
      <c r="AX10" s="8">
        <f>Assumptions!$C$51</f>
        <v>2000</v>
      </c>
      <c r="AY10" s="8">
        <f>Assumptions!$C$51</f>
        <v>2000</v>
      </c>
      <c r="AZ10" s="8">
        <f>Assumptions!$C$51</f>
        <v>2000</v>
      </c>
      <c r="BA10" s="8">
        <f>Assumptions!$C$51</f>
        <v>2000</v>
      </c>
      <c r="BB10" s="8"/>
      <c r="BC10" s="8">
        <f t="shared" ref="BC10:BF10" si="4">SUMPRODUCT((YEAR($F$3:$BA$3)=BC$3)*$F10:$BA10)</f>
        <v>24000</v>
      </c>
      <c r="BD10" s="8">
        <f t="shared" si="4"/>
        <v>24000</v>
      </c>
      <c r="BE10" s="8">
        <f t="shared" si="4"/>
        <v>24000</v>
      </c>
      <c r="BF10" s="8">
        <f t="shared" si="4"/>
        <v>24000</v>
      </c>
    </row>
    <row r="11">
      <c r="A11" s="1"/>
      <c r="B11" s="3" t="s">
        <v>111</v>
      </c>
      <c r="C11" s="1"/>
      <c r="D11" s="1"/>
      <c r="E11" s="3" t="s">
        <v>33</v>
      </c>
      <c r="F11" s="8">
        <f>Assumptions!$C$52</f>
        <v>500</v>
      </c>
      <c r="G11" s="8">
        <f>Assumptions!$C$52</f>
        <v>500</v>
      </c>
      <c r="H11" s="8">
        <f>Assumptions!$C$52</f>
        <v>500</v>
      </c>
      <c r="I11" s="8">
        <f>Assumptions!$C$52</f>
        <v>500</v>
      </c>
      <c r="J11" s="8">
        <f>Assumptions!$C$52</f>
        <v>500</v>
      </c>
      <c r="K11" s="8">
        <f>Assumptions!$C$52</f>
        <v>500</v>
      </c>
      <c r="L11" s="8">
        <f>Assumptions!$C$52</f>
        <v>500</v>
      </c>
      <c r="M11" s="8">
        <f>Assumptions!$C$52</f>
        <v>500</v>
      </c>
      <c r="N11" s="8">
        <f>Assumptions!$C$52</f>
        <v>500</v>
      </c>
      <c r="O11" s="8">
        <f>Assumptions!$C$52</f>
        <v>500</v>
      </c>
      <c r="P11" s="8">
        <f>Assumptions!$C$52</f>
        <v>500</v>
      </c>
      <c r="Q11" s="8">
        <f>Assumptions!$C$52</f>
        <v>500</v>
      </c>
      <c r="R11" s="8">
        <f>Assumptions!$C$52</f>
        <v>500</v>
      </c>
      <c r="S11" s="8">
        <f>Assumptions!$C$52</f>
        <v>500</v>
      </c>
      <c r="T11" s="8">
        <f>Assumptions!$C$52</f>
        <v>500</v>
      </c>
      <c r="U11" s="8">
        <f>Assumptions!$C$52</f>
        <v>500</v>
      </c>
      <c r="V11" s="8">
        <f>Assumptions!$C$52</f>
        <v>500</v>
      </c>
      <c r="W11" s="8">
        <f>Assumptions!$C$52</f>
        <v>500</v>
      </c>
      <c r="X11" s="8">
        <f>Assumptions!$C$52</f>
        <v>500</v>
      </c>
      <c r="Y11" s="8">
        <f>Assumptions!$C$52</f>
        <v>500</v>
      </c>
      <c r="Z11" s="8">
        <f>Assumptions!$C$52</f>
        <v>500</v>
      </c>
      <c r="AA11" s="8">
        <f>Assumptions!$C$52</f>
        <v>500</v>
      </c>
      <c r="AB11" s="8">
        <f>Assumptions!$C$52</f>
        <v>500</v>
      </c>
      <c r="AC11" s="8">
        <f>Assumptions!$C$52</f>
        <v>500</v>
      </c>
      <c r="AD11" s="8">
        <f>Assumptions!$C$52</f>
        <v>500</v>
      </c>
      <c r="AE11" s="8">
        <f>Assumptions!$C$52</f>
        <v>500</v>
      </c>
      <c r="AF11" s="8">
        <f>Assumptions!$C$52</f>
        <v>500</v>
      </c>
      <c r="AG11" s="8">
        <f>Assumptions!$C$52</f>
        <v>500</v>
      </c>
      <c r="AH11" s="8">
        <f>Assumptions!$C$52</f>
        <v>500</v>
      </c>
      <c r="AI11" s="8">
        <f>Assumptions!$C$52</f>
        <v>500</v>
      </c>
      <c r="AJ11" s="8">
        <f>Assumptions!$C$52</f>
        <v>500</v>
      </c>
      <c r="AK11" s="8">
        <f>Assumptions!$C$52</f>
        <v>500</v>
      </c>
      <c r="AL11" s="8">
        <f>Assumptions!$C$52</f>
        <v>500</v>
      </c>
      <c r="AM11" s="8">
        <f>Assumptions!$C$52</f>
        <v>500</v>
      </c>
      <c r="AN11" s="8">
        <f>Assumptions!$C$52</f>
        <v>500</v>
      </c>
      <c r="AO11" s="8">
        <f>Assumptions!$C$52</f>
        <v>500</v>
      </c>
      <c r="AP11" s="8">
        <f>Assumptions!$C$52</f>
        <v>500</v>
      </c>
      <c r="AQ11" s="8">
        <f>Assumptions!$C$52</f>
        <v>500</v>
      </c>
      <c r="AR11" s="8">
        <f>Assumptions!$C$52</f>
        <v>500</v>
      </c>
      <c r="AS11" s="8">
        <f>Assumptions!$C$52</f>
        <v>500</v>
      </c>
      <c r="AT11" s="8">
        <f>Assumptions!$C$52</f>
        <v>500</v>
      </c>
      <c r="AU11" s="8">
        <f>Assumptions!$C$52</f>
        <v>500</v>
      </c>
      <c r="AV11" s="8">
        <f>Assumptions!$C$52</f>
        <v>500</v>
      </c>
      <c r="AW11" s="8">
        <f>Assumptions!$C$52</f>
        <v>500</v>
      </c>
      <c r="AX11" s="8">
        <f>Assumptions!$C$52</f>
        <v>500</v>
      </c>
      <c r="AY11" s="8">
        <f>Assumptions!$C$52</f>
        <v>500</v>
      </c>
      <c r="AZ11" s="8">
        <f>Assumptions!$C$52</f>
        <v>500</v>
      </c>
      <c r="BA11" s="8">
        <f>Assumptions!$C$52</f>
        <v>500</v>
      </c>
      <c r="BB11" s="8"/>
      <c r="BC11" s="8">
        <f t="shared" ref="BC11:BF11" si="5">SUMPRODUCT((YEAR($F$3:$BA$3)=BC$3)*$F11:$BA11)</f>
        <v>6000</v>
      </c>
      <c r="BD11" s="8">
        <f t="shared" si="5"/>
        <v>6000</v>
      </c>
      <c r="BE11" s="8">
        <f t="shared" si="5"/>
        <v>6000</v>
      </c>
      <c r="BF11" s="8">
        <f t="shared" si="5"/>
        <v>6000</v>
      </c>
    </row>
    <row r="12">
      <c r="A12" s="1"/>
      <c r="B12" s="3" t="s">
        <v>112</v>
      </c>
      <c r="C12" s="1"/>
      <c r="D12" s="1"/>
      <c r="E12" s="3" t="s">
        <v>33</v>
      </c>
      <c r="F12" s="8">
        <f>Personnel!F14*Assumptions!$C$50</f>
        <v>600</v>
      </c>
      <c r="G12" s="8">
        <f>Personnel!G14*Assumptions!$C$50</f>
        <v>600</v>
      </c>
      <c r="H12" s="8">
        <f>Personnel!H14*Assumptions!$C$50</f>
        <v>700</v>
      </c>
      <c r="I12" s="8">
        <f>Personnel!I14*Assumptions!$C$50</f>
        <v>800</v>
      </c>
      <c r="J12" s="8">
        <f>Personnel!J14*Assumptions!$C$50</f>
        <v>800</v>
      </c>
      <c r="K12" s="8">
        <f>Personnel!K14*Assumptions!$C$50</f>
        <v>800</v>
      </c>
      <c r="L12" s="8">
        <f>Personnel!L14*Assumptions!$C$50</f>
        <v>800</v>
      </c>
      <c r="M12" s="8">
        <f>Personnel!M14*Assumptions!$C$50</f>
        <v>800</v>
      </c>
      <c r="N12" s="8">
        <f>Personnel!N14*Assumptions!$C$50</f>
        <v>1000</v>
      </c>
      <c r="O12" s="8">
        <f>Personnel!O14*Assumptions!$C$50</f>
        <v>800</v>
      </c>
      <c r="P12" s="8">
        <f>Personnel!P14*Assumptions!$C$50</f>
        <v>800</v>
      </c>
      <c r="Q12" s="8">
        <f>Personnel!Q14*Assumptions!$C$50</f>
        <v>800</v>
      </c>
      <c r="R12" s="8">
        <f>Personnel!R14*Assumptions!$C$50</f>
        <v>1000</v>
      </c>
      <c r="S12" s="8">
        <f>Personnel!S14*Assumptions!$C$50</f>
        <v>1000</v>
      </c>
      <c r="T12" s="8">
        <f>Personnel!T14*Assumptions!$C$50</f>
        <v>1100</v>
      </c>
      <c r="U12" s="8">
        <f>Personnel!U14*Assumptions!$C$50</f>
        <v>1100</v>
      </c>
      <c r="V12" s="8">
        <f>Personnel!V14*Assumptions!$C$50</f>
        <v>1300</v>
      </c>
      <c r="W12" s="8">
        <f>Personnel!W14*Assumptions!$C$50</f>
        <v>1300</v>
      </c>
      <c r="X12" s="8">
        <f>Personnel!X14*Assumptions!$C$50</f>
        <v>1300</v>
      </c>
      <c r="Y12" s="8">
        <f>Personnel!Y14*Assumptions!$C$50</f>
        <v>1300</v>
      </c>
      <c r="Z12" s="8">
        <f>Personnel!Z14*Assumptions!$C$50</f>
        <v>1300</v>
      </c>
      <c r="AA12" s="8">
        <f>Personnel!AA14*Assumptions!$C$50</f>
        <v>1400</v>
      </c>
      <c r="AB12" s="8">
        <f>Personnel!AB14*Assumptions!$C$50</f>
        <v>1300</v>
      </c>
      <c r="AC12" s="8">
        <f>Personnel!AC14*Assumptions!$C$50</f>
        <v>1300</v>
      </c>
      <c r="AD12" s="8">
        <f>Personnel!AD14*Assumptions!$C$50</f>
        <v>1400</v>
      </c>
      <c r="AE12" s="8">
        <f>Personnel!AE14*Assumptions!$C$50</f>
        <v>1500</v>
      </c>
      <c r="AF12" s="8">
        <f>Personnel!AF14*Assumptions!$C$50</f>
        <v>1500</v>
      </c>
      <c r="AG12" s="8">
        <f>Personnel!AG14*Assumptions!$C$50</f>
        <v>1500</v>
      </c>
      <c r="AH12" s="8">
        <f>Personnel!AH14*Assumptions!$C$50</f>
        <v>1600</v>
      </c>
      <c r="AI12" s="8">
        <f>Personnel!AI14*Assumptions!$C$50</f>
        <v>1600</v>
      </c>
      <c r="AJ12" s="8">
        <f>Personnel!AJ14*Assumptions!$C$50</f>
        <v>1700</v>
      </c>
      <c r="AK12" s="8">
        <f>Personnel!AK14*Assumptions!$C$50</f>
        <v>1600</v>
      </c>
      <c r="AL12" s="8">
        <f>Personnel!AL14*Assumptions!$C$50</f>
        <v>1600</v>
      </c>
      <c r="AM12" s="8">
        <f>Personnel!AM14*Assumptions!$C$50</f>
        <v>1700</v>
      </c>
      <c r="AN12" s="8">
        <f>Personnel!AN14*Assumptions!$C$50</f>
        <v>1700</v>
      </c>
      <c r="AO12" s="8">
        <f>Personnel!AO14*Assumptions!$C$50</f>
        <v>1700</v>
      </c>
      <c r="AP12" s="8">
        <f>Personnel!AP14*Assumptions!$C$50</f>
        <v>1700</v>
      </c>
      <c r="AQ12" s="8">
        <f>Personnel!AQ14*Assumptions!$C$50</f>
        <v>1700</v>
      </c>
      <c r="AR12" s="8">
        <f>Personnel!AR14*Assumptions!$C$50</f>
        <v>1800</v>
      </c>
      <c r="AS12" s="8">
        <f>Personnel!AS14*Assumptions!$C$50</f>
        <v>1800</v>
      </c>
      <c r="AT12" s="8">
        <f>Personnel!AT14*Assumptions!$C$50</f>
        <v>1800</v>
      </c>
      <c r="AU12" s="8">
        <f>Personnel!AU14*Assumptions!$C$50</f>
        <v>1900</v>
      </c>
      <c r="AV12" s="8">
        <f>Personnel!AV14*Assumptions!$C$50</f>
        <v>2000</v>
      </c>
      <c r="AW12" s="8">
        <f>Personnel!AW14*Assumptions!$C$50</f>
        <v>2000</v>
      </c>
      <c r="AX12" s="8">
        <f>Personnel!AX14*Assumptions!$C$50</f>
        <v>2000</v>
      </c>
      <c r="AY12" s="8">
        <f>Personnel!AY14*Assumptions!$C$50</f>
        <v>2000</v>
      </c>
      <c r="AZ12" s="8">
        <f>Personnel!AZ14*Assumptions!$C$50</f>
        <v>2000</v>
      </c>
      <c r="BA12" s="8">
        <f>Personnel!BA14*Assumptions!$C$50</f>
        <v>2000</v>
      </c>
      <c r="BB12" s="8"/>
      <c r="BC12" s="8">
        <f t="shared" ref="BC12:BF12" si="6">SUMPRODUCT((YEAR($F$3:$BA$3)=BC$3)*$F12:$BA12)</f>
        <v>9300</v>
      </c>
      <c r="BD12" s="8">
        <f t="shared" si="6"/>
        <v>14700</v>
      </c>
      <c r="BE12" s="8">
        <f t="shared" si="6"/>
        <v>19100</v>
      </c>
      <c r="BF12" s="8">
        <f t="shared" si="6"/>
        <v>22700</v>
      </c>
    </row>
    <row r="13">
      <c r="A13" s="1"/>
      <c r="B13" s="3" t="s">
        <v>113</v>
      </c>
      <c r="C13" s="1"/>
      <c r="D13" s="1"/>
      <c r="E13" s="3" t="s">
        <v>33</v>
      </c>
      <c r="F13" s="8">
        <f>Assumptions!$C$54</f>
        <v>140</v>
      </c>
      <c r="G13" s="8">
        <f>Assumptions!$C$54</f>
        <v>140</v>
      </c>
      <c r="H13" s="8">
        <f>Assumptions!$C$54</f>
        <v>140</v>
      </c>
      <c r="I13" s="8">
        <f>Assumptions!$C$54</f>
        <v>140</v>
      </c>
      <c r="J13" s="8">
        <f>Assumptions!$C$54</f>
        <v>140</v>
      </c>
      <c r="K13" s="8">
        <f>Assumptions!$C$54</f>
        <v>140</v>
      </c>
      <c r="L13" s="8">
        <f>Assumptions!$C$54</f>
        <v>140</v>
      </c>
      <c r="M13" s="8">
        <f>Assumptions!$C$54</f>
        <v>140</v>
      </c>
      <c r="N13" s="8">
        <f>Assumptions!$C$54</f>
        <v>140</v>
      </c>
      <c r="O13" s="8">
        <f>Assumptions!$C$54</f>
        <v>140</v>
      </c>
      <c r="P13" s="8">
        <f>Assumptions!$C$54</f>
        <v>140</v>
      </c>
      <c r="Q13" s="8">
        <f>Assumptions!$C$54</f>
        <v>140</v>
      </c>
      <c r="R13" s="8">
        <f>Assumptions!$C$54</f>
        <v>140</v>
      </c>
      <c r="S13" s="8">
        <f>Assumptions!$C$54</f>
        <v>140</v>
      </c>
      <c r="T13" s="8">
        <f>Assumptions!$C$54</f>
        <v>140</v>
      </c>
      <c r="U13" s="8">
        <f>Assumptions!$C$54</f>
        <v>140</v>
      </c>
      <c r="V13" s="8">
        <f>Assumptions!$C$54</f>
        <v>140</v>
      </c>
      <c r="W13" s="8">
        <f>Assumptions!$C$54</f>
        <v>140</v>
      </c>
      <c r="X13" s="8">
        <f>Assumptions!$C$54</f>
        <v>140</v>
      </c>
      <c r="Y13" s="8">
        <f>Assumptions!$C$54</f>
        <v>140</v>
      </c>
      <c r="Z13" s="8">
        <f>Assumptions!$C$54</f>
        <v>140</v>
      </c>
      <c r="AA13" s="8">
        <f>Assumptions!$C$54</f>
        <v>140</v>
      </c>
      <c r="AB13" s="8">
        <f>Assumptions!$C$54</f>
        <v>140</v>
      </c>
      <c r="AC13" s="8">
        <f>Assumptions!$C$54</f>
        <v>140</v>
      </c>
      <c r="AD13" s="8">
        <f>Assumptions!$C$54</f>
        <v>140</v>
      </c>
      <c r="AE13" s="8">
        <f>Assumptions!$C$54</f>
        <v>140</v>
      </c>
      <c r="AF13" s="8">
        <f>Assumptions!$C$54</f>
        <v>140</v>
      </c>
      <c r="AG13" s="8">
        <f>Assumptions!$C$54</f>
        <v>140</v>
      </c>
      <c r="AH13" s="8">
        <f>Assumptions!$C$54</f>
        <v>140</v>
      </c>
      <c r="AI13" s="8">
        <f>Assumptions!$C$54</f>
        <v>140</v>
      </c>
      <c r="AJ13" s="8">
        <f>Assumptions!$C$54</f>
        <v>140</v>
      </c>
      <c r="AK13" s="8">
        <f>Assumptions!$C$54</f>
        <v>140</v>
      </c>
      <c r="AL13" s="8">
        <f>Assumptions!$C$54</f>
        <v>140</v>
      </c>
      <c r="AM13" s="8">
        <f>Assumptions!$C$54</f>
        <v>140</v>
      </c>
      <c r="AN13" s="8">
        <f>Assumptions!$C$54</f>
        <v>140</v>
      </c>
      <c r="AO13" s="8">
        <f>Assumptions!$C$54</f>
        <v>140</v>
      </c>
      <c r="AP13" s="8">
        <f>Assumptions!$C$54</f>
        <v>140</v>
      </c>
      <c r="AQ13" s="8">
        <f>Assumptions!$C$54</f>
        <v>140</v>
      </c>
      <c r="AR13" s="8">
        <f>Assumptions!$C$54</f>
        <v>140</v>
      </c>
      <c r="AS13" s="8">
        <f>Assumptions!$C$54</f>
        <v>140</v>
      </c>
      <c r="AT13" s="8">
        <f>Assumptions!$C$54</f>
        <v>140</v>
      </c>
      <c r="AU13" s="8">
        <f>Assumptions!$C$54</f>
        <v>140</v>
      </c>
      <c r="AV13" s="8">
        <f>Assumptions!$C$54</f>
        <v>140</v>
      </c>
      <c r="AW13" s="8">
        <f>Assumptions!$C$54</f>
        <v>140</v>
      </c>
      <c r="AX13" s="8">
        <f>Assumptions!$C$54</f>
        <v>140</v>
      </c>
      <c r="AY13" s="8">
        <f>Assumptions!$C$54</f>
        <v>140</v>
      </c>
      <c r="AZ13" s="8">
        <f>Assumptions!$C$54</f>
        <v>140</v>
      </c>
      <c r="BA13" s="8">
        <f>Assumptions!$C$54</f>
        <v>140</v>
      </c>
      <c r="BB13" s="8"/>
      <c r="BC13" s="8">
        <f t="shared" ref="BC13:BF13" si="7">SUMPRODUCT((YEAR($F$3:$BA$3)=BC$3)*$F13:$BA13)</f>
        <v>1680</v>
      </c>
      <c r="BD13" s="8">
        <f t="shared" si="7"/>
        <v>1680</v>
      </c>
      <c r="BE13" s="8">
        <f t="shared" si="7"/>
        <v>1680</v>
      </c>
      <c r="BF13" s="8">
        <f t="shared" si="7"/>
        <v>1680</v>
      </c>
    </row>
    <row r="14">
      <c r="A14" s="1"/>
      <c r="B14" s="3" t="s">
        <v>114</v>
      </c>
      <c r="C14" s="1"/>
      <c r="D14" s="1"/>
      <c r="E14" s="3" t="s">
        <v>33</v>
      </c>
      <c r="F14" s="8">
        <f>Assumptions!$C$53</f>
        <v>1307</v>
      </c>
      <c r="G14" s="8">
        <f>Assumptions!$C$53</f>
        <v>1307</v>
      </c>
      <c r="H14" s="8">
        <f>Assumptions!$C$53</f>
        <v>1307</v>
      </c>
      <c r="I14" s="8">
        <f>Assumptions!$C$53</f>
        <v>1307</v>
      </c>
      <c r="J14" s="8">
        <f>Assumptions!$C$53</f>
        <v>1307</v>
      </c>
      <c r="K14" s="8">
        <f>Assumptions!$C$53</f>
        <v>1307</v>
      </c>
      <c r="L14" s="8">
        <f>Assumptions!$C$53</f>
        <v>1307</v>
      </c>
      <c r="M14" s="8">
        <f>Assumptions!$C$53</f>
        <v>1307</v>
      </c>
      <c r="N14" s="8">
        <f>Assumptions!$C$53</f>
        <v>1307</v>
      </c>
      <c r="O14" s="8">
        <f>Assumptions!$C$53</f>
        <v>1307</v>
      </c>
      <c r="P14" s="8">
        <f>Assumptions!$C$53</f>
        <v>1307</v>
      </c>
      <c r="Q14" s="8">
        <f>Assumptions!$C$53</f>
        <v>1307</v>
      </c>
      <c r="R14" s="8">
        <f>Assumptions!$C$53</f>
        <v>1307</v>
      </c>
      <c r="S14" s="8">
        <f>Assumptions!$C$53</f>
        <v>1307</v>
      </c>
      <c r="T14" s="8">
        <f>Assumptions!$C$53</f>
        <v>1307</v>
      </c>
      <c r="U14" s="8">
        <f>Assumptions!$C$53</f>
        <v>1307</v>
      </c>
      <c r="V14" s="8">
        <f>Assumptions!$C$53</f>
        <v>1307</v>
      </c>
      <c r="W14" s="8">
        <f>Assumptions!$C$53</f>
        <v>1307</v>
      </c>
      <c r="X14" s="8">
        <f>Assumptions!$C$53</f>
        <v>1307</v>
      </c>
      <c r="Y14" s="8">
        <f>Assumptions!$C$53</f>
        <v>1307</v>
      </c>
      <c r="Z14" s="8">
        <f>Assumptions!$C$53</f>
        <v>1307</v>
      </c>
      <c r="AA14" s="8">
        <f>Assumptions!$C$53</f>
        <v>1307</v>
      </c>
      <c r="AB14" s="8">
        <f>Assumptions!$C$53</f>
        <v>1307</v>
      </c>
      <c r="AC14" s="8">
        <f>Assumptions!$C$53</f>
        <v>1307</v>
      </c>
      <c r="AD14" s="8">
        <f>Assumptions!$C$53</f>
        <v>1307</v>
      </c>
      <c r="AE14" s="8">
        <f>Assumptions!$C$53</f>
        <v>1307</v>
      </c>
      <c r="AF14" s="8">
        <f>Assumptions!$C$53</f>
        <v>1307</v>
      </c>
      <c r="AG14" s="8">
        <f>Assumptions!$C$53</f>
        <v>1307</v>
      </c>
      <c r="AH14" s="8">
        <f>Assumptions!$C$53</f>
        <v>1307</v>
      </c>
      <c r="AI14" s="8">
        <f>Assumptions!$C$53</f>
        <v>1307</v>
      </c>
      <c r="AJ14" s="8">
        <f>Assumptions!$C$53</f>
        <v>1307</v>
      </c>
      <c r="AK14" s="8">
        <f>Assumptions!$C$53</f>
        <v>1307</v>
      </c>
      <c r="AL14" s="8">
        <f>Assumptions!$C$53</f>
        <v>1307</v>
      </c>
      <c r="AM14" s="8">
        <f>Assumptions!$C$53</f>
        <v>1307</v>
      </c>
      <c r="AN14" s="8">
        <f>Assumptions!$C$53</f>
        <v>1307</v>
      </c>
      <c r="AO14" s="8">
        <f>Assumptions!$C$53</f>
        <v>1307</v>
      </c>
      <c r="AP14" s="8">
        <f>Assumptions!$C$53</f>
        <v>1307</v>
      </c>
      <c r="AQ14" s="8">
        <f>Assumptions!$C$53</f>
        <v>1307</v>
      </c>
      <c r="AR14" s="8">
        <f>Assumptions!$C$53</f>
        <v>1307</v>
      </c>
      <c r="AS14" s="8">
        <f>Assumptions!$C$53</f>
        <v>1307</v>
      </c>
      <c r="AT14" s="8">
        <f>Assumptions!$C$53</f>
        <v>1307</v>
      </c>
      <c r="AU14" s="8">
        <f>Assumptions!$C$53</f>
        <v>1307</v>
      </c>
      <c r="AV14" s="8">
        <f>Assumptions!$C$53</f>
        <v>1307</v>
      </c>
      <c r="AW14" s="8">
        <f>Assumptions!$C$53</f>
        <v>1307</v>
      </c>
      <c r="AX14" s="8">
        <f>Assumptions!$C$53</f>
        <v>1307</v>
      </c>
      <c r="AY14" s="8">
        <f>Assumptions!$C$53</f>
        <v>1307</v>
      </c>
      <c r="AZ14" s="8">
        <f>Assumptions!$C$53</f>
        <v>1307</v>
      </c>
      <c r="BA14" s="8">
        <f>Assumptions!$C$53</f>
        <v>1307</v>
      </c>
      <c r="BB14" s="8"/>
      <c r="BC14" s="8">
        <f t="shared" ref="BC14:BF14" si="8">SUMPRODUCT((YEAR($F$3:$BA$3)=BC$3)*$F14:$BA14)</f>
        <v>15684</v>
      </c>
      <c r="BD14" s="8">
        <f t="shared" si="8"/>
        <v>15684</v>
      </c>
      <c r="BE14" s="8">
        <f t="shared" si="8"/>
        <v>15684</v>
      </c>
      <c r="BF14" s="8">
        <f t="shared" si="8"/>
        <v>15684</v>
      </c>
    </row>
    <row r="15">
      <c r="A15" s="1"/>
      <c r="B15" s="28" t="s">
        <v>115</v>
      </c>
      <c r="C15" s="29"/>
      <c r="D15" s="29"/>
      <c r="E15" s="28" t="s">
        <v>33</v>
      </c>
      <c r="F15" s="30">
        <f t="shared" ref="F15:BA15" si="9">SUM(F7:F14)</f>
        <v>10690.33333</v>
      </c>
      <c r="G15" s="30">
        <f t="shared" si="9"/>
        <v>10690.33333</v>
      </c>
      <c r="H15" s="30">
        <f t="shared" si="9"/>
        <v>11550.33333</v>
      </c>
      <c r="I15" s="30">
        <f t="shared" si="9"/>
        <v>12410.33333</v>
      </c>
      <c r="J15" s="30">
        <f t="shared" si="9"/>
        <v>12410.33333</v>
      </c>
      <c r="K15" s="30">
        <f t="shared" si="9"/>
        <v>12410.33333</v>
      </c>
      <c r="L15" s="30">
        <f t="shared" si="9"/>
        <v>12410.33333</v>
      </c>
      <c r="M15" s="30">
        <f t="shared" si="9"/>
        <v>12410.33333</v>
      </c>
      <c r="N15" s="30">
        <f t="shared" si="9"/>
        <v>14130.33333</v>
      </c>
      <c r="O15" s="30">
        <f t="shared" si="9"/>
        <v>12410.33333</v>
      </c>
      <c r="P15" s="30">
        <f t="shared" si="9"/>
        <v>12410.33333</v>
      </c>
      <c r="Q15" s="30">
        <f t="shared" si="9"/>
        <v>12410.33333</v>
      </c>
      <c r="R15" s="30">
        <f t="shared" si="9"/>
        <v>14130.33333</v>
      </c>
      <c r="S15" s="30">
        <f t="shared" si="9"/>
        <v>14130.33333</v>
      </c>
      <c r="T15" s="30">
        <f t="shared" si="9"/>
        <v>14990.33333</v>
      </c>
      <c r="U15" s="30">
        <f t="shared" si="9"/>
        <v>14990.33333</v>
      </c>
      <c r="V15" s="30">
        <f t="shared" si="9"/>
        <v>16710.33333</v>
      </c>
      <c r="W15" s="30">
        <f t="shared" si="9"/>
        <v>16710.33333</v>
      </c>
      <c r="X15" s="30">
        <f t="shared" si="9"/>
        <v>16710.33333</v>
      </c>
      <c r="Y15" s="30">
        <f t="shared" si="9"/>
        <v>16710.33333</v>
      </c>
      <c r="Z15" s="30">
        <f t="shared" si="9"/>
        <v>16710.33333</v>
      </c>
      <c r="AA15" s="30">
        <f t="shared" si="9"/>
        <v>17570.33333</v>
      </c>
      <c r="AB15" s="30">
        <f t="shared" si="9"/>
        <v>16710.33333</v>
      </c>
      <c r="AC15" s="30">
        <f t="shared" si="9"/>
        <v>16710.33333</v>
      </c>
      <c r="AD15" s="30">
        <f t="shared" si="9"/>
        <v>17570.33333</v>
      </c>
      <c r="AE15" s="30">
        <f t="shared" si="9"/>
        <v>18430.33333</v>
      </c>
      <c r="AF15" s="30">
        <f t="shared" si="9"/>
        <v>18430.33333</v>
      </c>
      <c r="AG15" s="30">
        <f t="shared" si="9"/>
        <v>18430.33333</v>
      </c>
      <c r="AH15" s="30">
        <f t="shared" si="9"/>
        <v>19290.33333</v>
      </c>
      <c r="AI15" s="30">
        <f t="shared" si="9"/>
        <v>19290.33333</v>
      </c>
      <c r="AJ15" s="30">
        <f t="shared" si="9"/>
        <v>20150.33333</v>
      </c>
      <c r="AK15" s="30">
        <f t="shared" si="9"/>
        <v>19290.33333</v>
      </c>
      <c r="AL15" s="30">
        <f t="shared" si="9"/>
        <v>19290.33333</v>
      </c>
      <c r="AM15" s="30">
        <f t="shared" si="9"/>
        <v>20150.33333</v>
      </c>
      <c r="AN15" s="30">
        <f t="shared" si="9"/>
        <v>20150.33333</v>
      </c>
      <c r="AO15" s="30">
        <f t="shared" si="9"/>
        <v>20150.33333</v>
      </c>
      <c r="AP15" s="30">
        <f t="shared" si="9"/>
        <v>20150.33333</v>
      </c>
      <c r="AQ15" s="30">
        <f t="shared" si="9"/>
        <v>20150.33333</v>
      </c>
      <c r="AR15" s="30">
        <f t="shared" si="9"/>
        <v>21010.33333</v>
      </c>
      <c r="AS15" s="30">
        <f t="shared" si="9"/>
        <v>21010.33333</v>
      </c>
      <c r="AT15" s="30">
        <f t="shared" si="9"/>
        <v>21010.33333</v>
      </c>
      <c r="AU15" s="30">
        <f t="shared" si="9"/>
        <v>21870.33333</v>
      </c>
      <c r="AV15" s="30">
        <f t="shared" si="9"/>
        <v>22730.33333</v>
      </c>
      <c r="AW15" s="30">
        <f t="shared" si="9"/>
        <v>22730.33333</v>
      </c>
      <c r="AX15" s="30">
        <f t="shared" si="9"/>
        <v>22730.33333</v>
      </c>
      <c r="AY15" s="30">
        <f t="shared" si="9"/>
        <v>22730.33333</v>
      </c>
      <c r="AZ15" s="30">
        <f t="shared" si="9"/>
        <v>22730.33333</v>
      </c>
      <c r="BA15" s="30">
        <f t="shared" si="9"/>
        <v>22730.33333</v>
      </c>
      <c r="BB15" s="30"/>
      <c r="BC15" s="30">
        <f t="shared" ref="BC15:BF15" si="10">SUMPRODUCT((YEAR($F$3:$BA$3)=BC$3)*$F15:$BA15)</f>
        <v>146344</v>
      </c>
      <c r="BD15" s="30">
        <f t="shared" si="10"/>
        <v>192784</v>
      </c>
      <c r="BE15" s="30">
        <f t="shared" si="10"/>
        <v>230624</v>
      </c>
      <c r="BF15" s="30">
        <f t="shared" si="10"/>
        <v>261584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/>
      <c r="B1" s="2" t="s">
        <v>116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27">
        <v>46388.0</v>
      </c>
      <c r="D2" s="27">
        <v>46419.0</v>
      </c>
      <c r="E2" s="27">
        <v>46447.0</v>
      </c>
      <c r="F2" s="27">
        <v>46478.0</v>
      </c>
      <c r="G2" s="27">
        <v>46508.0</v>
      </c>
      <c r="H2" s="27">
        <v>46539.0</v>
      </c>
      <c r="I2" s="27">
        <v>46569.0</v>
      </c>
      <c r="J2" s="27">
        <v>46600.0</v>
      </c>
      <c r="K2" s="27">
        <v>46631.0</v>
      </c>
      <c r="L2" s="27">
        <v>46661.0</v>
      </c>
      <c r="M2" s="27">
        <v>46692.0</v>
      </c>
      <c r="N2" s="27">
        <v>46722.0</v>
      </c>
      <c r="O2" s="27">
        <v>46753.0</v>
      </c>
      <c r="P2" s="27">
        <v>46784.0</v>
      </c>
      <c r="Q2" s="27">
        <v>46813.0</v>
      </c>
      <c r="R2" s="27">
        <v>46844.0</v>
      </c>
      <c r="S2" s="27">
        <v>46874.0</v>
      </c>
      <c r="T2" s="27">
        <v>46905.0</v>
      </c>
      <c r="U2" s="27">
        <v>46935.0</v>
      </c>
      <c r="V2" s="27">
        <v>46966.0</v>
      </c>
      <c r="W2" s="27">
        <v>46997.0</v>
      </c>
      <c r="X2" s="27">
        <v>47027.0</v>
      </c>
      <c r="Y2" s="27">
        <v>47058.0</v>
      </c>
      <c r="Z2" s="27">
        <v>47088.0</v>
      </c>
      <c r="AA2" s="27">
        <v>47119.0</v>
      </c>
      <c r="AB2" s="27">
        <v>47150.0</v>
      </c>
      <c r="AC2" s="27">
        <v>47178.0</v>
      </c>
      <c r="AD2" s="27">
        <v>47209.0</v>
      </c>
      <c r="AE2" s="27">
        <v>47239.0</v>
      </c>
      <c r="AF2" s="27">
        <v>47270.0</v>
      </c>
      <c r="AG2" s="27">
        <v>47300.0</v>
      </c>
      <c r="AH2" s="27">
        <v>47331.0</v>
      </c>
      <c r="AI2" s="27">
        <v>47362.0</v>
      </c>
      <c r="AJ2" s="27">
        <v>47392.0</v>
      </c>
      <c r="AK2" s="27">
        <v>47423.0</v>
      </c>
      <c r="AL2" s="27">
        <v>47453.0</v>
      </c>
      <c r="AM2" s="27">
        <v>47484.0</v>
      </c>
      <c r="AN2" s="27">
        <v>47515.0</v>
      </c>
      <c r="AO2" s="27">
        <v>47543.0</v>
      </c>
      <c r="AP2" s="27">
        <v>47574.0</v>
      </c>
      <c r="AQ2" s="27">
        <v>47604.0</v>
      </c>
      <c r="AR2" s="27">
        <v>47635.0</v>
      </c>
      <c r="AS2" s="27">
        <v>47665.0</v>
      </c>
      <c r="AT2" s="27">
        <v>47696.0</v>
      </c>
      <c r="AU2" s="27">
        <v>47727.0</v>
      </c>
      <c r="AV2" s="27">
        <v>47757.0</v>
      </c>
      <c r="AW2" s="27">
        <v>47788.0</v>
      </c>
      <c r="AX2" s="27">
        <v>47818.0</v>
      </c>
      <c r="AY2" s="1"/>
      <c r="AZ2" s="6">
        <v>2027.0</v>
      </c>
      <c r="BA2" s="6">
        <v>2028.0</v>
      </c>
      <c r="BB2" s="6">
        <v>2029.0</v>
      </c>
      <c r="BC2" s="6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4" t="s">
        <v>117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1"/>
      <c r="BE4" s="1"/>
      <c r="BF4" s="1"/>
    </row>
    <row r="5">
      <c r="A5" s="1"/>
      <c r="B5" s="3" t="s">
        <v>118</v>
      </c>
      <c r="C5" s="8">
        <f>'Revenue forecast'!F23</f>
        <v>14000</v>
      </c>
      <c r="D5" s="8">
        <f>'Revenue forecast'!G23</f>
        <v>21000</v>
      </c>
      <c r="E5" s="8">
        <f>'Revenue forecast'!H23</f>
        <v>43000</v>
      </c>
      <c r="F5" s="8">
        <f>'Revenue forecast'!I23</f>
        <v>50000</v>
      </c>
      <c r="G5" s="8">
        <f>'Revenue forecast'!J23</f>
        <v>64000</v>
      </c>
      <c r="H5" s="8">
        <f>'Revenue forecast'!K23</f>
        <v>57000</v>
      </c>
      <c r="I5" s="8">
        <f>'Revenue forecast'!L23</f>
        <v>64000</v>
      </c>
      <c r="J5" s="8">
        <f>'Revenue forecast'!M23</f>
        <v>57000</v>
      </c>
      <c r="K5" s="8">
        <f>'Revenue forecast'!N23</f>
        <v>72000</v>
      </c>
      <c r="L5" s="8">
        <f>'Revenue forecast'!O23</f>
        <v>57000</v>
      </c>
      <c r="M5" s="8">
        <f>'Revenue forecast'!P23</f>
        <v>64000</v>
      </c>
      <c r="N5" s="8">
        <f>'Revenue forecast'!Q23</f>
        <v>57000</v>
      </c>
      <c r="O5" s="8">
        <f>'Revenue forecast'!R23</f>
        <v>79000</v>
      </c>
      <c r="P5" s="8">
        <f>'Revenue forecast'!S23</f>
        <v>87000</v>
      </c>
      <c r="Q5" s="8">
        <f>'Revenue forecast'!T23</f>
        <v>101000</v>
      </c>
      <c r="R5" s="8">
        <f>'Revenue forecast'!U23</f>
        <v>101000</v>
      </c>
      <c r="S5" s="8">
        <f>'Revenue forecast'!V23</f>
        <v>123000</v>
      </c>
      <c r="T5" s="8">
        <f>'Revenue forecast'!W23</f>
        <v>124000</v>
      </c>
      <c r="U5" s="8">
        <f>'Revenue forecast'!X23</f>
        <v>131000</v>
      </c>
      <c r="V5" s="8">
        <f>'Revenue forecast'!Y23</f>
        <v>131000</v>
      </c>
      <c r="W5" s="8">
        <f>'Revenue forecast'!Z23</f>
        <v>131000</v>
      </c>
      <c r="X5" s="8">
        <f>'Revenue forecast'!AA23</f>
        <v>139000</v>
      </c>
      <c r="Y5" s="8">
        <f>'Revenue forecast'!AB23</f>
        <v>131000</v>
      </c>
      <c r="Z5" s="8">
        <f>'Revenue forecast'!AC23</f>
        <v>131000</v>
      </c>
      <c r="AA5" s="8">
        <f>'Revenue forecast'!AD23</f>
        <v>139000</v>
      </c>
      <c r="AB5" s="8">
        <f>'Revenue forecast'!AE23</f>
        <v>162000</v>
      </c>
      <c r="AC5" s="8">
        <f>'Revenue forecast'!AF23</f>
        <v>162000</v>
      </c>
      <c r="AD5" s="8">
        <f>'Revenue forecast'!AG23</f>
        <v>177000</v>
      </c>
      <c r="AE5" s="8">
        <f>'Revenue forecast'!AH23</f>
        <v>185000</v>
      </c>
      <c r="AF5" s="8">
        <f>'Revenue forecast'!AI23</f>
        <v>201000</v>
      </c>
      <c r="AG5" s="8">
        <f>'Revenue forecast'!AJ23</f>
        <v>209000</v>
      </c>
      <c r="AH5" s="8">
        <f>'Revenue forecast'!AK23</f>
        <v>201000</v>
      </c>
      <c r="AI5" s="8">
        <f>'Revenue forecast'!AL23</f>
        <v>201000</v>
      </c>
      <c r="AJ5" s="8">
        <f>'Revenue forecast'!AM23</f>
        <v>209000</v>
      </c>
      <c r="AK5" s="8">
        <f>'Revenue forecast'!AN23</f>
        <v>209000</v>
      </c>
      <c r="AL5" s="8">
        <f>'Revenue forecast'!AO23</f>
        <v>208000</v>
      </c>
      <c r="AM5" s="8">
        <f>'Revenue forecast'!AP23</f>
        <v>216000</v>
      </c>
      <c r="AN5" s="8">
        <f>'Revenue forecast'!AQ23</f>
        <v>224000</v>
      </c>
      <c r="AO5" s="8">
        <f>'Revenue forecast'!AR23</f>
        <v>240000</v>
      </c>
      <c r="AP5" s="8">
        <f>'Revenue forecast'!AS23</f>
        <v>248000</v>
      </c>
      <c r="AQ5" s="8">
        <f>'Revenue forecast'!AT23</f>
        <v>249000</v>
      </c>
      <c r="AR5" s="8">
        <f>'Revenue forecast'!AU23</f>
        <v>272000</v>
      </c>
      <c r="AS5" s="8">
        <f>'Revenue forecast'!AV23</f>
        <v>288000</v>
      </c>
      <c r="AT5" s="8">
        <f>'Revenue forecast'!AW23</f>
        <v>288000</v>
      </c>
      <c r="AU5" s="8">
        <f>'Revenue forecast'!AX23</f>
        <v>288000</v>
      </c>
      <c r="AV5" s="8">
        <f>'Revenue forecast'!AY23</f>
        <v>288000</v>
      </c>
      <c r="AW5" s="8">
        <f>'Revenue forecast'!AZ23</f>
        <v>281000</v>
      </c>
      <c r="AX5" s="8">
        <f>'Revenue forecast'!BA23</f>
        <v>281000</v>
      </c>
      <c r="AY5" s="8"/>
      <c r="AZ5" s="8">
        <f t="shared" ref="AZ5:BC5" si="1">SUMPRODUCT((YEAR($C$2:$AX$2)=AZ$2)*$C5:$AX5)</f>
        <v>620000</v>
      </c>
      <c r="BA5" s="8">
        <f t="shared" si="1"/>
        <v>1409000</v>
      </c>
      <c r="BB5" s="8">
        <f t="shared" si="1"/>
        <v>2263000</v>
      </c>
      <c r="BC5" s="8">
        <f t="shared" si="1"/>
        <v>3163000</v>
      </c>
      <c r="BD5" s="1"/>
      <c r="BE5" s="1"/>
      <c r="BF5" s="1"/>
    </row>
    <row r="6">
      <c r="A6" s="1"/>
      <c r="B6" s="3" t="s">
        <v>119</v>
      </c>
      <c r="C6" s="8">
        <f>'Revenue forecast'!F24</f>
        <v>0</v>
      </c>
      <c r="D6" s="8">
        <f>'Revenue forecast'!G24</f>
        <v>0</v>
      </c>
      <c r="E6" s="8">
        <f>'Revenue forecast'!H24</f>
        <v>0</v>
      </c>
      <c r="F6" s="8">
        <f>'Revenue forecast'!I24</f>
        <v>0</v>
      </c>
      <c r="G6" s="8">
        <f>'Revenue forecast'!J24</f>
        <v>0</v>
      </c>
      <c r="H6" s="8">
        <f>'Revenue forecast'!K24</f>
        <v>30000</v>
      </c>
      <c r="I6" s="8">
        <f>'Revenue forecast'!L24</f>
        <v>15000</v>
      </c>
      <c r="J6" s="8">
        <f>'Revenue forecast'!M24</f>
        <v>30000</v>
      </c>
      <c r="K6" s="8">
        <f>'Revenue forecast'!N24</f>
        <v>15000</v>
      </c>
      <c r="L6" s="8">
        <f>'Revenue forecast'!O24</f>
        <v>150000</v>
      </c>
      <c r="M6" s="8">
        <f>'Revenue forecast'!P24</f>
        <v>15000</v>
      </c>
      <c r="N6" s="8">
        <f>'Revenue forecast'!Q24</f>
        <v>30000</v>
      </c>
      <c r="O6" s="8">
        <f>'Revenue forecast'!R24</f>
        <v>25200</v>
      </c>
      <c r="P6" s="8">
        <f>'Revenue forecast'!S24</f>
        <v>50400</v>
      </c>
      <c r="Q6" s="8">
        <f>'Revenue forecast'!T24</f>
        <v>25200</v>
      </c>
      <c r="R6" s="8">
        <f>'Revenue forecast'!U24</f>
        <v>330400</v>
      </c>
      <c r="S6" s="8">
        <f>'Revenue forecast'!V24</f>
        <v>25200</v>
      </c>
      <c r="T6" s="8">
        <f>'Revenue forecast'!W24</f>
        <v>75600</v>
      </c>
      <c r="U6" s="8">
        <f>'Revenue forecast'!X24</f>
        <v>50400</v>
      </c>
      <c r="V6" s="8">
        <f>'Revenue forecast'!Y24</f>
        <v>355600</v>
      </c>
      <c r="W6" s="8">
        <f>'Revenue forecast'!Z24</f>
        <v>330400</v>
      </c>
      <c r="X6" s="8">
        <f>'Revenue forecast'!AA24</f>
        <v>75600</v>
      </c>
      <c r="Y6" s="8">
        <f>'Revenue forecast'!AB24</f>
        <v>330400</v>
      </c>
      <c r="Z6" s="8">
        <f>'Revenue forecast'!AC24</f>
        <v>355600</v>
      </c>
      <c r="AA6" s="8">
        <f>'Revenue forecast'!AD24</f>
        <v>661200</v>
      </c>
      <c r="AB6" s="8">
        <f>'Revenue forecast'!AE24</f>
        <v>88000</v>
      </c>
      <c r="AC6" s="8">
        <f>'Revenue forecast'!AF24</f>
        <v>661200</v>
      </c>
      <c r="AD6" s="8">
        <f>'Revenue forecast'!AG24</f>
        <v>617200</v>
      </c>
      <c r="AE6" s="8">
        <f>'Revenue forecast'!AH24</f>
        <v>661200</v>
      </c>
      <c r="AF6" s="8">
        <f>'Revenue forecast'!AI24</f>
        <v>132000</v>
      </c>
      <c r="AG6" s="8">
        <f>'Revenue forecast'!AJ24</f>
        <v>661200</v>
      </c>
      <c r="AH6" s="8">
        <f>'Revenue forecast'!AK24</f>
        <v>1190400</v>
      </c>
      <c r="AI6" s="8">
        <f>'Revenue forecast'!AL24</f>
        <v>1190400</v>
      </c>
      <c r="AJ6" s="8">
        <f>'Revenue forecast'!AM24</f>
        <v>661200</v>
      </c>
      <c r="AK6" s="8">
        <f>'Revenue forecast'!AN24</f>
        <v>1190400</v>
      </c>
      <c r="AL6" s="8">
        <f>'Revenue forecast'!AO24</f>
        <v>1190400</v>
      </c>
      <c r="AM6" s="8">
        <f>'Revenue forecast'!AP24</f>
        <v>1905000</v>
      </c>
      <c r="AN6" s="8">
        <f>'Revenue forecast'!AQ24</f>
        <v>1905000</v>
      </c>
      <c r="AO6" s="8">
        <f>'Revenue forecast'!AR24</f>
        <v>1065000</v>
      </c>
      <c r="AP6" s="8">
        <f>'Revenue forecast'!AS24</f>
        <v>1905000</v>
      </c>
      <c r="AQ6" s="8">
        <f>'Revenue forecast'!AT24</f>
        <v>1980000</v>
      </c>
      <c r="AR6" s="8">
        <f>'Revenue forecast'!AU24</f>
        <v>1905000</v>
      </c>
      <c r="AS6" s="8">
        <f>'Revenue forecast'!AV24</f>
        <v>1065000</v>
      </c>
      <c r="AT6" s="8">
        <f>'Revenue forecast'!AW24</f>
        <v>2745000</v>
      </c>
      <c r="AU6" s="8">
        <f>'Revenue forecast'!AX24</f>
        <v>2745000</v>
      </c>
      <c r="AV6" s="8">
        <f>'Revenue forecast'!AY24</f>
        <v>2745000</v>
      </c>
      <c r="AW6" s="8">
        <f>'Revenue forecast'!AZ24</f>
        <v>2820000</v>
      </c>
      <c r="AX6" s="8">
        <f>'Revenue forecast'!BA24</f>
        <v>2745000</v>
      </c>
      <c r="AY6" s="8"/>
      <c r="AZ6" s="8">
        <f t="shared" ref="AZ6:BC6" si="2">SUMPRODUCT((YEAR($C$2:$AX$2)=AZ$2)*$C6:$AX6)</f>
        <v>285000</v>
      </c>
      <c r="BA6" s="8">
        <f t="shared" si="2"/>
        <v>2030000</v>
      </c>
      <c r="BB6" s="8">
        <f t="shared" si="2"/>
        <v>8904800</v>
      </c>
      <c r="BC6" s="8">
        <f t="shared" si="2"/>
        <v>25530000</v>
      </c>
      <c r="BD6" s="1"/>
      <c r="BE6" s="1"/>
      <c r="BF6" s="1"/>
    </row>
    <row r="7">
      <c r="A7" s="1"/>
      <c r="B7" s="3" t="s">
        <v>85</v>
      </c>
      <c r="C7" s="8">
        <f>'Revenue forecast'!F26</f>
        <v>-875</v>
      </c>
      <c r="D7" s="8">
        <f>'Revenue forecast'!G26</f>
        <v>-1312.5</v>
      </c>
      <c r="E7" s="8">
        <f>'Revenue forecast'!H26</f>
        <v>-2687.5</v>
      </c>
      <c r="F7" s="8">
        <f>'Revenue forecast'!I26</f>
        <v>-3125</v>
      </c>
      <c r="G7" s="8">
        <f>'Revenue forecast'!J26</f>
        <v>-4000</v>
      </c>
      <c r="H7" s="8">
        <f>'Revenue forecast'!K26</f>
        <v>-5437.5</v>
      </c>
      <c r="I7" s="8">
        <f>'Revenue forecast'!L26</f>
        <v>-4937.5</v>
      </c>
      <c r="J7" s="8">
        <f>'Revenue forecast'!M26</f>
        <v>-5437.5</v>
      </c>
      <c r="K7" s="8">
        <f>'Revenue forecast'!N26</f>
        <v>-5437.5</v>
      </c>
      <c r="L7" s="8">
        <f>'Revenue forecast'!O26</f>
        <v>-12937.5</v>
      </c>
      <c r="M7" s="8">
        <f>'Revenue forecast'!P26</f>
        <v>-4937.5</v>
      </c>
      <c r="N7" s="8">
        <f>'Revenue forecast'!Q26</f>
        <v>-5437.5</v>
      </c>
      <c r="O7" s="8">
        <f>'Revenue forecast'!R26</f>
        <v>-6512.5</v>
      </c>
      <c r="P7" s="8">
        <f>'Revenue forecast'!S26</f>
        <v>-8587.5</v>
      </c>
      <c r="Q7" s="8">
        <f>'Revenue forecast'!T26</f>
        <v>-7887.5</v>
      </c>
      <c r="R7" s="8">
        <f>'Revenue forecast'!U26</f>
        <v>-26962.5</v>
      </c>
      <c r="S7" s="8">
        <f>'Revenue forecast'!V26</f>
        <v>-9262.5</v>
      </c>
      <c r="T7" s="8">
        <f>'Revenue forecast'!W26</f>
        <v>-12475</v>
      </c>
      <c r="U7" s="8">
        <f>'Revenue forecast'!X26</f>
        <v>-11337.5</v>
      </c>
      <c r="V7" s="8">
        <f>'Revenue forecast'!Y26</f>
        <v>-30412.5</v>
      </c>
      <c r="W7" s="8">
        <f>'Revenue forecast'!Z26</f>
        <v>-28837.5</v>
      </c>
      <c r="X7" s="8">
        <f>'Revenue forecast'!AA26</f>
        <v>-13412.5</v>
      </c>
      <c r="Y7" s="8">
        <f>'Revenue forecast'!AB26</f>
        <v>-28837.5</v>
      </c>
      <c r="Z7" s="8">
        <f>'Revenue forecast'!AC26</f>
        <v>-30412.5</v>
      </c>
      <c r="AA7" s="8">
        <f>'Revenue forecast'!AD26</f>
        <v>-50012.5</v>
      </c>
      <c r="AB7" s="8">
        <f>'Revenue forecast'!AE26</f>
        <v>-15625</v>
      </c>
      <c r="AC7" s="8">
        <f>'Revenue forecast'!AF26</f>
        <v>-51450</v>
      </c>
      <c r="AD7" s="8">
        <f>'Revenue forecast'!AG26</f>
        <v>-49637.5</v>
      </c>
      <c r="AE7" s="8">
        <f>'Revenue forecast'!AH26</f>
        <v>-52887.5</v>
      </c>
      <c r="AF7" s="8">
        <f>'Revenue forecast'!AI26</f>
        <v>-20812.5</v>
      </c>
      <c r="AG7" s="8">
        <f>'Revenue forecast'!AJ26</f>
        <v>-54387.5</v>
      </c>
      <c r="AH7" s="8">
        <f>'Revenue forecast'!AK26</f>
        <v>-86962.5</v>
      </c>
      <c r="AI7" s="8">
        <f>'Revenue forecast'!AL26</f>
        <v>-86962.5</v>
      </c>
      <c r="AJ7" s="8">
        <f>'Revenue forecast'!AM26</f>
        <v>-54387.5</v>
      </c>
      <c r="AK7" s="8">
        <f>'Revenue forecast'!AN26</f>
        <v>-87462.5</v>
      </c>
      <c r="AL7" s="8">
        <f>'Revenue forecast'!AO26</f>
        <v>-87400</v>
      </c>
      <c r="AM7" s="8">
        <f>'Revenue forecast'!AP26</f>
        <v>-132562.5</v>
      </c>
      <c r="AN7" s="8">
        <f>'Revenue forecast'!AQ26</f>
        <v>-133062.5</v>
      </c>
      <c r="AO7" s="8">
        <f>'Revenue forecast'!AR26</f>
        <v>-81562.5</v>
      </c>
      <c r="AP7" s="8">
        <f>'Revenue forecast'!AS26</f>
        <v>-134562.5</v>
      </c>
      <c r="AQ7" s="8">
        <f>'Revenue forecast'!AT26</f>
        <v>-139312.5</v>
      </c>
      <c r="AR7" s="8">
        <f>'Revenue forecast'!AU26</f>
        <v>-136062.5</v>
      </c>
      <c r="AS7" s="8">
        <f>'Revenue forecast'!AV26</f>
        <v>-84562.5</v>
      </c>
      <c r="AT7" s="8">
        <f>'Revenue forecast'!AW26</f>
        <v>-189562.5</v>
      </c>
      <c r="AU7" s="8">
        <f>'Revenue forecast'!AX26</f>
        <v>-189562.5</v>
      </c>
      <c r="AV7" s="8">
        <f>'Revenue forecast'!AY26</f>
        <v>-189562.5</v>
      </c>
      <c r="AW7" s="8">
        <f>'Revenue forecast'!AZ26</f>
        <v>-193812.5</v>
      </c>
      <c r="AX7" s="8">
        <f>'Revenue forecast'!BA26</f>
        <v>-189125</v>
      </c>
      <c r="AY7" s="8"/>
      <c r="AZ7" s="8">
        <f t="shared" ref="AZ7:BC7" si="3">SUMPRODUCT((YEAR($C$2:$AX$2)=AZ$2)*$C7:$AX7)</f>
        <v>-56562.5</v>
      </c>
      <c r="BA7" s="8">
        <f t="shared" si="3"/>
        <v>-214937.5</v>
      </c>
      <c r="BB7" s="8">
        <f t="shared" si="3"/>
        <v>-697987.5</v>
      </c>
      <c r="BC7" s="8">
        <f t="shared" si="3"/>
        <v>-1793312.5</v>
      </c>
      <c r="BD7" s="1"/>
      <c r="BE7" s="1"/>
      <c r="BF7" s="1"/>
    </row>
    <row r="8">
      <c r="A8" s="1"/>
      <c r="B8" s="28" t="s">
        <v>120</v>
      </c>
      <c r="C8" s="30">
        <f t="shared" ref="C8:AX8" si="4">C5+C6+C7</f>
        <v>13125</v>
      </c>
      <c r="D8" s="30">
        <f t="shared" si="4"/>
        <v>19687.5</v>
      </c>
      <c r="E8" s="30">
        <f t="shared" si="4"/>
        <v>40312.5</v>
      </c>
      <c r="F8" s="30">
        <f t="shared" si="4"/>
        <v>46875</v>
      </c>
      <c r="G8" s="30">
        <f t="shared" si="4"/>
        <v>60000</v>
      </c>
      <c r="H8" s="30">
        <f t="shared" si="4"/>
        <v>81562.5</v>
      </c>
      <c r="I8" s="30">
        <f t="shared" si="4"/>
        <v>74062.5</v>
      </c>
      <c r="J8" s="30">
        <f t="shared" si="4"/>
        <v>81562.5</v>
      </c>
      <c r="K8" s="30">
        <f t="shared" si="4"/>
        <v>81562.5</v>
      </c>
      <c r="L8" s="30">
        <f t="shared" si="4"/>
        <v>194062.5</v>
      </c>
      <c r="M8" s="30">
        <f t="shared" si="4"/>
        <v>74062.5</v>
      </c>
      <c r="N8" s="30">
        <f t="shared" si="4"/>
        <v>81562.5</v>
      </c>
      <c r="O8" s="30">
        <f t="shared" si="4"/>
        <v>97687.5</v>
      </c>
      <c r="P8" s="30">
        <f t="shared" si="4"/>
        <v>128812.5</v>
      </c>
      <c r="Q8" s="30">
        <f t="shared" si="4"/>
        <v>118312.5</v>
      </c>
      <c r="R8" s="30">
        <f t="shared" si="4"/>
        <v>404437.5</v>
      </c>
      <c r="S8" s="30">
        <f t="shared" si="4"/>
        <v>138937.5</v>
      </c>
      <c r="T8" s="30">
        <f t="shared" si="4"/>
        <v>187125</v>
      </c>
      <c r="U8" s="30">
        <f t="shared" si="4"/>
        <v>170062.5</v>
      </c>
      <c r="V8" s="30">
        <f t="shared" si="4"/>
        <v>456187.5</v>
      </c>
      <c r="W8" s="30">
        <f t="shared" si="4"/>
        <v>432562.5</v>
      </c>
      <c r="X8" s="30">
        <f t="shared" si="4"/>
        <v>201187.5</v>
      </c>
      <c r="Y8" s="30">
        <f t="shared" si="4"/>
        <v>432562.5</v>
      </c>
      <c r="Z8" s="30">
        <f t="shared" si="4"/>
        <v>456187.5</v>
      </c>
      <c r="AA8" s="30">
        <f t="shared" si="4"/>
        <v>750187.5</v>
      </c>
      <c r="AB8" s="30">
        <f t="shared" si="4"/>
        <v>234375</v>
      </c>
      <c r="AC8" s="30">
        <f t="shared" si="4"/>
        <v>771750</v>
      </c>
      <c r="AD8" s="30">
        <f t="shared" si="4"/>
        <v>744562.5</v>
      </c>
      <c r="AE8" s="30">
        <f t="shared" si="4"/>
        <v>793312.5</v>
      </c>
      <c r="AF8" s="30">
        <f t="shared" si="4"/>
        <v>312187.5</v>
      </c>
      <c r="AG8" s="30">
        <f t="shared" si="4"/>
        <v>815812.5</v>
      </c>
      <c r="AH8" s="30">
        <f t="shared" si="4"/>
        <v>1304437.5</v>
      </c>
      <c r="AI8" s="30">
        <f t="shared" si="4"/>
        <v>1304437.5</v>
      </c>
      <c r="AJ8" s="30">
        <f t="shared" si="4"/>
        <v>815812.5</v>
      </c>
      <c r="AK8" s="30">
        <f t="shared" si="4"/>
        <v>1311937.5</v>
      </c>
      <c r="AL8" s="30">
        <f t="shared" si="4"/>
        <v>1311000</v>
      </c>
      <c r="AM8" s="30">
        <f t="shared" si="4"/>
        <v>1988437.5</v>
      </c>
      <c r="AN8" s="30">
        <f t="shared" si="4"/>
        <v>1995937.5</v>
      </c>
      <c r="AO8" s="30">
        <f t="shared" si="4"/>
        <v>1223437.5</v>
      </c>
      <c r="AP8" s="30">
        <f t="shared" si="4"/>
        <v>2018437.5</v>
      </c>
      <c r="AQ8" s="30">
        <f t="shared" si="4"/>
        <v>2089687.5</v>
      </c>
      <c r="AR8" s="30">
        <f t="shared" si="4"/>
        <v>2040937.5</v>
      </c>
      <c r="AS8" s="30">
        <f t="shared" si="4"/>
        <v>1268437.5</v>
      </c>
      <c r="AT8" s="30">
        <f t="shared" si="4"/>
        <v>2843437.5</v>
      </c>
      <c r="AU8" s="30">
        <f t="shared" si="4"/>
        <v>2843437.5</v>
      </c>
      <c r="AV8" s="30">
        <f t="shared" si="4"/>
        <v>2843437.5</v>
      </c>
      <c r="AW8" s="30">
        <f t="shared" si="4"/>
        <v>2907187.5</v>
      </c>
      <c r="AX8" s="30">
        <f t="shared" si="4"/>
        <v>2836875</v>
      </c>
      <c r="AY8" s="30"/>
      <c r="AZ8" s="30">
        <f t="shared" ref="AZ8:BC8" si="5">SUMPRODUCT((YEAR($C$2:$AX$2)=AZ$2)*$C8:$AX8)</f>
        <v>848437.5</v>
      </c>
      <c r="BA8" s="30">
        <f t="shared" si="5"/>
        <v>3224062.5</v>
      </c>
      <c r="BB8" s="30">
        <f t="shared" si="5"/>
        <v>10469812.5</v>
      </c>
      <c r="BC8" s="30">
        <f t="shared" si="5"/>
        <v>26899687.5</v>
      </c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4" t="s">
        <v>121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1"/>
      <c r="BE10" s="1"/>
      <c r="BF10" s="1"/>
    </row>
    <row r="11">
      <c r="A11" s="1"/>
      <c r="B11" s="3" t="s">
        <v>98</v>
      </c>
      <c r="C11" s="8">
        <f>Personnel!F17+Personnel!F20</f>
        <v>32000</v>
      </c>
      <c r="D11" s="8">
        <f>Personnel!G17+Personnel!G20</f>
        <v>32000</v>
      </c>
      <c r="E11" s="8">
        <f>Personnel!H17+Personnel!H20</f>
        <v>35000</v>
      </c>
      <c r="F11" s="8">
        <f>Personnel!I17+Personnel!I20</f>
        <v>38000</v>
      </c>
      <c r="G11" s="8">
        <f>Personnel!J17+Personnel!J20</f>
        <v>38000</v>
      </c>
      <c r="H11" s="8">
        <f>Personnel!K17+Personnel!K20</f>
        <v>38000</v>
      </c>
      <c r="I11" s="8">
        <f>Personnel!L17+Personnel!L20</f>
        <v>38000</v>
      </c>
      <c r="J11" s="8">
        <f>Personnel!M17+Personnel!M20</f>
        <v>38000</v>
      </c>
      <c r="K11" s="8">
        <f>Personnel!N17+Personnel!N20</f>
        <v>45500</v>
      </c>
      <c r="L11" s="8">
        <f>Personnel!O17+Personnel!O20</f>
        <v>38000</v>
      </c>
      <c r="M11" s="8">
        <f>Personnel!P17+Personnel!P20</f>
        <v>38000</v>
      </c>
      <c r="N11" s="8">
        <f>Personnel!Q17+Personnel!Q20</f>
        <v>38000</v>
      </c>
      <c r="O11" s="8">
        <f>Personnel!R17+Personnel!R20</f>
        <v>49500</v>
      </c>
      <c r="P11" s="8">
        <f>Personnel!S17+Personnel!S20</f>
        <v>49500</v>
      </c>
      <c r="Q11" s="8">
        <f>Personnel!T17+Personnel!T20</f>
        <v>52500</v>
      </c>
      <c r="R11" s="8">
        <f>Personnel!U17+Personnel!U20</f>
        <v>52500</v>
      </c>
      <c r="S11" s="8">
        <f>Personnel!V17+Personnel!V20</f>
        <v>60000</v>
      </c>
      <c r="T11" s="8">
        <f>Personnel!W17+Personnel!W20</f>
        <v>60000</v>
      </c>
      <c r="U11" s="8">
        <f>Personnel!X17+Personnel!X20</f>
        <v>60000</v>
      </c>
      <c r="V11" s="8">
        <f>Personnel!Y17+Personnel!Y20</f>
        <v>60000</v>
      </c>
      <c r="W11" s="8">
        <f>Personnel!Z17+Personnel!Z20</f>
        <v>60000</v>
      </c>
      <c r="X11" s="8">
        <f>Personnel!AA17+Personnel!AA20</f>
        <v>63000</v>
      </c>
      <c r="Y11" s="8">
        <f>Personnel!AB17+Personnel!AB20</f>
        <v>60000</v>
      </c>
      <c r="Z11" s="8">
        <f>Personnel!AC17+Personnel!AC20</f>
        <v>60000</v>
      </c>
      <c r="AA11" s="8">
        <f>Personnel!AD17+Personnel!AD20</f>
        <v>67000</v>
      </c>
      <c r="AB11" s="8">
        <f>Personnel!AE17+Personnel!AE20</f>
        <v>70000</v>
      </c>
      <c r="AC11" s="8">
        <f>Personnel!AF17+Personnel!AF20</f>
        <v>70000</v>
      </c>
      <c r="AD11" s="8">
        <f>Personnel!AG17+Personnel!AG20</f>
        <v>70000</v>
      </c>
      <c r="AE11" s="8">
        <f>Personnel!AH17+Personnel!AH20</f>
        <v>73000</v>
      </c>
      <c r="AF11" s="8">
        <f>Personnel!AI17+Personnel!AI20</f>
        <v>73000</v>
      </c>
      <c r="AG11" s="8">
        <f>Personnel!AJ17+Personnel!AJ20</f>
        <v>76000</v>
      </c>
      <c r="AH11" s="8">
        <f>Personnel!AK17+Personnel!AK20</f>
        <v>73000</v>
      </c>
      <c r="AI11" s="8">
        <f>Personnel!AL17+Personnel!AL20</f>
        <v>73000</v>
      </c>
      <c r="AJ11" s="8">
        <f>Personnel!AM17+Personnel!AM20</f>
        <v>76000</v>
      </c>
      <c r="AK11" s="8">
        <f>Personnel!AN17+Personnel!AN20</f>
        <v>76000</v>
      </c>
      <c r="AL11" s="8">
        <f>Personnel!AO17+Personnel!AO20</f>
        <v>76000</v>
      </c>
      <c r="AM11" s="8">
        <f>Personnel!AP17+Personnel!AP20</f>
        <v>80000</v>
      </c>
      <c r="AN11" s="8">
        <f>Personnel!AQ17+Personnel!AQ20</f>
        <v>80000</v>
      </c>
      <c r="AO11" s="8">
        <f>Personnel!AR17+Personnel!AR20</f>
        <v>83000</v>
      </c>
      <c r="AP11" s="8">
        <f>Personnel!AS17+Personnel!AS20</f>
        <v>83000</v>
      </c>
      <c r="AQ11" s="8">
        <f>Personnel!AT17+Personnel!AT20</f>
        <v>83000</v>
      </c>
      <c r="AR11" s="8">
        <f>Personnel!AU17+Personnel!AU20</f>
        <v>86000</v>
      </c>
      <c r="AS11" s="8">
        <f>Personnel!AV17+Personnel!AV20</f>
        <v>89000</v>
      </c>
      <c r="AT11" s="8">
        <f>Personnel!AW17+Personnel!AW20</f>
        <v>89000</v>
      </c>
      <c r="AU11" s="8">
        <f>Personnel!AX17+Personnel!AX20</f>
        <v>89000</v>
      </c>
      <c r="AV11" s="8">
        <f>Personnel!AY17+Personnel!AY20</f>
        <v>89000</v>
      </c>
      <c r="AW11" s="8">
        <f>Personnel!AZ17+Personnel!AZ20</f>
        <v>89000</v>
      </c>
      <c r="AX11" s="8">
        <f>Personnel!BA17+Personnel!BA20</f>
        <v>89000</v>
      </c>
      <c r="AY11" s="8"/>
      <c r="AZ11" s="8">
        <f t="shared" ref="AZ11:BC11" si="6">SUMPRODUCT((YEAR($C$2:$AX$2)=AZ$2)*$C11:$AX11)</f>
        <v>448500</v>
      </c>
      <c r="BA11" s="8">
        <f t="shared" si="6"/>
        <v>687000</v>
      </c>
      <c r="BB11" s="8">
        <f t="shared" si="6"/>
        <v>873000</v>
      </c>
      <c r="BC11" s="8">
        <f t="shared" si="6"/>
        <v>1029000</v>
      </c>
      <c r="BD11" s="1"/>
      <c r="BE11" s="1"/>
      <c r="BF11" s="1"/>
    </row>
    <row r="12">
      <c r="A12" s="1"/>
      <c r="B12" s="3" t="s">
        <v>122</v>
      </c>
      <c r="C12" s="8">
        <f>Personnel!F21</f>
        <v>0</v>
      </c>
      <c r="D12" s="8">
        <f>Personnel!G21</f>
        <v>0</v>
      </c>
      <c r="E12" s="8">
        <f>Personnel!H21</f>
        <v>0</v>
      </c>
      <c r="F12" s="8">
        <f>Personnel!I21</f>
        <v>0</v>
      </c>
      <c r="G12" s="8">
        <f>Personnel!J21</f>
        <v>0</v>
      </c>
      <c r="H12" s="8">
        <f>Personnel!K21</f>
        <v>11550</v>
      </c>
      <c r="I12" s="8">
        <f>Personnel!L21</f>
        <v>5775</v>
      </c>
      <c r="J12" s="8">
        <f>Personnel!M21</f>
        <v>11550</v>
      </c>
      <c r="K12" s="8">
        <f>Personnel!N21</f>
        <v>5775</v>
      </c>
      <c r="L12" s="8">
        <f>Personnel!O21</f>
        <v>57750</v>
      </c>
      <c r="M12" s="8">
        <f>Personnel!P21</f>
        <v>5775</v>
      </c>
      <c r="N12" s="8">
        <f>Personnel!Q21</f>
        <v>11550</v>
      </c>
      <c r="O12" s="8">
        <f>Personnel!R21</f>
        <v>9702</v>
      </c>
      <c r="P12" s="8">
        <f>Personnel!S21</f>
        <v>19404</v>
      </c>
      <c r="Q12" s="8">
        <f>Personnel!T21</f>
        <v>9702</v>
      </c>
      <c r="R12" s="8">
        <f>Personnel!U21</f>
        <v>127204</v>
      </c>
      <c r="S12" s="8">
        <f>Personnel!V21</f>
        <v>9702</v>
      </c>
      <c r="T12" s="8">
        <f>Personnel!W21</f>
        <v>29106</v>
      </c>
      <c r="U12" s="8">
        <f>Personnel!X21</f>
        <v>19404</v>
      </c>
      <c r="V12" s="8">
        <f>Personnel!Y21</f>
        <v>136906</v>
      </c>
      <c r="W12" s="8">
        <f>Personnel!Z21</f>
        <v>127204</v>
      </c>
      <c r="X12" s="8">
        <f>Personnel!AA21</f>
        <v>29106</v>
      </c>
      <c r="Y12" s="8">
        <f>Personnel!AB21</f>
        <v>127204</v>
      </c>
      <c r="Z12" s="8">
        <f>Personnel!AC21</f>
        <v>136906</v>
      </c>
      <c r="AA12" s="8">
        <f>Personnel!AD21</f>
        <v>254562</v>
      </c>
      <c r="AB12" s="8">
        <f>Personnel!AE21</f>
        <v>33880</v>
      </c>
      <c r="AC12" s="8">
        <f>Personnel!AF21</f>
        <v>254562</v>
      </c>
      <c r="AD12" s="8">
        <f>Personnel!AG21</f>
        <v>237622</v>
      </c>
      <c r="AE12" s="8">
        <f>Personnel!AH21</f>
        <v>254562</v>
      </c>
      <c r="AF12" s="8">
        <f>Personnel!AI21</f>
        <v>50820</v>
      </c>
      <c r="AG12" s="8">
        <f>Personnel!AJ21</f>
        <v>254562</v>
      </c>
      <c r="AH12" s="8">
        <f>Personnel!AK21</f>
        <v>458304</v>
      </c>
      <c r="AI12" s="8">
        <f>Personnel!AL21</f>
        <v>458304</v>
      </c>
      <c r="AJ12" s="8">
        <f>Personnel!AM21</f>
        <v>254562</v>
      </c>
      <c r="AK12" s="8">
        <f>Personnel!AN21</f>
        <v>458304</v>
      </c>
      <c r="AL12" s="8">
        <f>Personnel!AO21</f>
        <v>458304</v>
      </c>
      <c r="AM12" s="8">
        <f>Personnel!AP21</f>
        <v>733425</v>
      </c>
      <c r="AN12" s="8">
        <f>Personnel!AQ21</f>
        <v>733425</v>
      </c>
      <c r="AO12" s="8">
        <f>Personnel!AR21</f>
        <v>410025</v>
      </c>
      <c r="AP12" s="8">
        <f>Personnel!AS21</f>
        <v>733425</v>
      </c>
      <c r="AQ12" s="8">
        <f>Personnel!AT21</f>
        <v>762300</v>
      </c>
      <c r="AR12" s="8">
        <f>Personnel!AU21</f>
        <v>733425</v>
      </c>
      <c r="AS12" s="8">
        <f>Personnel!AV21</f>
        <v>410025</v>
      </c>
      <c r="AT12" s="8">
        <f>Personnel!AW21</f>
        <v>1056825</v>
      </c>
      <c r="AU12" s="8">
        <f>Personnel!AX21</f>
        <v>1056825</v>
      </c>
      <c r="AV12" s="8">
        <f>Personnel!AY21</f>
        <v>1056825</v>
      </c>
      <c r="AW12" s="8">
        <f>Personnel!AZ21</f>
        <v>1085700</v>
      </c>
      <c r="AX12" s="8">
        <f>Personnel!BA21</f>
        <v>1056825</v>
      </c>
      <c r="AY12" s="8"/>
      <c r="AZ12" s="8">
        <f t="shared" ref="AZ12:BC12" si="7">SUMPRODUCT((YEAR($C$2:$AX$2)=AZ$2)*$C12:$AX12)</f>
        <v>109725</v>
      </c>
      <c r="BA12" s="8">
        <f t="shared" si="7"/>
        <v>781550</v>
      </c>
      <c r="BB12" s="8">
        <f t="shared" si="7"/>
        <v>3428348</v>
      </c>
      <c r="BC12" s="8">
        <f t="shared" si="7"/>
        <v>9829050</v>
      </c>
      <c r="BD12" s="1"/>
      <c r="BE12" s="1"/>
      <c r="BF12" s="1"/>
    </row>
    <row r="13">
      <c r="A13" s="1"/>
      <c r="B13" s="3" t="s">
        <v>100</v>
      </c>
      <c r="C13" s="8">
        <f>Personnel!F18+Personnel!F19</f>
        <v>6987.4</v>
      </c>
      <c r="D13" s="8">
        <f>Personnel!G18+Personnel!G19</f>
        <v>6987.4</v>
      </c>
      <c r="E13" s="8">
        <f>Personnel!H18+Personnel!H19</f>
        <v>7843</v>
      </c>
      <c r="F13" s="8">
        <f>Personnel!I18+Personnel!I19</f>
        <v>8698.6</v>
      </c>
      <c r="G13" s="8">
        <f>Personnel!J18+Personnel!J19</f>
        <v>8698.6</v>
      </c>
      <c r="H13" s="8">
        <f>Personnel!K18+Personnel!K19</f>
        <v>8698.6</v>
      </c>
      <c r="I13" s="8">
        <f>Personnel!L18+Personnel!L19</f>
        <v>8698.6</v>
      </c>
      <c r="J13" s="8">
        <f>Personnel!M18+Personnel!M19</f>
        <v>8698.6</v>
      </c>
      <c r="K13" s="8">
        <f>Personnel!N18+Personnel!N19</f>
        <v>10837.6</v>
      </c>
      <c r="L13" s="8">
        <f>Personnel!O18+Personnel!O19</f>
        <v>8698.6</v>
      </c>
      <c r="M13" s="8">
        <f>Personnel!P18+Personnel!P19</f>
        <v>8698.6</v>
      </c>
      <c r="N13" s="8">
        <f>Personnel!Q18+Personnel!Q19</f>
        <v>8698.6</v>
      </c>
      <c r="O13" s="8">
        <f>Personnel!R18+Personnel!R19</f>
        <v>11978.4</v>
      </c>
      <c r="P13" s="8">
        <f>Personnel!S18+Personnel!S19</f>
        <v>11978.4</v>
      </c>
      <c r="Q13" s="8">
        <f>Personnel!T18+Personnel!T19</f>
        <v>12834</v>
      </c>
      <c r="R13" s="8">
        <f>Personnel!U18+Personnel!U19</f>
        <v>12834</v>
      </c>
      <c r="S13" s="8">
        <f>Personnel!V18+Personnel!V19</f>
        <v>14973</v>
      </c>
      <c r="T13" s="8">
        <f>Personnel!W18+Personnel!W19</f>
        <v>14973</v>
      </c>
      <c r="U13" s="8">
        <f>Personnel!X18+Personnel!X19</f>
        <v>14973</v>
      </c>
      <c r="V13" s="8">
        <f>Personnel!Y18+Personnel!Y19</f>
        <v>14973</v>
      </c>
      <c r="W13" s="8">
        <f>Personnel!Z18+Personnel!Z19</f>
        <v>14973</v>
      </c>
      <c r="X13" s="8">
        <f>Personnel!AA18+Personnel!AA19</f>
        <v>15828.6</v>
      </c>
      <c r="Y13" s="8">
        <f>Personnel!AB18+Personnel!AB19</f>
        <v>14973</v>
      </c>
      <c r="Z13" s="8">
        <f>Personnel!AC18+Personnel!AC19</f>
        <v>14973</v>
      </c>
      <c r="AA13" s="8">
        <f>Personnel!AD18+Personnel!AD19</f>
        <v>16969.4</v>
      </c>
      <c r="AB13" s="8">
        <f>Personnel!AE18+Personnel!AE19</f>
        <v>17825</v>
      </c>
      <c r="AC13" s="8">
        <f>Personnel!AF18+Personnel!AF19</f>
        <v>17825</v>
      </c>
      <c r="AD13" s="8">
        <f>Personnel!AG18+Personnel!AG19</f>
        <v>17825</v>
      </c>
      <c r="AE13" s="8">
        <f>Personnel!AH18+Personnel!AH19</f>
        <v>18680.6</v>
      </c>
      <c r="AF13" s="8">
        <f>Personnel!AI18+Personnel!AI19</f>
        <v>18680.6</v>
      </c>
      <c r="AG13" s="8">
        <f>Personnel!AJ18+Personnel!AJ19</f>
        <v>19536.2</v>
      </c>
      <c r="AH13" s="8">
        <f>Personnel!AK18+Personnel!AK19</f>
        <v>18680.6</v>
      </c>
      <c r="AI13" s="8">
        <f>Personnel!AL18+Personnel!AL19</f>
        <v>18680.6</v>
      </c>
      <c r="AJ13" s="8">
        <f>Personnel!AM18+Personnel!AM19</f>
        <v>19536.2</v>
      </c>
      <c r="AK13" s="8">
        <f>Personnel!AN18+Personnel!AN19</f>
        <v>19536.2</v>
      </c>
      <c r="AL13" s="8">
        <f>Personnel!AO18+Personnel!AO19</f>
        <v>19536.2</v>
      </c>
      <c r="AM13" s="8">
        <f>Personnel!AP18+Personnel!AP19</f>
        <v>20677</v>
      </c>
      <c r="AN13" s="8">
        <f>Personnel!AQ18+Personnel!AQ19</f>
        <v>20677</v>
      </c>
      <c r="AO13" s="8">
        <f>Personnel!AR18+Personnel!AR19</f>
        <v>21532.6</v>
      </c>
      <c r="AP13" s="8">
        <f>Personnel!AS18+Personnel!AS19</f>
        <v>21532.6</v>
      </c>
      <c r="AQ13" s="8">
        <f>Personnel!AT18+Personnel!AT19</f>
        <v>21532.6</v>
      </c>
      <c r="AR13" s="8">
        <f>Personnel!AU18+Personnel!AU19</f>
        <v>22388.2</v>
      </c>
      <c r="AS13" s="8">
        <f>Personnel!AV18+Personnel!AV19</f>
        <v>23243.8</v>
      </c>
      <c r="AT13" s="8">
        <f>Personnel!AW18+Personnel!AW19</f>
        <v>23243.8</v>
      </c>
      <c r="AU13" s="8">
        <f>Personnel!AX18+Personnel!AX19</f>
        <v>23243.8</v>
      </c>
      <c r="AV13" s="8">
        <f>Personnel!AY18+Personnel!AY19</f>
        <v>23243.8</v>
      </c>
      <c r="AW13" s="8">
        <f>Personnel!AZ18+Personnel!AZ19</f>
        <v>23243.8</v>
      </c>
      <c r="AX13" s="8">
        <f>Personnel!BA18+Personnel!BA19</f>
        <v>23243.8</v>
      </c>
      <c r="AY13" s="8"/>
      <c r="AZ13" s="8">
        <f t="shared" ref="AZ13:BC13" si="8">SUMPRODUCT((YEAR($C$2:$AX$2)=AZ$2)*$C13:$AX13)</f>
        <v>102244.2</v>
      </c>
      <c r="BA13" s="8">
        <f t="shared" si="8"/>
        <v>170264.4</v>
      </c>
      <c r="BB13" s="8">
        <f t="shared" si="8"/>
        <v>223311.6</v>
      </c>
      <c r="BC13" s="8">
        <f t="shared" si="8"/>
        <v>267802.8</v>
      </c>
      <c r="BD13" s="1"/>
      <c r="BE13" s="1"/>
      <c r="BF13" s="1"/>
    </row>
    <row r="14">
      <c r="A14" s="1"/>
      <c r="B14" s="3" t="s">
        <v>123</v>
      </c>
      <c r="C14" s="8">
        <f>Personnel!F22</f>
        <v>450</v>
      </c>
      <c r="D14" s="8">
        <f>Personnel!G22</f>
        <v>450</v>
      </c>
      <c r="E14" s="8">
        <f>Personnel!H22</f>
        <v>450</v>
      </c>
      <c r="F14" s="8">
        <f>Personnel!I22</f>
        <v>450</v>
      </c>
      <c r="G14" s="8">
        <f>Personnel!J22</f>
        <v>450</v>
      </c>
      <c r="H14" s="8">
        <f>Personnel!K22</f>
        <v>450</v>
      </c>
      <c r="I14" s="8">
        <f>Personnel!L22</f>
        <v>450</v>
      </c>
      <c r="J14" s="8">
        <f>Personnel!M22</f>
        <v>450</v>
      </c>
      <c r="K14" s="8">
        <f>Personnel!N22</f>
        <v>450</v>
      </c>
      <c r="L14" s="8">
        <f>Personnel!O22</f>
        <v>450</v>
      </c>
      <c r="M14" s="8">
        <f>Personnel!P22</f>
        <v>450</v>
      </c>
      <c r="N14" s="8">
        <f>Personnel!Q22</f>
        <v>450</v>
      </c>
      <c r="O14" s="8">
        <f>Personnel!R22</f>
        <v>450</v>
      </c>
      <c r="P14" s="8">
        <f>Personnel!S22</f>
        <v>450</v>
      </c>
      <c r="Q14" s="8">
        <f>Personnel!T22</f>
        <v>450</v>
      </c>
      <c r="R14" s="8">
        <f>Personnel!U22</f>
        <v>450</v>
      </c>
      <c r="S14" s="8">
        <f>Personnel!V22</f>
        <v>450</v>
      </c>
      <c r="T14" s="8">
        <f>Personnel!W22</f>
        <v>450</v>
      </c>
      <c r="U14" s="8">
        <f>Personnel!X22</f>
        <v>450</v>
      </c>
      <c r="V14" s="8">
        <f>Personnel!Y22</f>
        <v>450</v>
      </c>
      <c r="W14" s="8">
        <f>Personnel!Z22</f>
        <v>450</v>
      </c>
      <c r="X14" s="8">
        <f>Personnel!AA22</f>
        <v>450</v>
      </c>
      <c r="Y14" s="8">
        <f>Personnel!AB22</f>
        <v>450</v>
      </c>
      <c r="Z14" s="8">
        <f>Personnel!AC22</f>
        <v>450</v>
      </c>
      <c r="AA14" s="8">
        <f>Personnel!AD22</f>
        <v>450</v>
      </c>
      <c r="AB14" s="8">
        <f>Personnel!AE22</f>
        <v>450</v>
      </c>
      <c r="AC14" s="8">
        <f>Personnel!AF22</f>
        <v>450</v>
      </c>
      <c r="AD14" s="8">
        <f>Personnel!AG22</f>
        <v>450</v>
      </c>
      <c r="AE14" s="8">
        <f>Personnel!AH22</f>
        <v>450</v>
      </c>
      <c r="AF14" s="8">
        <f>Personnel!AI22</f>
        <v>450</v>
      </c>
      <c r="AG14" s="8">
        <f>Personnel!AJ22</f>
        <v>450</v>
      </c>
      <c r="AH14" s="8">
        <f>Personnel!AK22</f>
        <v>450</v>
      </c>
      <c r="AI14" s="8">
        <f>Personnel!AL22</f>
        <v>450</v>
      </c>
      <c r="AJ14" s="8">
        <f>Personnel!AM22</f>
        <v>450</v>
      </c>
      <c r="AK14" s="8">
        <f>Personnel!AN22</f>
        <v>450</v>
      </c>
      <c r="AL14" s="8">
        <f>Personnel!AO22</f>
        <v>450</v>
      </c>
      <c r="AM14" s="8">
        <f>Personnel!AP22</f>
        <v>450</v>
      </c>
      <c r="AN14" s="8">
        <f>Personnel!AQ22</f>
        <v>450</v>
      </c>
      <c r="AO14" s="8">
        <f>Personnel!AR22</f>
        <v>450</v>
      </c>
      <c r="AP14" s="8">
        <f>Personnel!AS22</f>
        <v>450</v>
      </c>
      <c r="AQ14" s="8">
        <f>Personnel!AT22</f>
        <v>450</v>
      </c>
      <c r="AR14" s="8">
        <f>Personnel!AU22</f>
        <v>450</v>
      </c>
      <c r="AS14" s="8">
        <f>Personnel!AV22</f>
        <v>450</v>
      </c>
      <c r="AT14" s="8">
        <f>Personnel!AW22</f>
        <v>450</v>
      </c>
      <c r="AU14" s="8">
        <f>Personnel!AX22</f>
        <v>450</v>
      </c>
      <c r="AV14" s="8">
        <f>Personnel!AY22</f>
        <v>450</v>
      </c>
      <c r="AW14" s="8">
        <f>Personnel!AZ22</f>
        <v>450</v>
      </c>
      <c r="AX14" s="8">
        <f>Personnel!BA22</f>
        <v>450</v>
      </c>
      <c r="AY14" s="8"/>
      <c r="AZ14" s="8">
        <f t="shared" ref="AZ14:BC14" si="9">SUMPRODUCT((YEAR($C$2:$AX$2)=AZ$2)*$C14:$AX14)</f>
        <v>5400</v>
      </c>
      <c r="BA14" s="8">
        <f t="shared" si="9"/>
        <v>5400</v>
      </c>
      <c r="BB14" s="8">
        <f t="shared" si="9"/>
        <v>5400</v>
      </c>
      <c r="BC14" s="8">
        <f t="shared" si="9"/>
        <v>5400</v>
      </c>
      <c r="BD14" s="1"/>
      <c r="BE14" s="1"/>
      <c r="BF14" s="1"/>
    </row>
    <row r="15">
      <c r="A15" s="1"/>
      <c r="B15" s="3" t="s">
        <v>124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8"/>
      <c r="AZ15" s="8">
        <f t="shared" ref="AZ15:BC15" si="10">SUMPRODUCT((YEAR($C$2:$AX$2)=AZ$2)*$C15:$AX15)</f>
        <v>0</v>
      </c>
      <c r="BA15" s="8">
        <f t="shared" si="10"/>
        <v>0</v>
      </c>
      <c r="BB15" s="8">
        <f t="shared" si="10"/>
        <v>0</v>
      </c>
      <c r="BC15" s="8">
        <f t="shared" si="10"/>
        <v>0</v>
      </c>
      <c r="BD15" s="1"/>
      <c r="BE15" s="1"/>
      <c r="BF15" s="1"/>
    </row>
    <row r="16">
      <c r="A16" s="1"/>
      <c r="B16" s="3" t="s">
        <v>103</v>
      </c>
      <c r="C16" s="8">
        <f>Personnel!F23</f>
        <v>267</v>
      </c>
      <c r="D16" s="8">
        <f>Personnel!G23</f>
        <v>267</v>
      </c>
      <c r="E16" s="8">
        <f>Personnel!H23</f>
        <v>267</v>
      </c>
      <c r="F16" s="8">
        <f>Personnel!I23</f>
        <v>267</v>
      </c>
      <c r="G16" s="8">
        <f>Personnel!J23</f>
        <v>267</v>
      </c>
      <c r="H16" s="8">
        <f>Personnel!K23</f>
        <v>267</v>
      </c>
      <c r="I16" s="8">
        <f>Personnel!L23</f>
        <v>267</v>
      </c>
      <c r="J16" s="8">
        <f>Personnel!M23</f>
        <v>267</v>
      </c>
      <c r="K16" s="8">
        <f>Personnel!N23</f>
        <v>267</v>
      </c>
      <c r="L16" s="8">
        <f>Personnel!O23</f>
        <v>267</v>
      </c>
      <c r="M16" s="8">
        <f>Personnel!P23</f>
        <v>267</v>
      </c>
      <c r="N16" s="8">
        <f>Personnel!Q23</f>
        <v>267</v>
      </c>
      <c r="O16" s="8">
        <f>Personnel!R23</f>
        <v>267</v>
      </c>
      <c r="P16" s="8">
        <f>Personnel!S23</f>
        <v>267</v>
      </c>
      <c r="Q16" s="8">
        <f>Personnel!T23</f>
        <v>267</v>
      </c>
      <c r="R16" s="8">
        <f>Personnel!U23</f>
        <v>267</v>
      </c>
      <c r="S16" s="8">
        <f>Personnel!V23</f>
        <v>267</v>
      </c>
      <c r="T16" s="8">
        <f>Personnel!W23</f>
        <v>267</v>
      </c>
      <c r="U16" s="8">
        <f>Personnel!X23</f>
        <v>267</v>
      </c>
      <c r="V16" s="8">
        <f>Personnel!Y23</f>
        <v>267</v>
      </c>
      <c r="W16" s="8">
        <f>Personnel!Z23</f>
        <v>267</v>
      </c>
      <c r="X16" s="8">
        <f>Personnel!AA23</f>
        <v>267</v>
      </c>
      <c r="Y16" s="8">
        <f>Personnel!AB23</f>
        <v>267</v>
      </c>
      <c r="Z16" s="8">
        <f>Personnel!AC23</f>
        <v>267</v>
      </c>
      <c r="AA16" s="8">
        <f>Personnel!AD23</f>
        <v>267</v>
      </c>
      <c r="AB16" s="8">
        <f>Personnel!AE23</f>
        <v>267</v>
      </c>
      <c r="AC16" s="8">
        <f>Personnel!AF23</f>
        <v>267</v>
      </c>
      <c r="AD16" s="8">
        <f>Personnel!AG23</f>
        <v>267</v>
      </c>
      <c r="AE16" s="8">
        <f>Personnel!AH23</f>
        <v>267</v>
      </c>
      <c r="AF16" s="8">
        <f>Personnel!AI23</f>
        <v>267</v>
      </c>
      <c r="AG16" s="8">
        <f>Personnel!AJ23</f>
        <v>267</v>
      </c>
      <c r="AH16" s="8">
        <f>Personnel!AK23</f>
        <v>267</v>
      </c>
      <c r="AI16" s="8">
        <f>Personnel!AL23</f>
        <v>267</v>
      </c>
      <c r="AJ16" s="8">
        <f>Personnel!AM23</f>
        <v>267</v>
      </c>
      <c r="AK16" s="8">
        <f>Personnel!AN23</f>
        <v>267</v>
      </c>
      <c r="AL16" s="8">
        <f>Personnel!AO23</f>
        <v>267</v>
      </c>
      <c r="AM16" s="8">
        <f>Personnel!AP23</f>
        <v>267</v>
      </c>
      <c r="AN16" s="8">
        <f>Personnel!AQ23</f>
        <v>267</v>
      </c>
      <c r="AO16" s="8">
        <f>Personnel!AR23</f>
        <v>267</v>
      </c>
      <c r="AP16" s="8">
        <f>Personnel!AS23</f>
        <v>267</v>
      </c>
      <c r="AQ16" s="8">
        <f>Personnel!AT23</f>
        <v>267</v>
      </c>
      <c r="AR16" s="8">
        <f>Personnel!AU23</f>
        <v>267</v>
      </c>
      <c r="AS16" s="8">
        <f>Personnel!AV23</f>
        <v>267</v>
      </c>
      <c r="AT16" s="8">
        <f>Personnel!AW23</f>
        <v>267</v>
      </c>
      <c r="AU16" s="8">
        <f>Personnel!AX23</f>
        <v>267</v>
      </c>
      <c r="AV16" s="8">
        <f>Personnel!AY23</f>
        <v>267</v>
      </c>
      <c r="AW16" s="8">
        <f>Personnel!AZ23</f>
        <v>267</v>
      </c>
      <c r="AX16" s="8">
        <f>Personnel!BA23</f>
        <v>267</v>
      </c>
      <c r="AY16" s="8"/>
      <c r="AZ16" s="8">
        <f t="shared" ref="AZ16:BC16" si="11">SUMPRODUCT((YEAR($C$2:$AX$2)=AZ$2)*$C16:$AX16)</f>
        <v>3204</v>
      </c>
      <c r="BA16" s="8">
        <f t="shared" si="11"/>
        <v>3204</v>
      </c>
      <c r="BB16" s="8">
        <f t="shared" si="11"/>
        <v>3204</v>
      </c>
      <c r="BC16" s="8">
        <f t="shared" si="11"/>
        <v>3204</v>
      </c>
      <c r="BD16" s="1"/>
      <c r="BE16" s="1"/>
      <c r="BF16" s="1"/>
    </row>
    <row r="17">
      <c r="A17" s="1"/>
      <c r="B17" s="28" t="s">
        <v>104</v>
      </c>
      <c r="C17" s="30">
        <f t="shared" ref="C17:AX17" si="12">SUM(C11:C16)</f>
        <v>39704.4</v>
      </c>
      <c r="D17" s="30">
        <f t="shared" si="12"/>
        <v>39704.4</v>
      </c>
      <c r="E17" s="30">
        <f t="shared" si="12"/>
        <v>43560</v>
      </c>
      <c r="F17" s="30">
        <f t="shared" si="12"/>
        <v>47415.6</v>
      </c>
      <c r="G17" s="30">
        <f t="shared" si="12"/>
        <v>47415.6</v>
      </c>
      <c r="H17" s="30">
        <f t="shared" si="12"/>
        <v>58965.6</v>
      </c>
      <c r="I17" s="30">
        <f t="shared" si="12"/>
        <v>53190.6</v>
      </c>
      <c r="J17" s="30">
        <f t="shared" si="12"/>
        <v>58965.6</v>
      </c>
      <c r="K17" s="30">
        <f t="shared" si="12"/>
        <v>62829.6</v>
      </c>
      <c r="L17" s="30">
        <f t="shared" si="12"/>
        <v>105165.6</v>
      </c>
      <c r="M17" s="30">
        <f t="shared" si="12"/>
        <v>53190.6</v>
      </c>
      <c r="N17" s="30">
        <f t="shared" si="12"/>
        <v>58965.6</v>
      </c>
      <c r="O17" s="30">
        <f t="shared" si="12"/>
        <v>71897.4</v>
      </c>
      <c r="P17" s="30">
        <f t="shared" si="12"/>
        <v>81599.4</v>
      </c>
      <c r="Q17" s="30">
        <f t="shared" si="12"/>
        <v>75753</v>
      </c>
      <c r="R17" s="30">
        <f t="shared" si="12"/>
        <v>193255</v>
      </c>
      <c r="S17" s="30">
        <f t="shared" si="12"/>
        <v>85392</v>
      </c>
      <c r="T17" s="30">
        <f t="shared" si="12"/>
        <v>104796</v>
      </c>
      <c r="U17" s="30">
        <f t="shared" si="12"/>
        <v>95094</v>
      </c>
      <c r="V17" s="30">
        <f t="shared" si="12"/>
        <v>212596</v>
      </c>
      <c r="W17" s="30">
        <f t="shared" si="12"/>
        <v>202894</v>
      </c>
      <c r="X17" s="30">
        <f t="shared" si="12"/>
        <v>108651.6</v>
      </c>
      <c r="Y17" s="30">
        <f t="shared" si="12"/>
        <v>202894</v>
      </c>
      <c r="Z17" s="30">
        <f t="shared" si="12"/>
        <v>212596</v>
      </c>
      <c r="AA17" s="30">
        <f t="shared" si="12"/>
        <v>339248.4</v>
      </c>
      <c r="AB17" s="30">
        <f t="shared" si="12"/>
        <v>122422</v>
      </c>
      <c r="AC17" s="30">
        <f t="shared" si="12"/>
        <v>343104</v>
      </c>
      <c r="AD17" s="30">
        <f t="shared" si="12"/>
        <v>326164</v>
      </c>
      <c r="AE17" s="30">
        <f t="shared" si="12"/>
        <v>346959.6</v>
      </c>
      <c r="AF17" s="30">
        <f t="shared" si="12"/>
        <v>143217.6</v>
      </c>
      <c r="AG17" s="30">
        <f t="shared" si="12"/>
        <v>350815.2</v>
      </c>
      <c r="AH17" s="30">
        <f t="shared" si="12"/>
        <v>550701.6</v>
      </c>
      <c r="AI17" s="30">
        <f t="shared" si="12"/>
        <v>550701.6</v>
      </c>
      <c r="AJ17" s="30">
        <f t="shared" si="12"/>
        <v>350815.2</v>
      </c>
      <c r="AK17" s="30">
        <f t="shared" si="12"/>
        <v>554557.2</v>
      </c>
      <c r="AL17" s="30">
        <f t="shared" si="12"/>
        <v>554557.2</v>
      </c>
      <c r="AM17" s="30">
        <f t="shared" si="12"/>
        <v>834819</v>
      </c>
      <c r="AN17" s="30">
        <f t="shared" si="12"/>
        <v>834819</v>
      </c>
      <c r="AO17" s="30">
        <f t="shared" si="12"/>
        <v>515274.6</v>
      </c>
      <c r="AP17" s="30">
        <f t="shared" si="12"/>
        <v>838674.6</v>
      </c>
      <c r="AQ17" s="30">
        <f t="shared" si="12"/>
        <v>867549.6</v>
      </c>
      <c r="AR17" s="30">
        <f t="shared" si="12"/>
        <v>842530.2</v>
      </c>
      <c r="AS17" s="30">
        <f t="shared" si="12"/>
        <v>522985.8</v>
      </c>
      <c r="AT17" s="30">
        <f t="shared" si="12"/>
        <v>1169785.8</v>
      </c>
      <c r="AU17" s="30">
        <f t="shared" si="12"/>
        <v>1169785.8</v>
      </c>
      <c r="AV17" s="30">
        <f t="shared" si="12"/>
        <v>1169785.8</v>
      </c>
      <c r="AW17" s="30">
        <f t="shared" si="12"/>
        <v>1198660.8</v>
      </c>
      <c r="AX17" s="30">
        <f t="shared" si="12"/>
        <v>1169785.8</v>
      </c>
      <c r="AY17" s="30"/>
      <c r="AZ17" s="30">
        <f t="shared" ref="AZ17:BC17" si="13">SUMPRODUCT((YEAR($C$2:$AX$2)=AZ$2)*$C17:$AX17)</f>
        <v>669073.2</v>
      </c>
      <c r="BA17" s="30">
        <f t="shared" si="13"/>
        <v>1647418.4</v>
      </c>
      <c r="BB17" s="30">
        <f t="shared" si="13"/>
        <v>4533263.6</v>
      </c>
      <c r="BC17" s="30">
        <f t="shared" si="13"/>
        <v>11134456.8</v>
      </c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28" t="s">
        <v>125</v>
      </c>
      <c r="C19" s="30">
        <f t="shared" ref="C19:AX19" si="14">C8-C17</f>
        <v>-26579.4</v>
      </c>
      <c r="D19" s="30">
        <f t="shared" si="14"/>
        <v>-20016.9</v>
      </c>
      <c r="E19" s="30">
        <f t="shared" si="14"/>
        <v>-3247.5</v>
      </c>
      <c r="F19" s="30">
        <f t="shared" si="14"/>
        <v>-540.6</v>
      </c>
      <c r="G19" s="30">
        <f t="shared" si="14"/>
        <v>12584.4</v>
      </c>
      <c r="H19" s="30">
        <f t="shared" si="14"/>
        <v>22596.9</v>
      </c>
      <c r="I19" s="30">
        <f t="shared" si="14"/>
        <v>20871.9</v>
      </c>
      <c r="J19" s="30">
        <f t="shared" si="14"/>
        <v>22596.9</v>
      </c>
      <c r="K19" s="30">
        <f t="shared" si="14"/>
        <v>18732.9</v>
      </c>
      <c r="L19" s="30">
        <f t="shared" si="14"/>
        <v>88896.9</v>
      </c>
      <c r="M19" s="30">
        <f t="shared" si="14"/>
        <v>20871.9</v>
      </c>
      <c r="N19" s="30">
        <f t="shared" si="14"/>
        <v>22596.9</v>
      </c>
      <c r="O19" s="30">
        <f t="shared" si="14"/>
        <v>25790.1</v>
      </c>
      <c r="P19" s="30">
        <f t="shared" si="14"/>
        <v>47213.1</v>
      </c>
      <c r="Q19" s="30">
        <f t="shared" si="14"/>
        <v>42559.5</v>
      </c>
      <c r="R19" s="30">
        <f t="shared" si="14"/>
        <v>211182.5</v>
      </c>
      <c r="S19" s="30">
        <f t="shared" si="14"/>
        <v>53545.5</v>
      </c>
      <c r="T19" s="30">
        <f t="shared" si="14"/>
        <v>82329</v>
      </c>
      <c r="U19" s="30">
        <f t="shared" si="14"/>
        <v>74968.5</v>
      </c>
      <c r="V19" s="30">
        <f t="shared" si="14"/>
        <v>243591.5</v>
      </c>
      <c r="W19" s="30">
        <f t="shared" si="14"/>
        <v>229668.5</v>
      </c>
      <c r="X19" s="30">
        <f t="shared" si="14"/>
        <v>92535.9</v>
      </c>
      <c r="Y19" s="30">
        <f t="shared" si="14"/>
        <v>229668.5</v>
      </c>
      <c r="Z19" s="30">
        <f t="shared" si="14"/>
        <v>243591.5</v>
      </c>
      <c r="AA19" s="30">
        <f t="shared" si="14"/>
        <v>410939.1</v>
      </c>
      <c r="AB19" s="30">
        <f t="shared" si="14"/>
        <v>111953</v>
      </c>
      <c r="AC19" s="30">
        <f t="shared" si="14"/>
        <v>428646</v>
      </c>
      <c r="AD19" s="30">
        <f t="shared" si="14"/>
        <v>418398.5</v>
      </c>
      <c r="AE19" s="30">
        <f t="shared" si="14"/>
        <v>446352.9</v>
      </c>
      <c r="AF19" s="30">
        <f t="shared" si="14"/>
        <v>168969.9</v>
      </c>
      <c r="AG19" s="30">
        <f t="shared" si="14"/>
        <v>464997.3</v>
      </c>
      <c r="AH19" s="30">
        <f t="shared" si="14"/>
        <v>753735.9</v>
      </c>
      <c r="AI19" s="30">
        <f t="shared" si="14"/>
        <v>753735.9</v>
      </c>
      <c r="AJ19" s="30">
        <f t="shared" si="14"/>
        <v>464997.3</v>
      </c>
      <c r="AK19" s="30">
        <f t="shared" si="14"/>
        <v>757380.3</v>
      </c>
      <c r="AL19" s="30">
        <f t="shared" si="14"/>
        <v>756442.8</v>
      </c>
      <c r="AM19" s="30">
        <f t="shared" si="14"/>
        <v>1153618.5</v>
      </c>
      <c r="AN19" s="30">
        <f t="shared" si="14"/>
        <v>1161118.5</v>
      </c>
      <c r="AO19" s="30">
        <f t="shared" si="14"/>
        <v>708162.9</v>
      </c>
      <c r="AP19" s="30">
        <f t="shared" si="14"/>
        <v>1179762.9</v>
      </c>
      <c r="AQ19" s="30">
        <f t="shared" si="14"/>
        <v>1222137.9</v>
      </c>
      <c r="AR19" s="30">
        <f t="shared" si="14"/>
        <v>1198407.3</v>
      </c>
      <c r="AS19" s="30">
        <f t="shared" si="14"/>
        <v>745451.7</v>
      </c>
      <c r="AT19" s="30">
        <f t="shared" si="14"/>
        <v>1673651.7</v>
      </c>
      <c r="AU19" s="30">
        <f t="shared" si="14"/>
        <v>1673651.7</v>
      </c>
      <c r="AV19" s="30">
        <f t="shared" si="14"/>
        <v>1673651.7</v>
      </c>
      <c r="AW19" s="30">
        <f t="shared" si="14"/>
        <v>1708526.7</v>
      </c>
      <c r="AX19" s="30">
        <f t="shared" si="14"/>
        <v>1667089.2</v>
      </c>
      <c r="AY19" s="30"/>
      <c r="AZ19" s="30">
        <f t="shared" ref="AZ19:BC19" si="15">SUMPRODUCT((YEAR($C$2:$AX$2)=AZ$2)*$C19:$AX19)</f>
        <v>179364.3</v>
      </c>
      <c r="BA19" s="30">
        <f t="shared" si="15"/>
        <v>1576644.1</v>
      </c>
      <c r="BB19" s="30">
        <f t="shared" si="15"/>
        <v>5936548.9</v>
      </c>
      <c r="BC19" s="30">
        <f t="shared" si="15"/>
        <v>15765230.7</v>
      </c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4" t="s">
        <v>126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1"/>
      <c r="BE21" s="1"/>
      <c r="BF21" s="1"/>
    </row>
    <row r="22">
      <c r="A22" s="1"/>
      <c r="B22" s="3" t="s">
        <v>107</v>
      </c>
      <c r="C22" s="8">
        <f>OPEX!F7</f>
        <v>3600</v>
      </c>
      <c r="D22" s="8">
        <f>OPEX!G7</f>
        <v>3600</v>
      </c>
      <c r="E22" s="8">
        <f>OPEX!H7</f>
        <v>4200</v>
      </c>
      <c r="F22" s="8">
        <f>OPEX!I7</f>
        <v>4800</v>
      </c>
      <c r="G22" s="8">
        <f>OPEX!J7</f>
        <v>4800</v>
      </c>
      <c r="H22" s="8">
        <f>OPEX!K7</f>
        <v>4800</v>
      </c>
      <c r="I22" s="8">
        <f>OPEX!L7</f>
        <v>4800</v>
      </c>
      <c r="J22" s="8">
        <f>OPEX!M7</f>
        <v>4800</v>
      </c>
      <c r="K22" s="8">
        <f>OPEX!N7</f>
        <v>6000</v>
      </c>
      <c r="L22" s="8">
        <f>OPEX!O7</f>
        <v>4800</v>
      </c>
      <c r="M22" s="8">
        <f>OPEX!P7</f>
        <v>4800</v>
      </c>
      <c r="N22" s="8">
        <f>OPEX!Q7</f>
        <v>4800</v>
      </c>
      <c r="O22" s="8">
        <f>OPEX!R7</f>
        <v>6000</v>
      </c>
      <c r="P22" s="8">
        <f>OPEX!S7</f>
        <v>6000</v>
      </c>
      <c r="Q22" s="8">
        <f>OPEX!T7</f>
        <v>6600</v>
      </c>
      <c r="R22" s="8">
        <f>OPEX!U7</f>
        <v>6600</v>
      </c>
      <c r="S22" s="8">
        <f>OPEX!V7</f>
        <v>7800</v>
      </c>
      <c r="T22" s="8">
        <f>OPEX!W7</f>
        <v>7800</v>
      </c>
      <c r="U22" s="8">
        <f>OPEX!X7</f>
        <v>7800</v>
      </c>
      <c r="V22" s="8">
        <f>OPEX!Y7</f>
        <v>7800</v>
      </c>
      <c r="W22" s="8">
        <f>OPEX!Z7</f>
        <v>7800</v>
      </c>
      <c r="X22" s="8">
        <f>OPEX!AA7</f>
        <v>8400</v>
      </c>
      <c r="Y22" s="8">
        <f>OPEX!AB7</f>
        <v>7800</v>
      </c>
      <c r="Z22" s="8">
        <f>OPEX!AC7</f>
        <v>7800</v>
      </c>
      <c r="AA22" s="8">
        <f>OPEX!AD7</f>
        <v>8400</v>
      </c>
      <c r="AB22" s="8">
        <f>OPEX!AE7</f>
        <v>9000</v>
      </c>
      <c r="AC22" s="8">
        <f>OPEX!AF7</f>
        <v>9000</v>
      </c>
      <c r="AD22" s="8">
        <f>OPEX!AG7</f>
        <v>9000</v>
      </c>
      <c r="AE22" s="8">
        <f>OPEX!AH7</f>
        <v>9600</v>
      </c>
      <c r="AF22" s="8">
        <f>OPEX!AI7</f>
        <v>9600</v>
      </c>
      <c r="AG22" s="8">
        <f>OPEX!AJ7</f>
        <v>10200</v>
      </c>
      <c r="AH22" s="8">
        <f>OPEX!AK7</f>
        <v>9600</v>
      </c>
      <c r="AI22" s="8">
        <f>OPEX!AL7</f>
        <v>9600</v>
      </c>
      <c r="AJ22" s="8">
        <f>OPEX!AM7</f>
        <v>10200</v>
      </c>
      <c r="AK22" s="8">
        <f>OPEX!AN7</f>
        <v>10200</v>
      </c>
      <c r="AL22" s="8">
        <f>OPEX!AO7</f>
        <v>10200</v>
      </c>
      <c r="AM22" s="8">
        <f>OPEX!AP7</f>
        <v>10200</v>
      </c>
      <c r="AN22" s="8">
        <f>OPEX!AQ7</f>
        <v>10200</v>
      </c>
      <c r="AO22" s="8">
        <f>OPEX!AR7</f>
        <v>10800</v>
      </c>
      <c r="AP22" s="8">
        <f>OPEX!AS7</f>
        <v>10800</v>
      </c>
      <c r="AQ22" s="8">
        <f>OPEX!AT7</f>
        <v>10800</v>
      </c>
      <c r="AR22" s="8">
        <f>OPEX!AU7</f>
        <v>11400</v>
      </c>
      <c r="AS22" s="8">
        <f>OPEX!AV7</f>
        <v>12000</v>
      </c>
      <c r="AT22" s="8">
        <f>OPEX!AW7</f>
        <v>12000</v>
      </c>
      <c r="AU22" s="8">
        <f>OPEX!AX7</f>
        <v>12000</v>
      </c>
      <c r="AV22" s="8">
        <f>OPEX!AY7</f>
        <v>12000</v>
      </c>
      <c r="AW22" s="8">
        <f>OPEX!AZ7</f>
        <v>12000</v>
      </c>
      <c r="AX22" s="8">
        <f>OPEX!BA7</f>
        <v>12000</v>
      </c>
      <c r="AY22" s="8"/>
      <c r="AZ22" s="8">
        <f t="shared" ref="AZ22:BC22" si="16">SUMPRODUCT((YEAR($C$2:$AX$2)=AZ$2)*$C22:$AX22)</f>
        <v>55800</v>
      </c>
      <c r="BA22" s="8">
        <f t="shared" si="16"/>
        <v>88200</v>
      </c>
      <c r="BB22" s="8">
        <f t="shared" si="16"/>
        <v>114600</v>
      </c>
      <c r="BC22" s="8">
        <f t="shared" si="16"/>
        <v>136200</v>
      </c>
      <c r="BD22" s="1"/>
      <c r="BE22" s="1"/>
      <c r="BF22" s="1"/>
    </row>
    <row r="23">
      <c r="A23" s="1"/>
      <c r="B23" s="3" t="s">
        <v>108</v>
      </c>
      <c r="C23" s="8">
        <f>OPEX!F8</f>
        <v>2303.333333</v>
      </c>
      <c r="D23" s="8">
        <f>OPEX!G8</f>
        <v>2303.333333</v>
      </c>
      <c r="E23" s="8">
        <f>OPEX!H8</f>
        <v>2423.333333</v>
      </c>
      <c r="F23" s="8">
        <f>OPEX!I8</f>
        <v>2543.333333</v>
      </c>
      <c r="G23" s="8">
        <f>OPEX!J8</f>
        <v>2543.333333</v>
      </c>
      <c r="H23" s="8">
        <f>OPEX!K8</f>
        <v>2543.333333</v>
      </c>
      <c r="I23" s="8">
        <f>OPEX!L8</f>
        <v>2543.333333</v>
      </c>
      <c r="J23" s="8">
        <f>OPEX!M8</f>
        <v>2543.333333</v>
      </c>
      <c r="K23" s="8">
        <f>OPEX!N8</f>
        <v>2783.333333</v>
      </c>
      <c r="L23" s="8">
        <f>OPEX!O8</f>
        <v>2543.333333</v>
      </c>
      <c r="M23" s="8">
        <f>OPEX!P8</f>
        <v>2543.333333</v>
      </c>
      <c r="N23" s="8">
        <f>OPEX!Q8</f>
        <v>2543.333333</v>
      </c>
      <c r="O23" s="8">
        <f>OPEX!R8</f>
        <v>2783.333333</v>
      </c>
      <c r="P23" s="8">
        <f>OPEX!S8</f>
        <v>2783.333333</v>
      </c>
      <c r="Q23" s="8">
        <f>OPEX!T8</f>
        <v>2903.333333</v>
      </c>
      <c r="R23" s="8">
        <f>OPEX!U8</f>
        <v>2903.333333</v>
      </c>
      <c r="S23" s="8">
        <f>OPEX!V8</f>
        <v>3143.333333</v>
      </c>
      <c r="T23" s="8">
        <f>OPEX!W8</f>
        <v>3143.333333</v>
      </c>
      <c r="U23" s="8">
        <f>OPEX!X8</f>
        <v>3143.333333</v>
      </c>
      <c r="V23" s="8">
        <f>OPEX!Y8</f>
        <v>3143.333333</v>
      </c>
      <c r="W23" s="8">
        <f>OPEX!Z8</f>
        <v>3143.333333</v>
      </c>
      <c r="X23" s="8">
        <f>OPEX!AA8</f>
        <v>3263.333333</v>
      </c>
      <c r="Y23" s="8">
        <f>OPEX!AB8</f>
        <v>3143.333333</v>
      </c>
      <c r="Z23" s="8">
        <f>OPEX!AC8</f>
        <v>3143.333333</v>
      </c>
      <c r="AA23" s="8">
        <f>OPEX!AD8</f>
        <v>3263.333333</v>
      </c>
      <c r="AB23" s="8">
        <f>OPEX!AE8</f>
        <v>3383.333333</v>
      </c>
      <c r="AC23" s="8">
        <f>OPEX!AF8</f>
        <v>3383.333333</v>
      </c>
      <c r="AD23" s="8">
        <f>OPEX!AG8</f>
        <v>3383.333333</v>
      </c>
      <c r="AE23" s="8">
        <f>OPEX!AH8</f>
        <v>3503.333333</v>
      </c>
      <c r="AF23" s="8">
        <f>OPEX!AI8</f>
        <v>3503.333333</v>
      </c>
      <c r="AG23" s="8">
        <f>OPEX!AJ8</f>
        <v>3623.333333</v>
      </c>
      <c r="AH23" s="8">
        <f>OPEX!AK8</f>
        <v>3503.333333</v>
      </c>
      <c r="AI23" s="8">
        <f>OPEX!AL8</f>
        <v>3503.333333</v>
      </c>
      <c r="AJ23" s="8">
        <f>OPEX!AM8</f>
        <v>3623.333333</v>
      </c>
      <c r="AK23" s="8">
        <f>OPEX!AN8</f>
        <v>3623.333333</v>
      </c>
      <c r="AL23" s="8">
        <f>OPEX!AO8</f>
        <v>3623.333333</v>
      </c>
      <c r="AM23" s="8">
        <f>OPEX!AP8</f>
        <v>3623.333333</v>
      </c>
      <c r="AN23" s="8">
        <f>OPEX!AQ8</f>
        <v>3623.333333</v>
      </c>
      <c r="AO23" s="8">
        <f>OPEX!AR8</f>
        <v>3743.333333</v>
      </c>
      <c r="AP23" s="8">
        <f>OPEX!AS8</f>
        <v>3743.333333</v>
      </c>
      <c r="AQ23" s="8">
        <f>OPEX!AT8</f>
        <v>3743.333333</v>
      </c>
      <c r="AR23" s="8">
        <f>OPEX!AU8</f>
        <v>3863.333333</v>
      </c>
      <c r="AS23" s="8">
        <f>OPEX!AV8</f>
        <v>3983.333333</v>
      </c>
      <c r="AT23" s="8">
        <f>OPEX!AW8</f>
        <v>3983.333333</v>
      </c>
      <c r="AU23" s="8">
        <f>OPEX!AX8</f>
        <v>3983.333333</v>
      </c>
      <c r="AV23" s="8">
        <f>OPEX!AY8</f>
        <v>3983.333333</v>
      </c>
      <c r="AW23" s="8">
        <f>OPEX!AZ8</f>
        <v>3983.333333</v>
      </c>
      <c r="AX23" s="8">
        <f>OPEX!BA8</f>
        <v>3983.333333</v>
      </c>
      <c r="AY23" s="8"/>
      <c r="AZ23" s="8">
        <f t="shared" ref="AZ23:BC23" si="17">SUMPRODUCT((YEAR($C$2:$AX$2)=AZ$2)*$C23:$AX23)</f>
        <v>30160</v>
      </c>
      <c r="BA23" s="8">
        <f t="shared" si="17"/>
        <v>36640</v>
      </c>
      <c r="BB23" s="8">
        <f t="shared" si="17"/>
        <v>41920</v>
      </c>
      <c r="BC23" s="8">
        <f t="shared" si="17"/>
        <v>46240</v>
      </c>
      <c r="BD23" s="1"/>
      <c r="BE23" s="1"/>
      <c r="BF23" s="1"/>
    </row>
    <row r="24">
      <c r="A24" s="1"/>
      <c r="B24" s="3" t="s">
        <v>127</v>
      </c>
      <c r="C24" s="8">
        <f>OPEX!F9</f>
        <v>240</v>
      </c>
      <c r="D24" s="8">
        <f>OPEX!G9</f>
        <v>240</v>
      </c>
      <c r="E24" s="8">
        <f>OPEX!H9</f>
        <v>280</v>
      </c>
      <c r="F24" s="8">
        <f>OPEX!I9</f>
        <v>320</v>
      </c>
      <c r="G24" s="8">
        <f>OPEX!J9</f>
        <v>320</v>
      </c>
      <c r="H24" s="8">
        <f>OPEX!K9</f>
        <v>320</v>
      </c>
      <c r="I24" s="8">
        <f>OPEX!L9</f>
        <v>320</v>
      </c>
      <c r="J24" s="8">
        <f>OPEX!M9</f>
        <v>320</v>
      </c>
      <c r="K24" s="8">
        <f>OPEX!N9</f>
        <v>400</v>
      </c>
      <c r="L24" s="8">
        <f>OPEX!O9</f>
        <v>320</v>
      </c>
      <c r="M24" s="8">
        <f>OPEX!P9</f>
        <v>320</v>
      </c>
      <c r="N24" s="8">
        <f>OPEX!Q9</f>
        <v>320</v>
      </c>
      <c r="O24" s="8">
        <f>OPEX!R9</f>
        <v>400</v>
      </c>
      <c r="P24" s="8">
        <f>OPEX!S9</f>
        <v>400</v>
      </c>
      <c r="Q24" s="8">
        <f>OPEX!T9</f>
        <v>440</v>
      </c>
      <c r="R24" s="8">
        <f>OPEX!U9</f>
        <v>440</v>
      </c>
      <c r="S24" s="8">
        <f>OPEX!V9</f>
        <v>520</v>
      </c>
      <c r="T24" s="8">
        <f>OPEX!W9</f>
        <v>520</v>
      </c>
      <c r="U24" s="8">
        <f>OPEX!X9</f>
        <v>520</v>
      </c>
      <c r="V24" s="8">
        <f>OPEX!Y9</f>
        <v>520</v>
      </c>
      <c r="W24" s="8">
        <f>OPEX!Z9</f>
        <v>520</v>
      </c>
      <c r="X24" s="8">
        <f>OPEX!AA9</f>
        <v>560</v>
      </c>
      <c r="Y24" s="8">
        <f>OPEX!AB9</f>
        <v>520</v>
      </c>
      <c r="Z24" s="8">
        <f>OPEX!AC9</f>
        <v>520</v>
      </c>
      <c r="AA24" s="8">
        <f>OPEX!AD9</f>
        <v>560</v>
      </c>
      <c r="AB24" s="8">
        <f>OPEX!AE9</f>
        <v>600</v>
      </c>
      <c r="AC24" s="8">
        <f>OPEX!AF9</f>
        <v>600</v>
      </c>
      <c r="AD24" s="8">
        <f>OPEX!AG9</f>
        <v>600</v>
      </c>
      <c r="AE24" s="8">
        <f>OPEX!AH9</f>
        <v>640</v>
      </c>
      <c r="AF24" s="8">
        <f>OPEX!AI9</f>
        <v>640</v>
      </c>
      <c r="AG24" s="8">
        <f>OPEX!AJ9</f>
        <v>680</v>
      </c>
      <c r="AH24" s="8">
        <f>OPEX!AK9</f>
        <v>640</v>
      </c>
      <c r="AI24" s="8">
        <f>OPEX!AL9</f>
        <v>640</v>
      </c>
      <c r="AJ24" s="8">
        <f>OPEX!AM9</f>
        <v>680</v>
      </c>
      <c r="AK24" s="8">
        <f>OPEX!AN9</f>
        <v>680</v>
      </c>
      <c r="AL24" s="8">
        <f>OPEX!AO9</f>
        <v>680</v>
      </c>
      <c r="AM24" s="8">
        <f>OPEX!AP9</f>
        <v>680</v>
      </c>
      <c r="AN24" s="8">
        <f>OPEX!AQ9</f>
        <v>680</v>
      </c>
      <c r="AO24" s="8">
        <f>OPEX!AR9</f>
        <v>720</v>
      </c>
      <c r="AP24" s="8">
        <f>OPEX!AS9</f>
        <v>720</v>
      </c>
      <c r="AQ24" s="8">
        <f>OPEX!AT9</f>
        <v>720</v>
      </c>
      <c r="AR24" s="8">
        <f>OPEX!AU9</f>
        <v>760</v>
      </c>
      <c r="AS24" s="8">
        <f>OPEX!AV9</f>
        <v>800</v>
      </c>
      <c r="AT24" s="8">
        <f>OPEX!AW9</f>
        <v>800</v>
      </c>
      <c r="AU24" s="8">
        <f>OPEX!AX9</f>
        <v>800</v>
      </c>
      <c r="AV24" s="8">
        <f>OPEX!AY9</f>
        <v>800</v>
      </c>
      <c r="AW24" s="8">
        <f>OPEX!AZ9</f>
        <v>800</v>
      </c>
      <c r="AX24" s="8">
        <f>OPEX!BA9</f>
        <v>800</v>
      </c>
      <c r="AY24" s="8"/>
      <c r="AZ24" s="8">
        <f t="shared" ref="AZ24:BC24" si="18">SUMPRODUCT((YEAR($C$2:$AX$2)=AZ$2)*$C24:$AX24)</f>
        <v>3720</v>
      </c>
      <c r="BA24" s="8">
        <f t="shared" si="18"/>
        <v>5880</v>
      </c>
      <c r="BB24" s="8">
        <f t="shared" si="18"/>
        <v>7640</v>
      </c>
      <c r="BC24" s="8">
        <f t="shared" si="18"/>
        <v>9080</v>
      </c>
      <c r="BD24" s="1"/>
      <c r="BE24" s="1"/>
      <c r="BF24" s="1"/>
    </row>
    <row r="25">
      <c r="A25" s="1"/>
      <c r="B25" s="3" t="s">
        <v>110</v>
      </c>
      <c r="C25" s="8">
        <f>OPEX!F10</f>
        <v>2000</v>
      </c>
      <c r="D25" s="8">
        <f>OPEX!G10</f>
        <v>2000</v>
      </c>
      <c r="E25" s="8">
        <f>OPEX!H10</f>
        <v>2000</v>
      </c>
      <c r="F25" s="8">
        <f>OPEX!I10</f>
        <v>2000</v>
      </c>
      <c r="G25" s="8">
        <f>OPEX!J10</f>
        <v>2000</v>
      </c>
      <c r="H25" s="8">
        <f>OPEX!K10</f>
        <v>2000</v>
      </c>
      <c r="I25" s="8">
        <f>OPEX!L10</f>
        <v>2000</v>
      </c>
      <c r="J25" s="8">
        <f>OPEX!M10</f>
        <v>2000</v>
      </c>
      <c r="K25" s="8">
        <f>OPEX!N10</f>
        <v>2000</v>
      </c>
      <c r="L25" s="8">
        <f>OPEX!O10</f>
        <v>2000</v>
      </c>
      <c r="M25" s="8">
        <f>OPEX!P10</f>
        <v>2000</v>
      </c>
      <c r="N25" s="8">
        <f>OPEX!Q10</f>
        <v>2000</v>
      </c>
      <c r="O25" s="8">
        <f>OPEX!R10</f>
        <v>2000</v>
      </c>
      <c r="P25" s="8">
        <f>OPEX!S10</f>
        <v>2000</v>
      </c>
      <c r="Q25" s="8">
        <f>OPEX!T10</f>
        <v>2000</v>
      </c>
      <c r="R25" s="8">
        <f>OPEX!U10</f>
        <v>2000</v>
      </c>
      <c r="S25" s="8">
        <f>OPEX!V10</f>
        <v>2000</v>
      </c>
      <c r="T25" s="8">
        <f>OPEX!W10</f>
        <v>2000</v>
      </c>
      <c r="U25" s="8">
        <f>OPEX!X10</f>
        <v>2000</v>
      </c>
      <c r="V25" s="8">
        <f>OPEX!Y10</f>
        <v>2000</v>
      </c>
      <c r="W25" s="8">
        <f>OPEX!Z10</f>
        <v>2000</v>
      </c>
      <c r="X25" s="8">
        <f>OPEX!AA10</f>
        <v>2000</v>
      </c>
      <c r="Y25" s="8">
        <f>OPEX!AB10</f>
        <v>2000</v>
      </c>
      <c r="Z25" s="8">
        <f>OPEX!AC10</f>
        <v>2000</v>
      </c>
      <c r="AA25" s="8">
        <f>OPEX!AD10</f>
        <v>2000</v>
      </c>
      <c r="AB25" s="8">
        <f>OPEX!AE10</f>
        <v>2000</v>
      </c>
      <c r="AC25" s="8">
        <f>OPEX!AF10</f>
        <v>2000</v>
      </c>
      <c r="AD25" s="8">
        <f>OPEX!AG10</f>
        <v>2000</v>
      </c>
      <c r="AE25" s="8">
        <f>OPEX!AH10</f>
        <v>2000</v>
      </c>
      <c r="AF25" s="8">
        <f>OPEX!AI10</f>
        <v>2000</v>
      </c>
      <c r="AG25" s="8">
        <f>OPEX!AJ10</f>
        <v>2000</v>
      </c>
      <c r="AH25" s="8">
        <f>OPEX!AK10</f>
        <v>2000</v>
      </c>
      <c r="AI25" s="8">
        <f>OPEX!AL10</f>
        <v>2000</v>
      </c>
      <c r="AJ25" s="8">
        <f>OPEX!AM10</f>
        <v>2000</v>
      </c>
      <c r="AK25" s="8">
        <f>OPEX!AN10</f>
        <v>2000</v>
      </c>
      <c r="AL25" s="8">
        <f>OPEX!AO10</f>
        <v>2000</v>
      </c>
      <c r="AM25" s="8">
        <f>OPEX!AP10</f>
        <v>2000</v>
      </c>
      <c r="AN25" s="8">
        <f>OPEX!AQ10</f>
        <v>2000</v>
      </c>
      <c r="AO25" s="8">
        <f>OPEX!AR10</f>
        <v>2000</v>
      </c>
      <c r="AP25" s="8">
        <f>OPEX!AS10</f>
        <v>2000</v>
      </c>
      <c r="AQ25" s="8">
        <f>OPEX!AT10</f>
        <v>2000</v>
      </c>
      <c r="AR25" s="8">
        <f>OPEX!AU10</f>
        <v>2000</v>
      </c>
      <c r="AS25" s="8">
        <f>OPEX!AV10</f>
        <v>2000</v>
      </c>
      <c r="AT25" s="8">
        <f>OPEX!AW10</f>
        <v>2000</v>
      </c>
      <c r="AU25" s="8">
        <f>OPEX!AX10</f>
        <v>2000</v>
      </c>
      <c r="AV25" s="8">
        <f>OPEX!AY10</f>
        <v>2000</v>
      </c>
      <c r="AW25" s="8">
        <f>OPEX!AZ10</f>
        <v>2000</v>
      </c>
      <c r="AX25" s="8">
        <f>OPEX!BA10</f>
        <v>2000</v>
      </c>
      <c r="AY25" s="8"/>
      <c r="AZ25" s="8">
        <f t="shared" ref="AZ25:BC25" si="19">SUMPRODUCT((YEAR($C$2:$AX$2)=AZ$2)*$C25:$AX25)</f>
        <v>24000</v>
      </c>
      <c r="BA25" s="8">
        <f t="shared" si="19"/>
        <v>24000</v>
      </c>
      <c r="BB25" s="8">
        <f t="shared" si="19"/>
        <v>24000</v>
      </c>
      <c r="BC25" s="8">
        <f t="shared" si="19"/>
        <v>24000</v>
      </c>
      <c r="BD25" s="1"/>
      <c r="BE25" s="1"/>
      <c r="BF25" s="1"/>
    </row>
    <row r="26">
      <c r="A26" s="1"/>
      <c r="B26" s="3" t="s">
        <v>111</v>
      </c>
      <c r="C26" s="8">
        <f>OPEX!F11</f>
        <v>500</v>
      </c>
      <c r="D26" s="8">
        <f>OPEX!G11</f>
        <v>500</v>
      </c>
      <c r="E26" s="8">
        <f>OPEX!H11</f>
        <v>500</v>
      </c>
      <c r="F26" s="8">
        <f>OPEX!I11</f>
        <v>500</v>
      </c>
      <c r="G26" s="8">
        <f>OPEX!J11</f>
        <v>500</v>
      </c>
      <c r="H26" s="8">
        <f>OPEX!K11</f>
        <v>500</v>
      </c>
      <c r="I26" s="8">
        <f>OPEX!L11</f>
        <v>500</v>
      </c>
      <c r="J26" s="8">
        <f>OPEX!M11</f>
        <v>500</v>
      </c>
      <c r="K26" s="8">
        <f>OPEX!N11</f>
        <v>500</v>
      </c>
      <c r="L26" s="8">
        <f>OPEX!O11</f>
        <v>500</v>
      </c>
      <c r="M26" s="8">
        <f>OPEX!P11</f>
        <v>500</v>
      </c>
      <c r="N26" s="8">
        <f>OPEX!Q11</f>
        <v>500</v>
      </c>
      <c r="O26" s="8">
        <f>OPEX!R11</f>
        <v>500</v>
      </c>
      <c r="P26" s="8">
        <f>OPEX!S11</f>
        <v>500</v>
      </c>
      <c r="Q26" s="8">
        <f>OPEX!T11</f>
        <v>500</v>
      </c>
      <c r="R26" s="8">
        <f>OPEX!U11</f>
        <v>500</v>
      </c>
      <c r="S26" s="8">
        <f>OPEX!V11</f>
        <v>500</v>
      </c>
      <c r="T26" s="8">
        <f>OPEX!W11</f>
        <v>500</v>
      </c>
      <c r="U26" s="8">
        <f>OPEX!X11</f>
        <v>500</v>
      </c>
      <c r="V26" s="8">
        <f>OPEX!Y11</f>
        <v>500</v>
      </c>
      <c r="W26" s="8">
        <f>OPEX!Z11</f>
        <v>500</v>
      </c>
      <c r="X26" s="8">
        <f>OPEX!AA11</f>
        <v>500</v>
      </c>
      <c r="Y26" s="8">
        <f>OPEX!AB11</f>
        <v>500</v>
      </c>
      <c r="Z26" s="8">
        <f>OPEX!AC11</f>
        <v>500</v>
      </c>
      <c r="AA26" s="8">
        <f>OPEX!AD11</f>
        <v>500</v>
      </c>
      <c r="AB26" s="8">
        <f>OPEX!AE11</f>
        <v>500</v>
      </c>
      <c r="AC26" s="8">
        <f>OPEX!AF11</f>
        <v>500</v>
      </c>
      <c r="AD26" s="8">
        <f>OPEX!AG11</f>
        <v>500</v>
      </c>
      <c r="AE26" s="8">
        <f>OPEX!AH11</f>
        <v>500</v>
      </c>
      <c r="AF26" s="8">
        <f>OPEX!AI11</f>
        <v>500</v>
      </c>
      <c r="AG26" s="8">
        <f>OPEX!AJ11</f>
        <v>500</v>
      </c>
      <c r="AH26" s="8">
        <f>OPEX!AK11</f>
        <v>500</v>
      </c>
      <c r="AI26" s="8">
        <f>OPEX!AL11</f>
        <v>500</v>
      </c>
      <c r="AJ26" s="8">
        <f>OPEX!AM11</f>
        <v>500</v>
      </c>
      <c r="AK26" s="8">
        <f>OPEX!AN11</f>
        <v>500</v>
      </c>
      <c r="AL26" s="8">
        <f>OPEX!AO11</f>
        <v>500</v>
      </c>
      <c r="AM26" s="8">
        <f>OPEX!AP11</f>
        <v>500</v>
      </c>
      <c r="AN26" s="8">
        <f>OPEX!AQ11</f>
        <v>500</v>
      </c>
      <c r="AO26" s="8">
        <f>OPEX!AR11</f>
        <v>500</v>
      </c>
      <c r="AP26" s="8">
        <f>OPEX!AS11</f>
        <v>500</v>
      </c>
      <c r="AQ26" s="8">
        <f>OPEX!AT11</f>
        <v>500</v>
      </c>
      <c r="AR26" s="8">
        <f>OPEX!AU11</f>
        <v>500</v>
      </c>
      <c r="AS26" s="8">
        <f>OPEX!AV11</f>
        <v>500</v>
      </c>
      <c r="AT26" s="8">
        <f>OPEX!AW11</f>
        <v>500</v>
      </c>
      <c r="AU26" s="8">
        <f>OPEX!AX11</f>
        <v>500</v>
      </c>
      <c r="AV26" s="8">
        <f>OPEX!AY11</f>
        <v>500</v>
      </c>
      <c r="AW26" s="8">
        <f>OPEX!AZ11</f>
        <v>500</v>
      </c>
      <c r="AX26" s="8">
        <f>OPEX!BA11</f>
        <v>500</v>
      </c>
      <c r="AY26" s="8"/>
      <c r="AZ26" s="8">
        <f t="shared" ref="AZ26:BC26" si="20">SUMPRODUCT((YEAR($C$2:$AX$2)=AZ$2)*$C26:$AX26)</f>
        <v>6000</v>
      </c>
      <c r="BA26" s="8">
        <f t="shared" si="20"/>
        <v>6000</v>
      </c>
      <c r="BB26" s="8">
        <f t="shared" si="20"/>
        <v>6000</v>
      </c>
      <c r="BC26" s="8">
        <f t="shared" si="20"/>
        <v>6000</v>
      </c>
      <c r="BD26" s="1"/>
      <c r="BE26" s="1"/>
      <c r="BF26" s="1"/>
    </row>
    <row r="27">
      <c r="A27" s="1"/>
      <c r="B27" s="3" t="s">
        <v>128</v>
      </c>
      <c r="C27" s="8">
        <f>OPEX!F12</f>
        <v>600</v>
      </c>
      <c r="D27" s="8">
        <f>OPEX!G12</f>
        <v>600</v>
      </c>
      <c r="E27" s="8">
        <f>OPEX!H12</f>
        <v>700</v>
      </c>
      <c r="F27" s="8">
        <f>OPEX!I12</f>
        <v>800</v>
      </c>
      <c r="G27" s="8">
        <f>OPEX!J12</f>
        <v>800</v>
      </c>
      <c r="H27" s="8">
        <f>OPEX!K12</f>
        <v>800</v>
      </c>
      <c r="I27" s="8">
        <f>OPEX!L12</f>
        <v>800</v>
      </c>
      <c r="J27" s="8">
        <f>OPEX!M12</f>
        <v>800</v>
      </c>
      <c r="K27" s="8">
        <f>OPEX!N12</f>
        <v>1000</v>
      </c>
      <c r="L27" s="8">
        <f>OPEX!O12</f>
        <v>800</v>
      </c>
      <c r="M27" s="8">
        <f>OPEX!P12</f>
        <v>800</v>
      </c>
      <c r="N27" s="8">
        <f>OPEX!Q12</f>
        <v>800</v>
      </c>
      <c r="O27" s="8">
        <f>OPEX!R12</f>
        <v>1000</v>
      </c>
      <c r="P27" s="8">
        <f>OPEX!S12</f>
        <v>1000</v>
      </c>
      <c r="Q27" s="8">
        <f>OPEX!T12</f>
        <v>1100</v>
      </c>
      <c r="R27" s="8">
        <f>OPEX!U12</f>
        <v>1100</v>
      </c>
      <c r="S27" s="8">
        <f>OPEX!V12</f>
        <v>1300</v>
      </c>
      <c r="T27" s="8">
        <f>OPEX!W12</f>
        <v>1300</v>
      </c>
      <c r="U27" s="8">
        <f>OPEX!X12</f>
        <v>1300</v>
      </c>
      <c r="V27" s="8">
        <f>OPEX!Y12</f>
        <v>1300</v>
      </c>
      <c r="W27" s="8">
        <f>OPEX!Z12</f>
        <v>1300</v>
      </c>
      <c r="X27" s="8">
        <f>OPEX!AA12</f>
        <v>1400</v>
      </c>
      <c r="Y27" s="8">
        <f>OPEX!AB12</f>
        <v>1300</v>
      </c>
      <c r="Z27" s="8">
        <f>OPEX!AC12</f>
        <v>1300</v>
      </c>
      <c r="AA27" s="8">
        <f>OPEX!AD12</f>
        <v>1400</v>
      </c>
      <c r="AB27" s="8">
        <f>OPEX!AE12</f>
        <v>1500</v>
      </c>
      <c r="AC27" s="8">
        <f>OPEX!AF12</f>
        <v>1500</v>
      </c>
      <c r="AD27" s="8">
        <f>OPEX!AG12</f>
        <v>1500</v>
      </c>
      <c r="AE27" s="8">
        <f>OPEX!AH12</f>
        <v>1600</v>
      </c>
      <c r="AF27" s="8">
        <f>OPEX!AI12</f>
        <v>1600</v>
      </c>
      <c r="AG27" s="8">
        <f>OPEX!AJ12</f>
        <v>1700</v>
      </c>
      <c r="AH27" s="8">
        <f>OPEX!AK12</f>
        <v>1600</v>
      </c>
      <c r="AI27" s="8">
        <f>OPEX!AL12</f>
        <v>1600</v>
      </c>
      <c r="AJ27" s="8">
        <f>OPEX!AM12</f>
        <v>1700</v>
      </c>
      <c r="AK27" s="8">
        <f>OPEX!AN12</f>
        <v>1700</v>
      </c>
      <c r="AL27" s="8">
        <f>OPEX!AO12</f>
        <v>1700</v>
      </c>
      <c r="AM27" s="8">
        <f>OPEX!AP12</f>
        <v>1700</v>
      </c>
      <c r="AN27" s="8">
        <f>OPEX!AQ12</f>
        <v>1700</v>
      </c>
      <c r="AO27" s="8">
        <f>OPEX!AR12</f>
        <v>1800</v>
      </c>
      <c r="AP27" s="8">
        <f>OPEX!AS12</f>
        <v>1800</v>
      </c>
      <c r="AQ27" s="8">
        <f>OPEX!AT12</f>
        <v>1800</v>
      </c>
      <c r="AR27" s="8">
        <f>OPEX!AU12</f>
        <v>1900</v>
      </c>
      <c r="AS27" s="8">
        <f>OPEX!AV12</f>
        <v>2000</v>
      </c>
      <c r="AT27" s="8">
        <f>OPEX!AW12</f>
        <v>2000</v>
      </c>
      <c r="AU27" s="8">
        <f>OPEX!AX12</f>
        <v>2000</v>
      </c>
      <c r="AV27" s="8">
        <f>OPEX!AY12</f>
        <v>2000</v>
      </c>
      <c r="AW27" s="8">
        <f>OPEX!AZ12</f>
        <v>2000</v>
      </c>
      <c r="AX27" s="8">
        <f>OPEX!BA12</f>
        <v>2000</v>
      </c>
      <c r="AY27" s="8"/>
      <c r="AZ27" s="8">
        <f t="shared" ref="AZ27:BC27" si="21">SUMPRODUCT((YEAR($C$2:$AX$2)=AZ$2)*$C27:$AX27)</f>
        <v>9300</v>
      </c>
      <c r="BA27" s="8">
        <f t="shared" si="21"/>
        <v>14700</v>
      </c>
      <c r="BB27" s="8">
        <f t="shared" si="21"/>
        <v>19100</v>
      </c>
      <c r="BC27" s="8">
        <f t="shared" si="21"/>
        <v>22700</v>
      </c>
      <c r="BD27" s="1"/>
      <c r="BE27" s="1"/>
      <c r="BF27" s="1"/>
    </row>
    <row r="28">
      <c r="A28" s="1"/>
      <c r="B28" s="3" t="s">
        <v>113</v>
      </c>
      <c r="C28" s="8">
        <f>OPEX!F13</f>
        <v>140</v>
      </c>
      <c r="D28" s="8">
        <f>OPEX!G13</f>
        <v>140</v>
      </c>
      <c r="E28" s="8">
        <f>OPEX!H13</f>
        <v>140</v>
      </c>
      <c r="F28" s="8">
        <f>OPEX!I13</f>
        <v>140</v>
      </c>
      <c r="G28" s="8">
        <f>OPEX!J13</f>
        <v>140</v>
      </c>
      <c r="H28" s="8">
        <f>OPEX!K13</f>
        <v>140</v>
      </c>
      <c r="I28" s="8">
        <f>OPEX!L13</f>
        <v>140</v>
      </c>
      <c r="J28" s="8">
        <f>OPEX!M13</f>
        <v>140</v>
      </c>
      <c r="K28" s="8">
        <f>OPEX!N13</f>
        <v>140</v>
      </c>
      <c r="L28" s="8">
        <f>OPEX!O13</f>
        <v>140</v>
      </c>
      <c r="M28" s="8">
        <f>OPEX!P13</f>
        <v>140</v>
      </c>
      <c r="N28" s="8">
        <f>OPEX!Q13</f>
        <v>140</v>
      </c>
      <c r="O28" s="8">
        <f>OPEX!R13</f>
        <v>140</v>
      </c>
      <c r="P28" s="8">
        <f>OPEX!S13</f>
        <v>140</v>
      </c>
      <c r="Q28" s="8">
        <f>OPEX!T13</f>
        <v>140</v>
      </c>
      <c r="R28" s="8">
        <f>OPEX!U13</f>
        <v>140</v>
      </c>
      <c r="S28" s="8">
        <f>OPEX!V13</f>
        <v>140</v>
      </c>
      <c r="T28" s="8">
        <f>OPEX!W13</f>
        <v>140</v>
      </c>
      <c r="U28" s="8">
        <f>OPEX!X13</f>
        <v>140</v>
      </c>
      <c r="V28" s="8">
        <f>OPEX!Y13</f>
        <v>140</v>
      </c>
      <c r="W28" s="8">
        <f>OPEX!Z13</f>
        <v>140</v>
      </c>
      <c r="X28" s="8">
        <f>OPEX!AA13</f>
        <v>140</v>
      </c>
      <c r="Y28" s="8">
        <f>OPEX!AB13</f>
        <v>140</v>
      </c>
      <c r="Z28" s="8">
        <f>OPEX!AC13</f>
        <v>140</v>
      </c>
      <c r="AA28" s="8">
        <f>OPEX!AD13</f>
        <v>140</v>
      </c>
      <c r="AB28" s="8">
        <f>OPEX!AE13</f>
        <v>140</v>
      </c>
      <c r="AC28" s="8">
        <f>OPEX!AF13</f>
        <v>140</v>
      </c>
      <c r="AD28" s="8">
        <f>OPEX!AG13</f>
        <v>140</v>
      </c>
      <c r="AE28" s="8">
        <f>OPEX!AH13</f>
        <v>140</v>
      </c>
      <c r="AF28" s="8">
        <f>OPEX!AI13</f>
        <v>140</v>
      </c>
      <c r="AG28" s="8">
        <f>OPEX!AJ13</f>
        <v>140</v>
      </c>
      <c r="AH28" s="8">
        <f>OPEX!AK13</f>
        <v>140</v>
      </c>
      <c r="AI28" s="8">
        <f>OPEX!AL13</f>
        <v>140</v>
      </c>
      <c r="AJ28" s="8">
        <f>OPEX!AM13</f>
        <v>140</v>
      </c>
      <c r="AK28" s="8">
        <f>OPEX!AN13</f>
        <v>140</v>
      </c>
      <c r="AL28" s="8">
        <f>OPEX!AO13</f>
        <v>140</v>
      </c>
      <c r="AM28" s="8">
        <f>OPEX!AP13</f>
        <v>140</v>
      </c>
      <c r="AN28" s="8">
        <f>OPEX!AQ13</f>
        <v>140</v>
      </c>
      <c r="AO28" s="8">
        <f>OPEX!AR13</f>
        <v>140</v>
      </c>
      <c r="AP28" s="8">
        <f>OPEX!AS13</f>
        <v>140</v>
      </c>
      <c r="AQ28" s="8">
        <f>OPEX!AT13</f>
        <v>140</v>
      </c>
      <c r="AR28" s="8">
        <f>OPEX!AU13</f>
        <v>140</v>
      </c>
      <c r="AS28" s="8">
        <f>OPEX!AV13</f>
        <v>140</v>
      </c>
      <c r="AT28" s="8">
        <f>OPEX!AW13</f>
        <v>140</v>
      </c>
      <c r="AU28" s="8">
        <f>OPEX!AX13</f>
        <v>140</v>
      </c>
      <c r="AV28" s="8">
        <f>OPEX!AY13</f>
        <v>140</v>
      </c>
      <c r="AW28" s="8">
        <f>OPEX!AZ13</f>
        <v>140</v>
      </c>
      <c r="AX28" s="8">
        <f>OPEX!BA13</f>
        <v>140</v>
      </c>
      <c r="AY28" s="8"/>
      <c r="AZ28" s="8">
        <f t="shared" ref="AZ28:BC28" si="22">SUMPRODUCT((YEAR($C$2:$AX$2)=AZ$2)*$C28:$AX28)</f>
        <v>1680</v>
      </c>
      <c r="BA28" s="8">
        <f t="shared" si="22"/>
        <v>1680</v>
      </c>
      <c r="BB28" s="8">
        <f t="shared" si="22"/>
        <v>1680</v>
      </c>
      <c r="BC28" s="8">
        <f t="shared" si="22"/>
        <v>1680</v>
      </c>
      <c r="BD28" s="1"/>
      <c r="BE28" s="1"/>
      <c r="BF28" s="1"/>
    </row>
    <row r="29">
      <c r="A29" s="1"/>
      <c r="B29" s="28" t="s">
        <v>115</v>
      </c>
      <c r="C29" s="30">
        <f t="shared" ref="C29:AX29" si="23">SUM(C22:C28)</f>
        <v>9383.333333</v>
      </c>
      <c r="D29" s="30">
        <f t="shared" si="23"/>
        <v>9383.333333</v>
      </c>
      <c r="E29" s="30">
        <f t="shared" si="23"/>
        <v>10243.33333</v>
      </c>
      <c r="F29" s="30">
        <f t="shared" si="23"/>
        <v>11103.33333</v>
      </c>
      <c r="G29" s="30">
        <f t="shared" si="23"/>
        <v>11103.33333</v>
      </c>
      <c r="H29" s="30">
        <f t="shared" si="23"/>
        <v>11103.33333</v>
      </c>
      <c r="I29" s="30">
        <f t="shared" si="23"/>
        <v>11103.33333</v>
      </c>
      <c r="J29" s="30">
        <f t="shared" si="23"/>
        <v>11103.33333</v>
      </c>
      <c r="K29" s="30">
        <f t="shared" si="23"/>
        <v>12823.33333</v>
      </c>
      <c r="L29" s="30">
        <f t="shared" si="23"/>
        <v>11103.33333</v>
      </c>
      <c r="M29" s="30">
        <f t="shared" si="23"/>
        <v>11103.33333</v>
      </c>
      <c r="N29" s="30">
        <f t="shared" si="23"/>
        <v>11103.33333</v>
      </c>
      <c r="O29" s="30">
        <f t="shared" si="23"/>
        <v>12823.33333</v>
      </c>
      <c r="P29" s="30">
        <f t="shared" si="23"/>
        <v>12823.33333</v>
      </c>
      <c r="Q29" s="30">
        <f t="shared" si="23"/>
        <v>13683.33333</v>
      </c>
      <c r="R29" s="30">
        <f t="shared" si="23"/>
        <v>13683.33333</v>
      </c>
      <c r="S29" s="30">
        <f t="shared" si="23"/>
        <v>15403.33333</v>
      </c>
      <c r="T29" s="30">
        <f t="shared" si="23"/>
        <v>15403.33333</v>
      </c>
      <c r="U29" s="30">
        <f t="shared" si="23"/>
        <v>15403.33333</v>
      </c>
      <c r="V29" s="30">
        <f t="shared" si="23"/>
        <v>15403.33333</v>
      </c>
      <c r="W29" s="30">
        <f t="shared" si="23"/>
        <v>15403.33333</v>
      </c>
      <c r="X29" s="30">
        <f t="shared" si="23"/>
        <v>16263.33333</v>
      </c>
      <c r="Y29" s="30">
        <f t="shared" si="23"/>
        <v>15403.33333</v>
      </c>
      <c r="Z29" s="30">
        <f t="shared" si="23"/>
        <v>15403.33333</v>
      </c>
      <c r="AA29" s="30">
        <f t="shared" si="23"/>
        <v>16263.33333</v>
      </c>
      <c r="AB29" s="30">
        <f t="shared" si="23"/>
        <v>17123.33333</v>
      </c>
      <c r="AC29" s="30">
        <f t="shared" si="23"/>
        <v>17123.33333</v>
      </c>
      <c r="AD29" s="30">
        <f t="shared" si="23"/>
        <v>17123.33333</v>
      </c>
      <c r="AE29" s="30">
        <f t="shared" si="23"/>
        <v>17983.33333</v>
      </c>
      <c r="AF29" s="30">
        <f t="shared" si="23"/>
        <v>17983.33333</v>
      </c>
      <c r="AG29" s="30">
        <f t="shared" si="23"/>
        <v>18843.33333</v>
      </c>
      <c r="AH29" s="30">
        <f t="shared" si="23"/>
        <v>17983.33333</v>
      </c>
      <c r="AI29" s="30">
        <f t="shared" si="23"/>
        <v>17983.33333</v>
      </c>
      <c r="AJ29" s="30">
        <f t="shared" si="23"/>
        <v>18843.33333</v>
      </c>
      <c r="AK29" s="30">
        <f t="shared" si="23"/>
        <v>18843.33333</v>
      </c>
      <c r="AL29" s="30">
        <f t="shared" si="23"/>
        <v>18843.33333</v>
      </c>
      <c r="AM29" s="30">
        <f t="shared" si="23"/>
        <v>18843.33333</v>
      </c>
      <c r="AN29" s="30">
        <f t="shared" si="23"/>
        <v>18843.33333</v>
      </c>
      <c r="AO29" s="30">
        <f t="shared" si="23"/>
        <v>19703.33333</v>
      </c>
      <c r="AP29" s="30">
        <f t="shared" si="23"/>
        <v>19703.33333</v>
      </c>
      <c r="AQ29" s="30">
        <f t="shared" si="23"/>
        <v>19703.33333</v>
      </c>
      <c r="AR29" s="30">
        <f t="shared" si="23"/>
        <v>20563.33333</v>
      </c>
      <c r="AS29" s="30">
        <f t="shared" si="23"/>
        <v>21423.33333</v>
      </c>
      <c r="AT29" s="30">
        <f t="shared" si="23"/>
        <v>21423.33333</v>
      </c>
      <c r="AU29" s="30">
        <f t="shared" si="23"/>
        <v>21423.33333</v>
      </c>
      <c r="AV29" s="30">
        <f t="shared" si="23"/>
        <v>21423.33333</v>
      </c>
      <c r="AW29" s="30">
        <f t="shared" si="23"/>
        <v>21423.33333</v>
      </c>
      <c r="AX29" s="30">
        <f t="shared" si="23"/>
        <v>21423.33333</v>
      </c>
      <c r="AY29" s="30"/>
      <c r="AZ29" s="30">
        <f t="shared" ref="AZ29:BC29" si="24">SUMPRODUCT((YEAR($C$2:$AX$2)=AZ$2)*$C29:$AX29)</f>
        <v>130660</v>
      </c>
      <c r="BA29" s="30">
        <f t="shared" si="24"/>
        <v>177100</v>
      </c>
      <c r="BB29" s="30">
        <f t="shared" si="24"/>
        <v>214940</v>
      </c>
      <c r="BC29" s="30">
        <f t="shared" si="24"/>
        <v>245900</v>
      </c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114</v>
      </c>
      <c r="C31" s="8">
        <f>OPEX!F14</f>
        <v>1307</v>
      </c>
      <c r="D31" s="8">
        <f>OPEX!G14</f>
        <v>1307</v>
      </c>
      <c r="E31" s="8">
        <f>OPEX!H14</f>
        <v>1307</v>
      </c>
      <c r="F31" s="8">
        <f>OPEX!I14</f>
        <v>1307</v>
      </c>
      <c r="G31" s="8">
        <f>OPEX!J14</f>
        <v>1307</v>
      </c>
      <c r="H31" s="8">
        <f>OPEX!K14</f>
        <v>1307</v>
      </c>
      <c r="I31" s="8">
        <f>OPEX!L14</f>
        <v>1307</v>
      </c>
      <c r="J31" s="8">
        <f>OPEX!M14</f>
        <v>1307</v>
      </c>
      <c r="K31" s="8">
        <f>OPEX!N14</f>
        <v>1307</v>
      </c>
      <c r="L31" s="8">
        <f>OPEX!O14</f>
        <v>1307</v>
      </c>
      <c r="M31" s="8">
        <f>OPEX!P14</f>
        <v>1307</v>
      </c>
      <c r="N31" s="8">
        <f>OPEX!Q14</f>
        <v>1307</v>
      </c>
      <c r="O31" s="8">
        <f>OPEX!R14</f>
        <v>1307</v>
      </c>
      <c r="P31" s="8">
        <f>OPEX!S14</f>
        <v>1307</v>
      </c>
      <c r="Q31" s="8">
        <f>OPEX!T14</f>
        <v>1307</v>
      </c>
      <c r="R31" s="8">
        <f>OPEX!U14</f>
        <v>1307</v>
      </c>
      <c r="S31" s="8">
        <f>OPEX!V14</f>
        <v>1307</v>
      </c>
      <c r="T31" s="8">
        <f>OPEX!W14</f>
        <v>1307</v>
      </c>
      <c r="U31" s="8">
        <f>OPEX!X14</f>
        <v>1307</v>
      </c>
      <c r="V31" s="8">
        <f>OPEX!Y14</f>
        <v>1307</v>
      </c>
      <c r="W31" s="8">
        <f>OPEX!Z14</f>
        <v>1307</v>
      </c>
      <c r="X31" s="8">
        <f>OPEX!AA14</f>
        <v>1307</v>
      </c>
      <c r="Y31" s="8">
        <f>OPEX!AB14</f>
        <v>1307</v>
      </c>
      <c r="Z31" s="8">
        <f>OPEX!AC14</f>
        <v>1307</v>
      </c>
      <c r="AA31" s="8">
        <f>OPEX!AD14</f>
        <v>1307</v>
      </c>
      <c r="AB31" s="8">
        <f>OPEX!AE14</f>
        <v>1307</v>
      </c>
      <c r="AC31" s="8">
        <f>OPEX!AF14</f>
        <v>1307</v>
      </c>
      <c r="AD31" s="8">
        <f>OPEX!AG14</f>
        <v>1307</v>
      </c>
      <c r="AE31" s="8">
        <f>OPEX!AH14</f>
        <v>1307</v>
      </c>
      <c r="AF31" s="8">
        <f>OPEX!AI14</f>
        <v>1307</v>
      </c>
      <c r="AG31" s="8">
        <f>OPEX!AJ14</f>
        <v>1307</v>
      </c>
      <c r="AH31" s="8">
        <f>OPEX!AK14</f>
        <v>1307</v>
      </c>
      <c r="AI31" s="8">
        <f>OPEX!AL14</f>
        <v>1307</v>
      </c>
      <c r="AJ31" s="8">
        <f>OPEX!AM14</f>
        <v>1307</v>
      </c>
      <c r="AK31" s="8">
        <f>OPEX!AN14</f>
        <v>1307</v>
      </c>
      <c r="AL31" s="8">
        <f>OPEX!AO14</f>
        <v>1307</v>
      </c>
      <c r="AM31" s="8">
        <f>OPEX!AP14</f>
        <v>1307</v>
      </c>
      <c r="AN31" s="8">
        <f>OPEX!AQ14</f>
        <v>1307</v>
      </c>
      <c r="AO31" s="8">
        <f>OPEX!AR14</f>
        <v>1307</v>
      </c>
      <c r="AP31" s="8">
        <f>OPEX!AS14</f>
        <v>1307</v>
      </c>
      <c r="AQ31" s="8">
        <f>OPEX!AT14</f>
        <v>1307</v>
      </c>
      <c r="AR31" s="8">
        <f>OPEX!AU14</f>
        <v>1307</v>
      </c>
      <c r="AS31" s="8">
        <f>OPEX!AV14</f>
        <v>1307</v>
      </c>
      <c r="AT31" s="8">
        <f>OPEX!AW14</f>
        <v>1307</v>
      </c>
      <c r="AU31" s="8">
        <f>OPEX!AX14</f>
        <v>1307</v>
      </c>
      <c r="AV31" s="8">
        <f>OPEX!AY14</f>
        <v>1307</v>
      </c>
      <c r="AW31" s="8">
        <f>OPEX!AZ14</f>
        <v>1307</v>
      </c>
      <c r="AX31" s="8">
        <f>OPEX!BA14</f>
        <v>1307</v>
      </c>
      <c r="AY31" s="8"/>
      <c r="AZ31" s="8">
        <f t="shared" ref="AZ31:BC31" si="25">SUMPRODUCT((YEAR($C$2:$AX$2)=AZ$2)*$C31:$AX31)</f>
        <v>15684</v>
      </c>
      <c r="BA31" s="8">
        <f t="shared" si="25"/>
        <v>15684</v>
      </c>
      <c r="BB31" s="8">
        <f t="shared" si="25"/>
        <v>15684</v>
      </c>
      <c r="BC31" s="8">
        <f t="shared" si="25"/>
        <v>15684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28" t="s">
        <v>129</v>
      </c>
      <c r="C33" s="30">
        <f t="shared" ref="C33:AX33" si="26">C17+C29+C31</f>
        <v>50394.73333</v>
      </c>
      <c r="D33" s="30">
        <f t="shared" si="26"/>
        <v>50394.73333</v>
      </c>
      <c r="E33" s="30">
        <f t="shared" si="26"/>
        <v>55110.33333</v>
      </c>
      <c r="F33" s="30">
        <f t="shared" si="26"/>
        <v>59825.93333</v>
      </c>
      <c r="G33" s="30">
        <f t="shared" si="26"/>
        <v>59825.93333</v>
      </c>
      <c r="H33" s="30">
        <f t="shared" si="26"/>
        <v>71375.93333</v>
      </c>
      <c r="I33" s="30">
        <f t="shared" si="26"/>
        <v>65600.93333</v>
      </c>
      <c r="J33" s="30">
        <f t="shared" si="26"/>
        <v>71375.93333</v>
      </c>
      <c r="K33" s="30">
        <f t="shared" si="26"/>
        <v>76959.93333</v>
      </c>
      <c r="L33" s="30">
        <f t="shared" si="26"/>
        <v>117575.9333</v>
      </c>
      <c r="M33" s="30">
        <f t="shared" si="26"/>
        <v>65600.93333</v>
      </c>
      <c r="N33" s="30">
        <f t="shared" si="26"/>
        <v>71375.93333</v>
      </c>
      <c r="O33" s="30">
        <f t="shared" si="26"/>
        <v>86027.73333</v>
      </c>
      <c r="P33" s="30">
        <f t="shared" si="26"/>
        <v>95729.73333</v>
      </c>
      <c r="Q33" s="30">
        <f t="shared" si="26"/>
        <v>90743.33333</v>
      </c>
      <c r="R33" s="30">
        <f t="shared" si="26"/>
        <v>208245.3333</v>
      </c>
      <c r="S33" s="30">
        <f t="shared" si="26"/>
        <v>102102.3333</v>
      </c>
      <c r="T33" s="30">
        <f t="shared" si="26"/>
        <v>121506.3333</v>
      </c>
      <c r="U33" s="30">
        <f t="shared" si="26"/>
        <v>111804.3333</v>
      </c>
      <c r="V33" s="30">
        <f t="shared" si="26"/>
        <v>229306.3333</v>
      </c>
      <c r="W33" s="30">
        <f t="shared" si="26"/>
        <v>219604.3333</v>
      </c>
      <c r="X33" s="30">
        <f t="shared" si="26"/>
        <v>126221.9333</v>
      </c>
      <c r="Y33" s="30">
        <f t="shared" si="26"/>
        <v>219604.3333</v>
      </c>
      <c r="Z33" s="30">
        <f t="shared" si="26"/>
        <v>229306.3333</v>
      </c>
      <c r="AA33" s="30">
        <f t="shared" si="26"/>
        <v>356818.7333</v>
      </c>
      <c r="AB33" s="30">
        <f t="shared" si="26"/>
        <v>140852.3333</v>
      </c>
      <c r="AC33" s="30">
        <f t="shared" si="26"/>
        <v>361534.3333</v>
      </c>
      <c r="AD33" s="30">
        <f t="shared" si="26"/>
        <v>344594.3333</v>
      </c>
      <c r="AE33" s="30">
        <f t="shared" si="26"/>
        <v>366249.9333</v>
      </c>
      <c r="AF33" s="30">
        <f t="shared" si="26"/>
        <v>162507.9333</v>
      </c>
      <c r="AG33" s="30">
        <f t="shared" si="26"/>
        <v>370965.5333</v>
      </c>
      <c r="AH33" s="30">
        <f t="shared" si="26"/>
        <v>569991.9333</v>
      </c>
      <c r="AI33" s="30">
        <f t="shared" si="26"/>
        <v>569991.9333</v>
      </c>
      <c r="AJ33" s="30">
        <f t="shared" si="26"/>
        <v>370965.5333</v>
      </c>
      <c r="AK33" s="30">
        <f t="shared" si="26"/>
        <v>574707.5333</v>
      </c>
      <c r="AL33" s="30">
        <f t="shared" si="26"/>
        <v>574707.5333</v>
      </c>
      <c r="AM33" s="30">
        <f t="shared" si="26"/>
        <v>854969.3333</v>
      </c>
      <c r="AN33" s="30">
        <f t="shared" si="26"/>
        <v>854969.3333</v>
      </c>
      <c r="AO33" s="30">
        <f t="shared" si="26"/>
        <v>536284.9333</v>
      </c>
      <c r="AP33" s="30">
        <f t="shared" si="26"/>
        <v>859684.9333</v>
      </c>
      <c r="AQ33" s="30">
        <f t="shared" si="26"/>
        <v>888559.9333</v>
      </c>
      <c r="AR33" s="30">
        <f t="shared" si="26"/>
        <v>864400.5333</v>
      </c>
      <c r="AS33" s="30">
        <f t="shared" si="26"/>
        <v>545716.1333</v>
      </c>
      <c r="AT33" s="30">
        <f t="shared" si="26"/>
        <v>1192516.133</v>
      </c>
      <c r="AU33" s="30">
        <f t="shared" si="26"/>
        <v>1192516.133</v>
      </c>
      <c r="AV33" s="30">
        <f t="shared" si="26"/>
        <v>1192516.133</v>
      </c>
      <c r="AW33" s="30">
        <f t="shared" si="26"/>
        <v>1221391.133</v>
      </c>
      <c r="AX33" s="30">
        <f t="shared" si="26"/>
        <v>1192516.133</v>
      </c>
      <c r="AY33" s="30"/>
      <c r="AZ33" s="30">
        <f t="shared" ref="AZ33:BC33" si="27">SUMPRODUCT((YEAR($C$2:$AX$2)=AZ$2)*$C33:$AX33)</f>
        <v>815417.2</v>
      </c>
      <c r="BA33" s="30">
        <f t="shared" si="27"/>
        <v>1840202.4</v>
      </c>
      <c r="BB33" s="30">
        <f t="shared" si="27"/>
        <v>4763887.6</v>
      </c>
      <c r="BC33" s="30">
        <f t="shared" si="27"/>
        <v>11396040.8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28" t="s">
        <v>130</v>
      </c>
      <c r="C35" s="30">
        <f t="shared" ref="C35:AX35" si="28">C8-C33</f>
        <v>-37269.73333</v>
      </c>
      <c r="D35" s="30">
        <f t="shared" si="28"/>
        <v>-30707.23333</v>
      </c>
      <c r="E35" s="30">
        <f t="shared" si="28"/>
        <v>-14797.83333</v>
      </c>
      <c r="F35" s="30">
        <f t="shared" si="28"/>
        <v>-12950.93333</v>
      </c>
      <c r="G35" s="30">
        <f t="shared" si="28"/>
        <v>174.0666667</v>
      </c>
      <c r="H35" s="30">
        <f t="shared" si="28"/>
        <v>10186.56667</v>
      </c>
      <c r="I35" s="30">
        <f t="shared" si="28"/>
        <v>8461.566667</v>
      </c>
      <c r="J35" s="30">
        <f t="shared" si="28"/>
        <v>10186.56667</v>
      </c>
      <c r="K35" s="30">
        <f t="shared" si="28"/>
        <v>4602.566667</v>
      </c>
      <c r="L35" s="30">
        <f t="shared" si="28"/>
        <v>76486.56667</v>
      </c>
      <c r="M35" s="30">
        <f t="shared" si="28"/>
        <v>8461.566667</v>
      </c>
      <c r="N35" s="30">
        <f t="shared" si="28"/>
        <v>10186.56667</v>
      </c>
      <c r="O35" s="30">
        <f t="shared" si="28"/>
        <v>11659.76667</v>
      </c>
      <c r="P35" s="30">
        <f t="shared" si="28"/>
        <v>33082.76667</v>
      </c>
      <c r="Q35" s="30">
        <f t="shared" si="28"/>
        <v>27569.16667</v>
      </c>
      <c r="R35" s="30">
        <f t="shared" si="28"/>
        <v>196192.1667</v>
      </c>
      <c r="S35" s="30">
        <f t="shared" si="28"/>
        <v>36835.16667</v>
      </c>
      <c r="T35" s="30">
        <f t="shared" si="28"/>
        <v>65618.66667</v>
      </c>
      <c r="U35" s="30">
        <f t="shared" si="28"/>
        <v>58258.16667</v>
      </c>
      <c r="V35" s="30">
        <f t="shared" si="28"/>
        <v>226881.1667</v>
      </c>
      <c r="W35" s="30">
        <f t="shared" si="28"/>
        <v>212958.1667</v>
      </c>
      <c r="X35" s="30">
        <f t="shared" si="28"/>
        <v>74965.56667</v>
      </c>
      <c r="Y35" s="30">
        <f t="shared" si="28"/>
        <v>212958.1667</v>
      </c>
      <c r="Z35" s="30">
        <f t="shared" si="28"/>
        <v>226881.1667</v>
      </c>
      <c r="AA35" s="30">
        <f t="shared" si="28"/>
        <v>393368.7667</v>
      </c>
      <c r="AB35" s="30">
        <f t="shared" si="28"/>
        <v>93522.66667</v>
      </c>
      <c r="AC35" s="30">
        <f t="shared" si="28"/>
        <v>410215.6667</v>
      </c>
      <c r="AD35" s="30">
        <f t="shared" si="28"/>
        <v>399968.1667</v>
      </c>
      <c r="AE35" s="30">
        <f t="shared" si="28"/>
        <v>427062.5667</v>
      </c>
      <c r="AF35" s="30">
        <f t="shared" si="28"/>
        <v>149679.5667</v>
      </c>
      <c r="AG35" s="30">
        <f t="shared" si="28"/>
        <v>444846.9667</v>
      </c>
      <c r="AH35" s="30">
        <f t="shared" si="28"/>
        <v>734445.5667</v>
      </c>
      <c r="AI35" s="30">
        <f t="shared" si="28"/>
        <v>734445.5667</v>
      </c>
      <c r="AJ35" s="30">
        <f t="shared" si="28"/>
        <v>444846.9667</v>
      </c>
      <c r="AK35" s="30">
        <f t="shared" si="28"/>
        <v>737229.9667</v>
      </c>
      <c r="AL35" s="30">
        <f t="shared" si="28"/>
        <v>736292.4667</v>
      </c>
      <c r="AM35" s="30">
        <f t="shared" si="28"/>
        <v>1133468.167</v>
      </c>
      <c r="AN35" s="30">
        <f t="shared" si="28"/>
        <v>1140968.167</v>
      </c>
      <c r="AO35" s="30">
        <f t="shared" si="28"/>
        <v>687152.5667</v>
      </c>
      <c r="AP35" s="30">
        <f t="shared" si="28"/>
        <v>1158752.567</v>
      </c>
      <c r="AQ35" s="30">
        <f t="shared" si="28"/>
        <v>1201127.567</v>
      </c>
      <c r="AR35" s="30">
        <f t="shared" si="28"/>
        <v>1176536.967</v>
      </c>
      <c r="AS35" s="30">
        <f t="shared" si="28"/>
        <v>722721.3667</v>
      </c>
      <c r="AT35" s="30">
        <f t="shared" si="28"/>
        <v>1650921.367</v>
      </c>
      <c r="AU35" s="30">
        <f t="shared" si="28"/>
        <v>1650921.367</v>
      </c>
      <c r="AV35" s="30">
        <f t="shared" si="28"/>
        <v>1650921.367</v>
      </c>
      <c r="AW35" s="30">
        <f t="shared" si="28"/>
        <v>1685796.367</v>
      </c>
      <c r="AX35" s="30">
        <f t="shared" si="28"/>
        <v>1644358.867</v>
      </c>
      <c r="AY35" s="30"/>
      <c r="AZ35" s="30">
        <f t="shared" ref="AZ35:BC35" si="29">SUMPRODUCT((YEAR($C$2:$AX$2)=AZ$2)*$C35:$AX35)</f>
        <v>33020.3</v>
      </c>
      <c r="BA35" s="30">
        <f t="shared" si="29"/>
        <v>1383860.1</v>
      </c>
      <c r="BB35" s="30">
        <f t="shared" si="29"/>
        <v>5705924.9</v>
      </c>
      <c r="BC35" s="30">
        <f t="shared" si="29"/>
        <v>15503646.7</v>
      </c>
      <c r="BD35" s="1"/>
      <c r="BE35" s="1"/>
      <c r="BF35" s="1"/>
    </row>
    <row r="36">
      <c r="A36" s="1"/>
      <c r="B36" s="3" t="s">
        <v>131</v>
      </c>
      <c r="C36" s="12">
        <f t="shared" ref="C36:AX36" si="30">IF(C8=0,0,C35/C8)</f>
        <v>-2.83959873</v>
      </c>
      <c r="D36" s="12">
        <f t="shared" si="30"/>
        <v>-1.559732487</v>
      </c>
      <c r="E36" s="12">
        <f t="shared" si="30"/>
        <v>-0.3670780362</v>
      </c>
      <c r="F36" s="12">
        <f t="shared" si="30"/>
        <v>-0.2762865778</v>
      </c>
      <c r="G36" s="12">
        <f t="shared" si="30"/>
        <v>0.002901111111</v>
      </c>
      <c r="H36" s="12">
        <f t="shared" si="30"/>
        <v>0.1248927714</v>
      </c>
      <c r="I36" s="12">
        <f t="shared" si="30"/>
        <v>0.1142490014</v>
      </c>
      <c r="J36" s="12">
        <f t="shared" si="30"/>
        <v>0.1248927714</v>
      </c>
      <c r="K36" s="12">
        <f t="shared" si="30"/>
        <v>0.05642993614</v>
      </c>
      <c r="L36" s="12">
        <f t="shared" si="30"/>
        <v>0.3941336769</v>
      </c>
      <c r="M36" s="12">
        <f t="shared" si="30"/>
        <v>0.1142490014</v>
      </c>
      <c r="N36" s="12">
        <f t="shared" si="30"/>
        <v>0.1248927714</v>
      </c>
      <c r="O36" s="12">
        <f t="shared" si="30"/>
        <v>0.1193578162</v>
      </c>
      <c r="P36" s="12">
        <f t="shared" si="30"/>
        <v>0.2568288533</v>
      </c>
      <c r="Q36" s="12">
        <f t="shared" si="30"/>
        <v>0.2330198979</v>
      </c>
      <c r="R36" s="12">
        <f t="shared" si="30"/>
        <v>0.4850988513</v>
      </c>
      <c r="S36" s="12">
        <f t="shared" si="30"/>
        <v>0.2651204079</v>
      </c>
      <c r="T36" s="12">
        <f t="shared" si="30"/>
        <v>0.3506675573</v>
      </c>
      <c r="U36" s="12">
        <f t="shared" si="30"/>
        <v>0.3425691535</v>
      </c>
      <c r="V36" s="12">
        <f t="shared" si="30"/>
        <v>0.497341919</v>
      </c>
      <c r="W36" s="12">
        <f t="shared" si="30"/>
        <v>0.4923176805</v>
      </c>
      <c r="X36" s="12">
        <f t="shared" si="30"/>
        <v>0.3726154292</v>
      </c>
      <c r="Y36" s="12">
        <f t="shared" si="30"/>
        <v>0.4923176805</v>
      </c>
      <c r="Z36" s="12">
        <f t="shared" si="30"/>
        <v>0.497341919</v>
      </c>
      <c r="AA36" s="12">
        <f t="shared" si="30"/>
        <v>0.5243605987</v>
      </c>
      <c r="AB36" s="12">
        <f t="shared" si="30"/>
        <v>0.3990300444</v>
      </c>
      <c r="AC36" s="12">
        <f t="shared" si="30"/>
        <v>0.5315395746</v>
      </c>
      <c r="AD36" s="12">
        <f t="shared" si="30"/>
        <v>0.5371854836</v>
      </c>
      <c r="AE36" s="12">
        <f t="shared" si="30"/>
        <v>0.5383282964</v>
      </c>
      <c r="AF36" s="12">
        <f t="shared" si="30"/>
        <v>0.4794540674</v>
      </c>
      <c r="AG36" s="12">
        <f t="shared" si="30"/>
        <v>0.5452808907</v>
      </c>
      <c r="AH36" s="12">
        <f t="shared" si="30"/>
        <v>0.5630362257</v>
      </c>
      <c r="AI36" s="12">
        <f t="shared" si="30"/>
        <v>0.5630362257</v>
      </c>
      <c r="AJ36" s="12">
        <f t="shared" si="30"/>
        <v>0.5452808907</v>
      </c>
      <c r="AK36" s="12">
        <f t="shared" si="30"/>
        <v>0.5619398536</v>
      </c>
      <c r="AL36" s="12">
        <f t="shared" si="30"/>
        <v>0.5616265955</v>
      </c>
      <c r="AM36" s="12">
        <f t="shared" si="30"/>
        <v>0.5700295668</v>
      </c>
      <c r="AN36" s="12">
        <f t="shared" si="30"/>
        <v>0.5716452377</v>
      </c>
      <c r="AO36" s="12">
        <f t="shared" si="30"/>
        <v>0.5616572703</v>
      </c>
      <c r="AP36" s="12">
        <f t="shared" si="30"/>
        <v>0.5740839469</v>
      </c>
      <c r="AQ36" s="12">
        <f t="shared" si="30"/>
        <v>0.5747881282</v>
      </c>
      <c r="AR36" s="12">
        <f t="shared" si="30"/>
        <v>0.5764688858</v>
      </c>
      <c r="AS36" s="12">
        <f t="shared" si="30"/>
        <v>0.5697729424</v>
      </c>
      <c r="AT36" s="12">
        <f t="shared" si="30"/>
        <v>0.5806075803</v>
      </c>
      <c r="AU36" s="12">
        <f t="shared" si="30"/>
        <v>0.5806075803</v>
      </c>
      <c r="AV36" s="12">
        <f t="shared" si="30"/>
        <v>0.5806075803</v>
      </c>
      <c r="AW36" s="12">
        <f t="shared" si="30"/>
        <v>0.5798719094</v>
      </c>
      <c r="AX36" s="12">
        <f t="shared" si="30"/>
        <v>0.5796374062</v>
      </c>
      <c r="AY36" s="12"/>
      <c r="AZ36" s="12">
        <f t="shared" ref="AZ36:BC36" si="31">IF(AZ8=0,0,AZ35/AZ8)</f>
        <v>0.03891895396</v>
      </c>
      <c r="BA36" s="12">
        <f t="shared" si="31"/>
        <v>0.4292286828</v>
      </c>
      <c r="BB36" s="12">
        <f t="shared" si="31"/>
        <v>0.5449882603</v>
      </c>
      <c r="BC36" s="12">
        <f t="shared" si="31"/>
        <v>0.576350439</v>
      </c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132</v>
      </c>
      <c r="C38" s="8">
        <f t="shared" ref="C38:AX38" si="32">C5-C33+C12</f>
        <v>-36394.73333</v>
      </c>
      <c r="D38" s="8">
        <f t="shared" si="32"/>
        <v>-29394.73333</v>
      </c>
      <c r="E38" s="8">
        <f t="shared" si="32"/>
        <v>-12110.33333</v>
      </c>
      <c r="F38" s="8">
        <f t="shared" si="32"/>
        <v>-9825.933333</v>
      </c>
      <c r="G38" s="8">
        <f t="shared" si="32"/>
        <v>4174.066667</v>
      </c>
      <c r="H38" s="8">
        <f t="shared" si="32"/>
        <v>-2825.933333</v>
      </c>
      <c r="I38" s="8">
        <f t="shared" si="32"/>
        <v>4174.066667</v>
      </c>
      <c r="J38" s="8">
        <f t="shared" si="32"/>
        <v>-2825.933333</v>
      </c>
      <c r="K38" s="8">
        <f t="shared" si="32"/>
        <v>815.0666667</v>
      </c>
      <c r="L38" s="8">
        <f t="shared" si="32"/>
        <v>-2825.933333</v>
      </c>
      <c r="M38" s="8">
        <f t="shared" si="32"/>
        <v>4174.066667</v>
      </c>
      <c r="N38" s="8">
        <f t="shared" si="32"/>
        <v>-2825.933333</v>
      </c>
      <c r="O38" s="8">
        <f t="shared" si="32"/>
        <v>2674.266667</v>
      </c>
      <c r="P38" s="8">
        <f t="shared" si="32"/>
        <v>10674.26667</v>
      </c>
      <c r="Q38" s="8">
        <f t="shared" si="32"/>
        <v>19958.66667</v>
      </c>
      <c r="R38" s="8">
        <f t="shared" si="32"/>
        <v>19958.66667</v>
      </c>
      <c r="S38" s="8">
        <f t="shared" si="32"/>
        <v>30599.66667</v>
      </c>
      <c r="T38" s="8">
        <f t="shared" si="32"/>
        <v>31599.66667</v>
      </c>
      <c r="U38" s="8">
        <f t="shared" si="32"/>
        <v>38599.66667</v>
      </c>
      <c r="V38" s="8">
        <f t="shared" si="32"/>
        <v>38599.66667</v>
      </c>
      <c r="W38" s="8">
        <f t="shared" si="32"/>
        <v>38599.66667</v>
      </c>
      <c r="X38" s="8">
        <f t="shared" si="32"/>
        <v>41884.06667</v>
      </c>
      <c r="Y38" s="8">
        <f t="shared" si="32"/>
        <v>38599.66667</v>
      </c>
      <c r="Z38" s="8">
        <f t="shared" si="32"/>
        <v>38599.66667</v>
      </c>
      <c r="AA38" s="8">
        <f t="shared" si="32"/>
        <v>36743.26667</v>
      </c>
      <c r="AB38" s="8">
        <f t="shared" si="32"/>
        <v>55027.66667</v>
      </c>
      <c r="AC38" s="8">
        <f t="shared" si="32"/>
        <v>55027.66667</v>
      </c>
      <c r="AD38" s="8">
        <f t="shared" si="32"/>
        <v>70027.66667</v>
      </c>
      <c r="AE38" s="8">
        <f t="shared" si="32"/>
        <v>73312.06667</v>
      </c>
      <c r="AF38" s="8">
        <f t="shared" si="32"/>
        <v>89312.06667</v>
      </c>
      <c r="AG38" s="8">
        <f t="shared" si="32"/>
        <v>92596.46667</v>
      </c>
      <c r="AH38" s="8">
        <f t="shared" si="32"/>
        <v>89312.06667</v>
      </c>
      <c r="AI38" s="8">
        <f t="shared" si="32"/>
        <v>89312.06667</v>
      </c>
      <c r="AJ38" s="8">
        <f t="shared" si="32"/>
        <v>92596.46667</v>
      </c>
      <c r="AK38" s="8">
        <f t="shared" si="32"/>
        <v>92596.46667</v>
      </c>
      <c r="AL38" s="8">
        <f t="shared" si="32"/>
        <v>91596.46667</v>
      </c>
      <c r="AM38" s="8">
        <f t="shared" si="32"/>
        <v>94455.66667</v>
      </c>
      <c r="AN38" s="8">
        <f t="shared" si="32"/>
        <v>102455.6667</v>
      </c>
      <c r="AO38" s="8">
        <f t="shared" si="32"/>
        <v>113740.0667</v>
      </c>
      <c r="AP38" s="8">
        <f t="shared" si="32"/>
        <v>121740.0667</v>
      </c>
      <c r="AQ38" s="8">
        <f t="shared" si="32"/>
        <v>122740.0667</v>
      </c>
      <c r="AR38" s="8">
        <f t="shared" si="32"/>
        <v>141024.4667</v>
      </c>
      <c r="AS38" s="8">
        <f t="shared" si="32"/>
        <v>152308.8667</v>
      </c>
      <c r="AT38" s="8">
        <f t="shared" si="32"/>
        <v>152308.8667</v>
      </c>
      <c r="AU38" s="8">
        <f t="shared" si="32"/>
        <v>152308.8667</v>
      </c>
      <c r="AV38" s="8">
        <f t="shared" si="32"/>
        <v>152308.8667</v>
      </c>
      <c r="AW38" s="8">
        <f t="shared" si="32"/>
        <v>145308.8667</v>
      </c>
      <c r="AX38" s="8">
        <f t="shared" si="32"/>
        <v>145308.8667</v>
      </c>
      <c r="AY38" s="8"/>
      <c r="AZ38" s="8">
        <f t="shared" ref="AZ38:BC38" si="33">SUMPRODUCT((YEAR($C$2:$AX$2)=AZ$2)*$C38:$AX38)</f>
        <v>-85692.2</v>
      </c>
      <c r="BA38" s="8">
        <f t="shared" si="33"/>
        <v>350347.6</v>
      </c>
      <c r="BB38" s="8">
        <f t="shared" si="33"/>
        <v>927460.4</v>
      </c>
      <c r="BC38" s="8">
        <f t="shared" si="33"/>
        <v>1596009.2</v>
      </c>
      <c r="BD38" s="1"/>
      <c r="BE38" s="1"/>
      <c r="BF38" s="1"/>
    </row>
    <row r="39">
      <c r="A39" s="1"/>
      <c r="B39" s="3" t="s">
        <v>133</v>
      </c>
      <c r="C39" s="12">
        <f t="shared" ref="C39:AX39" si="34">IF(C5=0,0,C38/C5)</f>
        <v>-2.59962381</v>
      </c>
      <c r="D39" s="12">
        <f t="shared" si="34"/>
        <v>-1.399749206</v>
      </c>
      <c r="E39" s="12">
        <f t="shared" si="34"/>
        <v>-0.2816356589</v>
      </c>
      <c r="F39" s="12">
        <f t="shared" si="34"/>
        <v>-0.1965186667</v>
      </c>
      <c r="G39" s="12">
        <f t="shared" si="34"/>
        <v>0.06521979167</v>
      </c>
      <c r="H39" s="12">
        <f t="shared" si="34"/>
        <v>-0.04957777778</v>
      </c>
      <c r="I39" s="12">
        <f t="shared" si="34"/>
        <v>0.06521979167</v>
      </c>
      <c r="J39" s="12">
        <f t="shared" si="34"/>
        <v>-0.04957777778</v>
      </c>
      <c r="K39" s="12">
        <f t="shared" si="34"/>
        <v>0.01132037037</v>
      </c>
      <c r="L39" s="12">
        <f t="shared" si="34"/>
        <v>-0.04957777778</v>
      </c>
      <c r="M39" s="12">
        <f t="shared" si="34"/>
        <v>0.06521979167</v>
      </c>
      <c r="N39" s="12">
        <f t="shared" si="34"/>
        <v>-0.04957777778</v>
      </c>
      <c r="O39" s="12">
        <f t="shared" si="34"/>
        <v>0.03385147679</v>
      </c>
      <c r="P39" s="12">
        <f t="shared" si="34"/>
        <v>0.1226927203</v>
      </c>
      <c r="Q39" s="12">
        <f t="shared" si="34"/>
        <v>0.1976105611</v>
      </c>
      <c r="R39" s="12">
        <f t="shared" si="34"/>
        <v>0.1976105611</v>
      </c>
      <c r="S39" s="12">
        <f t="shared" si="34"/>
        <v>0.2487777778</v>
      </c>
      <c r="T39" s="12">
        <f t="shared" si="34"/>
        <v>0.2548360215</v>
      </c>
      <c r="U39" s="12">
        <f t="shared" si="34"/>
        <v>0.294653944</v>
      </c>
      <c r="V39" s="12">
        <f t="shared" si="34"/>
        <v>0.294653944</v>
      </c>
      <c r="W39" s="12">
        <f t="shared" si="34"/>
        <v>0.294653944</v>
      </c>
      <c r="X39" s="12">
        <f t="shared" si="34"/>
        <v>0.3013242206</v>
      </c>
      <c r="Y39" s="12">
        <f t="shared" si="34"/>
        <v>0.294653944</v>
      </c>
      <c r="Z39" s="12">
        <f t="shared" si="34"/>
        <v>0.294653944</v>
      </c>
      <c r="AA39" s="12">
        <f t="shared" si="34"/>
        <v>0.264340048</v>
      </c>
      <c r="AB39" s="12">
        <f t="shared" si="34"/>
        <v>0.3396769547</v>
      </c>
      <c r="AC39" s="12">
        <f t="shared" si="34"/>
        <v>0.3396769547</v>
      </c>
      <c r="AD39" s="12">
        <f t="shared" si="34"/>
        <v>0.3956365348</v>
      </c>
      <c r="AE39" s="12">
        <f t="shared" si="34"/>
        <v>0.3962814414</v>
      </c>
      <c r="AF39" s="12">
        <f t="shared" si="34"/>
        <v>0.4443386401</v>
      </c>
      <c r="AG39" s="12">
        <f t="shared" si="34"/>
        <v>0.4430452951</v>
      </c>
      <c r="AH39" s="12">
        <f t="shared" si="34"/>
        <v>0.4443386401</v>
      </c>
      <c r="AI39" s="12">
        <f t="shared" si="34"/>
        <v>0.4443386401</v>
      </c>
      <c r="AJ39" s="12">
        <f t="shared" si="34"/>
        <v>0.4430452951</v>
      </c>
      <c r="AK39" s="12">
        <f t="shared" si="34"/>
        <v>0.4430452951</v>
      </c>
      <c r="AL39" s="12">
        <f t="shared" si="34"/>
        <v>0.4403676282</v>
      </c>
      <c r="AM39" s="12">
        <f t="shared" si="34"/>
        <v>0.4372947531</v>
      </c>
      <c r="AN39" s="12">
        <f t="shared" si="34"/>
        <v>0.457391369</v>
      </c>
      <c r="AO39" s="12">
        <f t="shared" si="34"/>
        <v>0.4739169444</v>
      </c>
      <c r="AP39" s="12">
        <f t="shared" si="34"/>
        <v>0.4908873656</v>
      </c>
      <c r="AQ39" s="12">
        <f t="shared" si="34"/>
        <v>0.4929319946</v>
      </c>
      <c r="AR39" s="12">
        <f t="shared" si="34"/>
        <v>0.5184723039</v>
      </c>
      <c r="AS39" s="12">
        <f t="shared" si="34"/>
        <v>0.5288502315</v>
      </c>
      <c r="AT39" s="12">
        <f t="shared" si="34"/>
        <v>0.5288502315</v>
      </c>
      <c r="AU39" s="12">
        <f t="shared" si="34"/>
        <v>0.5288502315</v>
      </c>
      <c r="AV39" s="12">
        <f t="shared" si="34"/>
        <v>0.5288502315</v>
      </c>
      <c r="AW39" s="12">
        <f t="shared" si="34"/>
        <v>0.5171134045</v>
      </c>
      <c r="AX39" s="12">
        <f t="shared" si="34"/>
        <v>0.5171134045</v>
      </c>
      <c r="AY39" s="12"/>
      <c r="AZ39" s="12">
        <f t="shared" ref="AZ39:BC39" si="35">IF(AZ5=0,0,AZ38/AZ5)</f>
        <v>-0.1382132258</v>
      </c>
      <c r="BA39" s="12">
        <f t="shared" si="35"/>
        <v>0.2486498226</v>
      </c>
      <c r="BB39" s="12">
        <f t="shared" si="35"/>
        <v>0.409836677</v>
      </c>
      <c r="BC39" s="12">
        <f t="shared" si="35"/>
        <v>0.5045871641</v>
      </c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4" t="s">
        <v>134</v>
      </c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6">
        <v>2027.0</v>
      </c>
      <c r="D4" s="6">
        <v>2028.0</v>
      </c>
      <c r="E4" s="6">
        <v>2029.0</v>
      </c>
      <c r="F4" s="6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135</v>
      </c>
      <c r="C5" s="8">
        <f>'Revenue forecast'!BC25</f>
        <v>905000</v>
      </c>
      <c r="D5" s="8">
        <f>'Revenue forecast'!BD25</f>
        <v>3439000</v>
      </c>
      <c r="E5" s="8">
        <f>'Revenue forecast'!BE25</f>
        <v>11167800</v>
      </c>
      <c r="F5" s="8">
        <f>'Revenue forecast'!BF25</f>
        <v>28693000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86</v>
      </c>
      <c r="C6" s="8">
        <f>'Financial Statements'!AZ8</f>
        <v>848437.5</v>
      </c>
      <c r="D6" s="8">
        <f>'Financial Statements'!BA8</f>
        <v>3224062.5</v>
      </c>
      <c r="E6" s="8">
        <f>'Financial Statements'!BB8</f>
        <v>10469812.5</v>
      </c>
      <c r="F6" s="8">
        <f>'Financial Statements'!BC8</f>
        <v>26899687.5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136</v>
      </c>
      <c r="C7" s="8">
        <f>'Financial Statements'!AZ35</f>
        <v>33020.3</v>
      </c>
      <c r="D7" s="8">
        <f>'Financial Statements'!BA35</f>
        <v>1383860.1</v>
      </c>
      <c r="E7" s="8">
        <f>'Financial Statements'!BB35</f>
        <v>5705924.9</v>
      </c>
      <c r="F7" s="8">
        <f>'Financial Statements'!BC35</f>
        <v>15503646.7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137</v>
      </c>
      <c r="C8" s="12">
        <f>'Financial Statements'!AZ36</f>
        <v>0.03891895396</v>
      </c>
      <c r="D8" s="12">
        <f>'Financial Statements'!BA36</f>
        <v>0.4292286828</v>
      </c>
      <c r="E8" s="12">
        <f>'Financial Statements'!BB36</f>
        <v>0.5449882603</v>
      </c>
      <c r="F8" s="12">
        <f>'Financial Statements'!BC36</f>
        <v>0.576350439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138</v>
      </c>
      <c r="C9" s="10">
        <f>Assumptions!C21</f>
        <v>20</v>
      </c>
      <c r="D9" s="10">
        <f>Assumptions!D21</f>
        <v>40</v>
      </c>
      <c r="E9" s="10">
        <f>Assumptions!E21</f>
        <v>58</v>
      </c>
      <c r="F9" s="10">
        <f>Assumptions!F21</f>
        <v>74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139</v>
      </c>
      <c r="C10" s="10">
        <f>Personnel!BC7</f>
        <v>8</v>
      </c>
      <c r="D10" s="10">
        <f>Personnel!BD7</f>
        <v>18</v>
      </c>
      <c r="E10" s="10">
        <f>Personnel!BE7</f>
        <v>28</v>
      </c>
      <c r="F10" s="10">
        <f>Personnel!BF7</f>
        <v>37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96</v>
      </c>
      <c r="C11" s="10">
        <f>Personnel!BC14</f>
        <v>8</v>
      </c>
      <c r="D11" s="10">
        <f>Personnel!BD14</f>
        <v>13</v>
      </c>
      <c r="E11" s="10">
        <f>Personnel!BE14</f>
        <v>17</v>
      </c>
      <c r="F11" s="10">
        <f>Personnel!BF14</f>
        <v>20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