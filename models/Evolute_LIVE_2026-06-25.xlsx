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5"/>
    <sheet state="visible" name="Parameters" sheetId="2" r:id="rId6"/>
    <sheet state="visible" name="Commercials Forecast" sheetId="3" r:id="rId7"/>
    <sheet state="visible" name="Graphs" sheetId="4" r:id="rId8"/>
    <sheet state="visible" name="Personnel" sheetId="5" r:id="rId9"/>
    <sheet state="visible" name="OPEX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7">
      <text>
        <t xml:space="preserve">======
ID#AAABsGxO688
Simon Demarmels    (2025-10-22 13:58:56)
From Fa sheet</t>
      </text>
    </comment>
    <comment authorId="0" ref="B26">
      <text>
        <t xml:space="preserve">======
ID#AAABsGxO684
Simon Demarmels    (2025-10-22 13:58:06)
food</t>
      </text>
    </comment>
  </commentList>
</comments>
</file>

<file path=xl/sharedStrings.xml><?xml version="1.0" encoding="utf-8"?>
<sst xmlns="http://schemas.openxmlformats.org/spreadsheetml/2006/main" count="213" uniqueCount="136">
  <si>
    <t>Income Statement — Monthly 2027–2030 (€)</t>
  </si>
  <si>
    <t>Revenues</t>
  </si>
  <si>
    <t>Retainer</t>
  </si>
  <si>
    <t>Closing fees</t>
  </si>
  <si>
    <t>Less: industry-partner share</t>
  </si>
  <si>
    <t>Total revenues</t>
  </si>
  <si>
    <t>Personnel</t>
  </si>
  <si>
    <t>Gross salary</t>
  </si>
  <si>
    <t>Bonus</t>
  </si>
  <si>
    <t>Employer taxes</t>
  </si>
  <si>
    <t>Contractors</t>
  </si>
  <si>
    <t>Strategic Advisory costs</t>
  </si>
  <si>
    <t>Other people costs</t>
  </si>
  <si>
    <t>Total personnel</t>
  </si>
  <si>
    <t>Gross profit</t>
  </si>
  <si>
    <t>Other OPEX</t>
  </si>
  <si>
    <t>Rent</t>
  </si>
  <si>
    <t>Software</t>
  </si>
  <si>
    <t>Office</t>
  </si>
  <si>
    <t>Marketing &amp; Sales</t>
  </si>
  <si>
    <t>Travel</t>
  </si>
  <si>
    <t>SG&amp;A</t>
  </si>
  <si>
    <t>Other</t>
  </si>
  <si>
    <t>Total other OPEX</t>
  </si>
  <si>
    <t>RX allocation</t>
  </si>
  <si>
    <t>Total costs</t>
  </si>
  <si>
    <t>EBITDA (total)</t>
  </si>
  <si>
    <t>EBITDA margin (total)</t>
  </si>
  <si>
    <t>EBITDA (without success fee)</t>
  </si>
  <si>
    <t>EBITDA margin (without success fee)</t>
  </si>
  <si>
    <t>Growth</t>
  </si>
  <si>
    <t>Avg contract length (months)</t>
  </si>
  <si>
    <t>M&amp;A</t>
  </si>
  <si>
    <t>Success fee (avg;%)</t>
  </si>
  <si>
    <t>%</t>
  </si>
  <si>
    <t>Ticket/EV</t>
  </si>
  <si>
    <t>Labour Costs</t>
  </si>
  <si>
    <t>Total</t>
  </si>
  <si>
    <t>Base</t>
  </si>
  <si>
    <t xml:space="preserve">Annual gross + holiday </t>
  </si>
  <si>
    <t>Holiday pay</t>
  </si>
  <si>
    <t xml:space="preserve">Ermpolyer tax rate </t>
  </si>
  <si>
    <t xml:space="preserve">Rob </t>
  </si>
  <si>
    <t xml:space="preserve">Simon </t>
  </si>
  <si>
    <t>FTE Associate</t>
  </si>
  <si>
    <t>FTE Analyst</t>
  </si>
  <si>
    <t xml:space="preserve">Intern </t>
  </si>
  <si>
    <t>All other OPEX</t>
  </si>
  <si>
    <t>Price</t>
  </si>
  <si>
    <t xml:space="preserve">Quantity </t>
  </si>
  <si>
    <t>Database (total, not by FTE)</t>
  </si>
  <si>
    <t>Hubspot: Sales (total, not by FTE)</t>
  </si>
  <si>
    <t>Hubspot: Basic (total, not by FTE)</t>
  </si>
  <si>
    <t>Lemlist: Multi channel</t>
  </si>
  <si>
    <t>OpenAI (chatGPT)</t>
  </si>
  <si>
    <t>Claude</t>
  </si>
  <si>
    <t>Framer</t>
  </si>
  <si>
    <t>Google suite; Biz Standard (Everyone; Evolute)</t>
  </si>
  <si>
    <t>Google business starter (Evolute 2)</t>
  </si>
  <si>
    <t>TOTAL</t>
  </si>
  <si>
    <t xml:space="preserve">Food </t>
  </si>
  <si>
    <t>Desks</t>
  </si>
  <si>
    <t>Chair</t>
  </si>
  <si>
    <t>Computers</t>
  </si>
  <si>
    <t>Parking</t>
  </si>
  <si>
    <t>FORECAST DRIVERS (2027–2030)</t>
  </si>
  <si>
    <t>New deals started / yr</t>
  </si>
  <si>
    <t>Growth Capital mix %</t>
  </si>
  <si>
    <t>M&amp;A enterprise value</t>
  </si>
  <si>
    <t>Growth close rate %</t>
  </si>
  <si>
    <t>M&amp;A close rate %</t>
  </si>
  <si>
    <t>Industry-partner deal share %</t>
  </si>
  <si>
    <t>Sales-hire source share %</t>
  </si>
  <si>
    <t>Industry-partner cut %</t>
  </si>
  <si>
    <t>Success-fee bonus pool %</t>
  </si>
  <si>
    <t>Rob salary / month</t>
  </si>
  <si>
    <t>Simon salary / month</t>
  </si>
  <si>
    <t>Sales hire cost / yr</t>
  </si>
  <si>
    <t>OPEX DRIVERS (monthly)</t>
  </si>
  <si>
    <t>Rent / FTE</t>
  </si>
  <si>
    <t>Software / FTE</t>
  </si>
  <si>
    <t>Database (fixed)</t>
  </si>
  <si>
    <t>Hardware / FTE</t>
  </si>
  <si>
    <t>F&amp;B / FTE</t>
  </si>
  <si>
    <t>Marketing &amp; Sales (fixed)</t>
  </si>
  <si>
    <t>Travel (fixed)</t>
  </si>
  <si>
    <t>RX allocation (fixed)</t>
  </si>
  <si>
    <t>Other (fixed)</t>
  </si>
  <si>
    <t>Commercials Forecast — Monthly 2027–2030  (€, revenue only)</t>
  </si>
  <si>
    <t>Unit</t>
  </si>
  <si>
    <t>GROWTH CAPITAL</t>
  </si>
  <si>
    <t>New deals started</t>
  </si>
  <si>
    <t>#</t>
  </si>
  <si>
    <t>Live projects</t>
  </si>
  <si>
    <t>Retainer revenue</t>
  </si>
  <si>
    <t>€</t>
  </si>
  <si>
    <t>Deals closed</t>
  </si>
  <si>
    <t>Success fees</t>
  </si>
  <si>
    <t>Total Growth revenue</t>
  </si>
  <si>
    <t>Total M&amp;A revenue</t>
  </si>
  <si>
    <t>TOTAL REVENUE</t>
  </si>
  <si>
    <t>Total retainer</t>
  </si>
  <si>
    <t>Total success fees</t>
  </si>
  <si>
    <t>Total revenue (gross)</t>
  </si>
  <si>
    <t>Net revenue</t>
  </si>
  <si>
    <t>Scenario W/ BHE and no new customers in Jan</t>
  </si>
  <si>
    <t xml:space="preserve">Year end </t>
  </si>
  <si>
    <t>EBITDA</t>
  </si>
  <si>
    <t>Scenario W/O BHE and no new customers in Jan</t>
  </si>
  <si>
    <t>EVOLUTE — ANNUAL SUMMARY 2027–2030</t>
  </si>
  <si>
    <t>€ / #</t>
  </si>
  <si>
    <t>Revenue (gross)</t>
  </si>
  <si>
    <t>EBITDA margin %</t>
  </si>
  <si>
    <t>New deals</t>
  </si>
  <si>
    <t>Avg live projects</t>
  </si>
  <si>
    <t>Analysts (peak)</t>
  </si>
  <si>
    <t>Total FTE (peak)</t>
  </si>
  <si>
    <t>Personnel — Monthly 2027–2030 (€)</t>
  </si>
  <si>
    <t>HEADCOUNT</t>
  </si>
  <si>
    <t>Live projects (total)</t>
  </si>
  <si>
    <t>Analysts (1 per 3 live)</t>
  </si>
  <si>
    <t>Associates (10 / 15 triggers)</t>
  </si>
  <si>
    <t>Interns</t>
  </si>
  <si>
    <t>Sales hire</t>
  </si>
  <si>
    <t>Rob (Partner)</t>
  </si>
  <si>
    <t>Simon (Client Lead)</t>
  </si>
  <si>
    <t>Total FTE</t>
  </si>
  <si>
    <t>PERSONNEL COSTS</t>
  </si>
  <si>
    <t>Holiday pay (8%)</t>
  </si>
  <si>
    <t>Employer taxes (19%)</t>
  </si>
  <si>
    <t>Success-fee bonus</t>
  </si>
  <si>
    <t>Contractors / accountant</t>
  </si>
  <si>
    <t>OPEX — Monthly 2027–2030 (€)</t>
  </si>
  <si>
    <t>OTHER OPEX</t>
  </si>
  <si>
    <t>Office &amp; hardware</t>
  </si>
  <si>
    <t>SG&amp;A (F&amp;B)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</si>
</sst>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yyyy"/>
    <numFmt numFmtId="165" formatCode="mmm yy"/>
    <numFmt numFmtId="166" formatCode="mmm yyyy"/>
    <numFmt numFmtId="167" formatCode="[$€]#,##0"/>
    <numFmt numFmtId="168" formatCode="€#,##0;(€#,##0)"/>
    <numFmt numFmtId="169" formatCode="0.0%"/>
    <numFmt numFmtId="170" formatCode="yyyy-mm-dd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color theme="1"/>
      <name val="Inter"/>
    </font>
    <font>
      <b/>
      <sz val="10.0"/>
      <color theme="1"/>
      <name val="Arial"/>
    </font>
    <font>
      <b/>
      <color theme="1"/>
      <name val="Arial"/>
    </font>
    <font>
      <b/>
      <sz val="10.0"/>
      <color rgb="FFFFFFFF"/>
      <name val="Arial"/>
    </font>
    <font>
      <b/>
      <color rgb="FFFFFFFF"/>
      <name val="Inter"/>
    </font>
    <font>
      <b/>
      <color rgb="FFFFFFFF"/>
      <name val="Arial"/>
    </font>
    <font>
      <b/>
      <color rgb="FF000000"/>
      <name val="Arial"/>
    </font>
    <font>
      <color theme="1"/>
      <name val="Arial"/>
    </font>
    <font>
      <u/>
      <color theme="1"/>
      <name val="Arial"/>
    </font>
    <font>
      <i/>
      <color theme="1"/>
      <name val="Arial"/>
    </font>
    <font>
      <i/>
      <color theme="1"/>
      <name val="Inter"/>
    </font>
    <font>
      <b/>
      <i/>
      <sz val="10.0"/>
      <color theme="1"/>
      <name val="Arial"/>
    </font>
    <font>
      <b/>
      <i/>
      <color theme="1"/>
      <name val="Inte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0172C"/>
        <bgColor rgb="FF10172C"/>
      </patternFill>
    </fill>
    <fill>
      <patternFill patternType="solid">
        <fgColor rgb="FFEDEFF4"/>
        <bgColor rgb="FFEDEFF4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8">
    <border/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2" fontId="5" numFmtId="165" xfId="0" applyAlignment="1" applyFill="1" applyFont="1" applyNumberFormat="1">
      <alignment horizontal="right" readingOrder="0" vertical="bottom"/>
    </xf>
    <xf borderId="0" fillId="2" fontId="6" numFmtId="166" xfId="0" applyAlignment="1" applyFont="1" applyNumberFormat="1">
      <alignment horizontal="right" vertical="bottom"/>
    </xf>
    <xf borderId="0" fillId="2" fontId="5" numFmtId="1" xfId="0" applyAlignment="1" applyFont="1" applyNumberFormat="1">
      <alignment horizontal="right" readingOrder="0" vertical="bottom"/>
    </xf>
    <xf borderId="0" fillId="2" fontId="7" numFmtId="166" xfId="0" applyAlignment="1" applyFont="1" applyNumberFormat="1">
      <alignment horizontal="right" vertical="bottom"/>
    </xf>
    <xf borderId="1" fillId="0" fontId="4" numFmtId="3" xfId="0" applyBorder="1" applyFont="1" applyNumberFormat="1"/>
    <xf borderId="1" fillId="0" fontId="4" numFmtId="165" xfId="0" applyAlignment="1" applyBorder="1" applyFont="1" applyNumberFormat="1">
      <alignment horizontal="right" readingOrder="0"/>
    </xf>
    <xf borderId="0" fillId="0" fontId="4" numFmtId="165" xfId="0" applyAlignment="1" applyFont="1" applyNumberFormat="1">
      <alignment horizontal="right" readingOrder="0"/>
    </xf>
    <xf borderId="2" fillId="0" fontId="4" numFmtId="165" xfId="0" applyAlignment="1" applyBorder="1" applyFont="1" applyNumberFormat="1">
      <alignment horizontal="right" readingOrder="0"/>
    </xf>
    <xf borderId="0" fillId="0" fontId="1" numFmtId="167" xfId="0" applyFont="1" applyNumberFormat="1"/>
    <xf borderId="0" fillId="0" fontId="4" numFmtId="1" xfId="0" applyAlignment="1" applyFont="1" applyNumberFormat="1">
      <alignment horizontal="right" readingOrder="0"/>
    </xf>
    <xf borderId="0" fillId="0" fontId="5" numFmtId="1" xfId="0" applyAlignment="1" applyFont="1" applyNumberFormat="1">
      <alignment horizontal="right" readingOrder="0"/>
    </xf>
    <xf borderId="0" fillId="0" fontId="3" numFmtId="167" xfId="0" applyFont="1" applyNumberFormat="1"/>
    <xf borderId="0" fillId="0" fontId="1" numFmtId="1" xfId="0" applyFont="1" applyNumberFormat="1"/>
    <xf borderId="0" fillId="3" fontId="8" numFmtId="1" xfId="0" applyAlignment="1" applyFill="1" applyFont="1" applyNumberFormat="1">
      <alignment readingOrder="0"/>
    </xf>
    <xf borderId="0" fillId="3" fontId="8" numFmtId="1" xfId="0" applyFont="1" applyNumberFormat="1"/>
    <xf borderId="3" fillId="3" fontId="8" numFmtId="1" xfId="0" applyBorder="1" applyFont="1" applyNumberFormat="1"/>
    <xf borderId="0" fillId="3" fontId="6" numFmtId="0" xfId="0" applyAlignment="1" applyFont="1">
      <alignment readingOrder="0"/>
    </xf>
    <xf borderId="0" fillId="3" fontId="6" numFmtId="168" xfId="0" applyFont="1" applyNumberFormat="1"/>
    <xf borderId="3" fillId="3" fontId="6" numFmtId="168" xfId="0" applyBorder="1" applyFont="1" applyNumberFormat="1"/>
    <xf borderId="0" fillId="3" fontId="8" numFmtId="0" xfId="0" applyFont="1"/>
    <xf borderId="0" fillId="0" fontId="1" numFmtId="0" xfId="0" applyAlignment="1" applyFont="1">
      <alignment readingOrder="0"/>
    </xf>
    <xf borderId="0" fillId="0" fontId="1" numFmtId="168" xfId="0" applyFont="1" applyNumberFormat="1"/>
    <xf borderId="3" fillId="0" fontId="1" numFmtId="168" xfId="0" applyBorder="1" applyFont="1" applyNumberFormat="1"/>
    <xf borderId="4" fillId="0" fontId="1" numFmtId="0" xfId="0" applyAlignment="1" applyBorder="1" applyFont="1">
      <alignment readingOrder="0"/>
    </xf>
    <xf borderId="4" fillId="0" fontId="1" numFmtId="168" xfId="0" applyBorder="1" applyFont="1" applyNumberFormat="1"/>
    <xf borderId="1" fillId="0" fontId="1" numFmtId="168" xfId="0" applyBorder="1" applyFont="1" applyNumberFormat="1"/>
    <xf borderId="5" fillId="0" fontId="1" numFmtId="168" xfId="0" applyBorder="1" applyFont="1" applyNumberFormat="1"/>
    <xf borderId="6" fillId="0" fontId="1" numFmtId="168" xfId="0" applyBorder="1" applyFont="1" applyNumberFormat="1"/>
    <xf borderId="0" fillId="4" fontId="9" numFmtId="0" xfId="0" applyAlignment="1" applyFill="1" applyFont="1">
      <alignment readingOrder="0"/>
    </xf>
    <xf borderId="0" fillId="4" fontId="9" numFmtId="168" xfId="0" applyFont="1" applyNumberFormat="1"/>
    <xf borderId="3" fillId="4" fontId="9" numFmtId="168" xfId="0" applyBorder="1" applyFont="1" applyNumberFormat="1"/>
    <xf borderId="0" fillId="4" fontId="4" numFmtId="0" xfId="0" applyAlignment="1" applyFont="1">
      <alignment readingOrder="0"/>
    </xf>
    <xf borderId="0" fillId="4" fontId="4" numFmtId="168" xfId="0" applyFont="1" applyNumberFormat="1"/>
    <xf borderId="3" fillId="4" fontId="4" numFmtId="168" xfId="0" applyBorder="1" applyFont="1" applyNumberFormat="1"/>
    <xf borderId="0" fillId="4" fontId="5" numFmtId="168" xfId="0" applyFont="1" applyNumberFormat="1"/>
    <xf borderId="0" fillId="3" fontId="8" numFmtId="0" xfId="0" applyAlignment="1" applyFont="1">
      <alignment readingOrder="0"/>
    </xf>
    <xf borderId="0" fillId="3" fontId="8" numFmtId="167" xfId="0" applyFont="1" applyNumberFormat="1"/>
    <xf borderId="3" fillId="3" fontId="8" numFmtId="167" xfId="0" applyBorder="1" applyFont="1" applyNumberFormat="1"/>
    <xf borderId="0" fillId="0" fontId="1" numFmtId="168" xfId="0" applyAlignment="1" applyFont="1" applyNumberFormat="1">
      <alignment readingOrder="0"/>
    </xf>
    <xf borderId="3" fillId="0" fontId="1" numFmtId="168" xfId="0" applyAlignment="1" applyBorder="1" applyFont="1" applyNumberFormat="1">
      <alignment readingOrder="0"/>
    </xf>
    <xf borderId="4" fillId="4" fontId="4" numFmtId="0" xfId="0" applyAlignment="1" applyBorder="1" applyFont="1">
      <alignment readingOrder="0"/>
    </xf>
    <xf borderId="4" fillId="4" fontId="4" numFmtId="168" xfId="0" applyBorder="1" applyFont="1" applyNumberFormat="1"/>
    <xf borderId="1" fillId="4" fontId="4" numFmtId="168" xfId="0" applyBorder="1" applyFont="1" applyNumberFormat="1"/>
    <xf borderId="5" fillId="4" fontId="4" numFmtId="168" xfId="0" applyBorder="1" applyFont="1" applyNumberFormat="1"/>
    <xf borderId="6" fillId="4" fontId="4" numFmtId="168" xfId="0" applyBorder="1" applyFont="1" applyNumberFormat="1"/>
    <xf borderId="0" fillId="4" fontId="9" numFmtId="168" xfId="0" applyAlignment="1" applyFont="1" applyNumberFormat="1">
      <alignment readingOrder="0"/>
    </xf>
    <xf borderId="3" fillId="4" fontId="9" numFmtId="168" xfId="0" applyAlignment="1" applyBorder="1" applyFont="1" applyNumberFormat="1">
      <alignment readingOrder="0"/>
    </xf>
    <xf borderId="0" fillId="0" fontId="1" numFmtId="169" xfId="0" applyFont="1" applyNumberFormat="1"/>
    <xf borderId="0" fillId="5" fontId="1" numFmtId="0" xfId="0" applyAlignment="1" applyFill="1" applyFont="1">
      <alignment readingOrder="0"/>
    </xf>
    <xf borderId="0" fillId="5" fontId="1" numFmtId="168" xfId="0" applyAlignment="1" applyFont="1" applyNumberFormat="1">
      <alignment readingOrder="0"/>
    </xf>
    <xf borderId="3" fillId="5" fontId="1" numFmtId="168" xfId="0" applyAlignment="1" applyBorder="1" applyFont="1" applyNumberFormat="1">
      <alignment readingOrder="0"/>
    </xf>
    <xf borderId="0" fillId="0" fontId="4" numFmtId="0" xfId="0" applyFont="1"/>
    <xf borderId="3" fillId="0" fontId="1" numFmtId="0" xfId="0" applyBorder="1" applyFont="1"/>
    <xf borderId="0" fillId="3" fontId="8" numFmtId="168" xfId="0" applyFont="1" applyNumberFormat="1"/>
    <xf borderId="3" fillId="3" fontId="8" numFmtId="168" xfId="0" applyBorder="1" applyFont="1" applyNumberFormat="1"/>
    <xf borderId="1" fillId="0" fontId="1" numFmtId="168" xfId="0" applyAlignment="1" applyBorder="1" applyFont="1" applyNumberFormat="1">
      <alignment readingOrder="0"/>
    </xf>
    <xf borderId="5" fillId="0" fontId="1" numFmtId="168" xfId="0" applyAlignment="1" applyBorder="1" applyFont="1" applyNumberFormat="1">
      <alignment readingOrder="0"/>
    </xf>
    <xf borderId="6" fillId="0" fontId="1" numFmtId="168" xfId="0" applyAlignment="1" applyBorder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168" xfId="0" applyAlignment="1" applyFont="1" applyNumberFormat="1">
      <alignment readingOrder="0"/>
    </xf>
    <xf borderId="3" fillId="6" fontId="1" numFmtId="168" xfId="0" applyAlignment="1" applyBorder="1" applyFont="1" applyNumberFormat="1">
      <alignment readingOrder="0"/>
    </xf>
    <xf borderId="7" fillId="4" fontId="9" numFmtId="168" xfId="0" applyBorder="1" applyFont="1" applyNumberFormat="1"/>
    <xf borderId="0" fillId="4" fontId="4" numFmtId="169" xfId="0" applyFont="1" applyNumberFormat="1"/>
    <xf borderId="0" fillId="0" fontId="1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1" numFmtId="167" xfId="0" applyAlignment="1" applyFont="1" applyNumberFormat="1">
      <alignment horizontal="right" vertical="bottom"/>
    </xf>
    <xf borderId="2" fillId="6" fontId="1" numFmtId="167" xfId="0" applyAlignment="1" applyBorder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4" fontId="4" numFmtId="168" xfId="0" applyAlignment="1" applyFont="1" applyNumberFormat="1">
      <alignment horizontal="right" vertical="bottom"/>
    </xf>
    <xf borderId="0" fillId="4" fontId="4" numFmtId="168" xfId="0" applyAlignment="1" applyFont="1" applyNumberFormat="1">
      <alignment vertical="bottom"/>
    </xf>
    <xf borderId="7" fillId="4" fontId="4" numFmtId="168" xfId="0" applyAlignment="1" applyBorder="1" applyFont="1" applyNumberFormat="1">
      <alignment horizontal="right" vertical="bottom"/>
    </xf>
    <xf borderId="8" fillId="0" fontId="5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0" fillId="0" fontId="3" numFmtId="167" xfId="0" applyAlignment="1" applyFont="1" applyNumberFormat="1">
      <alignment horizontal="right" vertical="bottom"/>
    </xf>
    <xf borderId="11" fillId="0" fontId="3" numFmtId="167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10" numFmtId="9" xfId="0" applyAlignment="1" applyFont="1" applyNumberFormat="1">
      <alignment horizontal="right" vertical="bottom"/>
    </xf>
    <xf borderId="12" fillId="0" fontId="3" numFmtId="167" xfId="0" applyAlignment="1" applyBorder="1" applyFont="1" applyNumberFormat="1">
      <alignment horizontal="right" vertical="bottom"/>
    </xf>
    <xf borderId="13" fillId="0" fontId="10" numFmtId="0" xfId="0" applyAlignment="1" applyBorder="1" applyFont="1">
      <alignment vertical="bottom"/>
    </xf>
    <xf borderId="14" fillId="0" fontId="10" numFmtId="0" xfId="0" applyAlignment="1" applyBorder="1" applyFont="1">
      <alignment vertical="bottom"/>
    </xf>
    <xf borderId="15" fillId="0" fontId="3" numFmtId="167" xfId="0" applyAlignment="1" applyBorder="1" applyFont="1" applyNumberFormat="1">
      <alignment horizontal="right" vertical="bottom"/>
    </xf>
    <xf borderId="12" fillId="0" fontId="10" numFmtId="9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readingOrder="0" vertical="bottom"/>
    </xf>
    <xf borderId="0" fillId="0" fontId="3" numFmtId="167" xfId="0" applyAlignment="1" applyFont="1" applyNumberFormat="1">
      <alignment horizontal="right" readingOrder="0" vertical="bottom"/>
    </xf>
    <xf borderId="14" fillId="0" fontId="3" numFmtId="167" xfId="0" applyAlignment="1" applyBorder="1" applyFont="1" applyNumberFormat="1">
      <alignment horizontal="right" vertical="bottom"/>
    </xf>
    <xf borderId="15" fillId="0" fontId="10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2" fillId="0" fontId="10" numFmtId="0" xfId="0" applyAlignment="1" applyBorder="1" applyFont="1">
      <alignment horizontal="right" vertical="bottom"/>
    </xf>
    <xf borderId="11" fillId="0" fontId="12" numFmtId="0" xfId="0" applyAlignment="1" applyBorder="1" applyFont="1">
      <alignment vertical="bottom"/>
    </xf>
    <xf borderId="0" fillId="0" fontId="13" numFmtId="167" xfId="0" applyAlignment="1" applyFont="1" applyNumberFormat="1">
      <alignment horizontal="right" vertical="bottom"/>
    </xf>
    <xf borderId="15" fillId="0" fontId="10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1" numFmtId="0" xfId="0" applyFont="1"/>
    <xf borderId="0" fillId="5" fontId="6" numFmtId="166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4" fillId="0" fontId="14" numFmtId="0" xfId="0" applyAlignment="1" applyBorder="1" applyFont="1">
      <alignment readingOrder="0"/>
    </xf>
    <xf borderId="1" fillId="5" fontId="4" numFmtId="3" xfId="0" applyAlignment="1" applyBorder="1" applyFont="1" applyNumberFormat="1">
      <alignment readingOrder="0"/>
    </xf>
    <xf borderId="1" fillId="5" fontId="5" numFmtId="165" xfId="0" applyAlignment="1" applyBorder="1" applyFont="1" applyNumberFormat="1">
      <alignment horizontal="right" readingOrder="0"/>
    </xf>
    <xf borderId="1" fillId="0" fontId="5" numFmtId="165" xfId="0" applyAlignment="1" applyBorder="1" applyFont="1" applyNumberFormat="1">
      <alignment horizontal="right" readingOrder="0"/>
    </xf>
    <xf borderId="0" fillId="0" fontId="5" numFmtId="165" xfId="0" applyAlignment="1" applyFont="1" applyNumberFormat="1">
      <alignment horizontal="right" readingOrder="0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readingOrder="0"/>
    </xf>
    <xf borderId="0" fillId="5" fontId="1" numFmtId="1" xfId="0" applyAlignment="1" applyFont="1" applyNumberFormat="1">
      <alignment readingOrder="0"/>
    </xf>
    <xf borderId="16" fillId="0" fontId="4" numFmtId="0" xfId="0" applyAlignment="1" applyBorder="1" applyFont="1">
      <alignment readingOrder="0"/>
    </xf>
    <xf borderId="0" fillId="5" fontId="1" numFmtId="167" xfId="0" applyAlignment="1" applyFont="1" applyNumberFormat="1">
      <alignment readingOrder="0"/>
    </xf>
    <xf borderId="0" fillId="3" fontId="8" numFmtId="0" xfId="0" applyAlignment="1" applyFont="1">
      <alignment readingOrder="0"/>
    </xf>
    <xf borderId="17" fillId="3" fontId="8" numFmtId="0" xfId="0" applyAlignment="1" applyBorder="1" applyFont="1">
      <alignment readingOrder="0"/>
    </xf>
    <xf borderId="0" fillId="3" fontId="8" numFmtId="167" xfId="0" applyAlignment="1" applyFont="1" applyNumberFormat="1">
      <alignment readingOrder="0"/>
    </xf>
    <xf borderId="0" fillId="5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5" fontId="1" numFmtId="168" xfId="0" applyFont="1" applyNumberFormat="1"/>
    <xf borderId="0" fillId="4" fontId="5" numFmtId="0" xfId="0" applyAlignment="1" applyFont="1">
      <alignment readingOrder="0"/>
    </xf>
    <xf borderId="0" fillId="4" fontId="5" numFmtId="0" xfId="0" applyFont="1"/>
    <xf borderId="0" fillId="4" fontId="5" numFmtId="167" xfId="0" applyAlignment="1" applyFont="1" applyNumberFormat="1">
      <alignment readingOrder="0"/>
    </xf>
    <xf borderId="0" fillId="4" fontId="5" numFmtId="168" xfId="0" applyAlignment="1" applyFont="1" applyNumberFormat="1">
      <alignment readingOrder="0"/>
    </xf>
    <xf borderId="0" fillId="5" fontId="1" numFmtId="169" xfId="0" applyFont="1" applyNumberFormat="1"/>
    <xf borderId="0" fillId="0" fontId="1" numFmtId="169" xfId="0" applyAlignment="1" applyFont="1" applyNumberFormat="1">
      <alignment readingOrder="0"/>
    </xf>
    <xf borderId="0" fillId="3" fontId="8" numFmtId="169" xfId="0" applyAlignment="1" applyFont="1" applyNumberFormat="1">
      <alignment readingOrder="0"/>
    </xf>
    <xf borderId="0" fillId="3" fontId="8" numFmtId="169" xfId="0" applyFont="1" applyNumberFormat="1"/>
    <xf borderId="8" fillId="5" fontId="4" numFmtId="167" xfId="0" applyAlignment="1" applyBorder="1" applyFont="1" applyNumberFormat="1">
      <alignment readingOrder="0"/>
    </xf>
    <xf borderId="9" fillId="5" fontId="4" numFmtId="3" xfId="0" applyAlignment="1" applyBorder="1" applyFont="1" applyNumberFormat="1">
      <alignment readingOrder="0"/>
    </xf>
    <xf borderId="9" fillId="0" fontId="4" numFmtId="3" xfId="0" applyBorder="1" applyFont="1" applyNumberFormat="1"/>
    <xf borderId="10" fillId="0" fontId="4" numFmtId="3" xfId="0" applyBorder="1" applyFont="1" applyNumberFormat="1"/>
    <xf borderId="13" fillId="5" fontId="4" numFmtId="167" xfId="0" applyAlignment="1" applyBorder="1" applyFont="1" applyNumberFormat="1">
      <alignment readingOrder="0"/>
    </xf>
    <xf borderId="14" fillId="5" fontId="4" numFmtId="168" xfId="0" applyAlignment="1" applyBorder="1" applyFont="1" applyNumberFormat="1">
      <alignment readingOrder="0"/>
    </xf>
    <xf borderId="14" fillId="0" fontId="4" numFmtId="168" xfId="0" applyBorder="1" applyFont="1" applyNumberFormat="1"/>
    <xf borderId="15" fillId="0" fontId="4" numFmtId="168" xfId="0" applyBorder="1" applyFont="1" applyNumberFormat="1"/>
    <xf borderId="0" fillId="0" fontId="1" numFmtId="0" xfId="0" applyAlignment="1" applyFont="1">
      <alignment horizontal="center" readingOrder="0"/>
    </xf>
    <xf borderId="0" fillId="4" fontId="5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3" fontId="8" numFmtId="0" xfId="0" applyAlignment="1" applyFont="1">
      <alignment horizontal="center"/>
    </xf>
    <xf borderId="0" fillId="3" fontId="6" numFmtId="0" xfId="0" applyFont="1"/>
    <xf borderId="0" fillId="3" fontId="6" numFmtId="0" xfId="0" applyAlignment="1" applyFont="1">
      <alignment horizontal="center"/>
    </xf>
    <xf borderId="0" fillId="3" fontId="6" numFmtId="167" xfId="0" applyAlignment="1" applyFont="1" applyNumberFormat="1">
      <alignment readingOrder="0"/>
    </xf>
    <xf borderId="0" fillId="4" fontId="4" numFmtId="170" xfId="0" applyAlignment="1" applyFont="1" applyNumberFormat="1">
      <alignment readingOrder="0"/>
    </xf>
    <xf borderId="0" fillId="4" fontId="4" numFmtId="170" xfId="0" applyAlignment="1" applyFont="1" applyNumberFormat="1">
      <alignment horizontal="center" readingOrder="0"/>
    </xf>
    <xf borderId="0" fillId="4" fontId="4" numFmtId="3" xfId="0" applyAlignment="1" applyFont="1" applyNumberFormat="1">
      <alignment readingOrder="0"/>
    </xf>
    <xf borderId="0" fillId="4" fontId="4" numFmtId="3" xfId="0" applyFont="1" applyNumberFormat="1"/>
    <xf borderId="0" fillId="7" fontId="1" numFmtId="0" xfId="0" applyFill="1" applyFont="1"/>
    <xf borderId="0" fillId="7" fontId="1" numFmtId="0" xfId="0" applyAlignment="1" applyFont="1">
      <alignment readingOrder="0"/>
    </xf>
    <xf borderId="0" fillId="7" fontId="1" numFmtId="3" xfId="0" applyFont="1" applyNumberFormat="1"/>
    <xf borderId="0" fillId="3" fontId="6" numFmtId="0" xfId="0" applyAlignment="1" applyFont="1">
      <alignment readingOrder="0"/>
    </xf>
    <xf borderId="0" fillId="3" fontId="6" numFmtId="0" xfId="0" applyAlignment="1" applyFont="1">
      <alignment horizontal="center" readingOrder="0"/>
    </xf>
    <xf borderId="0" fillId="3" fontId="6" numFmtId="3" xfId="0" applyAlignment="1" applyFont="1" applyNumberFormat="1">
      <alignment readingOrder="0"/>
    </xf>
    <xf borderId="0" fillId="3" fontId="6" numFmtId="3" xfId="0" applyFont="1" applyNumberFormat="1"/>
    <xf borderId="0" fillId="7" fontId="1" numFmtId="0" xfId="0" applyAlignment="1" applyFont="1">
      <alignment readingOrder="0"/>
    </xf>
    <xf borderId="0" fillId="7" fontId="1" numFmtId="3" xfId="0" applyAlignment="1" applyFont="1" applyNumberFormat="1">
      <alignment readingOrder="0"/>
    </xf>
    <xf borderId="0" fillId="4" fontId="4" numFmtId="0" xfId="0" applyFont="1"/>
    <xf borderId="0" fillId="4" fontId="4" numFmtId="0" xfId="0" applyAlignment="1" applyFont="1">
      <alignment horizontal="center"/>
    </xf>
    <xf borderId="0" fillId="4" fontId="4" numFmtId="167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4" fontId="4" numFmtId="0" xfId="0" applyAlignment="1" applyFont="1">
      <alignment horizontal="center" readingOrder="0"/>
    </xf>
    <xf borderId="0" fillId="4" fontId="4" numFmtId="168" xfId="0" applyAlignment="1" applyFont="1" applyNumberFormat="1">
      <alignment readingOrder="0"/>
    </xf>
    <xf borderId="0" fillId="5" fontId="1" numFmtId="167" xfId="0" applyFont="1" applyNumberFormat="1"/>
    <xf borderId="0" fillId="7" fontId="1" numFmtId="167" xfId="0" applyFont="1" applyNumberFormat="1"/>
    <xf borderId="0" fillId="0" fontId="1" numFmtId="0" xfId="0" applyFont="1"/>
    <xf borderId="0" fillId="3" fontId="6" numFmtId="167" xfId="0" applyFont="1" applyNumberFormat="1"/>
    <xf borderId="0" fillId="3" fontId="6" numFmtId="0" xfId="0" applyFont="1"/>
    <xf borderId="0" fillId="8" fontId="1" numFmtId="0" xfId="0" applyFill="1" applyFont="1"/>
    <xf borderId="0" fillId="9" fontId="4" numFmtId="0" xfId="0" applyAlignment="1" applyFill="1" applyFont="1">
      <alignment readingOrder="0"/>
    </xf>
    <xf borderId="0" fillId="8" fontId="1" numFmtId="0" xfId="0" applyAlignment="1" applyFont="1">
      <alignment readingOrder="0"/>
    </xf>
    <xf borderId="0" fillId="8" fontId="1" numFmtId="168" xfId="0" applyAlignment="1" applyFont="1" applyNumberFormat="1">
      <alignment readingOrder="0"/>
    </xf>
    <xf borderId="0" fillId="8" fontId="1" numFmtId="168" xfId="0" applyFont="1" applyNumberFormat="1"/>
    <xf borderId="0" fillId="8" fontId="1" numFmtId="0" xfId="0" applyAlignment="1" applyFont="1">
      <alignment readingOrder="0"/>
    </xf>
    <xf borderId="0" fillId="8" fontId="3" numFmtId="167" xfId="0" applyFont="1" applyNumberFormat="1"/>
    <xf borderId="0" fillId="8" fontId="1" numFmtId="167" xfId="0" applyFont="1" applyNumberFormat="1"/>
    <xf borderId="0" fillId="5" fontId="1" numFmtId="3" xfId="0" applyFont="1" applyNumberFormat="1"/>
    <xf borderId="0" fillId="8" fontId="1" numFmtId="3" xfId="0" applyFont="1" applyNumberFormat="1"/>
    <xf borderId="0" fillId="8" fontId="1" numFmtId="167" xfId="0" applyAlignment="1" applyFont="1" applyNumberFormat="1">
      <alignment readingOrder="0"/>
    </xf>
    <xf borderId="0" fillId="8" fontId="1" numFmtId="3" xfId="0" applyAlignment="1" applyFont="1" applyNumberFormat="1">
      <alignment readingOrder="0"/>
    </xf>
    <xf borderId="0" fillId="4" fontId="4" numFmtId="0" xfId="0" applyAlignment="1" applyFont="1">
      <alignment vertical="bottom"/>
    </xf>
    <xf borderId="0" fillId="4" fontId="4" numFmtId="3" xfId="0" applyAlignment="1" applyFont="1" applyNumberFormat="1">
      <alignment horizontal="right" vertical="bottom"/>
    </xf>
    <xf borderId="0" fillId="4" fontId="4" numFmtId="3" xfId="0" applyAlignment="1" applyFont="1" applyNumberFormat="1">
      <alignment vertical="bottom"/>
    </xf>
    <xf borderId="0" fillId="0" fontId="10" numFmtId="167" xfId="0" applyAlignment="1" applyFont="1" applyNumberFormat="1">
      <alignment vertical="bottom"/>
    </xf>
    <xf borderId="0" fillId="0" fontId="15" numFmtId="0" xfId="0" applyFont="1"/>
    <xf borderId="0" fillId="5" fontId="3" numFmtId="0" xfId="0" applyFont="1"/>
    <xf borderId="0" fillId="0" fontId="10" numFmtId="0" xfId="0" applyFont="1"/>
    <xf borderId="0" fillId="0" fontId="5" numFmtId="0" xfId="0" applyFont="1"/>
    <xf borderId="0" fillId="0" fontId="10" numFmtId="167" xfId="0" applyFont="1" applyNumberFormat="1"/>
    <xf borderId="0" fillId="0" fontId="12" numFmtId="167" xfId="0" applyFont="1" applyNumberFormat="1"/>
    <xf borderId="0" fillId="0" fontId="12" numFmtId="0" xfId="0" applyFont="1"/>
    <xf borderId="0" fillId="0" fontId="10" numFmtId="167" xfId="0" applyAlignment="1" applyFont="1" applyNumberFormat="1">
      <alignment horizontal="right" vertical="bottom"/>
    </xf>
    <xf borderId="0" fillId="3" fontId="8" numFmtId="0" xfId="0" applyFont="1"/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3" xfId="0" applyFont="1" applyNumberFormat="1"/>
    <xf borderId="0" fillId="0" fontId="16" numFmtId="169" xfId="0" applyFont="1" applyNumberFormat="1"/>
    <xf borderId="0" fillId="4" fontId="5" numFmtId="0" xfId="0" applyFont="1"/>
    <xf borderId="0" fillId="4" fontId="5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EBITDA vs. Revenues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Graphs!$B$5:$M$5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Graphs!$B$6:$M$6</c:f>
              <c:numCache/>
            </c:numRef>
          </c:val>
        </c:ser>
        <c:axId val="1273322907"/>
        <c:axId val="1240891615"/>
      </c:barChart>
      <c:catAx>
        <c:axId val="1273322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Revenues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40891615"/>
      </c:catAx>
      <c:valAx>
        <c:axId val="1240891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EBITDA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7332290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EBITDA vs. Revenues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Graphs!$B$29:$M$29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Graphs!$B$30:$M$30</c:f>
              <c:numCache/>
            </c:numRef>
          </c:val>
        </c:ser>
        <c:axId val="2088318194"/>
        <c:axId val="1308494928"/>
      </c:barChart>
      <c:catAx>
        <c:axId val="2088318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Revenues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08494928"/>
      </c:catAx>
      <c:valAx>
        <c:axId val="1308494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EBITDA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8831819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6</xdr:row>
      <xdr:rowOff>47625</xdr:rowOff>
    </xdr:from>
    <xdr:ext cx="6067425" cy="3743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714375</xdr:colOff>
      <xdr:row>30</xdr:row>
      <xdr:rowOff>114300</xdr:rowOff>
    </xdr:from>
    <xdr:ext cx="6448425" cy="3990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2.63"/>
    <col customWidth="1" min="2" max="2" width="46.0"/>
    <col customWidth="1" min="3" max="6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4"/>
      <c r="BH1" s="4"/>
    </row>
    <row r="2" ht="15.75" customHeight="1">
      <c r="A2" s="3"/>
      <c r="B2" s="5"/>
      <c r="C2" s="6">
        <v>46388.0</v>
      </c>
      <c r="D2" s="6">
        <v>46419.0</v>
      </c>
      <c r="E2" s="6">
        <v>46447.0</v>
      </c>
      <c r="F2" s="6">
        <v>46478.0</v>
      </c>
      <c r="G2" s="6">
        <v>46508.0</v>
      </c>
      <c r="H2" s="6">
        <v>46539.0</v>
      </c>
      <c r="I2" s="6">
        <v>46569.0</v>
      </c>
      <c r="J2" s="6">
        <v>46600.0</v>
      </c>
      <c r="K2" s="6">
        <v>46631.0</v>
      </c>
      <c r="L2" s="6">
        <v>46661.0</v>
      </c>
      <c r="M2" s="6">
        <v>46692.0</v>
      </c>
      <c r="N2" s="6">
        <v>46722.0</v>
      </c>
      <c r="O2" s="6">
        <v>46753.0</v>
      </c>
      <c r="P2" s="6">
        <v>46784.0</v>
      </c>
      <c r="Q2" s="6">
        <v>46813.0</v>
      </c>
      <c r="R2" s="6">
        <v>46844.0</v>
      </c>
      <c r="S2" s="6">
        <v>46874.0</v>
      </c>
      <c r="T2" s="6">
        <v>46905.0</v>
      </c>
      <c r="U2" s="6">
        <v>46935.0</v>
      </c>
      <c r="V2" s="6">
        <v>46966.0</v>
      </c>
      <c r="W2" s="6">
        <v>46997.0</v>
      </c>
      <c r="X2" s="6">
        <v>47027.0</v>
      </c>
      <c r="Y2" s="6">
        <v>47058.0</v>
      </c>
      <c r="Z2" s="6">
        <v>47088.0</v>
      </c>
      <c r="AA2" s="6">
        <v>47119.0</v>
      </c>
      <c r="AB2" s="6">
        <v>47150.0</v>
      </c>
      <c r="AC2" s="6">
        <v>47178.0</v>
      </c>
      <c r="AD2" s="6">
        <v>47209.0</v>
      </c>
      <c r="AE2" s="6">
        <v>47239.0</v>
      </c>
      <c r="AF2" s="6">
        <v>47270.0</v>
      </c>
      <c r="AG2" s="6">
        <v>47300.0</v>
      </c>
      <c r="AH2" s="6">
        <v>47331.0</v>
      </c>
      <c r="AI2" s="6">
        <v>47362.0</v>
      </c>
      <c r="AJ2" s="6">
        <v>47392.0</v>
      </c>
      <c r="AK2" s="6">
        <v>47423.0</v>
      </c>
      <c r="AL2" s="6">
        <v>47453.0</v>
      </c>
      <c r="AM2" s="6">
        <v>47484.0</v>
      </c>
      <c r="AN2" s="6">
        <v>47515.0</v>
      </c>
      <c r="AO2" s="6">
        <v>47543.0</v>
      </c>
      <c r="AP2" s="6">
        <v>47574.0</v>
      </c>
      <c r="AQ2" s="6">
        <v>47604.0</v>
      </c>
      <c r="AR2" s="6">
        <v>47635.0</v>
      </c>
      <c r="AS2" s="6">
        <v>47665.0</v>
      </c>
      <c r="AT2" s="6">
        <v>47696.0</v>
      </c>
      <c r="AU2" s="6">
        <v>47727.0</v>
      </c>
      <c r="AV2" s="6">
        <v>47757.0</v>
      </c>
      <c r="AW2" s="6">
        <v>47788.0</v>
      </c>
      <c r="AX2" s="6">
        <v>47818.0</v>
      </c>
      <c r="AY2" s="7"/>
      <c r="AZ2" s="8">
        <v>2027.0</v>
      </c>
      <c r="BA2" s="8">
        <v>2028.0</v>
      </c>
      <c r="BB2" s="8">
        <v>2029.0</v>
      </c>
      <c r="BC2" s="8">
        <v>2030.0</v>
      </c>
      <c r="BD2" s="7"/>
      <c r="BE2" s="7"/>
      <c r="BF2" s="7"/>
      <c r="BG2" s="9"/>
      <c r="BH2" s="9"/>
    </row>
    <row r="3" ht="15.75" customHeight="1">
      <c r="A3" s="3"/>
      <c r="B3" s="3"/>
      <c r="C3" s="10"/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2"/>
      <c r="P3" s="13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4"/>
      <c r="BC3" s="15"/>
      <c r="BD3" s="16"/>
      <c r="BE3" s="16"/>
      <c r="BF3" s="16"/>
      <c r="BG3" s="17"/>
      <c r="BH3" s="17"/>
    </row>
    <row r="4" ht="15.75" customHeight="1">
      <c r="A4" s="18"/>
      <c r="B4" s="19" t="s">
        <v>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18"/>
      <c r="BE4" s="18"/>
      <c r="BF4" s="18"/>
      <c r="BG4" s="4"/>
      <c r="BH4" s="4"/>
    </row>
    <row r="5" ht="15.75" customHeight="1">
      <c r="A5" s="3"/>
      <c r="B5" s="22" t="s">
        <v>2</v>
      </c>
      <c r="C5" s="23">
        <f>'Commercials Forecast'!F23</f>
        <v>11833.33333</v>
      </c>
      <c r="D5" s="23">
        <f>'Commercials Forecast'!G23</f>
        <v>23666.66667</v>
      </c>
      <c r="E5" s="23">
        <f>'Commercials Forecast'!H23</f>
        <v>35500</v>
      </c>
      <c r="F5" s="23">
        <f>'Commercials Forecast'!I23</f>
        <v>47333.33333</v>
      </c>
      <c r="G5" s="23">
        <f>'Commercials Forecast'!J23</f>
        <v>59166.66667</v>
      </c>
      <c r="H5" s="23">
        <f>'Commercials Forecast'!K23</f>
        <v>60500</v>
      </c>
      <c r="I5" s="23">
        <f>'Commercials Forecast'!L23</f>
        <v>61833.33333</v>
      </c>
      <c r="J5" s="23">
        <f>'Commercials Forecast'!M23</f>
        <v>61833.33333</v>
      </c>
      <c r="K5" s="23">
        <f>'Commercials Forecast'!N23</f>
        <v>61833.33333</v>
      </c>
      <c r="L5" s="23">
        <f>'Commercials Forecast'!O23</f>
        <v>61833.33333</v>
      </c>
      <c r="M5" s="23">
        <f>'Commercials Forecast'!P23</f>
        <v>61833.33333</v>
      </c>
      <c r="N5" s="23">
        <f>'Commercials Forecast'!Q23</f>
        <v>61833.33333</v>
      </c>
      <c r="O5" s="23">
        <f>'Commercials Forecast'!R23</f>
        <v>74100</v>
      </c>
      <c r="P5" s="24">
        <f>'Commercials Forecast'!S23</f>
        <v>86366.66667</v>
      </c>
      <c r="Q5" s="23">
        <f>'Commercials Forecast'!T23</f>
        <v>98633.33333</v>
      </c>
      <c r="R5" s="23">
        <f>'Commercials Forecast'!U23</f>
        <v>110900</v>
      </c>
      <c r="S5" s="23">
        <f>'Commercials Forecast'!V23</f>
        <v>123166.6667</v>
      </c>
      <c r="T5" s="23">
        <f>'Commercials Forecast'!W23</f>
        <v>127966.6667</v>
      </c>
      <c r="U5" s="23">
        <f>'Commercials Forecast'!X23</f>
        <v>132766.6667</v>
      </c>
      <c r="V5" s="23">
        <f>'Commercials Forecast'!Y23</f>
        <v>132766.6667</v>
      </c>
      <c r="W5" s="23">
        <f>'Commercials Forecast'!Z23</f>
        <v>132766.6667</v>
      </c>
      <c r="X5" s="23">
        <f>'Commercials Forecast'!AA23</f>
        <v>132766.6667</v>
      </c>
      <c r="Y5" s="23">
        <f>'Commercials Forecast'!AB23</f>
        <v>132766.6667</v>
      </c>
      <c r="Z5" s="23">
        <f>'Commercials Forecast'!AC23</f>
        <v>132766.6667</v>
      </c>
      <c r="AA5" s="23">
        <f>'Commercials Forecast'!AD23</f>
        <v>144288.3333</v>
      </c>
      <c r="AB5" s="23">
        <f>'Commercials Forecast'!AE23</f>
        <v>155810</v>
      </c>
      <c r="AC5" s="23">
        <f>'Commercials Forecast'!AF23</f>
        <v>167331.6667</v>
      </c>
      <c r="AD5" s="23">
        <f>'Commercials Forecast'!AG23</f>
        <v>178853.3333</v>
      </c>
      <c r="AE5" s="23">
        <f>'Commercials Forecast'!AH23</f>
        <v>190375</v>
      </c>
      <c r="AF5" s="23">
        <f>'Commercials Forecast'!AI23</f>
        <v>198548.3333</v>
      </c>
      <c r="AG5" s="23">
        <f>'Commercials Forecast'!AJ23</f>
        <v>206721.6667</v>
      </c>
      <c r="AH5" s="23">
        <f>'Commercials Forecast'!AK23</f>
        <v>206721.6667</v>
      </c>
      <c r="AI5" s="23">
        <f>'Commercials Forecast'!AL23</f>
        <v>206721.6667</v>
      </c>
      <c r="AJ5" s="23">
        <f>'Commercials Forecast'!AM23</f>
        <v>206721.6667</v>
      </c>
      <c r="AK5" s="23">
        <f>'Commercials Forecast'!AN23</f>
        <v>206721.6667</v>
      </c>
      <c r="AL5" s="23">
        <f>'Commercials Forecast'!AO23</f>
        <v>206721.6667</v>
      </c>
      <c r="AM5" s="23">
        <f>'Commercials Forecast'!AP23</f>
        <v>217350</v>
      </c>
      <c r="AN5" s="23">
        <f>'Commercials Forecast'!AQ23</f>
        <v>227978.3333</v>
      </c>
      <c r="AO5" s="23">
        <f>'Commercials Forecast'!AR23</f>
        <v>238606.6667</v>
      </c>
      <c r="AP5" s="23">
        <f>'Commercials Forecast'!AS23</f>
        <v>249235</v>
      </c>
      <c r="AQ5" s="23">
        <f>'Commercials Forecast'!AT23</f>
        <v>259863.3333</v>
      </c>
      <c r="AR5" s="23">
        <f>'Commercials Forecast'!AU23</f>
        <v>270223.3333</v>
      </c>
      <c r="AS5" s="23">
        <f>'Commercials Forecast'!AV23</f>
        <v>280583.3333</v>
      </c>
      <c r="AT5" s="23">
        <f>'Commercials Forecast'!AW23</f>
        <v>280583.3333</v>
      </c>
      <c r="AU5" s="23">
        <f>'Commercials Forecast'!AX23</f>
        <v>280583.3333</v>
      </c>
      <c r="AV5" s="23">
        <f>'Commercials Forecast'!AY23</f>
        <v>280583.3333</v>
      </c>
      <c r="AW5" s="23">
        <f>'Commercials Forecast'!AZ23</f>
        <v>280583.3333</v>
      </c>
      <c r="AX5" s="23">
        <f>'Commercials Forecast'!BA23</f>
        <v>280583.3333</v>
      </c>
      <c r="AY5" s="23"/>
      <c r="AZ5" s="23">
        <f t="shared" ref="AZ5:BC5" si="1">SUMPRODUCT((YEAR($C$2:$AX$2)=AZ$2)*$C5:$AX5)</f>
        <v>609000</v>
      </c>
      <c r="BA5" s="23">
        <f t="shared" si="1"/>
        <v>1417733.333</v>
      </c>
      <c r="BB5" s="23">
        <f t="shared" si="1"/>
        <v>2275536.667</v>
      </c>
      <c r="BC5" s="23">
        <f t="shared" si="1"/>
        <v>3146756.667</v>
      </c>
      <c r="BD5" s="25"/>
      <c r="BE5" s="25"/>
      <c r="BF5" s="25"/>
      <c r="BG5" s="4"/>
      <c r="BH5" s="4"/>
    </row>
    <row r="6" ht="15.75" customHeight="1">
      <c r="A6" s="3"/>
      <c r="B6" s="26" t="s">
        <v>3</v>
      </c>
      <c r="C6" s="27">
        <f>'Commercials Forecast'!F24</f>
        <v>0</v>
      </c>
      <c r="D6" s="27">
        <f>'Commercials Forecast'!G24</f>
        <v>0</v>
      </c>
      <c r="E6" s="27">
        <f>'Commercials Forecast'!H24</f>
        <v>0</v>
      </c>
      <c r="F6" s="27">
        <f>'Commercials Forecast'!I24</f>
        <v>0</v>
      </c>
      <c r="G6" s="27">
        <f>'Commercials Forecast'!J24</f>
        <v>0</v>
      </c>
      <c r="H6" s="27">
        <f>'Commercials Forecast'!K24</f>
        <v>6750</v>
      </c>
      <c r="I6" s="27">
        <f>'Commercials Forecast'!L24</f>
        <v>6750</v>
      </c>
      <c r="J6" s="27">
        <f>'Commercials Forecast'!M24</f>
        <v>16750</v>
      </c>
      <c r="K6" s="27">
        <f>'Commercials Forecast'!N24</f>
        <v>16750</v>
      </c>
      <c r="L6" s="27">
        <f>'Commercials Forecast'!O24</f>
        <v>16750</v>
      </c>
      <c r="M6" s="27">
        <f>'Commercials Forecast'!P24</f>
        <v>16750</v>
      </c>
      <c r="N6" s="27">
        <f>'Commercials Forecast'!Q24</f>
        <v>16750</v>
      </c>
      <c r="O6" s="27">
        <f>'Commercials Forecast'!R24</f>
        <v>31433.33333</v>
      </c>
      <c r="P6" s="28">
        <f>'Commercials Forecast'!S24</f>
        <v>31433.33333</v>
      </c>
      <c r="Q6" s="27">
        <f>'Commercials Forecast'!T24</f>
        <v>31433.33333</v>
      </c>
      <c r="R6" s="27">
        <f>'Commercials Forecast'!U24</f>
        <v>31433.33333</v>
      </c>
      <c r="S6" s="27">
        <f>'Commercials Forecast'!V24</f>
        <v>31433.33333</v>
      </c>
      <c r="T6" s="27">
        <f>'Commercials Forecast'!W24</f>
        <v>37193.33333</v>
      </c>
      <c r="U6" s="27">
        <f>'Commercials Forecast'!X24</f>
        <v>37193.33333</v>
      </c>
      <c r="V6" s="27">
        <f>'Commercials Forecast'!Y24</f>
        <v>121193.3333</v>
      </c>
      <c r="W6" s="27">
        <f>'Commercials Forecast'!Z24</f>
        <v>121193.3333</v>
      </c>
      <c r="X6" s="27">
        <f>'Commercials Forecast'!AA24</f>
        <v>121193.3333</v>
      </c>
      <c r="Y6" s="27">
        <f>'Commercials Forecast'!AB24</f>
        <v>121193.3333</v>
      </c>
      <c r="Z6" s="27">
        <f>'Commercials Forecast'!AC24</f>
        <v>121193.3333</v>
      </c>
      <c r="AA6" s="27">
        <f>'Commercials Forecast'!AD24</f>
        <v>219800</v>
      </c>
      <c r="AB6" s="27">
        <f>'Commercials Forecast'!AE24</f>
        <v>219800</v>
      </c>
      <c r="AC6" s="27">
        <f>'Commercials Forecast'!AF24</f>
        <v>219800</v>
      </c>
      <c r="AD6" s="27">
        <f>'Commercials Forecast'!AG24</f>
        <v>219800</v>
      </c>
      <c r="AE6" s="27">
        <f>'Commercials Forecast'!AH24</f>
        <v>219800</v>
      </c>
      <c r="AF6" s="27">
        <f>'Commercials Forecast'!AI24</f>
        <v>222957</v>
      </c>
      <c r="AG6" s="27">
        <f>'Commercials Forecast'!AJ24</f>
        <v>222957</v>
      </c>
      <c r="AH6" s="27">
        <f>'Commercials Forecast'!AK24</f>
        <v>493290</v>
      </c>
      <c r="AI6" s="27">
        <f>'Commercials Forecast'!AL24</f>
        <v>493290</v>
      </c>
      <c r="AJ6" s="27">
        <f>'Commercials Forecast'!AM24</f>
        <v>493290</v>
      </c>
      <c r="AK6" s="27">
        <f>'Commercials Forecast'!AN24</f>
        <v>493290</v>
      </c>
      <c r="AL6" s="27">
        <f>'Commercials Forecast'!AO24</f>
        <v>493290</v>
      </c>
      <c r="AM6" s="27">
        <f>'Commercials Forecast'!AP24</f>
        <v>773937.5</v>
      </c>
      <c r="AN6" s="27">
        <f>'Commercials Forecast'!AQ24</f>
        <v>773937.5</v>
      </c>
      <c r="AO6" s="27">
        <f>'Commercials Forecast'!AR24</f>
        <v>773937.5</v>
      </c>
      <c r="AP6" s="27">
        <f>'Commercials Forecast'!AS24</f>
        <v>773937.5</v>
      </c>
      <c r="AQ6" s="27">
        <f>'Commercials Forecast'!AT24</f>
        <v>773937.5</v>
      </c>
      <c r="AR6" s="27">
        <f>'Commercials Forecast'!AU24</f>
        <v>774225</v>
      </c>
      <c r="AS6" s="27">
        <f>'Commercials Forecast'!AV24</f>
        <v>774225</v>
      </c>
      <c r="AT6" s="27">
        <f>'Commercials Forecast'!AW24</f>
        <v>1318125</v>
      </c>
      <c r="AU6" s="27">
        <f>'Commercials Forecast'!AX24</f>
        <v>1318125</v>
      </c>
      <c r="AV6" s="27">
        <f>'Commercials Forecast'!AY24</f>
        <v>1318125</v>
      </c>
      <c r="AW6" s="27">
        <f>'Commercials Forecast'!AZ24</f>
        <v>1318125</v>
      </c>
      <c r="AX6" s="27">
        <f>'Commercials Forecast'!BA24</f>
        <v>1318125</v>
      </c>
      <c r="AY6" s="27"/>
      <c r="AZ6" s="27">
        <f t="shared" ref="AZ6:BC6" si="2">SUMPRODUCT((YEAR($C$2:$AX$2)=AZ$2)*$C6:$AX6)</f>
        <v>97250</v>
      </c>
      <c r="BA6" s="27">
        <f t="shared" si="2"/>
        <v>837520</v>
      </c>
      <c r="BB6" s="27">
        <f t="shared" si="2"/>
        <v>4011364</v>
      </c>
      <c r="BC6" s="27">
        <f t="shared" si="2"/>
        <v>12008762.5</v>
      </c>
      <c r="BD6" s="27"/>
      <c r="BE6" s="27"/>
      <c r="BF6" s="27"/>
      <c r="BG6" s="4"/>
      <c r="BH6" s="4"/>
    </row>
    <row r="7" ht="15.75" customHeight="1">
      <c r="A7" s="3"/>
      <c r="B7" s="29" t="s">
        <v>4</v>
      </c>
      <c r="C7" s="30">
        <f>'Commercials Forecast'!F26</f>
        <v>-739.5833333</v>
      </c>
      <c r="D7" s="31">
        <f>'Commercials Forecast'!G26</f>
        <v>-1479.166667</v>
      </c>
      <c r="E7" s="31">
        <f>'Commercials Forecast'!H26</f>
        <v>-2218.75</v>
      </c>
      <c r="F7" s="31">
        <f>'Commercials Forecast'!I26</f>
        <v>-2958.333333</v>
      </c>
      <c r="G7" s="31">
        <f>'Commercials Forecast'!J26</f>
        <v>-3697.916667</v>
      </c>
      <c r="H7" s="31">
        <f>'Commercials Forecast'!K26</f>
        <v>-4203.125</v>
      </c>
      <c r="I7" s="31">
        <f>'Commercials Forecast'!L26</f>
        <v>-4286.458333</v>
      </c>
      <c r="J7" s="31">
        <f>'Commercials Forecast'!M26</f>
        <v>-4911.458333</v>
      </c>
      <c r="K7" s="31">
        <f>'Commercials Forecast'!N26</f>
        <v>-4911.458333</v>
      </c>
      <c r="L7" s="31">
        <f>'Commercials Forecast'!O26</f>
        <v>-4911.458333</v>
      </c>
      <c r="M7" s="31">
        <f>'Commercials Forecast'!P26</f>
        <v>-4911.458333</v>
      </c>
      <c r="N7" s="32">
        <f>'Commercials Forecast'!Q26</f>
        <v>-4911.458333</v>
      </c>
      <c r="O7" s="27">
        <f>'Commercials Forecast'!R26</f>
        <v>-6595.833333</v>
      </c>
      <c r="P7" s="33">
        <f>'Commercials Forecast'!S26</f>
        <v>-7362.5</v>
      </c>
      <c r="Q7" s="27">
        <f>'Commercials Forecast'!T26</f>
        <v>-8129.166667</v>
      </c>
      <c r="R7" s="27">
        <f>'Commercials Forecast'!U26</f>
        <v>-8895.833333</v>
      </c>
      <c r="S7" s="27">
        <f>'Commercials Forecast'!V26</f>
        <v>-9662.5</v>
      </c>
      <c r="T7" s="27">
        <f>'Commercials Forecast'!W26</f>
        <v>-10322.5</v>
      </c>
      <c r="U7" s="27">
        <f>'Commercials Forecast'!X26</f>
        <v>-10622.5</v>
      </c>
      <c r="V7" s="27">
        <f>'Commercials Forecast'!Y26</f>
        <v>-15872.5</v>
      </c>
      <c r="W7" s="27">
        <f>'Commercials Forecast'!Z26</f>
        <v>-15872.5</v>
      </c>
      <c r="X7" s="27">
        <f>'Commercials Forecast'!AA26</f>
        <v>-15872.5</v>
      </c>
      <c r="Y7" s="27">
        <f>'Commercials Forecast'!AB26</f>
        <v>-15872.5</v>
      </c>
      <c r="Z7" s="27">
        <f>'Commercials Forecast'!AC26</f>
        <v>-15872.5</v>
      </c>
      <c r="AA7" s="27">
        <f>'Commercials Forecast'!AD26</f>
        <v>-22755.52083</v>
      </c>
      <c r="AB7" s="27">
        <f>'Commercials Forecast'!AE26</f>
        <v>-23475.625</v>
      </c>
      <c r="AC7" s="27">
        <f>'Commercials Forecast'!AF26</f>
        <v>-24195.72917</v>
      </c>
      <c r="AD7" s="27">
        <f>'Commercials Forecast'!AG26</f>
        <v>-24915.83333</v>
      </c>
      <c r="AE7" s="27">
        <f>'Commercials Forecast'!AH26</f>
        <v>-25635.9375</v>
      </c>
      <c r="AF7" s="27">
        <f>'Commercials Forecast'!AI26</f>
        <v>-26344.08333</v>
      </c>
      <c r="AG7" s="27">
        <f>'Commercials Forecast'!AJ26</f>
        <v>-26854.91667</v>
      </c>
      <c r="AH7" s="27">
        <f>'Commercials Forecast'!AK26</f>
        <v>-43750.72917</v>
      </c>
      <c r="AI7" s="27">
        <f>'Commercials Forecast'!AL26</f>
        <v>-43750.72917</v>
      </c>
      <c r="AJ7" s="27">
        <f>'Commercials Forecast'!AM26</f>
        <v>-43750.72917</v>
      </c>
      <c r="AK7" s="27">
        <f>'Commercials Forecast'!AN26</f>
        <v>-43750.72917</v>
      </c>
      <c r="AL7" s="27">
        <f>'Commercials Forecast'!AO26</f>
        <v>-43750.72917</v>
      </c>
      <c r="AM7" s="27">
        <f>'Commercials Forecast'!AP26</f>
        <v>-61955.46875</v>
      </c>
      <c r="AN7" s="27">
        <f>'Commercials Forecast'!AQ26</f>
        <v>-62619.73958</v>
      </c>
      <c r="AO7" s="27">
        <f>'Commercials Forecast'!AR26</f>
        <v>-63284.01042</v>
      </c>
      <c r="AP7" s="27">
        <f>'Commercials Forecast'!AS26</f>
        <v>-63948.28125</v>
      </c>
      <c r="AQ7" s="27">
        <f>'Commercials Forecast'!AT26</f>
        <v>-64612.55208</v>
      </c>
      <c r="AR7" s="27">
        <f>'Commercials Forecast'!AU26</f>
        <v>-65278.02083</v>
      </c>
      <c r="AS7" s="27">
        <f>'Commercials Forecast'!AV26</f>
        <v>-65925.52083</v>
      </c>
      <c r="AT7" s="27">
        <f>'Commercials Forecast'!AW26</f>
        <v>-99919.27083</v>
      </c>
      <c r="AU7" s="27">
        <f>'Commercials Forecast'!AX26</f>
        <v>-99919.27083</v>
      </c>
      <c r="AV7" s="27">
        <f>'Commercials Forecast'!AY26</f>
        <v>-99919.27083</v>
      </c>
      <c r="AW7" s="27">
        <f>'Commercials Forecast'!AZ26</f>
        <v>-99919.27083</v>
      </c>
      <c r="AX7" s="27">
        <f>'Commercials Forecast'!BA26</f>
        <v>-99919.27083</v>
      </c>
      <c r="AY7" s="27"/>
      <c r="AZ7" s="27">
        <f t="shared" ref="AZ7:BC7" si="3">SUMPRODUCT((YEAR($C$2:$AX$2)=AZ$2)*$C7:$AX7)</f>
        <v>-44140.625</v>
      </c>
      <c r="BA7" s="27">
        <f t="shared" si="3"/>
        <v>-140953.3333</v>
      </c>
      <c r="BB7" s="27">
        <f t="shared" si="3"/>
        <v>-392931.2917</v>
      </c>
      <c r="BC7" s="27">
        <f t="shared" si="3"/>
        <v>-947219.9479</v>
      </c>
      <c r="BD7" s="27"/>
      <c r="BE7" s="27"/>
      <c r="BF7" s="27"/>
      <c r="BG7" s="4"/>
      <c r="BH7" s="4"/>
    </row>
    <row r="8" ht="15.75" customHeight="1">
      <c r="A8" s="3"/>
      <c r="B8" s="34" t="s">
        <v>5</v>
      </c>
      <c r="C8" s="35">
        <f t="shared" ref="C8:AX8" si="4">C5+C6+C7</f>
        <v>11093.75</v>
      </c>
      <c r="D8" s="35">
        <f t="shared" si="4"/>
        <v>22187.5</v>
      </c>
      <c r="E8" s="35">
        <f t="shared" si="4"/>
        <v>33281.25</v>
      </c>
      <c r="F8" s="35">
        <f t="shared" si="4"/>
        <v>44375</v>
      </c>
      <c r="G8" s="35">
        <f t="shared" si="4"/>
        <v>55468.75</v>
      </c>
      <c r="H8" s="35">
        <f t="shared" si="4"/>
        <v>63046.875</v>
      </c>
      <c r="I8" s="35">
        <f t="shared" si="4"/>
        <v>64296.875</v>
      </c>
      <c r="J8" s="35">
        <f t="shared" si="4"/>
        <v>73671.875</v>
      </c>
      <c r="K8" s="35">
        <f t="shared" si="4"/>
        <v>73671.875</v>
      </c>
      <c r="L8" s="35">
        <f t="shared" si="4"/>
        <v>73671.875</v>
      </c>
      <c r="M8" s="35">
        <f t="shared" si="4"/>
        <v>73671.875</v>
      </c>
      <c r="N8" s="35">
        <f t="shared" si="4"/>
        <v>73671.875</v>
      </c>
      <c r="O8" s="35">
        <f t="shared" si="4"/>
        <v>98937.5</v>
      </c>
      <c r="P8" s="36">
        <f t="shared" si="4"/>
        <v>110437.5</v>
      </c>
      <c r="Q8" s="35">
        <f t="shared" si="4"/>
        <v>121937.5</v>
      </c>
      <c r="R8" s="35">
        <f t="shared" si="4"/>
        <v>133437.5</v>
      </c>
      <c r="S8" s="35">
        <f t="shared" si="4"/>
        <v>144937.5</v>
      </c>
      <c r="T8" s="35">
        <f t="shared" si="4"/>
        <v>154837.5</v>
      </c>
      <c r="U8" s="35">
        <f t="shared" si="4"/>
        <v>159337.5</v>
      </c>
      <c r="V8" s="35">
        <f t="shared" si="4"/>
        <v>238087.5</v>
      </c>
      <c r="W8" s="35">
        <f t="shared" si="4"/>
        <v>238087.5</v>
      </c>
      <c r="X8" s="35">
        <f t="shared" si="4"/>
        <v>238087.5</v>
      </c>
      <c r="Y8" s="35">
        <f t="shared" si="4"/>
        <v>238087.5</v>
      </c>
      <c r="Z8" s="35">
        <f t="shared" si="4"/>
        <v>238087.5</v>
      </c>
      <c r="AA8" s="35">
        <f t="shared" si="4"/>
        <v>341332.8125</v>
      </c>
      <c r="AB8" s="35">
        <f t="shared" si="4"/>
        <v>352134.375</v>
      </c>
      <c r="AC8" s="35">
        <f t="shared" si="4"/>
        <v>362935.9375</v>
      </c>
      <c r="AD8" s="35">
        <f t="shared" si="4"/>
        <v>373737.5</v>
      </c>
      <c r="AE8" s="35">
        <f t="shared" si="4"/>
        <v>384539.0625</v>
      </c>
      <c r="AF8" s="35">
        <f t="shared" si="4"/>
        <v>395161.25</v>
      </c>
      <c r="AG8" s="35">
        <f t="shared" si="4"/>
        <v>402823.75</v>
      </c>
      <c r="AH8" s="35">
        <f t="shared" si="4"/>
        <v>656260.9375</v>
      </c>
      <c r="AI8" s="35">
        <f t="shared" si="4"/>
        <v>656260.9375</v>
      </c>
      <c r="AJ8" s="35">
        <f t="shared" si="4"/>
        <v>656260.9375</v>
      </c>
      <c r="AK8" s="35">
        <f t="shared" si="4"/>
        <v>656260.9375</v>
      </c>
      <c r="AL8" s="35">
        <f t="shared" si="4"/>
        <v>656260.9375</v>
      </c>
      <c r="AM8" s="35">
        <f t="shared" si="4"/>
        <v>929332.0313</v>
      </c>
      <c r="AN8" s="35">
        <f t="shared" si="4"/>
        <v>939296.0938</v>
      </c>
      <c r="AO8" s="35">
        <f t="shared" si="4"/>
        <v>949260.1563</v>
      </c>
      <c r="AP8" s="35">
        <f t="shared" si="4"/>
        <v>959224.2188</v>
      </c>
      <c r="AQ8" s="35">
        <f t="shared" si="4"/>
        <v>969188.2813</v>
      </c>
      <c r="AR8" s="35">
        <f t="shared" si="4"/>
        <v>979170.3125</v>
      </c>
      <c r="AS8" s="35">
        <f t="shared" si="4"/>
        <v>988882.8125</v>
      </c>
      <c r="AT8" s="35">
        <f t="shared" si="4"/>
        <v>1498789.063</v>
      </c>
      <c r="AU8" s="35">
        <f t="shared" si="4"/>
        <v>1498789.063</v>
      </c>
      <c r="AV8" s="35">
        <f t="shared" si="4"/>
        <v>1498789.063</v>
      </c>
      <c r="AW8" s="35">
        <f t="shared" si="4"/>
        <v>1498789.063</v>
      </c>
      <c r="AX8" s="35">
        <f t="shared" si="4"/>
        <v>1498789.063</v>
      </c>
      <c r="AY8" s="35"/>
      <c r="AZ8" s="35">
        <f t="shared" ref="AZ8:BC8" si="5">SUMPRODUCT((YEAR($C$2:$AX$2)=AZ$2)*$C8:$AX8)</f>
        <v>662109.375</v>
      </c>
      <c r="BA8" s="35">
        <f t="shared" si="5"/>
        <v>2114300</v>
      </c>
      <c r="BB8" s="35">
        <f t="shared" si="5"/>
        <v>5893969.375</v>
      </c>
      <c r="BC8" s="35">
        <f t="shared" si="5"/>
        <v>14208299.22</v>
      </c>
      <c r="BD8" s="27"/>
      <c r="BE8" s="27"/>
      <c r="BF8" s="27"/>
      <c r="BG8" s="4"/>
      <c r="BH8" s="4"/>
    </row>
    <row r="9" ht="15.75" customHeight="1">
      <c r="A9" s="3"/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9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40"/>
      <c r="BE9" s="40"/>
      <c r="BF9" s="40"/>
      <c r="BG9" s="4"/>
      <c r="BH9" s="4"/>
    </row>
    <row r="10" ht="15.75" customHeight="1">
      <c r="A10" s="3"/>
      <c r="B10" s="41" t="s">
        <v>6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25"/>
      <c r="P10" s="43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3"/>
      <c r="BE10" s="3"/>
      <c r="BF10" s="3"/>
      <c r="BG10" s="4"/>
      <c r="BH10" s="4"/>
    </row>
    <row r="11" ht="15.75" customHeight="1">
      <c r="A11" s="3"/>
      <c r="B11" s="22" t="s">
        <v>7</v>
      </c>
      <c r="C11" s="23">
        <f>Personnel!F17+Personnel!F20</f>
        <v>32000</v>
      </c>
      <c r="D11" s="23">
        <f>Personnel!G17+Personnel!G20</f>
        <v>35000</v>
      </c>
      <c r="E11" s="23">
        <f>Personnel!H17+Personnel!H20</f>
        <v>35000</v>
      </c>
      <c r="F11" s="23">
        <f>Personnel!I17+Personnel!I20</f>
        <v>38000</v>
      </c>
      <c r="G11" s="23">
        <f>Personnel!J17+Personnel!J20</f>
        <v>38000</v>
      </c>
      <c r="H11" s="23">
        <f>Personnel!K17+Personnel!K20</f>
        <v>38000</v>
      </c>
      <c r="I11" s="23">
        <f>Personnel!L17+Personnel!L20</f>
        <v>38000</v>
      </c>
      <c r="J11" s="23">
        <f>Personnel!M17+Personnel!M20</f>
        <v>38000</v>
      </c>
      <c r="K11" s="23">
        <f>Personnel!N17+Personnel!N20</f>
        <v>38000</v>
      </c>
      <c r="L11" s="23">
        <f>Personnel!O17+Personnel!O20</f>
        <v>38000</v>
      </c>
      <c r="M11" s="23">
        <f>Personnel!P17+Personnel!P20</f>
        <v>38000</v>
      </c>
      <c r="N11" s="23">
        <f>Personnel!Q17+Personnel!Q20</f>
        <v>38000</v>
      </c>
      <c r="O11" s="23">
        <f>Personnel!R17+Personnel!R20</f>
        <v>49500</v>
      </c>
      <c r="P11" s="24">
        <f>Personnel!S17+Personnel!S20</f>
        <v>49500</v>
      </c>
      <c r="Q11" s="23">
        <f>Personnel!T17+Personnel!T20</f>
        <v>52500</v>
      </c>
      <c r="R11" s="23">
        <f>Personnel!U17+Personnel!U20</f>
        <v>60000</v>
      </c>
      <c r="S11" s="23">
        <f>Personnel!V17+Personnel!V20</f>
        <v>60000</v>
      </c>
      <c r="T11" s="23">
        <f>Personnel!W17+Personnel!W20</f>
        <v>60000</v>
      </c>
      <c r="U11" s="23">
        <f>Personnel!X17+Personnel!X20</f>
        <v>63000</v>
      </c>
      <c r="V11" s="23">
        <f>Personnel!Y17+Personnel!Y20</f>
        <v>63000</v>
      </c>
      <c r="W11" s="23">
        <f>Personnel!Z17+Personnel!Z20</f>
        <v>63000</v>
      </c>
      <c r="X11" s="23">
        <f>Personnel!AA17+Personnel!AA20</f>
        <v>63000</v>
      </c>
      <c r="Y11" s="23">
        <f>Personnel!AB17+Personnel!AB20</f>
        <v>63000</v>
      </c>
      <c r="Z11" s="23">
        <f>Personnel!AC17+Personnel!AC20</f>
        <v>63000</v>
      </c>
      <c r="AA11" s="23">
        <f>Personnel!AD17+Personnel!AD20</f>
        <v>67000</v>
      </c>
      <c r="AB11" s="23">
        <f>Personnel!AE17+Personnel!AE20</f>
        <v>70000</v>
      </c>
      <c r="AC11" s="23">
        <f>Personnel!AF17+Personnel!AF20</f>
        <v>70000</v>
      </c>
      <c r="AD11" s="23">
        <f>Personnel!AG17+Personnel!AG20</f>
        <v>73000</v>
      </c>
      <c r="AE11" s="23">
        <f>Personnel!AH17+Personnel!AH20</f>
        <v>73000</v>
      </c>
      <c r="AF11" s="23">
        <f>Personnel!AI17+Personnel!AI20</f>
        <v>73000</v>
      </c>
      <c r="AG11" s="23">
        <f>Personnel!AJ17+Personnel!AJ20</f>
        <v>76000</v>
      </c>
      <c r="AH11" s="23">
        <f>Personnel!AK17+Personnel!AK20</f>
        <v>76000</v>
      </c>
      <c r="AI11" s="23">
        <f>Personnel!AL17+Personnel!AL20</f>
        <v>76000</v>
      </c>
      <c r="AJ11" s="23">
        <f>Personnel!AM17+Personnel!AM20</f>
        <v>76000</v>
      </c>
      <c r="AK11" s="23">
        <f>Personnel!AN17+Personnel!AN20</f>
        <v>76000</v>
      </c>
      <c r="AL11" s="23">
        <f>Personnel!AO17+Personnel!AO20</f>
        <v>76000</v>
      </c>
      <c r="AM11" s="23">
        <f>Personnel!AP17+Personnel!AP20</f>
        <v>80000</v>
      </c>
      <c r="AN11" s="23">
        <f>Personnel!AQ17+Personnel!AQ20</f>
        <v>83000</v>
      </c>
      <c r="AO11" s="23">
        <f>Personnel!AR17+Personnel!AR20</f>
        <v>83000</v>
      </c>
      <c r="AP11" s="23">
        <f>Personnel!AS17+Personnel!AS20</f>
        <v>86000</v>
      </c>
      <c r="AQ11" s="23">
        <f>Personnel!AT17+Personnel!AT20</f>
        <v>86000</v>
      </c>
      <c r="AR11" s="23">
        <f>Personnel!AU17+Personnel!AU20</f>
        <v>86000</v>
      </c>
      <c r="AS11" s="23">
        <f>Personnel!AV17+Personnel!AV20</f>
        <v>89000</v>
      </c>
      <c r="AT11" s="23">
        <f>Personnel!AW17+Personnel!AW20</f>
        <v>89000</v>
      </c>
      <c r="AU11" s="23">
        <f>Personnel!AX17+Personnel!AX20</f>
        <v>89000</v>
      </c>
      <c r="AV11" s="23">
        <f>Personnel!AY17+Personnel!AY20</f>
        <v>89000</v>
      </c>
      <c r="AW11" s="23">
        <f>Personnel!AZ17+Personnel!AZ20</f>
        <v>89000</v>
      </c>
      <c r="AX11" s="23">
        <f>Personnel!BA17+Personnel!BA20</f>
        <v>89000</v>
      </c>
      <c r="AY11" s="23"/>
      <c r="AZ11" s="23">
        <f t="shared" ref="AZ11:BC11" si="6">SUMPRODUCT((YEAR($C$2:$AX$2)=AZ$2)*$C11:$AX11)</f>
        <v>444000</v>
      </c>
      <c r="BA11" s="23">
        <f t="shared" si="6"/>
        <v>709500</v>
      </c>
      <c r="BB11" s="23">
        <f t="shared" si="6"/>
        <v>882000</v>
      </c>
      <c r="BC11" s="23">
        <f t="shared" si="6"/>
        <v>1038000</v>
      </c>
      <c r="BD11" s="25"/>
      <c r="BE11" s="25"/>
      <c r="BF11" s="25"/>
      <c r="BG11" s="4"/>
      <c r="BH11" s="4"/>
    </row>
    <row r="12" ht="15.75" customHeight="1">
      <c r="A12" s="3"/>
      <c r="B12" s="26" t="s">
        <v>8</v>
      </c>
      <c r="C12" s="27">
        <f>Personnel!F21</f>
        <v>0</v>
      </c>
      <c r="D12" s="27">
        <f>Personnel!G21</f>
        <v>0</v>
      </c>
      <c r="E12" s="27">
        <f>Personnel!H21</f>
        <v>0</v>
      </c>
      <c r="F12" s="27">
        <f>Personnel!I21</f>
        <v>0</v>
      </c>
      <c r="G12" s="27">
        <f>Personnel!J21</f>
        <v>0</v>
      </c>
      <c r="H12" s="27">
        <f>Personnel!K21</f>
        <v>2598.75</v>
      </c>
      <c r="I12" s="27">
        <f>Personnel!L21</f>
        <v>2598.75</v>
      </c>
      <c r="J12" s="27">
        <f>Personnel!M21</f>
        <v>6448.75</v>
      </c>
      <c r="K12" s="27">
        <f>Personnel!N21</f>
        <v>6448.75</v>
      </c>
      <c r="L12" s="27">
        <f>Personnel!O21</f>
        <v>6448.75</v>
      </c>
      <c r="M12" s="27">
        <f>Personnel!P21</f>
        <v>6448.75</v>
      </c>
      <c r="N12" s="27">
        <f>Personnel!Q21</f>
        <v>6448.75</v>
      </c>
      <c r="O12" s="27">
        <f>Personnel!R21</f>
        <v>12101.83333</v>
      </c>
      <c r="P12" s="28">
        <f>Personnel!S21</f>
        <v>12101.83333</v>
      </c>
      <c r="Q12" s="27">
        <f>Personnel!T21</f>
        <v>12101.83333</v>
      </c>
      <c r="R12" s="27">
        <f>Personnel!U21</f>
        <v>12101.83333</v>
      </c>
      <c r="S12" s="27">
        <f>Personnel!V21</f>
        <v>12101.83333</v>
      </c>
      <c r="T12" s="27">
        <f>Personnel!W21</f>
        <v>14319.43333</v>
      </c>
      <c r="U12" s="27">
        <f>Personnel!X21</f>
        <v>14319.43333</v>
      </c>
      <c r="V12" s="27">
        <f>Personnel!Y21</f>
        <v>46659.43333</v>
      </c>
      <c r="W12" s="27">
        <f>Personnel!Z21</f>
        <v>46659.43333</v>
      </c>
      <c r="X12" s="27">
        <f>Personnel!AA21</f>
        <v>46659.43333</v>
      </c>
      <c r="Y12" s="27">
        <f>Personnel!AB21</f>
        <v>46659.43333</v>
      </c>
      <c r="Z12" s="27">
        <f>Personnel!AC21</f>
        <v>46659.43333</v>
      </c>
      <c r="AA12" s="27">
        <f>Personnel!AD21</f>
        <v>84623</v>
      </c>
      <c r="AB12" s="27">
        <f>Personnel!AE21</f>
        <v>84623</v>
      </c>
      <c r="AC12" s="27">
        <f>Personnel!AF21</f>
        <v>84623</v>
      </c>
      <c r="AD12" s="27">
        <f>Personnel!AG21</f>
        <v>84623</v>
      </c>
      <c r="AE12" s="27">
        <f>Personnel!AH21</f>
        <v>84623</v>
      </c>
      <c r="AF12" s="27">
        <f>Personnel!AI21</f>
        <v>85838.445</v>
      </c>
      <c r="AG12" s="27">
        <f>Personnel!AJ21</f>
        <v>85838.445</v>
      </c>
      <c r="AH12" s="27">
        <f>Personnel!AK21</f>
        <v>189916.65</v>
      </c>
      <c r="AI12" s="27">
        <f>Personnel!AL21</f>
        <v>189916.65</v>
      </c>
      <c r="AJ12" s="27">
        <f>Personnel!AM21</f>
        <v>189916.65</v>
      </c>
      <c r="AK12" s="27">
        <f>Personnel!AN21</f>
        <v>189916.65</v>
      </c>
      <c r="AL12" s="27">
        <f>Personnel!AO21</f>
        <v>189916.65</v>
      </c>
      <c r="AM12" s="27">
        <f>Personnel!AP21</f>
        <v>297965.9375</v>
      </c>
      <c r="AN12" s="27">
        <f>Personnel!AQ21</f>
        <v>297965.9375</v>
      </c>
      <c r="AO12" s="27">
        <f>Personnel!AR21</f>
        <v>297965.9375</v>
      </c>
      <c r="AP12" s="27">
        <f>Personnel!AS21</f>
        <v>297965.9375</v>
      </c>
      <c r="AQ12" s="27">
        <f>Personnel!AT21</f>
        <v>297965.9375</v>
      </c>
      <c r="AR12" s="27">
        <f>Personnel!AU21</f>
        <v>298076.625</v>
      </c>
      <c r="AS12" s="27">
        <f>Personnel!AV21</f>
        <v>298076.625</v>
      </c>
      <c r="AT12" s="27">
        <f>Personnel!AW21</f>
        <v>507478.125</v>
      </c>
      <c r="AU12" s="27">
        <f>Personnel!AX21</f>
        <v>507478.125</v>
      </c>
      <c r="AV12" s="27">
        <f>Personnel!AY21</f>
        <v>507478.125</v>
      </c>
      <c r="AW12" s="27">
        <f>Personnel!AZ21</f>
        <v>507478.125</v>
      </c>
      <c r="AX12" s="27">
        <f>Personnel!BA21</f>
        <v>507478.125</v>
      </c>
      <c r="AY12" s="27"/>
      <c r="AZ12" s="27">
        <f t="shared" ref="AZ12:BC12" si="7">SUMPRODUCT((YEAR($C$2:$AX$2)=AZ$2)*$C12:$AX12)</f>
        <v>37441.25</v>
      </c>
      <c r="BA12" s="27">
        <f t="shared" si="7"/>
        <v>322445.2</v>
      </c>
      <c r="BB12" s="27">
        <f t="shared" si="7"/>
        <v>1544375.14</v>
      </c>
      <c r="BC12" s="27">
        <f t="shared" si="7"/>
        <v>4623373.563</v>
      </c>
      <c r="BD12" s="27"/>
      <c r="BE12" s="27"/>
      <c r="BF12" s="27"/>
      <c r="BG12" s="4"/>
      <c r="BH12" s="4"/>
    </row>
    <row r="13" ht="15.75" customHeight="1">
      <c r="A13" s="3"/>
      <c r="B13" s="26" t="s">
        <v>9</v>
      </c>
      <c r="C13" s="27">
        <f>Personnel!F18+Personnel!F19</f>
        <v>6987.4</v>
      </c>
      <c r="D13" s="27">
        <f>Personnel!G18+Personnel!G19</f>
        <v>7843</v>
      </c>
      <c r="E13" s="27">
        <f>Personnel!H18+Personnel!H19</f>
        <v>7843</v>
      </c>
      <c r="F13" s="27">
        <f>Personnel!I18+Personnel!I19</f>
        <v>8698.6</v>
      </c>
      <c r="G13" s="27">
        <f>Personnel!J18+Personnel!J19</f>
        <v>8698.6</v>
      </c>
      <c r="H13" s="27">
        <f>Personnel!K18+Personnel!K19</f>
        <v>8698.6</v>
      </c>
      <c r="I13" s="27">
        <f>Personnel!L18+Personnel!L19</f>
        <v>8698.6</v>
      </c>
      <c r="J13" s="27">
        <f>Personnel!M18+Personnel!M19</f>
        <v>8698.6</v>
      </c>
      <c r="K13" s="27">
        <f>Personnel!N18+Personnel!N19</f>
        <v>8698.6</v>
      </c>
      <c r="L13" s="27">
        <f>Personnel!O18+Personnel!O19</f>
        <v>8698.6</v>
      </c>
      <c r="M13" s="27">
        <f>Personnel!P18+Personnel!P19</f>
        <v>8698.6</v>
      </c>
      <c r="N13" s="27">
        <f>Personnel!Q18+Personnel!Q19</f>
        <v>8698.6</v>
      </c>
      <c r="O13" s="27">
        <f>Personnel!R18+Personnel!R19</f>
        <v>11978.4</v>
      </c>
      <c r="P13" s="28">
        <f>Personnel!S18+Personnel!S19</f>
        <v>11978.4</v>
      </c>
      <c r="Q13" s="27">
        <f>Personnel!T18+Personnel!T19</f>
        <v>12834</v>
      </c>
      <c r="R13" s="27">
        <f>Personnel!U18+Personnel!U19</f>
        <v>14973</v>
      </c>
      <c r="S13" s="27">
        <f>Personnel!V18+Personnel!V19</f>
        <v>14973</v>
      </c>
      <c r="T13" s="27">
        <f>Personnel!W18+Personnel!W19</f>
        <v>14973</v>
      </c>
      <c r="U13" s="27">
        <f>Personnel!X18+Personnel!X19</f>
        <v>15828.6</v>
      </c>
      <c r="V13" s="27">
        <f>Personnel!Y18+Personnel!Y19</f>
        <v>15828.6</v>
      </c>
      <c r="W13" s="27">
        <f>Personnel!Z18+Personnel!Z19</f>
        <v>15828.6</v>
      </c>
      <c r="X13" s="27">
        <f>Personnel!AA18+Personnel!AA19</f>
        <v>15828.6</v>
      </c>
      <c r="Y13" s="27">
        <f>Personnel!AB18+Personnel!AB19</f>
        <v>15828.6</v>
      </c>
      <c r="Z13" s="27">
        <f>Personnel!AC18+Personnel!AC19</f>
        <v>15828.6</v>
      </c>
      <c r="AA13" s="27">
        <f>Personnel!AD18+Personnel!AD19</f>
        <v>16969.4</v>
      </c>
      <c r="AB13" s="27">
        <f>Personnel!AE18+Personnel!AE19</f>
        <v>17825</v>
      </c>
      <c r="AC13" s="27">
        <f>Personnel!AF18+Personnel!AF19</f>
        <v>17825</v>
      </c>
      <c r="AD13" s="27">
        <f>Personnel!AG18+Personnel!AG19</f>
        <v>18680.6</v>
      </c>
      <c r="AE13" s="27">
        <f>Personnel!AH18+Personnel!AH19</f>
        <v>18680.6</v>
      </c>
      <c r="AF13" s="27">
        <f>Personnel!AI18+Personnel!AI19</f>
        <v>18680.6</v>
      </c>
      <c r="AG13" s="27">
        <f>Personnel!AJ18+Personnel!AJ19</f>
        <v>19536.2</v>
      </c>
      <c r="AH13" s="27">
        <f>Personnel!AK18+Personnel!AK19</f>
        <v>19536.2</v>
      </c>
      <c r="AI13" s="27">
        <f>Personnel!AL18+Personnel!AL19</f>
        <v>19536.2</v>
      </c>
      <c r="AJ13" s="27">
        <f>Personnel!AM18+Personnel!AM19</f>
        <v>19536.2</v>
      </c>
      <c r="AK13" s="27">
        <f>Personnel!AN18+Personnel!AN19</f>
        <v>19536.2</v>
      </c>
      <c r="AL13" s="27">
        <f>Personnel!AO18+Personnel!AO19</f>
        <v>19536.2</v>
      </c>
      <c r="AM13" s="27">
        <f>Personnel!AP18+Personnel!AP19</f>
        <v>20677</v>
      </c>
      <c r="AN13" s="27">
        <f>Personnel!AQ18+Personnel!AQ19</f>
        <v>21532.6</v>
      </c>
      <c r="AO13" s="27">
        <f>Personnel!AR18+Personnel!AR19</f>
        <v>21532.6</v>
      </c>
      <c r="AP13" s="27">
        <f>Personnel!AS18+Personnel!AS19</f>
        <v>22388.2</v>
      </c>
      <c r="AQ13" s="27">
        <f>Personnel!AT18+Personnel!AT19</f>
        <v>22388.2</v>
      </c>
      <c r="AR13" s="27">
        <f>Personnel!AU18+Personnel!AU19</f>
        <v>22388.2</v>
      </c>
      <c r="AS13" s="27">
        <f>Personnel!AV18+Personnel!AV19</f>
        <v>23243.8</v>
      </c>
      <c r="AT13" s="27">
        <f>Personnel!AW18+Personnel!AW19</f>
        <v>23243.8</v>
      </c>
      <c r="AU13" s="27">
        <f>Personnel!AX18+Personnel!AX19</f>
        <v>23243.8</v>
      </c>
      <c r="AV13" s="27">
        <f>Personnel!AY18+Personnel!AY19</f>
        <v>23243.8</v>
      </c>
      <c r="AW13" s="27">
        <f>Personnel!AZ18+Personnel!AZ19</f>
        <v>23243.8</v>
      </c>
      <c r="AX13" s="27">
        <f>Personnel!BA18+Personnel!BA19</f>
        <v>23243.8</v>
      </c>
      <c r="AY13" s="27"/>
      <c r="AZ13" s="27">
        <f t="shared" ref="AZ13:BC13" si="8">SUMPRODUCT((YEAR($C$2:$AX$2)=AZ$2)*$C13:$AX13)</f>
        <v>100960.8</v>
      </c>
      <c r="BA13" s="27">
        <f t="shared" si="8"/>
        <v>176681.4</v>
      </c>
      <c r="BB13" s="27">
        <f t="shared" si="8"/>
        <v>225878.4</v>
      </c>
      <c r="BC13" s="27">
        <f t="shared" si="8"/>
        <v>270369.6</v>
      </c>
      <c r="BD13" s="27"/>
      <c r="BE13" s="27"/>
      <c r="BF13" s="27"/>
      <c r="BG13" s="4"/>
      <c r="BH13" s="4"/>
    </row>
    <row r="14" ht="15.75" customHeight="1">
      <c r="A14" s="3"/>
      <c r="B14" s="37" t="s">
        <v>10</v>
      </c>
      <c r="C14" s="38">
        <f>Personnel!F22</f>
        <v>450</v>
      </c>
      <c r="D14" s="38">
        <f>Personnel!G22</f>
        <v>450</v>
      </c>
      <c r="E14" s="38">
        <f>Personnel!H22</f>
        <v>450</v>
      </c>
      <c r="F14" s="38">
        <f>Personnel!I22</f>
        <v>450</v>
      </c>
      <c r="G14" s="38">
        <f>Personnel!J22</f>
        <v>450</v>
      </c>
      <c r="H14" s="38">
        <f>Personnel!K22</f>
        <v>450</v>
      </c>
      <c r="I14" s="38">
        <f>Personnel!L22</f>
        <v>450</v>
      </c>
      <c r="J14" s="38">
        <f>Personnel!M22</f>
        <v>450</v>
      </c>
      <c r="K14" s="38">
        <f>Personnel!N22</f>
        <v>450</v>
      </c>
      <c r="L14" s="38">
        <f>Personnel!O22</f>
        <v>450</v>
      </c>
      <c r="M14" s="38">
        <f>Personnel!P22</f>
        <v>450</v>
      </c>
      <c r="N14" s="38">
        <f>Personnel!Q22</f>
        <v>450</v>
      </c>
      <c r="O14" s="38">
        <f>Personnel!R22</f>
        <v>450</v>
      </c>
      <c r="P14" s="39">
        <f>Personnel!S22</f>
        <v>450</v>
      </c>
      <c r="Q14" s="38">
        <f>Personnel!T22</f>
        <v>450</v>
      </c>
      <c r="R14" s="38">
        <f>Personnel!U22</f>
        <v>450</v>
      </c>
      <c r="S14" s="38">
        <f>Personnel!V22</f>
        <v>450</v>
      </c>
      <c r="T14" s="38">
        <f>Personnel!W22</f>
        <v>450</v>
      </c>
      <c r="U14" s="38">
        <f>Personnel!X22</f>
        <v>450</v>
      </c>
      <c r="V14" s="38">
        <f>Personnel!Y22</f>
        <v>450</v>
      </c>
      <c r="W14" s="38">
        <f>Personnel!Z22</f>
        <v>450</v>
      </c>
      <c r="X14" s="38">
        <f>Personnel!AA22</f>
        <v>450</v>
      </c>
      <c r="Y14" s="38">
        <f>Personnel!AB22</f>
        <v>450</v>
      </c>
      <c r="Z14" s="38">
        <f>Personnel!AC22</f>
        <v>450</v>
      </c>
      <c r="AA14" s="38">
        <f>Personnel!AD22</f>
        <v>450</v>
      </c>
      <c r="AB14" s="38">
        <f>Personnel!AE22</f>
        <v>450</v>
      </c>
      <c r="AC14" s="38">
        <f>Personnel!AF22</f>
        <v>450</v>
      </c>
      <c r="AD14" s="38">
        <f>Personnel!AG22</f>
        <v>450</v>
      </c>
      <c r="AE14" s="38">
        <f>Personnel!AH22</f>
        <v>450</v>
      </c>
      <c r="AF14" s="38">
        <f>Personnel!AI22</f>
        <v>450</v>
      </c>
      <c r="AG14" s="38">
        <f>Personnel!AJ22</f>
        <v>450</v>
      </c>
      <c r="AH14" s="38">
        <f>Personnel!AK22</f>
        <v>450</v>
      </c>
      <c r="AI14" s="38">
        <f>Personnel!AL22</f>
        <v>450</v>
      </c>
      <c r="AJ14" s="38">
        <f>Personnel!AM22</f>
        <v>450</v>
      </c>
      <c r="AK14" s="38">
        <f>Personnel!AN22</f>
        <v>450</v>
      </c>
      <c r="AL14" s="38">
        <f>Personnel!AO22</f>
        <v>450</v>
      </c>
      <c r="AM14" s="38">
        <f>Personnel!AP22</f>
        <v>450</v>
      </c>
      <c r="AN14" s="38">
        <f>Personnel!AQ22</f>
        <v>450</v>
      </c>
      <c r="AO14" s="38">
        <f>Personnel!AR22</f>
        <v>450</v>
      </c>
      <c r="AP14" s="38">
        <f>Personnel!AS22</f>
        <v>450</v>
      </c>
      <c r="AQ14" s="38">
        <f>Personnel!AT22</f>
        <v>450</v>
      </c>
      <c r="AR14" s="38">
        <f>Personnel!AU22</f>
        <v>450</v>
      </c>
      <c r="AS14" s="38">
        <f>Personnel!AV22</f>
        <v>450</v>
      </c>
      <c r="AT14" s="38">
        <f>Personnel!AW22</f>
        <v>450</v>
      </c>
      <c r="AU14" s="38">
        <f>Personnel!AX22</f>
        <v>450</v>
      </c>
      <c r="AV14" s="38">
        <f>Personnel!AY22</f>
        <v>450</v>
      </c>
      <c r="AW14" s="38">
        <f>Personnel!AZ22</f>
        <v>450</v>
      </c>
      <c r="AX14" s="38">
        <f>Personnel!BA22</f>
        <v>450</v>
      </c>
      <c r="AY14" s="38"/>
      <c r="AZ14" s="38">
        <f t="shared" ref="AZ14:BC14" si="9">SUMPRODUCT((YEAR($C$2:$AX$2)=AZ$2)*$C14:$AX14)</f>
        <v>5400</v>
      </c>
      <c r="BA14" s="38">
        <f t="shared" si="9"/>
        <v>5400</v>
      </c>
      <c r="BB14" s="38">
        <f t="shared" si="9"/>
        <v>5400</v>
      </c>
      <c r="BC14" s="38">
        <f t="shared" si="9"/>
        <v>5400</v>
      </c>
      <c r="BD14" s="40"/>
      <c r="BE14" s="40"/>
      <c r="BF14" s="40"/>
      <c r="BG14" s="4"/>
      <c r="BH14" s="4"/>
    </row>
    <row r="15" ht="15.75" customHeight="1">
      <c r="A15" s="3"/>
      <c r="B15" s="26" t="s">
        <v>11</v>
      </c>
      <c r="C15" s="44">
        <v>0.0</v>
      </c>
      <c r="D15" s="44">
        <v>0.0</v>
      </c>
      <c r="E15" s="44">
        <v>0.0</v>
      </c>
      <c r="F15" s="44">
        <v>0.0</v>
      </c>
      <c r="G15" s="44">
        <v>0.0</v>
      </c>
      <c r="H15" s="44">
        <v>0.0</v>
      </c>
      <c r="I15" s="44">
        <v>0.0</v>
      </c>
      <c r="J15" s="44">
        <v>0.0</v>
      </c>
      <c r="K15" s="44">
        <v>0.0</v>
      </c>
      <c r="L15" s="44">
        <v>0.0</v>
      </c>
      <c r="M15" s="44">
        <v>0.0</v>
      </c>
      <c r="N15" s="44">
        <v>0.0</v>
      </c>
      <c r="O15" s="44">
        <v>0.0</v>
      </c>
      <c r="P15" s="45">
        <v>0.0</v>
      </c>
      <c r="Q15" s="44">
        <v>0.0</v>
      </c>
      <c r="R15" s="44">
        <v>0.0</v>
      </c>
      <c r="S15" s="44">
        <v>0.0</v>
      </c>
      <c r="T15" s="44">
        <v>0.0</v>
      </c>
      <c r="U15" s="44">
        <v>0.0</v>
      </c>
      <c r="V15" s="44">
        <v>0.0</v>
      </c>
      <c r="W15" s="44">
        <v>0.0</v>
      </c>
      <c r="X15" s="44">
        <v>0.0</v>
      </c>
      <c r="Y15" s="44">
        <v>0.0</v>
      </c>
      <c r="Z15" s="44">
        <v>0.0</v>
      </c>
      <c r="AA15" s="44">
        <v>0.0</v>
      </c>
      <c r="AB15" s="44">
        <v>0.0</v>
      </c>
      <c r="AC15" s="44">
        <v>0.0</v>
      </c>
      <c r="AD15" s="44">
        <v>0.0</v>
      </c>
      <c r="AE15" s="44">
        <v>0.0</v>
      </c>
      <c r="AF15" s="44">
        <v>0.0</v>
      </c>
      <c r="AG15" s="44">
        <v>0.0</v>
      </c>
      <c r="AH15" s="44">
        <v>0.0</v>
      </c>
      <c r="AI15" s="44">
        <v>0.0</v>
      </c>
      <c r="AJ15" s="44">
        <v>0.0</v>
      </c>
      <c r="AK15" s="44">
        <v>0.0</v>
      </c>
      <c r="AL15" s="44">
        <v>0.0</v>
      </c>
      <c r="AM15" s="44">
        <v>0.0</v>
      </c>
      <c r="AN15" s="44">
        <v>0.0</v>
      </c>
      <c r="AO15" s="44">
        <v>0.0</v>
      </c>
      <c r="AP15" s="44">
        <v>0.0</v>
      </c>
      <c r="AQ15" s="44">
        <v>0.0</v>
      </c>
      <c r="AR15" s="44">
        <v>0.0</v>
      </c>
      <c r="AS15" s="44">
        <v>0.0</v>
      </c>
      <c r="AT15" s="44">
        <v>0.0</v>
      </c>
      <c r="AU15" s="44">
        <v>0.0</v>
      </c>
      <c r="AV15" s="44">
        <v>0.0</v>
      </c>
      <c r="AW15" s="44">
        <v>0.0</v>
      </c>
      <c r="AX15" s="44">
        <v>0.0</v>
      </c>
      <c r="AY15" s="27"/>
      <c r="AZ15" s="27">
        <f t="shared" ref="AZ15:BC15" si="10">SUMPRODUCT((YEAR($C$2:$AX$2)=AZ$2)*$C15:$AX15)</f>
        <v>0</v>
      </c>
      <c r="BA15" s="27">
        <f t="shared" si="10"/>
        <v>0</v>
      </c>
      <c r="BB15" s="27">
        <f t="shared" si="10"/>
        <v>0</v>
      </c>
      <c r="BC15" s="27">
        <f t="shared" si="10"/>
        <v>0</v>
      </c>
      <c r="BD15" s="27"/>
      <c r="BE15" s="3"/>
      <c r="BF15" s="3"/>
      <c r="BG15" s="4"/>
      <c r="BH15" s="4"/>
    </row>
    <row r="16" ht="15.75" customHeight="1">
      <c r="A16" s="3"/>
      <c r="B16" s="46" t="s">
        <v>12</v>
      </c>
      <c r="C16" s="47">
        <f>Personnel!F23</f>
        <v>267</v>
      </c>
      <c r="D16" s="48">
        <f>Personnel!G23</f>
        <v>267</v>
      </c>
      <c r="E16" s="48">
        <f>Personnel!H23</f>
        <v>267</v>
      </c>
      <c r="F16" s="48">
        <f>Personnel!I23</f>
        <v>267</v>
      </c>
      <c r="G16" s="48">
        <f>Personnel!J23</f>
        <v>267</v>
      </c>
      <c r="H16" s="48">
        <f>Personnel!K23</f>
        <v>267</v>
      </c>
      <c r="I16" s="48">
        <f>Personnel!L23</f>
        <v>267</v>
      </c>
      <c r="J16" s="48">
        <f>Personnel!M23</f>
        <v>267</v>
      </c>
      <c r="K16" s="48">
        <f>Personnel!N23</f>
        <v>267</v>
      </c>
      <c r="L16" s="48">
        <f>Personnel!O23</f>
        <v>267</v>
      </c>
      <c r="M16" s="48">
        <f>Personnel!P23</f>
        <v>267</v>
      </c>
      <c r="N16" s="49">
        <f>Personnel!Q23</f>
        <v>267</v>
      </c>
      <c r="O16" s="38">
        <f>Personnel!R23</f>
        <v>267</v>
      </c>
      <c r="P16" s="50">
        <f>Personnel!S23</f>
        <v>267</v>
      </c>
      <c r="Q16" s="38">
        <f>Personnel!T23</f>
        <v>267</v>
      </c>
      <c r="R16" s="38">
        <f>Personnel!U23</f>
        <v>267</v>
      </c>
      <c r="S16" s="38">
        <f>Personnel!V23</f>
        <v>267</v>
      </c>
      <c r="T16" s="38">
        <f>Personnel!W23</f>
        <v>267</v>
      </c>
      <c r="U16" s="38">
        <f>Personnel!X23</f>
        <v>267</v>
      </c>
      <c r="V16" s="38">
        <f>Personnel!Y23</f>
        <v>267</v>
      </c>
      <c r="W16" s="38">
        <f>Personnel!Z23</f>
        <v>267</v>
      </c>
      <c r="X16" s="38">
        <f>Personnel!AA23</f>
        <v>267</v>
      </c>
      <c r="Y16" s="38">
        <f>Personnel!AB23</f>
        <v>267</v>
      </c>
      <c r="Z16" s="38">
        <f>Personnel!AC23</f>
        <v>267</v>
      </c>
      <c r="AA16" s="38">
        <f>Personnel!AD23</f>
        <v>267</v>
      </c>
      <c r="AB16" s="38">
        <f>Personnel!AE23</f>
        <v>267</v>
      </c>
      <c r="AC16" s="38">
        <f>Personnel!AF23</f>
        <v>267</v>
      </c>
      <c r="AD16" s="38">
        <f>Personnel!AG23</f>
        <v>267</v>
      </c>
      <c r="AE16" s="38">
        <f>Personnel!AH23</f>
        <v>267</v>
      </c>
      <c r="AF16" s="38">
        <f>Personnel!AI23</f>
        <v>267</v>
      </c>
      <c r="AG16" s="38">
        <f>Personnel!AJ23</f>
        <v>267</v>
      </c>
      <c r="AH16" s="38">
        <f>Personnel!AK23</f>
        <v>267</v>
      </c>
      <c r="AI16" s="38">
        <f>Personnel!AL23</f>
        <v>267</v>
      </c>
      <c r="AJ16" s="38">
        <f>Personnel!AM23</f>
        <v>267</v>
      </c>
      <c r="AK16" s="38">
        <f>Personnel!AN23</f>
        <v>267</v>
      </c>
      <c r="AL16" s="38">
        <f>Personnel!AO23</f>
        <v>267</v>
      </c>
      <c r="AM16" s="38">
        <f>Personnel!AP23</f>
        <v>267</v>
      </c>
      <c r="AN16" s="38">
        <f>Personnel!AQ23</f>
        <v>267</v>
      </c>
      <c r="AO16" s="38">
        <f>Personnel!AR23</f>
        <v>267</v>
      </c>
      <c r="AP16" s="38">
        <f>Personnel!AS23</f>
        <v>267</v>
      </c>
      <c r="AQ16" s="38">
        <f>Personnel!AT23</f>
        <v>267</v>
      </c>
      <c r="AR16" s="38">
        <f>Personnel!AU23</f>
        <v>267</v>
      </c>
      <c r="AS16" s="38">
        <f>Personnel!AV23</f>
        <v>267</v>
      </c>
      <c r="AT16" s="38">
        <f>Personnel!AW23</f>
        <v>267</v>
      </c>
      <c r="AU16" s="38">
        <f>Personnel!AX23</f>
        <v>267</v>
      </c>
      <c r="AV16" s="38">
        <f>Personnel!AY23</f>
        <v>267</v>
      </c>
      <c r="AW16" s="38">
        <f>Personnel!AZ23</f>
        <v>267</v>
      </c>
      <c r="AX16" s="38">
        <f>Personnel!BA23</f>
        <v>267</v>
      </c>
      <c r="AY16" s="38"/>
      <c r="AZ16" s="38">
        <f t="shared" ref="AZ16:BC16" si="11">SUMPRODUCT((YEAR($C$2:$AX$2)=AZ$2)*$C16:$AX16)</f>
        <v>3204</v>
      </c>
      <c r="BA16" s="38">
        <f t="shared" si="11"/>
        <v>3204</v>
      </c>
      <c r="BB16" s="38">
        <f t="shared" si="11"/>
        <v>3204</v>
      </c>
      <c r="BC16" s="38">
        <f t="shared" si="11"/>
        <v>3204</v>
      </c>
      <c r="BD16" s="40"/>
      <c r="BE16" s="40"/>
      <c r="BF16" s="40"/>
      <c r="BG16" s="4"/>
      <c r="BH16" s="4"/>
    </row>
    <row r="17" ht="15.75" customHeight="1">
      <c r="A17" s="3"/>
      <c r="B17" s="34" t="s">
        <v>13</v>
      </c>
      <c r="C17" s="51">
        <f t="shared" ref="C17:AX17" si="12">SUM(C11:C16)</f>
        <v>39704.4</v>
      </c>
      <c r="D17" s="51">
        <f t="shared" si="12"/>
        <v>43560</v>
      </c>
      <c r="E17" s="51">
        <f t="shared" si="12"/>
        <v>43560</v>
      </c>
      <c r="F17" s="51">
        <f t="shared" si="12"/>
        <v>47415.6</v>
      </c>
      <c r="G17" s="51">
        <f t="shared" si="12"/>
        <v>47415.6</v>
      </c>
      <c r="H17" s="51">
        <f t="shared" si="12"/>
        <v>50014.35</v>
      </c>
      <c r="I17" s="51">
        <f t="shared" si="12"/>
        <v>50014.35</v>
      </c>
      <c r="J17" s="51">
        <f t="shared" si="12"/>
        <v>53864.35</v>
      </c>
      <c r="K17" s="51">
        <f t="shared" si="12"/>
        <v>53864.35</v>
      </c>
      <c r="L17" s="51">
        <f t="shared" si="12"/>
        <v>53864.35</v>
      </c>
      <c r="M17" s="51">
        <f t="shared" si="12"/>
        <v>53864.35</v>
      </c>
      <c r="N17" s="51">
        <f t="shared" si="12"/>
        <v>53864.35</v>
      </c>
      <c r="O17" s="51">
        <f t="shared" si="12"/>
        <v>74297.23333</v>
      </c>
      <c r="P17" s="52">
        <f t="shared" si="12"/>
        <v>74297.23333</v>
      </c>
      <c r="Q17" s="51">
        <f t="shared" si="12"/>
        <v>78152.83333</v>
      </c>
      <c r="R17" s="51">
        <f t="shared" si="12"/>
        <v>87791.83333</v>
      </c>
      <c r="S17" s="51">
        <f t="shared" si="12"/>
        <v>87791.83333</v>
      </c>
      <c r="T17" s="51">
        <f t="shared" si="12"/>
        <v>90009.43333</v>
      </c>
      <c r="U17" s="51">
        <f t="shared" si="12"/>
        <v>93865.03333</v>
      </c>
      <c r="V17" s="51">
        <f t="shared" si="12"/>
        <v>126205.0333</v>
      </c>
      <c r="W17" s="51">
        <f t="shared" si="12"/>
        <v>126205.0333</v>
      </c>
      <c r="X17" s="51">
        <f t="shared" si="12"/>
        <v>126205.0333</v>
      </c>
      <c r="Y17" s="51">
        <f t="shared" si="12"/>
        <v>126205.0333</v>
      </c>
      <c r="Z17" s="51">
        <f t="shared" si="12"/>
        <v>126205.0333</v>
      </c>
      <c r="AA17" s="51">
        <f t="shared" si="12"/>
        <v>169309.4</v>
      </c>
      <c r="AB17" s="51">
        <f t="shared" si="12"/>
        <v>173165</v>
      </c>
      <c r="AC17" s="51">
        <f t="shared" si="12"/>
        <v>173165</v>
      </c>
      <c r="AD17" s="51">
        <f t="shared" si="12"/>
        <v>177020.6</v>
      </c>
      <c r="AE17" s="51">
        <f t="shared" si="12"/>
        <v>177020.6</v>
      </c>
      <c r="AF17" s="51">
        <f t="shared" si="12"/>
        <v>178236.045</v>
      </c>
      <c r="AG17" s="51">
        <f t="shared" si="12"/>
        <v>182091.645</v>
      </c>
      <c r="AH17" s="51">
        <f t="shared" si="12"/>
        <v>286169.85</v>
      </c>
      <c r="AI17" s="51">
        <f t="shared" si="12"/>
        <v>286169.85</v>
      </c>
      <c r="AJ17" s="51">
        <f t="shared" si="12"/>
        <v>286169.85</v>
      </c>
      <c r="AK17" s="51">
        <f t="shared" si="12"/>
        <v>286169.85</v>
      </c>
      <c r="AL17" s="51">
        <f t="shared" si="12"/>
        <v>286169.85</v>
      </c>
      <c r="AM17" s="51">
        <f t="shared" si="12"/>
        <v>399359.9375</v>
      </c>
      <c r="AN17" s="51">
        <f t="shared" si="12"/>
        <v>403215.5375</v>
      </c>
      <c r="AO17" s="51">
        <f t="shared" si="12"/>
        <v>403215.5375</v>
      </c>
      <c r="AP17" s="51">
        <f t="shared" si="12"/>
        <v>407071.1375</v>
      </c>
      <c r="AQ17" s="51">
        <f t="shared" si="12"/>
        <v>407071.1375</v>
      </c>
      <c r="AR17" s="51">
        <f t="shared" si="12"/>
        <v>407181.825</v>
      </c>
      <c r="AS17" s="51">
        <f t="shared" si="12"/>
        <v>411037.425</v>
      </c>
      <c r="AT17" s="51">
        <f t="shared" si="12"/>
        <v>620438.925</v>
      </c>
      <c r="AU17" s="51">
        <f t="shared" si="12"/>
        <v>620438.925</v>
      </c>
      <c r="AV17" s="51">
        <f t="shared" si="12"/>
        <v>620438.925</v>
      </c>
      <c r="AW17" s="51">
        <f t="shared" si="12"/>
        <v>620438.925</v>
      </c>
      <c r="AX17" s="51">
        <f t="shared" si="12"/>
        <v>620438.925</v>
      </c>
      <c r="AY17" s="35"/>
      <c r="AZ17" s="35">
        <f t="shared" ref="AZ17:BC17" si="13">SUMPRODUCT((YEAR($C$2:$AX$2)=AZ$2)*$C17:$AX17)</f>
        <v>591006.05</v>
      </c>
      <c r="BA17" s="35">
        <f t="shared" si="13"/>
        <v>1217230.6</v>
      </c>
      <c r="BB17" s="35">
        <f t="shared" si="13"/>
        <v>2660857.54</v>
      </c>
      <c r="BC17" s="35">
        <f t="shared" si="13"/>
        <v>5940347.163</v>
      </c>
      <c r="BD17" s="53"/>
      <c r="BE17" s="53"/>
      <c r="BF17" s="53"/>
      <c r="BG17" s="4"/>
      <c r="BH17" s="4"/>
    </row>
    <row r="18" ht="15.75" customHeight="1">
      <c r="A18" s="3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44"/>
      <c r="P18" s="56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27"/>
      <c r="AZ18" s="27"/>
      <c r="BA18" s="27"/>
      <c r="BB18" s="27"/>
      <c r="BC18" s="27"/>
      <c r="BD18" s="27"/>
      <c r="BE18" s="3"/>
      <c r="BF18" s="3"/>
      <c r="BG18" s="4"/>
      <c r="BH18" s="4"/>
    </row>
    <row r="19" ht="15.75" customHeight="1">
      <c r="A19" s="3"/>
      <c r="B19" s="34" t="s">
        <v>14</v>
      </c>
      <c r="C19" s="35">
        <f t="shared" ref="C19:AX19" si="14">C8-C17</f>
        <v>-28610.65</v>
      </c>
      <c r="D19" s="35">
        <f t="shared" si="14"/>
        <v>-21372.5</v>
      </c>
      <c r="E19" s="35">
        <f t="shared" si="14"/>
        <v>-10278.75</v>
      </c>
      <c r="F19" s="35">
        <f t="shared" si="14"/>
        <v>-3040.6</v>
      </c>
      <c r="G19" s="35">
        <f t="shared" si="14"/>
        <v>8053.15</v>
      </c>
      <c r="H19" s="35">
        <f t="shared" si="14"/>
        <v>13032.525</v>
      </c>
      <c r="I19" s="35">
        <f t="shared" si="14"/>
        <v>14282.525</v>
      </c>
      <c r="J19" s="35">
        <f t="shared" si="14"/>
        <v>19807.525</v>
      </c>
      <c r="K19" s="35">
        <f t="shared" si="14"/>
        <v>19807.525</v>
      </c>
      <c r="L19" s="35">
        <f t="shared" si="14"/>
        <v>19807.525</v>
      </c>
      <c r="M19" s="35">
        <f t="shared" si="14"/>
        <v>19807.525</v>
      </c>
      <c r="N19" s="35">
        <f t="shared" si="14"/>
        <v>19807.525</v>
      </c>
      <c r="O19" s="35">
        <f t="shared" si="14"/>
        <v>24640.26667</v>
      </c>
      <c r="P19" s="36">
        <f t="shared" si="14"/>
        <v>36140.26667</v>
      </c>
      <c r="Q19" s="35">
        <f t="shared" si="14"/>
        <v>43784.66667</v>
      </c>
      <c r="R19" s="35">
        <f t="shared" si="14"/>
        <v>45645.66667</v>
      </c>
      <c r="S19" s="35">
        <f t="shared" si="14"/>
        <v>57145.66667</v>
      </c>
      <c r="T19" s="35">
        <f t="shared" si="14"/>
        <v>64828.06667</v>
      </c>
      <c r="U19" s="35">
        <f t="shared" si="14"/>
        <v>65472.46667</v>
      </c>
      <c r="V19" s="35">
        <f t="shared" si="14"/>
        <v>111882.4667</v>
      </c>
      <c r="W19" s="35">
        <f t="shared" si="14"/>
        <v>111882.4667</v>
      </c>
      <c r="X19" s="35">
        <f t="shared" si="14"/>
        <v>111882.4667</v>
      </c>
      <c r="Y19" s="35">
        <f t="shared" si="14"/>
        <v>111882.4667</v>
      </c>
      <c r="Z19" s="35">
        <f t="shared" si="14"/>
        <v>111882.4667</v>
      </c>
      <c r="AA19" s="35">
        <f t="shared" si="14"/>
        <v>172023.4125</v>
      </c>
      <c r="AB19" s="35">
        <f t="shared" si="14"/>
        <v>178969.375</v>
      </c>
      <c r="AC19" s="35">
        <f t="shared" si="14"/>
        <v>189770.9375</v>
      </c>
      <c r="AD19" s="35">
        <f t="shared" si="14"/>
        <v>196716.9</v>
      </c>
      <c r="AE19" s="35">
        <f t="shared" si="14"/>
        <v>207518.4625</v>
      </c>
      <c r="AF19" s="35">
        <f t="shared" si="14"/>
        <v>216925.205</v>
      </c>
      <c r="AG19" s="35">
        <f t="shared" si="14"/>
        <v>220732.105</v>
      </c>
      <c r="AH19" s="35">
        <f t="shared" si="14"/>
        <v>370091.0875</v>
      </c>
      <c r="AI19" s="35">
        <f t="shared" si="14"/>
        <v>370091.0875</v>
      </c>
      <c r="AJ19" s="35">
        <f t="shared" si="14"/>
        <v>370091.0875</v>
      </c>
      <c r="AK19" s="35">
        <f t="shared" si="14"/>
        <v>370091.0875</v>
      </c>
      <c r="AL19" s="35">
        <f t="shared" si="14"/>
        <v>370091.0875</v>
      </c>
      <c r="AM19" s="35">
        <f t="shared" si="14"/>
        <v>529972.0938</v>
      </c>
      <c r="AN19" s="35">
        <f t="shared" si="14"/>
        <v>536080.5563</v>
      </c>
      <c r="AO19" s="35">
        <f t="shared" si="14"/>
        <v>546044.6188</v>
      </c>
      <c r="AP19" s="35">
        <f t="shared" si="14"/>
        <v>552153.0813</v>
      </c>
      <c r="AQ19" s="35">
        <f t="shared" si="14"/>
        <v>562117.1438</v>
      </c>
      <c r="AR19" s="35">
        <f t="shared" si="14"/>
        <v>571988.4875</v>
      </c>
      <c r="AS19" s="35">
        <f t="shared" si="14"/>
        <v>577845.3875</v>
      </c>
      <c r="AT19" s="35">
        <f t="shared" si="14"/>
        <v>878350.1375</v>
      </c>
      <c r="AU19" s="35">
        <f t="shared" si="14"/>
        <v>878350.1375</v>
      </c>
      <c r="AV19" s="35">
        <f t="shared" si="14"/>
        <v>878350.1375</v>
      </c>
      <c r="AW19" s="35">
        <f t="shared" si="14"/>
        <v>878350.1375</v>
      </c>
      <c r="AX19" s="35">
        <f t="shared" si="14"/>
        <v>878350.1375</v>
      </c>
      <c r="AY19" s="35"/>
      <c r="AZ19" s="35">
        <f t="shared" ref="AZ19:BC19" si="15">SUMPRODUCT((YEAR($C$2:$AX$2)=AZ$2)*$C19:$AX19)</f>
        <v>71103.325</v>
      </c>
      <c r="BA19" s="35">
        <f t="shared" si="15"/>
        <v>897069.4</v>
      </c>
      <c r="BB19" s="35">
        <f t="shared" si="15"/>
        <v>3233111.835</v>
      </c>
      <c r="BC19" s="35">
        <f t="shared" si="15"/>
        <v>8267952.056</v>
      </c>
      <c r="BD19" s="38"/>
      <c r="BE19" s="27"/>
      <c r="BF19" s="27"/>
      <c r="BG19" s="4"/>
      <c r="BH19" s="4"/>
    </row>
    <row r="20" ht="15.75" customHeight="1">
      <c r="A20" s="3"/>
      <c r="B20" s="5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8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4"/>
      <c r="BH20" s="4"/>
    </row>
    <row r="21" ht="15.75" customHeight="1">
      <c r="A21" s="3"/>
      <c r="B21" s="41" t="s">
        <v>15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60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40"/>
      <c r="BE21" s="40"/>
      <c r="BF21" s="40"/>
      <c r="BG21" s="4"/>
      <c r="BH21" s="4"/>
    </row>
    <row r="22" ht="15.75" customHeight="1">
      <c r="A22" s="3"/>
      <c r="B22" s="26" t="s">
        <v>16</v>
      </c>
      <c r="C22" s="27">
        <f>OPEX!F7</f>
        <v>3600</v>
      </c>
      <c r="D22" s="27">
        <f>OPEX!G7</f>
        <v>4200</v>
      </c>
      <c r="E22" s="27">
        <f>OPEX!H7</f>
        <v>4200</v>
      </c>
      <c r="F22" s="27">
        <f>OPEX!I7</f>
        <v>4800</v>
      </c>
      <c r="G22" s="27">
        <f>OPEX!J7</f>
        <v>4800</v>
      </c>
      <c r="H22" s="27">
        <f>OPEX!K7</f>
        <v>4800</v>
      </c>
      <c r="I22" s="27">
        <f>OPEX!L7</f>
        <v>4800</v>
      </c>
      <c r="J22" s="27">
        <f>OPEX!M7</f>
        <v>4800</v>
      </c>
      <c r="K22" s="27">
        <f>OPEX!N7</f>
        <v>4800</v>
      </c>
      <c r="L22" s="27">
        <f>OPEX!O7</f>
        <v>4800</v>
      </c>
      <c r="M22" s="27">
        <f>OPEX!P7</f>
        <v>4800</v>
      </c>
      <c r="N22" s="27">
        <f>OPEX!Q7</f>
        <v>4800</v>
      </c>
      <c r="O22" s="27">
        <f>OPEX!R7</f>
        <v>6000</v>
      </c>
      <c r="P22" s="28">
        <f>OPEX!S7</f>
        <v>6000</v>
      </c>
      <c r="Q22" s="27">
        <f>OPEX!T7</f>
        <v>6600</v>
      </c>
      <c r="R22" s="27">
        <f>OPEX!U7</f>
        <v>7800</v>
      </c>
      <c r="S22" s="27">
        <f>OPEX!V7</f>
        <v>7800</v>
      </c>
      <c r="T22" s="27">
        <f>OPEX!W7</f>
        <v>7800</v>
      </c>
      <c r="U22" s="27">
        <f>OPEX!X7</f>
        <v>8400</v>
      </c>
      <c r="V22" s="27">
        <f>OPEX!Y7</f>
        <v>8400</v>
      </c>
      <c r="W22" s="27">
        <f>OPEX!Z7</f>
        <v>8400</v>
      </c>
      <c r="X22" s="27">
        <f>OPEX!AA7</f>
        <v>8400</v>
      </c>
      <c r="Y22" s="27">
        <f>OPEX!AB7</f>
        <v>8400</v>
      </c>
      <c r="Z22" s="27">
        <f>OPEX!AC7</f>
        <v>8400</v>
      </c>
      <c r="AA22" s="27">
        <f>OPEX!AD7</f>
        <v>8400</v>
      </c>
      <c r="AB22" s="27">
        <f>OPEX!AE7</f>
        <v>9000</v>
      </c>
      <c r="AC22" s="27">
        <f>OPEX!AF7</f>
        <v>9000</v>
      </c>
      <c r="AD22" s="27">
        <f>OPEX!AG7</f>
        <v>9600</v>
      </c>
      <c r="AE22" s="27">
        <f>OPEX!AH7</f>
        <v>9600</v>
      </c>
      <c r="AF22" s="27">
        <f>OPEX!AI7</f>
        <v>9600</v>
      </c>
      <c r="AG22" s="27">
        <f>OPEX!AJ7</f>
        <v>10200</v>
      </c>
      <c r="AH22" s="27">
        <f>OPEX!AK7</f>
        <v>10200</v>
      </c>
      <c r="AI22" s="27">
        <f>OPEX!AL7</f>
        <v>10200</v>
      </c>
      <c r="AJ22" s="27">
        <f>OPEX!AM7</f>
        <v>10200</v>
      </c>
      <c r="AK22" s="27">
        <f>OPEX!AN7</f>
        <v>10200</v>
      </c>
      <c r="AL22" s="27">
        <f>OPEX!AO7</f>
        <v>10200</v>
      </c>
      <c r="AM22" s="27">
        <f>OPEX!AP7</f>
        <v>10200</v>
      </c>
      <c r="AN22" s="27">
        <f>OPEX!AQ7</f>
        <v>10800</v>
      </c>
      <c r="AO22" s="27">
        <f>OPEX!AR7</f>
        <v>10800</v>
      </c>
      <c r="AP22" s="27">
        <f>OPEX!AS7</f>
        <v>11400</v>
      </c>
      <c r="AQ22" s="27">
        <f>OPEX!AT7</f>
        <v>11400</v>
      </c>
      <c r="AR22" s="27">
        <f>OPEX!AU7</f>
        <v>11400</v>
      </c>
      <c r="AS22" s="27">
        <f>OPEX!AV7</f>
        <v>12000</v>
      </c>
      <c r="AT22" s="27">
        <f>OPEX!AW7</f>
        <v>12000</v>
      </c>
      <c r="AU22" s="27">
        <f>OPEX!AX7</f>
        <v>12000</v>
      </c>
      <c r="AV22" s="27">
        <f>OPEX!AY7</f>
        <v>12000</v>
      </c>
      <c r="AW22" s="27">
        <f>OPEX!AZ7</f>
        <v>12000</v>
      </c>
      <c r="AX22" s="27">
        <f>OPEX!BA7</f>
        <v>12000</v>
      </c>
      <c r="AY22" s="27"/>
      <c r="AZ22" s="27">
        <f t="shared" ref="AZ22:BC22" si="16">SUMPRODUCT((YEAR($C$2:$AX$2)=AZ$2)*$C22:$AX22)</f>
        <v>55200</v>
      </c>
      <c r="BA22" s="27">
        <f t="shared" si="16"/>
        <v>92400</v>
      </c>
      <c r="BB22" s="27">
        <f t="shared" si="16"/>
        <v>116400</v>
      </c>
      <c r="BC22" s="27">
        <f t="shared" si="16"/>
        <v>138000</v>
      </c>
      <c r="BD22" s="53"/>
      <c r="BE22" s="53"/>
      <c r="BF22" s="53"/>
      <c r="BG22" s="4"/>
      <c r="BH22" s="4"/>
    </row>
    <row r="23" ht="15.75" customHeight="1">
      <c r="A23" s="3"/>
      <c r="B23" s="26" t="s">
        <v>17</v>
      </c>
      <c r="C23" s="27">
        <f>OPEX!F8</f>
        <v>2303.333333</v>
      </c>
      <c r="D23" s="27">
        <f>OPEX!G8</f>
        <v>2423.333333</v>
      </c>
      <c r="E23" s="27">
        <f>OPEX!H8</f>
        <v>2423.333333</v>
      </c>
      <c r="F23" s="27">
        <f>OPEX!I8</f>
        <v>2543.333333</v>
      </c>
      <c r="G23" s="27">
        <f>OPEX!J8</f>
        <v>2543.333333</v>
      </c>
      <c r="H23" s="27">
        <f>OPEX!K8</f>
        <v>2543.333333</v>
      </c>
      <c r="I23" s="27">
        <f>OPEX!L8</f>
        <v>2543.333333</v>
      </c>
      <c r="J23" s="27">
        <f>OPEX!M8</f>
        <v>2543.333333</v>
      </c>
      <c r="K23" s="27">
        <f>OPEX!N8</f>
        <v>2543.333333</v>
      </c>
      <c r="L23" s="27">
        <f>OPEX!O8</f>
        <v>2543.333333</v>
      </c>
      <c r="M23" s="27">
        <f>OPEX!P8</f>
        <v>2543.333333</v>
      </c>
      <c r="N23" s="27">
        <f>OPEX!Q8</f>
        <v>2543.333333</v>
      </c>
      <c r="O23" s="27">
        <f>OPEX!R8</f>
        <v>2783.333333</v>
      </c>
      <c r="P23" s="28">
        <f>OPEX!S8</f>
        <v>2783.333333</v>
      </c>
      <c r="Q23" s="27">
        <f>OPEX!T8</f>
        <v>2903.333333</v>
      </c>
      <c r="R23" s="27">
        <f>OPEX!U8</f>
        <v>3143.333333</v>
      </c>
      <c r="S23" s="27">
        <f>OPEX!V8</f>
        <v>3143.333333</v>
      </c>
      <c r="T23" s="27">
        <f>OPEX!W8</f>
        <v>3143.333333</v>
      </c>
      <c r="U23" s="27">
        <f>OPEX!X8</f>
        <v>3263.333333</v>
      </c>
      <c r="V23" s="27">
        <f>OPEX!Y8</f>
        <v>3263.333333</v>
      </c>
      <c r="W23" s="27">
        <f>OPEX!Z8</f>
        <v>3263.333333</v>
      </c>
      <c r="X23" s="27">
        <f>OPEX!AA8</f>
        <v>3263.333333</v>
      </c>
      <c r="Y23" s="27">
        <f>OPEX!AB8</f>
        <v>3263.333333</v>
      </c>
      <c r="Z23" s="27">
        <f>OPEX!AC8</f>
        <v>3263.333333</v>
      </c>
      <c r="AA23" s="27">
        <f>OPEX!AD8</f>
        <v>3263.333333</v>
      </c>
      <c r="AB23" s="27">
        <f>OPEX!AE8</f>
        <v>3383.333333</v>
      </c>
      <c r="AC23" s="27">
        <f>OPEX!AF8</f>
        <v>3383.333333</v>
      </c>
      <c r="AD23" s="27">
        <f>OPEX!AG8</f>
        <v>3503.333333</v>
      </c>
      <c r="AE23" s="27">
        <f>OPEX!AH8</f>
        <v>3503.333333</v>
      </c>
      <c r="AF23" s="27">
        <f>OPEX!AI8</f>
        <v>3503.333333</v>
      </c>
      <c r="AG23" s="27">
        <f>OPEX!AJ8</f>
        <v>3623.333333</v>
      </c>
      <c r="AH23" s="27">
        <f>OPEX!AK8</f>
        <v>3623.333333</v>
      </c>
      <c r="AI23" s="27">
        <f>OPEX!AL8</f>
        <v>3623.333333</v>
      </c>
      <c r="AJ23" s="27">
        <f>OPEX!AM8</f>
        <v>3623.333333</v>
      </c>
      <c r="AK23" s="27">
        <f>OPEX!AN8</f>
        <v>3623.333333</v>
      </c>
      <c r="AL23" s="27">
        <f>OPEX!AO8</f>
        <v>3623.333333</v>
      </c>
      <c r="AM23" s="27">
        <f>OPEX!AP8</f>
        <v>3623.333333</v>
      </c>
      <c r="AN23" s="27">
        <f>OPEX!AQ8</f>
        <v>3743.333333</v>
      </c>
      <c r="AO23" s="27">
        <f>OPEX!AR8</f>
        <v>3743.333333</v>
      </c>
      <c r="AP23" s="27">
        <f>OPEX!AS8</f>
        <v>3863.333333</v>
      </c>
      <c r="AQ23" s="27">
        <f>OPEX!AT8</f>
        <v>3863.333333</v>
      </c>
      <c r="AR23" s="27">
        <f>OPEX!AU8</f>
        <v>3863.333333</v>
      </c>
      <c r="AS23" s="27">
        <f>OPEX!AV8</f>
        <v>3983.333333</v>
      </c>
      <c r="AT23" s="27">
        <f>OPEX!AW8</f>
        <v>3983.333333</v>
      </c>
      <c r="AU23" s="27">
        <f>OPEX!AX8</f>
        <v>3983.333333</v>
      </c>
      <c r="AV23" s="27">
        <f>OPEX!AY8</f>
        <v>3983.333333</v>
      </c>
      <c r="AW23" s="27">
        <f>OPEX!AZ8</f>
        <v>3983.333333</v>
      </c>
      <c r="AX23" s="27">
        <f>OPEX!BA8</f>
        <v>3983.333333</v>
      </c>
      <c r="AY23" s="27"/>
      <c r="AZ23" s="27">
        <f t="shared" ref="AZ23:BC23" si="17">SUMPRODUCT((YEAR($C$2:$AX$2)=AZ$2)*$C23:$AX23)</f>
        <v>30040</v>
      </c>
      <c r="BA23" s="27">
        <f t="shared" si="17"/>
        <v>37480</v>
      </c>
      <c r="BB23" s="27">
        <f t="shared" si="17"/>
        <v>42280</v>
      </c>
      <c r="BC23" s="27">
        <f t="shared" si="17"/>
        <v>46600</v>
      </c>
      <c r="BD23" s="3"/>
      <c r="BE23" s="3"/>
      <c r="BF23" s="3"/>
      <c r="BG23" s="4"/>
      <c r="BH23" s="4"/>
    </row>
    <row r="24" ht="15.75" customHeight="1">
      <c r="A24" s="3"/>
      <c r="B24" s="22" t="s">
        <v>18</v>
      </c>
      <c r="C24" s="23">
        <f>OPEX!F9</f>
        <v>240</v>
      </c>
      <c r="D24" s="23">
        <f>OPEX!G9</f>
        <v>280</v>
      </c>
      <c r="E24" s="23">
        <f>OPEX!H9</f>
        <v>280</v>
      </c>
      <c r="F24" s="23">
        <f>OPEX!I9</f>
        <v>320</v>
      </c>
      <c r="G24" s="23">
        <f>OPEX!J9</f>
        <v>320</v>
      </c>
      <c r="H24" s="23">
        <f>OPEX!K9</f>
        <v>320</v>
      </c>
      <c r="I24" s="23">
        <f>OPEX!L9</f>
        <v>320</v>
      </c>
      <c r="J24" s="23">
        <f>OPEX!M9</f>
        <v>320</v>
      </c>
      <c r="K24" s="23">
        <f>OPEX!N9</f>
        <v>320</v>
      </c>
      <c r="L24" s="23">
        <f>OPEX!O9</f>
        <v>320</v>
      </c>
      <c r="M24" s="23">
        <f>OPEX!P9</f>
        <v>320</v>
      </c>
      <c r="N24" s="23">
        <f>OPEX!Q9</f>
        <v>320</v>
      </c>
      <c r="O24" s="23">
        <f>OPEX!R9</f>
        <v>400</v>
      </c>
      <c r="P24" s="24">
        <f>OPEX!S9</f>
        <v>400</v>
      </c>
      <c r="Q24" s="23">
        <f>OPEX!T9</f>
        <v>440</v>
      </c>
      <c r="R24" s="23">
        <f>OPEX!U9</f>
        <v>520</v>
      </c>
      <c r="S24" s="23">
        <f>OPEX!V9</f>
        <v>520</v>
      </c>
      <c r="T24" s="23">
        <f>OPEX!W9</f>
        <v>520</v>
      </c>
      <c r="U24" s="23">
        <f>OPEX!X9</f>
        <v>560</v>
      </c>
      <c r="V24" s="23">
        <f>OPEX!Y9</f>
        <v>560</v>
      </c>
      <c r="W24" s="23">
        <f>OPEX!Z9</f>
        <v>560</v>
      </c>
      <c r="X24" s="23">
        <f>OPEX!AA9</f>
        <v>560</v>
      </c>
      <c r="Y24" s="23">
        <f>OPEX!AB9</f>
        <v>560</v>
      </c>
      <c r="Z24" s="23">
        <f>OPEX!AC9</f>
        <v>560</v>
      </c>
      <c r="AA24" s="23">
        <f>OPEX!AD9</f>
        <v>560</v>
      </c>
      <c r="AB24" s="23">
        <f>OPEX!AE9</f>
        <v>600</v>
      </c>
      <c r="AC24" s="23">
        <f>OPEX!AF9</f>
        <v>600</v>
      </c>
      <c r="AD24" s="23">
        <f>OPEX!AG9</f>
        <v>640</v>
      </c>
      <c r="AE24" s="23">
        <f>OPEX!AH9</f>
        <v>640</v>
      </c>
      <c r="AF24" s="23">
        <f>OPEX!AI9</f>
        <v>640</v>
      </c>
      <c r="AG24" s="23">
        <f>OPEX!AJ9</f>
        <v>680</v>
      </c>
      <c r="AH24" s="23">
        <f>OPEX!AK9</f>
        <v>680</v>
      </c>
      <c r="AI24" s="23">
        <f>OPEX!AL9</f>
        <v>680</v>
      </c>
      <c r="AJ24" s="23">
        <f>OPEX!AM9</f>
        <v>680</v>
      </c>
      <c r="AK24" s="23">
        <f>OPEX!AN9</f>
        <v>680</v>
      </c>
      <c r="AL24" s="23">
        <f>OPEX!AO9</f>
        <v>680</v>
      </c>
      <c r="AM24" s="23">
        <f>OPEX!AP9</f>
        <v>680</v>
      </c>
      <c r="AN24" s="23">
        <f>OPEX!AQ9</f>
        <v>720</v>
      </c>
      <c r="AO24" s="23">
        <f>OPEX!AR9</f>
        <v>720</v>
      </c>
      <c r="AP24" s="23">
        <f>OPEX!AS9</f>
        <v>760</v>
      </c>
      <c r="AQ24" s="23">
        <f>OPEX!AT9</f>
        <v>760</v>
      </c>
      <c r="AR24" s="23">
        <f>OPEX!AU9</f>
        <v>760</v>
      </c>
      <c r="AS24" s="23">
        <f>OPEX!AV9</f>
        <v>800</v>
      </c>
      <c r="AT24" s="23">
        <f>OPEX!AW9</f>
        <v>800</v>
      </c>
      <c r="AU24" s="23">
        <f>OPEX!AX9</f>
        <v>800</v>
      </c>
      <c r="AV24" s="23">
        <f>OPEX!AY9</f>
        <v>800</v>
      </c>
      <c r="AW24" s="23">
        <f>OPEX!AZ9</f>
        <v>800</v>
      </c>
      <c r="AX24" s="23">
        <f>OPEX!BA9</f>
        <v>800</v>
      </c>
      <c r="AY24" s="23"/>
      <c r="AZ24" s="23">
        <f t="shared" ref="AZ24:BC24" si="18">SUMPRODUCT((YEAR($C$2:$AX$2)=AZ$2)*$C24:$AX24)</f>
        <v>3680</v>
      </c>
      <c r="BA24" s="23">
        <f t="shared" si="18"/>
        <v>6160</v>
      </c>
      <c r="BB24" s="23">
        <f t="shared" si="18"/>
        <v>7760</v>
      </c>
      <c r="BC24" s="23">
        <f t="shared" si="18"/>
        <v>9200</v>
      </c>
      <c r="BD24" s="23"/>
      <c r="BE24" s="27"/>
      <c r="BF24" s="27"/>
      <c r="BG24" s="4"/>
      <c r="BH24" s="4"/>
    </row>
    <row r="25" ht="15.75" customHeight="1">
      <c r="A25" s="3"/>
      <c r="B25" s="26" t="s">
        <v>19</v>
      </c>
      <c r="C25" s="27">
        <f>OPEX!F10</f>
        <v>2000</v>
      </c>
      <c r="D25" s="27">
        <f>OPEX!G10</f>
        <v>2000</v>
      </c>
      <c r="E25" s="27">
        <f>OPEX!H10</f>
        <v>2000</v>
      </c>
      <c r="F25" s="27">
        <f>OPEX!I10</f>
        <v>2000</v>
      </c>
      <c r="G25" s="27">
        <f>OPEX!J10</f>
        <v>2000</v>
      </c>
      <c r="H25" s="27">
        <f>OPEX!K10</f>
        <v>2000</v>
      </c>
      <c r="I25" s="27">
        <f>OPEX!L10</f>
        <v>2000</v>
      </c>
      <c r="J25" s="27">
        <f>OPEX!M10</f>
        <v>2000</v>
      </c>
      <c r="K25" s="27">
        <f>OPEX!N10</f>
        <v>2000</v>
      </c>
      <c r="L25" s="27">
        <f>OPEX!O10</f>
        <v>2000</v>
      </c>
      <c r="M25" s="27">
        <f>OPEX!P10</f>
        <v>2000</v>
      </c>
      <c r="N25" s="27">
        <f>OPEX!Q10</f>
        <v>2000</v>
      </c>
      <c r="O25" s="27">
        <f>OPEX!R10</f>
        <v>2000</v>
      </c>
      <c r="P25" s="28">
        <f>OPEX!S10</f>
        <v>2000</v>
      </c>
      <c r="Q25" s="27">
        <f>OPEX!T10</f>
        <v>2000</v>
      </c>
      <c r="R25" s="27">
        <f>OPEX!U10</f>
        <v>2000</v>
      </c>
      <c r="S25" s="27">
        <f>OPEX!V10</f>
        <v>2000</v>
      </c>
      <c r="T25" s="27">
        <f>OPEX!W10</f>
        <v>2000</v>
      </c>
      <c r="U25" s="27">
        <f>OPEX!X10</f>
        <v>2000</v>
      </c>
      <c r="V25" s="27">
        <f>OPEX!Y10</f>
        <v>2000</v>
      </c>
      <c r="W25" s="27">
        <f>OPEX!Z10</f>
        <v>2000</v>
      </c>
      <c r="X25" s="27">
        <f>OPEX!AA10</f>
        <v>2000</v>
      </c>
      <c r="Y25" s="27">
        <f>OPEX!AB10</f>
        <v>2000</v>
      </c>
      <c r="Z25" s="27">
        <f>OPEX!AC10</f>
        <v>2000</v>
      </c>
      <c r="AA25" s="27">
        <f>OPEX!AD10</f>
        <v>2000</v>
      </c>
      <c r="AB25" s="27">
        <f>OPEX!AE10</f>
        <v>2000</v>
      </c>
      <c r="AC25" s="27">
        <f>OPEX!AF10</f>
        <v>2000</v>
      </c>
      <c r="AD25" s="27">
        <f>OPEX!AG10</f>
        <v>2000</v>
      </c>
      <c r="AE25" s="27">
        <f>OPEX!AH10</f>
        <v>2000</v>
      </c>
      <c r="AF25" s="27">
        <f>OPEX!AI10</f>
        <v>2000</v>
      </c>
      <c r="AG25" s="27">
        <f>OPEX!AJ10</f>
        <v>2000</v>
      </c>
      <c r="AH25" s="27">
        <f>OPEX!AK10</f>
        <v>2000</v>
      </c>
      <c r="AI25" s="27">
        <f>OPEX!AL10</f>
        <v>2000</v>
      </c>
      <c r="AJ25" s="27">
        <f>OPEX!AM10</f>
        <v>2000</v>
      </c>
      <c r="AK25" s="27">
        <f>OPEX!AN10</f>
        <v>2000</v>
      </c>
      <c r="AL25" s="27">
        <f>OPEX!AO10</f>
        <v>2000</v>
      </c>
      <c r="AM25" s="27">
        <f>OPEX!AP10</f>
        <v>2000</v>
      </c>
      <c r="AN25" s="27">
        <f>OPEX!AQ10</f>
        <v>2000</v>
      </c>
      <c r="AO25" s="27">
        <f>OPEX!AR10</f>
        <v>2000</v>
      </c>
      <c r="AP25" s="27">
        <f>OPEX!AS10</f>
        <v>2000</v>
      </c>
      <c r="AQ25" s="27">
        <f>OPEX!AT10</f>
        <v>2000</v>
      </c>
      <c r="AR25" s="27">
        <f>OPEX!AU10</f>
        <v>2000</v>
      </c>
      <c r="AS25" s="27">
        <f>OPEX!AV10</f>
        <v>2000</v>
      </c>
      <c r="AT25" s="27">
        <f>OPEX!AW10</f>
        <v>2000</v>
      </c>
      <c r="AU25" s="27">
        <f>OPEX!AX10</f>
        <v>2000</v>
      </c>
      <c r="AV25" s="27">
        <f>OPEX!AY10</f>
        <v>2000</v>
      </c>
      <c r="AW25" s="27">
        <f>OPEX!AZ10</f>
        <v>2000</v>
      </c>
      <c r="AX25" s="27">
        <f>OPEX!BA10</f>
        <v>2000</v>
      </c>
      <c r="AY25" s="27"/>
      <c r="AZ25" s="27">
        <f t="shared" ref="AZ25:BC25" si="19">SUMPRODUCT((YEAR($C$2:$AX$2)=AZ$2)*$C25:$AX25)</f>
        <v>24000</v>
      </c>
      <c r="BA25" s="27">
        <f t="shared" si="19"/>
        <v>24000</v>
      </c>
      <c r="BB25" s="27">
        <f t="shared" si="19"/>
        <v>24000</v>
      </c>
      <c r="BC25" s="27">
        <f t="shared" si="19"/>
        <v>24000</v>
      </c>
      <c r="BD25" s="53"/>
      <c r="BE25" s="53"/>
      <c r="BF25" s="53"/>
      <c r="BG25" s="4"/>
      <c r="BH25" s="4"/>
    </row>
    <row r="26" ht="15.75" customHeight="1">
      <c r="A26" s="3"/>
      <c r="B26" s="26" t="s">
        <v>20</v>
      </c>
      <c r="C26" s="27">
        <f>OPEX!F11</f>
        <v>500</v>
      </c>
      <c r="D26" s="27">
        <f>OPEX!G11</f>
        <v>500</v>
      </c>
      <c r="E26" s="27">
        <f>OPEX!H11</f>
        <v>500</v>
      </c>
      <c r="F26" s="27">
        <f>OPEX!I11</f>
        <v>500</v>
      </c>
      <c r="G26" s="27">
        <f>OPEX!J11</f>
        <v>500</v>
      </c>
      <c r="H26" s="27">
        <f>OPEX!K11</f>
        <v>500</v>
      </c>
      <c r="I26" s="27">
        <f>OPEX!L11</f>
        <v>500</v>
      </c>
      <c r="J26" s="27">
        <f>OPEX!M11</f>
        <v>500</v>
      </c>
      <c r="K26" s="27">
        <f>OPEX!N11</f>
        <v>500</v>
      </c>
      <c r="L26" s="27">
        <f>OPEX!O11</f>
        <v>500</v>
      </c>
      <c r="M26" s="27">
        <f>OPEX!P11</f>
        <v>500</v>
      </c>
      <c r="N26" s="27">
        <f>OPEX!Q11</f>
        <v>500</v>
      </c>
      <c r="O26" s="27">
        <f>OPEX!R11</f>
        <v>500</v>
      </c>
      <c r="P26" s="28">
        <f>OPEX!S11</f>
        <v>500</v>
      </c>
      <c r="Q26" s="27">
        <f>OPEX!T11</f>
        <v>500</v>
      </c>
      <c r="R26" s="27">
        <f>OPEX!U11</f>
        <v>500</v>
      </c>
      <c r="S26" s="27">
        <f>OPEX!V11</f>
        <v>500</v>
      </c>
      <c r="T26" s="27">
        <f>OPEX!W11</f>
        <v>500</v>
      </c>
      <c r="U26" s="27">
        <f>OPEX!X11</f>
        <v>500</v>
      </c>
      <c r="V26" s="27">
        <f>OPEX!Y11</f>
        <v>500</v>
      </c>
      <c r="W26" s="27">
        <f>OPEX!Z11</f>
        <v>500</v>
      </c>
      <c r="X26" s="27">
        <f>OPEX!AA11</f>
        <v>500</v>
      </c>
      <c r="Y26" s="27">
        <f>OPEX!AB11</f>
        <v>500</v>
      </c>
      <c r="Z26" s="27">
        <f>OPEX!AC11</f>
        <v>500</v>
      </c>
      <c r="AA26" s="27">
        <f>OPEX!AD11</f>
        <v>500</v>
      </c>
      <c r="AB26" s="27">
        <f>OPEX!AE11</f>
        <v>500</v>
      </c>
      <c r="AC26" s="27">
        <f>OPEX!AF11</f>
        <v>500</v>
      </c>
      <c r="AD26" s="27">
        <f>OPEX!AG11</f>
        <v>500</v>
      </c>
      <c r="AE26" s="27">
        <f>OPEX!AH11</f>
        <v>500</v>
      </c>
      <c r="AF26" s="27">
        <f>OPEX!AI11</f>
        <v>500</v>
      </c>
      <c r="AG26" s="27">
        <f>OPEX!AJ11</f>
        <v>500</v>
      </c>
      <c r="AH26" s="27">
        <f>OPEX!AK11</f>
        <v>500</v>
      </c>
      <c r="AI26" s="27">
        <f>OPEX!AL11</f>
        <v>500</v>
      </c>
      <c r="AJ26" s="27">
        <f>OPEX!AM11</f>
        <v>500</v>
      </c>
      <c r="AK26" s="27">
        <f>OPEX!AN11</f>
        <v>500</v>
      </c>
      <c r="AL26" s="27">
        <f>OPEX!AO11</f>
        <v>500</v>
      </c>
      <c r="AM26" s="27">
        <f>OPEX!AP11</f>
        <v>500</v>
      </c>
      <c r="AN26" s="27">
        <f>OPEX!AQ11</f>
        <v>500</v>
      </c>
      <c r="AO26" s="27">
        <f>OPEX!AR11</f>
        <v>500</v>
      </c>
      <c r="AP26" s="27">
        <f>OPEX!AS11</f>
        <v>500</v>
      </c>
      <c r="AQ26" s="27">
        <f>OPEX!AT11</f>
        <v>500</v>
      </c>
      <c r="AR26" s="27">
        <f>OPEX!AU11</f>
        <v>500</v>
      </c>
      <c r="AS26" s="27">
        <f>OPEX!AV11</f>
        <v>500</v>
      </c>
      <c r="AT26" s="27">
        <f>OPEX!AW11</f>
        <v>500</v>
      </c>
      <c r="AU26" s="27">
        <f>OPEX!AX11</f>
        <v>500</v>
      </c>
      <c r="AV26" s="27">
        <f>OPEX!AY11</f>
        <v>500</v>
      </c>
      <c r="AW26" s="27">
        <f>OPEX!AZ11</f>
        <v>500</v>
      </c>
      <c r="AX26" s="27">
        <f>OPEX!BA11</f>
        <v>500</v>
      </c>
      <c r="AY26" s="27"/>
      <c r="AZ26" s="27">
        <f t="shared" ref="AZ26:BC26" si="20">SUMPRODUCT((YEAR($C$2:$AX$2)=AZ$2)*$C26:$AX26)</f>
        <v>6000</v>
      </c>
      <c r="BA26" s="27">
        <f t="shared" si="20"/>
        <v>6000</v>
      </c>
      <c r="BB26" s="27">
        <f t="shared" si="20"/>
        <v>6000</v>
      </c>
      <c r="BC26" s="27">
        <f t="shared" si="20"/>
        <v>6000</v>
      </c>
      <c r="BD26" s="27"/>
      <c r="BE26" s="3"/>
      <c r="BF26" s="3"/>
      <c r="BG26" s="4"/>
      <c r="BH26" s="4"/>
    </row>
    <row r="27" ht="15.75" customHeight="1">
      <c r="A27" s="3"/>
      <c r="B27" s="26" t="s">
        <v>21</v>
      </c>
      <c r="C27" s="27">
        <f>OPEX!F12</f>
        <v>600</v>
      </c>
      <c r="D27" s="27">
        <f>OPEX!G12</f>
        <v>700</v>
      </c>
      <c r="E27" s="27">
        <f>OPEX!H12</f>
        <v>700</v>
      </c>
      <c r="F27" s="27">
        <f>OPEX!I12</f>
        <v>800</v>
      </c>
      <c r="G27" s="27">
        <f>OPEX!J12</f>
        <v>800</v>
      </c>
      <c r="H27" s="27">
        <f>OPEX!K12</f>
        <v>800</v>
      </c>
      <c r="I27" s="27">
        <f>OPEX!L12</f>
        <v>800</v>
      </c>
      <c r="J27" s="27">
        <f>OPEX!M12</f>
        <v>800</v>
      </c>
      <c r="K27" s="27">
        <f>OPEX!N12</f>
        <v>800</v>
      </c>
      <c r="L27" s="27">
        <f>OPEX!O12</f>
        <v>800</v>
      </c>
      <c r="M27" s="27">
        <f>OPEX!P12</f>
        <v>800</v>
      </c>
      <c r="N27" s="27">
        <f>OPEX!Q12</f>
        <v>800</v>
      </c>
      <c r="O27" s="27">
        <f>OPEX!R12</f>
        <v>1000</v>
      </c>
      <c r="P27" s="28">
        <f>OPEX!S12</f>
        <v>1000</v>
      </c>
      <c r="Q27" s="27">
        <f>OPEX!T12</f>
        <v>1100</v>
      </c>
      <c r="R27" s="27">
        <f>OPEX!U12</f>
        <v>1300</v>
      </c>
      <c r="S27" s="27">
        <f>OPEX!V12</f>
        <v>1300</v>
      </c>
      <c r="T27" s="27">
        <f>OPEX!W12</f>
        <v>1300</v>
      </c>
      <c r="U27" s="27">
        <f>OPEX!X12</f>
        <v>1400</v>
      </c>
      <c r="V27" s="27">
        <f>OPEX!Y12</f>
        <v>1400</v>
      </c>
      <c r="W27" s="27">
        <f>OPEX!Z12</f>
        <v>1400</v>
      </c>
      <c r="X27" s="27">
        <f>OPEX!AA12</f>
        <v>1400</v>
      </c>
      <c r="Y27" s="27">
        <f>OPEX!AB12</f>
        <v>1400</v>
      </c>
      <c r="Z27" s="27">
        <f>OPEX!AC12</f>
        <v>1400</v>
      </c>
      <c r="AA27" s="27">
        <f>OPEX!AD12</f>
        <v>1400</v>
      </c>
      <c r="AB27" s="27">
        <f>OPEX!AE12</f>
        <v>1500</v>
      </c>
      <c r="AC27" s="27">
        <f>OPEX!AF12</f>
        <v>1500</v>
      </c>
      <c r="AD27" s="27">
        <f>OPEX!AG12</f>
        <v>1600</v>
      </c>
      <c r="AE27" s="27">
        <f>OPEX!AH12</f>
        <v>1600</v>
      </c>
      <c r="AF27" s="27">
        <f>OPEX!AI12</f>
        <v>1600</v>
      </c>
      <c r="AG27" s="27">
        <f>OPEX!AJ12</f>
        <v>1700</v>
      </c>
      <c r="AH27" s="27">
        <f>OPEX!AK12</f>
        <v>1700</v>
      </c>
      <c r="AI27" s="27">
        <f>OPEX!AL12</f>
        <v>1700</v>
      </c>
      <c r="AJ27" s="27">
        <f>OPEX!AM12</f>
        <v>1700</v>
      </c>
      <c r="AK27" s="27">
        <f>OPEX!AN12</f>
        <v>1700</v>
      </c>
      <c r="AL27" s="27">
        <f>OPEX!AO12</f>
        <v>1700</v>
      </c>
      <c r="AM27" s="27">
        <f>OPEX!AP12</f>
        <v>1700</v>
      </c>
      <c r="AN27" s="27">
        <f>OPEX!AQ12</f>
        <v>1800</v>
      </c>
      <c r="AO27" s="27">
        <f>OPEX!AR12</f>
        <v>1800</v>
      </c>
      <c r="AP27" s="27">
        <f>OPEX!AS12</f>
        <v>1900</v>
      </c>
      <c r="AQ27" s="27">
        <f>OPEX!AT12</f>
        <v>1900</v>
      </c>
      <c r="AR27" s="27">
        <f>OPEX!AU12</f>
        <v>1900</v>
      </c>
      <c r="AS27" s="27">
        <f>OPEX!AV12</f>
        <v>2000</v>
      </c>
      <c r="AT27" s="27">
        <f>OPEX!AW12</f>
        <v>2000</v>
      </c>
      <c r="AU27" s="27">
        <f>OPEX!AX12</f>
        <v>2000</v>
      </c>
      <c r="AV27" s="27">
        <f>OPEX!AY12</f>
        <v>2000</v>
      </c>
      <c r="AW27" s="27">
        <f>OPEX!AZ12</f>
        <v>2000</v>
      </c>
      <c r="AX27" s="27">
        <f>OPEX!BA12</f>
        <v>2000</v>
      </c>
      <c r="AY27" s="27"/>
      <c r="AZ27" s="27">
        <f t="shared" ref="AZ27:BC27" si="21">SUMPRODUCT((YEAR($C$2:$AX$2)=AZ$2)*$C27:$AX27)</f>
        <v>9200</v>
      </c>
      <c r="BA27" s="27">
        <f t="shared" si="21"/>
        <v>15400</v>
      </c>
      <c r="BB27" s="27">
        <f t="shared" si="21"/>
        <v>19400</v>
      </c>
      <c r="BC27" s="27">
        <f t="shared" si="21"/>
        <v>23000</v>
      </c>
      <c r="BD27" s="27"/>
      <c r="BE27" s="3"/>
      <c r="BF27" s="3"/>
      <c r="BG27" s="4"/>
      <c r="BH27" s="4"/>
    </row>
    <row r="28" ht="15.75" customHeight="1">
      <c r="A28" s="3"/>
      <c r="B28" s="29" t="s">
        <v>22</v>
      </c>
      <c r="C28" s="61">
        <f>OPEX!F13</f>
        <v>140</v>
      </c>
      <c r="D28" s="61">
        <f>OPEX!G13</f>
        <v>140</v>
      </c>
      <c r="E28" s="61">
        <f>OPEX!H13</f>
        <v>140</v>
      </c>
      <c r="F28" s="61">
        <f>OPEX!I13</f>
        <v>140</v>
      </c>
      <c r="G28" s="61">
        <f>OPEX!J13</f>
        <v>140</v>
      </c>
      <c r="H28" s="61">
        <f>OPEX!K13</f>
        <v>140</v>
      </c>
      <c r="I28" s="61">
        <f>OPEX!L13</f>
        <v>140</v>
      </c>
      <c r="J28" s="61">
        <f>OPEX!M13</f>
        <v>140</v>
      </c>
      <c r="K28" s="61">
        <f>OPEX!N13</f>
        <v>140</v>
      </c>
      <c r="L28" s="61">
        <f>OPEX!O13</f>
        <v>140</v>
      </c>
      <c r="M28" s="61">
        <f>OPEX!P13</f>
        <v>140</v>
      </c>
      <c r="N28" s="62">
        <f>OPEX!Q13</f>
        <v>140</v>
      </c>
      <c r="O28" s="44">
        <f>OPEX!R13</f>
        <v>140</v>
      </c>
      <c r="P28" s="63">
        <f>OPEX!S13</f>
        <v>140</v>
      </c>
      <c r="Q28" s="44">
        <f>OPEX!T13</f>
        <v>140</v>
      </c>
      <c r="R28" s="44">
        <f>OPEX!U13</f>
        <v>140</v>
      </c>
      <c r="S28" s="44">
        <f>OPEX!V13</f>
        <v>140</v>
      </c>
      <c r="T28" s="44">
        <f>OPEX!W13</f>
        <v>140</v>
      </c>
      <c r="U28" s="44">
        <f>OPEX!X13</f>
        <v>140</v>
      </c>
      <c r="V28" s="44">
        <f>OPEX!Y13</f>
        <v>140</v>
      </c>
      <c r="W28" s="44">
        <f>OPEX!Z13</f>
        <v>140</v>
      </c>
      <c r="X28" s="44">
        <f>OPEX!AA13</f>
        <v>140</v>
      </c>
      <c r="Y28" s="44">
        <f>OPEX!AB13</f>
        <v>140</v>
      </c>
      <c r="Z28" s="44">
        <f>OPEX!AC13</f>
        <v>140</v>
      </c>
      <c r="AA28" s="44">
        <f>OPEX!AD13</f>
        <v>140</v>
      </c>
      <c r="AB28" s="44">
        <f>OPEX!AE13</f>
        <v>140</v>
      </c>
      <c r="AC28" s="44">
        <f>OPEX!AF13</f>
        <v>140</v>
      </c>
      <c r="AD28" s="44">
        <f>OPEX!AG13</f>
        <v>140</v>
      </c>
      <c r="AE28" s="44">
        <f>OPEX!AH13</f>
        <v>140</v>
      </c>
      <c r="AF28" s="44">
        <f>OPEX!AI13</f>
        <v>140</v>
      </c>
      <c r="AG28" s="44">
        <f>OPEX!AJ13</f>
        <v>140</v>
      </c>
      <c r="AH28" s="44">
        <f>OPEX!AK13</f>
        <v>140</v>
      </c>
      <c r="AI28" s="44">
        <f>OPEX!AL13</f>
        <v>140</v>
      </c>
      <c r="AJ28" s="44">
        <f>OPEX!AM13</f>
        <v>140</v>
      </c>
      <c r="AK28" s="44">
        <f>OPEX!AN13</f>
        <v>140</v>
      </c>
      <c r="AL28" s="44">
        <f>OPEX!AO13</f>
        <v>140</v>
      </c>
      <c r="AM28" s="44">
        <f>OPEX!AP13</f>
        <v>140</v>
      </c>
      <c r="AN28" s="44">
        <f>OPEX!AQ13</f>
        <v>140</v>
      </c>
      <c r="AO28" s="44">
        <f>OPEX!AR13</f>
        <v>140</v>
      </c>
      <c r="AP28" s="44">
        <f>OPEX!AS13</f>
        <v>140</v>
      </c>
      <c r="AQ28" s="44">
        <f>OPEX!AT13</f>
        <v>140</v>
      </c>
      <c r="AR28" s="44">
        <f>OPEX!AU13</f>
        <v>140</v>
      </c>
      <c r="AS28" s="44">
        <f>OPEX!AV13</f>
        <v>140</v>
      </c>
      <c r="AT28" s="44">
        <f>OPEX!AW13</f>
        <v>140</v>
      </c>
      <c r="AU28" s="44">
        <f>OPEX!AX13</f>
        <v>140</v>
      </c>
      <c r="AV28" s="44">
        <f>OPEX!AY13</f>
        <v>140</v>
      </c>
      <c r="AW28" s="44">
        <f>OPEX!AZ13</f>
        <v>140</v>
      </c>
      <c r="AX28" s="44">
        <f>OPEX!BA13</f>
        <v>140</v>
      </c>
      <c r="AY28" s="27"/>
      <c r="AZ28" s="27">
        <f t="shared" ref="AZ28:BC28" si="22">SUMPRODUCT((YEAR($C$2:$AX$2)=AZ$2)*$C28:$AX28)</f>
        <v>1680</v>
      </c>
      <c r="BA28" s="27">
        <f t="shared" si="22"/>
        <v>1680</v>
      </c>
      <c r="BB28" s="27">
        <f t="shared" si="22"/>
        <v>1680</v>
      </c>
      <c r="BC28" s="27">
        <f t="shared" si="22"/>
        <v>1680</v>
      </c>
      <c r="BD28" s="27"/>
      <c r="BE28" s="3"/>
      <c r="BF28" s="3"/>
      <c r="BG28" s="4"/>
      <c r="BH28" s="4"/>
    </row>
    <row r="29" ht="15.75" customHeight="1">
      <c r="A29" s="3"/>
      <c r="B29" s="34" t="s">
        <v>23</v>
      </c>
      <c r="C29" s="51">
        <f t="shared" ref="C29:AX29" si="23">SUM(C22:C28)</f>
        <v>9383.333333</v>
      </c>
      <c r="D29" s="51">
        <f t="shared" si="23"/>
        <v>10243.33333</v>
      </c>
      <c r="E29" s="51">
        <f t="shared" si="23"/>
        <v>10243.33333</v>
      </c>
      <c r="F29" s="51">
        <f t="shared" si="23"/>
        <v>11103.33333</v>
      </c>
      <c r="G29" s="51">
        <f t="shared" si="23"/>
        <v>11103.33333</v>
      </c>
      <c r="H29" s="51">
        <f t="shared" si="23"/>
        <v>11103.33333</v>
      </c>
      <c r="I29" s="51">
        <f t="shared" si="23"/>
        <v>11103.33333</v>
      </c>
      <c r="J29" s="51">
        <f t="shared" si="23"/>
        <v>11103.33333</v>
      </c>
      <c r="K29" s="51">
        <f t="shared" si="23"/>
        <v>11103.33333</v>
      </c>
      <c r="L29" s="51">
        <f t="shared" si="23"/>
        <v>11103.33333</v>
      </c>
      <c r="M29" s="51">
        <f t="shared" si="23"/>
        <v>11103.33333</v>
      </c>
      <c r="N29" s="51">
        <f t="shared" si="23"/>
        <v>11103.33333</v>
      </c>
      <c r="O29" s="51">
        <f t="shared" si="23"/>
        <v>12823.33333</v>
      </c>
      <c r="P29" s="52">
        <f t="shared" si="23"/>
        <v>12823.33333</v>
      </c>
      <c r="Q29" s="51">
        <f t="shared" si="23"/>
        <v>13683.33333</v>
      </c>
      <c r="R29" s="51">
        <f t="shared" si="23"/>
        <v>15403.33333</v>
      </c>
      <c r="S29" s="51">
        <f t="shared" si="23"/>
        <v>15403.33333</v>
      </c>
      <c r="T29" s="51">
        <f t="shared" si="23"/>
        <v>15403.33333</v>
      </c>
      <c r="U29" s="51">
        <f t="shared" si="23"/>
        <v>16263.33333</v>
      </c>
      <c r="V29" s="51">
        <f t="shared" si="23"/>
        <v>16263.33333</v>
      </c>
      <c r="W29" s="51">
        <f t="shared" si="23"/>
        <v>16263.33333</v>
      </c>
      <c r="X29" s="51">
        <f t="shared" si="23"/>
        <v>16263.33333</v>
      </c>
      <c r="Y29" s="51">
        <f t="shared" si="23"/>
        <v>16263.33333</v>
      </c>
      <c r="Z29" s="51">
        <f t="shared" si="23"/>
        <v>16263.33333</v>
      </c>
      <c r="AA29" s="51">
        <f t="shared" si="23"/>
        <v>16263.33333</v>
      </c>
      <c r="AB29" s="51">
        <f t="shared" si="23"/>
        <v>17123.33333</v>
      </c>
      <c r="AC29" s="51">
        <f t="shared" si="23"/>
        <v>17123.33333</v>
      </c>
      <c r="AD29" s="51">
        <f t="shared" si="23"/>
        <v>17983.33333</v>
      </c>
      <c r="AE29" s="51">
        <f t="shared" si="23"/>
        <v>17983.33333</v>
      </c>
      <c r="AF29" s="51">
        <f t="shared" si="23"/>
        <v>17983.33333</v>
      </c>
      <c r="AG29" s="51">
        <f t="shared" si="23"/>
        <v>18843.33333</v>
      </c>
      <c r="AH29" s="51">
        <f t="shared" si="23"/>
        <v>18843.33333</v>
      </c>
      <c r="AI29" s="51">
        <f t="shared" si="23"/>
        <v>18843.33333</v>
      </c>
      <c r="AJ29" s="51">
        <f t="shared" si="23"/>
        <v>18843.33333</v>
      </c>
      <c r="AK29" s="51">
        <f t="shared" si="23"/>
        <v>18843.33333</v>
      </c>
      <c r="AL29" s="51">
        <f t="shared" si="23"/>
        <v>18843.33333</v>
      </c>
      <c r="AM29" s="51">
        <f t="shared" si="23"/>
        <v>18843.33333</v>
      </c>
      <c r="AN29" s="51">
        <f t="shared" si="23"/>
        <v>19703.33333</v>
      </c>
      <c r="AO29" s="51">
        <f t="shared" si="23"/>
        <v>19703.33333</v>
      </c>
      <c r="AP29" s="51">
        <f t="shared" si="23"/>
        <v>20563.33333</v>
      </c>
      <c r="AQ29" s="51">
        <f t="shared" si="23"/>
        <v>20563.33333</v>
      </c>
      <c r="AR29" s="51">
        <f t="shared" si="23"/>
        <v>20563.33333</v>
      </c>
      <c r="AS29" s="51">
        <f t="shared" si="23"/>
        <v>21423.33333</v>
      </c>
      <c r="AT29" s="51">
        <f t="shared" si="23"/>
        <v>21423.33333</v>
      </c>
      <c r="AU29" s="51">
        <f t="shared" si="23"/>
        <v>21423.33333</v>
      </c>
      <c r="AV29" s="51">
        <f t="shared" si="23"/>
        <v>21423.33333</v>
      </c>
      <c r="AW29" s="51">
        <f t="shared" si="23"/>
        <v>21423.33333</v>
      </c>
      <c r="AX29" s="51">
        <f t="shared" si="23"/>
        <v>21423.33333</v>
      </c>
      <c r="AY29" s="35"/>
      <c r="AZ29" s="35">
        <f t="shared" ref="AZ29:BC29" si="24">SUMPRODUCT((YEAR($C$2:$AX$2)=AZ$2)*$C29:$AX29)</f>
        <v>129800</v>
      </c>
      <c r="BA29" s="35">
        <f t="shared" si="24"/>
        <v>183120</v>
      </c>
      <c r="BB29" s="35">
        <f t="shared" si="24"/>
        <v>217520</v>
      </c>
      <c r="BC29" s="35">
        <f t="shared" si="24"/>
        <v>248480</v>
      </c>
      <c r="BD29" s="27"/>
      <c r="BE29" s="3"/>
      <c r="BF29" s="3"/>
      <c r="BG29" s="4"/>
      <c r="BH29" s="4"/>
    </row>
    <row r="30" ht="15.75" customHeight="1">
      <c r="A30" s="3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3"/>
      <c r="BF30" s="3"/>
      <c r="BG30" s="4"/>
      <c r="BH30" s="4"/>
    </row>
    <row r="31" ht="15.75" customHeight="1">
      <c r="A31" s="3"/>
      <c r="B31" s="26" t="s">
        <v>24</v>
      </c>
      <c r="C31" s="44">
        <f>OPEX!F14</f>
        <v>1307</v>
      </c>
      <c r="D31" s="44">
        <f>OPEX!G14</f>
        <v>1307</v>
      </c>
      <c r="E31" s="44">
        <f>OPEX!H14</f>
        <v>1307</v>
      </c>
      <c r="F31" s="44">
        <f>OPEX!I14</f>
        <v>1307</v>
      </c>
      <c r="G31" s="44">
        <f>OPEX!J14</f>
        <v>1307</v>
      </c>
      <c r="H31" s="44">
        <f>OPEX!K14</f>
        <v>1307</v>
      </c>
      <c r="I31" s="44">
        <f>OPEX!L14</f>
        <v>1307</v>
      </c>
      <c r="J31" s="44">
        <f>OPEX!M14</f>
        <v>1307</v>
      </c>
      <c r="K31" s="44">
        <f>OPEX!N14</f>
        <v>1307</v>
      </c>
      <c r="L31" s="44">
        <f>OPEX!O14</f>
        <v>1307</v>
      </c>
      <c r="M31" s="44">
        <f>OPEX!P14</f>
        <v>1307</v>
      </c>
      <c r="N31" s="44">
        <f>OPEX!Q14</f>
        <v>1307</v>
      </c>
      <c r="O31" s="44">
        <f>OPEX!R14</f>
        <v>1307</v>
      </c>
      <c r="P31" s="45">
        <f>OPEX!S14</f>
        <v>1307</v>
      </c>
      <c r="Q31" s="44">
        <f>OPEX!T14</f>
        <v>1307</v>
      </c>
      <c r="R31" s="44">
        <f>OPEX!U14</f>
        <v>1307</v>
      </c>
      <c r="S31" s="44">
        <f>OPEX!V14</f>
        <v>1307</v>
      </c>
      <c r="T31" s="44">
        <f>OPEX!W14</f>
        <v>1307</v>
      </c>
      <c r="U31" s="44">
        <f>OPEX!X14</f>
        <v>1307</v>
      </c>
      <c r="V31" s="44">
        <f>OPEX!Y14</f>
        <v>1307</v>
      </c>
      <c r="W31" s="44">
        <f>OPEX!Z14</f>
        <v>1307</v>
      </c>
      <c r="X31" s="44">
        <f>OPEX!AA14</f>
        <v>1307</v>
      </c>
      <c r="Y31" s="44">
        <f>OPEX!AB14</f>
        <v>1307</v>
      </c>
      <c r="Z31" s="44">
        <f>OPEX!AC14</f>
        <v>1307</v>
      </c>
      <c r="AA31" s="44">
        <f>OPEX!AD14</f>
        <v>1307</v>
      </c>
      <c r="AB31" s="44">
        <f>OPEX!AE14</f>
        <v>1307</v>
      </c>
      <c r="AC31" s="44">
        <f>OPEX!AF14</f>
        <v>1307</v>
      </c>
      <c r="AD31" s="44">
        <f>OPEX!AG14</f>
        <v>1307</v>
      </c>
      <c r="AE31" s="44">
        <f>OPEX!AH14</f>
        <v>1307</v>
      </c>
      <c r="AF31" s="44">
        <f>OPEX!AI14</f>
        <v>1307</v>
      </c>
      <c r="AG31" s="44">
        <f>OPEX!AJ14</f>
        <v>1307</v>
      </c>
      <c r="AH31" s="44">
        <f>OPEX!AK14</f>
        <v>1307</v>
      </c>
      <c r="AI31" s="44">
        <f>OPEX!AL14</f>
        <v>1307</v>
      </c>
      <c r="AJ31" s="44">
        <f>OPEX!AM14</f>
        <v>1307</v>
      </c>
      <c r="AK31" s="44">
        <f>OPEX!AN14</f>
        <v>1307</v>
      </c>
      <c r="AL31" s="44">
        <f>OPEX!AO14</f>
        <v>1307</v>
      </c>
      <c r="AM31" s="44">
        <f>OPEX!AP14</f>
        <v>1307</v>
      </c>
      <c r="AN31" s="44">
        <f>OPEX!AQ14</f>
        <v>1307</v>
      </c>
      <c r="AO31" s="44">
        <f>OPEX!AR14</f>
        <v>1307</v>
      </c>
      <c r="AP31" s="44">
        <f>OPEX!AS14</f>
        <v>1307</v>
      </c>
      <c r="AQ31" s="44">
        <f>OPEX!AT14</f>
        <v>1307</v>
      </c>
      <c r="AR31" s="44">
        <f>OPEX!AU14</f>
        <v>1307</v>
      </c>
      <c r="AS31" s="44">
        <f>OPEX!AV14</f>
        <v>1307</v>
      </c>
      <c r="AT31" s="44">
        <f>OPEX!AW14</f>
        <v>1307</v>
      </c>
      <c r="AU31" s="44">
        <f>OPEX!AX14</f>
        <v>1307</v>
      </c>
      <c r="AV31" s="44">
        <f>OPEX!AY14</f>
        <v>1307</v>
      </c>
      <c r="AW31" s="44">
        <f>OPEX!AZ14</f>
        <v>1307</v>
      </c>
      <c r="AX31" s="44">
        <f>OPEX!BA14</f>
        <v>1307</v>
      </c>
      <c r="AY31" s="27"/>
      <c r="AZ31" s="27">
        <f t="shared" ref="AZ31:BC31" si="25">SUMPRODUCT((YEAR($C$2:$AX$2)=AZ$2)*$C31:$AX31)</f>
        <v>15684</v>
      </c>
      <c r="BA31" s="27">
        <f t="shared" si="25"/>
        <v>15684</v>
      </c>
      <c r="BB31" s="27">
        <f t="shared" si="25"/>
        <v>15684</v>
      </c>
      <c r="BC31" s="27">
        <f t="shared" si="25"/>
        <v>15684</v>
      </c>
      <c r="BD31" s="27"/>
      <c r="BE31" s="3"/>
      <c r="BF31" s="3"/>
      <c r="BG31" s="4"/>
      <c r="BH31" s="4"/>
    </row>
    <row r="32" ht="15.75" customHeight="1">
      <c r="A32" s="3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"/>
      <c r="BF32" s="3"/>
      <c r="BG32" s="4"/>
      <c r="BH32" s="4"/>
    </row>
    <row r="33" ht="15.75" customHeight="1">
      <c r="A33" s="3"/>
      <c r="B33" s="34" t="s">
        <v>25</v>
      </c>
      <c r="C33" s="35">
        <f t="shared" ref="C33:AX33" si="26">C17+C29+C31</f>
        <v>50394.73333</v>
      </c>
      <c r="D33" s="35">
        <f t="shared" si="26"/>
        <v>55110.33333</v>
      </c>
      <c r="E33" s="35">
        <f t="shared" si="26"/>
        <v>55110.33333</v>
      </c>
      <c r="F33" s="35">
        <f t="shared" si="26"/>
        <v>59825.93333</v>
      </c>
      <c r="G33" s="35">
        <f t="shared" si="26"/>
        <v>59825.93333</v>
      </c>
      <c r="H33" s="35">
        <f t="shared" si="26"/>
        <v>62424.68333</v>
      </c>
      <c r="I33" s="35">
        <f t="shared" si="26"/>
        <v>62424.68333</v>
      </c>
      <c r="J33" s="35">
        <f t="shared" si="26"/>
        <v>66274.68333</v>
      </c>
      <c r="K33" s="35">
        <f t="shared" si="26"/>
        <v>66274.68333</v>
      </c>
      <c r="L33" s="35">
        <f t="shared" si="26"/>
        <v>66274.68333</v>
      </c>
      <c r="M33" s="35">
        <f t="shared" si="26"/>
        <v>66274.68333</v>
      </c>
      <c r="N33" s="35">
        <f t="shared" si="26"/>
        <v>66274.68333</v>
      </c>
      <c r="O33" s="35">
        <f t="shared" si="26"/>
        <v>88427.56667</v>
      </c>
      <c r="P33" s="36">
        <f t="shared" si="26"/>
        <v>88427.56667</v>
      </c>
      <c r="Q33" s="35">
        <f t="shared" si="26"/>
        <v>93143.16667</v>
      </c>
      <c r="R33" s="35">
        <f t="shared" si="26"/>
        <v>104502.1667</v>
      </c>
      <c r="S33" s="35">
        <f t="shared" si="26"/>
        <v>104502.1667</v>
      </c>
      <c r="T33" s="35">
        <f t="shared" si="26"/>
        <v>106719.7667</v>
      </c>
      <c r="U33" s="35">
        <f t="shared" si="26"/>
        <v>111435.3667</v>
      </c>
      <c r="V33" s="35">
        <f t="shared" si="26"/>
        <v>143775.3667</v>
      </c>
      <c r="W33" s="35">
        <f t="shared" si="26"/>
        <v>143775.3667</v>
      </c>
      <c r="X33" s="35">
        <f t="shared" si="26"/>
        <v>143775.3667</v>
      </c>
      <c r="Y33" s="35">
        <f t="shared" si="26"/>
        <v>143775.3667</v>
      </c>
      <c r="Z33" s="35">
        <f t="shared" si="26"/>
        <v>143775.3667</v>
      </c>
      <c r="AA33" s="35">
        <f t="shared" si="26"/>
        <v>186879.7333</v>
      </c>
      <c r="AB33" s="35">
        <f t="shared" si="26"/>
        <v>191595.3333</v>
      </c>
      <c r="AC33" s="35">
        <f t="shared" si="26"/>
        <v>191595.3333</v>
      </c>
      <c r="AD33" s="35">
        <f t="shared" si="26"/>
        <v>196310.9333</v>
      </c>
      <c r="AE33" s="35">
        <f t="shared" si="26"/>
        <v>196310.9333</v>
      </c>
      <c r="AF33" s="35">
        <f t="shared" si="26"/>
        <v>197526.3783</v>
      </c>
      <c r="AG33" s="35">
        <f t="shared" si="26"/>
        <v>202241.9783</v>
      </c>
      <c r="AH33" s="35">
        <f t="shared" si="26"/>
        <v>306320.1833</v>
      </c>
      <c r="AI33" s="35">
        <f t="shared" si="26"/>
        <v>306320.1833</v>
      </c>
      <c r="AJ33" s="35">
        <f t="shared" si="26"/>
        <v>306320.1833</v>
      </c>
      <c r="AK33" s="35">
        <f t="shared" si="26"/>
        <v>306320.1833</v>
      </c>
      <c r="AL33" s="35">
        <f t="shared" si="26"/>
        <v>306320.1833</v>
      </c>
      <c r="AM33" s="35">
        <f t="shared" si="26"/>
        <v>419510.2708</v>
      </c>
      <c r="AN33" s="35">
        <f t="shared" si="26"/>
        <v>424225.8708</v>
      </c>
      <c r="AO33" s="35">
        <f t="shared" si="26"/>
        <v>424225.8708</v>
      </c>
      <c r="AP33" s="35">
        <f t="shared" si="26"/>
        <v>428941.4708</v>
      </c>
      <c r="AQ33" s="35">
        <f t="shared" si="26"/>
        <v>428941.4708</v>
      </c>
      <c r="AR33" s="35">
        <f t="shared" si="26"/>
        <v>429052.1583</v>
      </c>
      <c r="AS33" s="35">
        <f t="shared" si="26"/>
        <v>433767.7583</v>
      </c>
      <c r="AT33" s="35">
        <f t="shared" si="26"/>
        <v>643169.2583</v>
      </c>
      <c r="AU33" s="35">
        <f t="shared" si="26"/>
        <v>643169.2583</v>
      </c>
      <c r="AV33" s="35">
        <f t="shared" si="26"/>
        <v>643169.2583</v>
      </c>
      <c r="AW33" s="35">
        <f t="shared" si="26"/>
        <v>643169.2583</v>
      </c>
      <c r="AX33" s="35">
        <f t="shared" si="26"/>
        <v>643169.2583</v>
      </c>
      <c r="AY33" s="35"/>
      <c r="AZ33" s="35">
        <f t="shared" ref="AZ33:BC33" si="27">SUMPRODUCT((YEAR($C$2:$AX$2)=AZ$2)*$C33:$AX33)</f>
        <v>736490.05</v>
      </c>
      <c r="BA33" s="35">
        <f t="shared" si="27"/>
        <v>1416034.6</v>
      </c>
      <c r="BB33" s="35">
        <f t="shared" si="27"/>
        <v>2894061.54</v>
      </c>
      <c r="BC33" s="35">
        <f t="shared" si="27"/>
        <v>6204511.163</v>
      </c>
      <c r="BD33" s="3"/>
      <c r="BE33" s="3"/>
      <c r="BF33" s="3"/>
      <c r="BG33" s="4"/>
      <c r="BH33" s="4"/>
    </row>
    <row r="34" ht="15.75" customHeight="1">
      <c r="A34" s="3"/>
      <c r="B34" s="64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44"/>
      <c r="P34" s="66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27"/>
      <c r="AZ34" s="27"/>
      <c r="BA34" s="27"/>
      <c r="BB34" s="27"/>
      <c r="BC34" s="27"/>
      <c r="BD34" s="27"/>
      <c r="BE34" s="3"/>
      <c r="BF34" s="3"/>
      <c r="BG34" s="4"/>
      <c r="BH34" s="4"/>
    </row>
    <row r="35" ht="15.75" customHeight="1">
      <c r="A35" s="3"/>
      <c r="B35" s="34" t="s">
        <v>26</v>
      </c>
      <c r="C35" s="35">
        <f t="shared" ref="C35:AX35" si="28">C8-C33</f>
        <v>-39300.98333</v>
      </c>
      <c r="D35" s="35">
        <f t="shared" si="28"/>
        <v>-32922.83333</v>
      </c>
      <c r="E35" s="35">
        <f t="shared" si="28"/>
        <v>-21829.08333</v>
      </c>
      <c r="F35" s="35">
        <f t="shared" si="28"/>
        <v>-15450.93333</v>
      </c>
      <c r="G35" s="35">
        <f t="shared" si="28"/>
        <v>-4357.183333</v>
      </c>
      <c r="H35" s="35">
        <f t="shared" si="28"/>
        <v>622.1916667</v>
      </c>
      <c r="I35" s="35">
        <f t="shared" si="28"/>
        <v>1872.191667</v>
      </c>
      <c r="J35" s="35">
        <f t="shared" si="28"/>
        <v>7397.191667</v>
      </c>
      <c r="K35" s="35">
        <f t="shared" si="28"/>
        <v>7397.191667</v>
      </c>
      <c r="L35" s="35">
        <f t="shared" si="28"/>
        <v>7397.191667</v>
      </c>
      <c r="M35" s="35">
        <f t="shared" si="28"/>
        <v>7397.191667</v>
      </c>
      <c r="N35" s="35">
        <f t="shared" si="28"/>
        <v>7397.191667</v>
      </c>
      <c r="O35" s="35">
        <f t="shared" si="28"/>
        <v>10509.93333</v>
      </c>
      <c r="P35" s="67">
        <f t="shared" si="28"/>
        <v>22009.93333</v>
      </c>
      <c r="Q35" s="35">
        <f t="shared" si="28"/>
        <v>28794.33333</v>
      </c>
      <c r="R35" s="35">
        <f t="shared" si="28"/>
        <v>28935.33333</v>
      </c>
      <c r="S35" s="35">
        <f t="shared" si="28"/>
        <v>40435.33333</v>
      </c>
      <c r="T35" s="35">
        <f t="shared" si="28"/>
        <v>48117.73333</v>
      </c>
      <c r="U35" s="35">
        <f t="shared" si="28"/>
        <v>47902.13333</v>
      </c>
      <c r="V35" s="35">
        <f t="shared" si="28"/>
        <v>94312.13333</v>
      </c>
      <c r="W35" s="35">
        <f t="shared" si="28"/>
        <v>94312.13333</v>
      </c>
      <c r="X35" s="35">
        <f t="shared" si="28"/>
        <v>94312.13333</v>
      </c>
      <c r="Y35" s="35">
        <f t="shared" si="28"/>
        <v>94312.13333</v>
      </c>
      <c r="Z35" s="35">
        <f t="shared" si="28"/>
        <v>94312.13333</v>
      </c>
      <c r="AA35" s="35">
        <f t="shared" si="28"/>
        <v>154453.0792</v>
      </c>
      <c r="AB35" s="35">
        <f t="shared" si="28"/>
        <v>160539.0417</v>
      </c>
      <c r="AC35" s="35">
        <f t="shared" si="28"/>
        <v>171340.6042</v>
      </c>
      <c r="AD35" s="35">
        <f t="shared" si="28"/>
        <v>177426.5667</v>
      </c>
      <c r="AE35" s="35">
        <f t="shared" si="28"/>
        <v>188228.1292</v>
      </c>
      <c r="AF35" s="35">
        <f t="shared" si="28"/>
        <v>197634.8717</v>
      </c>
      <c r="AG35" s="35">
        <f t="shared" si="28"/>
        <v>200581.7717</v>
      </c>
      <c r="AH35" s="35">
        <f t="shared" si="28"/>
        <v>349940.7542</v>
      </c>
      <c r="AI35" s="35">
        <f t="shared" si="28"/>
        <v>349940.7542</v>
      </c>
      <c r="AJ35" s="35">
        <f t="shared" si="28"/>
        <v>349940.7542</v>
      </c>
      <c r="AK35" s="35">
        <f t="shared" si="28"/>
        <v>349940.7542</v>
      </c>
      <c r="AL35" s="35">
        <f t="shared" si="28"/>
        <v>349940.7542</v>
      </c>
      <c r="AM35" s="35">
        <f t="shared" si="28"/>
        <v>509821.7604</v>
      </c>
      <c r="AN35" s="35">
        <f t="shared" si="28"/>
        <v>515070.2229</v>
      </c>
      <c r="AO35" s="35">
        <f t="shared" si="28"/>
        <v>525034.2854</v>
      </c>
      <c r="AP35" s="35">
        <f t="shared" si="28"/>
        <v>530282.7479</v>
      </c>
      <c r="AQ35" s="35">
        <f t="shared" si="28"/>
        <v>540246.8104</v>
      </c>
      <c r="AR35" s="35">
        <f t="shared" si="28"/>
        <v>550118.1542</v>
      </c>
      <c r="AS35" s="35">
        <f t="shared" si="28"/>
        <v>555115.0542</v>
      </c>
      <c r="AT35" s="35">
        <f t="shared" si="28"/>
        <v>855619.8042</v>
      </c>
      <c r="AU35" s="35">
        <f t="shared" si="28"/>
        <v>855619.8042</v>
      </c>
      <c r="AV35" s="35">
        <f t="shared" si="28"/>
        <v>855619.8042</v>
      </c>
      <c r="AW35" s="35">
        <f t="shared" si="28"/>
        <v>855619.8042</v>
      </c>
      <c r="AX35" s="35">
        <f t="shared" si="28"/>
        <v>855619.8042</v>
      </c>
      <c r="AY35" s="35"/>
      <c r="AZ35" s="35">
        <f t="shared" ref="AZ35:BC35" si="29">SUMPRODUCT((YEAR($C$2:$AX$2)=AZ$2)*$C35:$AX35)</f>
        <v>-74380.675</v>
      </c>
      <c r="BA35" s="35">
        <f t="shared" si="29"/>
        <v>698265.4</v>
      </c>
      <c r="BB35" s="35">
        <f t="shared" si="29"/>
        <v>2999907.835</v>
      </c>
      <c r="BC35" s="35">
        <f t="shared" si="29"/>
        <v>8003788.056</v>
      </c>
      <c r="BD35" s="3"/>
      <c r="BE35" s="3"/>
      <c r="BF35" s="3"/>
      <c r="BG35" s="4"/>
      <c r="BH35" s="4"/>
    </row>
    <row r="36" ht="15.75" customHeight="1">
      <c r="A36" s="3"/>
      <c r="B36" s="37" t="s">
        <v>27</v>
      </c>
      <c r="C36" s="68">
        <f t="shared" ref="C36:AX36" si="30">IF(C8=0,0,C35/C8)</f>
        <v>-3.54262385</v>
      </c>
      <c r="D36" s="68">
        <f t="shared" si="30"/>
        <v>-1.483846009</v>
      </c>
      <c r="E36" s="68">
        <f t="shared" si="30"/>
        <v>-0.6558973396</v>
      </c>
      <c r="F36" s="68">
        <f t="shared" si="30"/>
        <v>-0.3481900469</v>
      </c>
      <c r="G36" s="68">
        <f t="shared" si="30"/>
        <v>-0.07855203756</v>
      </c>
      <c r="H36" s="68">
        <f t="shared" si="30"/>
        <v>0.009868715407</v>
      </c>
      <c r="I36" s="68">
        <f t="shared" si="30"/>
        <v>0.02911792629</v>
      </c>
      <c r="J36" s="68">
        <f t="shared" si="30"/>
        <v>0.1004072676</v>
      </c>
      <c r="K36" s="68">
        <f t="shared" si="30"/>
        <v>0.1004072676</v>
      </c>
      <c r="L36" s="68">
        <f t="shared" si="30"/>
        <v>0.1004072676</v>
      </c>
      <c r="M36" s="68">
        <f t="shared" si="30"/>
        <v>0.1004072676</v>
      </c>
      <c r="N36" s="68">
        <f t="shared" si="30"/>
        <v>0.1004072676</v>
      </c>
      <c r="O36" s="68">
        <f t="shared" si="30"/>
        <v>0.1062280059</v>
      </c>
      <c r="P36" s="68">
        <f t="shared" si="30"/>
        <v>0.199297642</v>
      </c>
      <c r="Q36" s="68">
        <f t="shared" si="30"/>
        <v>0.2361400991</v>
      </c>
      <c r="R36" s="68">
        <f t="shared" si="30"/>
        <v>0.2168455894</v>
      </c>
      <c r="S36" s="68">
        <f t="shared" si="30"/>
        <v>0.2789846198</v>
      </c>
      <c r="T36" s="68">
        <f t="shared" si="30"/>
        <v>0.3107627889</v>
      </c>
      <c r="U36" s="68">
        <f t="shared" si="30"/>
        <v>0.3006331424</v>
      </c>
      <c r="V36" s="68">
        <f t="shared" si="30"/>
        <v>0.396123834</v>
      </c>
      <c r="W36" s="68">
        <f t="shared" si="30"/>
        <v>0.396123834</v>
      </c>
      <c r="X36" s="68">
        <f t="shared" si="30"/>
        <v>0.396123834</v>
      </c>
      <c r="Y36" s="68">
        <f t="shared" si="30"/>
        <v>0.396123834</v>
      </c>
      <c r="Z36" s="68">
        <f t="shared" si="30"/>
        <v>0.396123834</v>
      </c>
      <c r="AA36" s="68">
        <f t="shared" si="30"/>
        <v>0.4524999458</v>
      </c>
      <c r="AB36" s="68">
        <f t="shared" si="30"/>
        <v>0.4559027833</v>
      </c>
      <c r="AC36" s="68">
        <f t="shared" si="30"/>
        <v>0.4720959995</v>
      </c>
      <c r="AD36" s="68">
        <f t="shared" si="30"/>
        <v>0.4747357883</v>
      </c>
      <c r="AE36" s="68">
        <f t="shared" si="30"/>
        <v>0.4894902691</v>
      </c>
      <c r="AF36" s="68">
        <f t="shared" si="30"/>
        <v>0.5001372773</v>
      </c>
      <c r="AG36" s="68">
        <f t="shared" si="30"/>
        <v>0.497939289</v>
      </c>
      <c r="AH36" s="68">
        <f t="shared" si="30"/>
        <v>0.5332341667</v>
      </c>
      <c r="AI36" s="68">
        <f t="shared" si="30"/>
        <v>0.5332341667</v>
      </c>
      <c r="AJ36" s="68">
        <f t="shared" si="30"/>
        <v>0.5332341667</v>
      </c>
      <c r="AK36" s="68">
        <f t="shared" si="30"/>
        <v>0.5332341667</v>
      </c>
      <c r="AL36" s="68">
        <f t="shared" si="30"/>
        <v>0.5332341667</v>
      </c>
      <c r="AM36" s="68">
        <f t="shared" si="30"/>
        <v>0.5485894635</v>
      </c>
      <c r="AN36" s="68">
        <f t="shared" si="30"/>
        <v>0.5483576759</v>
      </c>
      <c r="AO36" s="68">
        <f t="shared" si="30"/>
        <v>0.5530984124</v>
      </c>
      <c r="AP36" s="68">
        <f t="shared" si="30"/>
        <v>0.552824603</v>
      </c>
      <c r="AQ36" s="68">
        <f t="shared" si="30"/>
        <v>0.5574219384</v>
      </c>
      <c r="AR36" s="68">
        <f t="shared" si="30"/>
        <v>0.5618207039</v>
      </c>
      <c r="AS36" s="68">
        <f t="shared" si="30"/>
        <v>0.5613557513</v>
      </c>
      <c r="AT36" s="68">
        <f t="shared" si="30"/>
        <v>0.5708740647</v>
      </c>
      <c r="AU36" s="68">
        <f t="shared" si="30"/>
        <v>0.5708740647</v>
      </c>
      <c r="AV36" s="68">
        <f t="shared" si="30"/>
        <v>0.5708740647</v>
      </c>
      <c r="AW36" s="68">
        <f t="shared" si="30"/>
        <v>0.5708740647</v>
      </c>
      <c r="AX36" s="68">
        <f t="shared" si="30"/>
        <v>0.5708740647</v>
      </c>
      <c r="AY36" s="68"/>
      <c r="AZ36" s="68">
        <f t="shared" ref="AZ36:BC36" si="31">IF(AZ8=0,0,AZ35/AZ8)</f>
        <v>-0.1123389546</v>
      </c>
      <c r="BA36" s="68">
        <f t="shared" si="31"/>
        <v>0.3302584307</v>
      </c>
      <c r="BB36" s="68">
        <f t="shared" si="31"/>
        <v>0.508979203</v>
      </c>
      <c r="BC36" s="68">
        <f t="shared" si="31"/>
        <v>0.563317814</v>
      </c>
      <c r="BD36" s="38"/>
      <c r="BE36" s="3"/>
      <c r="BF36" s="3"/>
      <c r="BG36" s="4"/>
      <c r="BH36" s="4"/>
    </row>
    <row r="37" ht="15.75" customHeight="1">
      <c r="A37" s="69"/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69"/>
      <c r="P37" s="72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73"/>
      <c r="BH37" s="73"/>
    </row>
    <row r="38" ht="15.75" customHeight="1">
      <c r="A38" s="69"/>
      <c r="B38" s="74" t="s">
        <v>28</v>
      </c>
      <c r="C38" s="75">
        <f t="shared" ref="C38:AX38" si="32">C5-C33+C12</f>
        <v>-38561.4</v>
      </c>
      <c r="D38" s="75">
        <f t="shared" si="32"/>
        <v>-31443.66667</v>
      </c>
      <c r="E38" s="75">
        <f t="shared" si="32"/>
        <v>-19610.33333</v>
      </c>
      <c r="F38" s="75">
        <f t="shared" si="32"/>
        <v>-12492.6</v>
      </c>
      <c r="G38" s="75">
        <f t="shared" si="32"/>
        <v>-659.2666667</v>
      </c>
      <c r="H38" s="75">
        <f t="shared" si="32"/>
        <v>674.0666667</v>
      </c>
      <c r="I38" s="75">
        <f t="shared" si="32"/>
        <v>2007.4</v>
      </c>
      <c r="J38" s="75">
        <f t="shared" si="32"/>
        <v>2007.4</v>
      </c>
      <c r="K38" s="75">
        <f t="shared" si="32"/>
        <v>2007.4</v>
      </c>
      <c r="L38" s="75">
        <f t="shared" si="32"/>
        <v>2007.4</v>
      </c>
      <c r="M38" s="75">
        <f t="shared" si="32"/>
        <v>2007.4</v>
      </c>
      <c r="N38" s="75">
        <f t="shared" si="32"/>
        <v>2007.4</v>
      </c>
      <c r="O38" s="76">
        <f t="shared" si="32"/>
        <v>-2225.733333</v>
      </c>
      <c r="P38" s="77">
        <f t="shared" si="32"/>
        <v>10040.93333</v>
      </c>
      <c r="Q38" s="76">
        <f t="shared" si="32"/>
        <v>17592</v>
      </c>
      <c r="R38" s="76">
        <f t="shared" si="32"/>
        <v>18499.66667</v>
      </c>
      <c r="S38" s="76">
        <f t="shared" si="32"/>
        <v>30766.33333</v>
      </c>
      <c r="T38" s="76">
        <f t="shared" si="32"/>
        <v>35566.33333</v>
      </c>
      <c r="U38" s="76">
        <f t="shared" si="32"/>
        <v>35650.73333</v>
      </c>
      <c r="V38" s="76">
        <f t="shared" si="32"/>
        <v>35650.73333</v>
      </c>
      <c r="W38" s="76">
        <f t="shared" si="32"/>
        <v>35650.73333</v>
      </c>
      <c r="X38" s="76">
        <f t="shared" si="32"/>
        <v>35650.73333</v>
      </c>
      <c r="Y38" s="76">
        <f t="shared" si="32"/>
        <v>35650.73333</v>
      </c>
      <c r="Z38" s="76">
        <f t="shared" si="32"/>
        <v>35650.73333</v>
      </c>
      <c r="AA38" s="76">
        <f t="shared" si="32"/>
        <v>42031.6</v>
      </c>
      <c r="AB38" s="76">
        <f t="shared" si="32"/>
        <v>48837.66667</v>
      </c>
      <c r="AC38" s="76">
        <f t="shared" si="32"/>
        <v>60359.33333</v>
      </c>
      <c r="AD38" s="76">
        <f t="shared" si="32"/>
        <v>67165.4</v>
      </c>
      <c r="AE38" s="76">
        <f t="shared" si="32"/>
        <v>78687.06667</v>
      </c>
      <c r="AF38" s="76">
        <f t="shared" si="32"/>
        <v>86860.4</v>
      </c>
      <c r="AG38" s="76">
        <f t="shared" si="32"/>
        <v>90318.13333</v>
      </c>
      <c r="AH38" s="76">
        <f t="shared" si="32"/>
        <v>90318.13333</v>
      </c>
      <c r="AI38" s="76">
        <f t="shared" si="32"/>
        <v>90318.13333</v>
      </c>
      <c r="AJ38" s="76">
        <f t="shared" si="32"/>
        <v>90318.13333</v>
      </c>
      <c r="AK38" s="76">
        <f t="shared" si="32"/>
        <v>90318.13333</v>
      </c>
      <c r="AL38" s="76">
        <f t="shared" si="32"/>
        <v>90318.13333</v>
      </c>
      <c r="AM38" s="76">
        <f t="shared" si="32"/>
        <v>95805.66667</v>
      </c>
      <c r="AN38" s="76">
        <f t="shared" si="32"/>
        <v>101718.4</v>
      </c>
      <c r="AO38" s="76">
        <f t="shared" si="32"/>
        <v>112346.7333</v>
      </c>
      <c r="AP38" s="76">
        <f t="shared" si="32"/>
        <v>118259.4667</v>
      </c>
      <c r="AQ38" s="76">
        <f t="shared" si="32"/>
        <v>128887.8</v>
      </c>
      <c r="AR38" s="76">
        <f t="shared" si="32"/>
        <v>139247.8</v>
      </c>
      <c r="AS38" s="76">
        <f t="shared" si="32"/>
        <v>144892.2</v>
      </c>
      <c r="AT38" s="76">
        <f t="shared" si="32"/>
        <v>144892.2</v>
      </c>
      <c r="AU38" s="76">
        <f t="shared" si="32"/>
        <v>144892.2</v>
      </c>
      <c r="AV38" s="76">
        <f t="shared" si="32"/>
        <v>144892.2</v>
      </c>
      <c r="AW38" s="76">
        <f t="shared" si="32"/>
        <v>144892.2</v>
      </c>
      <c r="AX38" s="76">
        <f t="shared" si="32"/>
        <v>144892.2</v>
      </c>
      <c r="AY38" s="76"/>
      <c r="AZ38" s="76">
        <f t="shared" ref="AZ38:BC38" si="33">SUMPRODUCT((YEAR($C$2:$AX$2)=AZ$2)*$C38:$AX38)</f>
        <v>-90048.8</v>
      </c>
      <c r="BA38" s="76">
        <f t="shared" si="33"/>
        <v>324143.9333</v>
      </c>
      <c r="BB38" s="76">
        <f t="shared" si="33"/>
        <v>925850.2667</v>
      </c>
      <c r="BC38" s="76">
        <f t="shared" si="33"/>
        <v>1565619.067</v>
      </c>
      <c r="BD38" s="76"/>
      <c r="BE38" s="69"/>
      <c r="BF38" s="69"/>
      <c r="BG38" s="73"/>
      <c r="BH38" s="73"/>
    </row>
    <row r="39" ht="15.75" customHeight="1">
      <c r="A39" s="3"/>
      <c r="B39" s="26" t="s">
        <v>29</v>
      </c>
      <c r="C39" s="53">
        <f t="shared" ref="C39:AX39" si="34">IF(C5=0,0,C38/C5)</f>
        <v>-3.258709859</v>
      </c>
      <c r="D39" s="53">
        <f t="shared" si="34"/>
        <v>-1.328605634</v>
      </c>
      <c r="E39" s="53">
        <f t="shared" si="34"/>
        <v>-0.5524037559</v>
      </c>
      <c r="F39" s="53">
        <f t="shared" si="34"/>
        <v>-0.263928169</v>
      </c>
      <c r="G39" s="53">
        <f t="shared" si="34"/>
        <v>-0.01114253521</v>
      </c>
      <c r="H39" s="53">
        <f t="shared" si="34"/>
        <v>0.0111415978</v>
      </c>
      <c r="I39" s="53">
        <f t="shared" si="34"/>
        <v>0.03246469003</v>
      </c>
      <c r="J39" s="53">
        <f t="shared" si="34"/>
        <v>0.03246469003</v>
      </c>
      <c r="K39" s="53">
        <f t="shared" si="34"/>
        <v>0.03246469003</v>
      </c>
      <c r="L39" s="53">
        <f t="shared" si="34"/>
        <v>0.03246469003</v>
      </c>
      <c r="M39" s="53">
        <f t="shared" si="34"/>
        <v>0.03246469003</v>
      </c>
      <c r="N39" s="53">
        <f t="shared" si="34"/>
        <v>0.03246469003</v>
      </c>
      <c r="O39" s="53">
        <f t="shared" si="34"/>
        <v>-0.03003688709</v>
      </c>
      <c r="P39" s="53">
        <f t="shared" si="34"/>
        <v>0.1162593593</v>
      </c>
      <c r="Q39" s="53">
        <f t="shared" si="34"/>
        <v>0.1783575532</v>
      </c>
      <c r="R39" s="53">
        <f t="shared" si="34"/>
        <v>0.1668139465</v>
      </c>
      <c r="S39" s="53">
        <f t="shared" si="34"/>
        <v>0.2497943166</v>
      </c>
      <c r="T39" s="53">
        <f t="shared" si="34"/>
        <v>0.2779343579</v>
      </c>
      <c r="U39" s="53">
        <f t="shared" si="34"/>
        <v>0.2685217173</v>
      </c>
      <c r="V39" s="53">
        <f t="shared" si="34"/>
        <v>0.2685217173</v>
      </c>
      <c r="W39" s="53">
        <f t="shared" si="34"/>
        <v>0.2685217173</v>
      </c>
      <c r="X39" s="53">
        <f t="shared" si="34"/>
        <v>0.2685217173</v>
      </c>
      <c r="Y39" s="53">
        <f t="shared" si="34"/>
        <v>0.2685217173</v>
      </c>
      <c r="Z39" s="53">
        <f t="shared" si="34"/>
        <v>0.2685217173</v>
      </c>
      <c r="AA39" s="53">
        <f t="shared" si="34"/>
        <v>0.2913028311</v>
      </c>
      <c r="AB39" s="53">
        <f t="shared" si="34"/>
        <v>0.3134437242</v>
      </c>
      <c r="AC39" s="53">
        <f t="shared" si="34"/>
        <v>0.3607167402</v>
      </c>
      <c r="AD39" s="53">
        <f t="shared" si="34"/>
        <v>0.3755333979</v>
      </c>
      <c r="AE39" s="53">
        <f t="shared" si="34"/>
        <v>0.4133266798</v>
      </c>
      <c r="AF39" s="53">
        <f t="shared" si="34"/>
        <v>0.4374773565</v>
      </c>
      <c r="AG39" s="53">
        <f t="shared" si="34"/>
        <v>0.4369069522</v>
      </c>
      <c r="AH39" s="53">
        <f t="shared" si="34"/>
        <v>0.4369069522</v>
      </c>
      <c r="AI39" s="53">
        <f t="shared" si="34"/>
        <v>0.4369069522</v>
      </c>
      <c r="AJ39" s="53">
        <f t="shared" si="34"/>
        <v>0.4369069522</v>
      </c>
      <c r="AK39" s="53">
        <f t="shared" si="34"/>
        <v>0.4369069522</v>
      </c>
      <c r="AL39" s="53">
        <f t="shared" si="34"/>
        <v>0.4369069522</v>
      </c>
      <c r="AM39" s="53">
        <f t="shared" si="34"/>
        <v>0.4407898167</v>
      </c>
      <c r="AN39" s="53">
        <f t="shared" si="34"/>
        <v>0.4461757331</v>
      </c>
      <c r="AO39" s="53">
        <f t="shared" si="34"/>
        <v>0.4708449051</v>
      </c>
      <c r="AP39" s="53">
        <f t="shared" si="34"/>
        <v>0.4744898055</v>
      </c>
      <c r="AQ39" s="53">
        <f t="shared" si="34"/>
        <v>0.4959830167</v>
      </c>
      <c r="AR39" s="53">
        <f t="shared" si="34"/>
        <v>0.5153063515</v>
      </c>
      <c r="AS39" s="53">
        <f t="shared" si="34"/>
        <v>0.5163963172</v>
      </c>
      <c r="AT39" s="53">
        <f t="shared" si="34"/>
        <v>0.5163963172</v>
      </c>
      <c r="AU39" s="53">
        <f t="shared" si="34"/>
        <v>0.5163963172</v>
      </c>
      <c r="AV39" s="53">
        <f t="shared" si="34"/>
        <v>0.5163963172</v>
      </c>
      <c r="AW39" s="53">
        <f t="shared" si="34"/>
        <v>0.5163963172</v>
      </c>
      <c r="AX39" s="53">
        <f t="shared" si="34"/>
        <v>0.5163963172</v>
      </c>
      <c r="AY39" s="53"/>
      <c r="AZ39" s="53">
        <f t="shared" ref="AZ39:BC39" si="35">IF(AZ5=0,0,AZ38/AZ5)</f>
        <v>-0.1478633826</v>
      </c>
      <c r="BA39" s="53">
        <f t="shared" si="35"/>
        <v>0.2286353334</v>
      </c>
      <c r="BB39" s="53">
        <f t="shared" si="35"/>
        <v>0.4068711703</v>
      </c>
      <c r="BC39" s="53">
        <f t="shared" si="35"/>
        <v>0.4975342019</v>
      </c>
      <c r="BD39" s="53"/>
      <c r="BE39" s="3"/>
      <c r="BF39" s="3"/>
      <c r="BG39" s="4"/>
      <c r="BH39" s="4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4"/>
      <c r="BH40" s="4"/>
    </row>
    <row r="41" ht="15.75" customHeight="1">
      <c r="A41" s="3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3"/>
      <c r="BF41" s="3"/>
      <c r="BG41" s="4"/>
      <c r="BH41" s="4"/>
    </row>
    <row r="42" ht="15.75" customHeight="1">
      <c r="A42" s="3"/>
      <c r="B42" s="26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3"/>
      <c r="BF42" s="3"/>
      <c r="BG42" s="4"/>
      <c r="BH42" s="4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4"/>
      <c r="BH43" s="4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4"/>
      <c r="BH44" s="4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4"/>
      <c r="BH45" s="4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4"/>
      <c r="BH46" s="4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4"/>
      <c r="BH47" s="4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4"/>
      <c r="BH48" s="4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4"/>
      <c r="BH49" s="4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4"/>
      <c r="BH50" s="4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4"/>
      <c r="BH51" s="4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4"/>
      <c r="BH52" s="4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4"/>
      <c r="BH53" s="4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4"/>
      <c r="BH54" s="4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4"/>
      <c r="BH55" s="4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4"/>
      <c r="BH56" s="4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4"/>
      <c r="BH57" s="4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4"/>
      <c r="BH58" s="4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4"/>
      <c r="BH59" s="4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4"/>
      <c r="BH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9.38"/>
    <col customWidth="1" min="3" max="3" width="12.63"/>
    <col customWidth="1" min="4" max="4" width="18.38"/>
    <col customWidth="1" min="5" max="5" width="12.63"/>
    <col customWidth="1" min="6" max="6" width="15.13"/>
  </cols>
  <sheetData>
    <row r="1" ht="15.75" customHeight="1">
      <c r="A1" s="78" t="s">
        <v>1</v>
      </c>
      <c r="B1" s="79"/>
      <c r="C1" s="80"/>
      <c r="D1" s="73"/>
      <c r="E1" s="73"/>
      <c r="F1" s="73"/>
      <c r="G1" s="4"/>
      <c r="H1" s="4"/>
      <c r="I1" s="4"/>
      <c r="J1" s="4"/>
      <c r="K1" s="4"/>
      <c r="L1" s="4"/>
      <c r="M1" s="4"/>
    </row>
    <row r="2" ht="15.75" customHeight="1">
      <c r="A2" s="81" t="s">
        <v>2</v>
      </c>
      <c r="B2" s="73"/>
      <c r="C2" s="82"/>
      <c r="D2" s="73"/>
      <c r="E2" s="73"/>
      <c r="F2" s="73"/>
      <c r="G2" s="4"/>
      <c r="H2" s="4"/>
      <c r="I2" s="4"/>
      <c r="J2" s="4"/>
      <c r="K2" s="4"/>
      <c r="L2" s="4"/>
      <c r="M2" s="4"/>
    </row>
    <row r="3" ht="15.75" customHeight="1">
      <c r="A3" s="83" t="s">
        <v>30</v>
      </c>
      <c r="B3" s="84">
        <v>7000.0</v>
      </c>
      <c r="C3" s="82"/>
      <c r="D3" s="73"/>
      <c r="E3" s="73"/>
      <c r="F3" s="73"/>
      <c r="G3" s="4"/>
      <c r="H3" s="4"/>
      <c r="I3" s="4"/>
      <c r="J3" s="4"/>
      <c r="K3" s="4"/>
      <c r="L3" s="4"/>
      <c r="M3" s="4"/>
    </row>
    <row r="4" ht="15.75" customHeight="1">
      <c r="A4" s="85" t="s">
        <v>31</v>
      </c>
      <c r="B4" s="86">
        <v>5.0</v>
      </c>
      <c r="C4" s="82"/>
      <c r="D4" s="73"/>
      <c r="E4" s="73">
        <f>((2*12)+(3*5))/5</f>
        <v>7.8</v>
      </c>
      <c r="F4" s="73"/>
      <c r="G4" s="4"/>
      <c r="H4" s="4"/>
      <c r="I4" s="4"/>
      <c r="J4" s="4"/>
      <c r="K4" s="4"/>
      <c r="L4" s="4"/>
      <c r="M4" s="4"/>
    </row>
    <row r="5" ht="15.75" customHeight="1">
      <c r="A5" s="83"/>
      <c r="B5" s="73"/>
      <c r="C5" s="82"/>
      <c r="D5" s="73"/>
      <c r="E5" s="73"/>
      <c r="F5" s="73"/>
      <c r="G5" s="4"/>
      <c r="H5" s="4"/>
      <c r="I5" s="4"/>
      <c r="J5" s="4"/>
      <c r="K5" s="4"/>
      <c r="L5" s="4"/>
      <c r="M5" s="4"/>
    </row>
    <row r="6" ht="15.75" customHeight="1">
      <c r="A6" s="83" t="s">
        <v>32</v>
      </c>
      <c r="B6" s="84">
        <v>8000.0</v>
      </c>
      <c r="C6" s="82"/>
      <c r="D6" s="73"/>
      <c r="E6" s="73"/>
      <c r="F6" s="73"/>
      <c r="G6" s="4"/>
      <c r="H6" s="4"/>
      <c r="I6" s="4"/>
      <c r="J6" s="4"/>
      <c r="K6" s="4"/>
      <c r="L6" s="4"/>
      <c r="M6" s="4"/>
    </row>
    <row r="7" ht="15.75" customHeight="1">
      <c r="A7" s="85" t="s">
        <v>31</v>
      </c>
      <c r="B7" s="86">
        <v>7.0</v>
      </c>
      <c r="C7" s="82"/>
      <c r="D7" s="73"/>
      <c r="E7" s="73"/>
      <c r="F7" s="73"/>
      <c r="G7" s="4"/>
      <c r="H7" s="4"/>
      <c r="I7" s="4"/>
      <c r="J7" s="4"/>
      <c r="K7" s="4"/>
      <c r="L7" s="4"/>
      <c r="M7" s="4"/>
    </row>
    <row r="8" ht="15.75" customHeight="1">
      <c r="A8" s="83"/>
      <c r="B8" s="73"/>
      <c r="C8" s="82"/>
      <c r="D8" s="73"/>
      <c r="E8" s="73"/>
      <c r="F8" s="73"/>
      <c r="G8" s="4"/>
      <c r="H8" s="4"/>
      <c r="I8" s="4"/>
      <c r="J8" s="4"/>
      <c r="K8" s="4"/>
      <c r="L8" s="4"/>
      <c r="M8" s="4"/>
    </row>
    <row r="9" ht="15.75" customHeight="1">
      <c r="A9" s="81" t="s">
        <v>33</v>
      </c>
      <c r="B9" s="73" t="s">
        <v>34</v>
      </c>
      <c r="C9" s="82" t="s">
        <v>35</v>
      </c>
      <c r="D9" s="73"/>
      <c r="E9" s="73"/>
      <c r="F9" s="73"/>
      <c r="G9" s="4"/>
      <c r="H9" s="4"/>
      <c r="I9" s="4"/>
      <c r="J9" s="4"/>
      <c r="K9" s="4"/>
      <c r="L9" s="4"/>
      <c r="M9" s="4"/>
    </row>
    <row r="10" ht="15.75" customHeight="1">
      <c r="A10" s="83" t="s">
        <v>30</v>
      </c>
      <c r="B10" s="87">
        <v>0.01</v>
      </c>
      <c r="C10" s="82"/>
      <c r="D10" s="73"/>
      <c r="E10" s="73"/>
      <c r="F10" s="73"/>
      <c r="G10" s="4"/>
      <c r="H10" s="4"/>
      <c r="I10" s="4"/>
      <c r="J10" s="4"/>
      <c r="K10" s="4"/>
      <c r="L10" s="4"/>
      <c r="M10" s="4"/>
    </row>
    <row r="11" ht="15.75" customHeight="1">
      <c r="A11" s="83" t="s">
        <v>30</v>
      </c>
      <c r="B11" s="73"/>
      <c r="C11" s="88">
        <v>3000000.0</v>
      </c>
      <c r="D11" s="73"/>
      <c r="E11" s="73"/>
      <c r="F11" s="73"/>
      <c r="G11" s="4"/>
      <c r="H11" s="4"/>
      <c r="I11" s="4"/>
      <c r="J11" s="4"/>
      <c r="K11" s="4"/>
      <c r="L11" s="4"/>
      <c r="M11" s="4"/>
    </row>
    <row r="12" ht="15.75" customHeight="1">
      <c r="A12" s="83" t="s">
        <v>32</v>
      </c>
      <c r="B12" s="87">
        <v>0.01</v>
      </c>
      <c r="C12" s="88"/>
      <c r="D12" s="73"/>
      <c r="E12" s="73"/>
      <c r="F12" s="73"/>
      <c r="G12" s="4"/>
      <c r="H12" s="4"/>
      <c r="I12" s="4"/>
      <c r="J12" s="4"/>
      <c r="K12" s="4"/>
      <c r="L12" s="4"/>
      <c r="M12" s="4"/>
    </row>
    <row r="13" ht="15.75" customHeight="1">
      <c r="A13" s="89" t="s">
        <v>32</v>
      </c>
      <c r="B13" s="90"/>
      <c r="C13" s="91">
        <v>1.0E7</v>
      </c>
      <c r="D13" s="73"/>
      <c r="E13" s="73"/>
      <c r="F13" s="73"/>
      <c r="G13" s="4"/>
      <c r="H13" s="4"/>
      <c r="I13" s="4"/>
      <c r="J13" s="4"/>
      <c r="K13" s="4"/>
      <c r="L13" s="4"/>
      <c r="M13" s="4"/>
    </row>
    <row r="14" ht="15.75" customHeight="1">
      <c r="A14" s="73"/>
      <c r="B14" s="73"/>
      <c r="C14" s="73"/>
      <c r="D14" s="73"/>
      <c r="E14" s="73"/>
      <c r="F14" s="73"/>
      <c r="G14" s="4"/>
      <c r="H14" s="4"/>
      <c r="I14" s="4"/>
      <c r="J14" s="4"/>
      <c r="K14" s="4"/>
      <c r="L14" s="4"/>
      <c r="M14" s="4"/>
    </row>
    <row r="15" ht="15.75" customHeight="1">
      <c r="A15" s="78" t="s">
        <v>36</v>
      </c>
      <c r="B15" s="79" t="s">
        <v>37</v>
      </c>
      <c r="C15" s="79" t="s">
        <v>38</v>
      </c>
      <c r="D15" s="79" t="s">
        <v>39</v>
      </c>
      <c r="E15" s="79" t="s">
        <v>40</v>
      </c>
      <c r="F15" s="80" t="s">
        <v>41</v>
      </c>
      <c r="G15" s="4"/>
      <c r="H15" s="4"/>
      <c r="I15" s="4"/>
      <c r="J15" s="4"/>
      <c r="K15" s="4"/>
      <c r="L15" s="4"/>
      <c r="M15" s="4"/>
    </row>
    <row r="16" ht="15.75" customHeight="1">
      <c r="A16" s="83" t="s">
        <v>42</v>
      </c>
      <c r="B16" s="84"/>
      <c r="C16" s="84">
        <v>10000.0</v>
      </c>
      <c r="D16" s="84">
        <f t="shared" ref="D16:D18" si="1">(C16*12)+E16</f>
        <v>129600</v>
      </c>
      <c r="E16" s="84">
        <f t="shared" ref="E16:E19" si="2">8%*(C16*12)</f>
        <v>9600</v>
      </c>
      <c r="F16" s="92">
        <v>0.19</v>
      </c>
      <c r="G16" s="4"/>
      <c r="H16" s="4"/>
      <c r="I16" s="4"/>
      <c r="J16" s="4"/>
      <c r="K16" s="4"/>
      <c r="L16" s="4"/>
      <c r="M16" s="4"/>
    </row>
    <row r="17" ht="15.75" customHeight="1">
      <c r="A17" s="83" t="s">
        <v>43</v>
      </c>
      <c r="B17" s="84">
        <f t="shared" ref="B17:B19" si="3">D17*(1+F17)/12</f>
        <v>8353.8</v>
      </c>
      <c r="C17" s="84">
        <v>6500.0</v>
      </c>
      <c r="D17" s="84">
        <f t="shared" si="1"/>
        <v>84240</v>
      </c>
      <c r="E17" s="84">
        <f t="shared" si="2"/>
        <v>6240</v>
      </c>
      <c r="F17" s="92">
        <v>0.19</v>
      </c>
      <c r="G17" s="4"/>
      <c r="H17" s="4"/>
      <c r="I17" s="4"/>
      <c r="J17" s="4"/>
      <c r="K17" s="4"/>
      <c r="L17" s="4"/>
      <c r="M17" s="4"/>
    </row>
    <row r="18" ht="15.75" customHeight="1">
      <c r="A18" s="93" t="s">
        <v>44</v>
      </c>
      <c r="B18" s="84">
        <f t="shared" si="3"/>
        <v>5783.4</v>
      </c>
      <c r="C18" s="94">
        <v>4500.0</v>
      </c>
      <c r="D18" s="84">
        <f t="shared" si="1"/>
        <v>58320</v>
      </c>
      <c r="E18" s="84">
        <f t="shared" si="2"/>
        <v>4320</v>
      </c>
      <c r="F18" s="92">
        <v>0.19</v>
      </c>
      <c r="G18" s="4"/>
      <c r="H18" s="4"/>
      <c r="I18" s="4"/>
      <c r="J18" s="4"/>
      <c r="K18" s="4"/>
      <c r="L18" s="4"/>
      <c r="M18" s="4"/>
    </row>
    <row r="19" ht="15.75" customHeight="1">
      <c r="A19" s="93" t="s">
        <v>45</v>
      </c>
      <c r="B19" s="84">
        <f t="shared" si="3"/>
        <v>3855.6</v>
      </c>
      <c r="C19" s="84">
        <v>3000.0</v>
      </c>
      <c r="D19" s="84">
        <f>C19*12*(1.08)</f>
        <v>38880</v>
      </c>
      <c r="E19" s="84">
        <f t="shared" si="2"/>
        <v>2880</v>
      </c>
      <c r="F19" s="92">
        <v>0.19</v>
      </c>
      <c r="G19" s="4"/>
      <c r="H19" s="4"/>
      <c r="I19" s="4"/>
      <c r="J19" s="4"/>
      <c r="K19" s="4"/>
      <c r="L19" s="4"/>
      <c r="M19" s="4"/>
    </row>
    <row r="20">
      <c r="A20" s="89" t="s">
        <v>46</v>
      </c>
      <c r="B20" s="95">
        <v>500.0</v>
      </c>
      <c r="C20" s="95"/>
      <c r="D20" s="95"/>
      <c r="E20" s="95"/>
      <c r="F20" s="96"/>
      <c r="G20" s="4"/>
      <c r="H20" s="4"/>
      <c r="I20" s="4"/>
      <c r="J20" s="4"/>
      <c r="K20" s="4"/>
      <c r="L20" s="4"/>
      <c r="M20" s="4"/>
    </row>
    <row r="21" ht="15.75" customHeight="1">
      <c r="A21" s="73"/>
      <c r="B21" s="73"/>
      <c r="C21" s="73"/>
      <c r="D21" s="73"/>
      <c r="E21" s="73"/>
      <c r="F21" s="73"/>
      <c r="G21" s="4"/>
      <c r="H21" s="4"/>
      <c r="I21" s="4"/>
      <c r="J21" s="4"/>
      <c r="K21" s="4"/>
      <c r="L21" s="4"/>
      <c r="M21" s="4"/>
    </row>
    <row r="22" ht="15.75" customHeight="1">
      <c r="A22" s="73"/>
      <c r="B22" s="73"/>
      <c r="C22" s="73"/>
      <c r="D22" s="73"/>
      <c r="E22" s="73"/>
      <c r="F22" s="73"/>
      <c r="G22" s="4"/>
      <c r="H22" s="4"/>
      <c r="I22" s="4"/>
      <c r="J22" s="4"/>
      <c r="K22" s="4"/>
      <c r="L22" s="4"/>
      <c r="M22" s="4"/>
    </row>
    <row r="23" ht="15.75" customHeight="1">
      <c r="A23" s="78" t="s">
        <v>47</v>
      </c>
      <c r="B23" s="79" t="s">
        <v>37</v>
      </c>
      <c r="C23" s="79" t="s">
        <v>48</v>
      </c>
      <c r="D23" s="80" t="s">
        <v>49</v>
      </c>
      <c r="E23" s="73"/>
      <c r="F23" s="73"/>
      <c r="G23" s="4"/>
      <c r="H23" s="4"/>
      <c r="I23" s="4"/>
      <c r="J23" s="4"/>
      <c r="K23" s="4"/>
      <c r="L23" s="4"/>
      <c r="M23" s="4"/>
    </row>
    <row r="24" ht="15.75" customHeight="1">
      <c r="A24" s="81" t="s">
        <v>17</v>
      </c>
      <c r="B24" s="73"/>
      <c r="C24" s="73"/>
      <c r="D24" s="82"/>
      <c r="E24" s="73"/>
      <c r="F24" s="73"/>
      <c r="G24" s="4"/>
      <c r="H24" s="4"/>
      <c r="I24" s="4"/>
      <c r="J24" s="4"/>
      <c r="K24" s="4"/>
      <c r="L24" s="4"/>
      <c r="M24" s="4"/>
    </row>
    <row r="25" ht="15.75" customHeight="1">
      <c r="A25" s="97" t="s">
        <v>50</v>
      </c>
      <c r="B25" s="84">
        <f t="shared" ref="B25:B33" si="4">PRODUCT(C25:D25)</f>
        <v>1583.333333</v>
      </c>
      <c r="C25" s="84">
        <f>19000/12</f>
        <v>1583.333333</v>
      </c>
      <c r="D25" s="98">
        <v>1.0</v>
      </c>
      <c r="E25" s="73"/>
      <c r="F25" s="73"/>
      <c r="G25" s="4"/>
      <c r="H25" s="4"/>
      <c r="I25" s="4"/>
      <c r="J25" s="4"/>
      <c r="K25" s="4"/>
      <c r="L25" s="4"/>
      <c r="M25" s="4"/>
    </row>
    <row r="26" ht="15.75" customHeight="1">
      <c r="A26" s="97" t="s">
        <v>51</v>
      </c>
      <c r="B26" s="84">
        <f t="shared" si="4"/>
        <v>180</v>
      </c>
      <c r="C26" s="84">
        <v>90.0</v>
      </c>
      <c r="D26" s="98">
        <v>2.0</v>
      </c>
      <c r="E26" s="73"/>
      <c r="F26" s="73"/>
      <c r="G26" s="4"/>
      <c r="H26" s="4"/>
      <c r="I26" s="4"/>
      <c r="J26" s="4"/>
      <c r="K26" s="4"/>
      <c r="L26" s="4"/>
      <c r="M26" s="4"/>
    </row>
    <row r="27" ht="15.75" customHeight="1">
      <c r="A27" s="97" t="s">
        <v>52</v>
      </c>
      <c r="B27" s="84">
        <f t="shared" si="4"/>
        <v>220</v>
      </c>
      <c r="C27" s="84">
        <v>44.0</v>
      </c>
      <c r="D27" s="98">
        <v>5.0</v>
      </c>
      <c r="E27" s="73"/>
      <c r="F27" s="73"/>
      <c r="G27" s="4"/>
      <c r="H27" s="4"/>
      <c r="I27" s="4"/>
      <c r="J27" s="4"/>
      <c r="K27" s="4"/>
      <c r="L27" s="4"/>
      <c r="M27" s="4"/>
    </row>
    <row r="28" ht="15.75" customHeight="1">
      <c r="A28" s="97" t="s">
        <v>53</v>
      </c>
      <c r="B28" s="84">
        <f t="shared" si="4"/>
        <v>495</v>
      </c>
      <c r="C28" s="84">
        <v>99.0</v>
      </c>
      <c r="D28" s="98">
        <v>5.0</v>
      </c>
      <c r="E28" s="73"/>
      <c r="F28" s="73"/>
      <c r="G28" s="4"/>
      <c r="H28" s="4"/>
      <c r="I28" s="4"/>
      <c r="J28" s="4"/>
      <c r="K28" s="4"/>
      <c r="L28" s="4"/>
      <c r="M28" s="4"/>
    </row>
    <row r="29" ht="15.75" customHeight="1">
      <c r="A29" s="83" t="s">
        <v>54</v>
      </c>
      <c r="B29" s="84">
        <f t="shared" si="4"/>
        <v>105</v>
      </c>
      <c r="C29" s="84">
        <v>21.0</v>
      </c>
      <c r="D29" s="98">
        <v>5.0</v>
      </c>
      <c r="E29" s="73"/>
      <c r="F29" s="73"/>
      <c r="G29" s="4"/>
      <c r="H29" s="4"/>
      <c r="I29" s="4"/>
      <c r="J29" s="4"/>
      <c r="K29" s="4"/>
      <c r="L29" s="4"/>
      <c r="M29" s="4"/>
    </row>
    <row r="30" ht="15.75" customHeight="1">
      <c r="A30" s="83" t="s">
        <v>55</v>
      </c>
      <c r="B30" s="84">
        <f t="shared" si="4"/>
        <v>105</v>
      </c>
      <c r="C30" s="84">
        <v>21.0</v>
      </c>
      <c r="D30" s="98">
        <v>5.0</v>
      </c>
      <c r="E30" s="73"/>
      <c r="F30" s="73"/>
      <c r="G30" s="4"/>
      <c r="H30" s="4"/>
      <c r="I30" s="4"/>
      <c r="J30" s="4"/>
      <c r="K30" s="4"/>
      <c r="L30" s="4"/>
      <c r="M30" s="4"/>
    </row>
    <row r="31" ht="15.75" customHeight="1">
      <c r="A31" s="97" t="s">
        <v>56</v>
      </c>
      <c r="B31" s="84">
        <f t="shared" si="4"/>
        <v>30</v>
      </c>
      <c r="C31" s="84">
        <v>30.0</v>
      </c>
      <c r="D31" s="98">
        <v>1.0</v>
      </c>
      <c r="E31" s="73"/>
      <c r="F31" s="73"/>
      <c r="G31" s="4"/>
      <c r="H31" s="4"/>
      <c r="I31" s="4"/>
      <c r="J31" s="4"/>
      <c r="K31" s="4"/>
      <c r="L31" s="4"/>
      <c r="M31" s="4"/>
    </row>
    <row r="32" ht="15.75" customHeight="1">
      <c r="A32" s="97" t="s">
        <v>57</v>
      </c>
      <c r="B32" s="84">
        <f t="shared" si="4"/>
        <v>102</v>
      </c>
      <c r="C32" s="84">
        <v>17.0</v>
      </c>
      <c r="D32" s="98">
        <v>6.0</v>
      </c>
      <c r="E32" s="73"/>
      <c r="F32" s="73"/>
      <c r="G32" s="4"/>
      <c r="H32" s="4"/>
      <c r="I32" s="4"/>
      <c r="J32" s="4"/>
      <c r="K32" s="4"/>
      <c r="L32" s="4"/>
      <c r="M32" s="4"/>
    </row>
    <row r="33" ht="15.75" customHeight="1">
      <c r="A33" s="97" t="s">
        <v>58</v>
      </c>
      <c r="B33" s="84">
        <f t="shared" si="4"/>
        <v>18</v>
      </c>
      <c r="C33" s="84">
        <v>9.0</v>
      </c>
      <c r="D33" s="98">
        <v>2.0</v>
      </c>
      <c r="E33" s="73"/>
      <c r="F33" s="73"/>
      <c r="G33" s="4"/>
      <c r="H33" s="4"/>
      <c r="I33" s="4"/>
      <c r="J33" s="4"/>
      <c r="K33" s="4"/>
      <c r="L33" s="4"/>
      <c r="M33" s="4"/>
    </row>
    <row r="34" ht="15.75" customHeight="1">
      <c r="A34" s="83"/>
      <c r="B34" s="84"/>
      <c r="C34" s="84"/>
      <c r="D34" s="98">
        <v>1.0</v>
      </c>
      <c r="E34" s="73"/>
      <c r="F34" s="73"/>
      <c r="G34" s="4"/>
      <c r="H34" s="4"/>
      <c r="I34" s="4"/>
      <c r="J34" s="4"/>
      <c r="K34" s="4"/>
      <c r="L34" s="4"/>
      <c r="M34" s="4"/>
    </row>
    <row r="35" ht="15.75" customHeight="1">
      <c r="A35" s="83"/>
      <c r="B35" s="84"/>
      <c r="C35" s="84"/>
      <c r="D35" s="82">
        <v>1.0</v>
      </c>
      <c r="E35" s="73"/>
      <c r="F35" s="73"/>
      <c r="G35" s="4"/>
      <c r="H35" s="4"/>
      <c r="I35" s="4"/>
      <c r="J35" s="4"/>
      <c r="K35" s="4"/>
      <c r="L35" s="4"/>
      <c r="M35" s="4"/>
    </row>
    <row r="36" ht="15.75" customHeight="1">
      <c r="A36" s="99" t="s">
        <v>59</v>
      </c>
      <c r="B36" s="100">
        <f>sum(B25:B35)</f>
        <v>2838.333333</v>
      </c>
      <c r="C36" s="73"/>
      <c r="D36" s="82"/>
      <c r="E36" s="73"/>
      <c r="F36" s="73"/>
      <c r="G36" s="4"/>
      <c r="H36" s="4"/>
      <c r="I36" s="4"/>
      <c r="J36" s="4"/>
      <c r="K36" s="4"/>
      <c r="L36" s="4"/>
      <c r="M36" s="4"/>
    </row>
    <row r="37" ht="15.75" customHeight="1">
      <c r="A37" s="83"/>
      <c r="B37" s="84"/>
      <c r="C37" s="73"/>
      <c r="D37" s="82"/>
      <c r="E37" s="73"/>
      <c r="F37" s="73"/>
      <c r="G37" s="4"/>
      <c r="H37" s="4"/>
      <c r="I37" s="4"/>
      <c r="J37" s="4"/>
      <c r="K37" s="4"/>
      <c r="L37" s="4"/>
      <c r="M37" s="4"/>
    </row>
    <row r="38" ht="15.75" customHeight="1">
      <c r="A38" s="81" t="s">
        <v>18</v>
      </c>
      <c r="B38" s="84"/>
      <c r="C38" s="73"/>
      <c r="D38" s="82"/>
      <c r="E38" s="73"/>
      <c r="F38" s="73"/>
      <c r="G38" s="4"/>
      <c r="H38" s="4"/>
      <c r="I38" s="4"/>
      <c r="J38" s="4"/>
      <c r="K38" s="4"/>
      <c r="L38" s="4"/>
      <c r="M38" s="4"/>
    </row>
    <row r="39" ht="15.75" customHeight="1">
      <c r="A39" s="83" t="s">
        <v>16</v>
      </c>
      <c r="B39" s="84">
        <v>3762.0</v>
      </c>
      <c r="C39" s="73"/>
      <c r="D39" s="98">
        <v>1.0</v>
      </c>
      <c r="E39" s="73"/>
      <c r="F39" s="73"/>
      <c r="G39" s="4"/>
      <c r="H39" s="4"/>
      <c r="I39" s="4"/>
      <c r="J39" s="4"/>
      <c r="K39" s="4"/>
      <c r="L39" s="4"/>
      <c r="M39" s="4"/>
    </row>
    <row r="40" ht="15.75" customHeight="1">
      <c r="A40" s="83" t="s">
        <v>60</v>
      </c>
      <c r="B40" s="84">
        <f>PRODUCT(C40:D40)</f>
        <v>600</v>
      </c>
      <c r="C40" s="84">
        <f>5*20</f>
        <v>100</v>
      </c>
      <c r="D40" s="98">
        <v>6.0</v>
      </c>
      <c r="E40" s="73"/>
      <c r="F40" s="73"/>
      <c r="G40" s="4"/>
      <c r="H40" s="4"/>
      <c r="I40" s="4"/>
      <c r="J40" s="4"/>
      <c r="K40" s="4"/>
      <c r="L40" s="4"/>
      <c r="M40" s="4"/>
    </row>
    <row r="41" ht="15.75" customHeight="1">
      <c r="A41" s="83" t="s">
        <v>61</v>
      </c>
      <c r="B41" s="84"/>
      <c r="C41" s="73"/>
      <c r="D41" s="82"/>
      <c r="E41" s="73"/>
      <c r="F41" s="73"/>
      <c r="G41" s="4"/>
      <c r="H41" s="4"/>
      <c r="I41" s="4"/>
      <c r="J41" s="4"/>
      <c r="K41" s="4"/>
      <c r="L41" s="4"/>
      <c r="M41" s="4"/>
    </row>
    <row r="42" ht="15.75" customHeight="1">
      <c r="A42" s="83" t="s">
        <v>62</v>
      </c>
      <c r="B42" s="84"/>
      <c r="C42" s="73"/>
      <c r="D42" s="82"/>
      <c r="E42" s="73"/>
      <c r="F42" s="73"/>
      <c r="G42" s="4"/>
      <c r="H42" s="4"/>
      <c r="I42" s="4"/>
      <c r="J42" s="4"/>
      <c r="K42" s="4"/>
      <c r="L42" s="4"/>
      <c r="M42" s="4"/>
    </row>
    <row r="43" ht="15.75" customHeight="1">
      <c r="A43" s="83" t="s">
        <v>63</v>
      </c>
      <c r="B43" s="84">
        <f>PRODUCT(C43:D43)</f>
        <v>240</v>
      </c>
      <c r="C43" s="84">
        <v>40.0</v>
      </c>
      <c r="D43" s="82">
        <v>6.0</v>
      </c>
      <c r="E43" s="73"/>
      <c r="F43" s="73"/>
      <c r="G43" s="4"/>
      <c r="H43" s="4"/>
      <c r="I43" s="4"/>
      <c r="J43" s="4"/>
      <c r="K43" s="4"/>
      <c r="L43" s="4"/>
      <c r="M43" s="4"/>
    </row>
    <row r="44" ht="15.75" customHeight="1">
      <c r="A44" s="89" t="s">
        <v>64</v>
      </c>
      <c r="B44" s="95">
        <v>450.0</v>
      </c>
      <c r="C44" s="90"/>
      <c r="D44" s="101">
        <v>1.0</v>
      </c>
      <c r="E44" s="73"/>
      <c r="F44" s="73"/>
      <c r="G44" s="4"/>
      <c r="H44" s="4"/>
      <c r="I44" s="4"/>
      <c r="J44" s="4"/>
      <c r="K44" s="4"/>
      <c r="L44" s="4"/>
      <c r="M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>
      <c r="A47" s="41" t="s">
        <v>65</v>
      </c>
      <c r="B47" s="25"/>
      <c r="C47" s="25"/>
      <c r="D47" s="25"/>
      <c r="E47" s="25"/>
      <c r="F47" s="25"/>
      <c r="G47" s="4"/>
      <c r="H47" s="4"/>
      <c r="I47" s="4"/>
      <c r="J47" s="4"/>
      <c r="K47" s="4"/>
      <c r="L47" s="4"/>
      <c r="M47" s="4"/>
    </row>
    <row r="48" ht="15.75" customHeight="1">
      <c r="A48" s="4"/>
      <c r="B48" s="4"/>
      <c r="C48" s="102">
        <v>2027.0</v>
      </c>
      <c r="D48" s="102">
        <v>2028.0</v>
      </c>
      <c r="E48" s="102">
        <v>2029.0</v>
      </c>
      <c r="F48" s="102">
        <v>2030.0</v>
      </c>
      <c r="G48" s="4"/>
      <c r="H48" s="4"/>
      <c r="I48" s="4"/>
      <c r="J48" s="4"/>
      <c r="K48" s="4"/>
      <c r="L48" s="4"/>
      <c r="M48" s="4"/>
    </row>
    <row r="49" ht="15.75" customHeight="1">
      <c r="A49" s="103" t="s">
        <v>66</v>
      </c>
      <c r="B49" s="4"/>
      <c r="C49" s="104">
        <v>20.0</v>
      </c>
      <c r="D49" s="104">
        <v>40.0</v>
      </c>
      <c r="E49" s="104">
        <v>58.0</v>
      </c>
      <c r="F49" s="104">
        <v>74.0</v>
      </c>
      <c r="G49" s="4"/>
      <c r="H49" s="4"/>
      <c r="I49" s="4"/>
      <c r="J49" s="4"/>
      <c r="K49" s="4"/>
      <c r="L49" s="4"/>
      <c r="M49" s="4"/>
    </row>
    <row r="50" ht="15.75" customHeight="1">
      <c r="A50" s="103" t="s">
        <v>67</v>
      </c>
      <c r="B50" s="4"/>
      <c r="C50" s="104">
        <v>0.9</v>
      </c>
      <c r="D50" s="104">
        <v>0.77</v>
      </c>
      <c r="E50" s="104">
        <v>0.63</v>
      </c>
      <c r="F50" s="104">
        <v>0.5</v>
      </c>
      <c r="G50" s="4"/>
      <c r="H50" s="4"/>
      <c r="I50" s="4"/>
      <c r="J50" s="4"/>
      <c r="K50" s="4"/>
      <c r="L50" s="4"/>
      <c r="M50" s="4"/>
    </row>
    <row r="51" ht="15.75" customHeight="1">
      <c r="A51" s="103" t="s">
        <v>68</v>
      </c>
      <c r="B51" s="4"/>
      <c r="C51" s="104">
        <v>1.2E7</v>
      </c>
      <c r="D51" s="104">
        <v>2.5E7</v>
      </c>
      <c r="E51" s="104">
        <v>4.2E7</v>
      </c>
      <c r="F51" s="104">
        <v>6.0E7</v>
      </c>
      <c r="G51" s="4"/>
      <c r="H51" s="4"/>
      <c r="I51" s="4"/>
      <c r="J51" s="4"/>
      <c r="K51" s="4"/>
      <c r="L51" s="4"/>
      <c r="M51" s="4"/>
    </row>
    <row r="52" ht="15.75" customHeight="1">
      <c r="A52" s="103" t="s">
        <v>69</v>
      </c>
      <c r="B52" s="4"/>
      <c r="C52" s="104">
        <v>0.15</v>
      </c>
      <c r="D52" s="104">
        <v>0.18</v>
      </c>
      <c r="E52" s="104">
        <v>0.22</v>
      </c>
      <c r="F52" s="104">
        <v>0.25</v>
      </c>
      <c r="G52" s="4"/>
      <c r="H52" s="4"/>
      <c r="I52" s="4"/>
      <c r="J52" s="4"/>
      <c r="K52" s="4"/>
      <c r="L52" s="4"/>
      <c r="M52" s="4"/>
    </row>
    <row r="53" ht="15.75" customHeight="1">
      <c r="A53" s="103" t="s">
        <v>70</v>
      </c>
      <c r="B53" s="4"/>
      <c r="C53" s="104">
        <v>0.5</v>
      </c>
      <c r="D53" s="104">
        <v>0.56</v>
      </c>
      <c r="E53" s="104">
        <v>0.63</v>
      </c>
      <c r="F53" s="104">
        <v>0.7</v>
      </c>
      <c r="G53" s="4"/>
      <c r="H53" s="4"/>
      <c r="I53" s="4"/>
      <c r="J53" s="4"/>
      <c r="K53" s="4"/>
      <c r="L53" s="4"/>
      <c r="M53" s="4"/>
    </row>
    <row r="54" ht="15.75" customHeight="1">
      <c r="A54" s="103" t="s">
        <v>71</v>
      </c>
      <c r="B54" s="4"/>
      <c r="C54" s="104">
        <v>0.25</v>
      </c>
      <c r="D54" s="104">
        <v>0.25</v>
      </c>
      <c r="E54" s="104">
        <v>0.25</v>
      </c>
      <c r="F54" s="104">
        <v>0.25</v>
      </c>
      <c r="G54" s="4"/>
      <c r="H54" s="4"/>
      <c r="I54" s="4"/>
      <c r="J54" s="4"/>
      <c r="K54" s="4"/>
      <c r="L54" s="4"/>
      <c r="M54" s="4"/>
    </row>
    <row r="55" ht="15.75" customHeight="1">
      <c r="A55" s="103" t="s">
        <v>72</v>
      </c>
      <c r="B55" s="4"/>
      <c r="C55" s="104">
        <v>0.375</v>
      </c>
      <c r="D55" s="104">
        <v>0.375</v>
      </c>
      <c r="E55" s="104">
        <v>0.375</v>
      </c>
      <c r="F55" s="104">
        <v>0.375</v>
      </c>
      <c r="G55" s="4"/>
      <c r="H55" s="4"/>
      <c r="I55" s="4"/>
      <c r="J55" s="4"/>
      <c r="K55" s="4"/>
      <c r="L55" s="4"/>
      <c r="M55" s="4"/>
    </row>
    <row r="56" ht="15.75" customHeight="1">
      <c r="A56" s="103" t="s">
        <v>73</v>
      </c>
      <c r="B56" s="4"/>
      <c r="C56" s="104">
        <v>0.25</v>
      </c>
      <c r="D56" s="104">
        <v>0.25</v>
      </c>
      <c r="E56" s="104">
        <v>0.25</v>
      </c>
      <c r="F56" s="104">
        <v>0.25</v>
      </c>
      <c r="G56" s="4"/>
      <c r="H56" s="4"/>
      <c r="I56" s="4"/>
      <c r="J56" s="4"/>
      <c r="K56" s="4"/>
      <c r="L56" s="4"/>
      <c r="M56" s="4"/>
    </row>
    <row r="57" ht="15.75" customHeight="1">
      <c r="A57" s="103" t="s">
        <v>74</v>
      </c>
      <c r="B57" s="4"/>
      <c r="C57" s="104">
        <v>0.4</v>
      </c>
      <c r="D57" s="104">
        <v>0.4</v>
      </c>
      <c r="E57" s="104">
        <v>0.4</v>
      </c>
      <c r="F57" s="104">
        <v>0.4</v>
      </c>
      <c r="G57" s="4"/>
      <c r="H57" s="4"/>
      <c r="I57" s="4"/>
      <c r="J57" s="4"/>
      <c r="K57" s="4"/>
      <c r="L57" s="4"/>
      <c r="M57" s="4"/>
    </row>
    <row r="58" ht="15.75" customHeight="1">
      <c r="A58" s="103" t="s">
        <v>75</v>
      </c>
      <c r="B58" s="4"/>
      <c r="C58" s="17">
        <f t="shared" ref="C58:F58" si="5">$C$16+2000*(C$48-2026)</f>
        <v>12000</v>
      </c>
      <c r="D58" s="17">
        <f t="shared" si="5"/>
        <v>14000</v>
      </c>
      <c r="E58" s="17">
        <f t="shared" si="5"/>
        <v>16000</v>
      </c>
      <c r="F58" s="17">
        <f t="shared" si="5"/>
        <v>18000</v>
      </c>
      <c r="G58" s="4"/>
      <c r="H58" s="4"/>
      <c r="I58" s="4"/>
      <c r="J58" s="4"/>
      <c r="K58" s="4"/>
      <c r="L58" s="4"/>
      <c r="M58" s="4"/>
    </row>
    <row r="59" ht="15.75" customHeight="1">
      <c r="A59" s="103" t="s">
        <v>76</v>
      </c>
      <c r="B59" s="4"/>
      <c r="C59" s="17">
        <f t="shared" ref="C59:F59" si="6">$C$17+2000*(C$48-2026)</f>
        <v>8500</v>
      </c>
      <c r="D59" s="17">
        <f t="shared" si="6"/>
        <v>10500</v>
      </c>
      <c r="E59" s="17">
        <f t="shared" si="6"/>
        <v>12500</v>
      </c>
      <c r="F59" s="17">
        <f t="shared" si="6"/>
        <v>14500</v>
      </c>
      <c r="G59" s="4"/>
      <c r="H59" s="4"/>
      <c r="I59" s="4"/>
      <c r="J59" s="4"/>
      <c r="K59" s="4"/>
      <c r="L59" s="4"/>
      <c r="M59" s="4"/>
    </row>
    <row r="60" ht="15.75" customHeight="1">
      <c r="A60" s="103" t="s">
        <v>77</v>
      </c>
      <c r="B60" s="4"/>
      <c r="C60" s="104">
        <v>90000.0</v>
      </c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103" t="s">
        <v>78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103" t="s">
        <v>79</v>
      </c>
      <c r="B63" s="4"/>
      <c r="C63" s="104">
        <v>600.0</v>
      </c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15.75" customHeight="1">
      <c r="A64" s="103" t="s">
        <v>80</v>
      </c>
      <c r="B64" s="4"/>
      <c r="C64" s="104">
        <v>120.0</v>
      </c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103" t="s">
        <v>81</v>
      </c>
      <c r="B65" s="4"/>
      <c r="C65" s="4">
        <f>19000/12</f>
        <v>1583.333333</v>
      </c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103" t="s">
        <v>82</v>
      </c>
      <c r="B66" s="4"/>
      <c r="C66" s="104">
        <v>40.0</v>
      </c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103" t="s">
        <v>83</v>
      </c>
      <c r="B67" s="4"/>
      <c r="C67" s="104">
        <v>100.0</v>
      </c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103" t="s">
        <v>84</v>
      </c>
      <c r="B68" s="4"/>
      <c r="C68" s="104">
        <v>2000.0</v>
      </c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103" t="s">
        <v>85</v>
      </c>
      <c r="B69" s="4"/>
      <c r="C69" s="104">
        <v>500.0</v>
      </c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103" t="s">
        <v>86</v>
      </c>
      <c r="B70" s="4"/>
      <c r="C70" s="104">
        <v>1307.0</v>
      </c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103" t="s">
        <v>87</v>
      </c>
      <c r="B71" s="4"/>
      <c r="C71" s="104">
        <v>140.0</v>
      </c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0" outlineLevelRow="1"/>
  <cols>
    <col customWidth="1" min="1" max="1" width="12.63"/>
    <col customWidth="1" min="2" max="2" width="24.75"/>
    <col customWidth="1" min="3" max="3" width="12.63"/>
    <col customWidth="1" min="4" max="4" width="38.75"/>
    <col customWidth="1" min="5" max="6" width="12.63"/>
  </cols>
  <sheetData>
    <row r="1" ht="15.75" customHeight="1">
      <c r="A1" s="1"/>
      <c r="B1" s="26"/>
      <c r="C1" s="3"/>
      <c r="D1" s="3"/>
      <c r="E1" s="105"/>
      <c r="F1" s="10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4"/>
      <c r="BH1" s="4"/>
    </row>
    <row r="2" ht="15.75" customHeight="1">
      <c r="A2" s="3"/>
      <c r="B2" s="2" t="s">
        <v>88</v>
      </c>
      <c r="C2" s="57"/>
      <c r="D2" s="3"/>
      <c r="E2" s="106"/>
      <c r="F2" s="10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9"/>
      <c r="BH2" s="9"/>
    </row>
    <row r="3" ht="15.75" customHeight="1">
      <c r="A3" s="3"/>
      <c r="B3" s="26"/>
      <c r="C3" s="107"/>
      <c r="D3" s="108"/>
      <c r="E3" s="109" t="s">
        <v>89</v>
      </c>
      <c r="F3" s="110">
        <v>46388.0</v>
      </c>
      <c r="G3" s="111">
        <v>46419.0</v>
      </c>
      <c r="H3" s="111">
        <v>46447.0</v>
      </c>
      <c r="I3" s="111">
        <v>46478.0</v>
      </c>
      <c r="J3" s="111">
        <v>46508.0</v>
      </c>
      <c r="K3" s="111">
        <v>46539.0</v>
      </c>
      <c r="L3" s="111">
        <v>46569.0</v>
      </c>
      <c r="M3" s="111">
        <v>46600.0</v>
      </c>
      <c r="N3" s="111">
        <v>46631.0</v>
      </c>
      <c r="O3" s="111">
        <v>46661.0</v>
      </c>
      <c r="P3" s="111">
        <v>46692.0</v>
      </c>
      <c r="Q3" s="112">
        <v>46722.0</v>
      </c>
      <c r="R3" s="112">
        <v>46753.0</v>
      </c>
      <c r="S3" s="112">
        <v>46784.0</v>
      </c>
      <c r="T3" s="112">
        <v>46813.0</v>
      </c>
      <c r="U3" s="112">
        <v>46844.0</v>
      </c>
      <c r="V3" s="112">
        <v>46874.0</v>
      </c>
      <c r="W3" s="112">
        <v>46905.0</v>
      </c>
      <c r="X3" s="112">
        <v>46935.0</v>
      </c>
      <c r="Y3" s="112">
        <v>46966.0</v>
      </c>
      <c r="Z3" s="112">
        <v>46997.0</v>
      </c>
      <c r="AA3" s="112">
        <v>47027.0</v>
      </c>
      <c r="AB3" s="112">
        <v>47058.0</v>
      </c>
      <c r="AC3" s="112">
        <v>47088.0</v>
      </c>
      <c r="AD3" s="112">
        <v>47119.0</v>
      </c>
      <c r="AE3" s="112">
        <v>47150.0</v>
      </c>
      <c r="AF3" s="112">
        <v>47178.0</v>
      </c>
      <c r="AG3" s="112">
        <v>47209.0</v>
      </c>
      <c r="AH3" s="112">
        <v>47239.0</v>
      </c>
      <c r="AI3" s="112">
        <v>47270.0</v>
      </c>
      <c r="AJ3" s="112">
        <v>47300.0</v>
      </c>
      <c r="AK3" s="112">
        <v>47331.0</v>
      </c>
      <c r="AL3" s="112">
        <v>47362.0</v>
      </c>
      <c r="AM3" s="112">
        <v>47392.0</v>
      </c>
      <c r="AN3" s="112">
        <v>47423.0</v>
      </c>
      <c r="AO3" s="112">
        <v>47453.0</v>
      </c>
      <c r="AP3" s="112">
        <v>47484.0</v>
      </c>
      <c r="AQ3" s="112">
        <v>47515.0</v>
      </c>
      <c r="AR3" s="112">
        <v>47543.0</v>
      </c>
      <c r="AS3" s="112">
        <v>47574.0</v>
      </c>
      <c r="AT3" s="112">
        <v>47604.0</v>
      </c>
      <c r="AU3" s="112">
        <v>47635.0</v>
      </c>
      <c r="AV3" s="112">
        <v>47665.0</v>
      </c>
      <c r="AW3" s="112">
        <v>47696.0</v>
      </c>
      <c r="AX3" s="112">
        <v>47727.0</v>
      </c>
      <c r="AY3" s="112">
        <v>47757.0</v>
      </c>
      <c r="AZ3" s="112">
        <v>47788.0</v>
      </c>
      <c r="BA3" s="112">
        <v>47818.0</v>
      </c>
      <c r="BB3" s="14"/>
      <c r="BC3" s="16">
        <v>2027.0</v>
      </c>
      <c r="BD3" s="16">
        <v>2028.0</v>
      </c>
      <c r="BE3" s="16">
        <v>2029.0</v>
      </c>
      <c r="BF3" s="16">
        <v>2030.0</v>
      </c>
      <c r="BG3" s="17"/>
      <c r="BH3" s="17"/>
    </row>
    <row r="4" ht="15.75" customHeight="1" collapsed="1">
      <c r="A4" s="113"/>
      <c r="B4" s="114"/>
      <c r="C4" s="114"/>
      <c r="D4" s="114"/>
      <c r="E4" s="115"/>
      <c r="F4" s="115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7"/>
      <c r="BH4" s="17"/>
    </row>
    <row r="5" ht="15.75" hidden="1" customHeight="1" outlineLevel="1">
      <c r="A5" s="3"/>
      <c r="B5" s="26"/>
      <c r="C5" s="107"/>
      <c r="D5" s="116"/>
      <c r="E5" s="117"/>
      <c r="F5" s="117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7"/>
      <c r="BH5" s="17"/>
    </row>
    <row r="6" ht="15.75" hidden="1" customHeight="1" outlineLevel="1">
      <c r="A6" s="3"/>
      <c r="B6" s="41" t="s">
        <v>90</v>
      </c>
      <c r="C6" s="118"/>
      <c r="D6" s="119"/>
      <c r="E6" s="120"/>
      <c r="F6" s="120"/>
      <c r="G6" s="42"/>
      <c r="H6" s="120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17"/>
      <c r="BH6" s="17"/>
    </row>
    <row r="7" ht="15.75" customHeight="1">
      <c r="A7" s="3"/>
      <c r="B7" s="26" t="s">
        <v>91</v>
      </c>
      <c r="C7" s="107"/>
      <c r="D7" s="107"/>
      <c r="E7" s="54" t="s">
        <v>92</v>
      </c>
      <c r="F7" s="121">
        <f t="array" ref="F7">INDEX(Parameters!$C$49:$F$49,MATCH(YEAR(F$3),Parameters!$C$48:$F$48,0))*INDEX(Parameters!$C$50:$F$50,MATCH(YEAR(F$3),Parameters!$C$48:$F$48,0))/12</f>
        <v>1.5</v>
      </c>
      <c r="G7" s="122">
        <f t="array" ref="G7">INDEX(Parameters!$C$49:$F$49,MATCH(YEAR(G$3),Parameters!$C$48:$F$48,0))*INDEX(Parameters!$C$50:$F$50,MATCH(YEAR(G$3),Parameters!$C$48:$F$48,0))/12</f>
        <v>1.5</v>
      </c>
      <c r="H7" s="123">
        <f t="array" ref="H7">INDEX(Parameters!$C$49:$F$49,MATCH(YEAR(H$3),Parameters!$C$48:$F$48,0))*INDEX(Parameters!$C$50:$F$50,MATCH(YEAR(H$3),Parameters!$C$48:$F$48,0))/12</f>
        <v>1.5</v>
      </c>
      <c r="I7" s="122">
        <f t="array" ref="I7">INDEX(Parameters!$C$49:$F$49,MATCH(YEAR(I$3),Parameters!$C$48:$F$48,0))*INDEX(Parameters!$C$50:$F$50,MATCH(YEAR(I$3),Parameters!$C$48:$F$48,0))/12</f>
        <v>1.5</v>
      </c>
      <c r="J7" s="122">
        <f t="array" ref="J7">INDEX(Parameters!$C$49:$F$49,MATCH(YEAR(J$3),Parameters!$C$48:$F$48,0))*INDEX(Parameters!$C$50:$F$50,MATCH(YEAR(J$3),Parameters!$C$48:$F$48,0))/12</f>
        <v>1.5</v>
      </c>
      <c r="K7" s="122">
        <f t="array" ref="K7">INDEX(Parameters!$C$49:$F$49,MATCH(YEAR(K$3),Parameters!$C$48:$F$48,0))*INDEX(Parameters!$C$50:$F$50,MATCH(YEAR(K$3),Parameters!$C$48:$F$48,0))/12</f>
        <v>1.5</v>
      </c>
      <c r="L7" s="122">
        <f t="array" ref="L7">INDEX(Parameters!$C$49:$F$49,MATCH(YEAR(L$3),Parameters!$C$48:$F$48,0))*INDEX(Parameters!$C$50:$F$50,MATCH(YEAR(L$3),Parameters!$C$48:$F$48,0))/12</f>
        <v>1.5</v>
      </c>
      <c r="M7" s="122">
        <f t="array" ref="M7">INDEX(Parameters!$C$49:$F$49,MATCH(YEAR(M$3),Parameters!$C$48:$F$48,0))*INDEX(Parameters!$C$50:$F$50,MATCH(YEAR(M$3),Parameters!$C$48:$F$48,0))/12</f>
        <v>1.5</v>
      </c>
      <c r="N7" s="122">
        <f t="array" ref="N7">INDEX(Parameters!$C$49:$F$49,MATCH(YEAR(N$3),Parameters!$C$48:$F$48,0))*INDEX(Parameters!$C$50:$F$50,MATCH(YEAR(N$3),Parameters!$C$48:$F$48,0))/12</f>
        <v>1.5</v>
      </c>
      <c r="O7" s="122">
        <f t="array" ref="O7">INDEX(Parameters!$C$49:$F$49,MATCH(YEAR(O$3),Parameters!$C$48:$F$48,0))*INDEX(Parameters!$C$50:$F$50,MATCH(YEAR(O$3),Parameters!$C$48:$F$48,0))/12</f>
        <v>1.5</v>
      </c>
      <c r="P7" s="122">
        <f t="array" ref="P7">INDEX(Parameters!$C$49:$F$49,MATCH(YEAR(P$3),Parameters!$C$48:$F$48,0))*INDEX(Parameters!$C$50:$F$50,MATCH(YEAR(P$3),Parameters!$C$48:$F$48,0))/12</f>
        <v>1.5</v>
      </c>
      <c r="Q7" s="122">
        <f t="array" ref="Q7">INDEX(Parameters!$C$49:$F$49,MATCH(YEAR(Q$3),Parameters!$C$48:$F$48,0))*INDEX(Parameters!$C$50:$F$50,MATCH(YEAR(Q$3),Parameters!$C$48:$F$48,0))/12</f>
        <v>1.5</v>
      </c>
      <c r="R7" s="122">
        <f t="array" ref="R7">INDEX(Parameters!$C$49:$F$49,MATCH(YEAR(R$3),Parameters!$C$48:$F$48,0))*INDEX(Parameters!$C$50:$F$50,MATCH(YEAR(R$3),Parameters!$C$48:$F$48,0))/12</f>
        <v>2.566666667</v>
      </c>
      <c r="S7" s="122">
        <f t="array" ref="S7">INDEX(Parameters!$C$49:$F$49,MATCH(YEAR(S$3),Parameters!$C$48:$F$48,0))*INDEX(Parameters!$C$50:$F$50,MATCH(YEAR(S$3),Parameters!$C$48:$F$48,0))/12</f>
        <v>2.566666667</v>
      </c>
      <c r="T7" s="122">
        <f t="array" ref="T7">INDEX(Parameters!$C$49:$F$49,MATCH(YEAR(T$3),Parameters!$C$48:$F$48,0))*INDEX(Parameters!$C$50:$F$50,MATCH(YEAR(T$3),Parameters!$C$48:$F$48,0))/12</f>
        <v>2.566666667</v>
      </c>
      <c r="U7" s="122">
        <f t="array" ref="U7">INDEX(Parameters!$C$49:$F$49,MATCH(YEAR(U$3),Parameters!$C$48:$F$48,0))*INDEX(Parameters!$C$50:$F$50,MATCH(YEAR(U$3),Parameters!$C$48:$F$48,0))/12</f>
        <v>2.566666667</v>
      </c>
      <c r="V7" s="122">
        <f t="array" ref="V7">INDEX(Parameters!$C$49:$F$49,MATCH(YEAR(V$3),Parameters!$C$48:$F$48,0))*INDEX(Parameters!$C$50:$F$50,MATCH(YEAR(V$3),Parameters!$C$48:$F$48,0))/12</f>
        <v>2.566666667</v>
      </c>
      <c r="W7" s="122">
        <f t="array" ref="W7">INDEX(Parameters!$C$49:$F$49,MATCH(YEAR(W$3),Parameters!$C$48:$F$48,0))*INDEX(Parameters!$C$50:$F$50,MATCH(YEAR(W$3),Parameters!$C$48:$F$48,0))/12</f>
        <v>2.566666667</v>
      </c>
      <c r="X7" s="122">
        <f t="array" ref="X7">INDEX(Parameters!$C$49:$F$49,MATCH(YEAR(X$3),Parameters!$C$48:$F$48,0))*INDEX(Parameters!$C$50:$F$50,MATCH(YEAR(X$3),Parameters!$C$48:$F$48,0))/12</f>
        <v>2.566666667</v>
      </c>
      <c r="Y7" s="122">
        <f t="array" ref="Y7">INDEX(Parameters!$C$49:$F$49,MATCH(YEAR(Y$3),Parameters!$C$48:$F$48,0))*INDEX(Parameters!$C$50:$F$50,MATCH(YEAR(Y$3),Parameters!$C$48:$F$48,0))/12</f>
        <v>2.566666667</v>
      </c>
      <c r="Z7" s="122">
        <f t="array" ref="Z7">INDEX(Parameters!$C$49:$F$49,MATCH(YEAR(Z$3),Parameters!$C$48:$F$48,0))*INDEX(Parameters!$C$50:$F$50,MATCH(YEAR(Z$3),Parameters!$C$48:$F$48,0))/12</f>
        <v>2.566666667</v>
      </c>
      <c r="AA7" s="122">
        <f t="array" ref="AA7">INDEX(Parameters!$C$49:$F$49,MATCH(YEAR(AA$3),Parameters!$C$48:$F$48,0))*INDEX(Parameters!$C$50:$F$50,MATCH(YEAR(AA$3),Parameters!$C$48:$F$48,0))/12</f>
        <v>2.566666667</v>
      </c>
      <c r="AB7" s="122">
        <f t="array" ref="AB7">INDEX(Parameters!$C$49:$F$49,MATCH(YEAR(AB$3),Parameters!$C$48:$F$48,0))*INDEX(Parameters!$C$50:$F$50,MATCH(YEAR(AB$3),Parameters!$C$48:$F$48,0))/12</f>
        <v>2.566666667</v>
      </c>
      <c r="AC7" s="122">
        <f t="array" ref="AC7">INDEX(Parameters!$C$49:$F$49,MATCH(YEAR(AC$3),Parameters!$C$48:$F$48,0))*INDEX(Parameters!$C$50:$F$50,MATCH(YEAR(AC$3),Parameters!$C$48:$F$48,0))/12</f>
        <v>2.566666667</v>
      </c>
      <c r="AD7" s="122">
        <f t="array" ref="AD7">INDEX(Parameters!$C$49:$F$49,MATCH(YEAR(AD$3),Parameters!$C$48:$F$48,0))*INDEX(Parameters!$C$50:$F$50,MATCH(YEAR(AD$3),Parameters!$C$48:$F$48,0))/12</f>
        <v>3.045</v>
      </c>
      <c r="AE7" s="122">
        <f t="array" ref="AE7">INDEX(Parameters!$C$49:$F$49,MATCH(YEAR(AE$3),Parameters!$C$48:$F$48,0))*INDEX(Parameters!$C$50:$F$50,MATCH(YEAR(AE$3),Parameters!$C$48:$F$48,0))/12</f>
        <v>3.045</v>
      </c>
      <c r="AF7" s="122">
        <f t="array" ref="AF7">INDEX(Parameters!$C$49:$F$49,MATCH(YEAR(AF$3),Parameters!$C$48:$F$48,0))*INDEX(Parameters!$C$50:$F$50,MATCH(YEAR(AF$3),Parameters!$C$48:$F$48,0))/12</f>
        <v>3.045</v>
      </c>
      <c r="AG7" s="122">
        <f t="array" ref="AG7">INDEX(Parameters!$C$49:$F$49,MATCH(YEAR(AG$3),Parameters!$C$48:$F$48,0))*INDEX(Parameters!$C$50:$F$50,MATCH(YEAR(AG$3),Parameters!$C$48:$F$48,0))/12</f>
        <v>3.045</v>
      </c>
      <c r="AH7" s="122">
        <f t="array" ref="AH7">INDEX(Parameters!$C$49:$F$49,MATCH(YEAR(AH$3),Parameters!$C$48:$F$48,0))*INDEX(Parameters!$C$50:$F$50,MATCH(YEAR(AH$3),Parameters!$C$48:$F$48,0))/12</f>
        <v>3.045</v>
      </c>
      <c r="AI7" s="122">
        <f t="array" ref="AI7">INDEX(Parameters!$C$49:$F$49,MATCH(YEAR(AI$3),Parameters!$C$48:$F$48,0))*INDEX(Parameters!$C$50:$F$50,MATCH(YEAR(AI$3),Parameters!$C$48:$F$48,0))/12</f>
        <v>3.045</v>
      </c>
      <c r="AJ7" s="122">
        <f t="array" ref="AJ7">INDEX(Parameters!$C$49:$F$49,MATCH(YEAR(AJ$3),Parameters!$C$48:$F$48,0))*INDEX(Parameters!$C$50:$F$50,MATCH(YEAR(AJ$3),Parameters!$C$48:$F$48,0))/12</f>
        <v>3.045</v>
      </c>
      <c r="AK7" s="122">
        <f t="array" ref="AK7">INDEX(Parameters!$C$49:$F$49,MATCH(YEAR(AK$3),Parameters!$C$48:$F$48,0))*INDEX(Parameters!$C$50:$F$50,MATCH(YEAR(AK$3),Parameters!$C$48:$F$48,0))/12</f>
        <v>3.045</v>
      </c>
      <c r="AL7" s="122">
        <f t="array" ref="AL7">INDEX(Parameters!$C$49:$F$49,MATCH(YEAR(AL$3),Parameters!$C$48:$F$48,0))*INDEX(Parameters!$C$50:$F$50,MATCH(YEAR(AL$3),Parameters!$C$48:$F$48,0))/12</f>
        <v>3.045</v>
      </c>
      <c r="AM7" s="122">
        <f t="array" ref="AM7">INDEX(Parameters!$C$49:$F$49,MATCH(YEAR(AM$3),Parameters!$C$48:$F$48,0))*INDEX(Parameters!$C$50:$F$50,MATCH(YEAR(AM$3),Parameters!$C$48:$F$48,0))/12</f>
        <v>3.045</v>
      </c>
      <c r="AN7" s="122">
        <f t="array" ref="AN7">INDEX(Parameters!$C$49:$F$49,MATCH(YEAR(AN$3),Parameters!$C$48:$F$48,0))*INDEX(Parameters!$C$50:$F$50,MATCH(YEAR(AN$3),Parameters!$C$48:$F$48,0))/12</f>
        <v>3.045</v>
      </c>
      <c r="AO7" s="122">
        <f t="array" ref="AO7">INDEX(Parameters!$C$49:$F$49,MATCH(YEAR(AO$3),Parameters!$C$48:$F$48,0))*INDEX(Parameters!$C$50:$F$50,MATCH(YEAR(AO$3),Parameters!$C$48:$F$48,0))/12</f>
        <v>3.045</v>
      </c>
      <c r="AP7" s="122">
        <f t="array" ref="AP7">INDEX(Parameters!$C$49:$F$49,MATCH(YEAR(AP$3),Parameters!$C$48:$F$48,0))*INDEX(Parameters!$C$50:$F$50,MATCH(YEAR(AP$3),Parameters!$C$48:$F$48,0))/12</f>
        <v>3.083333333</v>
      </c>
      <c r="AQ7" s="122">
        <f t="array" ref="AQ7">INDEX(Parameters!$C$49:$F$49,MATCH(YEAR(AQ$3),Parameters!$C$48:$F$48,0))*INDEX(Parameters!$C$50:$F$50,MATCH(YEAR(AQ$3),Parameters!$C$48:$F$48,0))/12</f>
        <v>3.083333333</v>
      </c>
      <c r="AR7" s="122">
        <f t="array" ref="AR7">INDEX(Parameters!$C$49:$F$49,MATCH(YEAR(AR$3),Parameters!$C$48:$F$48,0))*INDEX(Parameters!$C$50:$F$50,MATCH(YEAR(AR$3),Parameters!$C$48:$F$48,0))/12</f>
        <v>3.083333333</v>
      </c>
      <c r="AS7" s="122">
        <f t="array" ref="AS7">INDEX(Parameters!$C$49:$F$49,MATCH(YEAR(AS$3),Parameters!$C$48:$F$48,0))*INDEX(Parameters!$C$50:$F$50,MATCH(YEAR(AS$3),Parameters!$C$48:$F$48,0))/12</f>
        <v>3.083333333</v>
      </c>
      <c r="AT7" s="122">
        <f t="array" ref="AT7">INDEX(Parameters!$C$49:$F$49,MATCH(YEAR(AT$3),Parameters!$C$48:$F$48,0))*INDEX(Parameters!$C$50:$F$50,MATCH(YEAR(AT$3),Parameters!$C$48:$F$48,0))/12</f>
        <v>3.083333333</v>
      </c>
      <c r="AU7" s="122">
        <f t="array" ref="AU7">INDEX(Parameters!$C$49:$F$49,MATCH(YEAR(AU$3),Parameters!$C$48:$F$48,0))*INDEX(Parameters!$C$50:$F$50,MATCH(YEAR(AU$3),Parameters!$C$48:$F$48,0))/12</f>
        <v>3.083333333</v>
      </c>
      <c r="AV7" s="122">
        <f t="array" ref="AV7">INDEX(Parameters!$C$49:$F$49,MATCH(YEAR(AV$3),Parameters!$C$48:$F$48,0))*INDEX(Parameters!$C$50:$F$50,MATCH(YEAR(AV$3),Parameters!$C$48:$F$48,0))/12</f>
        <v>3.083333333</v>
      </c>
      <c r="AW7" s="122">
        <f t="array" ref="AW7">INDEX(Parameters!$C$49:$F$49,MATCH(YEAR(AW$3),Parameters!$C$48:$F$48,0))*INDEX(Parameters!$C$50:$F$50,MATCH(YEAR(AW$3),Parameters!$C$48:$F$48,0))/12</f>
        <v>3.083333333</v>
      </c>
      <c r="AX7" s="122">
        <f t="array" ref="AX7">INDEX(Parameters!$C$49:$F$49,MATCH(YEAR(AX$3),Parameters!$C$48:$F$48,0))*INDEX(Parameters!$C$50:$F$50,MATCH(YEAR(AX$3),Parameters!$C$48:$F$48,0))/12</f>
        <v>3.083333333</v>
      </c>
      <c r="AY7" s="122">
        <f t="array" ref="AY7">INDEX(Parameters!$C$49:$F$49,MATCH(YEAR(AY$3),Parameters!$C$48:$F$48,0))*INDEX(Parameters!$C$50:$F$50,MATCH(YEAR(AY$3),Parameters!$C$48:$F$48,0))/12</f>
        <v>3.083333333</v>
      </c>
      <c r="AZ7" s="122">
        <f t="array" ref="AZ7">INDEX(Parameters!$C$49:$F$49,MATCH(YEAR(AZ$3),Parameters!$C$48:$F$48,0))*INDEX(Parameters!$C$50:$F$50,MATCH(YEAR(AZ$3),Parameters!$C$48:$F$48,0))/12</f>
        <v>3.083333333</v>
      </c>
      <c r="BA7" s="122">
        <f t="array" ref="BA7">INDEX(Parameters!$C$49:$F$49,MATCH(YEAR(BA$3),Parameters!$C$48:$F$48,0))*INDEX(Parameters!$C$50:$F$50,MATCH(YEAR(BA$3),Parameters!$C$48:$F$48,0))/12</f>
        <v>3.083333333</v>
      </c>
      <c r="BB7" s="122"/>
      <c r="BC7" s="123">
        <f t="shared" ref="BC7:BF7" si="1">SUMPRODUCT((YEAR($F$3:$BA$3)=BC$3)*$F7:$BA7)</f>
        <v>18</v>
      </c>
      <c r="BD7" s="123">
        <f t="shared" si="1"/>
        <v>30.8</v>
      </c>
      <c r="BE7" s="123">
        <f t="shared" si="1"/>
        <v>36.54</v>
      </c>
      <c r="BF7" s="123">
        <f t="shared" si="1"/>
        <v>37</v>
      </c>
      <c r="BG7" s="17"/>
      <c r="BH7" s="17"/>
    </row>
    <row r="8" ht="15.75" customHeight="1">
      <c r="A8" s="3"/>
      <c r="B8" s="26" t="s">
        <v>93</v>
      </c>
      <c r="C8" s="107"/>
      <c r="D8" s="124"/>
      <c r="E8" s="54" t="s">
        <v>92</v>
      </c>
      <c r="F8" s="121">
        <f>SUM(F7)</f>
        <v>1.5</v>
      </c>
      <c r="G8" s="122">
        <f>SUM(F7:G7)</f>
        <v>3</v>
      </c>
      <c r="H8" s="122">
        <f>SUM(F7:H7)</f>
        <v>4.5</v>
      </c>
      <c r="I8" s="122">
        <f>SUM(F7:I7)</f>
        <v>6</v>
      </c>
      <c r="J8" s="122">
        <f t="shared" ref="J8:BA8" si="2">SUM(F7:J7)</f>
        <v>7.5</v>
      </c>
      <c r="K8" s="122">
        <f t="shared" si="2"/>
        <v>7.5</v>
      </c>
      <c r="L8" s="122">
        <f t="shared" si="2"/>
        <v>7.5</v>
      </c>
      <c r="M8" s="122">
        <f t="shared" si="2"/>
        <v>7.5</v>
      </c>
      <c r="N8" s="122">
        <f t="shared" si="2"/>
        <v>7.5</v>
      </c>
      <c r="O8" s="122">
        <f t="shared" si="2"/>
        <v>7.5</v>
      </c>
      <c r="P8" s="122">
        <f t="shared" si="2"/>
        <v>7.5</v>
      </c>
      <c r="Q8" s="122">
        <f t="shared" si="2"/>
        <v>7.5</v>
      </c>
      <c r="R8" s="122">
        <f t="shared" si="2"/>
        <v>8.566666667</v>
      </c>
      <c r="S8" s="122">
        <f t="shared" si="2"/>
        <v>9.633333333</v>
      </c>
      <c r="T8" s="122">
        <f t="shared" si="2"/>
        <v>10.7</v>
      </c>
      <c r="U8" s="122">
        <f t="shared" si="2"/>
        <v>11.76666667</v>
      </c>
      <c r="V8" s="122">
        <f t="shared" si="2"/>
        <v>12.83333333</v>
      </c>
      <c r="W8" s="122">
        <f t="shared" si="2"/>
        <v>12.83333333</v>
      </c>
      <c r="X8" s="122">
        <f t="shared" si="2"/>
        <v>12.83333333</v>
      </c>
      <c r="Y8" s="122">
        <f t="shared" si="2"/>
        <v>12.83333333</v>
      </c>
      <c r="Z8" s="122">
        <f t="shared" si="2"/>
        <v>12.83333333</v>
      </c>
      <c r="AA8" s="122">
        <f t="shared" si="2"/>
        <v>12.83333333</v>
      </c>
      <c r="AB8" s="122">
        <f t="shared" si="2"/>
        <v>12.83333333</v>
      </c>
      <c r="AC8" s="122">
        <f t="shared" si="2"/>
        <v>12.83333333</v>
      </c>
      <c r="AD8" s="122">
        <f t="shared" si="2"/>
        <v>13.31166667</v>
      </c>
      <c r="AE8" s="122">
        <f t="shared" si="2"/>
        <v>13.79</v>
      </c>
      <c r="AF8" s="122">
        <f t="shared" si="2"/>
        <v>14.26833333</v>
      </c>
      <c r="AG8" s="122">
        <f t="shared" si="2"/>
        <v>14.74666667</v>
      </c>
      <c r="AH8" s="122">
        <f t="shared" si="2"/>
        <v>15.225</v>
      </c>
      <c r="AI8" s="122">
        <f t="shared" si="2"/>
        <v>15.225</v>
      </c>
      <c r="AJ8" s="122">
        <f t="shared" si="2"/>
        <v>15.225</v>
      </c>
      <c r="AK8" s="122">
        <f t="shared" si="2"/>
        <v>15.225</v>
      </c>
      <c r="AL8" s="122">
        <f t="shared" si="2"/>
        <v>15.225</v>
      </c>
      <c r="AM8" s="122">
        <f t="shared" si="2"/>
        <v>15.225</v>
      </c>
      <c r="AN8" s="122">
        <f t="shared" si="2"/>
        <v>15.225</v>
      </c>
      <c r="AO8" s="122">
        <f t="shared" si="2"/>
        <v>15.225</v>
      </c>
      <c r="AP8" s="122">
        <f t="shared" si="2"/>
        <v>15.26333333</v>
      </c>
      <c r="AQ8" s="122">
        <f t="shared" si="2"/>
        <v>15.30166667</v>
      </c>
      <c r="AR8" s="122">
        <f t="shared" si="2"/>
        <v>15.34</v>
      </c>
      <c r="AS8" s="122">
        <f t="shared" si="2"/>
        <v>15.37833333</v>
      </c>
      <c r="AT8" s="122">
        <f t="shared" si="2"/>
        <v>15.41666667</v>
      </c>
      <c r="AU8" s="122">
        <f t="shared" si="2"/>
        <v>15.41666667</v>
      </c>
      <c r="AV8" s="122">
        <f t="shared" si="2"/>
        <v>15.41666667</v>
      </c>
      <c r="AW8" s="122">
        <f t="shared" si="2"/>
        <v>15.41666667</v>
      </c>
      <c r="AX8" s="122">
        <f t="shared" si="2"/>
        <v>15.41666667</v>
      </c>
      <c r="AY8" s="122">
        <f t="shared" si="2"/>
        <v>15.41666667</v>
      </c>
      <c r="AZ8" s="122">
        <f t="shared" si="2"/>
        <v>15.41666667</v>
      </c>
      <c r="BA8" s="122">
        <f t="shared" si="2"/>
        <v>15.41666667</v>
      </c>
      <c r="BB8" s="122"/>
      <c r="BC8" s="123">
        <f t="shared" ref="BC8:BF8" si="3">SUMPRODUCT((YEAR($F$3:$BA$3)=BC$3)*$F8:$BA8)/12</f>
        <v>6.25</v>
      </c>
      <c r="BD8" s="123">
        <f t="shared" si="3"/>
        <v>11.94444444</v>
      </c>
      <c r="BE8" s="123">
        <f t="shared" si="3"/>
        <v>14.82638889</v>
      </c>
      <c r="BF8" s="123">
        <f t="shared" si="3"/>
        <v>15.38472222</v>
      </c>
      <c r="BG8" s="17"/>
      <c r="BH8" s="17"/>
    </row>
    <row r="9" ht="15.75" customHeight="1">
      <c r="A9" s="3"/>
      <c r="B9" s="26" t="s">
        <v>94</v>
      </c>
      <c r="C9" s="3"/>
      <c r="D9" s="3"/>
      <c r="E9" s="117" t="s">
        <v>95</v>
      </c>
      <c r="F9" s="125">
        <f>F8*Parameters!$B$3</f>
        <v>10500</v>
      </c>
      <c r="G9" s="27">
        <f>G8*Parameters!$B$3</f>
        <v>21000</v>
      </c>
      <c r="H9" s="27">
        <f>H8*Parameters!$B$3</f>
        <v>31500</v>
      </c>
      <c r="I9" s="27">
        <f>I8*Parameters!$B$3</f>
        <v>42000</v>
      </c>
      <c r="J9" s="27">
        <f>J8*Parameters!$B$3</f>
        <v>52500</v>
      </c>
      <c r="K9" s="27">
        <f>K8*Parameters!$B$3</f>
        <v>52500</v>
      </c>
      <c r="L9" s="27">
        <f>L8*Parameters!$B$3</f>
        <v>52500</v>
      </c>
      <c r="M9" s="27">
        <f>M8*Parameters!$B$3</f>
        <v>52500</v>
      </c>
      <c r="N9" s="27">
        <f>N8*Parameters!$B$3</f>
        <v>52500</v>
      </c>
      <c r="O9" s="27">
        <f>O8*Parameters!$B$3</f>
        <v>52500</v>
      </c>
      <c r="P9" s="27">
        <f>P8*Parameters!$B$3</f>
        <v>52500</v>
      </c>
      <c r="Q9" s="27">
        <f>Q8*Parameters!$B$3</f>
        <v>52500</v>
      </c>
      <c r="R9" s="27">
        <f>R8*Parameters!$B$3</f>
        <v>59966.66667</v>
      </c>
      <c r="S9" s="27">
        <f>S8*Parameters!$B$3</f>
        <v>67433.33333</v>
      </c>
      <c r="T9" s="27">
        <f>T8*Parameters!$B$3</f>
        <v>74900</v>
      </c>
      <c r="U9" s="27">
        <f>U8*Parameters!$B$3</f>
        <v>82366.66667</v>
      </c>
      <c r="V9" s="27">
        <f>V8*Parameters!$B$3</f>
        <v>89833.33333</v>
      </c>
      <c r="W9" s="27">
        <f>W8*Parameters!$B$3</f>
        <v>89833.33333</v>
      </c>
      <c r="X9" s="27">
        <f>X8*Parameters!$B$3</f>
        <v>89833.33333</v>
      </c>
      <c r="Y9" s="27">
        <f>Y8*Parameters!$B$3</f>
        <v>89833.33333</v>
      </c>
      <c r="Z9" s="27">
        <f>Z8*Parameters!$B$3</f>
        <v>89833.33333</v>
      </c>
      <c r="AA9" s="27">
        <f>AA8*Parameters!$B$3</f>
        <v>89833.33333</v>
      </c>
      <c r="AB9" s="27">
        <f>AB8*Parameters!$B$3</f>
        <v>89833.33333</v>
      </c>
      <c r="AC9" s="27">
        <f>AC8*Parameters!$B$3</f>
        <v>89833.33333</v>
      </c>
      <c r="AD9" s="27">
        <f>AD8*Parameters!$B$3</f>
        <v>93181.66667</v>
      </c>
      <c r="AE9" s="27">
        <f>AE8*Parameters!$B$3</f>
        <v>96530</v>
      </c>
      <c r="AF9" s="27">
        <f>AF8*Parameters!$B$3</f>
        <v>99878.33333</v>
      </c>
      <c r="AG9" s="27">
        <f>AG8*Parameters!$B$3</f>
        <v>103226.6667</v>
      </c>
      <c r="AH9" s="27">
        <f>AH8*Parameters!$B$3</f>
        <v>106575</v>
      </c>
      <c r="AI9" s="27">
        <f>AI8*Parameters!$B$3</f>
        <v>106575</v>
      </c>
      <c r="AJ9" s="27">
        <f>AJ8*Parameters!$B$3</f>
        <v>106575</v>
      </c>
      <c r="AK9" s="27">
        <f>AK8*Parameters!$B$3</f>
        <v>106575</v>
      </c>
      <c r="AL9" s="27">
        <f>AL8*Parameters!$B$3</f>
        <v>106575</v>
      </c>
      <c r="AM9" s="27">
        <f>AM8*Parameters!$B$3</f>
        <v>106575</v>
      </c>
      <c r="AN9" s="27">
        <f>AN8*Parameters!$B$3</f>
        <v>106575</v>
      </c>
      <c r="AO9" s="27">
        <f>AO8*Parameters!$B$3</f>
        <v>106575</v>
      </c>
      <c r="AP9" s="27">
        <f>AP8*Parameters!$B$3</f>
        <v>106843.3333</v>
      </c>
      <c r="AQ9" s="27">
        <f>AQ8*Parameters!$B$3</f>
        <v>107111.6667</v>
      </c>
      <c r="AR9" s="27">
        <f>AR8*Parameters!$B$3</f>
        <v>107380</v>
      </c>
      <c r="AS9" s="27">
        <f>AS8*Parameters!$B$3</f>
        <v>107648.3333</v>
      </c>
      <c r="AT9" s="27">
        <f>AT8*Parameters!$B$3</f>
        <v>107916.6667</v>
      </c>
      <c r="AU9" s="27">
        <f>AU8*Parameters!$B$3</f>
        <v>107916.6667</v>
      </c>
      <c r="AV9" s="27">
        <f>AV8*Parameters!$B$3</f>
        <v>107916.6667</v>
      </c>
      <c r="AW9" s="27">
        <f>AW8*Parameters!$B$3</f>
        <v>107916.6667</v>
      </c>
      <c r="AX9" s="27">
        <f>AX8*Parameters!$B$3</f>
        <v>107916.6667</v>
      </c>
      <c r="AY9" s="27">
        <f>AY8*Parameters!$B$3</f>
        <v>107916.6667</v>
      </c>
      <c r="AZ9" s="27">
        <f>AZ8*Parameters!$B$3</f>
        <v>107916.6667</v>
      </c>
      <c r="BA9" s="27">
        <f>BA8*Parameters!$B$3</f>
        <v>107916.6667</v>
      </c>
      <c r="BB9" s="27"/>
      <c r="BC9" s="44">
        <f t="shared" ref="BC9:BF9" si="4">SUMPRODUCT((YEAR($F$3:$BA$3)=BC$3)*$F9:$BA9)</f>
        <v>525000</v>
      </c>
      <c r="BD9" s="44">
        <f t="shared" si="4"/>
        <v>1003333.333</v>
      </c>
      <c r="BE9" s="44">
        <f t="shared" si="4"/>
        <v>1245416.667</v>
      </c>
      <c r="BF9" s="44">
        <f t="shared" si="4"/>
        <v>1292316.667</v>
      </c>
      <c r="BG9" s="17"/>
      <c r="BH9" s="17"/>
    </row>
    <row r="10" ht="15.75" customHeight="1">
      <c r="A10" s="3"/>
      <c r="B10" s="26" t="s">
        <v>96</v>
      </c>
      <c r="C10" s="3"/>
      <c r="D10" s="3"/>
      <c r="E10" s="117" t="s">
        <v>92</v>
      </c>
      <c r="F10" s="121">
        <v>0.0</v>
      </c>
      <c r="G10" s="123">
        <v>0.0</v>
      </c>
      <c r="H10" s="123">
        <v>0.0</v>
      </c>
      <c r="I10" s="123">
        <v>0.0</v>
      </c>
      <c r="J10" s="123">
        <v>0.0</v>
      </c>
      <c r="K10" s="122">
        <f t="array" ref="K10">F7*INDEX(Parameters!$C$52:$F$52,MATCH(YEAR(K$3),Parameters!$C$48:$F$48,0))</f>
        <v>0.225</v>
      </c>
      <c r="L10" s="122">
        <f t="array" ref="L10">G7*INDEX(Parameters!$C$52:$F$52,MATCH(YEAR(L$3),Parameters!$C$48:$F$48,0))</f>
        <v>0.225</v>
      </c>
      <c r="M10" s="122">
        <f t="array" ref="M10">H7*INDEX(Parameters!$C$52:$F$52,MATCH(YEAR(M$3),Parameters!$C$48:$F$48,0))</f>
        <v>0.225</v>
      </c>
      <c r="N10" s="122">
        <f t="array" ref="N10">I7*INDEX(Parameters!$C$52:$F$52,MATCH(YEAR(N$3),Parameters!$C$48:$F$48,0))</f>
        <v>0.225</v>
      </c>
      <c r="O10" s="122">
        <f t="array" ref="O10">J7*INDEX(Parameters!$C$52:$F$52,MATCH(YEAR(O$3),Parameters!$C$48:$F$48,0))</f>
        <v>0.225</v>
      </c>
      <c r="P10" s="122">
        <f t="array" ref="P10">K7*INDEX(Parameters!$C$52:$F$52,MATCH(YEAR(P$3),Parameters!$C$48:$F$48,0))</f>
        <v>0.225</v>
      </c>
      <c r="Q10" s="122">
        <f t="array" ref="Q10">L7*INDEX(Parameters!$C$52:$F$52,MATCH(YEAR(Q$3),Parameters!$C$48:$F$48,0))</f>
        <v>0.225</v>
      </c>
      <c r="R10" s="122">
        <f t="array" ref="R10">M7*INDEX(Parameters!$C$52:$F$52,MATCH(YEAR(R$3),Parameters!$C$48:$F$48,0))</f>
        <v>0.27</v>
      </c>
      <c r="S10" s="122">
        <f t="array" ref="S10">N7*INDEX(Parameters!$C$52:$F$52,MATCH(YEAR(S$3),Parameters!$C$48:$F$48,0))</f>
        <v>0.27</v>
      </c>
      <c r="T10" s="122">
        <f t="array" ref="T10">O7*INDEX(Parameters!$C$52:$F$52,MATCH(YEAR(T$3),Parameters!$C$48:$F$48,0))</f>
        <v>0.27</v>
      </c>
      <c r="U10" s="122">
        <f t="array" ref="U10">P7*INDEX(Parameters!$C$52:$F$52,MATCH(YEAR(U$3),Parameters!$C$48:$F$48,0))</f>
        <v>0.27</v>
      </c>
      <c r="V10" s="122">
        <f t="array" ref="V10">Q7*INDEX(Parameters!$C$52:$F$52,MATCH(YEAR(V$3),Parameters!$C$48:$F$48,0))</f>
        <v>0.27</v>
      </c>
      <c r="W10" s="122">
        <f t="array" ref="W10">R7*INDEX(Parameters!$C$52:$F$52,MATCH(YEAR(W$3),Parameters!$C$48:$F$48,0))</f>
        <v>0.462</v>
      </c>
      <c r="X10" s="122">
        <f t="array" ref="X10">S7*INDEX(Parameters!$C$52:$F$52,MATCH(YEAR(X$3),Parameters!$C$48:$F$48,0))</f>
        <v>0.462</v>
      </c>
      <c r="Y10" s="122">
        <f t="array" ref="Y10">T7*INDEX(Parameters!$C$52:$F$52,MATCH(YEAR(Y$3),Parameters!$C$48:$F$48,0))</f>
        <v>0.462</v>
      </c>
      <c r="Z10" s="122">
        <f t="array" ref="Z10">U7*INDEX(Parameters!$C$52:$F$52,MATCH(YEAR(Z$3),Parameters!$C$48:$F$48,0))</f>
        <v>0.462</v>
      </c>
      <c r="AA10" s="122">
        <f t="array" ref="AA10">V7*INDEX(Parameters!$C$52:$F$52,MATCH(YEAR(AA$3),Parameters!$C$48:$F$48,0))</f>
        <v>0.462</v>
      </c>
      <c r="AB10" s="122">
        <f t="array" ref="AB10">W7*INDEX(Parameters!$C$52:$F$52,MATCH(YEAR(AB$3),Parameters!$C$48:$F$48,0))</f>
        <v>0.462</v>
      </c>
      <c r="AC10" s="122">
        <f t="array" ref="AC10">X7*INDEX(Parameters!$C$52:$F$52,MATCH(YEAR(AC$3),Parameters!$C$48:$F$48,0))</f>
        <v>0.462</v>
      </c>
      <c r="AD10" s="122">
        <f t="array" ref="AD10">Y7*INDEX(Parameters!$C$52:$F$52,MATCH(YEAR(AD$3),Parameters!$C$48:$F$48,0))</f>
        <v>0.5646666667</v>
      </c>
      <c r="AE10" s="122">
        <f t="array" ref="AE10">Z7*INDEX(Parameters!$C$52:$F$52,MATCH(YEAR(AE$3),Parameters!$C$48:$F$48,0))</f>
        <v>0.5646666667</v>
      </c>
      <c r="AF10" s="122">
        <f t="array" ref="AF10">AA7*INDEX(Parameters!$C$52:$F$52,MATCH(YEAR(AF$3),Parameters!$C$48:$F$48,0))</f>
        <v>0.5646666667</v>
      </c>
      <c r="AG10" s="122">
        <f t="array" ref="AG10">AB7*INDEX(Parameters!$C$52:$F$52,MATCH(YEAR(AG$3),Parameters!$C$48:$F$48,0))</f>
        <v>0.5646666667</v>
      </c>
      <c r="AH10" s="122">
        <f t="array" ref="AH10">AC7*INDEX(Parameters!$C$52:$F$52,MATCH(YEAR(AH$3),Parameters!$C$48:$F$48,0))</f>
        <v>0.5646666667</v>
      </c>
      <c r="AI10" s="122">
        <f t="array" ref="AI10">AD7*INDEX(Parameters!$C$52:$F$52,MATCH(YEAR(AI$3),Parameters!$C$48:$F$48,0))</f>
        <v>0.6699</v>
      </c>
      <c r="AJ10" s="122">
        <f t="array" ref="AJ10">AE7*INDEX(Parameters!$C$52:$F$52,MATCH(YEAR(AJ$3),Parameters!$C$48:$F$48,0))</f>
        <v>0.6699</v>
      </c>
      <c r="AK10" s="122">
        <f t="array" ref="AK10">AF7*INDEX(Parameters!$C$52:$F$52,MATCH(YEAR(AK$3),Parameters!$C$48:$F$48,0))</f>
        <v>0.6699</v>
      </c>
      <c r="AL10" s="122">
        <f t="array" ref="AL10">AG7*INDEX(Parameters!$C$52:$F$52,MATCH(YEAR(AL$3),Parameters!$C$48:$F$48,0))</f>
        <v>0.6699</v>
      </c>
      <c r="AM10" s="122">
        <f t="array" ref="AM10">AH7*INDEX(Parameters!$C$52:$F$52,MATCH(YEAR(AM$3),Parameters!$C$48:$F$48,0))</f>
        <v>0.6699</v>
      </c>
      <c r="AN10" s="122">
        <f t="array" ref="AN10">AI7*INDEX(Parameters!$C$52:$F$52,MATCH(YEAR(AN$3),Parameters!$C$48:$F$48,0))</f>
        <v>0.6699</v>
      </c>
      <c r="AO10" s="122">
        <f t="array" ref="AO10">AJ7*INDEX(Parameters!$C$52:$F$52,MATCH(YEAR(AO$3),Parameters!$C$48:$F$48,0))</f>
        <v>0.6699</v>
      </c>
      <c r="AP10" s="122">
        <f t="array" ref="AP10">AK7*INDEX(Parameters!$C$52:$F$52,MATCH(YEAR(AP$3),Parameters!$C$48:$F$48,0))</f>
        <v>0.76125</v>
      </c>
      <c r="AQ10" s="122">
        <f t="array" ref="AQ10">AL7*INDEX(Parameters!$C$52:$F$52,MATCH(YEAR(AQ$3),Parameters!$C$48:$F$48,0))</f>
        <v>0.76125</v>
      </c>
      <c r="AR10" s="122">
        <f t="array" ref="AR10">AM7*INDEX(Parameters!$C$52:$F$52,MATCH(YEAR(AR$3),Parameters!$C$48:$F$48,0))</f>
        <v>0.76125</v>
      </c>
      <c r="AS10" s="122">
        <f t="array" ref="AS10">AN7*INDEX(Parameters!$C$52:$F$52,MATCH(YEAR(AS$3),Parameters!$C$48:$F$48,0))</f>
        <v>0.76125</v>
      </c>
      <c r="AT10" s="122">
        <f t="array" ref="AT10">AO7*INDEX(Parameters!$C$52:$F$52,MATCH(YEAR(AT$3),Parameters!$C$48:$F$48,0))</f>
        <v>0.76125</v>
      </c>
      <c r="AU10" s="122">
        <f t="array" ref="AU10">AP7*INDEX(Parameters!$C$52:$F$52,MATCH(YEAR(AU$3),Parameters!$C$48:$F$48,0))</f>
        <v>0.7708333333</v>
      </c>
      <c r="AV10" s="122">
        <f t="array" ref="AV10">AQ7*INDEX(Parameters!$C$52:$F$52,MATCH(YEAR(AV$3),Parameters!$C$48:$F$48,0))</f>
        <v>0.7708333333</v>
      </c>
      <c r="AW10" s="122">
        <f t="array" ref="AW10">AR7*INDEX(Parameters!$C$52:$F$52,MATCH(YEAR(AW$3),Parameters!$C$48:$F$48,0))</f>
        <v>0.7708333333</v>
      </c>
      <c r="AX10" s="122">
        <f t="array" ref="AX10">AS7*INDEX(Parameters!$C$52:$F$52,MATCH(YEAR(AX$3),Parameters!$C$48:$F$48,0))</f>
        <v>0.7708333333</v>
      </c>
      <c r="AY10" s="122">
        <f t="array" ref="AY10">AT7*INDEX(Parameters!$C$52:$F$52,MATCH(YEAR(AY$3),Parameters!$C$48:$F$48,0))</f>
        <v>0.7708333333</v>
      </c>
      <c r="AZ10" s="122">
        <f t="array" ref="AZ10">AU7*INDEX(Parameters!$C$52:$F$52,MATCH(YEAR(AZ$3),Parameters!$C$48:$F$48,0))</f>
        <v>0.7708333333</v>
      </c>
      <c r="BA10" s="122">
        <f t="array" ref="BA10">AV7*INDEX(Parameters!$C$52:$F$52,MATCH(YEAR(BA$3),Parameters!$C$48:$F$48,0))</f>
        <v>0.7708333333</v>
      </c>
      <c r="BB10" s="122"/>
      <c r="BC10" s="123">
        <f t="shared" ref="BC10:BF10" si="5">SUMPRODUCT((YEAR($F$3:$BA$3)=BC$3)*$F10:$BA10)</f>
        <v>1.575</v>
      </c>
      <c r="BD10" s="123">
        <f t="shared" si="5"/>
        <v>4.584</v>
      </c>
      <c r="BE10" s="123">
        <f t="shared" si="5"/>
        <v>7.512633333</v>
      </c>
      <c r="BF10" s="123">
        <f t="shared" si="5"/>
        <v>9.202083333</v>
      </c>
      <c r="BG10" s="17"/>
      <c r="BH10" s="17"/>
    </row>
    <row r="11" ht="15.75" customHeight="1">
      <c r="A11" s="3"/>
      <c r="B11" s="26" t="s">
        <v>97</v>
      </c>
      <c r="C11" s="3"/>
      <c r="D11" s="3"/>
      <c r="E11" s="117" t="s">
        <v>95</v>
      </c>
      <c r="F11" s="125">
        <f>F10*(Parameters!$C$11*Parameters!$B$10)</f>
        <v>0</v>
      </c>
      <c r="G11" s="27">
        <f>G10*(Parameters!$C$11*Parameters!$B$10)</f>
        <v>0</v>
      </c>
      <c r="H11" s="44">
        <f>H10*(Parameters!$C$11*Parameters!$B$10)</f>
        <v>0</v>
      </c>
      <c r="I11" s="27">
        <f>I10*(Parameters!$C$11*Parameters!$B$10)</f>
        <v>0</v>
      </c>
      <c r="J11" s="27">
        <f>J10*(Parameters!$C$11*Parameters!$B$10)</f>
        <v>0</v>
      </c>
      <c r="K11" s="27">
        <f>K10*(Parameters!$C$11*Parameters!$B$10)</f>
        <v>6750</v>
      </c>
      <c r="L11" s="27">
        <f>L10*(Parameters!$C$11*Parameters!$B$10)</f>
        <v>6750</v>
      </c>
      <c r="M11" s="27">
        <f>M10*(Parameters!$C$11*Parameters!$B$10)</f>
        <v>6750</v>
      </c>
      <c r="N11" s="27">
        <f>N10*(Parameters!$C$11*Parameters!$B$10)</f>
        <v>6750</v>
      </c>
      <c r="O11" s="27">
        <f>O10*(Parameters!$C$11*Parameters!$B$10)</f>
        <v>6750</v>
      </c>
      <c r="P11" s="27">
        <f>P10*(Parameters!$C$11*Parameters!$B$10)</f>
        <v>6750</v>
      </c>
      <c r="Q11" s="27">
        <f>Q10*(Parameters!$C$11*Parameters!$B$10)</f>
        <v>6750</v>
      </c>
      <c r="R11" s="27">
        <f>R10*(Parameters!$C$11*Parameters!$B$10)</f>
        <v>8100</v>
      </c>
      <c r="S11" s="27">
        <f>S10*(Parameters!$C$11*Parameters!$B$10)</f>
        <v>8100</v>
      </c>
      <c r="T11" s="27">
        <f>T10*(Parameters!$C$11*Parameters!$B$10)</f>
        <v>8100</v>
      </c>
      <c r="U11" s="27">
        <f>U10*(Parameters!$C$11*Parameters!$B$10)</f>
        <v>8100</v>
      </c>
      <c r="V11" s="27">
        <f>V10*(Parameters!$C$11*Parameters!$B$10)</f>
        <v>8100</v>
      </c>
      <c r="W11" s="27">
        <f>W10*(Parameters!$C$11*Parameters!$B$10)</f>
        <v>13860</v>
      </c>
      <c r="X11" s="27">
        <f>X10*(Parameters!$C$11*Parameters!$B$10)</f>
        <v>13860</v>
      </c>
      <c r="Y11" s="27">
        <f>Y10*(Parameters!$C$11*Parameters!$B$10)</f>
        <v>13860</v>
      </c>
      <c r="Z11" s="27">
        <f>Z10*(Parameters!$C$11*Parameters!$B$10)</f>
        <v>13860</v>
      </c>
      <c r="AA11" s="27">
        <f>AA10*(Parameters!$C$11*Parameters!$B$10)</f>
        <v>13860</v>
      </c>
      <c r="AB11" s="27">
        <f>AB10*(Parameters!$C$11*Parameters!$B$10)</f>
        <v>13860</v>
      </c>
      <c r="AC11" s="27">
        <f>AC10*(Parameters!$C$11*Parameters!$B$10)</f>
        <v>13860</v>
      </c>
      <c r="AD11" s="27">
        <f>AD10*(Parameters!$C$11*Parameters!$B$10)</f>
        <v>16940</v>
      </c>
      <c r="AE11" s="27">
        <f>AE10*(Parameters!$C$11*Parameters!$B$10)</f>
        <v>16940</v>
      </c>
      <c r="AF11" s="27">
        <f>AF10*(Parameters!$C$11*Parameters!$B$10)</f>
        <v>16940</v>
      </c>
      <c r="AG11" s="27">
        <f>AG10*(Parameters!$C$11*Parameters!$B$10)</f>
        <v>16940</v>
      </c>
      <c r="AH11" s="27">
        <f>AH10*(Parameters!$C$11*Parameters!$B$10)</f>
        <v>16940</v>
      </c>
      <c r="AI11" s="27">
        <f>AI10*(Parameters!$C$11*Parameters!$B$10)</f>
        <v>20097</v>
      </c>
      <c r="AJ11" s="27">
        <f>AJ10*(Parameters!$C$11*Parameters!$B$10)</f>
        <v>20097</v>
      </c>
      <c r="AK11" s="27">
        <f>AK10*(Parameters!$C$11*Parameters!$B$10)</f>
        <v>20097</v>
      </c>
      <c r="AL11" s="27">
        <f>AL10*(Parameters!$C$11*Parameters!$B$10)</f>
        <v>20097</v>
      </c>
      <c r="AM11" s="27">
        <f>AM10*(Parameters!$C$11*Parameters!$B$10)</f>
        <v>20097</v>
      </c>
      <c r="AN11" s="27">
        <f>AN10*(Parameters!$C$11*Parameters!$B$10)</f>
        <v>20097</v>
      </c>
      <c r="AO11" s="27">
        <f>AO10*(Parameters!$C$11*Parameters!$B$10)</f>
        <v>20097</v>
      </c>
      <c r="AP11" s="27">
        <f>AP10*(Parameters!$C$11*Parameters!$B$10)</f>
        <v>22837.5</v>
      </c>
      <c r="AQ11" s="27">
        <f>AQ10*(Parameters!$C$11*Parameters!$B$10)</f>
        <v>22837.5</v>
      </c>
      <c r="AR11" s="27">
        <f>AR10*(Parameters!$C$11*Parameters!$B$10)</f>
        <v>22837.5</v>
      </c>
      <c r="AS11" s="27">
        <f>AS10*(Parameters!$C$11*Parameters!$B$10)</f>
        <v>22837.5</v>
      </c>
      <c r="AT11" s="27">
        <f>AT10*(Parameters!$C$11*Parameters!$B$10)</f>
        <v>22837.5</v>
      </c>
      <c r="AU11" s="27">
        <f>AU10*(Parameters!$C$11*Parameters!$B$10)</f>
        <v>23125</v>
      </c>
      <c r="AV11" s="27">
        <f>AV10*(Parameters!$C$11*Parameters!$B$10)</f>
        <v>23125</v>
      </c>
      <c r="AW11" s="27">
        <f>AW10*(Parameters!$C$11*Parameters!$B$10)</f>
        <v>23125</v>
      </c>
      <c r="AX11" s="27">
        <f>AX10*(Parameters!$C$11*Parameters!$B$10)</f>
        <v>23125</v>
      </c>
      <c r="AY11" s="27">
        <f>AY10*(Parameters!$C$11*Parameters!$B$10)</f>
        <v>23125</v>
      </c>
      <c r="AZ11" s="27">
        <f>AZ10*(Parameters!$C$11*Parameters!$B$10)</f>
        <v>23125</v>
      </c>
      <c r="BA11" s="27">
        <f>BA10*(Parameters!$C$11*Parameters!$B$10)</f>
        <v>23125</v>
      </c>
      <c r="BB11" s="27"/>
      <c r="BC11" s="44">
        <f t="shared" ref="BC11:BF11" si="6">SUMPRODUCT((YEAR($F$3:$BA$3)=BC$3)*$F11:$BA11)</f>
        <v>47250</v>
      </c>
      <c r="BD11" s="44">
        <f t="shared" si="6"/>
        <v>137520</v>
      </c>
      <c r="BE11" s="44">
        <f t="shared" si="6"/>
        <v>225379</v>
      </c>
      <c r="BF11" s="44">
        <f t="shared" si="6"/>
        <v>276062.5</v>
      </c>
      <c r="BG11" s="17"/>
      <c r="BH11" s="17"/>
    </row>
    <row r="12" ht="15.75" customHeight="1">
      <c r="A12" s="3"/>
      <c r="B12" s="126" t="s">
        <v>98</v>
      </c>
      <c r="C12" s="127"/>
      <c r="D12" s="127"/>
      <c r="E12" s="128" t="s">
        <v>95</v>
      </c>
      <c r="F12" s="40">
        <f t="shared" ref="F12:BA12" si="7">F9+F11</f>
        <v>10500</v>
      </c>
      <c r="G12" s="40">
        <f t="shared" si="7"/>
        <v>21000</v>
      </c>
      <c r="H12" s="129">
        <f t="shared" si="7"/>
        <v>31500</v>
      </c>
      <c r="I12" s="40">
        <f t="shared" si="7"/>
        <v>42000</v>
      </c>
      <c r="J12" s="40">
        <f t="shared" si="7"/>
        <v>52500</v>
      </c>
      <c r="K12" s="40">
        <f t="shared" si="7"/>
        <v>59250</v>
      </c>
      <c r="L12" s="40">
        <f t="shared" si="7"/>
        <v>59250</v>
      </c>
      <c r="M12" s="40">
        <f t="shared" si="7"/>
        <v>59250</v>
      </c>
      <c r="N12" s="40">
        <f t="shared" si="7"/>
        <v>59250</v>
      </c>
      <c r="O12" s="40">
        <f t="shared" si="7"/>
        <v>59250</v>
      </c>
      <c r="P12" s="40">
        <f t="shared" si="7"/>
        <v>59250</v>
      </c>
      <c r="Q12" s="40">
        <f t="shared" si="7"/>
        <v>59250</v>
      </c>
      <c r="R12" s="40">
        <f t="shared" si="7"/>
        <v>68066.66667</v>
      </c>
      <c r="S12" s="40">
        <f t="shared" si="7"/>
        <v>75533.33333</v>
      </c>
      <c r="T12" s="40">
        <f t="shared" si="7"/>
        <v>83000</v>
      </c>
      <c r="U12" s="40">
        <f t="shared" si="7"/>
        <v>90466.66667</v>
      </c>
      <c r="V12" s="40">
        <f t="shared" si="7"/>
        <v>97933.33333</v>
      </c>
      <c r="W12" s="40">
        <f t="shared" si="7"/>
        <v>103693.3333</v>
      </c>
      <c r="X12" s="40">
        <f t="shared" si="7"/>
        <v>103693.3333</v>
      </c>
      <c r="Y12" s="40">
        <f t="shared" si="7"/>
        <v>103693.3333</v>
      </c>
      <c r="Z12" s="40">
        <f t="shared" si="7"/>
        <v>103693.3333</v>
      </c>
      <c r="AA12" s="40">
        <f t="shared" si="7"/>
        <v>103693.3333</v>
      </c>
      <c r="AB12" s="40">
        <f t="shared" si="7"/>
        <v>103693.3333</v>
      </c>
      <c r="AC12" s="40">
        <f t="shared" si="7"/>
        <v>103693.3333</v>
      </c>
      <c r="AD12" s="40">
        <f t="shared" si="7"/>
        <v>110121.6667</v>
      </c>
      <c r="AE12" s="40">
        <f t="shared" si="7"/>
        <v>113470</v>
      </c>
      <c r="AF12" s="40">
        <f t="shared" si="7"/>
        <v>116818.3333</v>
      </c>
      <c r="AG12" s="40">
        <f t="shared" si="7"/>
        <v>120166.6667</v>
      </c>
      <c r="AH12" s="40">
        <f t="shared" si="7"/>
        <v>123515</v>
      </c>
      <c r="AI12" s="40">
        <f t="shared" si="7"/>
        <v>126672</v>
      </c>
      <c r="AJ12" s="40">
        <f t="shared" si="7"/>
        <v>126672</v>
      </c>
      <c r="AK12" s="40">
        <f t="shared" si="7"/>
        <v>126672</v>
      </c>
      <c r="AL12" s="40">
        <f t="shared" si="7"/>
        <v>126672</v>
      </c>
      <c r="AM12" s="40">
        <f t="shared" si="7"/>
        <v>126672</v>
      </c>
      <c r="AN12" s="40">
        <f t="shared" si="7"/>
        <v>126672</v>
      </c>
      <c r="AO12" s="40">
        <f t="shared" si="7"/>
        <v>126672</v>
      </c>
      <c r="AP12" s="40">
        <f t="shared" si="7"/>
        <v>129680.8333</v>
      </c>
      <c r="AQ12" s="40">
        <f t="shared" si="7"/>
        <v>129949.1667</v>
      </c>
      <c r="AR12" s="40">
        <f t="shared" si="7"/>
        <v>130217.5</v>
      </c>
      <c r="AS12" s="40">
        <f t="shared" si="7"/>
        <v>130485.8333</v>
      </c>
      <c r="AT12" s="40">
        <f t="shared" si="7"/>
        <v>130754.1667</v>
      </c>
      <c r="AU12" s="40">
        <f t="shared" si="7"/>
        <v>131041.6667</v>
      </c>
      <c r="AV12" s="40">
        <f t="shared" si="7"/>
        <v>131041.6667</v>
      </c>
      <c r="AW12" s="40">
        <f t="shared" si="7"/>
        <v>131041.6667</v>
      </c>
      <c r="AX12" s="40">
        <f t="shared" si="7"/>
        <v>131041.6667</v>
      </c>
      <c r="AY12" s="40">
        <f t="shared" si="7"/>
        <v>131041.6667</v>
      </c>
      <c r="AZ12" s="40">
        <f t="shared" si="7"/>
        <v>131041.6667</v>
      </c>
      <c r="BA12" s="40">
        <f t="shared" si="7"/>
        <v>131041.6667</v>
      </c>
      <c r="BB12" s="40"/>
      <c r="BC12" s="129">
        <f t="shared" ref="BC12:BF12" si="8">SUMPRODUCT((YEAR($F$3:$BA$3)=BC$3)*$F12:$BA12)</f>
        <v>572250</v>
      </c>
      <c r="BD12" s="129">
        <f t="shared" si="8"/>
        <v>1140853.333</v>
      </c>
      <c r="BE12" s="129">
        <f t="shared" si="8"/>
        <v>1470795.667</v>
      </c>
      <c r="BF12" s="129">
        <f t="shared" si="8"/>
        <v>1568379.167</v>
      </c>
      <c r="BG12" s="17"/>
      <c r="BH12" s="17"/>
    </row>
    <row r="13" ht="15.75" customHeight="1">
      <c r="A13" s="3"/>
      <c r="B13" s="26"/>
      <c r="C13" s="3"/>
      <c r="D13" s="3"/>
      <c r="E13" s="117"/>
      <c r="F13" s="130"/>
      <c r="G13" s="53"/>
      <c r="H13" s="131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131"/>
      <c r="BD13" s="131"/>
      <c r="BE13" s="131"/>
      <c r="BF13" s="131"/>
      <c r="BG13" s="17"/>
      <c r="BH13" s="17"/>
    </row>
    <row r="14" ht="15.75" customHeight="1">
      <c r="A14" s="3"/>
      <c r="B14" s="41" t="s">
        <v>32</v>
      </c>
      <c r="C14" s="118"/>
      <c r="D14" s="118"/>
      <c r="E14" s="41"/>
      <c r="F14" s="132"/>
      <c r="G14" s="133"/>
      <c r="H14" s="132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2"/>
      <c r="BD14" s="132"/>
      <c r="BE14" s="132"/>
      <c r="BF14" s="132"/>
      <c r="BG14" s="17"/>
      <c r="BH14" s="17"/>
    </row>
    <row r="15" ht="15.75" customHeight="1">
      <c r="A15" s="69"/>
      <c r="B15" s="26" t="s">
        <v>91</v>
      </c>
      <c r="C15" s="107"/>
      <c r="D15" s="107"/>
      <c r="E15" s="54" t="s">
        <v>92</v>
      </c>
      <c r="F15" s="121">
        <f t="array" ref="F15">INDEX(Parameters!$C$49:$F$49,MATCH(YEAR(F$3),Parameters!$C$48:$F$48,0))*(1-INDEX(Parameters!$C$50:$F$50,MATCH(YEAR(F$3),Parameters!$C$48:$F$48,0)))/12</f>
        <v>0.1666666667</v>
      </c>
      <c r="G15" s="122">
        <f t="array" ref="G15">INDEX(Parameters!$C$49:$F$49,MATCH(YEAR(G$3),Parameters!$C$48:$F$48,0))*(1-INDEX(Parameters!$C$50:$F$50,MATCH(YEAR(G$3),Parameters!$C$48:$F$48,0)))/12</f>
        <v>0.1666666667</v>
      </c>
      <c r="H15" s="123">
        <f t="array" ref="H15">INDEX(Parameters!$C$49:$F$49,MATCH(YEAR(H$3),Parameters!$C$48:$F$48,0))*(1-INDEX(Parameters!$C$50:$F$50,MATCH(YEAR(H$3),Parameters!$C$48:$F$48,0)))/12</f>
        <v>0.1666666667</v>
      </c>
      <c r="I15" s="122">
        <f t="array" ref="I15">INDEX(Parameters!$C$49:$F$49,MATCH(YEAR(I$3),Parameters!$C$48:$F$48,0))*(1-INDEX(Parameters!$C$50:$F$50,MATCH(YEAR(I$3),Parameters!$C$48:$F$48,0)))/12</f>
        <v>0.1666666667</v>
      </c>
      <c r="J15" s="122">
        <f t="array" ref="J15">INDEX(Parameters!$C$49:$F$49,MATCH(YEAR(J$3),Parameters!$C$48:$F$48,0))*(1-INDEX(Parameters!$C$50:$F$50,MATCH(YEAR(J$3),Parameters!$C$48:$F$48,0)))/12</f>
        <v>0.1666666667</v>
      </c>
      <c r="K15" s="122">
        <f t="array" ref="K15">INDEX(Parameters!$C$49:$F$49,MATCH(YEAR(K$3),Parameters!$C$48:$F$48,0))*(1-INDEX(Parameters!$C$50:$F$50,MATCH(YEAR(K$3),Parameters!$C$48:$F$48,0)))/12</f>
        <v>0.1666666667</v>
      </c>
      <c r="L15" s="122">
        <f t="array" ref="L15">INDEX(Parameters!$C$49:$F$49,MATCH(YEAR(L$3),Parameters!$C$48:$F$48,0))*(1-INDEX(Parameters!$C$50:$F$50,MATCH(YEAR(L$3),Parameters!$C$48:$F$48,0)))/12</f>
        <v>0.1666666667</v>
      </c>
      <c r="M15" s="122">
        <f t="array" ref="M15">INDEX(Parameters!$C$49:$F$49,MATCH(YEAR(M$3),Parameters!$C$48:$F$48,0))*(1-INDEX(Parameters!$C$50:$F$50,MATCH(YEAR(M$3),Parameters!$C$48:$F$48,0)))/12</f>
        <v>0.1666666667</v>
      </c>
      <c r="N15" s="122">
        <f t="array" ref="N15">INDEX(Parameters!$C$49:$F$49,MATCH(YEAR(N$3),Parameters!$C$48:$F$48,0))*(1-INDEX(Parameters!$C$50:$F$50,MATCH(YEAR(N$3),Parameters!$C$48:$F$48,0)))/12</f>
        <v>0.1666666667</v>
      </c>
      <c r="O15" s="122">
        <f t="array" ref="O15">INDEX(Parameters!$C$49:$F$49,MATCH(YEAR(O$3),Parameters!$C$48:$F$48,0))*(1-INDEX(Parameters!$C$50:$F$50,MATCH(YEAR(O$3),Parameters!$C$48:$F$48,0)))/12</f>
        <v>0.1666666667</v>
      </c>
      <c r="P15" s="122">
        <f t="array" ref="P15">INDEX(Parameters!$C$49:$F$49,MATCH(YEAR(P$3),Parameters!$C$48:$F$48,0))*(1-INDEX(Parameters!$C$50:$F$50,MATCH(YEAR(P$3),Parameters!$C$48:$F$48,0)))/12</f>
        <v>0.1666666667</v>
      </c>
      <c r="Q15" s="122">
        <f t="array" ref="Q15">INDEX(Parameters!$C$49:$F$49,MATCH(YEAR(Q$3),Parameters!$C$48:$F$48,0))*(1-INDEX(Parameters!$C$50:$F$50,MATCH(YEAR(Q$3),Parameters!$C$48:$F$48,0)))/12</f>
        <v>0.1666666667</v>
      </c>
      <c r="R15" s="122">
        <f t="array" ref="R15">INDEX(Parameters!$C$49:$F$49,MATCH(YEAR(R$3),Parameters!$C$48:$F$48,0))*(1-INDEX(Parameters!$C$50:$F$50,MATCH(YEAR(R$3),Parameters!$C$48:$F$48,0)))/12</f>
        <v>0.7666666667</v>
      </c>
      <c r="S15" s="122">
        <f t="array" ref="S15">INDEX(Parameters!$C$49:$F$49,MATCH(YEAR(S$3),Parameters!$C$48:$F$48,0))*(1-INDEX(Parameters!$C$50:$F$50,MATCH(YEAR(S$3),Parameters!$C$48:$F$48,0)))/12</f>
        <v>0.7666666667</v>
      </c>
      <c r="T15" s="122">
        <f t="array" ref="T15">INDEX(Parameters!$C$49:$F$49,MATCH(YEAR(T$3),Parameters!$C$48:$F$48,0))*(1-INDEX(Parameters!$C$50:$F$50,MATCH(YEAR(T$3),Parameters!$C$48:$F$48,0)))/12</f>
        <v>0.7666666667</v>
      </c>
      <c r="U15" s="122">
        <f t="array" ref="U15">INDEX(Parameters!$C$49:$F$49,MATCH(YEAR(U$3),Parameters!$C$48:$F$48,0))*(1-INDEX(Parameters!$C$50:$F$50,MATCH(YEAR(U$3),Parameters!$C$48:$F$48,0)))/12</f>
        <v>0.7666666667</v>
      </c>
      <c r="V15" s="122">
        <f t="array" ref="V15">INDEX(Parameters!$C$49:$F$49,MATCH(YEAR(V$3),Parameters!$C$48:$F$48,0))*(1-INDEX(Parameters!$C$50:$F$50,MATCH(YEAR(V$3),Parameters!$C$48:$F$48,0)))/12</f>
        <v>0.7666666667</v>
      </c>
      <c r="W15" s="122">
        <f t="array" ref="W15">INDEX(Parameters!$C$49:$F$49,MATCH(YEAR(W$3),Parameters!$C$48:$F$48,0))*(1-INDEX(Parameters!$C$50:$F$50,MATCH(YEAR(W$3),Parameters!$C$48:$F$48,0)))/12</f>
        <v>0.7666666667</v>
      </c>
      <c r="X15" s="122">
        <f t="array" ref="X15">INDEX(Parameters!$C$49:$F$49,MATCH(YEAR(X$3),Parameters!$C$48:$F$48,0))*(1-INDEX(Parameters!$C$50:$F$50,MATCH(YEAR(X$3),Parameters!$C$48:$F$48,0)))/12</f>
        <v>0.7666666667</v>
      </c>
      <c r="Y15" s="122">
        <f t="array" ref="Y15">INDEX(Parameters!$C$49:$F$49,MATCH(YEAR(Y$3),Parameters!$C$48:$F$48,0))*(1-INDEX(Parameters!$C$50:$F$50,MATCH(YEAR(Y$3),Parameters!$C$48:$F$48,0)))/12</f>
        <v>0.7666666667</v>
      </c>
      <c r="Z15" s="122">
        <f t="array" ref="Z15">INDEX(Parameters!$C$49:$F$49,MATCH(YEAR(Z$3),Parameters!$C$48:$F$48,0))*(1-INDEX(Parameters!$C$50:$F$50,MATCH(YEAR(Z$3),Parameters!$C$48:$F$48,0)))/12</f>
        <v>0.7666666667</v>
      </c>
      <c r="AA15" s="122">
        <f t="array" ref="AA15">INDEX(Parameters!$C$49:$F$49,MATCH(YEAR(AA$3),Parameters!$C$48:$F$48,0))*(1-INDEX(Parameters!$C$50:$F$50,MATCH(YEAR(AA$3),Parameters!$C$48:$F$48,0)))/12</f>
        <v>0.7666666667</v>
      </c>
      <c r="AB15" s="122">
        <f t="array" ref="AB15">INDEX(Parameters!$C$49:$F$49,MATCH(YEAR(AB$3),Parameters!$C$48:$F$48,0))*(1-INDEX(Parameters!$C$50:$F$50,MATCH(YEAR(AB$3),Parameters!$C$48:$F$48,0)))/12</f>
        <v>0.7666666667</v>
      </c>
      <c r="AC15" s="122">
        <f t="array" ref="AC15">INDEX(Parameters!$C$49:$F$49,MATCH(YEAR(AC$3),Parameters!$C$48:$F$48,0))*(1-INDEX(Parameters!$C$50:$F$50,MATCH(YEAR(AC$3),Parameters!$C$48:$F$48,0)))/12</f>
        <v>0.7666666667</v>
      </c>
      <c r="AD15" s="122">
        <f t="array" ref="AD15">INDEX(Parameters!$C$49:$F$49,MATCH(YEAR(AD$3),Parameters!$C$48:$F$48,0))*(1-INDEX(Parameters!$C$50:$F$50,MATCH(YEAR(AD$3),Parameters!$C$48:$F$48,0)))/12</f>
        <v>1.788333333</v>
      </c>
      <c r="AE15" s="122">
        <f t="array" ref="AE15">INDEX(Parameters!$C$49:$F$49,MATCH(YEAR(AE$3),Parameters!$C$48:$F$48,0))*(1-INDEX(Parameters!$C$50:$F$50,MATCH(YEAR(AE$3),Parameters!$C$48:$F$48,0)))/12</f>
        <v>1.788333333</v>
      </c>
      <c r="AF15" s="122">
        <f t="array" ref="AF15">INDEX(Parameters!$C$49:$F$49,MATCH(YEAR(AF$3),Parameters!$C$48:$F$48,0))*(1-INDEX(Parameters!$C$50:$F$50,MATCH(YEAR(AF$3),Parameters!$C$48:$F$48,0)))/12</f>
        <v>1.788333333</v>
      </c>
      <c r="AG15" s="122">
        <f t="array" ref="AG15">INDEX(Parameters!$C$49:$F$49,MATCH(YEAR(AG$3),Parameters!$C$48:$F$48,0))*(1-INDEX(Parameters!$C$50:$F$50,MATCH(YEAR(AG$3),Parameters!$C$48:$F$48,0)))/12</f>
        <v>1.788333333</v>
      </c>
      <c r="AH15" s="122">
        <f t="array" ref="AH15">INDEX(Parameters!$C$49:$F$49,MATCH(YEAR(AH$3),Parameters!$C$48:$F$48,0))*(1-INDEX(Parameters!$C$50:$F$50,MATCH(YEAR(AH$3),Parameters!$C$48:$F$48,0)))/12</f>
        <v>1.788333333</v>
      </c>
      <c r="AI15" s="122">
        <f t="array" ref="AI15">INDEX(Parameters!$C$49:$F$49,MATCH(YEAR(AI$3),Parameters!$C$48:$F$48,0))*(1-INDEX(Parameters!$C$50:$F$50,MATCH(YEAR(AI$3),Parameters!$C$48:$F$48,0)))/12</f>
        <v>1.788333333</v>
      </c>
      <c r="AJ15" s="122">
        <f t="array" ref="AJ15">INDEX(Parameters!$C$49:$F$49,MATCH(YEAR(AJ$3),Parameters!$C$48:$F$48,0))*(1-INDEX(Parameters!$C$50:$F$50,MATCH(YEAR(AJ$3),Parameters!$C$48:$F$48,0)))/12</f>
        <v>1.788333333</v>
      </c>
      <c r="AK15" s="122">
        <f t="array" ref="AK15">INDEX(Parameters!$C$49:$F$49,MATCH(YEAR(AK$3),Parameters!$C$48:$F$48,0))*(1-INDEX(Parameters!$C$50:$F$50,MATCH(YEAR(AK$3),Parameters!$C$48:$F$48,0)))/12</f>
        <v>1.788333333</v>
      </c>
      <c r="AL15" s="122">
        <f t="array" ref="AL15">INDEX(Parameters!$C$49:$F$49,MATCH(YEAR(AL$3),Parameters!$C$48:$F$48,0))*(1-INDEX(Parameters!$C$50:$F$50,MATCH(YEAR(AL$3),Parameters!$C$48:$F$48,0)))/12</f>
        <v>1.788333333</v>
      </c>
      <c r="AM15" s="122">
        <f t="array" ref="AM15">INDEX(Parameters!$C$49:$F$49,MATCH(YEAR(AM$3),Parameters!$C$48:$F$48,0))*(1-INDEX(Parameters!$C$50:$F$50,MATCH(YEAR(AM$3),Parameters!$C$48:$F$48,0)))/12</f>
        <v>1.788333333</v>
      </c>
      <c r="AN15" s="122">
        <f t="array" ref="AN15">INDEX(Parameters!$C$49:$F$49,MATCH(YEAR(AN$3),Parameters!$C$48:$F$48,0))*(1-INDEX(Parameters!$C$50:$F$50,MATCH(YEAR(AN$3),Parameters!$C$48:$F$48,0)))/12</f>
        <v>1.788333333</v>
      </c>
      <c r="AO15" s="122">
        <f t="array" ref="AO15">INDEX(Parameters!$C$49:$F$49,MATCH(YEAR(AO$3),Parameters!$C$48:$F$48,0))*(1-INDEX(Parameters!$C$50:$F$50,MATCH(YEAR(AO$3),Parameters!$C$48:$F$48,0)))/12</f>
        <v>1.788333333</v>
      </c>
      <c r="AP15" s="122">
        <f t="array" ref="AP15">INDEX(Parameters!$C$49:$F$49,MATCH(YEAR(AP$3),Parameters!$C$48:$F$48,0))*(1-INDEX(Parameters!$C$50:$F$50,MATCH(YEAR(AP$3),Parameters!$C$48:$F$48,0)))/12</f>
        <v>3.083333333</v>
      </c>
      <c r="AQ15" s="122">
        <f t="array" ref="AQ15">INDEX(Parameters!$C$49:$F$49,MATCH(YEAR(AQ$3),Parameters!$C$48:$F$48,0))*(1-INDEX(Parameters!$C$50:$F$50,MATCH(YEAR(AQ$3),Parameters!$C$48:$F$48,0)))/12</f>
        <v>3.083333333</v>
      </c>
      <c r="AR15" s="122">
        <f t="array" ref="AR15">INDEX(Parameters!$C$49:$F$49,MATCH(YEAR(AR$3),Parameters!$C$48:$F$48,0))*(1-INDEX(Parameters!$C$50:$F$50,MATCH(YEAR(AR$3),Parameters!$C$48:$F$48,0)))/12</f>
        <v>3.083333333</v>
      </c>
      <c r="AS15" s="122">
        <f t="array" ref="AS15">INDEX(Parameters!$C$49:$F$49,MATCH(YEAR(AS$3),Parameters!$C$48:$F$48,0))*(1-INDEX(Parameters!$C$50:$F$50,MATCH(YEAR(AS$3),Parameters!$C$48:$F$48,0)))/12</f>
        <v>3.083333333</v>
      </c>
      <c r="AT15" s="122">
        <f t="array" ref="AT15">INDEX(Parameters!$C$49:$F$49,MATCH(YEAR(AT$3),Parameters!$C$48:$F$48,0))*(1-INDEX(Parameters!$C$50:$F$50,MATCH(YEAR(AT$3),Parameters!$C$48:$F$48,0)))/12</f>
        <v>3.083333333</v>
      </c>
      <c r="AU15" s="122">
        <f t="array" ref="AU15">INDEX(Parameters!$C$49:$F$49,MATCH(YEAR(AU$3),Parameters!$C$48:$F$48,0))*(1-INDEX(Parameters!$C$50:$F$50,MATCH(YEAR(AU$3),Parameters!$C$48:$F$48,0)))/12</f>
        <v>3.083333333</v>
      </c>
      <c r="AV15" s="122">
        <f t="array" ref="AV15">INDEX(Parameters!$C$49:$F$49,MATCH(YEAR(AV$3),Parameters!$C$48:$F$48,0))*(1-INDEX(Parameters!$C$50:$F$50,MATCH(YEAR(AV$3),Parameters!$C$48:$F$48,0)))/12</f>
        <v>3.083333333</v>
      </c>
      <c r="AW15" s="122">
        <f t="array" ref="AW15">INDEX(Parameters!$C$49:$F$49,MATCH(YEAR(AW$3),Parameters!$C$48:$F$48,0))*(1-INDEX(Parameters!$C$50:$F$50,MATCH(YEAR(AW$3),Parameters!$C$48:$F$48,0)))/12</f>
        <v>3.083333333</v>
      </c>
      <c r="AX15" s="122">
        <f t="array" ref="AX15">INDEX(Parameters!$C$49:$F$49,MATCH(YEAR(AX$3),Parameters!$C$48:$F$48,0))*(1-INDEX(Parameters!$C$50:$F$50,MATCH(YEAR(AX$3),Parameters!$C$48:$F$48,0)))/12</f>
        <v>3.083333333</v>
      </c>
      <c r="AY15" s="122">
        <f t="array" ref="AY15">INDEX(Parameters!$C$49:$F$49,MATCH(YEAR(AY$3),Parameters!$C$48:$F$48,0))*(1-INDEX(Parameters!$C$50:$F$50,MATCH(YEAR(AY$3),Parameters!$C$48:$F$48,0)))/12</f>
        <v>3.083333333</v>
      </c>
      <c r="AZ15" s="122">
        <f t="array" ref="AZ15">INDEX(Parameters!$C$49:$F$49,MATCH(YEAR(AZ$3),Parameters!$C$48:$F$48,0))*(1-INDEX(Parameters!$C$50:$F$50,MATCH(YEAR(AZ$3),Parameters!$C$48:$F$48,0)))/12</f>
        <v>3.083333333</v>
      </c>
      <c r="BA15" s="122">
        <f t="array" ref="BA15">INDEX(Parameters!$C$49:$F$49,MATCH(YEAR(BA$3),Parameters!$C$48:$F$48,0))*(1-INDEX(Parameters!$C$50:$F$50,MATCH(YEAR(BA$3),Parameters!$C$48:$F$48,0)))/12</f>
        <v>3.083333333</v>
      </c>
      <c r="BB15" s="122"/>
      <c r="BC15" s="123">
        <f t="shared" ref="BC15:BF15" si="9">SUMPRODUCT((YEAR($F$3:$BA$3)=BC$3)*$F15:$BA15)</f>
        <v>2</v>
      </c>
      <c r="BD15" s="123">
        <f t="shared" si="9"/>
        <v>9.2</v>
      </c>
      <c r="BE15" s="123">
        <f t="shared" si="9"/>
        <v>21.46</v>
      </c>
      <c r="BF15" s="123">
        <f t="shared" si="9"/>
        <v>37</v>
      </c>
      <c r="BG15" s="17"/>
      <c r="BH15" s="17"/>
    </row>
    <row r="16" ht="15.75" customHeight="1">
      <c r="A16" s="69"/>
      <c r="B16" s="26" t="s">
        <v>93</v>
      </c>
      <c r="C16" s="107"/>
      <c r="D16" s="107"/>
      <c r="E16" s="134" t="s">
        <v>92</v>
      </c>
      <c r="F16" s="135">
        <f>SUM(F15)</f>
        <v>0.1666666667</v>
      </c>
      <c r="G16" s="136">
        <f>SUM(F15:G15)</f>
        <v>0.3333333333</v>
      </c>
      <c r="H16" s="136">
        <f>SUM(F15:H15)</f>
        <v>0.5</v>
      </c>
      <c r="I16" s="136">
        <f>SUM(F15:I15)</f>
        <v>0.6666666667</v>
      </c>
      <c r="J16" s="136">
        <f>SUM(F15:J15)</f>
        <v>0.8333333333</v>
      </c>
      <c r="K16" s="136">
        <f>SUM(F15:K15)</f>
        <v>1</v>
      </c>
      <c r="L16" s="136">
        <f t="shared" ref="L16:BA16" si="10">SUM(F15:L15)</f>
        <v>1.166666667</v>
      </c>
      <c r="M16" s="136">
        <f t="shared" si="10"/>
        <v>1.166666667</v>
      </c>
      <c r="N16" s="136">
        <f t="shared" si="10"/>
        <v>1.166666667</v>
      </c>
      <c r="O16" s="136">
        <f t="shared" si="10"/>
        <v>1.166666667</v>
      </c>
      <c r="P16" s="137">
        <f t="shared" si="10"/>
        <v>1.166666667</v>
      </c>
      <c r="Q16" s="122">
        <f t="shared" si="10"/>
        <v>1.166666667</v>
      </c>
      <c r="R16" s="122">
        <f t="shared" si="10"/>
        <v>1.766666667</v>
      </c>
      <c r="S16" s="122">
        <f t="shared" si="10"/>
        <v>2.366666667</v>
      </c>
      <c r="T16" s="122">
        <f t="shared" si="10"/>
        <v>2.966666667</v>
      </c>
      <c r="U16" s="122">
        <f t="shared" si="10"/>
        <v>3.566666667</v>
      </c>
      <c r="V16" s="122">
        <f t="shared" si="10"/>
        <v>4.166666667</v>
      </c>
      <c r="W16" s="122">
        <f t="shared" si="10"/>
        <v>4.766666667</v>
      </c>
      <c r="X16" s="122">
        <f t="shared" si="10"/>
        <v>5.366666667</v>
      </c>
      <c r="Y16" s="122">
        <f t="shared" si="10"/>
        <v>5.366666667</v>
      </c>
      <c r="Z16" s="122">
        <f t="shared" si="10"/>
        <v>5.366666667</v>
      </c>
      <c r="AA16" s="122">
        <f t="shared" si="10"/>
        <v>5.366666667</v>
      </c>
      <c r="AB16" s="122">
        <f t="shared" si="10"/>
        <v>5.366666667</v>
      </c>
      <c r="AC16" s="122">
        <f t="shared" si="10"/>
        <v>5.366666667</v>
      </c>
      <c r="AD16" s="122">
        <f t="shared" si="10"/>
        <v>6.388333333</v>
      </c>
      <c r="AE16" s="122">
        <f t="shared" si="10"/>
        <v>7.41</v>
      </c>
      <c r="AF16" s="122">
        <f t="shared" si="10"/>
        <v>8.431666667</v>
      </c>
      <c r="AG16" s="122">
        <f t="shared" si="10"/>
        <v>9.453333333</v>
      </c>
      <c r="AH16" s="122">
        <f t="shared" si="10"/>
        <v>10.475</v>
      </c>
      <c r="AI16" s="122">
        <f t="shared" si="10"/>
        <v>11.49666667</v>
      </c>
      <c r="AJ16" s="122">
        <f t="shared" si="10"/>
        <v>12.51833333</v>
      </c>
      <c r="AK16" s="122">
        <f t="shared" si="10"/>
        <v>12.51833333</v>
      </c>
      <c r="AL16" s="122">
        <f t="shared" si="10"/>
        <v>12.51833333</v>
      </c>
      <c r="AM16" s="122">
        <f t="shared" si="10"/>
        <v>12.51833333</v>
      </c>
      <c r="AN16" s="122">
        <f t="shared" si="10"/>
        <v>12.51833333</v>
      </c>
      <c r="AO16" s="122">
        <f t="shared" si="10"/>
        <v>12.51833333</v>
      </c>
      <c r="AP16" s="122">
        <f t="shared" si="10"/>
        <v>13.81333333</v>
      </c>
      <c r="AQ16" s="122">
        <f t="shared" si="10"/>
        <v>15.10833333</v>
      </c>
      <c r="AR16" s="122">
        <f t="shared" si="10"/>
        <v>16.40333333</v>
      </c>
      <c r="AS16" s="122">
        <f t="shared" si="10"/>
        <v>17.69833333</v>
      </c>
      <c r="AT16" s="122">
        <f t="shared" si="10"/>
        <v>18.99333333</v>
      </c>
      <c r="AU16" s="122">
        <f t="shared" si="10"/>
        <v>20.28833333</v>
      </c>
      <c r="AV16" s="122">
        <f t="shared" si="10"/>
        <v>21.58333333</v>
      </c>
      <c r="AW16" s="122">
        <f t="shared" si="10"/>
        <v>21.58333333</v>
      </c>
      <c r="AX16" s="122">
        <f t="shared" si="10"/>
        <v>21.58333333</v>
      </c>
      <c r="AY16" s="122">
        <f t="shared" si="10"/>
        <v>21.58333333</v>
      </c>
      <c r="AZ16" s="122">
        <f t="shared" si="10"/>
        <v>21.58333333</v>
      </c>
      <c r="BA16" s="122">
        <f t="shared" si="10"/>
        <v>21.58333333</v>
      </c>
      <c r="BB16" s="122"/>
      <c r="BC16" s="123">
        <f t="shared" ref="BC16:BF16" si="11">SUMPRODUCT((YEAR($F$3:$BA$3)=BC$3)*$F16:$BA16)/12</f>
        <v>0.875</v>
      </c>
      <c r="BD16" s="123">
        <f t="shared" si="11"/>
        <v>4.316666667</v>
      </c>
      <c r="BE16" s="123">
        <f t="shared" si="11"/>
        <v>10.73041667</v>
      </c>
      <c r="BF16" s="123">
        <f t="shared" si="11"/>
        <v>19.31708333</v>
      </c>
      <c r="BG16" s="17"/>
      <c r="BH16" s="17"/>
    </row>
    <row r="17" ht="15.75" customHeight="1">
      <c r="A17" s="3"/>
      <c r="B17" s="26" t="s">
        <v>94</v>
      </c>
      <c r="C17" s="107"/>
      <c r="D17" s="124"/>
      <c r="E17" s="138" t="s">
        <v>95</v>
      </c>
      <c r="F17" s="139">
        <f>F16*Parameters!$B$6</f>
        <v>1333.333333</v>
      </c>
      <c r="G17" s="140">
        <f>G16*Parameters!$B$6</f>
        <v>2666.666667</v>
      </c>
      <c r="H17" s="140">
        <f>H16*Parameters!$B$6</f>
        <v>4000</v>
      </c>
      <c r="I17" s="140">
        <f>I16*Parameters!$B$6</f>
        <v>5333.333333</v>
      </c>
      <c r="J17" s="140">
        <f>J16*Parameters!$B$6</f>
        <v>6666.666667</v>
      </c>
      <c r="K17" s="140">
        <f>K16*Parameters!$B$6</f>
        <v>8000</v>
      </c>
      <c r="L17" s="140">
        <f>L16*Parameters!$B$6</f>
        <v>9333.333333</v>
      </c>
      <c r="M17" s="140">
        <f>M16*Parameters!$B$6</f>
        <v>9333.333333</v>
      </c>
      <c r="N17" s="140">
        <f>N16*Parameters!$B$6</f>
        <v>9333.333333</v>
      </c>
      <c r="O17" s="140">
        <f>O16*Parameters!$B$6</f>
        <v>9333.333333</v>
      </c>
      <c r="P17" s="141">
        <f>P16*Parameters!$B$6</f>
        <v>9333.333333</v>
      </c>
      <c r="Q17" s="27">
        <f>Q16*Parameters!$B$6</f>
        <v>9333.333333</v>
      </c>
      <c r="R17" s="27">
        <f>R16*Parameters!$B$6</f>
        <v>14133.33333</v>
      </c>
      <c r="S17" s="27">
        <f>S16*Parameters!$B$6</f>
        <v>18933.33333</v>
      </c>
      <c r="T17" s="27">
        <f>T16*Parameters!$B$6</f>
        <v>23733.33333</v>
      </c>
      <c r="U17" s="27">
        <f>U16*Parameters!$B$6</f>
        <v>28533.33333</v>
      </c>
      <c r="V17" s="27">
        <f>V16*Parameters!$B$6</f>
        <v>33333.33333</v>
      </c>
      <c r="W17" s="27">
        <f>W16*Parameters!$B$6</f>
        <v>38133.33333</v>
      </c>
      <c r="X17" s="27">
        <f>X16*Parameters!$B$6</f>
        <v>42933.33333</v>
      </c>
      <c r="Y17" s="27">
        <f>Y16*Parameters!$B$6</f>
        <v>42933.33333</v>
      </c>
      <c r="Z17" s="27">
        <f>Z16*Parameters!$B$6</f>
        <v>42933.33333</v>
      </c>
      <c r="AA17" s="27">
        <f>AA16*Parameters!$B$6</f>
        <v>42933.33333</v>
      </c>
      <c r="AB17" s="27">
        <f>AB16*Parameters!$B$6</f>
        <v>42933.33333</v>
      </c>
      <c r="AC17" s="27">
        <f>AC16*Parameters!$B$6</f>
        <v>42933.33333</v>
      </c>
      <c r="AD17" s="27">
        <f>AD16*Parameters!$B$6</f>
        <v>51106.66667</v>
      </c>
      <c r="AE17" s="27">
        <f>AE16*Parameters!$B$6</f>
        <v>59280</v>
      </c>
      <c r="AF17" s="27">
        <f>AF16*Parameters!$B$6</f>
        <v>67453.33333</v>
      </c>
      <c r="AG17" s="27">
        <f>AG16*Parameters!$B$6</f>
        <v>75626.66667</v>
      </c>
      <c r="AH17" s="27">
        <f>AH16*Parameters!$B$6</f>
        <v>83800</v>
      </c>
      <c r="AI17" s="27">
        <f>AI16*Parameters!$B$6</f>
        <v>91973.33333</v>
      </c>
      <c r="AJ17" s="27">
        <f>AJ16*Parameters!$B$6</f>
        <v>100146.6667</v>
      </c>
      <c r="AK17" s="27">
        <f>AK16*Parameters!$B$6</f>
        <v>100146.6667</v>
      </c>
      <c r="AL17" s="27">
        <f>AL16*Parameters!$B$6</f>
        <v>100146.6667</v>
      </c>
      <c r="AM17" s="27">
        <f>AM16*Parameters!$B$6</f>
        <v>100146.6667</v>
      </c>
      <c r="AN17" s="27">
        <f>AN16*Parameters!$B$6</f>
        <v>100146.6667</v>
      </c>
      <c r="AO17" s="27">
        <f>AO16*Parameters!$B$6</f>
        <v>100146.6667</v>
      </c>
      <c r="AP17" s="27">
        <f>AP16*Parameters!$B$6</f>
        <v>110506.6667</v>
      </c>
      <c r="AQ17" s="27">
        <f>AQ16*Parameters!$B$6</f>
        <v>120866.6667</v>
      </c>
      <c r="AR17" s="27">
        <f>AR16*Parameters!$B$6</f>
        <v>131226.6667</v>
      </c>
      <c r="AS17" s="27">
        <f>AS16*Parameters!$B$6</f>
        <v>141586.6667</v>
      </c>
      <c r="AT17" s="27">
        <f>AT16*Parameters!$B$6</f>
        <v>151946.6667</v>
      </c>
      <c r="AU17" s="27">
        <f>AU16*Parameters!$B$6</f>
        <v>162306.6667</v>
      </c>
      <c r="AV17" s="27">
        <f>AV16*Parameters!$B$6</f>
        <v>172666.6667</v>
      </c>
      <c r="AW17" s="27">
        <f>AW16*Parameters!$B$6</f>
        <v>172666.6667</v>
      </c>
      <c r="AX17" s="27">
        <f>AX16*Parameters!$B$6</f>
        <v>172666.6667</v>
      </c>
      <c r="AY17" s="27">
        <f>AY16*Parameters!$B$6</f>
        <v>172666.6667</v>
      </c>
      <c r="AZ17" s="27">
        <f>AZ16*Parameters!$B$6</f>
        <v>172666.6667</v>
      </c>
      <c r="BA17" s="27">
        <f>BA16*Parameters!$B$6</f>
        <v>172666.6667</v>
      </c>
      <c r="BB17" s="27"/>
      <c r="BC17" s="44">
        <f t="shared" ref="BC17:BF17" si="12">SUMPRODUCT((YEAR($F$3:$BA$3)=BC$3)*$F17:$BA17)</f>
        <v>84000</v>
      </c>
      <c r="BD17" s="44">
        <f t="shared" si="12"/>
        <v>414400</v>
      </c>
      <c r="BE17" s="44">
        <f t="shared" si="12"/>
        <v>1030120</v>
      </c>
      <c r="BF17" s="44">
        <f t="shared" si="12"/>
        <v>1854440</v>
      </c>
      <c r="BG17" s="17"/>
      <c r="BH17" s="17"/>
    </row>
    <row r="18" ht="15.75" customHeight="1">
      <c r="A18" s="3"/>
      <c r="B18" s="26" t="s">
        <v>96</v>
      </c>
      <c r="C18" s="107"/>
      <c r="D18" s="142"/>
      <c r="E18" s="117" t="s">
        <v>92</v>
      </c>
      <c r="F18" s="121">
        <v>0.0</v>
      </c>
      <c r="G18" s="123">
        <v>0.0</v>
      </c>
      <c r="H18" s="123">
        <v>0.0</v>
      </c>
      <c r="I18" s="123">
        <v>0.0</v>
      </c>
      <c r="J18" s="123">
        <v>0.0</v>
      </c>
      <c r="K18" s="123">
        <v>0.0</v>
      </c>
      <c r="L18" s="123">
        <v>0.0</v>
      </c>
      <c r="M18" s="122">
        <f t="array" ref="M18">F15*INDEX(Parameters!$C$53:$F$53,MATCH(YEAR(M$3),Parameters!$C$48:$F$48,0))</f>
        <v>0.08333333333</v>
      </c>
      <c r="N18" s="122">
        <f t="array" ref="N18">G15*INDEX(Parameters!$C$53:$F$53,MATCH(YEAR(N$3),Parameters!$C$48:$F$48,0))</f>
        <v>0.08333333333</v>
      </c>
      <c r="O18" s="122">
        <f t="array" ref="O18">H15*INDEX(Parameters!$C$53:$F$53,MATCH(YEAR(O$3),Parameters!$C$48:$F$48,0))</f>
        <v>0.08333333333</v>
      </c>
      <c r="P18" s="122">
        <f t="array" ref="P18">I15*INDEX(Parameters!$C$53:$F$53,MATCH(YEAR(P$3),Parameters!$C$48:$F$48,0))</f>
        <v>0.08333333333</v>
      </c>
      <c r="Q18" s="122">
        <f t="array" ref="Q18">J15*INDEX(Parameters!$C$53:$F$53,MATCH(YEAR(Q$3),Parameters!$C$48:$F$48,0))</f>
        <v>0.08333333333</v>
      </c>
      <c r="R18" s="122">
        <f t="array" ref="R18">K15*INDEX(Parameters!$C$53:$F$53,MATCH(YEAR(R$3),Parameters!$C$48:$F$48,0))</f>
        <v>0.09333333333</v>
      </c>
      <c r="S18" s="122">
        <f t="array" ref="S18">L15*INDEX(Parameters!$C$53:$F$53,MATCH(YEAR(S$3),Parameters!$C$48:$F$48,0))</f>
        <v>0.09333333333</v>
      </c>
      <c r="T18" s="122">
        <f t="array" ref="T18">M15*INDEX(Parameters!$C$53:$F$53,MATCH(YEAR(T$3),Parameters!$C$48:$F$48,0))</f>
        <v>0.09333333333</v>
      </c>
      <c r="U18" s="122">
        <f t="array" ref="U18">N15*INDEX(Parameters!$C$53:$F$53,MATCH(YEAR(U$3),Parameters!$C$48:$F$48,0))</f>
        <v>0.09333333333</v>
      </c>
      <c r="V18" s="122">
        <f t="array" ref="V18">O15*INDEX(Parameters!$C$53:$F$53,MATCH(YEAR(V$3),Parameters!$C$48:$F$48,0))</f>
        <v>0.09333333333</v>
      </c>
      <c r="W18" s="122">
        <f t="array" ref="W18">P15*INDEX(Parameters!$C$53:$F$53,MATCH(YEAR(W$3),Parameters!$C$48:$F$48,0))</f>
        <v>0.09333333333</v>
      </c>
      <c r="X18" s="122">
        <f t="array" ref="X18">Q15*INDEX(Parameters!$C$53:$F$53,MATCH(YEAR(X$3),Parameters!$C$48:$F$48,0))</f>
        <v>0.09333333333</v>
      </c>
      <c r="Y18" s="122">
        <f t="array" ref="Y18">R15*INDEX(Parameters!$C$53:$F$53,MATCH(YEAR(Y$3),Parameters!$C$48:$F$48,0))</f>
        <v>0.4293333333</v>
      </c>
      <c r="Z18" s="122">
        <f t="array" ref="Z18">S15*INDEX(Parameters!$C$53:$F$53,MATCH(YEAR(Z$3),Parameters!$C$48:$F$48,0))</f>
        <v>0.4293333333</v>
      </c>
      <c r="AA18" s="122">
        <f t="array" ref="AA18">T15*INDEX(Parameters!$C$53:$F$53,MATCH(YEAR(AA$3),Parameters!$C$48:$F$48,0))</f>
        <v>0.4293333333</v>
      </c>
      <c r="AB18" s="122">
        <f t="array" ref="AB18">U15*INDEX(Parameters!$C$53:$F$53,MATCH(YEAR(AB$3),Parameters!$C$48:$F$48,0))</f>
        <v>0.4293333333</v>
      </c>
      <c r="AC18" s="122">
        <f t="array" ref="AC18">V15*INDEX(Parameters!$C$53:$F$53,MATCH(YEAR(AC$3),Parameters!$C$48:$F$48,0))</f>
        <v>0.4293333333</v>
      </c>
      <c r="AD18" s="122">
        <f t="array" ref="AD18">W15*INDEX(Parameters!$C$53:$F$53,MATCH(YEAR(AD$3),Parameters!$C$48:$F$48,0))</f>
        <v>0.483</v>
      </c>
      <c r="AE18" s="122">
        <f t="array" ref="AE18">X15*INDEX(Parameters!$C$53:$F$53,MATCH(YEAR(AE$3),Parameters!$C$48:$F$48,0))</f>
        <v>0.483</v>
      </c>
      <c r="AF18" s="122">
        <f t="array" ref="AF18">Y15*INDEX(Parameters!$C$53:$F$53,MATCH(YEAR(AF$3),Parameters!$C$48:$F$48,0))</f>
        <v>0.483</v>
      </c>
      <c r="AG18" s="122">
        <f t="array" ref="AG18">Z15*INDEX(Parameters!$C$53:$F$53,MATCH(YEAR(AG$3),Parameters!$C$48:$F$48,0))</f>
        <v>0.483</v>
      </c>
      <c r="AH18" s="122">
        <f t="array" ref="AH18">AA15*INDEX(Parameters!$C$53:$F$53,MATCH(YEAR(AH$3),Parameters!$C$48:$F$48,0))</f>
        <v>0.483</v>
      </c>
      <c r="AI18" s="122">
        <f t="array" ref="AI18">AB15*INDEX(Parameters!$C$53:$F$53,MATCH(YEAR(AI$3),Parameters!$C$48:$F$48,0))</f>
        <v>0.483</v>
      </c>
      <c r="AJ18" s="122">
        <f t="array" ref="AJ18">AC15*INDEX(Parameters!$C$53:$F$53,MATCH(YEAR(AJ$3),Parameters!$C$48:$F$48,0))</f>
        <v>0.483</v>
      </c>
      <c r="AK18" s="122">
        <f t="array" ref="AK18">AD15*INDEX(Parameters!$C$53:$F$53,MATCH(YEAR(AK$3),Parameters!$C$48:$F$48,0))</f>
        <v>1.12665</v>
      </c>
      <c r="AL18" s="122">
        <f t="array" ref="AL18">AE15*INDEX(Parameters!$C$53:$F$53,MATCH(YEAR(AL$3),Parameters!$C$48:$F$48,0))</f>
        <v>1.12665</v>
      </c>
      <c r="AM18" s="122">
        <f t="array" ref="AM18">AF15*INDEX(Parameters!$C$53:$F$53,MATCH(YEAR(AM$3),Parameters!$C$48:$F$48,0))</f>
        <v>1.12665</v>
      </c>
      <c r="AN18" s="122">
        <f t="array" ref="AN18">AG15*INDEX(Parameters!$C$53:$F$53,MATCH(YEAR(AN$3),Parameters!$C$48:$F$48,0))</f>
        <v>1.12665</v>
      </c>
      <c r="AO18" s="122">
        <f t="array" ref="AO18">AH15*INDEX(Parameters!$C$53:$F$53,MATCH(YEAR(AO$3),Parameters!$C$48:$F$48,0))</f>
        <v>1.12665</v>
      </c>
      <c r="AP18" s="122">
        <f t="array" ref="AP18">AI15*INDEX(Parameters!$C$53:$F$53,MATCH(YEAR(AP$3),Parameters!$C$48:$F$48,0))</f>
        <v>1.251833333</v>
      </c>
      <c r="AQ18" s="122">
        <f t="array" ref="AQ18">AJ15*INDEX(Parameters!$C$53:$F$53,MATCH(YEAR(AQ$3),Parameters!$C$48:$F$48,0))</f>
        <v>1.251833333</v>
      </c>
      <c r="AR18" s="122">
        <f t="array" ref="AR18">AK15*INDEX(Parameters!$C$53:$F$53,MATCH(YEAR(AR$3),Parameters!$C$48:$F$48,0))</f>
        <v>1.251833333</v>
      </c>
      <c r="AS18" s="122">
        <f t="array" ref="AS18">AL15*INDEX(Parameters!$C$53:$F$53,MATCH(YEAR(AS$3),Parameters!$C$48:$F$48,0))</f>
        <v>1.251833333</v>
      </c>
      <c r="AT18" s="122">
        <f t="array" ref="AT18">AM15*INDEX(Parameters!$C$53:$F$53,MATCH(YEAR(AT$3),Parameters!$C$48:$F$48,0))</f>
        <v>1.251833333</v>
      </c>
      <c r="AU18" s="122">
        <f t="array" ref="AU18">AN15*INDEX(Parameters!$C$53:$F$53,MATCH(YEAR(AU$3),Parameters!$C$48:$F$48,0))</f>
        <v>1.251833333</v>
      </c>
      <c r="AV18" s="122">
        <f t="array" ref="AV18">AO15*INDEX(Parameters!$C$53:$F$53,MATCH(YEAR(AV$3),Parameters!$C$48:$F$48,0))</f>
        <v>1.251833333</v>
      </c>
      <c r="AW18" s="122">
        <f t="array" ref="AW18">AP15*INDEX(Parameters!$C$53:$F$53,MATCH(YEAR(AW$3),Parameters!$C$48:$F$48,0))</f>
        <v>2.158333333</v>
      </c>
      <c r="AX18" s="122">
        <f t="array" ref="AX18">AQ15*INDEX(Parameters!$C$53:$F$53,MATCH(YEAR(AX$3),Parameters!$C$48:$F$48,0))</f>
        <v>2.158333333</v>
      </c>
      <c r="AY18" s="122">
        <f t="array" ref="AY18">AR15*INDEX(Parameters!$C$53:$F$53,MATCH(YEAR(AY$3),Parameters!$C$48:$F$48,0))</f>
        <v>2.158333333</v>
      </c>
      <c r="AZ18" s="122">
        <f t="array" ref="AZ18">AS15*INDEX(Parameters!$C$53:$F$53,MATCH(YEAR(AZ$3),Parameters!$C$48:$F$48,0))</f>
        <v>2.158333333</v>
      </c>
      <c r="BA18" s="122">
        <f t="array" ref="BA18">AT15*INDEX(Parameters!$C$53:$F$53,MATCH(YEAR(BA$3),Parameters!$C$48:$F$48,0))</f>
        <v>2.158333333</v>
      </c>
      <c r="BB18" s="122"/>
      <c r="BC18" s="122">
        <f t="shared" ref="BC18:BF18" si="13">SUMPRODUCT((YEAR($F$3:$BA$3)=BC$3)*$F18:$BA18)</f>
        <v>0.4166666667</v>
      </c>
      <c r="BD18" s="122">
        <f t="shared" si="13"/>
        <v>2.8</v>
      </c>
      <c r="BE18" s="122">
        <f t="shared" si="13"/>
        <v>9.01425</v>
      </c>
      <c r="BF18" s="122">
        <f t="shared" si="13"/>
        <v>19.5545</v>
      </c>
      <c r="BG18" s="17"/>
      <c r="BH18" s="17"/>
    </row>
    <row r="19" ht="15.75" customHeight="1">
      <c r="A19" s="3"/>
      <c r="B19" s="26" t="s">
        <v>97</v>
      </c>
      <c r="C19" s="107"/>
      <c r="D19" s="142"/>
      <c r="E19" s="117" t="s">
        <v>95</v>
      </c>
      <c r="F19" s="55">
        <f t="array" ref="F19">F18*(INDEX(Parameters!$C$51:$F$51,MATCH(YEAR(F$3),Parameters!$C$48:$F$48,0))*Parameters!$B$12)</f>
        <v>0</v>
      </c>
      <c r="G19" s="27">
        <f t="array" ref="G19">G18*(INDEX(Parameters!$C$51:$F$51,MATCH(YEAR(G$3),Parameters!$C$48:$F$48,0))*Parameters!$B$12)</f>
        <v>0</v>
      </c>
      <c r="H19" s="44">
        <f t="array" ref="H19">H18*(INDEX(Parameters!$C$51:$F$51,MATCH(YEAR(H$3),Parameters!$C$48:$F$48,0))*Parameters!$B$12)</f>
        <v>0</v>
      </c>
      <c r="I19" s="27">
        <f t="array" ref="I19">I18*(INDEX(Parameters!$C$51:$F$51,MATCH(YEAR(I$3),Parameters!$C$48:$F$48,0))*Parameters!$B$12)</f>
        <v>0</v>
      </c>
      <c r="J19" s="27">
        <f t="array" ref="J19">J18*(INDEX(Parameters!$C$51:$F$51,MATCH(YEAR(J$3),Parameters!$C$48:$F$48,0))*Parameters!$B$12)</f>
        <v>0</v>
      </c>
      <c r="K19" s="27">
        <f t="array" ref="K19">K18*(INDEX(Parameters!$C$51:$F$51,MATCH(YEAR(K$3),Parameters!$C$48:$F$48,0))*Parameters!$B$12)</f>
        <v>0</v>
      </c>
      <c r="L19" s="27">
        <f t="array" ref="L19">L18*(INDEX(Parameters!$C$51:$F$51,MATCH(YEAR(L$3),Parameters!$C$48:$F$48,0))*Parameters!$B$12)</f>
        <v>0</v>
      </c>
      <c r="M19" s="27">
        <f t="array" ref="M19">M18*(INDEX(Parameters!$C$51:$F$51,MATCH(YEAR(M$3),Parameters!$C$48:$F$48,0))*Parameters!$B$12)</f>
        <v>10000</v>
      </c>
      <c r="N19" s="27">
        <f t="array" ref="N19">N18*(INDEX(Parameters!$C$51:$F$51,MATCH(YEAR(N$3),Parameters!$C$48:$F$48,0))*Parameters!$B$12)</f>
        <v>10000</v>
      </c>
      <c r="O19" s="27">
        <f t="array" ref="O19">O18*(INDEX(Parameters!$C$51:$F$51,MATCH(YEAR(O$3),Parameters!$C$48:$F$48,0))*Parameters!$B$12)</f>
        <v>10000</v>
      </c>
      <c r="P19" s="27">
        <f t="array" ref="P19">P18*(INDEX(Parameters!$C$51:$F$51,MATCH(YEAR(P$3),Parameters!$C$48:$F$48,0))*Parameters!$B$12)</f>
        <v>10000</v>
      </c>
      <c r="Q19" s="27">
        <f t="array" ref="Q19">Q18*(INDEX(Parameters!$C$51:$F$51,MATCH(YEAR(Q$3),Parameters!$C$48:$F$48,0))*Parameters!$B$12)</f>
        <v>10000</v>
      </c>
      <c r="R19" s="27">
        <f t="array" ref="R19">R18*(INDEX(Parameters!$C$51:$F$51,MATCH(YEAR(R$3),Parameters!$C$48:$F$48,0))*Parameters!$B$12)</f>
        <v>23333.33333</v>
      </c>
      <c r="S19" s="27">
        <f t="array" ref="S19">S18*(INDEX(Parameters!$C$51:$F$51,MATCH(YEAR(S$3),Parameters!$C$48:$F$48,0))*Parameters!$B$12)</f>
        <v>23333.33333</v>
      </c>
      <c r="T19" s="27">
        <f t="array" ref="T19">T18*(INDEX(Parameters!$C$51:$F$51,MATCH(YEAR(T$3),Parameters!$C$48:$F$48,0))*Parameters!$B$12)</f>
        <v>23333.33333</v>
      </c>
      <c r="U19" s="27">
        <f t="array" ref="U19">U18*(INDEX(Parameters!$C$51:$F$51,MATCH(YEAR(U$3),Parameters!$C$48:$F$48,0))*Parameters!$B$12)</f>
        <v>23333.33333</v>
      </c>
      <c r="V19" s="27">
        <f t="array" ref="V19">V18*(INDEX(Parameters!$C$51:$F$51,MATCH(YEAR(V$3),Parameters!$C$48:$F$48,0))*Parameters!$B$12)</f>
        <v>23333.33333</v>
      </c>
      <c r="W19" s="27">
        <f t="array" ref="W19">W18*(INDEX(Parameters!$C$51:$F$51,MATCH(YEAR(W$3),Parameters!$C$48:$F$48,0))*Parameters!$B$12)</f>
        <v>23333.33333</v>
      </c>
      <c r="X19" s="27">
        <f t="array" ref="X19">X18*(INDEX(Parameters!$C$51:$F$51,MATCH(YEAR(X$3),Parameters!$C$48:$F$48,0))*Parameters!$B$12)</f>
        <v>23333.33333</v>
      </c>
      <c r="Y19" s="27">
        <f t="array" ref="Y19">Y18*(INDEX(Parameters!$C$51:$F$51,MATCH(YEAR(Y$3),Parameters!$C$48:$F$48,0))*Parameters!$B$12)</f>
        <v>107333.3333</v>
      </c>
      <c r="Z19" s="27">
        <f t="array" ref="Z19">Z18*(INDEX(Parameters!$C$51:$F$51,MATCH(YEAR(Z$3),Parameters!$C$48:$F$48,0))*Parameters!$B$12)</f>
        <v>107333.3333</v>
      </c>
      <c r="AA19" s="27">
        <f t="array" ref="AA19">AA18*(INDEX(Parameters!$C$51:$F$51,MATCH(YEAR(AA$3),Parameters!$C$48:$F$48,0))*Parameters!$B$12)</f>
        <v>107333.3333</v>
      </c>
      <c r="AB19" s="27">
        <f t="array" ref="AB19">AB18*(INDEX(Parameters!$C$51:$F$51,MATCH(YEAR(AB$3),Parameters!$C$48:$F$48,0))*Parameters!$B$12)</f>
        <v>107333.3333</v>
      </c>
      <c r="AC19" s="27">
        <f t="array" ref="AC19">AC18*(INDEX(Parameters!$C$51:$F$51,MATCH(YEAR(AC$3),Parameters!$C$48:$F$48,0))*Parameters!$B$12)</f>
        <v>107333.3333</v>
      </c>
      <c r="AD19" s="27">
        <f t="array" ref="AD19">AD18*(INDEX(Parameters!$C$51:$F$51,MATCH(YEAR(AD$3),Parameters!$C$48:$F$48,0))*Parameters!$B$12)</f>
        <v>202860</v>
      </c>
      <c r="AE19" s="27">
        <f t="array" ref="AE19">AE18*(INDEX(Parameters!$C$51:$F$51,MATCH(YEAR(AE$3),Parameters!$C$48:$F$48,0))*Parameters!$B$12)</f>
        <v>202860</v>
      </c>
      <c r="AF19" s="27">
        <f t="array" ref="AF19">AF18*(INDEX(Parameters!$C$51:$F$51,MATCH(YEAR(AF$3),Parameters!$C$48:$F$48,0))*Parameters!$B$12)</f>
        <v>202860</v>
      </c>
      <c r="AG19" s="27">
        <f t="array" ref="AG19">AG18*(INDEX(Parameters!$C$51:$F$51,MATCH(YEAR(AG$3),Parameters!$C$48:$F$48,0))*Parameters!$B$12)</f>
        <v>202860</v>
      </c>
      <c r="AH19" s="27">
        <f t="array" ref="AH19">AH18*(INDEX(Parameters!$C$51:$F$51,MATCH(YEAR(AH$3),Parameters!$C$48:$F$48,0))*Parameters!$B$12)</f>
        <v>202860</v>
      </c>
      <c r="AI19" s="27">
        <f t="array" ref="AI19">AI18*(INDEX(Parameters!$C$51:$F$51,MATCH(YEAR(AI$3),Parameters!$C$48:$F$48,0))*Parameters!$B$12)</f>
        <v>202860</v>
      </c>
      <c r="AJ19" s="27">
        <f t="array" ref="AJ19">AJ18*(INDEX(Parameters!$C$51:$F$51,MATCH(YEAR(AJ$3),Parameters!$C$48:$F$48,0))*Parameters!$B$12)</f>
        <v>202860</v>
      </c>
      <c r="AK19" s="27">
        <f t="array" ref="AK19">AK18*(INDEX(Parameters!$C$51:$F$51,MATCH(YEAR(AK$3),Parameters!$C$48:$F$48,0))*Parameters!$B$12)</f>
        <v>473193</v>
      </c>
      <c r="AL19" s="27">
        <f t="array" ref="AL19">AL18*(INDEX(Parameters!$C$51:$F$51,MATCH(YEAR(AL$3),Parameters!$C$48:$F$48,0))*Parameters!$B$12)</f>
        <v>473193</v>
      </c>
      <c r="AM19" s="27">
        <f t="array" ref="AM19">AM18*(INDEX(Parameters!$C$51:$F$51,MATCH(YEAR(AM$3),Parameters!$C$48:$F$48,0))*Parameters!$B$12)</f>
        <v>473193</v>
      </c>
      <c r="AN19" s="27">
        <f t="array" ref="AN19">AN18*(INDEX(Parameters!$C$51:$F$51,MATCH(YEAR(AN$3),Parameters!$C$48:$F$48,0))*Parameters!$B$12)</f>
        <v>473193</v>
      </c>
      <c r="AO19" s="27">
        <f t="array" ref="AO19">AO18*(INDEX(Parameters!$C$51:$F$51,MATCH(YEAR(AO$3),Parameters!$C$48:$F$48,0))*Parameters!$B$12)</f>
        <v>473193</v>
      </c>
      <c r="AP19" s="27">
        <f t="array" ref="AP19">AP18*(INDEX(Parameters!$C$51:$F$51,MATCH(YEAR(AP$3),Parameters!$C$48:$F$48,0))*Parameters!$B$12)</f>
        <v>751100</v>
      </c>
      <c r="AQ19" s="27">
        <f t="array" ref="AQ19">AQ18*(INDEX(Parameters!$C$51:$F$51,MATCH(YEAR(AQ$3),Parameters!$C$48:$F$48,0))*Parameters!$B$12)</f>
        <v>751100</v>
      </c>
      <c r="AR19" s="27">
        <f t="array" ref="AR19">AR18*(INDEX(Parameters!$C$51:$F$51,MATCH(YEAR(AR$3),Parameters!$C$48:$F$48,0))*Parameters!$B$12)</f>
        <v>751100</v>
      </c>
      <c r="AS19" s="27">
        <f t="array" ref="AS19">AS18*(INDEX(Parameters!$C$51:$F$51,MATCH(YEAR(AS$3),Parameters!$C$48:$F$48,0))*Parameters!$B$12)</f>
        <v>751100</v>
      </c>
      <c r="AT19" s="27">
        <f t="array" ref="AT19">AT18*(INDEX(Parameters!$C$51:$F$51,MATCH(YEAR(AT$3),Parameters!$C$48:$F$48,0))*Parameters!$B$12)</f>
        <v>751100</v>
      </c>
      <c r="AU19" s="27">
        <f t="array" ref="AU19">AU18*(INDEX(Parameters!$C$51:$F$51,MATCH(YEAR(AU$3),Parameters!$C$48:$F$48,0))*Parameters!$B$12)</f>
        <v>751100</v>
      </c>
      <c r="AV19" s="27">
        <f t="array" ref="AV19">AV18*(INDEX(Parameters!$C$51:$F$51,MATCH(YEAR(AV$3),Parameters!$C$48:$F$48,0))*Parameters!$B$12)</f>
        <v>751100</v>
      </c>
      <c r="AW19" s="27">
        <f t="array" ref="AW19">AW18*(INDEX(Parameters!$C$51:$F$51,MATCH(YEAR(AW$3),Parameters!$C$48:$F$48,0))*Parameters!$B$12)</f>
        <v>1295000</v>
      </c>
      <c r="AX19" s="27">
        <f t="array" ref="AX19">AX18*(INDEX(Parameters!$C$51:$F$51,MATCH(YEAR(AX$3),Parameters!$C$48:$F$48,0))*Parameters!$B$12)</f>
        <v>1295000</v>
      </c>
      <c r="AY19" s="27">
        <f t="array" ref="AY19">AY18*(INDEX(Parameters!$C$51:$F$51,MATCH(YEAR(AY$3),Parameters!$C$48:$F$48,0))*Parameters!$B$12)</f>
        <v>1295000</v>
      </c>
      <c r="AZ19" s="27">
        <f t="array" ref="AZ19">AZ18*(INDEX(Parameters!$C$51:$F$51,MATCH(YEAR(AZ$3),Parameters!$C$48:$F$48,0))*Parameters!$B$12)</f>
        <v>1295000</v>
      </c>
      <c r="BA19" s="27">
        <f t="array" ref="BA19">BA18*(INDEX(Parameters!$C$51:$F$51,MATCH(YEAR(BA$3),Parameters!$C$48:$F$48,0))*Parameters!$B$12)</f>
        <v>1295000</v>
      </c>
      <c r="BB19" s="27"/>
      <c r="BC19" s="27">
        <f t="shared" ref="BC19:BF19" si="14">SUMPRODUCT((YEAR($F$3:$BA$3)=BC$3)*$F19:$BA19)</f>
        <v>50000</v>
      </c>
      <c r="BD19" s="27">
        <f t="shared" si="14"/>
        <v>700000</v>
      </c>
      <c r="BE19" s="27">
        <f t="shared" si="14"/>
        <v>3785985</v>
      </c>
      <c r="BF19" s="27">
        <f t="shared" si="14"/>
        <v>11732700</v>
      </c>
      <c r="BG19" s="17"/>
      <c r="BH19" s="17"/>
    </row>
    <row r="20" ht="15.75" customHeight="1">
      <c r="A20" s="3"/>
      <c r="B20" s="126" t="s">
        <v>99</v>
      </c>
      <c r="C20" s="127"/>
      <c r="D20" s="143"/>
      <c r="E20" s="128" t="s">
        <v>95</v>
      </c>
      <c r="F20" s="40">
        <f t="shared" ref="F20:BA20" si="15">F17+F19</f>
        <v>1333.333333</v>
      </c>
      <c r="G20" s="40">
        <f t="shared" si="15"/>
        <v>2666.666667</v>
      </c>
      <c r="H20" s="40">
        <f t="shared" si="15"/>
        <v>4000</v>
      </c>
      <c r="I20" s="40">
        <f t="shared" si="15"/>
        <v>5333.333333</v>
      </c>
      <c r="J20" s="40">
        <f t="shared" si="15"/>
        <v>6666.666667</v>
      </c>
      <c r="K20" s="40">
        <f t="shared" si="15"/>
        <v>8000</v>
      </c>
      <c r="L20" s="40">
        <f t="shared" si="15"/>
        <v>9333.333333</v>
      </c>
      <c r="M20" s="40">
        <f t="shared" si="15"/>
        <v>19333.33333</v>
      </c>
      <c r="N20" s="40">
        <f t="shared" si="15"/>
        <v>19333.33333</v>
      </c>
      <c r="O20" s="40">
        <f t="shared" si="15"/>
        <v>19333.33333</v>
      </c>
      <c r="P20" s="40">
        <f t="shared" si="15"/>
        <v>19333.33333</v>
      </c>
      <c r="Q20" s="40">
        <f t="shared" si="15"/>
        <v>19333.33333</v>
      </c>
      <c r="R20" s="40">
        <f t="shared" si="15"/>
        <v>37466.66667</v>
      </c>
      <c r="S20" s="40">
        <f t="shared" si="15"/>
        <v>42266.66667</v>
      </c>
      <c r="T20" s="40">
        <f t="shared" si="15"/>
        <v>47066.66667</v>
      </c>
      <c r="U20" s="40">
        <f t="shared" si="15"/>
        <v>51866.66667</v>
      </c>
      <c r="V20" s="40">
        <f t="shared" si="15"/>
        <v>56666.66667</v>
      </c>
      <c r="W20" s="40">
        <f t="shared" si="15"/>
        <v>61466.66667</v>
      </c>
      <c r="X20" s="40">
        <f t="shared" si="15"/>
        <v>66266.66667</v>
      </c>
      <c r="Y20" s="40">
        <f t="shared" si="15"/>
        <v>150266.6667</v>
      </c>
      <c r="Z20" s="40">
        <f t="shared" si="15"/>
        <v>150266.6667</v>
      </c>
      <c r="AA20" s="40">
        <f t="shared" si="15"/>
        <v>150266.6667</v>
      </c>
      <c r="AB20" s="40">
        <f t="shared" si="15"/>
        <v>150266.6667</v>
      </c>
      <c r="AC20" s="40">
        <f t="shared" si="15"/>
        <v>150266.6667</v>
      </c>
      <c r="AD20" s="40">
        <f t="shared" si="15"/>
        <v>253966.6667</v>
      </c>
      <c r="AE20" s="40">
        <f t="shared" si="15"/>
        <v>262140</v>
      </c>
      <c r="AF20" s="40">
        <f t="shared" si="15"/>
        <v>270313.3333</v>
      </c>
      <c r="AG20" s="40">
        <f t="shared" si="15"/>
        <v>278486.6667</v>
      </c>
      <c r="AH20" s="40">
        <f t="shared" si="15"/>
        <v>286660</v>
      </c>
      <c r="AI20" s="40">
        <f t="shared" si="15"/>
        <v>294833.3333</v>
      </c>
      <c r="AJ20" s="40">
        <f t="shared" si="15"/>
        <v>303006.6667</v>
      </c>
      <c r="AK20" s="40">
        <f t="shared" si="15"/>
        <v>573339.6667</v>
      </c>
      <c r="AL20" s="40">
        <f t="shared" si="15"/>
        <v>573339.6667</v>
      </c>
      <c r="AM20" s="40">
        <f t="shared" si="15"/>
        <v>573339.6667</v>
      </c>
      <c r="AN20" s="40">
        <f t="shared" si="15"/>
        <v>573339.6667</v>
      </c>
      <c r="AO20" s="40">
        <f t="shared" si="15"/>
        <v>573339.6667</v>
      </c>
      <c r="AP20" s="40">
        <f t="shared" si="15"/>
        <v>861606.6667</v>
      </c>
      <c r="AQ20" s="40">
        <f t="shared" si="15"/>
        <v>871966.6667</v>
      </c>
      <c r="AR20" s="40">
        <f t="shared" si="15"/>
        <v>882326.6667</v>
      </c>
      <c r="AS20" s="40">
        <f t="shared" si="15"/>
        <v>892686.6667</v>
      </c>
      <c r="AT20" s="40">
        <f t="shared" si="15"/>
        <v>903046.6667</v>
      </c>
      <c r="AU20" s="40">
        <f t="shared" si="15"/>
        <v>913406.6667</v>
      </c>
      <c r="AV20" s="40">
        <f t="shared" si="15"/>
        <v>923766.6667</v>
      </c>
      <c r="AW20" s="40">
        <f t="shared" si="15"/>
        <v>1467666.667</v>
      </c>
      <c r="AX20" s="40">
        <f t="shared" si="15"/>
        <v>1467666.667</v>
      </c>
      <c r="AY20" s="40">
        <f t="shared" si="15"/>
        <v>1467666.667</v>
      </c>
      <c r="AZ20" s="40">
        <f t="shared" si="15"/>
        <v>1467666.667</v>
      </c>
      <c r="BA20" s="40">
        <f t="shared" si="15"/>
        <v>1467666.667</v>
      </c>
      <c r="BB20" s="40"/>
      <c r="BC20" s="40">
        <f t="shared" ref="BC20:BF20" si="16">SUMPRODUCT((YEAR($F$3:$BA$3)=BC$3)*$F20:$BA20)</f>
        <v>134000</v>
      </c>
      <c r="BD20" s="40">
        <f t="shared" si="16"/>
        <v>1114400</v>
      </c>
      <c r="BE20" s="40">
        <f t="shared" si="16"/>
        <v>4816105</v>
      </c>
      <c r="BF20" s="40">
        <f t="shared" si="16"/>
        <v>13587140</v>
      </c>
      <c r="BG20" s="17"/>
      <c r="BH20" s="17"/>
    </row>
    <row r="21" ht="15.75" customHeight="1">
      <c r="A21" s="3"/>
      <c r="B21" s="26"/>
      <c r="C21" s="3"/>
      <c r="D21" s="144"/>
      <c r="E21" s="117"/>
      <c r="F21" s="125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17"/>
      <c r="BH21" s="17"/>
    </row>
    <row r="22" ht="15.75" customHeight="1">
      <c r="A22" s="3"/>
      <c r="B22" s="41" t="s">
        <v>100</v>
      </c>
      <c r="C22" s="25"/>
      <c r="D22" s="145"/>
      <c r="E22" s="41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17"/>
      <c r="BH22" s="17"/>
    </row>
    <row r="23" ht="15.75" customHeight="1">
      <c r="A23" s="3"/>
      <c r="B23" s="26" t="s">
        <v>101</v>
      </c>
      <c r="C23" s="3"/>
      <c r="D23" s="144"/>
      <c r="E23" s="54" t="s">
        <v>95</v>
      </c>
      <c r="F23" s="125">
        <f t="shared" ref="F23:BA23" si="17">F9+F17</f>
        <v>11833.33333</v>
      </c>
      <c r="G23" s="27">
        <f t="shared" si="17"/>
        <v>23666.66667</v>
      </c>
      <c r="H23" s="27">
        <f t="shared" si="17"/>
        <v>35500</v>
      </c>
      <c r="I23" s="27">
        <f t="shared" si="17"/>
        <v>47333.33333</v>
      </c>
      <c r="J23" s="27">
        <f t="shared" si="17"/>
        <v>59166.66667</v>
      </c>
      <c r="K23" s="27">
        <f t="shared" si="17"/>
        <v>60500</v>
      </c>
      <c r="L23" s="27">
        <f t="shared" si="17"/>
        <v>61833.33333</v>
      </c>
      <c r="M23" s="27">
        <f t="shared" si="17"/>
        <v>61833.33333</v>
      </c>
      <c r="N23" s="27">
        <f t="shared" si="17"/>
        <v>61833.33333</v>
      </c>
      <c r="O23" s="27">
        <f t="shared" si="17"/>
        <v>61833.33333</v>
      </c>
      <c r="P23" s="27">
        <f t="shared" si="17"/>
        <v>61833.33333</v>
      </c>
      <c r="Q23" s="27">
        <f t="shared" si="17"/>
        <v>61833.33333</v>
      </c>
      <c r="R23" s="27">
        <f t="shared" si="17"/>
        <v>74100</v>
      </c>
      <c r="S23" s="27">
        <f t="shared" si="17"/>
        <v>86366.66667</v>
      </c>
      <c r="T23" s="27">
        <f t="shared" si="17"/>
        <v>98633.33333</v>
      </c>
      <c r="U23" s="27">
        <f t="shared" si="17"/>
        <v>110900</v>
      </c>
      <c r="V23" s="27">
        <f t="shared" si="17"/>
        <v>123166.6667</v>
      </c>
      <c r="W23" s="27">
        <f t="shared" si="17"/>
        <v>127966.6667</v>
      </c>
      <c r="X23" s="27">
        <f t="shared" si="17"/>
        <v>132766.6667</v>
      </c>
      <c r="Y23" s="27">
        <f t="shared" si="17"/>
        <v>132766.6667</v>
      </c>
      <c r="Z23" s="27">
        <f t="shared" si="17"/>
        <v>132766.6667</v>
      </c>
      <c r="AA23" s="27">
        <f t="shared" si="17"/>
        <v>132766.6667</v>
      </c>
      <c r="AB23" s="27">
        <f t="shared" si="17"/>
        <v>132766.6667</v>
      </c>
      <c r="AC23" s="27">
        <f t="shared" si="17"/>
        <v>132766.6667</v>
      </c>
      <c r="AD23" s="27">
        <f t="shared" si="17"/>
        <v>144288.3333</v>
      </c>
      <c r="AE23" s="27">
        <f t="shared" si="17"/>
        <v>155810</v>
      </c>
      <c r="AF23" s="27">
        <f t="shared" si="17"/>
        <v>167331.6667</v>
      </c>
      <c r="AG23" s="27">
        <f t="shared" si="17"/>
        <v>178853.3333</v>
      </c>
      <c r="AH23" s="27">
        <f t="shared" si="17"/>
        <v>190375</v>
      </c>
      <c r="AI23" s="27">
        <f t="shared" si="17"/>
        <v>198548.3333</v>
      </c>
      <c r="AJ23" s="27">
        <f t="shared" si="17"/>
        <v>206721.6667</v>
      </c>
      <c r="AK23" s="27">
        <f t="shared" si="17"/>
        <v>206721.6667</v>
      </c>
      <c r="AL23" s="27">
        <f t="shared" si="17"/>
        <v>206721.6667</v>
      </c>
      <c r="AM23" s="27">
        <f t="shared" si="17"/>
        <v>206721.6667</v>
      </c>
      <c r="AN23" s="27">
        <f t="shared" si="17"/>
        <v>206721.6667</v>
      </c>
      <c r="AO23" s="27">
        <f t="shared" si="17"/>
        <v>206721.6667</v>
      </c>
      <c r="AP23" s="27">
        <f t="shared" si="17"/>
        <v>217350</v>
      </c>
      <c r="AQ23" s="27">
        <f t="shared" si="17"/>
        <v>227978.3333</v>
      </c>
      <c r="AR23" s="27">
        <f t="shared" si="17"/>
        <v>238606.6667</v>
      </c>
      <c r="AS23" s="27">
        <f t="shared" si="17"/>
        <v>249235</v>
      </c>
      <c r="AT23" s="27">
        <f t="shared" si="17"/>
        <v>259863.3333</v>
      </c>
      <c r="AU23" s="27">
        <f t="shared" si="17"/>
        <v>270223.3333</v>
      </c>
      <c r="AV23" s="27">
        <f t="shared" si="17"/>
        <v>280583.3333</v>
      </c>
      <c r="AW23" s="27">
        <f t="shared" si="17"/>
        <v>280583.3333</v>
      </c>
      <c r="AX23" s="27">
        <f t="shared" si="17"/>
        <v>280583.3333</v>
      </c>
      <c r="AY23" s="27">
        <f t="shared" si="17"/>
        <v>280583.3333</v>
      </c>
      <c r="AZ23" s="27">
        <f t="shared" si="17"/>
        <v>280583.3333</v>
      </c>
      <c r="BA23" s="27">
        <f t="shared" si="17"/>
        <v>280583.3333</v>
      </c>
      <c r="BB23" s="27"/>
      <c r="BC23" s="27">
        <f t="shared" ref="BC23:BF23" si="18">SUMPRODUCT((YEAR($F$3:$BA$3)=BC$3)*$F23:$BA23)</f>
        <v>609000</v>
      </c>
      <c r="BD23" s="27">
        <f t="shared" si="18"/>
        <v>1417733.333</v>
      </c>
      <c r="BE23" s="27">
        <f t="shared" si="18"/>
        <v>2275536.667</v>
      </c>
      <c r="BF23" s="27">
        <f t="shared" si="18"/>
        <v>3146756.667</v>
      </c>
      <c r="BG23" s="17"/>
      <c r="BH23" s="17"/>
    </row>
    <row r="24" ht="15.75" customHeight="1">
      <c r="A24" s="3"/>
      <c r="B24" s="26" t="s">
        <v>102</v>
      </c>
      <c r="C24" s="3"/>
      <c r="D24" s="144"/>
      <c r="E24" s="54" t="s">
        <v>95</v>
      </c>
      <c r="F24" s="125">
        <f t="shared" ref="F24:BA24" si="19">F11+F19</f>
        <v>0</v>
      </c>
      <c r="G24" s="27">
        <f t="shared" si="19"/>
        <v>0</v>
      </c>
      <c r="H24" s="27">
        <f t="shared" si="19"/>
        <v>0</v>
      </c>
      <c r="I24" s="27">
        <f t="shared" si="19"/>
        <v>0</v>
      </c>
      <c r="J24" s="27">
        <f t="shared" si="19"/>
        <v>0</v>
      </c>
      <c r="K24" s="27">
        <f t="shared" si="19"/>
        <v>6750</v>
      </c>
      <c r="L24" s="27">
        <f t="shared" si="19"/>
        <v>6750</v>
      </c>
      <c r="M24" s="27">
        <f t="shared" si="19"/>
        <v>16750</v>
      </c>
      <c r="N24" s="27">
        <f t="shared" si="19"/>
        <v>16750</v>
      </c>
      <c r="O24" s="27">
        <f t="shared" si="19"/>
        <v>16750</v>
      </c>
      <c r="P24" s="27">
        <f t="shared" si="19"/>
        <v>16750</v>
      </c>
      <c r="Q24" s="27">
        <f t="shared" si="19"/>
        <v>16750</v>
      </c>
      <c r="R24" s="27">
        <f t="shared" si="19"/>
        <v>31433.33333</v>
      </c>
      <c r="S24" s="27">
        <f t="shared" si="19"/>
        <v>31433.33333</v>
      </c>
      <c r="T24" s="27">
        <f t="shared" si="19"/>
        <v>31433.33333</v>
      </c>
      <c r="U24" s="27">
        <f t="shared" si="19"/>
        <v>31433.33333</v>
      </c>
      <c r="V24" s="27">
        <f t="shared" si="19"/>
        <v>31433.33333</v>
      </c>
      <c r="W24" s="27">
        <f t="shared" si="19"/>
        <v>37193.33333</v>
      </c>
      <c r="X24" s="27">
        <f t="shared" si="19"/>
        <v>37193.33333</v>
      </c>
      <c r="Y24" s="27">
        <f t="shared" si="19"/>
        <v>121193.3333</v>
      </c>
      <c r="Z24" s="27">
        <f t="shared" si="19"/>
        <v>121193.3333</v>
      </c>
      <c r="AA24" s="27">
        <f t="shared" si="19"/>
        <v>121193.3333</v>
      </c>
      <c r="AB24" s="27">
        <f t="shared" si="19"/>
        <v>121193.3333</v>
      </c>
      <c r="AC24" s="27">
        <f t="shared" si="19"/>
        <v>121193.3333</v>
      </c>
      <c r="AD24" s="27">
        <f t="shared" si="19"/>
        <v>219800</v>
      </c>
      <c r="AE24" s="27">
        <f t="shared" si="19"/>
        <v>219800</v>
      </c>
      <c r="AF24" s="27">
        <f t="shared" si="19"/>
        <v>219800</v>
      </c>
      <c r="AG24" s="27">
        <f t="shared" si="19"/>
        <v>219800</v>
      </c>
      <c r="AH24" s="27">
        <f t="shared" si="19"/>
        <v>219800</v>
      </c>
      <c r="AI24" s="27">
        <f t="shared" si="19"/>
        <v>222957</v>
      </c>
      <c r="AJ24" s="27">
        <f t="shared" si="19"/>
        <v>222957</v>
      </c>
      <c r="AK24" s="27">
        <f t="shared" si="19"/>
        <v>493290</v>
      </c>
      <c r="AL24" s="27">
        <f t="shared" si="19"/>
        <v>493290</v>
      </c>
      <c r="AM24" s="27">
        <f t="shared" si="19"/>
        <v>493290</v>
      </c>
      <c r="AN24" s="27">
        <f t="shared" si="19"/>
        <v>493290</v>
      </c>
      <c r="AO24" s="27">
        <f t="shared" si="19"/>
        <v>493290</v>
      </c>
      <c r="AP24" s="27">
        <f t="shared" si="19"/>
        <v>773937.5</v>
      </c>
      <c r="AQ24" s="27">
        <f t="shared" si="19"/>
        <v>773937.5</v>
      </c>
      <c r="AR24" s="27">
        <f t="shared" si="19"/>
        <v>773937.5</v>
      </c>
      <c r="AS24" s="27">
        <f t="shared" si="19"/>
        <v>773937.5</v>
      </c>
      <c r="AT24" s="27">
        <f t="shared" si="19"/>
        <v>773937.5</v>
      </c>
      <c r="AU24" s="27">
        <f t="shared" si="19"/>
        <v>774225</v>
      </c>
      <c r="AV24" s="27">
        <f t="shared" si="19"/>
        <v>774225</v>
      </c>
      <c r="AW24" s="27">
        <f t="shared" si="19"/>
        <v>1318125</v>
      </c>
      <c r="AX24" s="27">
        <f t="shared" si="19"/>
        <v>1318125</v>
      </c>
      <c r="AY24" s="27">
        <f t="shared" si="19"/>
        <v>1318125</v>
      </c>
      <c r="AZ24" s="27">
        <f t="shared" si="19"/>
        <v>1318125</v>
      </c>
      <c r="BA24" s="27">
        <f t="shared" si="19"/>
        <v>1318125</v>
      </c>
      <c r="BB24" s="27"/>
      <c r="BC24" s="27">
        <f t="shared" ref="BC24:BF24" si="20">SUMPRODUCT((YEAR($F$3:$BA$3)=BC$3)*$F24:$BA24)</f>
        <v>97250</v>
      </c>
      <c r="BD24" s="27">
        <f t="shared" si="20"/>
        <v>837520</v>
      </c>
      <c r="BE24" s="27">
        <f t="shared" si="20"/>
        <v>4011364</v>
      </c>
      <c r="BF24" s="27">
        <f t="shared" si="20"/>
        <v>12008762.5</v>
      </c>
      <c r="BG24" s="17"/>
      <c r="BH24" s="17"/>
    </row>
    <row r="25" ht="15.75" customHeight="1">
      <c r="A25" s="3"/>
      <c r="B25" s="126" t="s">
        <v>103</v>
      </c>
      <c r="C25" s="127"/>
      <c r="D25" s="143"/>
      <c r="E25" s="126" t="s">
        <v>95</v>
      </c>
      <c r="F25" s="40">
        <f t="shared" ref="F25:BA25" si="21">F23+F24</f>
        <v>11833.33333</v>
      </c>
      <c r="G25" s="40">
        <f t="shared" si="21"/>
        <v>23666.66667</v>
      </c>
      <c r="H25" s="40">
        <f t="shared" si="21"/>
        <v>35500</v>
      </c>
      <c r="I25" s="40">
        <f t="shared" si="21"/>
        <v>47333.33333</v>
      </c>
      <c r="J25" s="40">
        <f t="shared" si="21"/>
        <v>59166.66667</v>
      </c>
      <c r="K25" s="40">
        <f t="shared" si="21"/>
        <v>67250</v>
      </c>
      <c r="L25" s="40">
        <f t="shared" si="21"/>
        <v>68583.33333</v>
      </c>
      <c r="M25" s="40">
        <f t="shared" si="21"/>
        <v>78583.33333</v>
      </c>
      <c r="N25" s="40">
        <f t="shared" si="21"/>
        <v>78583.33333</v>
      </c>
      <c r="O25" s="40">
        <f t="shared" si="21"/>
        <v>78583.33333</v>
      </c>
      <c r="P25" s="40">
        <f t="shared" si="21"/>
        <v>78583.33333</v>
      </c>
      <c r="Q25" s="40">
        <f t="shared" si="21"/>
        <v>78583.33333</v>
      </c>
      <c r="R25" s="40">
        <f t="shared" si="21"/>
        <v>105533.3333</v>
      </c>
      <c r="S25" s="40">
        <f t="shared" si="21"/>
        <v>117800</v>
      </c>
      <c r="T25" s="40">
        <f t="shared" si="21"/>
        <v>130066.6667</v>
      </c>
      <c r="U25" s="40">
        <f t="shared" si="21"/>
        <v>142333.3333</v>
      </c>
      <c r="V25" s="40">
        <f t="shared" si="21"/>
        <v>154600</v>
      </c>
      <c r="W25" s="40">
        <f t="shared" si="21"/>
        <v>165160</v>
      </c>
      <c r="X25" s="40">
        <f t="shared" si="21"/>
        <v>169960</v>
      </c>
      <c r="Y25" s="40">
        <f t="shared" si="21"/>
        <v>253960</v>
      </c>
      <c r="Z25" s="40">
        <f t="shared" si="21"/>
        <v>253960</v>
      </c>
      <c r="AA25" s="40">
        <f t="shared" si="21"/>
        <v>253960</v>
      </c>
      <c r="AB25" s="40">
        <f t="shared" si="21"/>
        <v>253960</v>
      </c>
      <c r="AC25" s="40">
        <f t="shared" si="21"/>
        <v>253960</v>
      </c>
      <c r="AD25" s="40">
        <f t="shared" si="21"/>
        <v>364088.3333</v>
      </c>
      <c r="AE25" s="40">
        <f t="shared" si="21"/>
        <v>375610</v>
      </c>
      <c r="AF25" s="40">
        <f t="shared" si="21"/>
        <v>387131.6667</v>
      </c>
      <c r="AG25" s="40">
        <f t="shared" si="21"/>
        <v>398653.3333</v>
      </c>
      <c r="AH25" s="40">
        <f t="shared" si="21"/>
        <v>410175</v>
      </c>
      <c r="AI25" s="40">
        <f t="shared" si="21"/>
        <v>421505.3333</v>
      </c>
      <c r="AJ25" s="40">
        <f t="shared" si="21"/>
        <v>429678.6667</v>
      </c>
      <c r="AK25" s="40">
        <f t="shared" si="21"/>
        <v>700011.6667</v>
      </c>
      <c r="AL25" s="40">
        <f t="shared" si="21"/>
        <v>700011.6667</v>
      </c>
      <c r="AM25" s="40">
        <f t="shared" si="21"/>
        <v>700011.6667</v>
      </c>
      <c r="AN25" s="40">
        <f t="shared" si="21"/>
        <v>700011.6667</v>
      </c>
      <c r="AO25" s="40">
        <f t="shared" si="21"/>
        <v>700011.6667</v>
      </c>
      <c r="AP25" s="40">
        <f t="shared" si="21"/>
        <v>991287.5</v>
      </c>
      <c r="AQ25" s="40">
        <f t="shared" si="21"/>
        <v>1001915.833</v>
      </c>
      <c r="AR25" s="40">
        <f t="shared" si="21"/>
        <v>1012544.167</v>
      </c>
      <c r="AS25" s="40">
        <f t="shared" si="21"/>
        <v>1023172.5</v>
      </c>
      <c r="AT25" s="40">
        <f t="shared" si="21"/>
        <v>1033800.833</v>
      </c>
      <c r="AU25" s="40">
        <f t="shared" si="21"/>
        <v>1044448.333</v>
      </c>
      <c r="AV25" s="40">
        <f t="shared" si="21"/>
        <v>1054808.333</v>
      </c>
      <c r="AW25" s="40">
        <f t="shared" si="21"/>
        <v>1598708.333</v>
      </c>
      <c r="AX25" s="40">
        <f t="shared" si="21"/>
        <v>1598708.333</v>
      </c>
      <c r="AY25" s="40">
        <f t="shared" si="21"/>
        <v>1598708.333</v>
      </c>
      <c r="AZ25" s="40">
        <f t="shared" si="21"/>
        <v>1598708.333</v>
      </c>
      <c r="BA25" s="40">
        <f t="shared" si="21"/>
        <v>1598708.333</v>
      </c>
      <c r="BB25" s="40"/>
      <c r="BC25" s="40">
        <f t="shared" ref="BC25:BF25" si="22">SUMPRODUCT((YEAR($F$3:$BA$3)=BC$3)*$F25:$BA25)</f>
        <v>706250</v>
      </c>
      <c r="BD25" s="40">
        <f t="shared" si="22"/>
        <v>2255253.333</v>
      </c>
      <c r="BE25" s="40">
        <f t="shared" si="22"/>
        <v>6286900.667</v>
      </c>
      <c r="BF25" s="40">
        <f t="shared" si="22"/>
        <v>15155519.17</v>
      </c>
      <c r="BG25" s="17"/>
      <c r="BH25" s="17"/>
    </row>
    <row r="26" ht="15.75" customHeight="1">
      <c r="A26" s="3"/>
      <c r="B26" s="26" t="s">
        <v>4</v>
      </c>
      <c r="C26" s="3"/>
      <c r="D26" s="144"/>
      <c r="E26" s="54" t="s">
        <v>95</v>
      </c>
      <c r="F26" s="125">
        <f t="array" ref="F26">-INDEX(Parameters!$C$54:$F$54,MATCH(YEAR(F$3),Parameters!$C$48:$F$48,0))*INDEX(Parameters!$C$56:$F$56,MATCH(YEAR(F$3),Parameters!$C$48:$F$48,0))*F25</f>
        <v>-739.5833333</v>
      </c>
      <c r="G26" s="27">
        <f t="array" ref="G26">-INDEX(Parameters!$C$54:$F$54,MATCH(YEAR(G$3),Parameters!$C$48:$F$48,0))*INDEX(Parameters!$C$56:$F$56,MATCH(YEAR(G$3),Parameters!$C$48:$F$48,0))*G25</f>
        <v>-1479.166667</v>
      </c>
      <c r="H26" s="27">
        <f t="array" ref="H26">-INDEX(Parameters!$C$54:$F$54,MATCH(YEAR(H$3),Parameters!$C$48:$F$48,0))*INDEX(Parameters!$C$56:$F$56,MATCH(YEAR(H$3),Parameters!$C$48:$F$48,0))*H25</f>
        <v>-2218.75</v>
      </c>
      <c r="I26" s="27">
        <f t="array" ref="I26">-INDEX(Parameters!$C$54:$F$54,MATCH(YEAR(I$3),Parameters!$C$48:$F$48,0))*INDEX(Parameters!$C$56:$F$56,MATCH(YEAR(I$3),Parameters!$C$48:$F$48,0))*I25</f>
        <v>-2958.333333</v>
      </c>
      <c r="J26" s="27">
        <f t="array" ref="J26">-INDEX(Parameters!$C$54:$F$54,MATCH(YEAR(J$3),Parameters!$C$48:$F$48,0))*INDEX(Parameters!$C$56:$F$56,MATCH(YEAR(J$3),Parameters!$C$48:$F$48,0))*J25</f>
        <v>-3697.916667</v>
      </c>
      <c r="K26" s="27">
        <f t="array" ref="K26">-INDEX(Parameters!$C$54:$F$54,MATCH(YEAR(K$3),Parameters!$C$48:$F$48,0))*INDEX(Parameters!$C$56:$F$56,MATCH(YEAR(K$3),Parameters!$C$48:$F$48,0))*K25</f>
        <v>-4203.125</v>
      </c>
      <c r="L26" s="27">
        <f t="array" ref="L26">-INDEX(Parameters!$C$54:$F$54,MATCH(YEAR(L$3),Parameters!$C$48:$F$48,0))*INDEX(Parameters!$C$56:$F$56,MATCH(YEAR(L$3),Parameters!$C$48:$F$48,0))*L25</f>
        <v>-4286.458333</v>
      </c>
      <c r="M26" s="27">
        <f t="array" ref="M26">-INDEX(Parameters!$C$54:$F$54,MATCH(YEAR(M$3),Parameters!$C$48:$F$48,0))*INDEX(Parameters!$C$56:$F$56,MATCH(YEAR(M$3),Parameters!$C$48:$F$48,0))*M25</f>
        <v>-4911.458333</v>
      </c>
      <c r="N26" s="27">
        <f t="array" ref="N26">-INDEX(Parameters!$C$54:$F$54,MATCH(YEAR(N$3),Parameters!$C$48:$F$48,0))*INDEX(Parameters!$C$56:$F$56,MATCH(YEAR(N$3),Parameters!$C$48:$F$48,0))*N25</f>
        <v>-4911.458333</v>
      </c>
      <c r="O26" s="27">
        <f t="array" ref="O26">-INDEX(Parameters!$C$54:$F$54,MATCH(YEAR(O$3),Parameters!$C$48:$F$48,0))*INDEX(Parameters!$C$56:$F$56,MATCH(YEAR(O$3),Parameters!$C$48:$F$48,0))*O25</f>
        <v>-4911.458333</v>
      </c>
      <c r="P26" s="27">
        <f t="array" ref="P26">-INDEX(Parameters!$C$54:$F$54,MATCH(YEAR(P$3),Parameters!$C$48:$F$48,0))*INDEX(Parameters!$C$56:$F$56,MATCH(YEAR(P$3),Parameters!$C$48:$F$48,0))*P25</f>
        <v>-4911.458333</v>
      </c>
      <c r="Q26" s="27">
        <f t="array" ref="Q26">-INDEX(Parameters!$C$54:$F$54,MATCH(YEAR(Q$3),Parameters!$C$48:$F$48,0))*INDEX(Parameters!$C$56:$F$56,MATCH(YEAR(Q$3),Parameters!$C$48:$F$48,0))*Q25</f>
        <v>-4911.458333</v>
      </c>
      <c r="R26" s="27">
        <f t="array" ref="R26">-INDEX(Parameters!$C$54:$F$54,MATCH(YEAR(R$3),Parameters!$C$48:$F$48,0))*INDEX(Parameters!$C$56:$F$56,MATCH(YEAR(R$3),Parameters!$C$48:$F$48,0))*R25</f>
        <v>-6595.833333</v>
      </c>
      <c r="S26" s="27">
        <f t="array" ref="S26">-INDEX(Parameters!$C$54:$F$54,MATCH(YEAR(S$3),Parameters!$C$48:$F$48,0))*INDEX(Parameters!$C$56:$F$56,MATCH(YEAR(S$3),Parameters!$C$48:$F$48,0))*S25</f>
        <v>-7362.5</v>
      </c>
      <c r="T26" s="27">
        <f t="array" ref="T26">-INDEX(Parameters!$C$54:$F$54,MATCH(YEAR(T$3),Parameters!$C$48:$F$48,0))*INDEX(Parameters!$C$56:$F$56,MATCH(YEAR(T$3),Parameters!$C$48:$F$48,0))*T25</f>
        <v>-8129.166667</v>
      </c>
      <c r="U26" s="27">
        <f t="array" ref="U26">-INDEX(Parameters!$C$54:$F$54,MATCH(YEAR(U$3),Parameters!$C$48:$F$48,0))*INDEX(Parameters!$C$56:$F$56,MATCH(YEAR(U$3),Parameters!$C$48:$F$48,0))*U25</f>
        <v>-8895.833333</v>
      </c>
      <c r="V26" s="27">
        <f t="array" ref="V26">-INDEX(Parameters!$C$54:$F$54,MATCH(YEAR(V$3),Parameters!$C$48:$F$48,0))*INDEX(Parameters!$C$56:$F$56,MATCH(YEAR(V$3),Parameters!$C$48:$F$48,0))*V25</f>
        <v>-9662.5</v>
      </c>
      <c r="W26" s="27">
        <f t="array" ref="W26">-INDEX(Parameters!$C$54:$F$54,MATCH(YEAR(W$3),Parameters!$C$48:$F$48,0))*INDEX(Parameters!$C$56:$F$56,MATCH(YEAR(W$3),Parameters!$C$48:$F$48,0))*W25</f>
        <v>-10322.5</v>
      </c>
      <c r="X26" s="27">
        <f t="array" ref="X26">-INDEX(Parameters!$C$54:$F$54,MATCH(YEAR(X$3),Parameters!$C$48:$F$48,0))*INDEX(Parameters!$C$56:$F$56,MATCH(YEAR(X$3),Parameters!$C$48:$F$48,0))*X25</f>
        <v>-10622.5</v>
      </c>
      <c r="Y26" s="27">
        <f t="array" ref="Y26">-INDEX(Parameters!$C$54:$F$54,MATCH(YEAR(Y$3),Parameters!$C$48:$F$48,0))*INDEX(Parameters!$C$56:$F$56,MATCH(YEAR(Y$3),Parameters!$C$48:$F$48,0))*Y25</f>
        <v>-15872.5</v>
      </c>
      <c r="Z26" s="27">
        <f t="array" ref="Z26">-INDEX(Parameters!$C$54:$F$54,MATCH(YEAR(Z$3),Parameters!$C$48:$F$48,0))*INDEX(Parameters!$C$56:$F$56,MATCH(YEAR(Z$3),Parameters!$C$48:$F$48,0))*Z25</f>
        <v>-15872.5</v>
      </c>
      <c r="AA26" s="27">
        <f t="array" ref="AA26">-INDEX(Parameters!$C$54:$F$54,MATCH(YEAR(AA$3),Parameters!$C$48:$F$48,0))*INDEX(Parameters!$C$56:$F$56,MATCH(YEAR(AA$3),Parameters!$C$48:$F$48,0))*AA25</f>
        <v>-15872.5</v>
      </c>
      <c r="AB26" s="27">
        <f t="array" ref="AB26">-INDEX(Parameters!$C$54:$F$54,MATCH(YEAR(AB$3),Parameters!$C$48:$F$48,0))*INDEX(Parameters!$C$56:$F$56,MATCH(YEAR(AB$3),Parameters!$C$48:$F$48,0))*AB25</f>
        <v>-15872.5</v>
      </c>
      <c r="AC26" s="27">
        <f t="array" ref="AC26">-INDEX(Parameters!$C$54:$F$54,MATCH(YEAR(AC$3),Parameters!$C$48:$F$48,0))*INDEX(Parameters!$C$56:$F$56,MATCH(YEAR(AC$3),Parameters!$C$48:$F$48,0))*AC25</f>
        <v>-15872.5</v>
      </c>
      <c r="AD26" s="27">
        <f t="array" ref="AD26">-INDEX(Parameters!$C$54:$F$54,MATCH(YEAR(AD$3),Parameters!$C$48:$F$48,0))*INDEX(Parameters!$C$56:$F$56,MATCH(YEAR(AD$3),Parameters!$C$48:$F$48,0))*AD25</f>
        <v>-22755.52083</v>
      </c>
      <c r="AE26" s="27">
        <f t="array" ref="AE26">-INDEX(Parameters!$C$54:$F$54,MATCH(YEAR(AE$3),Parameters!$C$48:$F$48,0))*INDEX(Parameters!$C$56:$F$56,MATCH(YEAR(AE$3),Parameters!$C$48:$F$48,0))*AE25</f>
        <v>-23475.625</v>
      </c>
      <c r="AF26" s="27">
        <f t="array" ref="AF26">-INDEX(Parameters!$C$54:$F$54,MATCH(YEAR(AF$3),Parameters!$C$48:$F$48,0))*INDEX(Parameters!$C$56:$F$56,MATCH(YEAR(AF$3),Parameters!$C$48:$F$48,0))*AF25</f>
        <v>-24195.72917</v>
      </c>
      <c r="AG26" s="27">
        <f t="array" ref="AG26">-INDEX(Parameters!$C$54:$F$54,MATCH(YEAR(AG$3),Parameters!$C$48:$F$48,0))*INDEX(Parameters!$C$56:$F$56,MATCH(YEAR(AG$3),Parameters!$C$48:$F$48,0))*AG25</f>
        <v>-24915.83333</v>
      </c>
      <c r="AH26" s="27">
        <f t="array" ref="AH26">-INDEX(Parameters!$C$54:$F$54,MATCH(YEAR(AH$3),Parameters!$C$48:$F$48,0))*INDEX(Parameters!$C$56:$F$56,MATCH(YEAR(AH$3),Parameters!$C$48:$F$48,0))*AH25</f>
        <v>-25635.9375</v>
      </c>
      <c r="AI26" s="27">
        <f t="array" ref="AI26">-INDEX(Parameters!$C$54:$F$54,MATCH(YEAR(AI$3),Parameters!$C$48:$F$48,0))*INDEX(Parameters!$C$56:$F$56,MATCH(YEAR(AI$3),Parameters!$C$48:$F$48,0))*AI25</f>
        <v>-26344.08333</v>
      </c>
      <c r="AJ26" s="27">
        <f t="array" ref="AJ26">-INDEX(Parameters!$C$54:$F$54,MATCH(YEAR(AJ$3),Parameters!$C$48:$F$48,0))*INDEX(Parameters!$C$56:$F$56,MATCH(YEAR(AJ$3),Parameters!$C$48:$F$48,0))*AJ25</f>
        <v>-26854.91667</v>
      </c>
      <c r="AK26" s="27">
        <f t="array" ref="AK26">-INDEX(Parameters!$C$54:$F$54,MATCH(YEAR(AK$3),Parameters!$C$48:$F$48,0))*INDEX(Parameters!$C$56:$F$56,MATCH(YEAR(AK$3),Parameters!$C$48:$F$48,0))*AK25</f>
        <v>-43750.72917</v>
      </c>
      <c r="AL26" s="27">
        <f t="array" ref="AL26">-INDEX(Parameters!$C$54:$F$54,MATCH(YEAR(AL$3),Parameters!$C$48:$F$48,0))*INDEX(Parameters!$C$56:$F$56,MATCH(YEAR(AL$3),Parameters!$C$48:$F$48,0))*AL25</f>
        <v>-43750.72917</v>
      </c>
      <c r="AM26" s="27">
        <f t="array" ref="AM26">-INDEX(Parameters!$C$54:$F$54,MATCH(YEAR(AM$3),Parameters!$C$48:$F$48,0))*INDEX(Parameters!$C$56:$F$56,MATCH(YEAR(AM$3),Parameters!$C$48:$F$48,0))*AM25</f>
        <v>-43750.72917</v>
      </c>
      <c r="AN26" s="27">
        <f t="array" ref="AN26">-INDEX(Parameters!$C$54:$F$54,MATCH(YEAR(AN$3),Parameters!$C$48:$F$48,0))*INDEX(Parameters!$C$56:$F$56,MATCH(YEAR(AN$3),Parameters!$C$48:$F$48,0))*AN25</f>
        <v>-43750.72917</v>
      </c>
      <c r="AO26" s="27">
        <f t="array" ref="AO26">-INDEX(Parameters!$C$54:$F$54,MATCH(YEAR(AO$3),Parameters!$C$48:$F$48,0))*INDEX(Parameters!$C$56:$F$56,MATCH(YEAR(AO$3),Parameters!$C$48:$F$48,0))*AO25</f>
        <v>-43750.72917</v>
      </c>
      <c r="AP26" s="27">
        <f t="array" ref="AP26">-INDEX(Parameters!$C$54:$F$54,MATCH(YEAR(AP$3),Parameters!$C$48:$F$48,0))*INDEX(Parameters!$C$56:$F$56,MATCH(YEAR(AP$3),Parameters!$C$48:$F$48,0))*AP25</f>
        <v>-61955.46875</v>
      </c>
      <c r="AQ26" s="27">
        <f t="array" ref="AQ26">-INDEX(Parameters!$C$54:$F$54,MATCH(YEAR(AQ$3),Parameters!$C$48:$F$48,0))*INDEX(Parameters!$C$56:$F$56,MATCH(YEAR(AQ$3),Parameters!$C$48:$F$48,0))*AQ25</f>
        <v>-62619.73958</v>
      </c>
      <c r="AR26" s="27">
        <f t="array" ref="AR26">-INDEX(Parameters!$C$54:$F$54,MATCH(YEAR(AR$3),Parameters!$C$48:$F$48,0))*INDEX(Parameters!$C$56:$F$56,MATCH(YEAR(AR$3),Parameters!$C$48:$F$48,0))*AR25</f>
        <v>-63284.01042</v>
      </c>
      <c r="AS26" s="27">
        <f t="array" ref="AS26">-INDEX(Parameters!$C$54:$F$54,MATCH(YEAR(AS$3),Parameters!$C$48:$F$48,0))*INDEX(Parameters!$C$56:$F$56,MATCH(YEAR(AS$3),Parameters!$C$48:$F$48,0))*AS25</f>
        <v>-63948.28125</v>
      </c>
      <c r="AT26" s="27">
        <f t="array" ref="AT26">-INDEX(Parameters!$C$54:$F$54,MATCH(YEAR(AT$3),Parameters!$C$48:$F$48,0))*INDEX(Parameters!$C$56:$F$56,MATCH(YEAR(AT$3),Parameters!$C$48:$F$48,0))*AT25</f>
        <v>-64612.55208</v>
      </c>
      <c r="AU26" s="27">
        <f t="array" ref="AU26">-INDEX(Parameters!$C$54:$F$54,MATCH(YEAR(AU$3),Parameters!$C$48:$F$48,0))*INDEX(Parameters!$C$56:$F$56,MATCH(YEAR(AU$3),Parameters!$C$48:$F$48,0))*AU25</f>
        <v>-65278.02083</v>
      </c>
      <c r="AV26" s="27">
        <f t="array" ref="AV26">-INDEX(Parameters!$C$54:$F$54,MATCH(YEAR(AV$3),Parameters!$C$48:$F$48,0))*INDEX(Parameters!$C$56:$F$56,MATCH(YEAR(AV$3),Parameters!$C$48:$F$48,0))*AV25</f>
        <v>-65925.52083</v>
      </c>
      <c r="AW26" s="27">
        <f t="array" ref="AW26">-INDEX(Parameters!$C$54:$F$54,MATCH(YEAR(AW$3),Parameters!$C$48:$F$48,0))*INDEX(Parameters!$C$56:$F$56,MATCH(YEAR(AW$3),Parameters!$C$48:$F$48,0))*AW25</f>
        <v>-99919.27083</v>
      </c>
      <c r="AX26" s="27">
        <f t="array" ref="AX26">-INDEX(Parameters!$C$54:$F$54,MATCH(YEAR(AX$3),Parameters!$C$48:$F$48,0))*INDEX(Parameters!$C$56:$F$56,MATCH(YEAR(AX$3),Parameters!$C$48:$F$48,0))*AX25</f>
        <v>-99919.27083</v>
      </c>
      <c r="AY26" s="27">
        <f t="array" ref="AY26">-INDEX(Parameters!$C$54:$F$54,MATCH(YEAR(AY$3),Parameters!$C$48:$F$48,0))*INDEX(Parameters!$C$56:$F$56,MATCH(YEAR(AY$3),Parameters!$C$48:$F$48,0))*AY25</f>
        <v>-99919.27083</v>
      </c>
      <c r="AZ26" s="27">
        <f t="array" ref="AZ26">-INDEX(Parameters!$C$54:$F$54,MATCH(YEAR(AZ$3),Parameters!$C$48:$F$48,0))*INDEX(Parameters!$C$56:$F$56,MATCH(YEAR(AZ$3),Parameters!$C$48:$F$48,0))*AZ25</f>
        <v>-99919.27083</v>
      </c>
      <c r="BA26" s="27">
        <f t="array" ref="BA26">-INDEX(Parameters!$C$54:$F$54,MATCH(YEAR(BA$3),Parameters!$C$48:$F$48,0))*INDEX(Parameters!$C$56:$F$56,MATCH(YEAR(BA$3),Parameters!$C$48:$F$48,0))*BA25</f>
        <v>-99919.27083</v>
      </c>
      <c r="BB26" s="27"/>
      <c r="BC26" s="27">
        <f t="shared" ref="BC26:BF26" si="23">SUMPRODUCT((YEAR($F$3:$BA$3)=BC$3)*$F26:$BA26)</f>
        <v>-44140.625</v>
      </c>
      <c r="BD26" s="27">
        <f t="shared" si="23"/>
        <v>-140953.3333</v>
      </c>
      <c r="BE26" s="27">
        <f t="shared" si="23"/>
        <v>-392931.2917</v>
      </c>
      <c r="BF26" s="27">
        <f t="shared" si="23"/>
        <v>-947219.9479</v>
      </c>
      <c r="BG26" s="17"/>
      <c r="BH26" s="17"/>
    </row>
    <row r="27" ht="15.75" customHeight="1">
      <c r="A27" s="3"/>
      <c r="B27" s="126" t="s">
        <v>104</v>
      </c>
      <c r="C27" s="127"/>
      <c r="D27" s="143"/>
      <c r="E27" s="126" t="s">
        <v>95</v>
      </c>
      <c r="F27" s="40">
        <f t="shared" ref="F27:BA27" si="24">F25+F26</f>
        <v>11093.75</v>
      </c>
      <c r="G27" s="40">
        <f t="shared" si="24"/>
        <v>22187.5</v>
      </c>
      <c r="H27" s="40">
        <f t="shared" si="24"/>
        <v>33281.25</v>
      </c>
      <c r="I27" s="40">
        <f t="shared" si="24"/>
        <v>44375</v>
      </c>
      <c r="J27" s="40">
        <f t="shared" si="24"/>
        <v>55468.75</v>
      </c>
      <c r="K27" s="40">
        <f t="shared" si="24"/>
        <v>63046.875</v>
      </c>
      <c r="L27" s="40">
        <f t="shared" si="24"/>
        <v>64296.875</v>
      </c>
      <c r="M27" s="40">
        <f t="shared" si="24"/>
        <v>73671.875</v>
      </c>
      <c r="N27" s="40">
        <f t="shared" si="24"/>
        <v>73671.875</v>
      </c>
      <c r="O27" s="40">
        <f t="shared" si="24"/>
        <v>73671.875</v>
      </c>
      <c r="P27" s="40">
        <f t="shared" si="24"/>
        <v>73671.875</v>
      </c>
      <c r="Q27" s="40">
        <f t="shared" si="24"/>
        <v>73671.875</v>
      </c>
      <c r="R27" s="40">
        <f t="shared" si="24"/>
        <v>98937.5</v>
      </c>
      <c r="S27" s="40">
        <f t="shared" si="24"/>
        <v>110437.5</v>
      </c>
      <c r="T27" s="40">
        <f t="shared" si="24"/>
        <v>121937.5</v>
      </c>
      <c r="U27" s="40">
        <f t="shared" si="24"/>
        <v>133437.5</v>
      </c>
      <c r="V27" s="40">
        <f t="shared" si="24"/>
        <v>144937.5</v>
      </c>
      <c r="W27" s="40">
        <f t="shared" si="24"/>
        <v>154837.5</v>
      </c>
      <c r="X27" s="40">
        <f t="shared" si="24"/>
        <v>159337.5</v>
      </c>
      <c r="Y27" s="40">
        <f t="shared" si="24"/>
        <v>238087.5</v>
      </c>
      <c r="Z27" s="40">
        <f t="shared" si="24"/>
        <v>238087.5</v>
      </c>
      <c r="AA27" s="40">
        <f t="shared" si="24"/>
        <v>238087.5</v>
      </c>
      <c r="AB27" s="40">
        <f t="shared" si="24"/>
        <v>238087.5</v>
      </c>
      <c r="AC27" s="40">
        <f t="shared" si="24"/>
        <v>238087.5</v>
      </c>
      <c r="AD27" s="40">
        <f t="shared" si="24"/>
        <v>341332.8125</v>
      </c>
      <c r="AE27" s="40">
        <f t="shared" si="24"/>
        <v>352134.375</v>
      </c>
      <c r="AF27" s="40">
        <f t="shared" si="24"/>
        <v>362935.9375</v>
      </c>
      <c r="AG27" s="40">
        <f t="shared" si="24"/>
        <v>373737.5</v>
      </c>
      <c r="AH27" s="40">
        <f t="shared" si="24"/>
        <v>384539.0625</v>
      </c>
      <c r="AI27" s="40">
        <f t="shared" si="24"/>
        <v>395161.25</v>
      </c>
      <c r="AJ27" s="40">
        <f t="shared" si="24"/>
        <v>402823.75</v>
      </c>
      <c r="AK27" s="40">
        <f t="shared" si="24"/>
        <v>656260.9375</v>
      </c>
      <c r="AL27" s="40">
        <f t="shared" si="24"/>
        <v>656260.9375</v>
      </c>
      <c r="AM27" s="40">
        <f t="shared" si="24"/>
        <v>656260.9375</v>
      </c>
      <c r="AN27" s="40">
        <f t="shared" si="24"/>
        <v>656260.9375</v>
      </c>
      <c r="AO27" s="40">
        <f t="shared" si="24"/>
        <v>656260.9375</v>
      </c>
      <c r="AP27" s="40">
        <f t="shared" si="24"/>
        <v>929332.0313</v>
      </c>
      <c r="AQ27" s="40">
        <f t="shared" si="24"/>
        <v>939296.0938</v>
      </c>
      <c r="AR27" s="40">
        <f t="shared" si="24"/>
        <v>949260.1563</v>
      </c>
      <c r="AS27" s="40">
        <f t="shared" si="24"/>
        <v>959224.2188</v>
      </c>
      <c r="AT27" s="40">
        <f t="shared" si="24"/>
        <v>969188.2813</v>
      </c>
      <c r="AU27" s="40">
        <f t="shared" si="24"/>
        <v>979170.3125</v>
      </c>
      <c r="AV27" s="40">
        <f t="shared" si="24"/>
        <v>988882.8125</v>
      </c>
      <c r="AW27" s="40">
        <f t="shared" si="24"/>
        <v>1498789.063</v>
      </c>
      <c r="AX27" s="40">
        <f t="shared" si="24"/>
        <v>1498789.063</v>
      </c>
      <c r="AY27" s="40">
        <f t="shared" si="24"/>
        <v>1498789.063</v>
      </c>
      <c r="AZ27" s="40">
        <f t="shared" si="24"/>
        <v>1498789.063</v>
      </c>
      <c r="BA27" s="40">
        <f t="shared" si="24"/>
        <v>1498789.063</v>
      </c>
      <c r="BB27" s="40"/>
      <c r="BC27" s="40">
        <f t="shared" ref="BC27:BF27" si="25">SUMPRODUCT((YEAR($F$3:$BA$3)=BC$3)*$F27:$BA27)</f>
        <v>662109.375</v>
      </c>
      <c r="BD27" s="40">
        <f t="shared" si="25"/>
        <v>2114300</v>
      </c>
      <c r="BE27" s="40">
        <f t="shared" si="25"/>
        <v>5893969.375</v>
      </c>
      <c r="BF27" s="40">
        <f t="shared" si="25"/>
        <v>14208299.22</v>
      </c>
      <c r="BG27" s="17"/>
      <c r="BH27" s="17"/>
    </row>
    <row r="28" ht="15.75" customHeight="1">
      <c r="A28" s="3"/>
      <c r="B28" s="26"/>
      <c r="C28" s="3"/>
      <c r="D28" s="144"/>
      <c r="E28" s="117"/>
      <c r="F28" s="125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17"/>
      <c r="BH28" s="17"/>
    </row>
    <row r="29" ht="15.75" customHeight="1">
      <c r="A29" s="3"/>
      <c r="B29" s="26"/>
      <c r="C29" s="3"/>
      <c r="D29" s="144"/>
      <c r="E29" s="117"/>
      <c r="F29" s="121"/>
      <c r="G29" s="123"/>
      <c r="H29" s="123"/>
      <c r="I29" s="123"/>
      <c r="J29" s="123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7"/>
      <c r="BH29" s="17"/>
    </row>
    <row r="30" ht="15.75" customHeight="1">
      <c r="A30" s="3"/>
      <c r="B30" s="22"/>
      <c r="C30" s="146"/>
      <c r="D30" s="147"/>
      <c r="E30" s="148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17"/>
      <c r="BH30" s="17"/>
    </row>
    <row r="31" ht="15.75" customHeight="1">
      <c r="A31" s="3"/>
      <c r="B31" s="37"/>
      <c r="C31" s="149"/>
      <c r="D31" s="150"/>
      <c r="E31" s="37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2"/>
      <c r="AZ31" s="152"/>
      <c r="BA31" s="152"/>
      <c r="BB31" s="152"/>
      <c r="BC31" s="152"/>
      <c r="BD31" s="152"/>
      <c r="BE31" s="152"/>
      <c r="BF31" s="152"/>
      <c r="BG31" s="17"/>
      <c r="BH31" s="17"/>
    </row>
    <row r="32" ht="15.75" customHeight="1">
      <c r="A32" s="153"/>
      <c r="B32" s="26"/>
      <c r="C32" s="154"/>
      <c r="D32" s="142"/>
      <c r="E32" s="117"/>
      <c r="F32" s="121"/>
      <c r="G32" s="155"/>
      <c r="H32" s="155"/>
      <c r="I32" s="122"/>
      <c r="J32" s="122"/>
      <c r="K32" s="122"/>
      <c r="L32" s="122"/>
      <c r="M32" s="155"/>
      <c r="N32" s="155"/>
      <c r="O32" s="155"/>
      <c r="P32" s="155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7"/>
      <c r="BH32" s="17"/>
    </row>
    <row r="33" ht="15.75" customHeight="1">
      <c r="A33" s="153"/>
      <c r="B33" s="22"/>
      <c r="C33" s="156"/>
      <c r="D33" s="157"/>
      <c r="E33" s="148"/>
      <c r="F33" s="158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7"/>
      <c r="BH33" s="17"/>
    </row>
    <row r="34" ht="15.75" customHeight="1">
      <c r="A34" s="153"/>
      <c r="B34" s="160"/>
      <c r="C34" s="154"/>
      <c r="D34" s="142"/>
      <c r="E34" s="117"/>
      <c r="F34" s="121"/>
      <c r="G34" s="161"/>
      <c r="H34" s="161"/>
      <c r="I34" s="123"/>
      <c r="J34" s="123"/>
      <c r="K34" s="123"/>
      <c r="L34" s="123"/>
      <c r="M34" s="123"/>
      <c r="N34" s="161"/>
      <c r="O34" s="161"/>
      <c r="P34" s="161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2"/>
      <c r="BC34" s="123"/>
      <c r="BD34" s="123"/>
      <c r="BE34" s="123"/>
      <c r="BF34" s="123"/>
      <c r="BG34" s="17"/>
      <c r="BH34" s="17"/>
    </row>
    <row r="35" ht="15.75" customHeight="1">
      <c r="A35" s="153"/>
      <c r="B35" s="160"/>
      <c r="C35" s="153"/>
      <c r="D35" s="144"/>
      <c r="E35" s="117"/>
      <c r="F35" s="121"/>
      <c r="G35" s="161"/>
      <c r="H35" s="161"/>
      <c r="I35" s="123"/>
      <c r="J35" s="123"/>
      <c r="K35" s="123"/>
      <c r="L35" s="123"/>
      <c r="M35" s="123"/>
      <c r="N35" s="161"/>
      <c r="O35" s="161"/>
      <c r="P35" s="161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2"/>
      <c r="BC35" s="123"/>
      <c r="BD35" s="123"/>
      <c r="BE35" s="123"/>
      <c r="BF35" s="123"/>
      <c r="BG35" s="17"/>
      <c r="BH35" s="17"/>
    </row>
    <row r="36" ht="15.75" customHeight="1">
      <c r="A36" s="153"/>
      <c r="B36" s="160"/>
      <c r="C36" s="153"/>
      <c r="D36" s="144"/>
      <c r="E36" s="117"/>
      <c r="F36" s="121"/>
      <c r="G36" s="161"/>
      <c r="H36" s="161"/>
      <c r="I36" s="123"/>
      <c r="J36" s="123"/>
      <c r="K36" s="123"/>
      <c r="L36" s="123"/>
      <c r="M36" s="123"/>
      <c r="N36" s="123"/>
      <c r="O36" s="161"/>
      <c r="P36" s="161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2"/>
      <c r="BC36" s="123"/>
      <c r="BD36" s="123"/>
      <c r="BE36" s="123"/>
      <c r="BF36" s="123"/>
      <c r="BG36" s="17"/>
      <c r="BH36" s="17"/>
    </row>
    <row r="37" ht="15.75" customHeight="1">
      <c r="A37" s="153"/>
      <c r="B37" s="160"/>
      <c r="C37" s="153"/>
      <c r="D37" s="144"/>
      <c r="E37" s="117"/>
      <c r="F37" s="121"/>
      <c r="G37" s="161"/>
      <c r="H37" s="161"/>
      <c r="I37" s="123"/>
      <c r="J37" s="123"/>
      <c r="K37" s="123"/>
      <c r="L37" s="123"/>
      <c r="M37" s="123"/>
      <c r="N37" s="123"/>
      <c r="O37" s="161"/>
      <c r="P37" s="161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2"/>
      <c r="BC37" s="123"/>
      <c r="BD37" s="123"/>
      <c r="BE37" s="123"/>
      <c r="BF37" s="123"/>
      <c r="BG37" s="17"/>
      <c r="BH37" s="17"/>
    </row>
    <row r="38" ht="15.75" customHeight="1">
      <c r="A38" s="153"/>
      <c r="B38" s="37"/>
      <c r="C38" s="162"/>
      <c r="D38" s="163"/>
      <c r="E38" s="164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7"/>
      <c r="BH38" s="17"/>
    </row>
    <row r="39" ht="15.75" customHeight="1">
      <c r="A39" s="153"/>
      <c r="B39" s="37"/>
      <c r="C39" s="165"/>
      <c r="D39" s="166"/>
      <c r="E39" s="164"/>
      <c r="F39" s="167"/>
      <c r="G39" s="38"/>
      <c r="H39" s="167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17"/>
      <c r="BH39" s="17"/>
    </row>
    <row r="40" ht="15.75" customHeight="1">
      <c r="A40" s="153"/>
      <c r="B40" s="160"/>
      <c r="C40" s="153"/>
      <c r="D40" s="144"/>
      <c r="E40" s="168"/>
      <c r="F40" s="168"/>
      <c r="G40" s="169"/>
      <c r="H40" s="169"/>
      <c r="I40" s="169"/>
      <c r="J40" s="169"/>
      <c r="K40" s="169"/>
      <c r="L40" s="169"/>
      <c r="M40" s="169"/>
      <c r="N40" s="3"/>
      <c r="O40" s="3"/>
      <c r="P40" s="14"/>
      <c r="Q40" s="14"/>
      <c r="R40" s="14"/>
      <c r="S40" s="170"/>
      <c r="T40" s="170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7"/>
      <c r="BH40" s="17"/>
    </row>
    <row r="41" ht="15.75" customHeight="1" collapsed="1">
      <c r="A41" s="153"/>
      <c r="B41" s="22"/>
      <c r="C41" s="156"/>
      <c r="D41" s="157"/>
      <c r="E41" s="148"/>
      <c r="F41" s="148"/>
      <c r="G41" s="148"/>
      <c r="H41" s="171"/>
      <c r="I41" s="171"/>
      <c r="J41" s="171"/>
      <c r="K41" s="171"/>
      <c r="L41" s="171"/>
      <c r="M41" s="171"/>
      <c r="N41" s="146"/>
      <c r="O41" s="146"/>
      <c r="P41" s="171"/>
      <c r="Q41" s="171"/>
      <c r="R41" s="171"/>
      <c r="S41" s="172"/>
      <c r="T41" s="172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1"/>
      <c r="BD41" s="171"/>
      <c r="BE41" s="171"/>
      <c r="BF41" s="171"/>
      <c r="BG41" s="17"/>
      <c r="BH41" s="17"/>
    </row>
    <row r="42" ht="15.75" hidden="1" customHeight="1" outlineLevel="1">
      <c r="A42" s="173"/>
      <c r="B42" s="174"/>
      <c r="C42" s="175"/>
      <c r="D42" s="142"/>
      <c r="E42" s="117"/>
      <c r="F42" s="55"/>
      <c r="G42" s="176"/>
      <c r="H42" s="176"/>
      <c r="I42" s="176"/>
      <c r="J42" s="177"/>
      <c r="K42" s="177"/>
      <c r="L42" s="177"/>
      <c r="M42" s="177"/>
      <c r="N42" s="177"/>
      <c r="O42" s="177"/>
      <c r="P42" s="17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4"/>
      <c r="BH42" s="4"/>
    </row>
    <row r="43" ht="15.75" hidden="1" customHeight="1" outlineLevel="1">
      <c r="A43" s="173"/>
      <c r="B43" s="178"/>
      <c r="C43" s="173"/>
      <c r="D43" s="144"/>
      <c r="E43" s="117"/>
      <c r="F43" s="125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9"/>
      <c r="BH43" s="179"/>
    </row>
    <row r="44" ht="15.75" hidden="1" customHeight="1" outlineLevel="1">
      <c r="A44" s="173"/>
      <c r="B44" s="37"/>
      <c r="C44" s="162"/>
      <c r="D44" s="163"/>
      <c r="E44" s="164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179"/>
      <c r="BH44" s="179"/>
    </row>
    <row r="45" ht="15.75" hidden="1" customHeight="1" outlineLevel="1">
      <c r="A45" s="173"/>
      <c r="B45" s="178"/>
      <c r="C45" s="173"/>
      <c r="D45" s="144"/>
      <c r="E45" s="117"/>
      <c r="F45" s="125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7"/>
      <c r="BB45" s="177"/>
      <c r="BC45" s="177"/>
      <c r="BD45" s="177"/>
      <c r="BE45" s="177"/>
      <c r="BF45" s="177"/>
      <c r="BG45" s="179"/>
      <c r="BH45" s="179"/>
    </row>
    <row r="46" ht="15.75" hidden="1" customHeight="1" outlineLevel="1">
      <c r="A46" s="173"/>
      <c r="B46" s="37"/>
      <c r="C46" s="162"/>
      <c r="D46" s="163"/>
      <c r="E46" s="164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179"/>
      <c r="BH46" s="179"/>
    </row>
    <row r="47" ht="15.75" hidden="1" customHeight="1" outlineLevel="1">
      <c r="A47" s="173"/>
      <c r="B47" s="178"/>
      <c r="C47" s="173"/>
      <c r="D47" s="144"/>
      <c r="E47" s="117"/>
      <c r="F47" s="125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7"/>
      <c r="BG47" s="179"/>
      <c r="BH47" s="179"/>
    </row>
    <row r="48" ht="15.75" hidden="1" customHeight="1" outlineLevel="1">
      <c r="A48" s="173"/>
      <c r="B48" s="178"/>
      <c r="C48" s="173"/>
      <c r="D48" s="144"/>
      <c r="E48" s="168"/>
      <c r="F48" s="168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80"/>
      <c r="BC48" s="180"/>
      <c r="BD48" s="180"/>
      <c r="BE48" s="180"/>
      <c r="BF48" s="180"/>
      <c r="BG48" s="179"/>
      <c r="BH48" s="179"/>
    </row>
    <row r="49" ht="15.75" hidden="1" customHeight="1" outlineLevel="1">
      <c r="A49" s="173"/>
      <c r="B49" s="148"/>
      <c r="C49" s="146"/>
      <c r="D49" s="147"/>
      <c r="E49" s="171"/>
      <c r="F49" s="171"/>
      <c r="G49" s="171"/>
      <c r="H49" s="148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171"/>
      <c r="BC49" s="171"/>
      <c r="BD49" s="171"/>
      <c r="BE49" s="171"/>
      <c r="BF49" s="171"/>
      <c r="BG49" s="179"/>
      <c r="BH49" s="179"/>
    </row>
    <row r="50" ht="15.75" hidden="1" customHeight="1" outlineLevel="1">
      <c r="A50" s="173"/>
      <c r="B50" s="178"/>
      <c r="C50" s="173"/>
      <c r="D50" s="144"/>
      <c r="E50" s="117"/>
      <c r="F50" s="181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79"/>
      <c r="BH50" s="179"/>
    </row>
    <row r="51" ht="15.75" hidden="1" customHeight="1" outlineLevel="1">
      <c r="A51" s="173"/>
      <c r="B51" s="183"/>
      <c r="C51" s="173"/>
      <c r="D51" s="144"/>
      <c r="E51" s="117"/>
      <c r="F51" s="181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79"/>
      <c r="BH51" s="179"/>
    </row>
    <row r="52" ht="15.75" hidden="1" customHeight="1" outlineLevel="1">
      <c r="A52" s="173"/>
      <c r="B52" s="178"/>
      <c r="C52" s="175"/>
      <c r="D52" s="142"/>
      <c r="E52" s="117"/>
      <c r="F52" s="121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182"/>
      <c r="AZ52" s="182"/>
      <c r="BA52" s="182"/>
      <c r="BB52" s="182"/>
      <c r="BC52" s="182"/>
      <c r="BD52" s="182"/>
      <c r="BE52" s="182"/>
      <c r="BF52" s="182"/>
      <c r="BG52" s="179"/>
      <c r="BH52" s="179"/>
    </row>
    <row r="53" ht="15.75" hidden="1" customHeight="1" outlineLevel="1">
      <c r="A53" s="173"/>
      <c r="B53" s="178"/>
      <c r="C53" s="175"/>
      <c r="D53" s="142"/>
      <c r="E53" s="117"/>
      <c r="F53" s="121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  <c r="BA53" s="184"/>
      <c r="BB53" s="182"/>
      <c r="BC53" s="184"/>
      <c r="BD53" s="184"/>
      <c r="BE53" s="184"/>
      <c r="BF53" s="184"/>
      <c r="BG53" s="179"/>
      <c r="BH53" s="179"/>
    </row>
    <row r="54" ht="15.75" hidden="1" customHeight="1" outlineLevel="1">
      <c r="A54" s="173"/>
      <c r="B54" s="178"/>
      <c r="C54" s="175"/>
      <c r="D54" s="142"/>
      <c r="E54" s="117"/>
      <c r="F54" s="121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  <c r="BA54" s="184"/>
      <c r="BB54" s="182"/>
      <c r="BC54" s="184"/>
      <c r="BD54" s="184"/>
      <c r="BE54" s="184"/>
      <c r="BF54" s="184"/>
      <c r="BG54" s="179"/>
      <c r="BH54" s="179"/>
    </row>
    <row r="55" ht="15.75" hidden="1" customHeight="1" outlineLevel="1">
      <c r="A55" s="173"/>
      <c r="B55" s="178"/>
      <c r="C55" s="175"/>
      <c r="D55" s="142"/>
      <c r="E55" s="117"/>
      <c r="F55" s="121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2"/>
      <c r="BC55" s="184"/>
      <c r="BD55" s="184"/>
      <c r="BE55" s="184"/>
      <c r="BF55" s="184"/>
      <c r="BG55" s="179"/>
      <c r="BH55" s="179"/>
    </row>
    <row r="56" ht="15.75" customHeight="1">
      <c r="A56" s="3"/>
      <c r="B56" s="26"/>
      <c r="C56" s="3"/>
      <c r="D56" s="3"/>
      <c r="E56" s="117"/>
      <c r="F56" s="121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2"/>
      <c r="BC56" s="123"/>
      <c r="BD56" s="123"/>
      <c r="BE56" s="123"/>
      <c r="BF56" s="123"/>
      <c r="BG56" s="17"/>
      <c r="BH56" s="17"/>
    </row>
    <row r="57" ht="15.75" customHeight="1">
      <c r="A57" s="69"/>
      <c r="B57" s="74"/>
      <c r="C57" s="185"/>
      <c r="D57" s="185"/>
      <c r="E57" s="74"/>
      <c r="F57" s="186"/>
      <c r="G57" s="186"/>
      <c r="H57" s="186"/>
      <c r="I57" s="187"/>
      <c r="J57" s="187"/>
      <c r="K57" s="187"/>
      <c r="L57" s="187"/>
      <c r="M57" s="187"/>
      <c r="N57" s="186"/>
      <c r="O57" s="187"/>
      <c r="P57" s="186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187"/>
      <c r="BB57" s="187"/>
      <c r="BC57" s="187"/>
      <c r="BD57" s="187"/>
      <c r="BE57" s="187"/>
      <c r="BF57" s="187"/>
      <c r="BG57" s="188"/>
      <c r="BH57" s="188"/>
    </row>
    <row r="58" ht="15.75" customHeight="1">
      <c r="A58" s="3"/>
      <c r="B58" s="3"/>
      <c r="C58" s="3"/>
      <c r="D58" s="3"/>
      <c r="E58" s="168"/>
      <c r="F58" s="168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7"/>
      <c r="BH58" s="17"/>
    </row>
    <row r="59" ht="15.75" customHeight="1">
      <c r="A59" s="3"/>
      <c r="B59" s="3"/>
      <c r="C59" s="3"/>
      <c r="D59" s="3"/>
      <c r="E59" s="105"/>
      <c r="F59" s="105"/>
      <c r="G59" s="3"/>
      <c r="H59" s="3"/>
      <c r="I59" s="3"/>
      <c r="J59" s="1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4"/>
      <c r="BH59" s="4"/>
    </row>
    <row r="60" ht="15.75" customHeight="1">
      <c r="A60" s="3"/>
      <c r="B60" s="3"/>
      <c r="C60" s="3"/>
      <c r="D60" s="3"/>
      <c r="E60" s="105"/>
      <c r="F60" s="10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4"/>
      <c r="BH60" s="4"/>
    </row>
    <row r="61" ht="15.75" customHeight="1">
      <c r="A61" s="4"/>
      <c r="B61" s="4"/>
      <c r="C61" s="4"/>
      <c r="D61" s="189"/>
      <c r="E61" s="190"/>
      <c r="F61" s="19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</row>
    <row r="62" ht="15.75" customHeight="1">
      <c r="A62" s="4"/>
      <c r="B62" s="4"/>
      <c r="C62" s="4"/>
      <c r="D62" s="4"/>
      <c r="E62" s="190"/>
      <c r="F62" s="19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</row>
    <row r="63" ht="15.75" customHeight="1">
      <c r="A63" s="4"/>
      <c r="B63" s="4"/>
      <c r="C63" s="4"/>
      <c r="D63" s="4"/>
      <c r="E63" s="190"/>
      <c r="F63" s="19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</row>
    <row r="64" ht="15.75" customHeight="1">
      <c r="A64" s="4"/>
      <c r="B64" s="4"/>
      <c r="C64" s="4"/>
      <c r="D64" s="4"/>
      <c r="E64" s="190"/>
      <c r="F64" s="19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</row>
    <row r="65" ht="15.75" customHeight="1">
      <c r="A65" s="4"/>
      <c r="B65" s="4"/>
      <c r="C65" s="4"/>
      <c r="D65" s="4"/>
      <c r="E65" s="190"/>
      <c r="F65" s="19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</row>
    <row r="66" ht="15.75" customHeight="1">
      <c r="A66" s="4"/>
      <c r="B66" s="4"/>
      <c r="C66" s="4"/>
      <c r="D66" s="4"/>
      <c r="E66" s="190"/>
      <c r="F66" s="19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</row>
    <row r="67" ht="15.75" customHeight="1">
      <c r="A67" s="4"/>
      <c r="B67" s="4"/>
      <c r="C67" s="4"/>
      <c r="D67" s="4"/>
      <c r="E67" s="190"/>
      <c r="F67" s="19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</row>
    <row r="68" ht="15.75" customHeight="1">
      <c r="A68" s="4"/>
      <c r="B68" s="4"/>
      <c r="C68" s="4"/>
      <c r="D68" s="4"/>
      <c r="E68" s="190"/>
      <c r="F68" s="19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</row>
    <row r="69" ht="15.75" customHeight="1">
      <c r="A69" s="4"/>
      <c r="B69" s="4"/>
      <c r="C69" s="4"/>
      <c r="D69" s="4"/>
      <c r="E69" s="190"/>
      <c r="F69" s="19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</row>
    <row r="70" ht="15.75" customHeight="1">
      <c r="A70" s="4"/>
      <c r="B70" s="4"/>
      <c r="C70" s="4"/>
      <c r="D70" s="4"/>
      <c r="E70" s="190"/>
      <c r="F70" s="19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</row>
    <row r="71" ht="15.75" customHeight="1">
      <c r="A71" s="4"/>
      <c r="B71" s="4"/>
      <c r="C71" s="4"/>
      <c r="D71" s="4"/>
      <c r="E71" s="190"/>
      <c r="F71" s="19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</row>
    <row r="72" ht="15.75" customHeight="1">
      <c r="A72" s="4"/>
      <c r="B72" s="4"/>
      <c r="C72" s="4"/>
      <c r="D72" s="4"/>
      <c r="E72" s="190"/>
      <c r="F72" s="19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</row>
    <row r="73" ht="15.75" customHeight="1">
      <c r="A73" s="4"/>
      <c r="B73" s="4"/>
      <c r="C73" s="4"/>
      <c r="D73" s="4"/>
      <c r="E73" s="190"/>
      <c r="F73" s="19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</row>
    <row r="74" ht="15.75" customHeight="1">
      <c r="A74" s="4"/>
      <c r="B74" s="4"/>
      <c r="C74" s="4"/>
      <c r="D74" s="4"/>
      <c r="E74" s="190"/>
      <c r="F74" s="19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</row>
    <row r="75" ht="15.75" customHeight="1">
      <c r="A75" s="4"/>
      <c r="B75" s="4"/>
      <c r="C75" s="4"/>
      <c r="D75" s="4"/>
      <c r="E75" s="190"/>
      <c r="F75" s="19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</row>
    <row r="76" ht="15.75" customHeight="1">
      <c r="A76" s="4"/>
      <c r="B76" s="4"/>
      <c r="C76" s="4"/>
      <c r="D76" s="4"/>
      <c r="E76" s="190"/>
      <c r="F76" s="19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</row>
    <row r="77" ht="15.75" customHeight="1">
      <c r="A77" s="4"/>
      <c r="B77" s="4"/>
      <c r="C77" s="4"/>
      <c r="D77" s="4"/>
      <c r="E77" s="190"/>
      <c r="F77" s="19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</row>
    <row r="78" ht="15.75" customHeight="1">
      <c r="A78" s="4"/>
      <c r="B78" s="4"/>
      <c r="C78" s="4"/>
      <c r="D78" s="4"/>
      <c r="E78" s="190"/>
      <c r="F78" s="19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</row>
    <row r="79" ht="15.75" customHeight="1">
      <c r="A79" s="4"/>
      <c r="B79" s="4"/>
      <c r="C79" s="4"/>
      <c r="D79" s="4"/>
      <c r="E79" s="190"/>
      <c r="F79" s="19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</row>
    <row r="80" ht="15.75" customHeight="1">
      <c r="A80" s="4"/>
      <c r="B80" s="4"/>
      <c r="C80" s="4"/>
      <c r="D80" s="4"/>
      <c r="E80" s="190"/>
      <c r="F80" s="19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</row>
    <row r="81" ht="15.75" customHeight="1">
      <c r="A81" s="4"/>
      <c r="B81" s="4"/>
      <c r="C81" s="4"/>
      <c r="D81" s="4"/>
      <c r="E81" s="190"/>
      <c r="F81" s="19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</row>
    <row r="82" ht="15.75" customHeight="1">
      <c r="A82" s="4"/>
      <c r="B82" s="4"/>
      <c r="C82" s="4"/>
      <c r="D82" s="4"/>
      <c r="E82" s="190"/>
      <c r="F82" s="19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</row>
    <row r="83" ht="15.75" customHeight="1">
      <c r="A83" s="4"/>
      <c r="B83" s="4"/>
      <c r="C83" s="4"/>
      <c r="D83" s="4"/>
      <c r="E83" s="190"/>
      <c r="F83" s="19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</row>
    <row r="84" ht="15.75" customHeight="1">
      <c r="A84" s="4"/>
      <c r="B84" s="4"/>
      <c r="C84" s="4"/>
      <c r="D84" s="4"/>
      <c r="E84" s="190"/>
      <c r="F84" s="19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</row>
    <row r="85" ht="15.75" customHeight="1">
      <c r="A85" s="4"/>
      <c r="B85" s="4"/>
      <c r="C85" s="4"/>
      <c r="D85" s="4"/>
      <c r="E85" s="190"/>
      <c r="F85" s="19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</row>
    <row r="86" ht="15.75" customHeight="1">
      <c r="A86" s="4"/>
      <c r="B86" s="4"/>
      <c r="C86" s="4"/>
      <c r="D86" s="4"/>
      <c r="E86" s="190"/>
      <c r="F86" s="19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</row>
    <row r="87" ht="15.75" customHeight="1">
      <c r="A87" s="4"/>
      <c r="B87" s="4"/>
      <c r="C87" s="4"/>
      <c r="D87" s="4"/>
      <c r="E87" s="190"/>
      <c r="F87" s="19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</row>
    <row r="88" ht="15.75" customHeight="1">
      <c r="A88" s="4"/>
      <c r="B88" s="4"/>
      <c r="C88" s="4"/>
      <c r="D88" s="4"/>
      <c r="E88" s="190"/>
      <c r="F88" s="19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</row>
    <row r="89" ht="15.75" customHeight="1">
      <c r="A89" s="4"/>
      <c r="B89" s="4"/>
      <c r="C89" s="4"/>
      <c r="D89" s="4"/>
      <c r="E89" s="190"/>
      <c r="F89" s="19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</row>
    <row r="90" ht="15.75" customHeight="1">
      <c r="A90" s="4"/>
      <c r="B90" s="4"/>
      <c r="C90" s="4"/>
      <c r="D90" s="4"/>
      <c r="E90" s="190"/>
      <c r="F90" s="19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</row>
    <row r="91" ht="15.75" customHeight="1">
      <c r="A91" s="4"/>
      <c r="B91" s="4"/>
      <c r="C91" s="4"/>
      <c r="D91" s="4"/>
      <c r="E91" s="190"/>
      <c r="F91" s="19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</row>
    <row r="92" ht="15.75" customHeight="1">
      <c r="A92" s="4"/>
      <c r="B92" s="4"/>
      <c r="C92" s="4"/>
      <c r="D92" s="4"/>
      <c r="E92" s="190"/>
      <c r="F92" s="190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</row>
    <row r="93" ht="15.75" customHeight="1">
      <c r="A93" s="4"/>
      <c r="B93" s="4"/>
      <c r="C93" s="4"/>
      <c r="D93" s="4"/>
      <c r="E93" s="190"/>
      <c r="F93" s="190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</row>
    <row r="94" ht="15.75" customHeight="1">
      <c r="A94" s="4"/>
      <c r="B94" s="4"/>
      <c r="C94" s="4"/>
      <c r="D94" s="4"/>
      <c r="E94" s="190"/>
      <c r="F94" s="19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</row>
    <row r="95" ht="15.75" customHeight="1">
      <c r="A95" s="4"/>
      <c r="B95" s="4"/>
      <c r="C95" s="4"/>
      <c r="D95" s="4"/>
      <c r="E95" s="190"/>
      <c r="F95" s="19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</row>
    <row r="96" ht="15.75" customHeight="1">
      <c r="A96" s="4"/>
      <c r="B96" s="4"/>
      <c r="C96" s="4"/>
      <c r="D96" s="4"/>
      <c r="E96" s="190"/>
      <c r="F96" s="19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</row>
    <row r="97" ht="15.75" customHeight="1">
      <c r="A97" s="4"/>
      <c r="B97" s="4"/>
      <c r="C97" s="4"/>
      <c r="D97" s="4"/>
      <c r="E97" s="190"/>
      <c r="F97" s="190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</row>
    <row r="98" ht="15.75" customHeight="1">
      <c r="A98" s="4"/>
      <c r="B98" s="4"/>
      <c r="C98" s="4"/>
      <c r="D98" s="4"/>
      <c r="E98" s="190"/>
      <c r="F98" s="19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</row>
    <row r="99" ht="15.75" customHeight="1">
      <c r="A99" s="4"/>
      <c r="B99" s="4"/>
      <c r="C99" s="4"/>
      <c r="D99" s="4"/>
      <c r="E99" s="190"/>
      <c r="F99" s="19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</row>
    <row r="100" ht="15.75" customHeight="1">
      <c r="A100" s="4"/>
      <c r="B100" s="4"/>
      <c r="C100" s="4"/>
      <c r="D100" s="4"/>
      <c r="E100" s="190"/>
      <c r="F100" s="19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</row>
    <row r="101" ht="15.75" customHeight="1">
      <c r="A101" s="4"/>
      <c r="B101" s="4"/>
      <c r="C101" s="4"/>
      <c r="D101" s="4"/>
      <c r="E101" s="190"/>
      <c r="F101" s="19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</row>
    <row r="102" ht="15.75" customHeight="1">
      <c r="A102" s="4"/>
      <c r="B102" s="4"/>
      <c r="C102" s="4"/>
      <c r="D102" s="4"/>
      <c r="E102" s="190"/>
      <c r="F102" s="19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</row>
    <row r="103" ht="15.75" customHeight="1">
      <c r="A103" s="4"/>
      <c r="B103" s="4"/>
      <c r="C103" s="4"/>
      <c r="D103" s="4"/>
      <c r="E103" s="190"/>
      <c r="F103" s="19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</row>
    <row r="104" ht="15.75" customHeight="1">
      <c r="A104" s="4"/>
      <c r="B104" s="4"/>
      <c r="C104" s="4"/>
      <c r="D104" s="4"/>
      <c r="E104" s="190"/>
      <c r="F104" s="19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</row>
    <row r="105" ht="15.75" customHeight="1">
      <c r="A105" s="4"/>
      <c r="B105" s="4"/>
      <c r="C105" s="4"/>
      <c r="D105" s="4"/>
      <c r="E105" s="190"/>
      <c r="F105" s="19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</row>
    <row r="106" ht="15.75" customHeight="1">
      <c r="A106" s="4"/>
      <c r="B106" s="4"/>
      <c r="C106" s="4"/>
      <c r="D106" s="4"/>
      <c r="E106" s="190"/>
      <c r="F106" s="19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</row>
    <row r="107" ht="15.75" customHeight="1">
      <c r="A107" s="4"/>
      <c r="B107" s="4"/>
      <c r="C107" s="4"/>
      <c r="D107" s="4"/>
      <c r="E107" s="190"/>
      <c r="F107" s="19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</row>
    <row r="108" ht="15.75" customHeight="1">
      <c r="A108" s="4"/>
      <c r="B108" s="4"/>
      <c r="C108" s="4"/>
      <c r="D108" s="4"/>
      <c r="E108" s="190"/>
      <c r="F108" s="19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</row>
    <row r="109" ht="15.75" customHeight="1">
      <c r="A109" s="4"/>
      <c r="B109" s="4"/>
      <c r="C109" s="4"/>
      <c r="D109" s="4"/>
      <c r="E109" s="190"/>
      <c r="F109" s="19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</row>
    <row r="110" ht="15.75" customHeight="1">
      <c r="A110" s="4"/>
      <c r="B110" s="4"/>
      <c r="C110" s="4"/>
      <c r="D110" s="4"/>
      <c r="E110" s="190"/>
      <c r="F110" s="19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</row>
    <row r="111" ht="15.75" customHeight="1">
      <c r="A111" s="4"/>
      <c r="B111" s="4"/>
      <c r="C111" s="4"/>
      <c r="D111" s="4"/>
      <c r="E111" s="190"/>
      <c r="F111" s="19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</row>
    <row r="112" ht="15.75" customHeight="1">
      <c r="A112" s="4"/>
      <c r="B112" s="4"/>
      <c r="C112" s="4"/>
      <c r="D112" s="4"/>
      <c r="E112" s="190"/>
      <c r="F112" s="19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</row>
    <row r="113" ht="15.75" customHeight="1">
      <c r="A113" s="4"/>
      <c r="B113" s="4"/>
      <c r="C113" s="4"/>
      <c r="D113" s="4"/>
      <c r="E113" s="190"/>
      <c r="F113" s="19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</row>
    <row r="114" ht="15.75" customHeight="1">
      <c r="A114" s="4"/>
      <c r="B114" s="4"/>
      <c r="C114" s="4"/>
      <c r="D114" s="4"/>
      <c r="E114" s="190"/>
      <c r="F114" s="19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</row>
    <row r="115" ht="15.75" customHeight="1">
      <c r="A115" s="4"/>
      <c r="B115" s="4"/>
      <c r="C115" s="4"/>
      <c r="D115" s="4"/>
      <c r="E115" s="190"/>
      <c r="F115" s="19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</row>
    <row r="116" ht="15.75" customHeight="1">
      <c r="A116" s="4"/>
      <c r="B116" s="4"/>
      <c r="C116" s="4"/>
      <c r="D116" s="4"/>
      <c r="E116" s="190"/>
      <c r="F116" s="19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</row>
    <row r="117" ht="15.75" customHeight="1">
      <c r="A117" s="4"/>
      <c r="B117" s="4"/>
      <c r="C117" s="4"/>
      <c r="D117" s="4"/>
      <c r="E117" s="190"/>
      <c r="F117" s="19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</row>
    <row r="118" ht="15.75" customHeight="1">
      <c r="A118" s="4"/>
      <c r="B118" s="4"/>
      <c r="C118" s="4"/>
      <c r="D118" s="4"/>
      <c r="E118" s="190"/>
      <c r="F118" s="19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</row>
    <row r="119" ht="15.75" customHeight="1">
      <c r="A119" s="4"/>
      <c r="B119" s="4"/>
      <c r="C119" s="4"/>
      <c r="D119" s="4"/>
      <c r="E119" s="190"/>
      <c r="F119" s="19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</row>
    <row r="120" ht="15.75" customHeight="1">
      <c r="A120" s="4"/>
      <c r="B120" s="4"/>
      <c r="C120" s="4"/>
      <c r="D120" s="4"/>
      <c r="E120" s="190"/>
      <c r="F120" s="19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</row>
    <row r="121" ht="15.75" customHeight="1">
      <c r="A121" s="4"/>
      <c r="B121" s="4"/>
      <c r="C121" s="4"/>
      <c r="D121" s="4"/>
      <c r="E121" s="190"/>
      <c r="F121" s="19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</row>
    <row r="122" ht="15.75" customHeight="1">
      <c r="A122" s="4"/>
      <c r="B122" s="4"/>
      <c r="C122" s="4"/>
      <c r="D122" s="4"/>
      <c r="E122" s="190"/>
      <c r="F122" s="19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</row>
    <row r="123" ht="15.75" customHeight="1">
      <c r="A123" s="4"/>
      <c r="B123" s="4"/>
      <c r="C123" s="4"/>
      <c r="D123" s="4"/>
      <c r="E123" s="190"/>
      <c r="F123" s="19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</row>
    <row r="124" ht="15.75" customHeight="1">
      <c r="A124" s="4"/>
      <c r="B124" s="4"/>
      <c r="C124" s="4"/>
      <c r="D124" s="4"/>
      <c r="E124" s="190"/>
      <c r="F124" s="19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</row>
    <row r="125" ht="15.75" customHeight="1">
      <c r="A125" s="4"/>
      <c r="B125" s="4"/>
      <c r="C125" s="4"/>
      <c r="D125" s="4"/>
      <c r="E125" s="190"/>
      <c r="F125" s="19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</row>
    <row r="126" ht="15.75" customHeight="1">
      <c r="A126" s="4"/>
      <c r="B126" s="4"/>
      <c r="C126" s="4"/>
      <c r="D126" s="4"/>
      <c r="E126" s="190"/>
      <c r="F126" s="19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</row>
    <row r="127" ht="15.75" customHeight="1">
      <c r="A127" s="4"/>
      <c r="B127" s="4"/>
      <c r="C127" s="4"/>
      <c r="D127" s="4"/>
      <c r="E127" s="190"/>
      <c r="F127" s="19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</row>
    <row r="128" ht="15.75" customHeight="1">
      <c r="A128" s="4"/>
      <c r="B128" s="4"/>
      <c r="C128" s="4"/>
      <c r="D128" s="4"/>
      <c r="E128" s="190"/>
      <c r="F128" s="19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</row>
    <row r="129" ht="15.75" customHeight="1">
      <c r="A129" s="4"/>
      <c r="B129" s="4"/>
      <c r="C129" s="4"/>
      <c r="D129" s="4"/>
      <c r="E129" s="190"/>
      <c r="F129" s="19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</row>
    <row r="130" ht="15.75" customHeight="1">
      <c r="A130" s="4"/>
      <c r="B130" s="4"/>
      <c r="C130" s="4"/>
      <c r="D130" s="4"/>
      <c r="E130" s="190"/>
      <c r="F130" s="19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</row>
    <row r="131" ht="15.75" customHeight="1">
      <c r="A131" s="4"/>
      <c r="B131" s="4"/>
      <c r="C131" s="4"/>
      <c r="D131" s="4"/>
      <c r="E131" s="190"/>
      <c r="F131" s="19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</row>
    <row r="132" ht="15.75" customHeight="1">
      <c r="A132" s="4"/>
      <c r="B132" s="4"/>
      <c r="C132" s="4"/>
      <c r="D132" s="4"/>
      <c r="E132" s="190"/>
      <c r="F132" s="19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</row>
    <row r="133" ht="15.75" customHeight="1">
      <c r="A133" s="4"/>
      <c r="B133" s="4"/>
      <c r="C133" s="4"/>
      <c r="D133" s="4"/>
      <c r="E133" s="190"/>
      <c r="F133" s="19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</row>
    <row r="134" ht="15.75" customHeight="1">
      <c r="A134" s="4"/>
      <c r="B134" s="4"/>
      <c r="C134" s="4"/>
      <c r="D134" s="4"/>
      <c r="E134" s="190"/>
      <c r="F134" s="19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</row>
    <row r="135" ht="15.75" customHeight="1">
      <c r="A135" s="4"/>
      <c r="B135" s="4"/>
      <c r="C135" s="4"/>
      <c r="D135" s="4"/>
      <c r="E135" s="190"/>
      <c r="F135" s="19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</row>
    <row r="136" ht="15.75" customHeight="1">
      <c r="A136" s="4"/>
      <c r="B136" s="4"/>
      <c r="C136" s="4"/>
      <c r="D136" s="4"/>
      <c r="E136" s="190"/>
      <c r="F136" s="19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</row>
    <row r="137" ht="15.75" customHeight="1">
      <c r="A137" s="4"/>
      <c r="B137" s="4"/>
      <c r="C137" s="4"/>
      <c r="D137" s="4"/>
      <c r="E137" s="190"/>
      <c r="F137" s="19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</row>
    <row r="138" ht="15.75" customHeight="1">
      <c r="A138" s="4"/>
      <c r="B138" s="4"/>
      <c r="C138" s="4"/>
      <c r="D138" s="4"/>
      <c r="E138" s="190"/>
      <c r="F138" s="19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</row>
    <row r="139" ht="15.75" customHeight="1">
      <c r="A139" s="4"/>
      <c r="B139" s="4"/>
      <c r="C139" s="4"/>
      <c r="D139" s="4"/>
      <c r="E139" s="190"/>
      <c r="F139" s="19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</row>
    <row r="140" ht="15.75" customHeight="1">
      <c r="A140" s="4"/>
      <c r="B140" s="4"/>
      <c r="C140" s="4"/>
      <c r="D140" s="4"/>
      <c r="E140" s="190"/>
      <c r="F140" s="19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</row>
    <row r="141" ht="15.75" customHeight="1">
      <c r="A141" s="4"/>
      <c r="B141" s="4"/>
      <c r="C141" s="4"/>
      <c r="D141" s="4"/>
      <c r="E141" s="190"/>
      <c r="F141" s="19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</row>
    <row r="142" ht="15.75" customHeight="1">
      <c r="A142" s="4"/>
      <c r="B142" s="4"/>
      <c r="C142" s="4"/>
      <c r="D142" s="4"/>
      <c r="E142" s="190"/>
      <c r="F142" s="19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</row>
    <row r="143" ht="15.75" customHeight="1">
      <c r="A143" s="4"/>
      <c r="B143" s="4"/>
      <c r="C143" s="4"/>
      <c r="D143" s="4"/>
      <c r="E143" s="190"/>
      <c r="F143" s="19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</row>
    <row r="144" ht="15.75" customHeight="1">
      <c r="A144" s="4"/>
      <c r="B144" s="4"/>
      <c r="C144" s="4"/>
      <c r="D144" s="4"/>
      <c r="E144" s="190"/>
      <c r="F144" s="19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</row>
    <row r="145" ht="15.75" customHeight="1">
      <c r="A145" s="4"/>
      <c r="B145" s="4"/>
      <c r="C145" s="4"/>
      <c r="D145" s="4"/>
      <c r="E145" s="190"/>
      <c r="F145" s="19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</row>
    <row r="146" ht="15.75" customHeight="1">
      <c r="A146" s="4"/>
      <c r="B146" s="4"/>
      <c r="C146" s="4"/>
      <c r="D146" s="4"/>
      <c r="E146" s="190"/>
      <c r="F146" s="19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</row>
    <row r="147" ht="15.75" customHeight="1">
      <c r="A147" s="4"/>
      <c r="B147" s="4"/>
      <c r="C147" s="4"/>
      <c r="D147" s="4"/>
      <c r="E147" s="190"/>
      <c r="F147" s="19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</row>
    <row r="148" ht="15.75" customHeight="1">
      <c r="A148" s="4"/>
      <c r="B148" s="4"/>
      <c r="C148" s="4"/>
      <c r="D148" s="4"/>
      <c r="E148" s="190"/>
      <c r="F148" s="19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</row>
    <row r="149" ht="15.75" customHeight="1">
      <c r="A149" s="4"/>
      <c r="B149" s="4"/>
      <c r="C149" s="4"/>
      <c r="D149" s="4"/>
      <c r="E149" s="190"/>
      <c r="F149" s="19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</row>
    <row r="150" ht="15.75" customHeight="1">
      <c r="A150" s="4"/>
      <c r="B150" s="4"/>
      <c r="C150" s="4"/>
      <c r="D150" s="4"/>
      <c r="E150" s="190"/>
      <c r="F150" s="19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</row>
    <row r="151" ht="15.75" customHeight="1">
      <c r="A151" s="4"/>
      <c r="B151" s="4"/>
      <c r="C151" s="4"/>
      <c r="D151" s="4"/>
      <c r="E151" s="190"/>
      <c r="F151" s="19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</row>
    <row r="152" ht="15.75" customHeight="1">
      <c r="A152" s="4"/>
      <c r="B152" s="4"/>
      <c r="C152" s="4"/>
      <c r="D152" s="4"/>
      <c r="E152" s="190"/>
      <c r="F152" s="19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</row>
    <row r="153" ht="15.75" customHeight="1">
      <c r="A153" s="4"/>
      <c r="B153" s="4"/>
      <c r="C153" s="4"/>
      <c r="D153" s="4"/>
      <c r="E153" s="190"/>
      <c r="F153" s="19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</row>
    <row r="154" ht="15.75" customHeight="1">
      <c r="A154" s="4"/>
      <c r="B154" s="4"/>
      <c r="C154" s="4"/>
      <c r="D154" s="4"/>
      <c r="E154" s="190"/>
      <c r="F154" s="19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</row>
    <row r="155" ht="15.75" customHeight="1">
      <c r="A155" s="4"/>
      <c r="B155" s="4"/>
      <c r="C155" s="4"/>
      <c r="D155" s="4"/>
      <c r="E155" s="190"/>
      <c r="F155" s="19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</row>
    <row r="156" ht="15.75" customHeight="1">
      <c r="A156" s="4"/>
      <c r="B156" s="4"/>
      <c r="C156" s="4"/>
      <c r="D156" s="4"/>
      <c r="E156" s="190"/>
      <c r="F156" s="19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</row>
    <row r="157" ht="15.75" customHeight="1">
      <c r="A157" s="4"/>
      <c r="B157" s="4"/>
      <c r="C157" s="4"/>
      <c r="D157" s="4"/>
      <c r="E157" s="190"/>
      <c r="F157" s="19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</row>
    <row r="158" ht="15.75" customHeight="1">
      <c r="A158" s="4"/>
      <c r="B158" s="4"/>
      <c r="C158" s="4"/>
      <c r="D158" s="4"/>
      <c r="E158" s="190"/>
      <c r="F158" s="19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</row>
    <row r="159" ht="15.75" customHeight="1">
      <c r="A159" s="4"/>
      <c r="B159" s="4"/>
      <c r="C159" s="4"/>
      <c r="D159" s="4"/>
      <c r="E159" s="190"/>
      <c r="F159" s="19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</row>
    <row r="160" ht="15.75" customHeight="1">
      <c r="A160" s="4"/>
      <c r="B160" s="4"/>
      <c r="C160" s="4"/>
      <c r="D160" s="4"/>
      <c r="E160" s="190"/>
      <c r="F160" s="19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</row>
    <row r="161" ht="15.75" customHeight="1">
      <c r="A161" s="4"/>
      <c r="B161" s="4"/>
      <c r="C161" s="4"/>
      <c r="D161" s="4"/>
      <c r="E161" s="190"/>
      <c r="F161" s="19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</row>
    <row r="162" ht="15.75" customHeight="1">
      <c r="A162" s="4"/>
      <c r="B162" s="4"/>
      <c r="C162" s="4"/>
      <c r="D162" s="4"/>
      <c r="E162" s="190"/>
      <c r="F162" s="19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</row>
    <row r="163" ht="15.75" customHeight="1">
      <c r="A163" s="4"/>
      <c r="B163" s="4"/>
      <c r="C163" s="4"/>
      <c r="D163" s="4"/>
      <c r="E163" s="190"/>
      <c r="F163" s="19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</row>
    <row r="164" ht="15.75" customHeight="1">
      <c r="A164" s="4"/>
      <c r="B164" s="4"/>
      <c r="C164" s="4"/>
      <c r="D164" s="4"/>
      <c r="E164" s="190"/>
      <c r="F164" s="19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</row>
    <row r="165" ht="15.75" customHeight="1">
      <c r="A165" s="4"/>
      <c r="B165" s="4"/>
      <c r="C165" s="4"/>
      <c r="D165" s="4"/>
      <c r="E165" s="190"/>
      <c r="F165" s="19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</row>
    <row r="166" ht="15.75" customHeight="1">
      <c r="A166" s="4"/>
      <c r="B166" s="4"/>
      <c r="C166" s="4"/>
      <c r="D166" s="4"/>
      <c r="E166" s="190"/>
      <c r="F166" s="19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</row>
    <row r="167" ht="15.75" customHeight="1">
      <c r="A167" s="4"/>
      <c r="B167" s="4"/>
      <c r="C167" s="4"/>
      <c r="D167" s="4"/>
      <c r="E167" s="190"/>
      <c r="F167" s="19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</row>
    <row r="168" ht="15.75" customHeight="1">
      <c r="A168" s="4"/>
      <c r="B168" s="4"/>
      <c r="C168" s="4"/>
      <c r="D168" s="4"/>
      <c r="E168" s="190"/>
      <c r="F168" s="19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</row>
    <row r="169" ht="15.75" customHeight="1">
      <c r="A169" s="4"/>
      <c r="B169" s="4"/>
      <c r="C169" s="4"/>
      <c r="D169" s="4"/>
      <c r="E169" s="190"/>
      <c r="F169" s="19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</row>
    <row r="170" ht="15.75" customHeight="1">
      <c r="A170" s="4"/>
      <c r="B170" s="4"/>
      <c r="C170" s="4"/>
      <c r="D170" s="4"/>
      <c r="E170" s="190"/>
      <c r="F170" s="19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</row>
    <row r="171" ht="15.75" customHeight="1">
      <c r="A171" s="4"/>
      <c r="B171" s="4"/>
      <c r="C171" s="4"/>
      <c r="D171" s="4"/>
      <c r="E171" s="190"/>
      <c r="F171" s="19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</row>
    <row r="172" ht="15.75" customHeight="1">
      <c r="A172" s="4"/>
      <c r="B172" s="4"/>
      <c r="C172" s="4"/>
      <c r="D172" s="4"/>
      <c r="E172" s="190"/>
      <c r="F172" s="19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</row>
    <row r="173" ht="15.75" customHeight="1">
      <c r="A173" s="4"/>
      <c r="B173" s="4"/>
      <c r="C173" s="4"/>
      <c r="D173" s="4"/>
      <c r="E173" s="190"/>
      <c r="F173" s="19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</row>
    <row r="174" ht="15.75" customHeight="1">
      <c r="A174" s="4"/>
      <c r="B174" s="4"/>
      <c r="C174" s="4"/>
      <c r="D174" s="4"/>
      <c r="E174" s="190"/>
      <c r="F174" s="19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</row>
    <row r="175" ht="15.75" customHeight="1">
      <c r="A175" s="4"/>
      <c r="B175" s="4"/>
      <c r="C175" s="4"/>
      <c r="D175" s="4"/>
      <c r="E175" s="190"/>
      <c r="F175" s="19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</row>
    <row r="176" ht="15.75" customHeight="1">
      <c r="A176" s="4"/>
      <c r="B176" s="4"/>
      <c r="C176" s="4"/>
      <c r="D176" s="4"/>
      <c r="E176" s="190"/>
      <c r="F176" s="19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</row>
    <row r="177" ht="15.75" customHeight="1">
      <c r="A177" s="4"/>
      <c r="B177" s="4"/>
      <c r="C177" s="4"/>
      <c r="D177" s="4"/>
      <c r="E177" s="190"/>
      <c r="F177" s="19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</row>
    <row r="178" ht="15.75" customHeight="1">
      <c r="A178" s="4"/>
      <c r="B178" s="4"/>
      <c r="C178" s="4"/>
      <c r="D178" s="4"/>
      <c r="E178" s="190"/>
      <c r="F178" s="19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</row>
    <row r="179" ht="15.75" customHeight="1">
      <c r="A179" s="4"/>
      <c r="B179" s="4"/>
      <c r="C179" s="4"/>
      <c r="D179" s="4"/>
      <c r="E179" s="190"/>
      <c r="F179" s="19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</row>
    <row r="180" ht="15.75" customHeight="1">
      <c r="A180" s="4"/>
      <c r="B180" s="4"/>
      <c r="C180" s="4"/>
      <c r="D180" s="4"/>
      <c r="E180" s="190"/>
      <c r="F180" s="19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</row>
    <row r="181" ht="15.75" customHeight="1">
      <c r="A181" s="4"/>
      <c r="B181" s="4"/>
      <c r="C181" s="4"/>
      <c r="D181" s="4"/>
      <c r="E181" s="190"/>
      <c r="F181" s="19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</row>
    <row r="182" ht="15.75" customHeight="1">
      <c r="A182" s="4"/>
      <c r="B182" s="4"/>
      <c r="C182" s="4"/>
      <c r="D182" s="4"/>
      <c r="E182" s="190"/>
      <c r="F182" s="19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</row>
    <row r="183" ht="15.75" customHeight="1">
      <c r="A183" s="4"/>
      <c r="B183" s="4"/>
      <c r="C183" s="4"/>
      <c r="D183" s="4"/>
      <c r="E183" s="190"/>
      <c r="F183" s="19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</row>
    <row r="184" ht="15.75" customHeight="1">
      <c r="A184" s="4"/>
      <c r="B184" s="4"/>
      <c r="C184" s="4"/>
      <c r="D184" s="4"/>
      <c r="E184" s="190"/>
      <c r="F184" s="19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</row>
    <row r="185" ht="15.75" customHeight="1">
      <c r="A185" s="4"/>
      <c r="B185" s="4"/>
      <c r="C185" s="4"/>
      <c r="D185" s="4"/>
      <c r="E185" s="190"/>
      <c r="F185" s="19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</row>
    <row r="186" ht="15.75" customHeight="1">
      <c r="A186" s="4"/>
      <c r="B186" s="4"/>
      <c r="C186" s="4"/>
      <c r="D186" s="4"/>
      <c r="E186" s="190"/>
      <c r="F186" s="19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</row>
    <row r="187" ht="15.75" customHeight="1">
      <c r="A187" s="4"/>
      <c r="B187" s="4"/>
      <c r="C187" s="4"/>
      <c r="D187" s="4"/>
      <c r="E187" s="190"/>
      <c r="F187" s="19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</row>
    <row r="188" ht="15.75" customHeight="1">
      <c r="A188" s="4"/>
      <c r="B188" s="4"/>
      <c r="C188" s="4"/>
      <c r="D188" s="4"/>
      <c r="E188" s="190"/>
      <c r="F188" s="19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</row>
    <row r="189" ht="15.75" customHeight="1">
      <c r="A189" s="4"/>
      <c r="B189" s="4"/>
      <c r="C189" s="4"/>
      <c r="D189" s="4"/>
      <c r="E189" s="190"/>
      <c r="F189" s="19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</row>
    <row r="190" ht="15.75" customHeight="1">
      <c r="A190" s="4"/>
      <c r="B190" s="4"/>
      <c r="C190" s="4"/>
      <c r="D190" s="4"/>
      <c r="E190" s="190"/>
      <c r="F190" s="19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</row>
    <row r="191" ht="15.75" customHeight="1">
      <c r="A191" s="4"/>
      <c r="B191" s="4"/>
      <c r="C191" s="4"/>
      <c r="D191" s="4"/>
      <c r="E191" s="190"/>
      <c r="F191" s="19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</row>
    <row r="192" ht="15.75" customHeight="1">
      <c r="A192" s="4"/>
      <c r="B192" s="4"/>
      <c r="C192" s="4"/>
      <c r="D192" s="4"/>
      <c r="E192" s="190"/>
      <c r="F192" s="19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</row>
    <row r="193" ht="15.75" customHeight="1">
      <c r="A193" s="4"/>
      <c r="B193" s="4"/>
      <c r="C193" s="4"/>
      <c r="D193" s="4"/>
      <c r="E193" s="190"/>
      <c r="F193" s="19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</row>
    <row r="194" ht="15.75" customHeight="1">
      <c r="A194" s="4"/>
      <c r="B194" s="4"/>
      <c r="C194" s="4"/>
      <c r="D194" s="4"/>
      <c r="E194" s="190"/>
      <c r="F194" s="19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</row>
    <row r="195" ht="15.75" customHeight="1">
      <c r="A195" s="4"/>
      <c r="B195" s="4"/>
      <c r="C195" s="4"/>
      <c r="D195" s="4"/>
      <c r="E195" s="190"/>
      <c r="F195" s="19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</row>
    <row r="196" ht="15.75" customHeight="1">
      <c r="A196" s="4"/>
      <c r="B196" s="4"/>
      <c r="C196" s="4"/>
      <c r="D196" s="4"/>
      <c r="E196" s="190"/>
      <c r="F196" s="19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</row>
    <row r="197" ht="15.75" customHeight="1">
      <c r="A197" s="4"/>
      <c r="B197" s="4"/>
      <c r="C197" s="4"/>
      <c r="D197" s="4"/>
      <c r="E197" s="190"/>
      <c r="F197" s="19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</row>
    <row r="198" ht="15.75" customHeight="1">
      <c r="A198" s="4"/>
      <c r="B198" s="4"/>
      <c r="C198" s="4"/>
      <c r="D198" s="4"/>
      <c r="E198" s="190"/>
      <c r="F198" s="19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</row>
    <row r="199" ht="15.75" customHeight="1">
      <c r="A199" s="4"/>
      <c r="B199" s="4"/>
      <c r="C199" s="4"/>
      <c r="D199" s="4"/>
      <c r="E199" s="190"/>
      <c r="F199" s="19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</row>
    <row r="200" ht="15.75" customHeight="1">
      <c r="A200" s="4"/>
      <c r="B200" s="4"/>
      <c r="C200" s="4"/>
      <c r="D200" s="4"/>
      <c r="E200" s="190"/>
      <c r="F200" s="19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</row>
  </sheetData>
  <dataValidations>
    <dataValidation type="list" allowBlank="1" showErrorMessage="1" sqref="D6">
      <formula1>"Base (50/50; G/M&amp;A),Base (75/25; G/M&amp;A),Outperform (50/50; G/M&amp;A),Outperform (75/25; G/M&amp;A)"</formula1>
    </dataValidation>
    <dataValidation type="list" allowBlank="1" showErrorMessage="1" sqref="D18:D55">
      <formula1>"Growth,M&amp;A,No client"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91"/>
      <c r="B1" s="191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</row>
    <row r="2">
      <c r="A2" s="191"/>
      <c r="B2" s="191"/>
      <c r="C2" s="193"/>
      <c r="D2" s="193"/>
      <c r="E2" s="193"/>
      <c r="F2" s="193"/>
      <c r="G2" s="193"/>
      <c r="H2" s="193"/>
    </row>
    <row r="3">
      <c r="A3" s="192"/>
      <c r="B3" s="192"/>
    </row>
    <row r="4">
      <c r="A4" s="192" t="s">
        <v>105</v>
      </c>
      <c r="O4" s="192" t="s">
        <v>106</v>
      </c>
    </row>
    <row r="5">
      <c r="A5" s="194" t="s">
        <v>1</v>
      </c>
      <c r="B5" s="193">
        <v>17620.0</v>
      </c>
      <c r="C5" s="193">
        <v>33900.0</v>
      </c>
      <c r="D5" s="193">
        <v>37400.0</v>
      </c>
      <c r="E5" s="193">
        <v>32320.0</v>
      </c>
      <c r="F5" s="193">
        <v>38320.0</v>
      </c>
      <c r="G5" s="193">
        <v>45920.0</v>
      </c>
      <c r="H5" s="193">
        <v>45920.0</v>
      </c>
      <c r="I5" s="193">
        <v>47520.0</v>
      </c>
      <c r="J5" s="193">
        <v>45920.0</v>
      </c>
      <c r="K5" s="193">
        <v>42400.0</v>
      </c>
      <c r="L5" s="193">
        <v>40800.0</v>
      </c>
      <c r="M5" s="193">
        <v>42400.0</v>
      </c>
      <c r="N5" s="193"/>
      <c r="O5" s="193">
        <f t="shared" ref="O5:O6" si="1">sum(B5:M5)</f>
        <v>470440</v>
      </c>
      <c r="P5" s="191"/>
      <c r="Q5" s="193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</row>
    <row r="6">
      <c r="A6" s="195" t="s">
        <v>107</v>
      </c>
      <c r="B6" s="193">
        <v>-14884.833333333332</v>
      </c>
      <c r="C6" s="188">
        <v>1395.1666666666679</v>
      </c>
      <c r="D6" s="188">
        <v>4395.1666666666715</v>
      </c>
      <c r="E6" s="188">
        <v>-684.8333333333285</v>
      </c>
      <c r="F6" s="188">
        <v>5315.1666666666715</v>
      </c>
      <c r="G6" s="188">
        <v>12915.166666666672</v>
      </c>
      <c r="H6" s="188">
        <v>12915.166666666672</v>
      </c>
      <c r="I6" s="188">
        <v>14515.166666666672</v>
      </c>
      <c r="J6" s="188">
        <v>12915.166666666672</v>
      </c>
      <c r="K6" s="188">
        <v>9395.166666666672</v>
      </c>
      <c r="L6" s="193">
        <v>7795.1666666666715</v>
      </c>
      <c r="M6" s="193">
        <v>9395.166666666672</v>
      </c>
      <c r="N6" s="191"/>
      <c r="O6" s="193">
        <f t="shared" si="1"/>
        <v>75382</v>
      </c>
    </row>
    <row r="7">
      <c r="A7" s="191"/>
      <c r="B7" s="191"/>
      <c r="C7" s="196"/>
      <c r="D7" s="196"/>
      <c r="E7" s="196"/>
      <c r="F7" s="188"/>
      <c r="G7" s="188"/>
      <c r="H7" s="188"/>
      <c r="I7" s="73"/>
      <c r="J7" s="73"/>
      <c r="K7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A28" s="192" t="s">
        <v>108</v>
      </c>
      <c r="O28" s="192" t="s">
        <v>106</v>
      </c>
    </row>
    <row r="29" ht="15.75" customHeight="1">
      <c r="A29" s="194" t="s">
        <v>1</v>
      </c>
      <c r="B29" s="193">
        <v>12500.0</v>
      </c>
      <c r="C29" s="193">
        <v>21100.0</v>
      </c>
      <c r="D29" s="193">
        <f>19600+5000</f>
        <v>24600</v>
      </c>
      <c r="E29" s="193">
        <v>27200.0</v>
      </c>
      <c r="F29" s="193">
        <v>33200.0</v>
      </c>
      <c r="G29" s="193">
        <v>40800.0</v>
      </c>
      <c r="H29" s="193">
        <v>40800.0</v>
      </c>
      <c r="I29" s="193">
        <v>42400.0</v>
      </c>
      <c r="J29" s="193">
        <v>40800.0</v>
      </c>
      <c r="K29" s="193">
        <v>42400.0</v>
      </c>
      <c r="L29" s="193">
        <v>40800.0</v>
      </c>
      <c r="M29" s="193">
        <v>42400.0</v>
      </c>
      <c r="O29" s="193">
        <f t="shared" ref="O29:O30" si="2">sum(B29:M29)</f>
        <v>409000</v>
      </c>
    </row>
    <row r="30" ht="15.75" customHeight="1">
      <c r="A30" s="195" t="s">
        <v>107</v>
      </c>
      <c r="B30" s="193">
        <v>-20004.833333333332</v>
      </c>
      <c r="C30" s="193">
        <v>-11404.833333333332</v>
      </c>
      <c r="D30" s="193">
        <f>-13404.8333333333+5000</f>
        <v>-8404.833333</v>
      </c>
      <c r="E30" s="193">
        <v>-5804.8333333333285</v>
      </c>
      <c r="F30" s="193">
        <v>195.16666666667152</v>
      </c>
      <c r="G30" s="193">
        <v>7795.1666666666715</v>
      </c>
      <c r="H30" s="193">
        <v>7795.1666666666715</v>
      </c>
      <c r="I30" s="193">
        <v>9395.166666666672</v>
      </c>
      <c r="J30" s="193">
        <v>7795.1666666666715</v>
      </c>
      <c r="K30" s="193">
        <v>9395.166666666672</v>
      </c>
      <c r="L30" s="193">
        <v>7795.1666666666715</v>
      </c>
      <c r="M30" s="193">
        <v>9395.166666666672</v>
      </c>
      <c r="N30" s="191"/>
      <c r="O30" s="193">
        <f t="shared" si="2"/>
        <v>13942</v>
      </c>
    </row>
    <row r="31" ht="15.75" customHeight="1"/>
    <row r="32" ht="15.75" customHeight="1"/>
    <row r="33" ht="15.75" customHeight="1">
      <c r="B33" s="41" t="s">
        <v>109</v>
      </c>
      <c r="C33" s="197"/>
      <c r="D33" s="197"/>
      <c r="E33" s="197"/>
      <c r="F33" s="197"/>
    </row>
    <row r="34" ht="15.75" customHeight="1">
      <c r="B34" s="198" t="s">
        <v>110</v>
      </c>
      <c r="C34" s="199">
        <v>2027.0</v>
      </c>
      <c r="D34" s="199">
        <v>2028.0</v>
      </c>
      <c r="E34" s="199">
        <v>2029.0</v>
      </c>
      <c r="F34" s="199">
        <v>2030.0</v>
      </c>
    </row>
    <row r="35" ht="15.75" customHeight="1">
      <c r="B35" s="198" t="s">
        <v>111</v>
      </c>
      <c r="C35" s="200">
        <f>'Commercials Forecast'!BC25</f>
        <v>706250</v>
      </c>
      <c r="D35" s="200">
        <f>'Commercials Forecast'!BD25</f>
        <v>2255253.333</v>
      </c>
      <c r="E35" s="200">
        <f>'Commercials Forecast'!BE25</f>
        <v>6286900.667</v>
      </c>
      <c r="F35" s="200">
        <f>'Commercials Forecast'!BF25</f>
        <v>15155519.17</v>
      </c>
    </row>
    <row r="36" ht="15.75" customHeight="1">
      <c r="B36" s="198" t="s">
        <v>104</v>
      </c>
      <c r="C36" s="200" t="str">
        <f>'Income statement'!BC9</f>
        <v/>
      </c>
      <c r="D36" s="200" t="str">
        <f>'Income statement'!BD9</f>
        <v/>
      </c>
      <c r="E36" s="200" t="str">
        <f>'Income statement'!BE9</f>
        <v/>
      </c>
      <c r="F36" s="200" t="str">
        <f>'Income statement'!BF9</f>
        <v/>
      </c>
    </row>
    <row r="37" ht="15.75" customHeight="1">
      <c r="B37" s="198" t="s">
        <v>107</v>
      </c>
      <c r="C37" s="200" t="str">
        <f>'Income statement'!BC21</f>
        <v/>
      </c>
      <c r="D37" s="200" t="str">
        <f>'Income statement'!BD21</f>
        <v/>
      </c>
      <c r="E37" s="200" t="str">
        <f>'Income statement'!BE21</f>
        <v/>
      </c>
      <c r="F37" s="200" t="str">
        <f>'Income statement'!BF21</f>
        <v/>
      </c>
    </row>
    <row r="38" ht="15.75" customHeight="1">
      <c r="B38" s="198" t="s">
        <v>112</v>
      </c>
      <c r="C38" s="201">
        <f>'Income statement'!BC22</f>
        <v>138000</v>
      </c>
      <c r="D38" s="201" t="str">
        <f>'Income statement'!BD22</f>
        <v/>
      </c>
      <c r="E38" s="201" t="str">
        <f>'Income statement'!BE22</f>
        <v/>
      </c>
      <c r="F38" s="201" t="str">
        <f>'Income statement'!BF22</f>
        <v/>
      </c>
    </row>
    <row r="39" ht="15.75" customHeight="1">
      <c r="B39" s="198" t="s">
        <v>113</v>
      </c>
      <c r="C39" s="200">
        <f>Parameters!C49</f>
        <v>20</v>
      </c>
      <c r="D39" s="200">
        <f>Parameters!D49</f>
        <v>40</v>
      </c>
      <c r="E39" s="200">
        <f>Parameters!E49</f>
        <v>58</v>
      </c>
      <c r="F39" s="200">
        <f>Parameters!F49</f>
        <v>74</v>
      </c>
    </row>
    <row r="40" ht="15.75" customHeight="1">
      <c r="B40" s="198" t="s">
        <v>114</v>
      </c>
      <c r="C40" s="200">
        <f>Personnel!BC7</f>
        <v>8.666666667</v>
      </c>
      <c r="D40" s="200">
        <f>Personnel!BD7</f>
        <v>18.2</v>
      </c>
      <c r="E40" s="200">
        <f>Personnel!BE7</f>
        <v>27.74333333</v>
      </c>
      <c r="F40" s="200">
        <f>Personnel!BF7</f>
        <v>37</v>
      </c>
    </row>
    <row r="41" ht="15.75" customHeight="1">
      <c r="B41" s="198" t="s">
        <v>115</v>
      </c>
      <c r="C41" s="200">
        <f>Personnel!BC8</f>
        <v>3</v>
      </c>
      <c r="D41" s="200">
        <f>Personnel!BD8</f>
        <v>7</v>
      </c>
      <c r="E41" s="200">
        <f>Personnel!BE8</f>
        <v>10</v>
      </c>
      <c r="F41" s="200">
        <f>Personnel!BF8</f>
        <v>13</v>
      </c>
    </row>
    <row r="42" ht="15.75" customHeight="1">
      <c r="B42" s="198" t="s">
        <v>116</v>
      </c>
      <c r="C42" s="200">
        <f>Personnel!BC14</f>
        <v>8</v>
      </c>
      <c r="D42" s="200">
        <f>Personnel!BD14</f>
        <v>14</v>
      </c>
      <c r="E42" s="200">
        <f>Personnel!BE14</f>
        <v>17</v>
      </c>
      <c r="F42" s="200">
        <f>Personnel!BF14</f>
        <v>20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0"/>
  <sheetData>
    <row r="1">
      <c r="A1" s="170"/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</row>
    <row r="2">
      <c r="A2" s="170"/>
      <c r="B2" s="2" t="s">
        <v>117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</row>
    <row r="3">
      <c r="A3" s="170"/>
      <c r="B3" s="170"/>
      <c r="C3" s="170"/>
      <c r="D3" s="170"/>
      <c r="E3" s="26" t="s">
        <v>89</v>
      </c>
      <c r="F3" s="112">
        <v>46388.0</v>
      </c>
      <c r="G3" s="112">
        <v>46419.0</v>
      </c>
      <c r="H3" s="112">
        <v>46447.0</v>
      </c>
      <c r="I3" s="112">
        <v>46478.0</v>
      </c>
      <c r="J3" s="112">
        <v>46508.0</v>
      </c>
      <c r="K3" s="112">
        <v>46539.0</v>
      </c>
      <c r="L3" s="112">
        <v>46569.0</v>
      </c>
      <c r="M3" s="112">
        <v>46600.0</v>
      </c>
      <c r="N3" s="112">
        <v>46631.0</v>
      </c>
      <c r="O3" s="112">
        <v>46661.0</v>
      </c>
      <c r="P3" s="112">
        <v>46692.0</v>
      </c>
      <c r="Q3" s="112">
        <v>46722.0</v>
      </c>
      <c r="R3" s="112">
        <v>46753.0</v>
      </c>
      <c r="S3" s="112">
        <v>46784.0</v>
      </c>
      <c r="T3" s="112">
        <v>46813.0</v>
      </c>
      <c r="U3" s="112">
        <v>46844.0</v>
      </c>
      <c r="V3" s="112">
        <v>46874.0</v>
      </c>
      <c r="W3" s="112">
        <v>46905.0</v>
      </c>
      <c r="X3" s="112">
        <v>46935.0</v>
      </c>
      <c r="Y3" s="112">
        <v>46966.0</v>
      </c>
      <c r="Z3" s="112">
        <v>46997.0</v>
      </c>
      <c r="AA3" s="112">
        <v>47027.0</v>
      </c>
      <c r="AB3" s="112">
        <v>47058.0</v>
      </c>
      <c r="AC3" s="112">
        <v>47088.0</v>
      </c>
      <c r="AD3" s="112">
        <v>47119.0</v>
      </c>
      <c r="AE3" s="112">
        <v>47150.0</v>
      </c>
      <c r="AF3" s="112">
        <v>47178.0</v>
      </c>
      <c r="AG3" s="112">
        <v>47209.0</v>
      </c>
      <c r="AH3" s="112">
        <v>47239.0</v>
      </c>
      <c r="AI3" s="112">
        <v>47270.0</v>
      </c>
      <c r="AJ3" s="112">
        <v>47300.0</v>
      </c>
      <c r="AK3" s="112">
        <v>47331.0</v>
      </c>
      <c r="AL3" s="112">
        <v>47362.0</v>
      </c>
      <c r="AM3" s="112">
        <v>47392.0</v>
      </c>
      <c r="AN3" s="112">
        <v>47423.0</v>
      </c>
      <c r="AO3" s="112">
        <v>47453.0</v>
      </c>
      <c r="AP3" s="112">
        <v>47484.0</v>
      </c>
      <c r="AQ3" s="112">
        <v>47515.0</v>
      </c>
      <c r="AR3" s="112">
        <v>47543.0</v>
      </c>
      <c r="AS3" s="112">
        <v>47574.0</v>
      </c>
      <c r="AT3" s="112">
        <v>47604.0</v>
      </c>
      <c r="AU3" s="112">
        <v>47635.0</v>
      </c>
      <c r="AV3" s="112">
        <v>47665.0</v>
      </c>
      <c r="AW3" s="112">
        <v>47696.0</v>
      </c>
      <c r="AX3" s="112">
        <v>47727.0</v>
      </c>
      <c r="AY3" s="112">
        <v>47757.0</v>
      </c>
      <c r="AZ3" s="112">
        <v>47788.0</v>
      </c>
      <c r="BA3" s="112">
        <v>47818.0</v>
      </c>
      <c r="BB3" s="170"/>
      <c r="BC3" s="16">
        <v>2027.0</v>
      </c>
      <c r="BD3" s="16">
        <v>2028.0</v>
      </c>
      <c r="BE3" s="16">
        <v>2029.0</v>
      </c>
      <c r="BF3" s="16">
        <v>2030.0</v>
      </c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</row>
    <row r="5">
      <c r="A5" s="170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</row>
    <row r="6">
      <c r="A6" s="170"/>
      <c r="B6" s="41" t="s">
        <v>118</v>
      </c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</row>
    <row r="7">
      <c r="A7" s="170"/>
      <c r="B7" s="26" t="s">
        <v>119</v>
      </c>
      <c r="C7" s="170"/>
      <c r="D7" s="170"/>
      <c r="E7" s="26" t="s">
        <v>92</v>
      </c>
      <c r="F7" s="122">
        <f>'Commercials Forecast'!F8+'Commercials Forecast'!F16</f>
        <v>1.666666667</v>
      </c>
      <c r="G7" s="122">
        <f>'Commercials Forecast'!G8+'Commercials Forecast'!G16</f>
        <v>3.333333333</v>
      </c>
      <c r="H7" s="122">
        <f>'Commercials Forecast'!H8+'Commercials Forecast'!H16</f>
        <v>5</v>
      </c>
      <c r="I7" s="122">
        <f>'Commercials Forecast'!I8+'Commercials Forecast'!I16</f>
        <v>6.666666667</v>
      </c>
      <c r="J7" s="122">
        <f>'Commercials Forecast'!J8+'Commercials Forecast'!J16</f>
        <v>8.333333333</v>
      </c>
      <c r="K7" s="122">
        <f>'Commercials Forecast'!K8+'Commercials Forecast'!K16</f>
        <v>8.5</v>
      </c>
      <c r="L7" s="122">
        <f>'Commercials Forecast'!L8+'Commercials Forecast'!L16</f>
        <v>8.666666667</v>
      </c>
      <c r="M7" s="122">
        <f>'Commercials Forecast'!M8+'Commercials Forecast'!M16</f>
        <v>8.666666667</v>
      </c>
      <c r="N7" s="122">
        <f>'Commercials Forecast'!N8+'Commercials Forecast'!N16</f>
        <v>8.666666667</v>
      </c>
      <c r="O7" s="122">
        <f>'Commercials Forecast'!O8+'Commercials Forecast'!O16</f>
        <v>8.666666667</v>
      </c>
      <c r="P7" s="122">
        <f>'Commercials Forecast'!P8+'Commercials Forecast'!P16</f>
        <v>8.666666667</v>
      </c>
      <c r="Q7" s="122">
        <f>'Commercials Forecast'!Q8+'Commercials Forecast'!Q16</f>
        <v>8.666666667</v>
      </c>
      <c r="R7" s="122">
        <f>'Commercials Forecast'!R8+'Commercials Forecast'!R16</f>
        <v>10.33333333</v>
      </c>
      <c r="S7" s="122">
        <f>'Commercials Forecast'!S8+'Commercials Forecast'!S16</f>
        <v>12</v>
      </c>
      <c r="T7" s="122">
        <f>'Commercials Forecast'!T8+'Commercials Forecast'!T16</f>
        <v>13.66666667</v>
      </c>
      <c r="U7" s="122">
        <f>'Commercials Forecast'!U8+'Commercials Forecast'!U16</f>
        <v>15.33333333</v>
      </c>
      <c r="V7" s="122">
        <f>'Commercials Forecast'!V8+'Commercials Forecast'!V16</f>
        <v>17</v>
      </c>
      <c r="W7" s="122">
        <f>'Commercials Forecast'!W8+'Commercials Forecast'!W16</f>
        <v>17.6</v>
      </c>
      <c r="X7" s="122">
        <f>'Commercials Forecast'!X8+'Commercials Forecast'!X16</f>
        <v>18.2</v>
      </c>
      <c r="Y7" s="122">
        <f>'Commercials Forecast'!Y8+'Commercials Forecast'!Y16</f>
        <v>18.2</v>
      </c>
      <c r="Z7" s="122">
        <f>'Commercials Forecast'!Z8+'Commercials Forecast'!Z16</f>
        <v>18.2</v>
      </c>
      <c r="AA7" s="122">
        <f>'Commercials Forecast'!AA8+'Commercials Forecast'!AA16</f>
        <v>18.2</v>
      </c>
      <c r="AB7" s="122">
        <f>'Commercials Forecast'!AB8+'Commercials Forecast'!AB16</f>
        <v>18.2</v>
      </c>
      <c r="AC7" s="122">
        <f>'Commercials Forecast'!AC8+'Commercials Forecast'!AC16</f>
        <v>18.2</v>
      </c>
      <c r="AD7" s="122">
        <f>'Commercials Forecast'!AD8+'Commercials Forecast'!AD16</f>
        <v>19.7</v>
      </c>
      <c r="AE7" s="122">
        <f>'Commercials Forecast'!AE8+'Commercials Forecast'!AE16</f>
        <v>21.2</v>
      </c>
      <c r="AF7" s="122">
        <f>'Commercials Forecast'!AF8+'Commercials Forecast'!AF16</f>
        <v>22.7</v>
      </c>
      <c r="AG7" s="122">
        <f>'Commercials Forecast'!AG8+'Commercials Forecast'!AG16</f>
        <v>24.2</v>
      </c>
      <c r="AH7" s="122">
        <f>'Commercials Forecast'!AH8+'Commercials Forecast'!AH16</f>
        <v>25.7</v>
      </c>
      <c r="AI7" s="122">
        <f>'Commercials Forecast'!AI8+'Commercials Forecast'!AI16</f>
        <v>26.72166667</v>
      </c>
      <c r="AJ7" s="122">
        <f>'Commercials Forecast'!AJ8+'Commercials Forecast'!AJ16</f>
        <v>27.74333333</v>
      </c>
      <c r="AK7" s="122">
        <f>'Commercials Forecast'!AK8+'Commercials Forecast'!AK16</f>
        <v>27.74333333</v>
      </c>
      <c r="AL7" s="122">
        <f>'Commercials Forecast'!AL8+'Commercials Forecast'!AL16</f>
        <v>27.74333333</v>
      </c>
      <c r="AM7" s="122">
        <f>'Commercials Forecast'!AM8+'Commercials Forecast'!AM16</f>
        <v>27.74333333</v>
      </c>
      <c r="AN7" s="122">
        <f>'Commercials Forecast'!AN8+'Commercials Forecast'!AN16</f>
        <v>27.74333333</v>
      </c>
      <c r="AO7" s="122">
        <f>'Commercials Forecast'!AO8+'Commercials Forecast'!AO16</f>
        <v>27.74333333</v>
      </c>
      <c r="AP7" s="122">
        <f>'Commercials Forecast'!AP8+'Commercials Forecast'!AP16</f>
        <v>29.07666667</v>
      </c>
      <c r="AQ7" s="122">
        <f>'Commercials Forecast'!AQ8+'Commercials Forecast'!AQ16</f>
        <v>30.41</v>
      </c>
      <c r="AR7" s="122">
        <f>'Commercials Forecast'!AR8+'Commercials Forecast'!AR16</f>
        <v>31.74333333</v>
      </c>
      <c r="AS7" s="122">
        <f>'Commercials Forecast'!AS8+'Commercials Forecast'!AS16</f>
        <v>33.07666667</v>
      </c>
      <c r="AT7" s="122">
        <f>'Commercials Forecast'!AT8+'Commercials Forecast'!AT16</f>
        <v>34.41</v>
      </c>
      <c r="AU7" s="122">
        <f>'Commercials Forecast'!AU8+'Commercials Forecast'!AU16</f>
        <v>35.705</v>
      </c>
      <c r="AV7" s="122">
        <f>'Commercials Forecast'!AV8+'Commercials Forecast'!AV16</f>
        <v>37</v>
      </c>
      <c r="AW7" s="122">
        <f>'Commercials Forecast'!AW8+'Commercials Forecast'!AW16</f>
        <v>37</v>
      </c>
      <c r="AX7" s="122">
        <f>'Commercials Forecast'!AX8+'Commercials Forecast'!AX16</f>
        <v>37</v>
      </c>
      <c r="AY7" s="122">
        <f>'Commercials Forecast'!AY8+'Commercials Forecast'!AY16</f>
        <v>37</v>
      </c>
      <c r="AZ7" s="122">
        <f>'Commercials Forecast'!AZ8+'Commercials Forecast'!AZ16</f>
        <v>37</v>
      </c>
      <c r="BA7" s="122">
        <f>'Commercials Forecast'!BA8+'Commercials Forecast'!BA16</f>
        <v>37</v>
      </c>
      <c r="BB7" s="122"/>
      <c r="BC7" s="122">
        <f t="shared" ref="BC7:BC14" si="2">Q7</f>
        <v>8.666666667</v>
      </c>
      <c r="BD7" s="122">
        <f t="shared" ref="BD7:BD14" si="3">AC7</f>
        <v>18.2</v>
      </c>
      <c r="BE7" s="122">
        <f t="shared" ref="BE7:BE14" si="4">AO7</f>
        <v>27.74333333</v>
      </c>
      <c r="BF7" s="122">
        <f t="shared" ref="BF7:BF14" si="5">BA7</f>
        <v>37</v>
      </c>
    </row>
    <row r="8">
      <c r="A8" s="170"/>
      <c r="B8" s="26" t="s">
        <v>120</v>
      </c>
      <c r="C8" s="170"/>
      <c r="D8" s="170"/>
      <c r="E8" s="26" t="s">
        <v>92</v>
      </c>
      <c r="F8" s="122">
        <f t="shared" ref="F8:BA8" si="1">MAX(1,CEILING(F7/3,1))</f>
        <v>1</v>
      </c>
      <c r="G8" s="122">
        <f t="shared" si="1"/>
        <v>2</v>
      </c>
      <c r="H8" s="122">
        <f t="shared" si="1"/>
        <v>2</v>
      </c>
      <c r="I8" s="122">
        <f t="shared" si="1"/>
        <v>3</v>
      </c>
      <c r="J8" s="122">
        <f t="shared" si="1"/>
        <v>3</v>
      </c>
      <c r="K8" s="122">
        <f t="shared" si="1"/>
        <v>3</v>
      </c>
      <c r="L8" s="122">
        <f t="shared" si="1"/>
        <v>3</v>
      </c>
      <c r="M8" s="122">
        <f t="shared" si="1"/>
        <v>3</v>
      </c>
      <c r="N8" s="122">
        <f t="shared" si="1"/>
        <v>3</v>
      </c>
      <c r="O8" s="122">
        <f t="shared" si="1"/>
        <v>3</v>
      </c>
      <c r="P8" s="122">
        <f t="shared" si="1"/>
        <v>3</v>
      </c>
      <c r="Q8" s="122">
        <f t="shared" si="1"/>
        <v>3</v>
      </c>
      <c r="R8" s="122">
        <f t="shared" si="1"/>
        <v>4</v>
      </c>
      <c r="S8" s="122">
        <f t="shared" si="1"/>
        <v>4</v>
      </c>
      <c r="T8" s="122">
        <f t="shared" si="1"/>
        <v>5</v>
      </c>
      <c r="U8" s="122">
        <f t="shared" si="1"/>
        <v>6</v>
      </c>
      <c r="V8" s="122">
        <f t="shared" si="1"/>
        <v>6</v>
      </c>
      <c r="W8" s="122">
        <f t="shared" si="1"/>
        <v>6</v>
      </c>
      <c r="X8" s="122">
        <f t="shared" si="1"/>
        <v>7</v>
      </c>
      <c r="Y8" s="122">
        <f t="shared" si="1"/>
        <v>7</v>
      </c>
      <c r="Z8" s="122">
        <f t="shared" si="1"/>
        <v>7</v>
      </c>
      <c r="AA8" s="122">
        <f t="shared" si="1"/>
        <v>7</v>
      </c>
      <c r="AB8" s="122">
        <f t="shared" si="1"/>
        <v>7</v>
      </c>
      <c r="AC8" s="122">
        <f t="shared" si="1"/>
        <v>7</v>
      </c>
      <c r="AD8" s="122">
        <f t="shared" si="1"/>
        <v>7</v>
      </c>
      <c r="AE8" s="122">
        <f t="shared" si="1"/>
        <v>8</v>
      </c>
      <c r="AF8" s="122">
        <f t="shared" si="1"/>
        <v>8</v>
      </c>
      <c r="AG8" s="122">
        <f t="shared" si="1"/>
        <v>9</v>
      </c>
      <c r="AH8" s="122">
        <f t="shared" si="1"/>
        <v>9</v>
      </c>
      <c r="AI8" s="122">
        <f t="shared" si="1"/>
        <v>9</v>
      </c>
      <c r="AJ8" s="122">
        <f t="shared" si="1"/>
        <v>10</v>
      </c>
      <c r="AK8" s="122">
        <f t="shared" si="1"/>
        <v>10</v>
      </c>
      <c r="AL8" s="122">
        <f t="shared" si="1"/>
        <v>10</v>
      </c>
      <c r="AM8" s="122">
        <f t="shared" si="1"/>
        <v>10</v>
      </c>
      <c r="AN8" s="122">
        <f t="shared" si="1"/>
        <v>10</v>
      </c>
      <c r="AO8" s="122">
        <f t="shared" si="1"/>
        <v>10</v>
      </c>
      <c r="AP8" s="122">
        <f t="shared" si="1"/>
        <v>10</v>
      </c>
      <c r="AQ8" s="122">
        <f t="shared" si="1"/>
        <v>11</v>
      </c>
      <c r="AR8" s="122">
        <f t="shared" si="1"/>
        <v>11</v>
      </c>
      <c r="AS8" s="122">
        <f t="shared" si="1"/>
        <v>12</v>
      </c>
      <c r="AT8" s="122">
        <f t="shared" si="1"/>
        <v>12</v>
      </c>
      <c r="AU8" s="122">
        <f t="shared" si="1"/>
        <v>12</v>
      </c>
      <c r="AV8" s="122">
        <f t="shared" si="1"/>
        <v>13</v>
      </c>
      <c r="AW8" s="122">
        <f t="shared" si="1"/>
        <v>13</v>
      </c>
      <c r="AX8" s="122">
        <f t="shared" si="1"/>
        <v>13</v>
      </c>
      <c r="AY8" s="122">
        <f t="shared" si="1"/>
        <v>13</v>
      </c>
      <c r="AZ8" s="122">
        <f t="shared" si="1"/>
        <v>13</v>
      </c>
      <c r="BA8" s="122">
        <f t="shared" si="1"/>
        <v>13</v>
      </c>
      <c r="BB8" s="122"/>
      <c r="BC8" s="122">
        <f t="shared" si="2"/>
        <v>3</v>
      </c>
      <c r="BD8" s="122">
        <f t="shared" si="3"/>
        <v>7</v>
      </c>
      <c r="BE8" s="122">
        <f t="shared" si="4"/>
        <v>10</v>
      </c>
      <c r="BF8" s="122">
        <f t="shared" si="5"/>
        <v>13</v>
      </c>
    </row>
    <row r="9">
      <c r="A9" s="170"/>
      <c r="B9" s="26" t="s">
        <v>121</v>
      </c>
      <c r="C9" s="170"/>
      <c r="D9" s="170"/>
      <c r="E9" s="26" t="s">
        <v>92</v>
      </c>
      <c r="F9" s="122">
        <f t="shared" ref="F9:BA9" si="6">IF(F7&gt;=15,2,IF(F7&gt;=10,1,0))</f>
        <v>0</v>
      </c>
      <c r="G9" s="122">
        <f t="shared" si="6"/>
        <v>0</v>
      </c>
      <c r="H9" s="122">
        <f t="shared" si="6"/>
        <v>0</v>
      </c>
      <c r="I9" s="122">
        <f t="shared" si="6"/>
        <v>0</v>
      </c>
      <c r="J9" s="122">
        <f t="shared" si="6"/>
        <v>0</v>
      </c>
      <c r="K9" s="122">
        <f t="shared" si="6"/>
        <v>0</v>
      </c>
      <c r="L9" s="122">
        <f t="shared" si="6"/>
        <v>0</v>
      </c>
      <c r="M9" s="122">
        <f t="shared" si="6"/>
        <v>0</v>
      </c>
      <c r="N9" s="122">
        <f t="shared" si="6"/>
        <v>0</v>
      </c>
      <c r="O9" s="122">
        <f t="shared" si="6"/>
        <v>0</v>
      </c>
      <c r="P9" s="122">
        <f t="shared" si="6"/>
        <v>0</v>
      </c>
      <c r="Q9" s="122">
        <f t="shared" si="6"/>
        <v>0</v>
      </c>
      <c r="R9" s="122">
        <f t="shared" si="6"/>
        <v>1</v>
      </c>
      <c r="S9" s="122">
        <f t="shared" si="6"/>
        <v>1</v>
      </c>
      <c r="T9" s="122">
        <f t="shared" si="6"/>
        <v>1</v>
      </c>
      <c r="U9" s="122">
        <f t="shared" si="6"/>
        <v>2</v>
      </c>
      <c r="V9" s="122">
        <f t="shared" si="6"/>
        <v>2</v>
      </c>
      <c r="W9" s="122">
        <f t="shared" si="6"/>
        <v>2</v>
      </c>
      <c r="X9" s="122">
        <f t="shared" si="6"/>
        <v>2</v>
      </c>
      <c r="Y9" s="122">
        <f t="shared" si="6"/>
        <v>2</v>
      </c>
      <c r="Z9" s="122">
        <f t="shared" si="6"/>
        <v>2</v>
      </c>
      <c r="AA9" s="122">
        <f t="shared" si="6"/>
        <v>2</v>
      </c>
      <c r="AB9" s="122">
        <f t="shared" si="6"/>
        <v>2</v>
      </c>
      <c r="AC9" s="122">
        <f t="shared" si="6"/>
        <v>2</v>
      </c>
      <c r="AD9" s="122">
        <f t="shared" si="6"/>
        <v>2</v>
      </c>
      <c r="AE9" s="122">
        <f t="shared" si="6"/>
        <v>2</v>
      </c>
      <c r="AF9" s="122">
        <f t="shared" si="6"/>
        <v>2</v>
      </c>
      <c r="AG9" s="122">
        <f t="shared" si="6"/>
        <v>2</v>
      </c>
      <c r="AH9" s="122">
        <f t="shared" si="6"/>
        <v>2</v>
      </c>
      <c r="AI9" s="122">
        <f t="shared" si="6"/>
        <v>2</v>
      </c>
      <c r="AJ9" s="122">
        <f t="shared" si="6"/>
        <v>2</v>
      </c>
      <c r="AK9" s="122">
        <f t="shared" si="6"/>
        <v>2</v>
      </c>
      <c r="AL9" s="122">
        <f t="shared" si="6"/>
        <v>2</v>
      </c>
      <c r="AM9" s="122">
        <f t="shared" si="6"/>
        <v>2</v>
      </c>
      <c r="AN9" s="122">
        <f t="shared" si="6"/>
        <v>2</v>
      </c>
      <c r="AO9" s="122">
        <f t="shared" si="6"/>
        <v>2</v>
      </c>
      <c r="AP9" s="122">
        <f t="shared" si="6"/>
        <v>2</v>
      </c>
      <c r="AQ9" s="122">
        <f t="shared" si="6"/>
        <v>2</v>
      </c>
      <c r="AR9" s="122">
        <f t="shared" si="6"/>
        <v>2</v>
      </c>
      <c r="AS9" s="122">
        <f t="shared" si="6"/>
        <v>2</v>
      </c>
      <c r="AT9" s="122">
        <f t="shared" si="6"/>
        <v>2</v>
      </c>
      <c r="AU9" s="122">
        <f t="shared" si="6"/>
        <v>2</v>
      </c>
      <c r="AV9" s="122">
        <f t="shared" si="6"/>
        <v>2</v>
      </c>
      <c r="AW9" s="122">
        <f t="shared" si="6"/>
        <v>2</v>
      </c>
      <c r="AX9" s="122">
        <f t="shared" si="6"/>
        <v>2</v>
      </c>
      <c r="AY9" s="122">
        <f t="shared" si="6"/>
        <v>2</v>
      </c>
      <c r="AZ9" s="122">
        <f t="shared" si="6"/>
        <v>2</v>
      </c>
      <c r="BA9" s="122">
        <f t="shared" si="6"/>
        <v>2</v>
      </c>
      <c r="BB9" s="122"/>
      <c r="BC9" s="122">
        <f t="shared" si="2"/>
        <v>0</v>
      </c>
      <c r="BD9" s="122">
        <f t="shared" si="3"/>
        <v>2</v>
      </c>
      <c r="BE9" s="122">
        <f t="shared" si="4"/>
        <v>2</v>
      </c>
      <c r="BF9" s="122">
        <f t="shared" si="5"/>
        <v>2</v>
      </c>
    </row>
    <row r="10">
      <c r="A10" s="170"/>
      <c r="B10" s="26" t="s">
        <v>122</v>
      </c>
      <c r="C10" s="170"/>
      <c r="D10" s="170"/>
      <c r="E10" s="26" t="s">
        <v>92</v>
      </c>
      <c r="F10" s="123">
        <v>2.0</v>
      </c>
      <c r="G10" s="123">
        <v>2.0</v>
      </c>
      <c r="H10" s="123">
        <v>2.0</v>
      </c>
      <c r="I10" s="123">
        <v>2.0</v>
      </c>
      <c r="J10" s="123">
        <v>2.0</v>
      </c>
      <c r="K10" s="123">
        <v>2.0</v>
      </c>
      <c r="L10" s="123">
        <v>2.0</v>
      </c>
      <c r="M10" s="123">
        <v>2.0</v>
      </c>
      <c r="N10" s="123">
        <v>2.0</v>
      </c>
      <c r="O10" s="123">
        <v>2.0</v>
      </c>
      <c r="P10" s="123">
        <v>2.0</v>
      </c>
      <c r="Q10" s="123">
        <v>2.0</v>
      </c>
      <c r="R10" s="123">
        <v>2.0</v>
      </c>
      <c r="S10" s="123">
        <v>2.0</v>
      </c>
      <c r="T10" s="123">
        <v>2.0</v>
      </c>
      <c r="U10" s="123">
        <v>2.0</v>
      </c>
      <c r="V10" s="123">
        <v>2.0</v>
      </c>
      <c r="W10" s="123">
        <v>2.0</v>
      </c>
      <c r="X10" s="123">
        <v>2.0</v>
      </c>
      <c r="Y10" s="123">
        <v>2.0</v>
      </c>
      <c r="Z10" s="123">
        <v>2.0</v>
      </c>
      <c r="AA10" s="123">
        <v>2.0</v>
      </c>
      <c r="AB10" s="123">
        <v>2.0</v>
      </c>
      <c r="AC10" s="123">
        <v>2.0</v>
      </c>
      <c r="AD10" s="123">
        <v>2.0</v>
      </c>
      <c r="AE10" s="123">
        <v>2.0</v>
      </c>
      <c r="AF10" s="123">
        <v>2.0</v>
      </c>
      <c r="AG10" s="123">
        <v>2.0</v>
      </c>
      <c r="AH10" s="123">
        <v>2.0</v>
      </c>
      <c r="AI10" s="123">
        <v>2.0</v>
      </c>
      <c r="AJ10" s="123">
        <v>2.0</v>
      </c>
      <c r="AK10" s="123">
        <v>2.0</v>
      </c>
      <c r="AL10" s="123">
        <v>2.0</v>
      </c>
      <c r="AM10" s="123">
        <v>2.0</v>
      </c>
      <c r="AN10" s="123">
        <v>2.0</v>
      </c>
      <c r="AO10" s="123">
        <v>2.0</v>
      </c>
      <c r="AP10" s="123">
        <v>2.0</v>
      </c>
      <c r="AQ10" s="123">
        <v>2.0</v>
      </c>
      <c r="AR10" s="123">
        <v>2.0</v>
      </c>
      <c r="AS10" s="123">
        <v>2.0</v>
      </c>
      <c r="AT10" s="123">
        <v>2.0</v>
      </c>
      <c r="AU10" s="123">
        <v>2.0</v>
      </c>
      <c r="AV10" s="123">
        <v>2.0</v>
      </c>
      <c r="AW10" s="123">
        <v>2.0</v>
      </c>
      <c r="AX10" s="123">
        <v>2.0</v>
      </c>
      <c r="AY10" s="123">
        <v>2.0</v>
      </c>
      <c r="AZ10" s="123">
        <v>2.0</v>
      </c>
      <c r="BA10" s="123">
        <v>2.0</v>
      </c>
      <c r="BB10" s="122"/>
      <c r="BC10" s="122">
        <f t="shared" si="2"/>
        <v>2</v>
      </c>
      <c r="BD10" s="122">
        <f t="shared" si="3"/>
        <v>2</v>
      </c>
      <c r="BE10" s="122">
        <f t="shared" si="4"/>
        <v>2</v>
      </c>
      <c r="BF10" s="122">
        <f t="shared" si="5"/>
        <v>2</v>
      </c>
    </row>
    <row r="11">
      <c r="A11" s="170"/>
      <c r="B11" s="26" t="s">
        <v>123</v>
      </c>
      <c r="C11" s="170"/>
      <c r="D11" s="170"/>
      <c r="E11" s="26" t="s">
        <v>92</v>
      </c>
      <c r="F11" s="123">
        <v>1.0</v>
      </c>
      <c r="G11" s="123">
        <v>1.0</v>
      </c>
      <c r="H11" s="123">
        <v>1.0</v>
      </c>
      <c r="I11" s="123">
        <v>1.0</v>
      </c>
      <c r="J11" s="123">
        <v>1.0</v>
      </c>
      <c r="K11" s="123">
        <v>1.0</v>
      </c>
      <c r="L11" s="123">
        <v>1.0</v>
      </c>
      <c r="M11" s="123">
        <v>1.0</v>
      </c>
      <c r="N11" s="123">
        <v>1.0</v>
      </c>
      <c r="O11" s="123">
        <v>1.0</v>
      </c>
      <c r="P11" s="123">
        <v>1.0</v>
      </c>
      <c r="Q11" s="123">
        <v>1.0</v>
      </c>
      <c r="R11" s="123">
        <v>1.0</v>
      </c>
      <c r="S11" s="123">
        <v>1.0</v>
      </c>
      <c r="T11" s="123">
        <v>1.0</v>
      </c>
      <c r="U11" s="123">
        <v>1.0</v>
      </c>
      <c r="V11" s="123">
        <v>1.0</v>
      </c>
      <c r="W11" s="123">
        <v>1.0</v>
      </c>
      <c r="X11" s="123">
        <v>1.0</v>
      </c>
      <c r="Y11" s="123">
        <v>1.0</v>
      </c>
      <c r="Z11" s="123">
        <v>1.0</v>
      </c>
      <c r="AA11" s="123">
        <v>1.0</v>
      </c>
      <c r="AB11" s="123">
        <v>1.0</v>
      </c>
      <c r="AC11" s="123">
        <v>1.0</v>
      </c>
      <c r="AD11" s="123">
        <v>1.0</v>
      </c>
      <c r="AE11" s="123">
        <v>1.0</v>
      </c>
      <c r="AF11" s="123">
        <v>1.0</v>
      </c>
      <c r="AG11" s="123">
        <v>1.0</v>
      </c>
      <c r="AH11" s="123">
        <v>1.0</v>
      </c>
      <c r="AI11" s="123">
        <v>1.0</v>
      </c>
      <c r="AJ11" s="123">
        <v>1.0</v>
      </c>
      <c r="AK11" s="123">
        <v>1.0</v>
      </c>
      <c r="AL11" s="123">
        <v>1.0</v>
      </c>
      <c r="AM11" s="123">
        <v>1.0</v>
      </c>
      <c r="AN11" s="123">
        <v>1.0</v>
      </c>
      <c r="AO11" s="123">
        <v>1.0</v>
      </c>
      <c r="AP11" s="123">
        <v>1.0</v>
      </c>
      <c r="AQ11" s="123">
        <v>1.0</v>
      </c>
      <c r="AR11" s="123">
        <v>1.0</v>
      </c>
      <c r="AS11" s="123">
        <v>1.0</v>
      </c>
      <c r="AT11" s="123">
        <v>1.0</v>
      </c>
      <c r="AU11" s="123">
        <v>1.0</v>
      </c>
      <c r="AV11" s="123">
        <v>1.0</v>
      </c>
      <c r="AW11" s="123">
        <v>1.0</v>
      </c>
      <c r="AX11" s="123">
        <v>1.0</v>
      </c>
      <c r="AY11" s="123">
        <v>1.0</v>
      </c>
      <c r="AZ11" s="123">
        <v>1.0</v>
      </c>
      <c r="BA11" s="123">
        <v>1.0</v>
      </c>
      <c r="BB11" s="122"/>
      <c r="BC11" s="122">
        <f t="shared" si="2"/>
        <v>1</v>
      </c>
      <c r="BD11" s="122">
        <f t="shared" si="3"/>
        <v>1</v>
      </c>
      <c r="BE11" s="122">
        <f t="shared" si="4"/>
        <v>1</v>
      </c>
      <c r="BF11" s="122">
        <f t="shared" si="5"/>
        <v>1</v>
      </c>
    </row>
    <row r="12">
      <c r="A12" s="170"/>
      <c r="B12" s="26" t="s">
        <v>124</v>
      </c>
      <c r="C12" s="170"/>
      <c r="D12" s="170"/>
      <c r="E12" s="26" t="s">
        <v>92</v>
      </c>
      <c r="F12" s="123">
        <v>1.0</v>
      </c>
      <c r="G12" s="123">
        <v>1.0</v>
      </c>
      <c r="H12" s="123">
        <v>1.0</v>
      </c>
      <c r="I12" s="123">
        <v>1.0</v>
      </c>
      <c r="J12" s="123">
        <v>1.0</v>
      </c>
      <c r="K12" s="123">
        <v>1.0</v>
      </c>
      <c r="L12" s="123">
        <v>1.0</v>
      </c>
      <c r="M12" s="123">
        <v>1.0</v>
      </c>
      <c r="N12" s="123">
        <v>1.0</v>
      </c>
      <c r="O12" s="123">
        <v>1.0</v>
      </c>
      <c r="P12" s="123">
        <v>1.0</v>
      </c>
      <c r="Q12" s="123">
        <v>1.0</v>
      </c>
      <c r="R12" s="123">
        <v>1.0</v>
      </c>
      <c r="S12" s="123">
        <v>1.0</v>
      </c>
      <c r="T12" s="123">
        <v>1.0</v>
      </c>
      <c r="U12" s="123">
        <v>1.0</v>
      </c>
      <c r="V12" s="123">
        <v>1.0</v>
      </c>
      <c r="W12" s="123">
        <v>1.0</v>
      </c>
      <c r="X12" s="123">
        <v>1.0</v>
      </c>
      <c r="Y12" s="123">
        <v>1.0</v>
      </c>
      <c r="Z12" s="123">
        <v>1.0</v>
      </c>
      <c r="AA12" s="123">
        <v>1.0</v>
      </c>
      <c r="AB12" s="123">
        <v>1.0</v>
      </c>
      <c r="AC12" s="123">
        <v>1.0</v>
      </c>
      <c r="AD12" s="123">
        <v>1.0</v>
      </c>
      <c r="AE12" s="123">
        <v>1.0</v>
      </c>
      <c r="AF12" s="123">
        <v>1.0</v>
      </c>
      <c r="AG12" s="123">
        <v>1.0</v>
      </c>
      <c r="AH12" s="123">
        <v>1.0</v>
      </c>
      <c r="AI12" s="123">
        <v>1.0</v>
      </c>
      <c r="AJ12" s="123">
        <v>1.0</v>
      </c>
      <c r="AK12" s="123">
        <v>1.0</v>
      </c>
      <c r="AL12" s="123">
        <v>1.0</v>
      </c>
      <c r="AM12" s="123">
        <v>1.0</v>
      </c>
      <c r="AN12" s="123">
        <v>1.0</v>
      </c>
      <c r="AO12" s="123">
        <v>1.0</v>
      </c>
      <c r="AP12" s="123">
        <v>1.0</v>
      </c>
      <c r="AQ12" s="123">
        <v>1.0</v>
      </c>
      <c r="AR12" s="123">
        <v>1.0</v>
      </c>
      <c r="AS12" s="123">
        <v>1.0</v>
      </c>
      <c r="AT12" s="123">
        <v>1.0</v>
      </c>
      <c r="AU12" s="123">
        <v>1.0</v>
      </c>
      <c r="AV12" s="123">
        <v>1.0</v>
      </c>
      <c r="AW12" s="123">
        <v>1.0</v>
      </c>
      <c r="AX12" s="123">
        <v>1.0</v>
      </c>
      <c r="AY12" s="123">
        <v>1.0</v>
      </c>
      <c r="AZ12" s="123">
        <v>1.0</v>
      </c>
      <c r="BA12" s="123">
        <v>1.0</v>
      </c>
      <c r="BB12" s="122"/>
      <c r="BC12" s="122">
        <f t="shared" si="2"/>
        <v>1</v>
      </c>
      <c r="BD12" s="122">
        <f t="shared" si="3"/>
        <v>1</v>
      </c>
      <c r="BE12" s="122">
        <f t="shared" si="4"/>
        <v>1</v>
      </c>
      <c r="BF12" s="122">
        <f t="shared" si="5"/>
        <v>1</v>
      </c>
    </row>
    <row r="13">
      <c r="A13" s="170"/>
      <c r="B13" s="26" t="s">
        <v>125</v>
      </c>
      <c r="C13" s="170"/>
      <c r="D13" s="170"/>
      <c r="E13" s="26" t="s">
        <v>92</v>
      </c>
      <c r="F13" s="123">
        <v>1.0</v>
      </c>
      <c r="G13" s="123">
        <v>1.0</v>
      </c>
      <c r="H13" s="123">
        <v>1.0</v>
      </c>
      <c r="I13" s="123">
        <v>1.0</v>
      </c>
      <c r="J13" s="123">
        <v>1.0</v>
      </c>
      <c r="K13" s="123">
        <v>1.0</v>
      </c>
      <c r="L13" s="123">
        <v>1.0</v>
      </c>
      <c r="M13" s="123">
        <v>1.0</v>
      </c>
      <c r="N13" s="123">
        <v>1.0</v>
      </c>
      <c r="O13" s="123">
        <v>1.0</v>
      </c>
      <c r="P13" s="123">
        <v>1.0</v>
      </c>
      <c r="Q13" s="123">
        <v>1.0</v>
      </c>
      <c r="R13" s="123">
        <v>1.0</v>
      </c>
      <c r="S13" s="123">
        <v>1.0</v>
      </c>
      <c r="T13" s="123">
        <v>1.0</v>
      </c>
      <c r="U13" s="123">
        <v>1.0</v>
      </c>
      <c r="V13" s="123">
        <v>1.0</v>
      </c>
      <c r="W13" s="123">
        <v>1.0</v>
      </c>
      <c r="X13" s="123">
        <v>1.0</v>
      </c>
      <c r="Y13" s="123">
        <v>1.0</v>
      </c>
      <c r="Z13" s="123">
        <v>1.0</v>
      </c>
      <c r="AA13" s="123">
        <v>1.0</v>
      </c>
      <c r="AB13" s="123">
        <v>1.0</v>
      </c>
      <c r="AC13" s="123">
        <v>1.0</v>
      </c>
      <c r="AD13" s="123">
        <v>1.0</v>
      </c>
      <c r="AE13" s="123">
        <v>1.0</v>
      </c>
      <c r="AF13" s="123">
        <v>1.0</v>
      </c>
      <c r="AG13" s="123">
        <v>1.0</v>
      </c>
      <c r="AH13" s="123">
        <v>1.0</v>
      </c>
      <c r="AI13" s="123">
        <v>1.0</v>
      </c>
      <c r="AJ13" s="123">
        <v>1.0</v>
      </c>
      <c r="AK13" s="123">
        <v>1.0</v>
      </c>
      <c r="AL13" s="123">
        <v>1.0</v>
      </c>
      <c r="AM13" s="123">
        <v>1.0</v>
      </c>
      <c r="AN13" s="123">
        <v>1.0</v>
      </c>
      <c r="AO13" s="123">
        <v>1.0</v>
      </c>
      <c r="AP13" s="123">
        <v>1.0</v>
      </c>
      <c r="AQ13" s="123">
        <v>1.0</v>
      </c>
      <c r="AR13" s="123">
        <v>1.0</v>
      </c>
      <c r="AS13" s="123">
        <v>1.0</v>
      </c>
      <c r="AT13" s="123">
        <v>1.0</v>
      </c>
      <c r="AU13" s="123">
        <v>1.0</v>
      </c>
      <c r="AV13" s="123">
        <v>1.0</v>
      </c>
      <c r="AW13" s="123">
        <v>1.0</v>
      </c>
      <c r="AX13" s="123">
        <v>1.0</v>
      </c>
      <c r="AY13" s="123">
        <v>1.0</v>
      </c>
      <c r="AZ13" s="123">
        <v>1.0</v>
      </c>
      <c r="BA13" s="123">
        <v>1.0</v>
      </c>
      <c r="BB13" s="122"/>
      <c r="BC13" s="122">
        <f t="shared" si="2"/>
        <v>1</v>
      </c>
      <c r="BD13" s="122">
        <f t="shared" si="3"/>
        <v>1</v>
      </c>
      <c r="BE13" s="122">
        <f t="shared" si="4"/>
        <v>1</v>
      </c>
      <c r="BF13" s="122">
        <f t="shared" si="5"/>
        <v>1</v>
      </c>
    </row>
    <row r="14">
      <c r="A14" s="170"/>
      <c r="B14" s="126" t="s">
        <v>126</v>
      </c>
      <c r="C14" s="202"/>
      <c r="D14" s="202"/>
      <c r="E14" s="126" t="s">
        <v>92</v>
      </c>
      <c r="F14" s="203">
        <f t="shared" ref="F14:BA14" si="7">SUM(F8:F13)</f>
        <v>6</v>
      </c>
      <c r="G14" s="203">
        <f t="shared" si="7"/>
        <v>7</v>
      </c>
      <c r="H14" s="203">
        <f t="shared" si="7"/>
        <v>7</v>
      </c>
      <c r="I14" s="203">
        <f t="shared" si="7"/>
        <v>8</v>
      </c>
      <c r="J14" s="203">
        <f t="shared" si="7"/>
        <v>8</v>
      </c>
      <c r="K14" s="203">
        <f t="shared" si="7"/>
        <v>8</v>
      </c>
      <c r="L14" s="203">
        <f t="shared" si="7"/>
        <v>8</v>
      </c>
      <c r="M14" s="203">
        <f t="shared" si="7"/>
        <v>8</v>
      </c>
      <c r="N14" s="203">
        <f t="shared" si="7"/>
        <v>8</v>
      </c>
      <c r="O14" s="203">
        <f t="shared" si="7"/>
        <v>8</v>
      </c>
      <c r="P14" s="203">
        <f t="shared" si="7"/>
        <v>8</v>
      </c>
      <c r="Q14" s="203">
        <f t="shared" si="7"/>
        <v>8</v>
      </c>
      <c r="R14" s="203">
        <f t="shared" si="7"/>
        <v>10</v>
      </c>
      <c r="S14" s="203">
        <f t="shared" si="7"/>
        <v>10</v>
      </c>
      <c r="T14" s="203">
        <f t="shared" si="7"/>
        <v>11</v>
      </c>
      <c r="U14" s="203">
        <f t="shared" si="7"/>
        <v>13</v>
      </c>
      <c r="V14" s="203">
        <f t="shared" si="7"/>
        <v>13</v>
      </c>
      <c r="W14" s="203">
        <f t="shared" si="7"/>
        <v>13</v>
      </c>
      <c r="X14" s="203">
        <f t="shared" si="7"/>
        <v>14</v>
      </c>
      <c r="Y14" s="203">
        <f t="shared" si="7"/>
        <v>14</v>
      </c>
      <c r="Z14" s="203">
        <f t="shared" si="7"/>
        <v>14</v>
      </c>
      <c r="AA14" s="203">
        <f t="shared" si="7"/>
        <v>14</v>
      </c>
      <c r="AB14" s="203">
        <f t="shared" si="7"/>
        <v>14</v>
      </c>
      <c r="AC14" s="203">
        <f t="shared" si="7"/>
        <v>14</v>
      </c>
      <c r="AD14" s="203">
        <f t="shared" si="7"/>
        <v>14</v>
      </c>
      <c r="AE14" s="203">
        <f t="shared" si="7"/>
        <v>15</v>
      </c>
      <c r="AF14" s="203">
        <f t="shared" si="7"/>
        <v>15</v>
      </c>
      <c r="AG14" s="203">
        <f t="shared" si="7"/>
        <v>16</v>
      </c>
      <c r="AH14" s="203">
        <f t="shared" si="7"/>
        <v>16</v>
      </c>
      <c r="AI14" s="203">
        <f t="shared" si="7"/>
        <v>16</v>
      </c>
      <c r="AJ14" s="203">
        <f t="shared" si="7"/>
        <v>17</v>
      </c>
      <c r="AK14" s="203">
        <f t="shared" si="7"/>
        <v>17</v>
      </c>
      <c r="AL14" s="203">
        <f t="shared" si="7"/>
        <v>17</v>
      </c>
      <c r="AM14" s="203">
        <f t="shared" si="7"/>
        <v>17</v>
      </c>
      <c r="AN14" s="203">
        <f t="shared" si="7"/>
        <v>17</v>
      </c>
      <c r="AO14" s="203">
        <f t="shared" si="7"/>
        <v>17</v>
      </c>
      <c r="AP14" s="203">
        <f t="shared" si="7"/>
        <v>17</v>
      </c>
      <c r="AQ14" s="203">
        <f t="shared" si="7"/>
        <v>18</v>
      </c>
      <c r="AR14" s="203">
        <f t="shared" si="7"/>
        <v>18</v>
      </c>
      <c r="AS14" s="203">
        <f t="shared" si="7"/>
        <v>19</v>
      </c>
      <c r="AT14" s="203">
        <f t="shared" si="7"/>
        <v>19</v>
      </c>
      <c r="AU14" s="203">
        <f t="shared" si="7"/>
        <v>19</v>
      </c>
      <c r="AV14" s="203">
        <f t="shared" si="7"/>
        <v>20</v>
      </c>
      <c r="AW14" s="203">
        <f t="shared" si="7"/>
        <v>20</v>
      </c>
      <c r="AX14" s="203">
        <f t="shared" si="7"/>
        <v>20</v>
      </c>
      <c r="AY14" s="203">
        <f t="shared" si="7"/>
        <v>20</v>
      </c>
      <c r="AZ14" s="203">
        <f t="shared" si="7"/>
        <v>20</v>
      </c>
      <c r="BA14" s="203">
        <f t="shared" si="7"/>
        <v>20</v>
      </c>
      <c r="BB14" s="203"/>
      <c r="BC14" s="203">
        <f t="shared" si="2"/>
        <v>8</v>
      </c>
      <c r="BD14" s="203">
        <f t="shared" si="3"/>
        <v>14</v>
      </c>
      <c r="BE14" s="203">
        <f t="shared" si="4"/>
        <v>17</v>
      </c>
      <c r="BF14" s="203">
        <f t="shared" si="5"/>
        <v>20</v>
      </c>
    </row>
    <row r="15">
      <c r="A15" s="170"/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</row>
    <row r="16">
      <c r="A16" s="170"/>
      <c r="B16" s="41" t="s">
        <v>127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</row>
    <row r="17">
      <c r="A17" s="170"/>
      <c r="B17" s="26" t="s">
        <v>7</v>
      </c>
      <c r="C17" s="170"/>
      <c r="D17" s="170"/>
      <c r="E17" s="26" t="s">
        <v>95</v>
      </c>
      <c r="F17" s="27">
        <f t="array" ref="F17">INDEX(Parameters!$C$58:$F$58,MATCH(YEAR(F$3),Parameters!$C$48:$F$48,0))+INDEX(Parameters!$C$59:$F$59,MATCH(YEAR(F$3),Parameters!$C$48:$F$48,0))+F8*Parameters!$C$19+F9*Parameters!$C$18+F10*Parameters!$B$20</f>
        <v>24500</v>
      </c>
      <c r="G17" s="27">
        <f t="array" ref="G17">INDEX(Parameters!$C$58:$F$58,MATCH(YEAR(G$3),Parameters!$C$48:$F$48,0))+INDEX(Parameters!$C$59:$F$59,MATCH(YEAR(G$3),Parameters!$C$48:$F$48,0))+G8*Parameters!$C$19+G9*Parameters!$C$18+G10*Parameters!$B$20</f>
        <v>27500</v>
      </c>
      <c r="H17" s="27">
        <f t="array" ref="H17">INDEX(Parameters!$C$58:$F$58,MATCH(YEAR(H$3),Parameters!$C$48:$F$48,0))+INDEX(Parameters!$C$59:$F$59,MATCH(YEAR(H$3),Parameters!$C$48:$F$48,0))+H8*Parameters!$C$19+H9*Parameters!$C$18+H10*Parameters!$B$20</f>
        <v>27500</v>
      </c>
      <c r="I17" s="27">
        <f t="array" ref="I17">INDEX(Parameters!$C$58:$F$58,MATCH(YEAR(I$3),Parameters!$C$48:$F$48,0))+INDEX(Parameters!$C$59:$F$59,MATCH(YEAR(I$3),Parameters!$C$48:$F$48,0))+I8*Parameters!$C$19+I9*Parameters!$C$18+I10*Parameters!$B$20</f>
        <v>30500</v>
      </c>
      <c r="J17" s="27">
        <f t="array" ref="J17">INDEX(Parameters!$C$58:$F$58,MATCH(YEAR(J$3),Parameters!$C$48:$F$48,0))+INDEX(Parameters!$C$59:$F$59,MATCH(YEAR(J$3),Parameters!$C$48:$F$48,0))+J8*Parameters!$C$19+J9*Parameters!$C$18+J10*Parameters!$B$20</f>
        <v>30500</v>
      </c>
      <c r="K17" s="27">
        <f t="array" ref="K17">INDEX(Parameters!$C$58:$F$58,MATCH(YEAR(K$3),Parameters!$C$48:$F$48,0))+INDEX(Parameters!$C$59:$F$59,MATCH(YEAR(K$3),Parameters!$C$48:$F$48,0))+K8*Parameters!$C$19+K9*Parameters!$C$18+K10*Parameters!$B$20</f>
        <v>30500</v>
      </c>
      <c r="L17" s="27">
        <f t="array" ref="L17">INDEX(Parameters!$C$58:$F$58,MATCH(YEAR(L$3),Parameters!$C$48:$F$48,0))+INDEX(Parameters!$C$59:$F$59,MATCH(YEAR(L$3),Parameters!$C$48:$F$48,0))+L8*Parameters!$C$19+L9*Parameters!$C$18+L10*Parameters!$B$20</f>
        <v>30500</v>
      </c>
      <c r="M17" s="27">
        <f t="array" ref="M17">INDEX(Parameters!$C$58:$F$58,MATCH(YEAR(M$3),Parameters!$C$48:$F$48,0))+INDEX(Parameters!$C$59:$F$59,MATCH(YEAR(M$3),Parameters!$C$48:$F$48,0))+M8*Parameters!$C$19+M9*Parameters!$C$18+M10*Parameters!$B$20</f>
        <v>30500</v>
      </c>
      <c r="N17" s="27">
        <f t="array" ref="N17">INDEX(Parameters!$C$58:$F$58,MATCH(YEAR(N$3),Parameters!$C$48:$F$48,0))+INDEX(Parameters!$C$59:$F$59,MATCH(YEAR(N$3),Parameters!$C$48:$F$48,0))+N8*Parameters!$C$19+N9*Parameters!$C$18+N10*Parameters!$B$20</f>
        <v>30500</v>
      </c>
      <c r="O17" s="27">
        <f t="array" ref="O17">INDEX(Parameters!$C$58:$F$58,MATCH(YEAR(O$3),Parameters!$C$48:$F$48,0))+INDEX(Parameters!$C$59:$F$59,MATCH(YEAR(O$3),Parameters!$C$48:$F$48,0))+O8*Parameters!$C$19+O9*Parameters!$C$18+O10*Parameters!$B$20</f>
        <v>30500</v>
      </c>
      <c r="P17" s="27">
        <f t="array" ref="P17">INDEX(Parameters!$C$58:$F$58,MATCH(YEAR(P$3),Parameters!$C$48:$F$48,0))+INDEX(Parameters!$C$59:$F$59,MATCH(YEAR(P$3),Parameters!$C$48:$F$48,0))+P8*Parameters!$C$19+P9*Parameters!$C$18+P10*Parameters!$B$20</f>
        <v>30500</v>
      </c>
      <c r="Q17" s="27">
        <f t="array" ref="Q17">INDEX(Parameters!$C$58:$F$58,MATCH(YEAR(Q$3),Parameters!$C$48:$F$48,0))+INDEX(Parameters!$C$59:$F$59,MATCH(YEAR(Q$3),Parameters!$C$48:$F$48,0))+Q8*Parameters!$C$19+Q9*Parameters!$C$18+Q10*Parameters!$B$20</f>
        <v>30500</v>
      </c>
      <c r="R17" s="27">
        <f t="array" ref="R17">INDEX(Parameters!$C$58:$F$58,MATCH(YEAR(R$3),Parameters!$C$48:$F$48,0))+INDEX(Parameters!$C$59:$F$59,MATCH(YEAR(R$3),Parameters!$C$48:$F$48,0))+R8*Parameters!$C$19+R9*Parameters!$C$18+R10*Parameters!$B$20</f>
        <v>42000</v>
      </c>
      <c r="S17" s="27">
        <f t="array" ref="S17">INDEX(Parameters!$C$58:$F$58,MATCH(YEAR(S$3),Parameters!$C$48:$F$48,0))+INDEX(Parameters!$C$59:$F$59,MATCH(YEAR(S$3),Parameters!$C$48:$F$48,0))+S8*Parameters!$C$19+S9*Parameters!$C$18+S10*Parameters!$B$20</f>
        <v>42000</v>
      </c>
      <c r="T17" s="27">
        <f t="array" ref="T17">INDEX(Parameters!$C$58:$F$58,MATCH(YEAR(T$3),Parameters!$C$48:$F$48,0))+INDEX(Parameters!$C$59:$F$59,MATCH(YEAR(T$3),Parameters!$C$48:$F$48,0))+T8*Parameters!$C$19+T9*Parameters!$C$18+T10*Parameters!$B$20</f>
        <v>45000</v>
      </c>
      <c r="U17" s="27">
        <f t="array" ref="U17">INDEX(Parameters!$C$58:$F$58,MATCH(YEAR(U$3),Parameters!$C$48:$F$48,0))+INDEX(Parameters!$C$59:$F$59,MATCH(YEAR(U$3),Parameters!$C$48:$F$48,0))+U8*Parameters!$C$19+U9*Parameters!$C$18+U10*Parameters!$B$20</f>
        <v>52500</v>
      </c>
      <c r="V17" s="27">
        <f t="array" ref="V17">INDEX(Parameters!$C$58:$F$58,MATCH(YEAR(V$3),Parameters!$C$48:$F$48,0))+INDEX(Parameters!$C$59:$F$59,MATCH(YEAR(V$3),Parameters!$C$48:$F$48,0))+V8*Parameters!$C$19+V9*Parameters!$C$18+V10*Parameters!$B$20</f>
        <v>52500</v>
      </c>
      <c r="W17" s="27">
        <f t="array" ref="W17">INDEX(Parameters!$C$58:$F$58,MATCH(YEAR(W$3),Parameters!$C$48:$F$48,0))+INDEX(Parameters!$C$59:$F$59,MATCH(YEAR(W$3),Parameters!$C$48:$F$48,0))+W8*Parameters!$C$19+W9*Parameters!$C$18+W10*Parameters!$B$20</f>
        <v>52500</v>
      </c>
      <c r="X17" s="27">
        <f t="array" ref="X17">INDEX(Parameters!$C$58:$F$58,MATCH(YEAR(X$3),Parameters!$C$48:$F$48,0))+INDEX(Parameters!$C$59:$F$59,MATCH(YEAR(X$3),Parameters!$C$48:$F$48,0))+X8*Parameters!$C$19+X9*Parameters!$C$18+X10*Parameters!$B$20</f>
        <v>55500</v>
      </c>
      <c r="Y17" s="27">
        <f t="array" ref="Y17">INDEX(Parameters!$C$58:$F$58,MATCH(YEAR(Y$3),Parameters!$C$48:$F$48,0))+INDEX(Parameters!$C$59:$F$59,MATCH(YEAR(Y$3),Parameters!$C$48:$F$48,0))+Y8*Parameters!$C$19+Y9*Parameters!$C$18+Y10*Parameters!$B$20</f>
        <v>55500</v>
      </c>
      <c r="Z17" s="27">
        <f t="array" ref="Z17">INDEX(Parameters!$C$58:$F$58,MATCH(YEAR(Z$3),Parameters!$C$48:$F$48,0))+INDEX(Parameters!$C$59:$F$59,MATCH(YEAR(Z$3),Parameters!$C$48:$F$48,0))+Z8*Parameters!$C$19+Z9*Parameters!$C$18+Z10*Parameters!$B$20</f>
        <v>55500</v>
      </c>
      <c r="AA17" s="27">
        <f t="array" ref="AA17">INDEX(Parameters!$C$58:$F$58,MATCH(YEAR(AA$3),Parameters!$C$48:$F$48,0))+INDEX(Parameters!$C$59:$F$59,MATCH(YEAR(AA$3),Parameters!$C$48:$F$48,0))+AA8*Parameters!$C$19+AA9*Parameters!$C$18+AA10*Parameters!$B$20</f>
        <v>55500</v>
      </c>
      <c r="AB17" s="27">
        <f t="array" ref="AB17">INDEX(Parameters!$C$58:$F$58,MATCH(YEAR(AB$3),Parameters!$C$48:$F$48,0))+INDEX(Parameters!$C$59:$F$59,MATCH(YEAR(AB$3),Parameters!$C$48:$F$48,0))+AB8*Parameters!$C$19+AB9*Parameters!$C$18+AB10*Parameters!$B$20</f>
        <v>55500</v>
      </c>
      <c r="AC17" s="27">
        <f t="array" ref="AC17">INDEX(Parameters!$C$58:$F$58,MATCH(YEAR(AC$3),Parameters!$C$48:$F$48,0))+INDEX(Parameters!$C$59:$F$59,MATCH(YEAR(AC$3),Parameters!$C$48:$F$48,0))+AC8*Parameters!$C$19+AC9*Parameters!$C$18+AC10*Parameters!$B$20</f>
        <v>55500</v>
      </c>
      <c r="AD17" s="27">
        <f t="array" ref="AD17">INDEX(Parameters!$C$58:$F$58,MATCH(YEAR(AD$3),Parameters!$C$48:$F$48,0))+INDEX(Parameters!$C$59:$F$59,MATCH(YEAR(AD$3),Parameters!$C$48:$F$48,0))+AD8*Parameters!$C$19+AD9*Parameters!$C$18+AD10*Parameters!$B$20</f>
        <v>59500</v>
      </c>
      <c r="AE17" s="27">
        <f t="array" ref="AE17">INDEX(Parameters!$C$58:$F$58,MATCH(YEAR(AE$3),Parameters!$C$48:$F$48,0))+INDEX(Parameters!$C$59:$F$59,MATCH(YEAR(AE$3),Parameters!$C$48:$F$48,0))+AE8*Parameters!$C$19+AE9*Parameters!$C$18+AE10*Parameters!$B$20</f>
        <v>62500</v>
      </c>
      <c r="AF17" s="27">
        <f t="array" ref="AF17">INDEX(Parameters!$C$58:$F$58,MATCH(YEAR(AF$3),Parameters!$C$48:$F$48,0))+INDEX(Parameters!$C$59:$F$59,MATCH(YEAR(AF$3),Parameters!$C$48:$F$48,0))+AF8*Parameters!$C$19+AF9*Parameters!$C$18+AF10*Parameters!$B$20</f>
        <v>62500</v>
      </c>
      <c r="AG17" s="27">
        <f t="array" ref="AG17">INDEX(Parameters!$C$58:$F$58,MATCH(YEAR(AG$3),Parameters!$C$48:$F$48,0))+INDEX(Parameters!$C$59:$F$59,MATCH(YEAR(AG$3),Parameters!$C$48:$F$48,0))+AG8*Parameters!$C$19+AG9*Parameters!$C$18+AG10*Parameters!$B$20</f>
        <v>65500</v>
      </c>
      <c r="AH17" s="27">
        <f t="array" ref="AH17">INDEX(Parameters!$C$58:$F$58,MATCH(YEAR(AH$3),Parameters!$C$48:$F$48,0))+INDEX(Parameters!$C$59:$F$59,MATCH(YEAR(AH$3),Parameters!$C$48:$F$48,0))+AH8*Parameters!$C$19+AH9*Parameters!$C$18+AH10*Parameters!$B$20</f>
        <v>65500</v>
      </c>
      <c r="AI17" s="27">
        <f t="array" ref="AI17">INDEX(Parameters!$C$58:$F$58,MATCH(YEAR(AI$3),Parameters!$C$48:$F$48,0))+INDEX(Parameters!$C$59:$F$59,MATCH(YEAR(AI$3),Parameters!$C$48:$F$48,0))+AI8*Parameters!$C$19+AI9*Parameters!$C$18+AI10*Parameters!$B$20</f>
        <v>65500</v>
      </c>
      <c r="AJ17" s="27">
        <f t="array" ref="AJ17">INDEX(Parameters!$C$58:$F$58,MATCH(YEAR(AJ$3),Parameters!$C$48:$F$48,0))+INDEX(Parameters!$C$59:$F$59,MATCH(YEAR(AJ$3),Parameters!$C$48:$F$48,0))+AJ8*Parameters!$C$19+AJ9*Parameters!$C$18+AJ10*Parameters!$B$20</f>
        <v>68500</v>
      </c>
      <c r="AK17" s="27">
        <f t="array" ref="AK17">INDEX(Parameters!$C$58:$F$58,MATCH(YEAR(AK$3),Parameters!$C$48:$F$48,0))+INDEX(Parameters!$C$59:$F$59,MATCH(YEAR(AK$3),Parameters!$C$48:$F$48,0))+AK8*Parameters!$C$19+AK9*Parameters!$C$18+AK10*Parameters!$B$20</f>
        <v>68500</v>
      </c>
      <c r="AL17" s="27">
        <f t="array" ref="AL17">INDEX(Parameters!$C$58:$F$58,MATCH(YEAR(AL$3),Parameters!$C$48:$F$48,0))+INDEX(Parameters!$C$59:$F$59,MATCH(YEAR(AL$3),Parameters!$C$48:$F$48,0))+AL8*Parameters!$C$19+AL9*Parameters!$C$18+AL10*Parameters!$B$20</f>
        <v>68500</v>
      </c>
      <c r="AM17" s="27">
        <f t="array" ref="AM17">INDEX(Parameters!$C$58:$F$58,MATCH(YEAR(AM$3),Parameters!$C$48:$F$48,0))+INDEX(Parameters!$C$59:$F$59,MATCH(YEAR(AM$3),Parameters!$C$48:$F$48,0))+AM8*Parameters!$C$19+AM9*Parameters!$C$18+AM10*Parameters!$B$20</f>
        <v>68500</v>
      </c>
      <c r="AN17" s="27">
        <f t="array" ref="AN17">INDEX(Parameters!$C$58:$F$58,MATCH(YEAR(AN$3),Parameters!$C$48:$F$48,0))+INDEX(Parameters!$C$59:$F$59,MATCH(YEAR(AN$3),Parameters!$C$48:$F$48,0))+AN8*Parameters!$C$19+AN9*Parameters!$C$18+AN10*Parameters!$B$20</f>
        <v>68500</v>
      </c>
      <c r="AO17" s="27">
        <f t="array" ref="AO17">INDEX(Parameters!$C$58:$F$58,MATCH(YEAR(AO$3),Parameters!$C$48:$F$48,0))+INDEX(Parameters!$C$59:$F$59,MATCH(YEAR(AO$3),Parameters!$C$48:$F$48,0))+AO8*Parameters!$C$19+AO9*Parameters!$C$18+AO10*Parameters!$B$20</f>
        <v>68500</v>
      </c>
      <c r="AP17" s="27">
        <f t="array" ref="AP17">INDEX(Parameters!$C$58:$F$58,MATCH(YEAR(AP$3),Parameters!$C$48:$F$48,0))+INDEX(Parameters!$C$59:$F$59,MATCH(YEAR(AP$3),Parameters!$C$48:$F$48,0))+AP8*Parameters!$C$19+AP9*Parameters!$C$18+AP10*Parameters!$B$20</f>
        <v>72500</v>
      </c>
      <c r="AQ17" s="27">
        <f t="array" ref="AQ17">INDEX(Parameters!$C$58:$F$58,MATCH(YEAR(AQ$3),Parameters!$C$48:$F$48,0))+INDEX(Parameters!$C$59:$F$59,MATCH(YEAR(AQ$3),Parameters!$C$48:$F$48,0))+AQ8*Parameters!$C$19+AQ9*Parameters!$C$18+AQ10*Parameters!$B$20</f>
        <v>75500</v>
      </c>
      <c r="AR17" s="27">
        <f t="array" ref="AR17">INDEX(Parameters!$C$58:$F$58,MATCH(YEAR(AR$3),Parameters!$C$48:$F$48,0))+INDEX(Parameters!$C$59:$F$59,MATCH(YEAR(AR$3),Parameters!$C$48:$F$48,0))+AR8*Parameters!$C$19+AR9*Parameters!$C$18+AR10*Parameters!$B$20</f>
        <v>75500</v>
      </c>
      <c r="AS17" s="27">
        <f t="array" ref="AS17">INDEX(Parameters!$C$58:$F$58,MATCH(YEAR(AS$3),Parameters!$C$48:$F$48,0))+INDEX(Parameters!$C$59:$F$59,MATCH(YEAR(AS$3),Parameters!$C$48:$F$48,0))+AS8*Parameters!$C$19+AS9*Parameters!$C$18+AS10*Parameters!$B$20</f>
        <v>78500</v>
      </c>
      <c r="AT17" s="27">
        <f t="array" ref="AT17">INDEX(Parameters!$C$58:$F$58,MATCH(YEAR(AT$3),Parameters!$C$48:$F$48,0))+INDEX(Parameters!$C$59:$F$59,MATCH(YEAR(AT$3),Parameters!$C$48:$F$48,0))+AT8*Parameters!$C$19+AT9*Parameters!$C$18+AT10*Parameters!$B$20</f>
        <v>78500</v>
      </c>
      <c r="AU17" s="27">
        <f t="array" ref="AU17">INDEX(Parameters!$C$58:$F$58,MATCH(YEAR(AU$3),Parameters!$C$48:$F$48,0))+INDEX(Parameters!$C$59:$F$59,MATCH(YEAR(AU$3),Parameters!$C$48:$F$48,0))+AU8*Parameters!$C$19+AU9*Parameters!$C$18+AU10*Parameters!$B$20</f>
        <v>78500</v>
      </c>
      <c r="AV17" s="27">
        <f t="array" ref="AV17">INDEX(Parameters!$C$58:$F$58,MATCH(YEAR(AV$3),Parameters!$C$48:$F$48,0))+INDEX(Parameters!$C$59:$F$59,MATCH(YEAR(AV$3),Parameters!$C$48:$F$48,0))+AV8*Parameters!$C$19+AV9*Parameters!$C$18+AV10*Parameters!$B$20</f>
        <v>81500</v>
      </c>
      <c r="AW17" s="27">
        <f t="array" ref="AW17">INDEX(Parameters!$C$58:$F$58,MATCH(YEAR(AW$3),Parameters!$C$48:$F$48,0))+INDEX(Parameters!$C$59:$F$59,MATCH(YEAR(AW$3),Parameters!$C$48:$F$48,0))+AW8*Parameters!$C$19+AW9*Parameters!$C$18+AW10*Parameters!$B$20</f>
        <v>81500</v>
      </c>
      <c r="AX17" s="27">
        <f t="array" ref="AX17">INDEX(Parameters!$C$58:$F$58,MATCH(YEAR(AX$3),Parameters!$C$48:$F$48,0))+INDEX(Parameters!$C$59:$F$59,MATCH(YEAR(AX$3),Parameters!$C$48:$F$48,0))+AX8*Parameters!$C$19+AX9*Parameters!$C$18+AX10*Parameters!$B$20</f>
        <v>81500</v>
      </c>
      <c r="AY17" s="27">
        <f t="array" ref="AY17">INDEX(Parameters!$C$58:$F$58,MATCH(YEAR(AY$3),Parameters!$C$48:$F$48,0))+INDEX(Parameters!$C$59:$F$59,MATCH(YEAR(AY$3),Parameters!$C$48:$F$48,0))+AY8*Parameters!$C$19+AY9*Parameters!$C$18+AY10*Parameters!$B$20</f>
        <v>81500</v>
      </c>
      <c r="AZ17" s="27">
        <f t="array" ref="AZ17">INDEX(Parameters!$C$58:$F$58,MATCH(YEAR(AZ$3),Parameters!$C$48:$F$48,0))+INDEX(Parameters!$C$59:$F$59,MATCH(YEAR(AZ$3),Parameters!$C$48:$F$48,0))+AZ8*Parameters!$C$19+AZ9*Parameters!$C$18+AZ10*Parameters!$B$20</f>
        <v>81500</v>
      </c>
      <c r="BA17" s="27">
        <f t="array" ref="BA17">INDEX(Parameters!$C$58:$F$58,MATCH(YEAR(BA$3),Parameters!$C$48:$F$48,0))+INDEX(Parameters!$C$59:$F$59,MATCH(YEAR(BA$3),Parameters!$C$48:$F$48,0))+BA8*Parameters!$C$19+BA9*Parameters!$C$18+BA10*Parameters!$B$20</f>
        <v>81500</v>
      </c>
      <c r="BB17" s="27"/>
      <c r="BC17" s="27">
        <f t="shared" ref="BC17:BF17" si="8">SUMPRODUCT((YEAR($F$3:$BA$3)=BC$3)*$F17:$BA17)</f>
        <v>354000</v>
      </c>
      <c r="BD17" s="27">
        <f t="shared" si="8"/>
        <v>619500</v>
      </c>
      <c r="BE17" s="27">
        <f t="shared" si="8"/>
        <v>792000</v>
      </c>
      <c r="BF17" s="27">
        <f t="shared" si="8"/>
        <v>948000</v>
      </c>
    </row>
    <row r="18">
      <c r="A18" s="170"/>
      <c r="B18" s="26" t="s">
        <v>128</v>
      </c>
      <c r="C18" s="170"/>
      <c r="D18" s="170"/>
      <c r="E18" s="26" t="s">
        <v>95</v>
      </c>
      <c r="F18" s="27">
        <f t="shared" ref="F18:BA18" si="9">0.08*F17</f>
        <v>1960</v>
      </c>
      <c r="G18" s="27">
        <f t="shared" si="9"/>
        <v>2200</v>
      </c>
      <c r="H18" s="27">
        <f t="shared" si="9"/>
        <v>2200</v>
      </c>
      <c r="I18" s="27">
        <f t="shared" si="9"/>
        <v>2440</v>
      </c>
      <c r="J18" s="27">
        <f t="shared" si="9"/>
        <v>2440</v>
      </c>
      <c r="K18" s="27">
        <f t="shared" si="9"/>
        <v>2440</v>
      </c>
      <c r="L18" s="27">
        <f t="shared" si="9"/>
        <v>2440</v>
      </c>
      <c r="M18" s="27">
        <f t="shared" si="9"/>
        <v>2440</v>
      </c>
      <c r="N18" s="27">
        <f t="shared" si="9"/>
        <v>2440</v>
      </c>
      <c r="O18" s="27">
        <f t="shared" si="9"/>
        <v>2440</v>
      </c>
      <c r="P18" s="27">
        <f t="shared" si="9"/>
        <v>2440</v>
      </c>
      <c r="Q18" s="27">
        <f t="shared" si="9"/>
        <v>2440</v>
      </c>
      <c r="R18" s="27">
        <f t="shared" si="9"/>
        <v>3360</v>
      </c>
      <c r="S18" s="27">
        <f t="shared" si="9"/>
        <v>3360</v>
      </c>
      <c r="T18" s="27">
        <f t="shared" si="9"/>
        <v>3600</v>
      </c>
      <c r="U18" s="27">
        <f t="shared" si="9"/>
        <v>4200</v>
      </c>
      <c r="V18" s="27">
        <f t="shared" si="9"/>
        <v>4200</v>
      </c>
      <c r="W18" s="27">
        <f t="shared" si="9"/>
        <v>4200</v>
      </c>
      <c r="X18" s="27">
        <f t="shared" si="9"/>
        <v>4440</v>
      </c>
      <c r="Y18" s="27">
        <f t="shared" si="9"/>
        <v>4440</v>
      </c>
      <c r="Z18" s="27">
        <f t="shared" si="9"/>
        <v>4440</v>
      </c>
      <c r="AA18" s="27">
        <f t="shared" si="9"/>
        <v>4440</v>
      </c>
      <c r="AB18" s="27">
        <f t="shared" si="9"/>
        <v>4440</v>
      </c>
      <c r="AC18" s="27">
        <f t="shared" si="9"/>
        <v>4440</v>
      </c>
      <c r="AD18" s="27">
        <f t="shared" si="9"/>
        <v>4760</v>
      </c>
      <c r="AE18" s="27">
        <f t="shared" si="9"/>
        <v>5000</v>
      </c>
      <c r="AF18" s="27">
        <f t="shared" si="9"/>
        <v>5000</v>
      </c>
      <c r="AG18" s="27">
        <f t="shared" si="9"/>
        <v>5240</v>
      </c>
      <c r="AH18" s="27">
        <f t="shared" si="9"/>
        <v>5240</v>
      </c>
      <c r="AI18" s="27">
        <f t="shared" si="9"/>
        <v>5240</v>
      </c>
      <c r="AJ18" s="27">
        <f t="shared" si="9"/>
        <v>5480</v>
      </c>
      <c r="AK18" s="27">
        <f t="shared" si="9"/>
        <v>5480</v>
      </c>
      <c r="AL18" s="27">
        <f t="shared" si="9"/>
        <v>5480</v>
      </c>
      <c r="AM18" s="27">
        <f t="shared" si="9"/>
        <v>5480</v>
      </c>
      <c r="AN18" s="27">
        <f t="shared" si="9"/>
        <v>5480</v>
      </c>
      <c r="AO18" s="27">
        <f t="shared" si="9"/>
        <v>5480</v>
      </c>
      <c r="AP18" s="27">
        <f t="shared" si="9"/>
        <v>5800</v>
      </c>
      <c r="AQ18" s="27">
        <f t="shared" si="9"/>
        <v>6040</v>
      </c>
      <c r="AR18" s="27">
        <f t="shared" si="9"/>
        <v>6040</v>
      </c>
      <c r="AS18" s="27">
        <f t="shared" si="9"/>
        <v>6280</v>
      </c>
      <c r="AT18" s="27">
        <f t="shared" si="9"/>
        <v>6280</v>
      </c>
      <c r="AU18" s="27">
        <f t="shared" si="9"/>
        <v>6280</v>
      </c>
      <c r="AV18" s="27">
        <f t="shared" si="9"/>
        <v>6520</v>
      </c>
      <c r="AW18" s="27">
        <f t="shared" si="9"/>
        <v>6520</v>
      </c>
      <c r="AX18" s="27">
        <f t="shared" si="9"/>
        <v>6520</v>
      </c>
      <c r="AY18" s="27">
        <f t="shared" si="9"/>
        <v>6520</v>
      </c>
      <c r="AZ18" s="27">
        <f t="shared" si="9"/>
        <v>6520</v>
      </c>
      <c r="BA18" s="27">
        <f t="shared" si="9"/>
        <v>6520</v>
      </c>
      <c r="BB18" s="27"/>
      <c r="BC18" s="27">
        <f t="shared" ref="BC18:BF18" si="10">SUMPRODUCT((YEAR($F$3:$BA$3)=BC$3)*$F18:$BA18)</f>
        <v>28320</v>
      </c>
      <c r="BD18" s="27">
        <f t="shared" si="10"/>
        <v>49560</v>
      </c>
      <c r="BE18" s="27">
        <f t="shared" si="10"/>
        <v>63360</v>
      </c>
      <c r="BF18" s="27">
        <f t="shared" si="10"/>
        <v>75840</v>
      </c>
    </row>
    <row r="19">
      <c r="A19" s="170"/>
      <c r="B19" s="26" t="s">
        <v>129</v>
      </c>
      <c r="C19" s="170"/>
      <c r="D19" s="170"/>
      <c r="E19" s="26" t="s">
        <v>95</v>
      </c>
      <c r="F19" s="27">
        <f t="shared" ref="F19:BA19" si="11">0.19*(F17+F18)</f>
        <v>5027.4</v>
      </c>
      <c r="G19" s="27">
        <f t="shared" si="11"/>
        <v>5643</v>
      </c>
      <c r="H19" s="27">
        <f t="shared" si="11"/>
        <v>5643</v>
      </c>
      <c r="I19" s="27">
        <f t="shared" si="11"/>
        <v>6258.6</v>
      </c>
      <c r="J19" s="27">
        <f t="shared" si="11"/>
        <v>6258.6</v>
      </c>
      <c r="K19" s="27">
        <f t="shared" si="11"/>
        <v>6258.6</v>
      </c>
      <c r="L19" s="27">
        <f t="shared" si="11"/>
        <v>6258.6</v>
      </c>
      <c r="M19" s="27">
        <f t="shared" si="11"/>
        <v>6258.6</v>
      </c>
      <c r="N19" s="27">
        <f t="shared" si="11"/>
        <v>6258.6</v>
      </c>
      <c r="O19" s="27">
        <f t="shared" si="11"/>
        <v>6258.6</v>
      </c>
      <c r="P19" s="27">
        <f t="shared" si="11"/>
        <v>6258.6</v>
      </c>
      <c r="Q19" s="27">
        <f t="shared" si="11"/>
        <v>6258.6</v>
      </c>
      <c r="R19" s="27">
        <f t="shared" si="11"/>
        <v>8618.4</v>
      </c>
      <c r="S19" s="27">
        <f t="shared" si="11"/>
        <v>8618.4</v>
      </c>
      <c r="T19" s="27">
        <f t="shared" si="11"/>
        <v>9234</v>
      </c>
      <c r="U19" s="27">
        <f t="shared" si="11"/>
        <v>10773</v>
      </c>
      <c r="V19" s="27">
        <f t="shared" si="11"/>
        <v>10773</v>
      </c>
      <c r="W19" s="27">
        <f t="shared" si="11"/>
        <v>10773</v>
      </c>
      <c r="X19" s="27">
        <f t="shared" si="11"/>
        <v>11388.6</v>
      </c>
      <c r="Y19" s="27">
        <f t="shared" si="11"/>
        <v>11388.6</v>
      </c>
      <c r="Z19" s="27">
        <f t="shared" si="11"/>
        <v>11388.6</v>
      </c>
      <c r="AA19" s="27">
        <f t="shared" si="11"/>
        <v>11388.6</v>
      </c>
      <c r="AB19" s="27">
        <f t="shared" si="11"/>
        <v>11388.6</v>
      </c>
      <c r="AC19" s="27">
        <f t="shared" si="11"/>
        <v>11388.6</v>
      </c>
      <c r="AD19" s="27">
        <f t="shared" si="11"/>
        <v>12209.4</v>
      </c>
      <c r="AE19" s="27">
        <f t="shared" si="11"/>
        <v>12825</v>
      </c>
      <c r="AF19" s="27">
        <f t="shared" si="11"/>
        <v>12825</v>
      </c>
      <c r="AG19" s="27">
        <f t="shared" si="11"/>
        <v>13440.6</v>
      </c>
      <c r="AH19" s="27">
        <f t="shared" si="11"/>
        <v>13440.6</v>
      </c>
      <c r="AI19" s="27">
        <f t="shared" si="11"/>
        <v>13440.6</v>
      </c>
      <c r="AJ19" s="27">
        <f t="shared" si="11"/>
        <v>14056.2</v>
      </c>
      <c r="AK19" s="27">
        <f t="shared" si="11"/>
        <v>14056.2</v>
      </c>
      <c r="AL19" s="27">
        <f t="shared" si="11"/>
        <v>14056.2</v>
      </c>
      <c r="AM19" s="27">
        <f t="shared" si="11"/>
        <v>14056.2</v>
      </c>
      <c r="AN19" s="27">
        <f t="shared" si="11"/>
        <v>14056.2</v>
      </c>
      <c r="AO19" s="27">
        <f t="shared" si="11"/>
        <v>14056.2</v>
      </c>
      <c r="AP19" s="27">
        <f t="shared" si="11"/>
        <v>14877</v>
      </c>
      <c r="AQ19" s="27">
        <f t="shared" si="11"/>
        <v>15492.6</v>
      </c>
      <c r="AR19" s="27">
        <f t="shared" si="11"/>
        <v>15492.6</v>
      </c>
      <c r="AS19" s="27">
        <f t="shared" si="11"/>
        <v>16108.2</v>
      </c>
      <c r="AT19" s="27">
        <f t="shared" si="11"/>
        <v>16108.2</v>
      </c>
      <c r="AU19" s="27">
        <f t="shared" si="11"/>
        <v>16108.2</v>
      </c>
      <c r="AV19" s="27">
        <f t="shared" si="11"/>
        <v>16723.8</v>
      </c>
      <c r="AW19" s="27">
        <f t="shared" si="11"/>
        <v>16723.8</v>
      </c>
      <c r="AX19" s="27">
        <f t="shared" si="11"/>
        <v>16723.8</v>
      </c>
      <c r="AY19" s="27">
        <f t="shared" si="11"/>
        <v>16723.8</v>
      </c>
      <c r="AZ19" s="27">
        <f t="shared" si="11"/>
        <v>16723.8</v>
      </c>
      <c r="BA19" s="27">
        <f t="shared" si="11"/>
        <v>16723.8</v>
      </c>
      <c r="BB19" s="27"/>
      <c r="BC19" s="27">
        <f t="shared" ref="BC19:BF19" si="12">SUMPRODUCT((YEAR($F$3:$BA$3)=BC$3)*$F19:$BA19)</f>
        <v>72640.8</v>
      </c>
      <c r="BD19" s="27">
        <f t="shared" si="12"/>
        <v>127121.4</v>
      </c>
      <c r="BE19" s="27">
        <f t="shared" si="12"/>
        <v>162518.4</v>
      </c>
      <c r="BF19" s="27">
        <f t="shared" si="12"/>
        <v>194529.6</v>
      </c>
    </row>
    <row r="20">
      <c r="A20" s="170"/>
      <c r="B20" s="26" t="s">
        <v>123</v>
      </c>
      <c r="C20" s="170"/>
      <c r="D20" s="170"/>
      <c r="E20" s="26" t="s">
        <v>95</v>
      </c>
      <c r="F20" s="27">
        <f>Parameters!$C$60/12</f>
        <v>7500</v>
      </c>
      <c r="G20" s="27">
        <f>Parameters!$C$60/12</f>
        <v>7500</v>
      </c>
      <c r="H20" s="27">
        <f>Parameters!$C$60/12</f>
        <v>7500</v>
      </c>
      <c r="I20" s="27">
        <f>Parameters!$C$60/12</f>
        <v>7500</v>
      </c>
      <c r="J20" s="27">
        <f>Parameters!$C$60/12</f>
        <v>7500</v>
      </c>
      <c r="K20" s="27">
        <f>Parameters!$C$60/12</f>
        <v>7500</v>
      </c>
      <c r="L20" s="27">
        <f>Parameters!$C$60/12</f>
        <v>7500</v>
      </c>
      <c r="M20" s="27">
        <f>Parameters!$C$60/12</f>
        <v>7500</v>
      </c>
      <c r="N20" s="27">
        <f>Parameters!$C$60/12</f>
        <v>7500</v>
      </c>
      <c r="O20" s="27">
        <f>Parameters!$C$60/12</f>
        <v>7500</v>
      </c>
      <c r="P20" s="27">
        <f>Parameters!$C$60/12</f>
        <v>7500</v>
      </c>
      <c r="Q20" s="27">
        <f>Parameters!$C$60/12</f>
        <v>7500</v>
      </c>
      <c r="R20" s="27">
        <f>Parameters!$C$60/12</f>
        <v>7500</v>
      </c>
      <c r="S20" s="27">
        <f>Parameters!$C$60/12</f>
        <v>7500</v>
      </c>
      <c r="T20" s="27">
        <f>Parameters!$C$60/12</f>
        <v>7500</v>
      </c>
      <c r="U20" s="27">
        <f>Parameters!$C$60/12</f>
        <v>7500</v>
      </c>
      <c r="V20" s="27">
        <f>Parameters!$C$60/12</f>
        <v>7500</v>
      </c>
      <c r="W20" s="27">
        <f>Parameters!$C$60/12</f>
        <v>7500</v>
      </c>
      <c r="X20" s="27">
        <f>Parameters!$C$60/12</f>
        <v>7500</v>
      </c>
      <c r="Y20" s="27">
        <f>Parameters!$C$60/12</f>
        <v>7500</v>
      </c>
      <c r="Z20" s="27">
        <f>Parameters!$C$60/12</f>
        <v>7500</v>
      </c>
      <c r="AA20" s="27">
        <f>Parameters!$C$60/12</f>
        <v>7500</v>
      </c>
      <c r="AB20" s="27">
        <f>Parameters!$C$60/12</f>
        <v>7500</v>
      </c>
      <c r="AC20" s="27">
        <f>Parameters!$C$60/12</f>
        <v>7500</v>
      </c>
      <c r="AD20" s="27">
        <f>Parameters!$C$60/12</f>
        <v>7500</v>
      </c>
      <c r="AE20" s="27">
        <f>Parameters!$C$60/12</f>
        <v>7500</v>
      </c>
      <c r="AF20" s="27">
        <f>Parameters!$C$60/12</f>
        <v>7500</v>
      </c>
      <c r="AG20" s="27">
        <f>Parameters!$C$60/12</f>
        <v>7500</v>
      </c>
      <c r="AH20" s="27">
        <f>Parameters!$C$60/12</f>
        <v>7500</v>
      </c>
      <c r="AI20" s="27">
        <f>Parameters!$C$60/12</f>
        <v>7500</v>
      </c>
      <c r="AJ20" s="27">
        <f>Parameters!$C$60/12</f>
        <v>7500</v>
      </c>
      <c r="AK20" s="27">
        <f>Parameters!$C$60/12</f>
        <v>7500</v>
      </c>
      <c r="AL20" s="27">
        <f>Parameters!$C$60/12</f>
        <v>7500</v>
      </c>
      <c r="AM20" s="27">
        <f>Parameters!$C$60/12</f>
        <v>7500</v>
      </c>
      <c r="AN20" s="27">
        <f>Parameters!$C$60/12</f>
        <v>7500</v>
      </c>
      <c r="AO20" s="27">
        <f>Parameters!$C$60/12</f>
        <v>7500</v>
      </c>
      <c r="AP20" s="27">
        <f>Parameters!$C$60/12</f>
        <v>7500</v>
      </c>
      <c r="AQ20" s="27">
        <f>Parameters!$C$60/12</f>
        <v>7500</v>
      </c>
      <c r="AR20" s="27">
        <f>Parameters!$C$60/12</f>
        <v>7500</v>
      </c>
      <c r="AS20" s="27">
        <f>Parameters!$C$60/12</f>
        <v>7500</v>
      </c>
      <c r="AT20" s="27">
        <f>Parameters!$C$60/12</f>
        <v>7500</v>
      </c>
      <c r="AU20" s="27">
        <f>Parameters!$C$60/12</f>
        <v>7500</v>
      </c>
      <c r="AV20" s="27">
        <f>Parameters!$C$60/12</f>
        <v>7500</v>
      </c>
      <c r="AW20" s="27">
        <f>Parameters!$C$60/12</f>
        <v>7500</v>
      </c>
      <c r="AX20" s="27">
        <f>Parameters!$C$60/12</f>
        <v>7500</v>
      </c>
      <c r="AY20" s="27">
        <f>Parameters!$C$60/12</f>
        <v>7500</v>
      </c>
      <c r="AZ20" s="27">
        <f>Parameters!$C$60/12</f>
        <v>7500</v>
      </c>
      <c r="BA20" s="27">
        <f>Parameters!$C$60/12</f>
        <v>7500</v>
      </c>
      <c r="BB20" s="27"/>
      <c r="BC20" s="27">
        <f t="shared" ref="BC20:BF20" si="13">SUMPRODUCT((YEAR($F$3:$BA$3)=BC$3)*$F20:$BA20)</f>
        <v>90000</v>
      </c>
      <c r="BD20" s="27">
        <f t="shared" si="13"/>
        <v>90000</v>
      </c>
      <c r="BE20" s="27">
        <f t="shared" si="13"/>
        <v>90000</v>
      </c>
      <c r="BF20" s="27">
        <f t="shared" si="13"/>
        <v>90000</v>
      </c>
    </row>
    <row r="21">
      <c r="A21" s="170"/>
      <c r="B21" s="26" t="s">
        <v>130</v>
      </c>
      <c r="C21" s="170"/>
      <c r="D21" s="170"/>
      <c r="E21" s="26" t="s">
        <v>95</v>
      </c>
      <c r="F21" s="27">
        <f t="array" ref="F21">'Commercials Forecast'!F24*INDEX(Parameters!$C$57:$F$57,MATCH(YEAR(F$3),Parameters!$C$48:$F$48,0))*(0.9+0.1*(INDEX(Parameters!$C$54:$F$54,MATCH(YEAR(F$3),Parameters!$C$48:$F$48,0))+INDEX(Parameters!$C$55:$F$55,MATCH(YEAR(F$3),Parameters!$C$48:$F$48,0))))</f>
        <v>0</v>
      </c>
      <c r="G21" s="27">
        <f t="array" ref="G21">'Commercials Forecast'!G24*INDEX(Parameters!$C$57:$F$57,MATCH(YEAR(G$3),Parameters!$C$48:$F$48,0))*(0.9+0.1*(INDEX(Parameters!$C$54:$F$54,MATCH(YEAR(G$3),Parameters!$C$48:$F$48,0))+INDEX(Parameters!$C$55:$F$55,MATCH(YEAR(G$3),Parameters!$C$48:$F$48,0))))</f>
        <v>0</v>
      </c>
      <c r="H21" s="27">
        <f t="array" ref="H21">'Commercials Forecast'!H24*INDEX(Parameters!$C$57:$F$57,MATCH(YEAR(H$3),Parameters!$C$48:$F$48,0))*(0.9+0.1*(INDEX(Parameters!$C$54:$F$54,MATCH(YEAR(H$3),Parameters!$C$48:$F$48,0))+INDEX(Parameters!$C$55:$F$55,MATCH(YEAR(H$3),Parameters!$C$48:$F$48,0))))</f>
        <v>0</v>
      </c>
      <c r="I21" s="27">
        <f t="array" ref="I21">'Commercials Forecast'!I24*INDEX(Parameters!$C$57:$F$57,MATCH(YEAR(I$3),Parameters!$C$48:$F$48,0))*(0.9+0.1*(INDEX(Parameters!$C$54:$F$54,MATCH(YEAR(I$3),Parameters!$C$48:$F$48,0))+INDEX(Parameters!$C$55:$F$55,MATCH(YEAR(I$3),Parameters!$C$48:$F$48,0))))</f>
        <v>0</v>
      </c>
      <c r="J21" s="27">
        <f t="array" ref="J21">'Commercials Forecast'!J24*INDEX(Parameters!$C$57:$F$57,MATCH(YEAR(J$3),Parameters!$C$48:$F$48,0))*(0.9+0.1*(INDEX(Parameters!$C$54:$F$54,MATCH(YEAR(J$3),Parameters!$C$48:$F$48,0))+INDEX(Parameters!$C$55:$F$55,MATCH(YEAR(J$3),Parameters!$C$48:$F$48,0))))</f>
        <v>0</v>
      </c>
      <c r="K21" s="27">
        <f t="array" ref="K21">'Commercials Forecast'!K24*INDEX(Parameters!$C$57:$F$57,MATCH(YEAR(K$3),Parameters!$C$48:$F$48,0))*(0.9+0.1*(INDEX(Parameters!$C$54:$F$54,MATCH(YEAR(K$3),Parameters!$C$48:$F$48,0))+INDEX(Parameters!$C$55:$F$55,MATCH(YEAR(K$3),Parameters!$C$48:$F$48,0))))</f>
        <v>2598.75</v>
      </c>
      <c r="L21" s="27">
        <f t="array" ref="L21">'Commercials Forecast'!L24*INDEX(Parameters!$C$57:$F$57,MATCH(YEAR(L$3),Parameters!$C$48:$F$48,0))*(0.9+0.1*(INDEX(Parameters!$C$54:$F$54,MATCH(YEAR(L$3),Parameters!$C$48:$F$48,0))+INDEX(Parameters!$C$55:$F$55,MATCH(YEAR(L$3),Parameters!$C$48:$F$48,0))))</f>
        <v>2598.75</v>
      </c>
      <c r="M21" s="27">
        <f t="array" ref="M21">'Commercials Forecast'!M24*INDEX(Parameters!$C$57:$F$57,MATCH(YEAR(M$3),Parameters!$C$48:$F$48,0))*(0.9+0.1*(INDEX(Parameters!$C$54:$F$54,MATCH(YEAR(M$3),Parameters!$C$48:$F$48,0))+INDEX(Parameters!$C$55:$F$55,MATCH(YEAR(M$3),Parameters!$C$48:$F$48,0))))</f>
        <v>6448.75</v>
      </c>
      <c r="N21" s="27">
        <f t="array" ref="N21">'Commercials Forecast'!N24*INDEX(Parameters!$C$57:$F$57,MATCH(YEAR(N$3),Parameters!$C$48:$F$48,0))*(0.9+0.1*(INDEX(Parameters!$C$54:$F$54,MATCH(YEAR(N$3),Parameters!$C$48:$F$48,0))+INDEX(Parameters!$C$55:$F$55,MATCH(YEAR(N$3),Parameters!$C$48:$F$48,0))))</f>
        <v>6448.75</v>
      </c>
      <c r="O21" s="27">
        <f t="array" ref="O21">'Commercials Forecast'!O24*INDEX(Parameters!$C$57:$F$57,MATCH(YEAR(O$3),Parameters!$C$48:$F$48,0))*(0.9+0.1*(INDEX(Parameters!$C$54:$F$54,MATCH(YEAR(O$3),Parameters!$C$48:$F$48,0))+INDEX(Parameters!$C$55:$F$55,MATCH(YEAR(O$3),Parameters!$C$48:$F$48,0))))</f>
        <v>6448.75</v>
      </c>
      <c r="P21" s="27">
        <f t="array" ref="P21">'Commercials Forecast'!P24*INDEX(Parameters!$C$57:$F$57,MATCH(YEAR(P$3),Parameters!$C$48:$F$48,0))*(0.9+0.1*(INDEX(Parameters!$C$54:$F$54,MATCH(YEAR(P$3),Parameters!$C$48:$F$48,0))+INDEX(Parameters!$C$55:$F$55,MATCH(YEAR(P$3),Parameters!$C$48:$F$48,0))))</f>
        <v>6448.75</v>
      </c>
      <c r="Q21" s="27">
        <f t="array" ref="Q21">'Commercials Forecast'!Q24*INDEX(Parameters!$C$57:$F$57,MATCH(YEAR(Q$3),Parameters!$C$48:$F$48,0))*(0.9+0.1*(INDEX(Parameters!$C$54:$F$54,MATCH(YEAR(Q$3),Parameters!$C$48:$F$48,0))+INDEX(Parameters!$C$55:$F$55,MATCH(YEAR(Q$3),Parameters!$C$48:$F$48,0))))</f>
        <v>6448.75</v>
      </c>
      <c r="R21" s="27">
        <f t="array" ref="R21">'Commercials Forecast'!R24*INDEX(Parameters!$C$57:$F$57,MATCH(YEAR(R$3),Parameters!$C$48:$F$48,0))*(0.9+0.1*(INDEX(Parameters!$C$54:$F$54,MATCH(YEAR(R$3),Parameters!$C$48:$F$48,0))+INDEX(Parameters!$C$55:$F$55,MATCH(YEAR(R$3),Parameters!$C$48:$F$48,0))))</f>
        <v>12101.83333</v>
      </c>
      <c r="S21" s="27">
        <f t="array" ref="S21">'Commercials Forecast'!S24*INDEX(Parameters!$C$57:$F$57,MATCH(YEAR(S$3),Parameters!$C$48:$F$48,0))*(0.9+0.1*(INDEX(Parameters!$C$54:$F$54,MATCH(YEAR(S$3),Parameters!$C$48:$F$48,0))+INDEX(Parameters!$C$55:$F$55,MATCH(YEAR(S$3),Parameters!$C$48:$F$48,0))))</f>
        <v>12101.83333</v>
      </c>
      <c r="T21" s="27">
        <f t="array" ref="T21">'Commercials Forecast'!T24*INDEX(Parameters!$C$57:$F$57,MATCH(YEAR(T$3),Parameters!$C$48:$F$48,0))*(0.9+0.1*(INDEX(Parameters!$C$54:$F$54,MATCH(YEAR(T$3),Parameters!$C$48:$F$48,0))+INDEX(Parameters!$C$55:$F$55,MATCH(YEAR(T$3),Parameters!$C$48:$F$48,0))))</f>
        <v>12101.83333</v>
      </c>
      <c r="U21" s="27">
        <f t="array" ref="U21">'Commercials Forecast'!U24*INDEX(Parameters!$C$57:$F$57,MATCH(YEAR(U$3),Parameters!$C$48:$F$48,0))*(0.9+0.1*(INDEX(Parameters!$C$54:$F$54,MATCH(YEAR(U$3),Parameters!$C$48:$F$48,0))+INDEX(Parameters!$C$55:$F$55,MATCH(YEAR(U$3),Parameters!$C$48:$F$48,0))))</f>
        <v>12101.83333</v>
      </c>
      <c r="V21" s="27">
        <f t="array" ref="V21">'Commercials Forecast'!V24*INDEX(Parameters!$C$57:$F$57,MATCH(YEAR(V$3),Parameters!$C$48:$F$48,0))*(0.9+0.1*(INDEX(Parameters!$C$54:$F$54,MATCH(YEAR(V$3),Parameters!$C$48:$F$48,0))+INDEX(Parameters!$C$55:$F$55,MATCH(YEAR(V$3),Parameters!$C$48:$F$48,0))))</f>
        <v>12101.83333</v>
      </c>
      <c r="W21" s="27">
        <f t="array" ref="W21">'Commercials Forecast'!W24*INDEX(Parameters!$C$57:$F$57,MATCH(YEAR(W$3),Parameters!$C$48:$F$48,0))*(0.9+0.1*(INDEX(Parameters!$C$54:$F$54,MATCH(YEAR(W$3),Parameters!$C$48:$F$48,0))+INDEX(Parameters!$C$55:$F$55,MATCH(YEAR(W$3),Parameters!$C$48:$F$48,0))))</f>
        <v>14319.43333</v>
      </c>
      <c r="X21" s="27">
        <f t="array" ref="X21">'Commercials Forecast'!X24*INDEX(Parameters!$C$57:$F$57,MATCH(YEAR(X$3),Parameters!$C$48:$F$48,0))*(0.9+0.1*(INDEX(Parameters!$C$54:$F$54,MATCH(YEAR(X$3),Parameters!$C$48:$F$48,0))+INDEX(Parameters!$C$55:$F$55,MATCH(YEAR(X$3),Parameters!$C$48:$F$48,0))))</f>
        <v>14319.43333</v>
      </c>
      <c r="Y21" s="27">
        <f t="array" ref="Y21">'Commercials Forecast'!Y24*INDEX(Parameters!$C$57:$F$57,MATCH(YEAR(Y$3),Parameters!$C$48:$F$48,0))*(0.9+0.1*(INDEX(Parameters!$C$54:$F$54,MATCH(YEAR(Y$3),Parameters!$C$48:$F$48,0))+INDEX(Parameters!$C$55:$F$55,MATCH(YEAR(Y$3),Parameters!$C$48:$F$48,0))))</f>
        <v>46659.43333</v>
      </c>
      <c r="Z21" s="27">
        <f t="array" ref="Z21">'Commercials Forecast'!Z24*INDEX(Parameters!$C$57:$F$57,MATCH(YEAR(Z$3),Parameters!$C$48:$F$48,0))*(0.9+0.1*(INDEX(Parameters!$C$54:$F$54,MATCH(YEAR(Z$3),Parameters!$C$48:$F$48,0))+INDEX(Parameters!$C$55:$F$55,MATCH(YEAR(Z$3),Parameters!$C$48:$F$48,0))))</f>
        <v>46659.43333</v>
      </c>
      <c r="AA21" s="27">
        <f t="array" ref="AA21">'Commercials Forecast'!AA24*INDEX(Parameters!$C$57:$F$57,MATCH(YEAR(AA$3),Parameters!$C$48:$F$48,0))*(0.9+0.1*(INDEX(Parameters!$C$54:$F$54,MATCH(YEAR(AA$3),Parameters!$C$48:$F$48,0))+INDEX(Parameters!$C$55:$F$55,MATCH(YEAR(AA$3),Parameters!$C$48:$F$48,0))))</f>
        <v>46659.43333</v>
      </c>
      <c r="AB21" s="27">
        <f t="array" ref="AB21">'Commercials Forecast'!AB24*INDEX(Parameters!$C$57:$F$57,MATCH(YEAR(AB$3),Parameters!$C$48:$F$48,0))*(0.9+0.1*(INDEX(Parameters!$C$54:$F$54,MATCH(YEAR(AB$3),Parameters!$C$48:$F$48,0))+INDEX(Parameters!$C$55:$F$55,MATCH(YEAR(AB$3),Parameters!$C$48:$F$48,0))))</f>
        <v>46659.43333</v>
      </c>
      <c r="AC21" s="27">
        <f t="array" ref="AC21">'Commercials Forecast'!AC24*INDEX(Parameters!$C$57:$F$57,MATCH(YEAR(AC$3),Parameters!$C$48:$F$48,0))*(0.9+0.1*(INDEX(Parameters!$C$54:$F$54,MATCH(YEAR(AC$3),Parameters!$C$48:$F$48,0))+INDEX(Parameters!$C$55:$F$55,MATCH(YEAR(AC$3),Parameters!$C$48:$F$48,0))))</f>
        <v>46659.43333</v>
      </c>
      <c r="AD21" s="27">
        <f t="array" ref="AD21">'Commercials Forecast'!AD24*INDEX(Parameters!$C$57:$F$57,MATCH(YEAR(AD$3),Parameters!$C$48:$F$48,0))*(0.9+0.1*(INDEX(Parameters!$C$54:$F$54,MATCH(YEAR(AD$3),Parameters!$C$48:$F$48,0))+INDEX(Parameters!$C$55:$F$55,MATCH(YEAR(AD$3),Parameters!$C$48:$F$48,0))))</f>
        <v>84623</v>
      </c>
      <c r="AE21" s="27">
        <f t="array" ref="AE21">'Commercials Forecast'!AE24*INDEX(Parameters!$C$57:$F$57,MATCH(YEAR(AE$3),Parameters!$C$48:$F$48,0))*(0.9+0.1*(INDEX(Parameters!$C$54:$F$54,MATCH(YEAR(AE$3),Parameters!$C$48:$F$48,0))+INDEX(Parameters!$C$55:$F$55,MATCH(YEAR(AE$3),Parameters!$C$48:$F$48,0))))</f>
        <v>84623</v>
      </c>
      <c r="AF21" s="27">
        <f t="array" ref="AF21">'Commercials Forecast'!AF24*INDEX(Parameters!$C$57:$F$57,MATCH(YEAR(AF$3),Parameters!$C$48:$F$48,0))*(0.9+0.1*(INDEX(Parameters!$C$54:$F$54,MATCH(YEAR(AF$3),Parameters!$C$48:$F$48,0))+INDEX(Parameters!$C$55:$F$55,MATCH(YEAR(AF$3),Parameters!$C$48:$F$48,0))))</f>
        <v>84623</v>
      </c>
      <c r="AG21" s="27">
        <f t="array" ref="AG21">'Commercials Forecast'!AG24*INDEX(Parameters!$C$57:$F$57,MATCH(YEAR(AG$3),Parameters!$C$48:$F$48,0))*(0.9+0.1*(INDEX(Parameters!$C$54:$F$54,MATCH(YEAR(AG$3),Parameters!$C$48:$F$48,0))+INDEX(Parameters!$C$55:$F$55,MATCH(YEAR(AG$3),Parameters!$C$48:$F$48,0))))</f>
        <v>84623</v>
      </c>
      <c r="AH21" s="27">
        <f t="array" ref="AH21">'Commercials Forecast'!AH24*INDEX(Parameters!$C$57:$F$57,MATCH(YEAR(AH$3),Parameters!$C$48:$F$48,0))*(0.9+0.1*(INDEX(Parameters!$C$54:$F$54,MATCH(YEAR(AH$3),Parameters!$C$48:$F$48,0))+INDEX(Parameters!$C$55:$F$55,MATCH(YEAR(AH$3),Parameters!$C$48:$F$48,0))))</f>
        <v>84623</v>
      </c>
      <c r="AI21" s="27">
        <f t="array" ref="AI21">'Commercials Forecast'!AI24*INDEX(Parameters!$C$57:$F$57,MATCH(YEAR(AI$3),Parameters!$C$48:$F$48,0))*(0.9+0.1*(INDEX(Parameters!$C$54:$F$54,MATCH(YEAR(AI$3),Parameters!$C$48:$F$48,0))+INDEX(Parameters!$C$55:$F$55,MATCH(YEAR(AI$3),Parameters!$C$48:$F$48,0))))</f>
        <v>85838.445</v>
      </c>
      <c r="AJ21" s="27">
        <f t="array" ref="AJ21">'Commercials Forecast'!AJ24*INDEX(Parameters!$C$57:$F$57,MATCH(YEAR(AJ$3),Parameters!$C$48:$F$48,0))*(0.9+0.1*(INDEX(Parameters!$C$54:$F$54,MATCH(YEAR(AJ$3),Parameters!$C$48:$F$48,0))+INDEX(Parameters!$C$55:$F$55,MATCH(YEAR(AJ$3),Parameters!$C$48:$F$48,0))))</f>
        <v>85838.445</v>
      </c>
      <c r="AK21" s="27">
        <f t="array" ref="AK21">'Commercials Forecast'!AK24*INDEX(Parameters!$C$57:$F$57,MATCH(YEAR(AK$3),Parameters!$C$48:$F$48,0))*(0.9+0.1*(INDEX(Parameters!$C$54:$F$54,MATCH(YEAR(AK$3),Parameters!$C$48:$F$48,0))+INDEX(Parameters!$C$55:$F$55,MATCH(YEAR(AK$3),Parameters!$C$48:$F$48,0))))</f>
        <v>189916.65</v>
      </c>
      <c r="AL21" s="27">
        <f t="array" ref="AL21">'Commercials Forecast'!AL24*INDEX(Parameters!$C$57:$F$57,MATCH(YEAR(AL$3),Parameters!$C$48:$F$48,0))*(0.9+0.1*(INDEX(Parameters!$C$54:$F$54,MATCH(YEAR(AL$3),Parameters!$C$48:$F$48,0))+INDEX(Parameters!$C$55:$F$55,MATCH(YEAR(AL$3),Parameters!$C$48:$F$48,0))))</f>
        <v>189916.65</v>
      </c>
      <c r="AM21" s="27">
        <f t="array" ref="AM21">'Commercials Forecast'!AM24*INDEX(Parameters!$C$57:$F$57,MATCH(YEAR(AM$3),Parameters!$C$48:$F$48,0))*(0.9+0.1*(INDEX(Parameters!$C$54:$F$54,MATCH(YEAR(AM$3),Parameters!$C$48:$F$48,0))+INDEX(Parameters!$C$55:$F$55,MATCH(YEAR(AM$3),Parameters!$C$48:$F$48,0))))</f>
        <v>189916.65</v>
      </c>
      <c r="AN21" s="27">
        <f t="array" ref="AN21">'Commercials Forecast'!AN24*INDEX(Parameters!$C$57:$F$57,MATCH(YEAR(AN$3),Parameters!$C$48:$F$48,0))*(0.9+0.1*(INDEX(Parameters!$C$54:$F$54,MATCH(YEAR(AN$3),Parameters!$C$48:$F$48,0))+INDEX(Parameters!$C$55:$F$55,MATCH(YEAR(AN$3),Parameters!$C$48:$F$48,0))))</f>
        <v>189916.65</v>
      </c>
      <c r="AO21" s="27">
        <f t="array" ref="AO21">'Commercials Forecast'!AO24*INDEX(Parameters!$C$57:$F$57,MATCH(YEAR(AO$3),Parameters!$C$48:$F$48,0))*(0.9+0.1*(INDEX(Parameters!$C$54:$F$54,MATCH(YEAR(AO$3),Parameters!$C$48:$F$48,0))+INDEX(Parameters!$C$55:$F$55,MATCH(YEAR(AO$3),Parameters!$C$48:$F$48,0))))</f>
        <v>189916.65</v>
      </c>
      <c r="AP21" s="27">
        <f t="array" ref="AP21">'Commercials Forecast'!AP24*INDEX(Parameters!$C$57:$F$57,MATCH(YEAR(AP$3),Parameters!$C$48:$F$48,0))*(0.9+0.1*(INDEX(Parameters!$C$54:$F$54,MATCH(YEAR(AP$3),Parameters!$C$48:$F$48,0))+INDEX(Parameters!$C$55:$F$55,MATCH(YEAR(AP$3),Parameters!$C$48:$F$48,0))))</f>
        <v>297965.9375</v>
      </c>
      <c r="AQ21" s="27">
        <f t="array" ref="AQ21">'Commercials Forecast'!AQ24*INDEX(Parameters!$C$57:$F$57,MATCH(YEAR(AQ$3),Parameters!$C$48:$F$48,0))*(0.9+0.1*(INDEX(Parameters!$C$54:$F$54,MATCH(YEAR(AQ$3),Parameters!$C$48:$F$48,0))+INDEX(Parameters!$C$55:$F$55,MATCH(YEAR(AQ$3),Parameters!$C$48:$F$48,0))))</f>
        <v>297965.9375</v>
      </c>
      <c r="AR21" s="27">
        <f t="array" ref="AR21">'Commercials Forecast'!AR24*INDEX(Parameters!$C$57:$F$57,MATCH(YEAR(AR$3),Parameters!$C$48:$F$48,0))*(0.9+0.1*(INDEX(Parameters!$C$54:$F$54,MATCH(YEAR(AR$3),Parameters!$C$48:$F$48,0))+INDEX(Parameters!$C$55:$F$55,MATCH(YEAR(AR$3),Parameters!$C$48:$F$48,0))))</f>
        <v>297965.9375</v>
      </c>
      <c r="AS21" s="27">
        <f t="array" ref="AS21">'Commercials Forecast'!AS24*INDEX(Parameters!$C$57:$F$57,MATCH(YEAR(AS$3),Parameters!$C$48:$F$48,0))*(0.9+0.1*(INDEX(Parameters!$C$54:$F$54,MATCH(YEAR(AS$3),Parameters!$C$48:$F$48,0))+INDEX(Parameters!$C$55:$F$55,MATCH(YEAR(AS$3),Parameters!$C$48:$F$48,0))))</f>
        <v>297965.9375</v>
      </c>
      <c r="AT21" s="27">
        <f t="array" ref="AT21">'Commercials Forecast'!AT24*INDEX(Parameters!$C$57:$F$57,MATCH(YEAR(AT$3),Parameters!$C$48:$F$48,0))*(0.9+0.1*(INDEX(Parameters!$C$54:$F$54,MATCH(YEAR(AT$3),Parameters!$C$48:$F$48,0))+INDEX(Parameters!$C$55:$F$55,MATCH(YEAR(AT$3),Parameters!$C$48:$F$48,0))))</f>
        <v>297965.9375</v>
      </c>
      <c r="AU21" s="27">
        <f t="array" ref="AU21">'Commercials Forecast'!AU24*INDEX(Parameters!$C$57:$F$57,MATCH(YEAR(AU$3),Parameters!$C$48:$F$48,0))*(0.9+0.1*(INDEX(Parameters!$C$54:$F$54,MATCH(YEAR(AU$3),Parameters!$C$48:$F$48,0))+INDEX(Parameters!$C$55:$F$55,MATCH(YEAR(AU$3),Parameters!$C$48:$F$48,0))))</f>
        <v>298076.625</v>
      </c>
      <c r="AV21" s="27">
        <f t="array" ref="AV21">'Commercials Forecast'!AV24*INDEX(Parameters!$C$57:$F$57,MATCH(YEAR(AV$3),Parameters!$C$48:$F$48,0))*(0.9+0.1*(INDEX(Parameters!$C$54:$F$54,MATCH(YEAR(AV$3),Parameters!$C$48:$F$48,0))+INDEX(Parameters!$C$55:$F$55,MATCH(YEAR(AV$3),Parameters!$C$48:$F$48,0))))</f>
        <v>298076.625</v>
      </c>
      <c r="AW21" s="27">
        <f t="array" ref="AW21">'Commercials Forecast'!AW24*INDEX(Parameters!$C$57:$F$57,MATCH(YEAR(AW$3),Parameters!$C$48:$F$48,0))*(0.9+0.1*(INDEX(Parameters!$C$54:$F$54,MATCH(YEAR(AW$3),Parameters!$C$48:$F$48,0))+INDEX(Parameters!$C$55:$F$55,MATCH(YEAR(AW$3),Parameters!$C$48:$F$48,0))))</f>
        <v>507478.125</v>
      </c>
      <c r="AX21" s="27">
        <f t="array" ref="AX21">'Commercials Forecast'!AX24*INDEX(Parameters!$C$57:$F$57,MATCH(YEAR(AX$3),Parameters!$C$48:$F$48,0))*(0.9+0.1*(INDEX(Parameters!$C$54:$F$54,MATCH(YEAR(AX$3),Parameters!$C$48:$F$48,0))+INDEX(Parameters!$C$55:$F$55,MATCH(YEAR(AX$3),Parameters!$C$48:$F$48,0))))</f>
        <v>507478.125</v>
      </c>
      <c r="AY21" s="27">
        <f t="array" ref="AY21">'Commercials Forecast'!AY24*INDEX(Parameters!$C$57:$F$57,MATCH(YEAR(AY$3),Parameters!$C$48:$F$48,0))*(0.9+0.1*(INDEX(Parameters!$C$54:$F$54,MATCH(YEAR(AY$3),Parameters!$C$48:$F$48,0))+INDEX(Parameters!$C$55:$F$55,MATCH(YEAR(AY$3),Parameters!$C$48:$F$48,0))))</f>
        <v>507478.125</v>
      </c>
      <c r="AZ21" s="27">
        <f t="array" ref="AZ21">'Commercials Forecast'!AZ24*INDEX(Parameters!$C$57:$F$57,MATCH(YEAR(AZ$3),Parameters!$C$48:$F$48,0))*(0.9+0.1*(INDEX(Parameters!$C$54:$F$54,MATCH(YEAR(AZ$3),Parameters!$C$48:$F$48,0))+INDEX(Parameters!$C$55:$F$55,MATCH(YEAR(AZ$3),Parameters!$C$48:$F$48,0))))</f>
        <v>507478.125</v>
      </c>
      <c r="BA21" s="27">
        <f t="array" ref="BA21">'Commercials Forecast'!BA24*INDEX(Parameters!$C$57:$F$57,MATCH(YEAR(BA$3),Parameters!$C$48:$F$48,0))*(0.9+0.1*(INDEX(Parameters!$C$54:$F$54,MATCH(YEAR(BA$3),Parameters!$C$48:$F$48,0))+INDEX(Parameters!$C$55:$F$55,MATCH(YEAR(BA$3),Parameters!$C$48:$F$48,0))))</f>
        <v>507478.125</v>
      </c>
      <c r="BB21" s="27"/>
      <c r="BC21" s="27">
        <f t="shared" ref="BC21:BF21" si="14">SUMPRODUCT((YEAR($F$3:$BA$3)=BC$3)*$F21:$BA21)</f>
        <v>37441.25</v>
      </c>
      <c r="BD21" s="27">
        <f t="shared" si="14"/>
        <v>322445.2</v>
      </c>
      <c r="BE21" s="27">
        <f t="shared" si="14"/>
        <v>1544375.14</v>
      </c>
      <c r="BF21" s="27">
        <f t="shared" si="14"/>
        <v>4623373.563</v>
      </c>
    </row>
    <row r="22">
      <c r="A22" s="170"/>
      <c r="B22" s="26" t="s">
        <v>131</v>
      </c>
      <c r="C22" s="170"/>
      <c r="D22" s="170"/>
      <c r="E22" s="26" t="s">
        <v>95</v>
      </c>
      <c r="F22" s="44">
        <v>450.0</v>
      </c>
      <c r="G22" s="44">
        <v>450.0</v>
      </c>
      <c r="H22" s="44">
        <v>450.0</v>
      </c>
      <c r="I22" s="44">
        <v>450.0</v>
      </c>
      <c r="J22" s="44">
        <v>450.0</v>
      </c>
      <c r="K22" s="44">
        <v>450.0</v>
      </c>
      <c r="L22" s="44">
        <v>450.0</v>
      </c>
      <c r="M22" s="44">
        <v>450.0</v>
      </c>
      <c r="N22" s="44">
        <v>450.0</v>
      </c>
      <c r="O22" s="44">
        <v>450.0</v>
      </c>
      <c r="P22" s="44">
        <v>450.0</v>
      </c>
      <c r="Q22" s="44">
        <v>450.0</v>
      </c>
      <c r="R22" s="44">
        <v>450.0</v>
      </c>
      <c r="S22" s="44">
        <v>450.0</v>
      </c>
      <c r="T22" s="44">
        <v>450.0</v>
      </c>
      <c r="U22" s="44">
        <v>450.0</v>
      </c>
      <c r="V22" s="44">
        <v>450.0</v>
      </c>
      <c r="W22" s="44">
        <v>450.0</v>
      </c>
      <c r="X22" s="44">
        <v>450.0</v>
      </c>
      <c r="Y22" s="44">
        <v>450.0</v>
      </c>
      <c r="Z22" s="44">
        <v>450.0</v>
      </c>
      <c r="AA22" s="44">
        <v>450.0</v>
      </c>
      <c r="AB22" s="44">
        <v>450.0</v>
      </c>
      <c r="AC22" s="44">
        <v>450.0</v>
      </c>
      <c r="AD22" s="44">
        <v>450.0</v>
      </c>
      <c r="AE22" s="44">
        <v>450.0</v>
      </c>
      <c r="AF22" s="44">
        <v>450.0</v>
      </c>
      <c r="AG22" s="44">
        <v>450.0</v>
      </c>
      <c r="AH22" s="44">
        <v>450.0</v>
      </c>
      <c r="AI22" s="44">
        <v>450.0</v>
      </c>
      <c r="AJ22" s="44">
        <v>450.0</v>
      </c>
      <c r="AK22" s="44">
        <v>450.0</v>
      </c>
      <c r="AL22" s="44">
        <v>450.0</v>
      </c>
      <c r="AM22" s="44">
        <v>450.0</v>
      </c>
      <c r="AN22" s="44">
        <v>450.0</v>
      </c>
      <c r="AO22" s="44">
        <v>450.0</v>
      </c>
      <c r="AP22" s="44">
        <v>450.0</v>
      </c>
      <c r="AQ22" s="44">
        <v>450.0</v>
      </c>
      <c r="AR22" s="44">
        <v>450.0</v>
      </c>
      <c r="AS22" s="44">
        <v>450.0</v>
      </c>
      <c r="AT22" s="44">
        <v>450.0</v>
      </c>
      <c r="AU22" s="44">
        <v>450.0</v>
      </c>
      <c r="AV22" s="44">
        <v>450.0</v>
      </c>
      <c r="AW22" s="44">
        <v>450.0</v>
      </c>
      <c r="AX22" s="44">
        <v>450.0</v>
      </c>
      <c r="AY22" s="44">
        <v>450.0</v>
      </c>
      <c r="AZ22" s="44">
        <v>450.0</v>
      </c>
      <c r="BA22" s="44">
        <v>450.0</v>
      </c>
      <c r="BB22" s="27"/>
      <c r="BC22" s="27">
        <f t="shared" ref="BC22:BF22" si="15">SUMPRODUCT((YEAR($F$3:$BA$3)=BC$3)*$F22:$BA22)</f>
        <v>5400</v>
      </c>
      <c r="BD22" s="27">
        <f t="shared" si="15"/>
        <v>5400</v>
      </c>
      <c r="BE22" s="27">
        <f t="shared" si="15"/>
        <v>5400</v>
      </c>
      <c r="BF22" s="27">
        <f t="shared" si="15"/>
        <v>5400</v>
      </c>
    </row>
    <row r="23">
      <c r="A23" s="170"/>
      <c r="B23" s="26" t="s">
        <v>12</v>
      </c>
      <c r="C23" s="170"/>
      <c r="D23" s="170"/>
      <c r="E23" s="26" t="s">
        <v>95</v>
      </c>
      <c r="F23" s="44">
        <v>267.0</v>
      </c>
      <c r="G23" s="44">
        <v>267.0</v>
      </c>
      <c r="H23" s="44">
        <v>267.0</v>
      </c>
      <c r="I23" s="44">
        <v>267.0</v>
      </c>
      <c r="J23" s="44">
        <v>267.0</v>
      </c>
      <c r="K23" s="44">
        <v>267.0</v>
      </c>
      <c r="L23" s="44">
        <v>267.0</v>
      </c>
      <c r="M23" s="44">
        <v>267.0</v>
      </c>
      <c r="N23" s="44">
        <v>267.0</v>
      </c>
      <c r="O23" s="44">
        <v>267.0</v>
      </c>
      <c r="P23" s="44">
        <v>267.0</v>
      </c>
      <c r="Q23" s="44">
        <v>267.0</v>
      </c>
      <c r="R23" s="44">
        <v>267.0</v>
      </c>
      <c r="S23" s="44">
        <v>267.0</v>
      </c>
      <c r="T23" s="44">
        <v>267.0</v>
      </c>
      <c r="U23" s="44">
        <v>267.0</v>
      </c>
      <c r="V23" s="44">
        <v>267.0</v>
      </c>
      <c r="W23" s="44">
        <v>267.0</v>
      </c>
      <c r="X23" s="44">
        <v>267.0</v>
      </c>
      <c r="Y23" s="44">
        <v>267.0</v>
      </c>
      <c r="Z23" s="44">
        <v>267.0</v>
      </c>
      <c r="AA23" s="44">
        <v>267.0</v>
      </c>
      <c r="AB23" s="44">
        <v>267.0</v>
      </c>
      <c r="AC23" s="44">
        <v>267.0</v>
      </c>
      <c r="AD23" s="44">
        <v>267.0</v>
      </c>
      <c r="AE23" s="44">
        <v>267.0</v>
      </c>
      <c r="AF23" s="44">
        <v>267.0</v>
      </c>
      <c r="AG23" s="44">
        <v>267.0</v>
      </c>
      <c r="AH23" s="44">
        <v>267.0</v>
      </c>
      <c r="AI23" s="44">
        <v>267.0</v>
      </c>
      <c r="AJ23" s="44">
        <v>267.0</v>
      </c>
      <c r="AK23" s="44">
        <v>267.0</v>
      </c>
      <c r="AL23" s="44">
        <v>267.0</v>
      </c>
      <c r="AM23" s="44">
        <v>267.0</v>
      </c>
      <c r="AN23" s="44">
        <v>267.0</v>
      </c>
      <c r="AO23" s="44">
        <v>267.0</v>
      </c>
      <c r="AP23" s="44">
        <v>267.0</v>
      </c>
      <c r="AQ23" s="44">
        <v>267.0</v>
      </c>
      <c r="AR23" s="44">
        <v>267.0</v>
      </c>
      <c r="AS23" s="44">
        <v>267.0</v>
      </c>
      <c r="AT23" s="44">
        <v>267.0</v>
      </c>
      <c r="AU23" s="44">
        <v>267.0</v>
      </c>
      <c r="AV23" s="44">
        <v>267.0</v>
      </c>
      <c r="AW23" s="44">
        <v>267.0</v>
      </c>
      <c r="AX23" s="44">
        <v>267.0</v>
      </c>
      <c r="AY23" s="44">
        <v>267.0</v>
      </c>
      <c r="AZ23" s="44">
        <v>267.0</v>
      </c>
      <c r="BA23" s="44">
        <v>267.0</v>
      </c>
      <c r="BB23" s="27"/>
      <c r="BC23" s="27">
        <f t="shared" ref="BC23:BF23" si="16">SUMPRODUCT((YEAR($F$3:$BA$3)=BC$3)*$F23:$BA23)</f>
        <v>3204</v>
      </c>
      <c r="BD23" s="27">
        <f t="shared" si="16"/>
        <v>3204</v>
      </c>
      <c r="BE23" s="27">
        <f t="shared" si="16"/>
        <v>3204</v>
      </c>
      <c r="BF23" s="27">
        <f t="shared" si="16"/>
        <v>3204</v>
      </c>
    </row>
    <row r="24">
      <c r="A24" s="170"/>
      <c r="B24" s="126" t="s">
        <v>13</v>
      </c>
      <c r="C24" s="202"/>
      <c r="D24" s="202"/>
      <c r="E24" s="126" t="s">
        <v>95</v>
      </c>
      <c r="F24" s="40">
        <f t="shared" ref="F24:BA24" si="17">SUM(F17:F23)</f>
        <v>39704.4</v>
      </c>
      <c r="G24" s="40">
        <f t="shared" si="17"/>
        <v>43560</v>
      </c>
      <c r="H24" s="40">
        <f t="shared" si="17"/>
        <v>43560</v>
      </c>
      <c r="I24" s="40">
        <f t="shared" si="17"/>
        <v>47415.6</v>
      </c>
      <c r="J24" s="40">
        <f t="shared" si="17"/>
        <v>47415.6</v>
      </c>
      <c r="K24" s="40">
        <f t="shared" si="17"/>
        <v>50014.35</v>
      </c>
      <c r="L24" s="40">
        <f t="shared" si="17"/>
        <v>50014.35</v>
      </c>
      <c r="M24" s="40">
        <f t="shared" si="17"/>
        <v>53864.35</v>
      </c>
      <c r="N24" s="40">
        <f t="shared" si="17"/>
        <v>53864.35</v>
      </c>
      <c r="O24" s="40">
        <f t="shared" si="17"/>
        <v>53864.35</v>
      </c>
      <c r="P24" s="40">
        <f t="shared" si="17"/>
        <v>53864.35</v>
      </c>
      <c r="Q24" s="40">
        <f t="shared" si="17"/>
        <v>53864.35</v>
      </c>
      <c r="R24" s="40">
        <f t="shared" si="17"/>
        <v>74297.23333</v>
      </c>
      <c r="S24" s="40">
        <f t="shared" si="17"/>
        <v>74297.23333</v>
      </c>
      <c r="T24" s="40">
        <f t="shared" si="17"/>
        <v>78152.83333</v>
      </c>
      <c r="U24" s="40">
        <f t="shared" si="17"/>
        <v>87791.83333</v>
      </c>
      <c r="V24" s="40">
        <f t="shared" si="17"/>
        <v>87791.83333</v>
      </c>
      <c r="W24" s="40">
        <f t="shared" si="17"/>
        <v>90009.43333</v>
      </c>
      <c r="X24" s="40">
        <f t="shared" si="17"/>
        <v>93865.03333</v>
      </c>
      <c r="Y24" s="40">
        <f t="shared" si="17"/>
        <v>126205.0333</v>
      </c>
      <c r="Z24" s="40">
        <f t="shared" si="17"/>
        <v>126205.0333</v>
      </c>
      <c r="AA24" s="40">
        <f t="shared" si="17"/>
        <v>126205.0333</v>
      </c>
      <c r="AB24" s="40">
        <f t="shared" si="17"/>
        <v>126205.0333</v>
      </c>
      <c r="AC24" s="40">
        <f t="shared" si="17"/>
        <v>126205.0333</v>
      </c>
      <c r="AD24" s="40">
        <f t="shared" si="17"/>
        <v>169309.4</v>
      </c>
      <c r="AE24" s="40">
        <f t="shared" si="17"/>
        <v>173165</v>
      </c>
      <c r="AF24" s="40">
        <f t="shared" si="17"/>
        <v>173165</v>
      </c>
      <c r="AG24" s="40">
        <f t="shared" si="17"/>
        <v>177020.6</v>
      </c>
      <c r="AH24" s="40">
        <f t="shared" si="17"/>
        <v>177020.6</v>
      </c>
      <c r="AI24" s="40">
        <f t="shared" si="17"/>
        <v>178236.045</v>
      </c>
      <c r="AJ24" s="40">
        <f t="shared" si="17"/>
        <v>182091.645</v>
      </c>
      <c r="AK24" s="40">
        <f t="shared" si="17"/>
        <v>286169.85</v>
      </c>
      <c r="AL24" s="40">
        <f t="shared" si="17"/>
        <v>286169.85</v>
      </c>
      <c r="AM24" s="40">
        <f t="shared" si="17"/>
        <v>286169.85</v>
      </c>
      <c r="AN24" s="40">
        <f t="shared" si="17"/>
        <v>286169.85</v>
      </c>
      <c r="AO24" s="40">
        <f t="shared" si="17"/>
        <v>286169.85</v>
      </c>
      <c r="AP24" s="40">
        <f t="shared" si="17"/>
        <v>399359.9375</v>
      </c>
      <c r="AQ24" s="40">
        <f t="shared" si="17"/>
        <v>403215.5375</v>
      </c>
      <c r="AR24" s="40">
        <f t="shared" si="17"/>
        <v>403215.5375</v>
      </c>
      <c r="AS24" s="40">
        <f t="shared" si="17"/>
        <v>407071.1375</v>
      </c>
      <c r="AT24" s="40">
        <f t="shared" si="17"/>
        <v>407071.1375</v>
      </c>
      <c r="AU24" s="40">
        <f t="shared" si="17"/>
        <v>407181.825</v>
      </c>
      <c r="AV24" s="40">
        <f t="shared" si="17"/>
        <v>411037.425</v>
      </c>
      <c r="AW24" s="40">
        <f t="shared" si="17"/>
        <v>620438.925</v>
      </c>
      <c r="AX24" s="40">
        <f t="shared" si="17"/>
        <v>620438.925</v>
      </c>
      <c r="AY24" s="40">
        <f t="shared" si="17"/>
        <v>620438.925</v>
      </c>
      <c r="AZ24" s="40">
        <f t="shared" si="17"/>
        <v>620438.925</v>
      </c>
      <c r="BA24" s="40">
        <f t="shared" si="17"/>
        <v>620438.925</v>
      </c>
      <c r="BB24" s="40"/>
      <c r="BC24" s="40">
        <f t="shared" ref="BC24:BF24" si="18">SUMPRODUCT((YEAR($F$3:$BA$3)=BC$3)*$F24:$BA24)</f>
        <v>591006.05</v>
      </c>
      <c r="BD24" s="40">
        <f t="shared" si="18"/>
        <v>1217230.6</v>
      </c>
      <c r="BE24" s="40">
        <f t="shared" si="18"/>
        <v>2660857.54</v>
      </c>
      <c r="BF24" s="40">
        <f t="shared" si="18"/>
        <v>5940347.163</v>
      </c>
    </row>
    <row r="25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0"/>
      <c r="BB25" s="170"/>
      <c r="BC25" s="170"/>
      <c r="BD25" s="170"/>
      <c r="BE25" s="170"/>
      <c r="BF25" s="170"/>
    </row>
    <row r="26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</row>
    <row r="27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</row>
    <row r="28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70"/>
    </row>
    <row r="29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70"/>
    </row>
    <row r="30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70"/>
    </row>
    <row r="3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170"/>
      <c r="BB31" s="170"/>
      <c r="BC31" s="170"/>
      <c r="BD31" s="170"/>
      <c r="BE31" s="170"/>
      <c r="BF31" s="170"/>
    </row>
    <row r="32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170"/>
      <c r="BB32" s="170"/>
      <c r="BC32" s="170"/>
      <c r="BD32" s="170"/>
      <c r="BE32" s="170"/>
      <c r="BF32" s="170"/>
    </row>
    <row r="33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70"/>
      <c r="BA33" s="170"/>
      <c r="BB33" s="170"/>
      <c r="BC33" s="170"/>
      <c r="BD33" s="170"/>
      <c r="BE33" s="170"/>
      <c r="BF33" s="170"/>
    </row>
    <row r="34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70"/>
    </row>
    <row r="35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0"/>
      <c r="AX35" s="170"/>
      <c r="AY35" s="170"/>
      <c r="AZ35" s="170"/>
      <c r="BA35" s="170"/>
      <c r="BB35" s="170"/>
      <c r="BC35" s="170"/>
      <c r="BD35" s="170"/>
      <c r="BE35" s="170"/>
      <c r="BF35" s="170"/>
    </row>
    <row r="36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70"/>
    </row>
    <row r="37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70"/>
    </row>
    <row r="38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</row>
    <row r="39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</row>
    <row r="40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70"/>
      <c r="AU40" s="170"/>
      <c r="AV40" s="170"/>
      <c r="AW40" s="170"/>
      <c r="AX40" s="170"/>
      <c r="AY40" s="170"/>
      <c r="AZ40" s="170"/>
      <c r="BA40" s="170"/>
      <c r="BB40" s="170"/>
      <c r="BC40" s="170"/>
      <c r="BD40" s="170"/>
      <c r="BE40" s="170"/>
      <c r="BF40" s="170"/>
    </row>
    <row r="4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70"/>
    </row>
    <row r="42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</row>
    <row r="43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70"/>
    </row>
    <row r="44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</row>
    <row r="4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70"/>
    </row>
    <row r="46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</row>
    <row r="47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  <c r="BF47" s="170"/>
    </row>
    <row r="48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70"/>
    </row>
    <row r="49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70"/>
    </row>
    <row r="50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70"/>
    </row>
    <row r="5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70"/>
    </row>
    <row r="52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0"/>
      <c r="BA52" s="170"/>
      <c r="BB52" s="170"/>
      <c r="BC52" s="170"/>
      <c r="BD52" s="170"/>
      <c r="BE52" s="170"/>
      <c r="BF52" s="170"/>
    </row>
    <row r="53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0"/>
      <c r="BA53" s="170"/>
      <c r="BB53" s="170"/>
      <c r="BC53" s="170"/>
      <c r="BD53" s="170"/>
      <c r="BE53" s="170"/>
      <c r="BF53" s="170"/>
    </row>
    <row r="54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0"/>
      <c r="BA54" s="170"/>
      <c r="BB54" s="170"/>
      <c r="BC54" s="170"/>
      <c r="BD54" s="170"/>
      <c r="BE54" s="170"/>
      <c r="BF54" s="170"/>
    </row>
    <row r="5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70"/>
    </row>
    <row r="56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70"/>
    </row>
    <row r="57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70"/>
    </row>
    <row r="58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</row>
    <row r="59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0"/>
      <c r="BA59" s="170"/>
      <c r="BB59" s="170"/>
      <c r="BC59" s="170"/>
      <c r="BD59" s="170"/>
      <c r="BE59" s="170"/>
      <c r="BF59" s="170"/>
    </row>
    <row r="60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170"/>
      <c r="AY60" s="170"/>
      <c r="AZ60" s="170"/>
      <c r="BA60" s="170"/>
      <c r="BB60" s="170"/>
      <c r="BC60" s="170"/>
      <c r="BD60" s="170"/>
      <c r="BE60" s="170"/>
      <c r="BF60" s="17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0"/>
  <sheetData>
    <row r="1">
      <c r="A1" s="170"/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</row>
    <row r="2">
      <c r="A2" s="170"/>
      <c r="B2" s="2" t="s">
        <v>132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</row>
    <row r="3">
      <c r="A3" s="170"/>
      <c r="B3" s="170"/>
      <c r="C3" s="170"/>
      <c r="D3" s="170"/>
      <c r="E3" s="26" t="s">
        <v>89</v>
      </c>
      <c r="F3" s="112">
        <v>46388.0</v>
      </c>
      <c r="G3" s="112">
        <v>46419.0</v>
      </c>
      <c r="H3" s="112">
        <v>46447.0</v>
      </c>
      <c r="I3" s="112">
        <v>46478.0</v>
      </c>
      <c r="J3" s="112">
        <v>46508.0</v>
      </c>
      <c r="K3" s="112">
        <v>46539.0</v>
      </c>
      <c r="L3" s="112">
        <v>46569.0</v>
      </c>
      <c r="M3" s="112">
        <v>46600.0</v>
      </c>
      <c r="N3" s="112">
        <v>46631.0</v>
      </c>
      <c r="O3" s="112">
        <v>46661.0</v>
      </c>
      <c r="P3" s="112">
        <v>46692.0</v>
      </c>
      <c r="Q3" s="112">
        <v>46722.0</v>
      </c>
      <c r="R3" s="112">
        <v>46753.0</v>
      </c>
      <c r="S3" s="112">
        <v>46784.0</v>
      </c>
      <c r="T3" s="112">
        <v>46813.0</v>
      </c>
      <c r="U3" s="112">
        <v>46844.0</v>
      </c>
      <c r="V3" s="112">
        <v>46874.0</v>
      </c>
      <c r="W3" s="112">
        <v>46905.0</v>
      </c>
      <c r="X3" s="112">
        <v>46935.0</v>
      </c>
      <c r="Y3" s="112">
        <v>46966.0</v>
      </c>
      <c r="Z3" s="112">
        <v>46997.0</v>
      </c>
      <c r="AA3" s="112">
        <v>47027.0</v>
      </c>
      <c r="AB3" s="112">
        <v>47058.0</v>
      </c>
      <c r="AC3" s="112">
        <v>47088.0</v>
      </c>
      <c r="AD3" s="112">
        <v>47119.0</v>
      </c>
      <c r="AE3" s="112">
        <v>47150.0</v>
      </c>
      <c r="AF3" s="112">
        <v>47178.0</v>
      </c>
      <c r="AG3" s="112">
        <v>47209.0</v>
      </c>
      <c r="AH3" s="112">
        <v>47239.0</v>
      </c>
      <c r="AI3" s="112">
        <v>47270.0</v>
      </c>
      <c r="AJ3" s="112">
        <v>47300.0</v>
      </c>
      <c r="AK3" s="112">
        <v>47331.0</v>
      </c>
      <c r="AL3" s="112">
        <v>47362.0</v>
      </c>
      <c r="AM3" s="112">
        <v>47392.0</v>
      </c>
      <c r="AN3" s="112">
        <v>47423.0</v>
      </c>
      <c r="AO3" s="112">
        <v>47453.0</v>
      </c>
      <c r="AP3" s="112">
        <v>47484.0</v>
      </c>
      <c r="AQ3" s="112">
        <v>47515.0</v>
      </c>
      <c r="AR3" s="112">
        <v>47543.0</v>
      </c>
      <c r="AS3" s="112">
        <v>47574.0</v>
      </c>
      <c r="AT3" s="112">
        <v>47604.0</v>
      </c>
      <c r="AU3" s="112">
        <v>47635.0</v>
      </c>
      <c r="AV3" s="112">
        <v>47665.0</v>
      </c>
      <c r="AW3" s="112">
        <v>47696.0</v>
      </c>
      <c r="AX3" s="112">
        <v>47727.0</v>
      </c>
      <c r="AY3" s="112">
        <v>47757.0</v>
      </c>
      <c r="AZ3" s="112">
        <v>47788.0</v>
      </c>
      <c r="BA3" s="112">
        <v>47818.0</v>
      </c>
      <c r="BB3" s="170"/>
      <c r="BC3" s="16">
        <v>2027.0</v>
      </c>
      <c r="BD3" s="16">
        <v>2028.0</v>
      </c>
      <c r="BE3" s="16">
        <v>2029.0</v>
      </c>
      <c r="BF3" s="16">
        <v>2030.0</v>
      </c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</row>
    <row r="5">
      <c r="A5" s="170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</row>
    <row r="6">
      <c r="A6" s="170"/>
      <c r="B6" s="41" t="s">
        <v>133</v>
      </c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</row>
    <row r="7">
      <c r="A7" s="170"/>
      <c r="B7" s="26" t="s">
        <v>16</v>
      </c>
      <c r="C7" s="170"/>
      <c r="D7" s="170"/>
      <c r="E7" s="26" t="s">
        <v>95</v>
      </c>
      <c r="F7" s="27">
        <f>Personnel!F14*Parameters!$C$63</f>
        <v>3600</v>
      </c>
      <c r="G7" s="27">
        <f>Personnel!G14*Parameters!$C$63</f>
        <v>4200</v>
      </c>
      <c r="H7" s="27">
        <f>Personnel!H14*Parameters!$C$63</f>
        <v>4200</v>
      </c>
      <c r="I7" s="27">
        <f>Personnel!I14*Parameters!$C$63</f>
        <v>4800</v>
      </c>
      <c r="J7" s="27">
        <f>Personnel!J14*Parameters!$C$63</f>
        <v>4800</v>
      </c>
      <c r="K7" s="27">
        <f>Personnel!K14*Parameters!$C$63</f>
        <v>4800</v>
      </c>
      <c r="L7" s="27">
        <f>Personnel!L14*Parameters!$C$63</f>
        <v>4800</v>
      </c>
      <c r="M7" s="27">
        <f>Personnel!M14*Parameters!$C$63</f>
        <v>4800</v>
      </c>
      <c r="N7" s="27">
        <f>Personnel!N14*Parameters!$C$63</f>
        <v>4800</v>
      </c>
      <c r="O7" s="27">
        <f>Personnel!O14*Parameters!$C$63</f>
        <v>4800</v>
      </c>
      <c r="P7" s="27">
        <f>Personnel!P14*Parameters!$C$63</f>
        <v>4800</v>
      </c>
      <c r="Q7" s="27">
        <f>Personnel!Q14*Parameters!$C$63</f>
        <v>4800</v>
      </c>
      <c r="R7" s="27">
        <f>Personnel!R14*Parameters!$C$63</f>
        <v>6000</v>
      </c>
      <c r="S7" s="27">
        <f>Personnel!S14*Parameters!$C$63</f>
        <v>6000</v>
      </c>
      <c r="T7" s="27">
        <f>Personnel!T14*Parameters!$C$63</f>
        <v>6600</v>
      </c>
      <c r="U7" s="27">
        <f>Personnel!U14*Parameters!$C$63</f>
        <v>7800</v>
      </c>
      <c r="V7" s="27">
        <f>Personnel!V14*Parameters!$C$63</f>
        <v>7800</v>
      </c>
      <c r="W7" s="27">
        <f>Personnel!W14*Parameters!$C$63</f>
        <v>7800</v>
      </c>
      <c r="X7" s="27">
        <f>Personnel!X14*Parameters!$C$63</f>
        <v>8400</v>
      </c>
      <c r="Y7" s="27">
        <f>Personnel!Y14*Parameters!$C$63</f>
        <v>8400</v>
      </c>
      <c r="Z7" s="27">
        <f>Personnel!Z14*Parameters!$C$63</f>
        <v>8400</v>
      </c>
      <c r="AA7" s="27">
        <f>Personnel!AA14*Parameters!$C$63</f>
        <v>8400</v>
      </c>
      <c r="AB7" s="27">
        <f>Personnel!AB14*Parameters!$C$63</f>
        <v>8400</v>
      </c>
      <c r="AC7" s="27">
        <f>Personnel!AC14*Parameters!$C$63</f>
        <v>8400</v>
      </c>
      <c r="AD7" s="27">
        <f>Personnel!AD14*Parameters!$C$63</f>
        <v>8400</v>
      </c>
      <c r="AE7" s="27">
        <f>Personnel!AE14*Parameters!$C$63</f>
        <v>9000</v>
      </c>
      <c r="AF7" s="27">
        <f>Personnel!AF14*Parameters!$C$63</f>
        <v>9000</v>
      </c>
      <c r="AG7" s="27">
        <f>Personnel!AG14*Parameters!$C$63</f>
        <v>9600</v>
      </c>
      <c r="AH7" s="27">
        <f>Personnel!AH14*Parameters!$C$63</f>
        <v>9600</v>
      </c>
      <c r="AI7" s="27">
        <f>Personnel!AI14*Parameters!$C$63</f>
        <v>9600</v>
      </c>
      <c r="AJ7" s="27">
        <f>Personnel!AJ14*Parameters!$C$63</f>
        <v>10200</v>
      </c>
      <c r="AK7" s="27">
        <f>Personnel!AK14*Parameters!$C$63</f>
        <v>10200</v>
      </c>
      <c r="AL7" s="27">
        <f>Personnel!AL14*Parameters!$C$63</f>
        <v>10200</v>
      </c>
      <c r="AM7" s="27">
        <f>Personnel!AM14*Parameters!$C$63</f>
        <v>10200</v>
      </c>
      <c r="AN7" s="27">
        <f>Personnel!AN14*Parameters!$C$63</f>
        <v>10200</v>
      </c>
      <c r="AO7" s="27">
        <f>Personnel!AO14*Parameters!$C$63</f>
        <v>10200</v>
      </c>
      <c r="AP7" s="27">
        <f>Personnel!AP14*Parameters!$C$63</f>
        <v>10200</v>
      </c>
      <c r="AQ7" s="27">
        <f>Personnel!AQ14*Parameters!$C$63</f>
        <v>10800</v>
      </c>
      <c r="AR7" s="27">
        <f>Personnel!AR14*Parameters!$C$63</f>
        <v>10800</v>
      </c>
      <c r="AS7" s="27">
        <f>Personnel!AS14*Parameters!$C$63</f>
        <v>11400</v>
      </c>
      <c r="AT7" s="27">
        <f>Personnel!AT14*Parameters!$C$63</f>
        <v>11400</v>
      </c>
      <c r="AU7" s="27">
        <f>Personnel!AU14*Parameters!$C$63</f>
        <v>11400</v>
      </c>
      <c r="AV7" s="27">
        <f>Personnel!AV14*Parameters!$C$63</f>
        <v>12000</v>
      </c>
      <c r="AW7" s="27">
        <f>Personnel!AW14*Parameters!$C$63</f>
        <v>12000</v>
      </c>
      <c r="AX7" s="27">
        <f>Personnel!AX14*Parameters!$C$63</f>
        <v>12000</v>
      </c>
      <c r="AY7" s="27">
        <f>Personnel!AY14*Parameters!$C$63</f>
        <v>12000</v>
      </c>
      <c r="AZ7" s="27">
        <f>Personnel!AZ14*Parameters!$C$63</f>
        <v>12000</v>
      </c>
      <c r="BA7" s="27">
        <f>Personnel!BA14*Parameters!$C$63</f>
        <v>12000</v>
      </c>
      <c r="BB7" s="27"/>
      <c r="BC7" s="27">
        <f t="shared" ref="BC7:BF7" si="1">SUMPRODUCT((YEAR($F$3:$BA$3)=BC$3)*$F7:$BA7)</f>
        <v>55200</v>
      </c>
      <c r="BD7" s="27">
        <f t="shared" si="1"/>
        <v>92400</v>
      </c>
      <c r="BE7" s="27">
        <f t="shared" si="1"/>
        <v>116400</v>
      </c>
      <c r="BF7" s="27">
        <f t="shared" si="1"/>
        <v>138000</v>
      </c>
    </row>
    <row r="8">
      <c r="A8" s="170"/>
      <c r="B8" s="26" t="s">
        <v>17</v>
      </c>
      <c r="C8" s="170"/>
      <c r="D8" s="170"/>
      <c r="E8" s="26" t="s">
        <v>95</v>
      </c>
      <c r="F8" s="27">
        <f>Parameters!$C$65+Personnel!F14*Parameters!$C$64</f>
        <v>2303.333333</v>
      </c>
      <c r="G8" s="27">
        <f>Parameters!$C$65+Personnel!G14*Parameters!$C$64</f>
        <v>2423.333333</v>
      </c>
      <c r="H8" s="27">
        <f>Parameters!$C$65+Personnel!H14*Parameters!$C$64</f>
        <v>2423.333333</v>
      </c>
      <c r="I8" s="27">
        <f>Parameters!$C$65+Personnel!I14*Parameters!$C$64</f>
        <v>2543.333333</v>
      </c>
      <c r="J8" s="27">
        <f>Parameters!$C$65+Personnel!J14*Parameters!$C$64</f>
        <v>2543.333333</v>
      </c>
      <c r="K8" s="27">
        <f>Parameters!$C$65+Personnel!K14*Parameters!$C$64</f>
        <v>2543.333333</v>
      </c>
      <c r="L8" s="27">
        <f>Parameters!$C$65+Personnel!L14*Parameters!$C$64</f>
        <v>2543.333333</v>
      </c>
      <c r="M8" s="27">
        <f>Parameters!$C$65+Personnel!M14*Parameters!$C$64</f>
        <v>2543.333333</v>
      </c>
      <c r="N8" s="27">
        <f>Parameters!$C$65+Personnel!N14*Parameters!$C$64</f>
        <v>2543.333333</v>
      </c>
      <c r="O8" s="27">
        <f>Parameters!$C$65+Personnel!O14*Parameters!$C$64</f>
        <v>2543.333333</v>
      </c>
      <c r="P8" s="27">
        <f>Parameters!$C$65+Personnel!P14*Parameters!$C$64</f>
        <v>2543.333333</v>
      </c>
      <c r="Q8" s="27">
        <f>Parameters!$C$65+Personnel!Q14*Parameters!$C$64</f>
        <v>2543.333333</v>
      </c>
      <c r="R8" s="27">
        <f>Parameters!$C$65+Personnel!R14*Parameters!$C$64</f>
        <v>2783.333333</v>
      </c>
      <c r="S8" s="27">
        <f>Parameters!$C$65+Personnel!S14*Parameters!$C$64</f>
        <v>2783.333333</v>
      </c>
      <c r="T8" s="27">
        <f>Parameters!$C$65+Personnel!T14*Parameters!$C$64</f>
        <v>2903.333333</v>
      </c>
      <c r="U8" s="27">
        <f>Parameters!$C$65+Personnel!U14*Parameters!$C$64</f>
        <v>3143.333333</v>
      </c>
      <c r="V8" s="27">
        <f>Parameters!$C$65+Personnel!V14*Parameters!$C$64</f>
        <v>3143.333333</v>
      </c>
      <c r="W8" s="27">
        <f>Parameters!$C$65+Personnel!W14*Parameters!$C$64</f>
        <v>3143.333333</v>
      </c>
      <c r="X8" s="27">
        <f>Parameters!$C$65+Personnel!X14*Parameters!$C$64</f>
        <v>3263.333333</v>
      </c>
      <c r="Y8" s="27">
        <f>Parameters!$C$65+Personnel!Y14*Parameters!$C$64</f>
        <v>3263.333333</v>
      </c>
      <c r="Z8" s="27">
        <f>Parameters!$C$65+Personnel!Z14*Parameters!$C$64</f>
        <v>3263.333333</v>
      </c>
      <c r="AA8" s="27">
        <f>Parameters!$C$65+Personnel!AA14*Parameters!$C$64</f>
        <v>3263.333333</v>
      </c>
      <c r="AB8" s="27">
        <f>Parameters!$C$65+Personnel!AB14*Parameters!$C$64</f>
        <v>3263.333333</v>
      </c>
      <c r="AC8" s="27">
        <f>Parameters!$C$65+Personnel!AC14*Parameters!$C$64</f>
        <v>3263.333333</v>
      </c>
      <c r="AD8" s="27">
        <f>Parameters!$C$65+Personnel!AD14*Parameters!$C$64</f>
        <v>3263.333333</v>
      </c>
      <c r="AE8" s="27">
        <f>Parameters!$C$65+Personnel!AE14*Parameters!$C$64</f>
        <v>3383.333333</v>
      </c>
      <c r="AF8" s="27">
        <f>Parameters!$C$65+Personnel!AF14*Parameters!$C$64</f>
        <v>3383.333333</v>
      </c>
      <c r="AG8" s="27">
        <f>Parameters!$C$65+Personnel!AG14*Parameters!$C$64</f>
        <v>3503.333333</v>
      </c>
      <c r="AH8" s="27">
        <f>Parameters!$C$65+Personnel!AH14*Parameters!$C$64</f>
        <v>3503.333333</v>
      </c>
      <c r="AI8" s="27">
        <f>Parameters!$C$65+Personnel!AI14*Parameters!$C$64</f>
        <v>3503.333333</v>
      </c>
      <c r="AJ8" s="27">
        <f>Parameters!$C$65+Personnel!AJ14*Parameters!$C$64</f>
        <v>3623.333333</v>
      </c>
      <c r="AK8" s="27">
        <f>Parameters!$C$65+Personnel!AK14*Parameters!$C$64</f>
        <v>3623.333333</v>
      </c>
      <c r="AL8" s="27">
        <f>Parameters!$C$65+Personnel!AL14*Parameters!$C$64</f>
        <v>3623.333333</v>
      </c>
      <c r="AM8" s="27">
        <f>Parameters!$C$65+Personnel!AM14*Parameters!$C$64</f>
        <v>3623.333333</v>
      </c>
      <c r="AN8" s="27">
        <f>Parameters!$C$65+Personnel!AN14*Parameters!$C$64</f>
        <v>3623.333333</v>
      </c>
      <c r="AO8" s="27">
        <f>Parameters!$C$65+Personnel!AO14*Parameters!$C$64</f>
        <v>3623.333333</v>
      </c>
      <c r="AP8" s="27">
        <f>Parameters!$C$65+Personnel!AP14*Parameters!$C$64</f>
        <v>3623.333333</v>
      </c>
      <c r="AQ8" s="27">
        <f>Parameters!$C$65+Personnel!AQ14*Parameters!$C$64</f>
        <v>3743.333333</v>
      </c>
      <c r="AR8" s="27">
        <f>Parameters!$C$65+Personnel!AR14*Parameters!$C$64</f>
        <v>3743.333333</v>
      </c>
      <c r="AS8" s="27">
        <f>Parameters!$C$65+Personnel!AS14*Parameters!$C$64</f>
        <v>3863.333333</v>
      </c>
      <c r="AT8" s="27">
        <f>Parameters!$C$65+Personnel!AT14*Parameters!$C$64</f>
        <v>3863.333333</v>
      </c>
      <c r="AU8" s="27">
        <f>Parameters!$C$65+Personnel!AU14*Parameters!$C$64</f>
        <v>3863.333333</v>
      </c>
      <c r="AV8" s="27">
        <f>Parameters!$C$65+Personnel!AV14*Parameters!$C$64</f>
        <v>3983.333333</v>
      </c>
      <c r="AW8" s="27">
        <f>Parameters!$C$65+Personnel!AW14*Parameters!$C$64</f>
        <v>3983.333333</v>
      </c>
      <c r="AX8" s="27">
        <f>Parameters!$C$65+Personnel!AX14*Parameters!$C$64</f>
        <v>3983.333333</v>
      </c>
      <c r="AY8" s="27">
        <f>Parameters!$C$65+Personnel!AY14*Parameters!$C$64</f>
        <v>3983.333333</v>
      </c>
      <c r="AZ8" s="27">
        <f>Parameters!$C$65+Personnel!AZ14*Parameters!$C$64</f>
        <v>3983.333333</v>
      </c>
      <c r="BA8" s="27">
        <f>Parameters!$C$65+Personnel!BA14*Parameters!$C$64</f>
        <v>3983.333333</v>
      </c>
      <c r="BB8" s="27"/>
      <c r="BC8" s="27">
        <f t="shared" ref="BC8:BF8" si="2">SUMPRODUCT((YEAR($F$3:$BA$3)=BC$3)*$F8:$BA8)</f>
        <v>30040</v>
      </c>
      <c r="BD8" s="27">
        <f t="shared" si="2"/>
        <v>37480</v>
      </c>
      <c r="BE8" s="27">
        <f t="shared" si="2"/>
        <v>42280</v>
      </c>
      <c r="BF8" s="27">
        <f t="shared" si="2"/>
        <v>46600</v>
      </c>
    </row>
    <row r="9">
      <c r="A9" s="170"/>
      <c r="B9" s="26" t="s">
        <v>134</v>
      </c>
      <c r="C9" s="170"/>
      <c r="D9" s="170"/>
      <c r="E9" s="26" t="s">
        <v>95</v>
      </c>
      <c r="F9" s="27">
        <f>Personnel!F14*Parameters!$C$66</f>
        <v>240</v>
      </c>
      <c r="G9" s="27">
        <f>Personnel!G14*Parameters!$C$66</f>
        <v>280</v>
      </c>
      <c r="H9" s="27">
        <f>Personnel!H14*Parameters!$C$66</f>
        <v>280</v>
      </c>
      <c r="I9" s="27">
        <f>Personnel!I14*Parameters!$C$66</f>
        <v>320</v>
      </c>
      <c r="J9" s="27">
        <f>Personnel!J14*Parameters!$C$66</f>
        <v>320</v>
      </c>
      <c r="K9" s="27">
        <f>Personnel!K14*Parameters!$C$66</f>
        <v>320</v>
      </c>
      <c r="L9" s="27">
        <f>Personnel!L14*Parameters!$C$66</f>
        <v>320</v>
      </c>
      <c r="M9" s="27">
        <f>Personnel!M14*Parameters!$C$66</f>
        <v>320</v>
      </c>
      <c r="N9" s="27">
        <f>Personnel!N14*Parameters!$C$66</f>
        <v>320</v>
      </c>
      <c r="O9" s="27">
        <f>Personnel!O14*Parameters!$C$66</f>
        <v>320</v>
      </c>
      <c r="P9" s="27">
        <f>Personnel!P14*Parameters!$C$66</f>
        <v>320</v>
      </c>
      <c r="Q9" s="27">
        <f>Personnel!Q14*Parameters!$C$66</f>
        <v>320</v>
      </c>
      <c r="R9" s="27">
        <f>Personnel!R14*Parameters!$C$66</f>
        <v>400</v>
      </c>
      <c r="S9" s="27">
        <f>Personnel!S14*Parameters!$C$66</f>
        <v>400</v>
      </c>
      <c r="T9" s="27">
        <f>Personnel!T14*Parameters!$C$66</f>
        <v>440</v>
      </c>
      <c r="U9" s="27">
        <f>Personnel!U14*Parameters!$C$66</f>
        <v>520</v>
      </c>
      <c r="V9" s="27">
        <f>Personnel!V14*Parameters!$C$66</f>
        <v>520</v>
      </c>
      <c r="W9" s="27">
        <f>Personnel!W14*Parameters!$C$66</f>
        <v>520</v>
      </c>
      <c r="X9" s="27">
        <f>Personnel!X14*Parameters!$C$66</f>
        <v>560</v>
      </c>
      <c r="Y9" s="27">
        <f>Personnel!Y14*Parameters!$C$66</f>
        <v>560</v>
      </c>
      <c r="Z9" s="27">
        <f>Personnel!Z14*Parameters!$C$66</f>
        <v>560</v>
      </c>
      <c r="AA9" s="27">
        <f>Personnel!AA14*Parameters!$C$66</f>
        <v>560</v>
      </c>
      <c r="AB9" s="27">
        <f>Personnel!AB14*Parameters!$C$66</f>
        <v>560</v>
      </c>
      <c r="AC9" s="27">
        <f>Personnel!AC14*Parameters!$C$66</f>
        <v>560</v>
      </c>
      <c r="AD9" s="27">
        <f>Personnel!AD14*Parameters!$C$66</f>
        <v>560</v>
      </c>
      <c r="AE9" s="27">
        <f>Personnel!AE14*Parameters!$C$66</f>
        <v>600</v>
      </c>
      <c r="AF9" s="27">
        <f>Personnel!AF14*Parameters!$C$66</f>
        <v>600</v>
      </c>
      <c r="AG9" s="27">
        <f>Personnel!AG14*Parameters!$C$66</f>
        <v>640</v>
      </c>
      <c r="AH9" s="27">
        <f>Personnel!AH14*Parameters!$C$66</f>
        <v>640</v>
      </c>
      <c r="AI9" s="27">
        <f>Personnel!AI14*Parameters!$C$66</f>
        <v>640</v>
      </c>
      <c r="AJ9" s="27">
        <f>Personnel!AJ14*Parameters!$C$66</f>
        <v>680</v>
      </c>
      <c r="AK9" s="27">
        <f>Personnel!AK14*Parameters!$C$66</f>
        <v>680</v>
      </c>
      <c r="AL9" s="27">
        <f>Personnel!AL14*Parameters!$C$66</f>
        <v>680</v>
      </c>
      <c r="AM9" s="27">
        <f>Personnel!AM14*Parameters!$C$66</f>
        <v>680</v>
      </c>
      <c r="AN9" s="27">
        <f>Personnel!AN14*Parameters!$C$66</f>
        <v>680</v>
      </c>
      <c r="AO9" s="27">
        <f>Personnel!AO14*Parameters!$C$66</f>
        <v>680</v>
      </c>
      <c r="AP9" s="27">
        <f>Personnel!AP14*Parameters!$C$66</f>
        <v>680</v>
      </c>
      <c r="AQ9" s="27">
        <f>Personnel!AQ14*Parameters!$C$66</f>
        <v>720</v>
      </c>
      <c r="AR9" s="27">
        <f>Personnel!AR14*Parameters!$C$66</f>
        <v>720</v>
      </c>
      <c r="AS9" s="27">
        <f>Personnel!AS14*Parameters!$C$66</f>
        <v>760</v>
      </c>
      <c r="AT9" s="27">
        <f>Personnel!AT14*Parameters!$C$66</f>
        <v>760</v>
      </c>
      <c r="AU9" s="27">
        <f>Personnel!AU14*Parameters!$C$66</f>
        <v>760</v>
      </c>
      <c r="AV9" s="27">
        <f>Personnel!AV14*Parameters!$C$66</f>
        <v>800</v>
      </c>
      <c r="AW9" s="27">
        <f>Personnel!AW14*Parameters!$C$66</f>
        <v>800</v>
      </c>
      <c r="AX9" s="27">
        <f>Personnel!AX14*Parameters!$C$66</f>
        <v>800</v>
      </c>
      <c r="AY9" s="27">
        <f>Personnel!AY14*Parameters!$C$66</f>
        <v>800</v>
      </c>
      <c r="AZ9" s="27">
        <f>Personnel!AZ14*Parameters!$C$66</f>
        <v>800</v>
      </c>
      <c r="BA9" s="27">
        <f>Personnel!BA14*Parameters!$C$66</f>
        <v>800</v>
      </c>
      <c r="BB9" s="27"/>
      <c r="BC9" s="27">
        <f t="shared" ref="BC9:BF9" si="3">SUMPRODUCT((YEAR($F$3:$BA$3)=BC$3)*$F9:$BA9)</f>
        <v>3680</v>
      </c>
      <c r="BD9" s="27">
        <f t="shared" si="3"/>
        <v>6160</v>
      </c>
      <c r="BE9" s="27">
        <f t="shared" si="3"/>
        <v>7760</v>
      </c>
      <c r="BF9" s="27">
        <f t="shared" si="3"/>
        <v>9200</v>
      </c>
    </row>
    <row r="10">
      <c r="A10" s="170"/>
      <c r="B10" s="26" t="s">
        <v>19</v>
      </c>
      <c r="C10" s="170"/>
      <c r="D10" s="170"/>
      <c r="E10" s="26" t="s">
        <v>95</v>
      </c>
      <c r="F10" s="27">
        <f>Parameters!$C$68</f>
        <v>2000</v>
      </c>
      <c r="G10" s="27">
        <f>Parameters!$C$68</f>
        <v>2000</v>
      </c>
      <c r="H10" s="27">
        <f>Parameters!$C$68</f>
        <v>2000</v>
      </c>
      <c r="I10" s="27">
        <f>Parameters!$C$68</f>
        <v>2000</v>
      </c>
      <c r="J10" s="27">
        <f>Parameters!$C$68</f>
        <v>2000</v>
      </c>
      <c r="K10" s="27">
        <f>Parameters!$C$68</f>
        <v>2000</v>
      </c>
      <c r="L10" s="27">
        <f>Parameters!$C$68</f>
        <v>2000</v>
      </c>
      <c r="M10" s="27">
        <f>Parameters!$C$68</f>
        <v>2000</v>
      </c>
      <c r="N10" s="27">
        <f>Parameters!$C$68</f>
        <v>2000</v>
      </c>
      <c r="O10" s="27">
        <f>Parameters!$C$68</f>
        <v>2000</v>
      </c>
      <c r="P10" s="27">
        <f>Parameters!$C$68</f>
        <v>2000</v>
      </c>
      <c r="Q10" s="27">
        <f>Parameters!$C$68</f>
        <v>2000</v>
      </c>
      <c r="R10" s="27">
        <f>Parameters!$C$68</f>
        <v>2000</v>
      </c>
      <c r="S10" s="27">
        <f>Parameters!$C$68</f>
        <v>2000</v>
      </c>
      <c r="T10" s="27">
        <f>Parameters!$C$68</f>
        <v>2000</v>
      </c>
      <c r="U10" s="27">
        <f>Parameters!$C$68</f>
        <v>2000</v>
      </c>
      <c r="V10" s="27">
        <f>Parameters!$C$68</f>
        <v>2000</v>
      </c>
      <c r="W10" s="27">
        <f>Parameters!$C$68</f>
        <v>2000</v>
      </c>
      <c r="X10" s="27">
        <f>Parameters!$C$68</f>
        <v>2000</v>
      </c>
      <c r="Y10" s="27">
        <f>Parameters!$C$68</f>
        <v>2000</v>
      </c>
      <c r="Z10" s="27">
        <f>Parameters!$C$68</f>
        <v>2000</v>
      </c>
      <c r="AA10" s="27">
        <f>Parameters!$C$68</f>
        <v>2000</v>
      </c>
      <c r="AB10" s="27">
        <f>Parameters!$C$68</f>
        <v>2000</v>
      </c>
      <c r="AC10" s="27">
        <f>Parameters!$C$68</f>
        <v>2000</v>
      </c>
      <c r="AD10" s="27">
        <f>Parameters!$C$68</f>
        <v>2000</v>
      </c>
      <c r="AE10" s="27">
        <f>Parameters!$C$68</f>
        <v>2000</v>
      </c>
      <c r="AF10" s="27">
        <f>Parameters!$C$68</f>
        <v>2000</v>
      </c>
      <c r="AG10" s="27">
        <f>Parameters!$C$68</f>
        <v>2000</v>
      </c>
      <c r="AH10" s="27">
        <f>Parameters!$C$68</f>
        <v>2000</v>
      </c>
      <c r="AI10" s="27">
        <f>Parameters!$C$68</f>
        <v>2000</v>
      </c>
      <c r="AJ10" s="27">
        <f>Parameters!$C$68</f>
        <v>2000</v>
      </c>
      <c r="AK10" s="27">
        <f>Parameters!$C$68</f>
        <v>2000</v>
      </c>
      <c r="AL10" s="27">
        <f>Parameters!$C$68</f>
        <v>2000</v>
      </c>
      <c r="AM10" s="27">
        <f>Parameters!$C$68</f>
        <v>2000</v>
      </c>
      <c r="AN10" s="27">
        <f>Parameters!$C$68</f>
        <v>2000</v>
      </c>
      <c r="AO10" s="27">
        <f>Parameters!$C$68</f>
        <v>2000</v>
      </c>
      <c r="AP10" s="27">
        <f>Parameters!$C$68</f>
        <v>2000</v>
      </c>
      <c r="AQ10" s="27">
        <f>Parameters!$C$68</f>
        <v>2000</v>
      </c>
      <c r="AR10" s="27">
        <f>Parameters!$C$68</f>
        <v>2000</v>
      </c>
      <c r="AS10" s="27">
        <f>Parameters!$C$68</f>
        <v>2000</v>
      </c>
      <c r="AT10" s="27">
        <f>Parameters!$C$68</f>
        <v>2000</v>
      </c>
      <c r="AU10" s="27">
        <f>Parameters!$C$68</f>
        <v>2000</v>
      </c>
      <c r="AV10" s="27">
        <f>Parameters!$C$68</f>
        <v>2000</v>
      </c>
      <c r="AW10" s="27">
        <f>Parameters!$C$68</f>
        <v>2000</v>
      </c>
      <c r="AX10" s="27">
        <f>Parameters!$C$68</f>
        <v>2000</v>
      </c>
      <c r="AY10" s="27">
        <f>Parameters!$C$68</f>
        <v>2000</v>
      </c>
      <c r="AZ10" s="27">
        <f>Parameters!$C$68</f>
        <v>2000</v>
      </c>
      <c r="BA10" s="27">
        <f>Parameters!$C$68</f>
        <v>2000</v>
      </c>
      <c r="BB10" s="27"/>
      <c r="BC10" s="27">
        <f t="shared" ref="BC10:BF10" si="4">SUMPRODUCT((YEAR($F$3:$BA$3)=BC$3)*$F10:$BA10)</f>
        <v>24000</v>
      </c>
      <c r="BD10" s="27">
        <f t="shared" si="4"/>
        <v>24000</v>
      </c>
      <c r="BE10" s="27">
        <f t="shared" si="4"/>
        <v>24000</v>
      </c>
      <c r="BF10" s="27">
        <f t="shared" si="4"/>
        <v>24000</v>
      </c>
    </row>
    <row r="11">
      <c r="A11" s="170"/>
      <c r="B11" s="26" t="s">
        <v>20</v>
      </c>
      <c r="C11" s="170"/>
      <c r="D11" s="170"/>
      <c r="E11" s="26" t="s">
        <v>95</v>
      </c>
      <c r="F11" s="27">
        <f>Parameters!$C$69</f>
        <v>500</v>
      </c>
      <c r="G11" s="27">
        <f>Parameters!$C$69</f>
        <v>500</v>
      </c>
      <c r="H11" s="27">
        <f>Parameters!$C$69</f>
        <v>500</v>
      </c>
      <c r="I11" s="27">
        <f>Parameters!$C$69</f>
        <v>500</v>
      </c>
      <c r="J11" s="27">
        <f>Parameters!$C$69</f>
        <v>500</v>
      </c>
      <c r="K11" s="27">
        <f>Parameters!$C$69</f>
        <v>500</v>
      </c>
      <c r="L11" s="27">
        <f>Parameters!$C$69</f>
        <v>500</v>
      </c>
      <c r="M11" s="27">
        <f>Parameters!$C$69</f>
        <v>500</v>
      </c>
      <c r="N11" s="27">
        <f>Parameters!$C$69</f>
        <v>500</v>
      </c>
      <c r="O11" s="27">
        <f>Parameters!$C$69</f>
        <v>500</v>
      </c>
      <c r="P11" s="27">
        <f>Parameters!$C$69</f>
        <v>500</v>
      </c>
      <c r="Q11" s="27">
        <f>Parameters!$C$69</f>
        <v>500</v>
      </c>
      <c r="R11" s="27">
        <f>Parameters!$C$69</f>
        <v>500</v>
      </c>
      <c r="S11" s="27">
        <f>Parameters!$C$69</f>
        <v>500</v>
      </c>
      <c r="T11" s="27">
        <f>Parameters!$C$69</f>
        <v>500</v>
      </c>
      <c r="U11" s="27">
        <f>Parameters!$C$69</f>
        <v>500</v>
      </c>
      <c r="V11" s="27">
        <f>Parameters!$C$69</f>
        <v>500</v>
      </c>
      <c r="W11" s="27">
        <f>Parameters!$C$69</f>
        <v>500</v>
      </c>
      <c r="X11" s="27">
        <f>Parameters!$C$69</f>
        <v>500</v>
      </c>
      <c r="Y11" s="27">
        <f>Parameters!$C$69</f>
        <v>500</v>
      </c>
      <c r="Z11" s="27">
        <f>Parameters!$C$69</f>
        <v>500</v>
      </c>
      <c r="AA11" s="27">
        <f>Parameters!$C$69</f>
        <v>500</v>
      </c>
      <c r="AB11" s="27">
        <f>Parameters!$C$69</f>
        <v>500</v>
      </c>
      <c r="AC11" s="27">
        <f>Parameters!$C$69</f>
        <v>500</v>
      </c>
      <c r="AD11" s="27">
        <f>Parameters!$C$69</f>
        <v>500</v>
      </c>
      <c r="AE11" s="27">
        <f>Parameters!$C$69</f>
        <v>500</v>
      </c>
      <c r="AF11" s="27">
        <f>Parameters!$C$69</f>
        <v>500</v>
      </c>
      <c r="AG11" s="27">
        <f>Parameters!$C$69</f>
        <v>500</v>
      </c>
      <c r="AH11" s="27">
        <f>Parameters!$C$69</f>
        <v>500</v>
      </c>
      <c r="AI11" s="27">
        <f>Parameters!$C$69</f>
        <v>500</v>
      </c>
      <c r="AJ11" s="27">
        <f>Parameters!$C$69</f>
        <v>500</v>
      </c>
      <c r="AK11" s="27">
        <f>Parameters!$C$69</f>
        <v>500</v>
      </c>
      <c r="AL11" s="27">
        <f>Parameters!$C$69</f>
        <v>500</v>
      </c>
      <c r="AM11" s="27">
        <f>Parameters!$C$69</f>
        <v>500</v>
      </c>
      <c r="AN11" s="27">
        <f>Parameters!$C$69</f>
        <v>500</v>
      </c>
      <c r="AO11" s="27">
        <f>Parameters!$C$69</f>
        <v>500</v>
      </c>
      <c r="AP11" s="27">
        <f>Parameters!$C$69</f>
        <v>500</v>
      </c>
      <c r="AQ11" s="27">
        <f>Parameters!$C$69</f>
        <v>500</v>
      </c>
      <c r="AR11" s="27">
        <f>Parameters!$C$69</f>
        <v>500</v>
      </c>
      <c r="AS11" s="27">
        <f>Parameters!$C$69</f>
        <v>500</v>
      </c>
      <c r="AT11" s="27">
        <f>Parameters!$C$69</f>
        <v>500</v>
      </c>
      <c r="AU11" s="27">
        <f>Parameters!$C$69</f>
        <v>500</v>
      </c>
      <c r="AV11" s="27">
        <f>Parameters!$C$69</f>
        <v>500</v>
      </c>
      <c r="AW11" s="27">
        <f>Parameters!$C$69</f>
        <v>500</v>
      </c>
      <c r="AX11" s="27">
        <f>Parameters!$C$69</f>
        <v>500</v>
      </c>
      <c r="AY11" s="27">
        <f>Parameters!$C$69</f>
        <v>500</v>
      </c>
      <c r="AZ11" s="27">
        <f>Parameters!$C$69</f>
        <v>500</v>
      </c>
      <c r="BA11" s="27">
        <f>Parameters!$C$69</f>
        <v>500</v>
      </c>
      <c r="BB11" s="27"/>
      <c r="BC11" s="27">
        <f t="shared" ref="BC11:BF11" si="5">SUMPRODUCT((YEAR($F$3:$BA$3)=BC$3)*$F11:$BA11)</f>
        <v>6000</v>
      </c>
      <c r="BD11" s="27">
        <f t="shared" si="5"/>
        <v>6000</v>
      </c>
      <c r="BE11" s="27">
        <f t="shared" si="5"/>
        <v>6000</v>
      </c>
      <c r="BF11" s="27">
        <f t="shared" si="5"/>
        <v>6000</v>
      </c>
    </row>
    <row r="12">
      <c r="A12" s="170"/>
      <c r="B12" s="26" t="s">
        <v>135</v>
      </c>
      <c r="C12" s="170"/>
      <c r="D12" s="170"/>
      <c r="E12" s="26" t="s">
        <v>95</v>
      </c>
      <c r="F12" s="27">
        <f>Personnel!F14*Parameters!$C$67</f>
        <v>600</v>
      </c>
      <c r="G12" s="27">
        <f>Personnel!G14*Parameters!$C$67</f>
        <v>700</v>
      </c>
      <c r="H12" s="27">
        <f>Personnel!H14*Parameters!$C$67</f>
        <v>700</v>
      </c>
      <c r="I12" s="27">
        <f>Personnel!I14*Parameters!$C$67</f>
        <v>800</v>
      </c>
      <c r="J12" s="27">
        <f>Personnel!J14*Parameters!$C$67</f>
        <v>800</v>
      </c>
      <c r="K12" s="27">
        <f>Personnel!K14*Parameters!$C$67</f>
        <v>800</v>
      </c>
      <c r="L12" s="27">
        <f>Personnel!L14*Parameters!$C$67</f>
        <v>800</v>
      </c>
      <c r="M12" s="27">
        <f>Personnel!M14*Parameters!$C$67</f>
        <v>800</v>
      </c>
      <c r="N12" s="27">
        <f>Personnel!N14*Parameters!$C$67</f>
        <v>800</v>
      </c>
      <c r="O12" s="27">
        <f>Personnel!O14*Parameters!$C$67</f>
        <v>800</v>
      </c>
      <c r="P12" s="27">
        <f>Personnel!P14*Parameters!$C$67</f>
        <v>800</v>
      </c>
      <c r="Q12" s="27">
        <f>Personnel!Q14*Parameters!$C$67</f>
        <v>800</v>
      </c>
      <c r="R12" s="27">
        <f>Personnel!R14*Parameters!$C$67</f>
        <v>1000</v>
      </c>
      <c r="S12" s="27">
        <f>Personnel!S14*Parameters!$C$67</f>
        <v>1000</v>
      </c>
      <c r="T12" s="27">
        <f>Personnel!T14*Parameters!$C$67</f>
        <v>1100</v>
      </c>
      <c r="U12" s="27">
        <f>Personnel!U14*Parameters!$C$67</f>
        <v>1300</v>
      </c>
      <c r="V12" s="27">
        <f>Personnel!V14*Parameters!$C$67</f>
        <v>1300</v>
      </c>
      <c r="W12" s="27">
        <f>Personnel!W14*Parameters!$C$67</f>
        <v>1300</v>
      </c>
      <c r="X12" s="27">
        <f>Personnel!X14*Parameters!$C$67</f>
        <v>1400</v>
      </c>
      <c r="Y12" s="27">
        <f>Personnel!Y14*Parameters!$C$67</f>
        <v>1400</v>
      </c>
      <c r="Z12" s="27">
        <f>Personnel!Z14*Parameters!$C$67</f>
        <v>1400</v>
      </c>
      <c r="AA12" s="27">
        <f>Personnel!AA14*Parameters!$C$67</f>
        <v>1400</v>
      </c>
      <c r="AB12" s="27">
        <f>Personnel!AB14*Parameters!$C$67</f>
        <v>1400</v>
      </c>
      <c r="AC12" s="27">
        <f>Personnel!AC14*Parameters!$C$67</f>
        <v>1400</v>
      </c>
      <c r="AD12" s="27">
        <f>Personnel!AD14*Parameters!$C$67</f>
        <v>1400</v>
      </c>
      <c r="AE12" s="27">
        <f>Personnel!AE14*Parameters!$C$67</f>
        <v>1500</v>
      </c>
      <c r="AF12" s="27">
        <f>Personnel!AF14*Parameters!$C$67</f>
        <v>1500</v>
      </c>
      <c r="AG12" s="27">
        <f>Personnel!AG14*Parameters!$C$67</f>
        <v>1600</v>
      </c>
      <c r="AH12" s="27">
        <f>Personnel!AH14*Parameters!$C$67</f>
        <v>1600</v>
      </c>
      <c r="AI12" s="27">
        <f>Personnel!AI14*Parameters!$C$67</f>
        <v>1600</v>
      </c>
      <c r="AJ12" s="27">
        <f>Personnel!AJ14*Parameters!$C$67</f>
        <v>1700</v>
      </c>
      <c r="AK12" s="27">
        <f>Personnel!AK14*Parameters!$C$67</f>
        <v>1700</v>
      </c>
      <c r="AL12" s="27">
        <f>Personnel!AL14*Parameters!$C$67</f>
        <v>1700</v>
      </c>
      <c r="AM12" s="27">
        <f>Personnel!AM14*Parameters!$C$67</f>
        <v>1700</v>
      </c>
      <c r="AN12" s="27">
        <f>Personnel!AN14*Parameters!$C$67</f>
        <v>1700</v>
      </c>
      <c r="AO12" s="27">
        <f>Personnel!AO14*Parameters!$C$67</f>
        <v>1700</v>
      </c>
      <c r="AP12" s="27">
        <f>Personnel!AP14*Parameters!$C$67</f>
        <v>1700</v>
      </c>
      <c r="AQ12" s="27">
        <f>Personnel!AQ14*Parameters!$C$67</f>
        <v>1800</v>
      </c>
      <c r="AR12" s="27">
        <f>Personnel!AR14*Parameters!$C$67</f>
        <v>1800</v>
      </c>
      <c r="AS12" s="27">
        <f>Personnel!AS14*Parameters!$C$67</f>
        <v>1900</v>
      </c>
      <c r="AT12" s="27">
        <f>Personnel!AT14*Parameters!$C$67</f>
        <v>1900</v>
      </c>
      <c r="AU12" s="27">
        <f>Personnel!AU14*Parameters!$C$67</f>
        <v>1900</v>
      </c>
      <c r="AV12" s="27">
        <f>Personnel!AV14*Parameters!$C$67</f>
        <v>2000</v>
      </c>
      <c r="AW12" s="27">
        <f>Personnel!AW14*Parameters!$C$67</f>
        <v>2000</v>
      </c>
      <c r="AX12" s="27">
        <f>Personnel!AX14*Parameters!$C$67</f>
        <v>2000</v>
      </c>
      <c r="AY12" s="27">
        <f>Personnel!AY14*Parameters!$C$67</f>
        <v>2000</v>
      </c>
      <c r="AZ12" s="27">
        <f>Personnel!AZ14*Parameters!$C$67</f>
        <v>2000</v>
      </c>
      <c r="BA12" s="27">
        <f>Personnel!BA14*Parameters!$C$67</f>
        <v>2000</v>
      </c>
      <c r="BB12" s="27"/>
      <c r="BC12" s="27">
        <f t="shared" ref="BC12:BF12" si="6">SUMPRODUCT((YEAR($F$3:$BA$3)=BC$3)*$F12:$BA12)</f>
        <v>9200</v>
      </c>
      <c r="BD12" s="27">
        <f t="shared" si="6"/>
        <v>15400</v>
      </c>
      <c r="BE12" s="27">
        <f t="shared" si="6"/>
        <v>19400</v>
      </c>
      <c r="BF12" s="27">
        <f t="shared" si="6"/>
        <v>23000</v>
      </c>
    </row>
    <row r="13">
      <c r="A13" s="170"/>
      <c r="B13" s="26" t="s">
        <v>22</v>
      </c>
      <c r="C13" s="170"/>
      <c r="D13" s="170"/>
      <c r="E13" s="26" t="s">
        <v>95</v>
      </c>
      <c r="F13" s="27">
        <f>Parameters!$C$71</f>
        <v>140</v>
      </c>
      <c r="G13" s="27">
        <f>Parameters!$C$71</f>
        <v>140</v>
      </c>
      <c r="H13" s="27">
        <f>Parameters!$C$71</f>
        <v>140</v>
      </c>
      <c r="I13" s="27">
        <f>Parameters!$C$71</f>
        <v>140</v>
      </c>
      <c r="J13" s="27">
        <f>Parameters!$C$71</f>
        <v>140</v>
      </c>
      <c r="K13" s="27">
        <f>Parameters!$C$71</f>
        <v>140</v>
      </c>
      <c r="L13" s="27">
        <f>Parameters!$C$71</f>
        <v>140</v>
      </c>
      <c r="M13" s="27">
        <f>Parameters!$C$71</f>
        <v>140</v>
      </c>
      <c r="N13" s="27">
        <f>Parameters!$C$71</f>
        <v>140</v>
      </c>
      <c r="O13" s="27">
        <f>Parameters!$C$71</f>
        <v>140</v>
      </c>
      <c r="P13" s="27">
        <f>Parameters!$C$71</f>
        <v>140</v>
      </c>
      <c r="Q13" s="27">
        <f>Parameters!$C$71</f>
        <v>140</v>
      </c>
      <c r="R13" s="27">
        <f>Parameters!$C$71</f>
        <v>140</v>
      </c>
      <c r="S13" s="27">
        <f>Parameters!$C$71</f>
        <v>140</v>
      </c>
      <c r="T13" s="27">
        <f>Parameters!$C$71</f>
        <v>140</v>
      </c>
      <c r="U13" s="27">
        <f>Parameters!$C$71</f>
        <v>140</v>
      </c>
      <c r="V13" s="27">
        <f>Parameters!$C$71</f>
        <v>140</v>
      </c>
      <c r="W13" s="27">
        <f>Parameters!$C$71</f>
        <v>140</v>
      </c>
      <c r="X13" s="27">
        <f>Parameters!$C$71</f>
        <v>140</v>
      </c>
      <c r="Y13" s="27">
        <f>Parameters!$C$71</f>
        <v>140</v>
      </c>
      <c r="Z13" s="27">
        <f>Parameters!$C$71</f>
        <v>140</v>
      </c>
      <c r="AA13" s="27">
        <f>Parameters!$C$71</f>
        <v>140</v>
      </c>
      <c r="AB13" s="27">
        <f>Parameters!$C$71</f>
        <v>140</v>
      </c>
      <c r="AC13" s="27">
        <f>Parameters!$C$71</f>
        <v>140</v>
      </c>
      <c r="AD13" s="27">
        <f>Parameters!$C$71</f>
        <v>140</v>
      </c>
      <c r="AE13" s="27">
        <f>Parameters!$C$71</f>
        <v>140</v>
      </c>
      <c r="AF13" s="27">
        <f>Parameters!$C$71</f>
        <v>140</v>
      </c>
      <c r="AG13" s="27">
        <f>Parameters!$C$71</f>
        <v>140</v>
      </c>
      <c r="AH13" s="27">
        <f>Parameters!$C$71</f>
        <v>140</v>
      </c>
      <c r="AI13" s="27">
        <f>Parameters!$C$71</f>
        <v>140</v>
      </c>
      <c r="AJ13" s="27">
        <f>Parameters!$C$71</f>
        <v>140</v>
      </c>
      <c r="AK13" s="27">
        <f>Parameters!$C$71</f>
        <v>140</v>
      </c>
      <c r="AL13" s="27">
        <f>Parameters!$C$71</f>
        <v>140</v>
      </c>
      <c r="AM13" s="27">
        <f>Parameters!$C$71</f>
        <v>140</v>
      </c>
      <c r="AN13" s="27">
        <f>Parameters!$C$71</f>
        <v>140</v>
      </c>
      <c r="AO13" s="27">
        <f>Parameters!$C$71</f>
        <v>140</v>
      </c>
      <c r="AP13" s="27">
        <f>Parameters!$C$71</f>
        <v>140</v>
      </c>
      <c r="AQ13" s="27">
        <f>Parameters!$C$71</f>
        <v>140</v>
      </c>
      <c r="AR13" s="27">
        <f>Parameters!$C$71</f>
        <v>140</v>
      </c>
      <c r="AS13" s="27">
        <f>Parameters!$C$71</f>
        <v>140</v>
      </c>
      <c r="AT13" s="27">
        <f>Parameters!$C$71</f>
        <v>140</v>
      </c>
      <c r="AU13" s="27">
        <f>Parameters!$C$71</f>
        <v>140</v>
      </c>
      <c r="AV13" s="27">
        <f>Parameters!$C$71</f>
        <v>140</v>
      </c>
      <c r="AW13" s="27">
        <f>Parameters!$C$71</f>
        <v>140</v>
      </c>
      <c r="AX13" s="27">
        <f>Parameters!$C$71</f>
        <v>140</v>
      </c>
      <c r="AY13" s="27">
        <f>Parameters!$C$71</f>
        <v>140</v>
      </c>
      <c r="AZ13" s="27">
        <f>Parameters!$C$71</f>
        <v>140</v>
      </c>
      <c r="BA13" s="27">
        <f>Parameters!$C$71</f>
        <v>140</v>
      </c>
      <c r="BB13" s="27"/>
      <c r="BC13" s="27">
        <f t="shared" ref="BC13:BF13" si="7">SUMPRODUCT((YEAR($F$3:$BA$3)=BC$3)*$F13:$BA13)</f>
        <v>1680</v>
      </c>
      <c r="BD13" s="27">
        <f t="shared" si="7"/>
        <v>1680</v>
      </c>
      <c r="BE13" s="27">
        <f t="shared" si="7"/>
        <v>1680</v>
      </c>
      <c r="BF13" s="27">
        <f t="shared" si="7"/>
        <v>1680</v>
      </c>
    </row>
    <row r="14">
      <c r="A14" s="170"/>
      <c r="B14" s="26" t="s">
        <v>24</v>
      </c>
      <c r="C14" s="170"/>
      <c r="D14" s="170"/>
      <c r="E14" s="26" t="s">
        <v>95</v>
      </c>
      <c r="F14" s="27">
        <f>Parameters!$C$70</f>
        <v>1307</v>
      </c>
      <c r="G14" s="27">
        <f>Parameters!$C$70</f>
        <v>1307</v>
      </c>
      <c r="H14" s="27">
        <f>Parameters!$C$70</f>
        <v>1307</v>
      </c>
      <c r="I14" s="27">
        <f>Parameters!$C$70</f>
        <v>1307</v>
      </c>
      <c r="J14" s="27">
        <f>Parameters!$C$70</f>
        <v>1307</v>
      </c>
      <c r="K14" s="27">
        <f>Parameters!$C$70</f>
        <v>1307</v>
      </c>
      <c r="L14" s="27">
        <f>Parameters!$C$70</f>
        <v>1307</v>
      </c>
      <c r="M14" s="27">
        <f>Parameters!$C$70</f>
        <v>1307</v>
      </c>
      <c r="N14" s="27">
        <f>Parameters!$C$70</f>
        <v>1307</v>
      </c>
      <c r="O14" s="27">
        <f>Parameters!$C$70</f>
        <v>1307</v>
      </c>
      <c r="P14" s="27">
        <f>Parameters!$C$70</f>
        <v>1307</v>
      </c>
      <c r="Q14" s="27">
        <f>Parameters!$C$70</f>
        <v>1307</v>
      </c>
      <c r="R14" s="27">
        <f>Parameters!$C$70</f>
        <v>1307</v>
      </c>
      <c r="S14" s="27">
        <f>Parameters!$C$70</f>
        <v>1307</v>
      </c>
      <c r="T14" s="27">
        <f>Parameters!$C$70</f>
        <v>1307</v>
      </c>
      <c r="U14" s="27">
        <f>Parameters!$C$70</f>
        <v>1307</v>
      </c>
      <c r="V14" s="27">
        <f>Parameters!$C$70</f>
        <v>1307</v>
      </c>
      <c r="W14" s="27">
        <f>Parameters!$C$70</f>
        <v>1307</v>
      </c>
      <c r="X14" s="27">
        <f>Parameters!$C$70</f>
        <v>1307</v>
      </c>
      <c r="Y14" s="27">
        <f>Parameters!$C$70</f>
        <v>1307</v>
      </c>
      <c r="Z14" s="27">
        <f>Parameters!$C$70</f>
        <v>1307</v>
      </c>
      <c r="AA14" s="27">
        <f>Parameters!$C$70</f>
        <v>1307</v>
      </c>
      <c r="AB14" s="27">
        <f>Parameters!$C$70</f>
        <v>1307</v>
      </c>
      <c r="AC14" s="27">
        <f>Parameters!$C$70</f>
        <v>1307</v>
      </c>
      <c r="AD14" s="27">
        <f>Parameters!$C$70</f>
        <v>1307</v>
      </c>
      <c r="AE14" s="27">
        <f>Parameters!$C$70</f>
        <v>1307</v>
      </c>
      <c r="AF14" s="27">
        <f>Parameters!$C$70</f>
        <v>1307</v>
      </c>
      <c r="AG14" s="27">
        <f>Parameters!$C$70</f>
        <v>1307</v>
      </c>
      <c r="AH14" s="27">
        <f>Parameters!$C$70</f>
        <v>1307</v>
      </c>
      <c r="AI14" s="27">
        <f>Parameters!$C$70</f>
        <v>1307</v>
      </c>
      <c r="AJ14" s="27">
        <f>Parameters!$C$70</f>
        <v>1307</v>
      </c>
      <c r="AK14" s="27">
        <f>Parameters!$C$70</f>
        <v>1307</v>
      </c>
      <c r="AL14" s="27">
        <f>Parameters!$C$70</f>
        <v>1307</v>
      </c>
      <c r="AM14" s="27">
        <f>Parameters!$C$70</f>
        <v>1307</v>
      </c>
      <c r="AN14" s="27">
        <f>Parameters!$C$70</f>
        <v>1307</v>
      </c>
      <c r="AO14" s="27">
        <f>Parameters!$C$70</f>
        <v>1307</v>
      </c>
      <c r="AP14" s="27">
        <f>Parameters!$C$70</f>
        <v>1307</v>
      </c>
      <c r="AQ14" s="27">
        <f>Parameters!$C$70</f>
        <v>1307</v>
      </c>
      <c r="AR14" s="27">
        <f>Parameters!$C$70</f>
        <v>1307</v>
      </c>
      <c r="AS14" s="27">
        <f>Parameters!$C$70</f>
        <v>1307</v>
      </c>
      <c r="AT14" s="27">
        <f>Parameters!$C$70</f>
        <v>1307</v>
      </c>
      <c r="AU14" s="27">
        <f>Parameters!$C$70</f>
        <v>1307</v>
      </c>
      <c r="AV14" s="27">
        <f>Parameters!$C$70</f>
        <v>1307</v>
      </c>
      <c r="AW14" s="27">
        <f>Parameters!$C$70</f>
        <v>1307</v>
      </c>
      <c r="AX14" s="27">
        <f>Parameters!$C$70</f>
        <v>1307</v>
      </c>
      <c r="AY14" s="27">
        <f>Parameters!$C$70</f>
        <v>1307</v>
      </c>
      <c r="AZ14" s="27">
        <f>Parameters!$C$70</f>
        <v>1307</v>
      </c>
      <c r="BA14" s="27">
        <f>Parameters!$C$70</f>
        <v>1307</v>
      </c>
      <c r="BB14" s="27"/>
      <c r="BC14" s="27">
        <f t="shared" ref="BC14:BF14" si="8">SUMPRODUCT((YEAR($F$3:$BA$3)=BC$3)*$F14:$BA14)</f>
        <v>15684</v>
      </c>
      <c r="BD14" s="27">
        <f t="shared" si="8"/>
        <v>15684</v>
      </c>
      <c r="BE14" s="27">
        <f t="shared" si="8"/>
        <v>15684</v>
      </c>
      <c r="BF14" s="27">
        <f t="shared" si="8"/>
        <v>15684</v>
      </c>
    </row>
    <row r="15">
      <c r="A15" s="170"/>
      <c r="B15" s="126" t="s">
        <v>23</v>
      </c>
      <c r="C15" s="202"/>
      <c r="D15" s="202"/>
      <c r="E15" s="126" t="s">
        <v>95</v>
      </c>
      <c r="F15" s="40">
        <f t="shared" ref="F15:BA15" si="9">SUM(F7:F14)</f>
        <v>10690.33333</v>
      </c>
      <c r="G15" s="40">
        <f t="shared" si="9"/>
        <v>11550.33333</v>
      </c>
      <c r="H15" s="40">
        <f t="shared" si="9"/>
        <v>11550.33333</v>
      </c>
      <c r="I15" s="40">
        <f t="shared" si="9"/>
        <v>12410.33333</v>
      </c>
      <c r="J15" s="40">
        <f t="shared" si="9"/>
        <v>12410.33333</v>
      </c>
      <c r="K15" s="40">
        <f t="shared" si="9"/>
        <v>12410.33333</v>
      </c>
      <c r="L15" s="40">
        <f t="shared" si="9"/>
        <v>12410.33333</v>
      </c>
      <c r="M15" s="40">
        <f t="shared" si="9"/>
        <v>12410.33333</v>
      </c>
      <c r="N15" s="40">
        <f t="shared" si="9"/>
        <v>12410.33333</v>
      </c>
      <c r="O15" s="40">
        <f t="shared" si="9"/>
        <v>12410.33333</v>
      </c>
      <c r="P15" s="40">
        <f t="shared" si="9"/>
        <v>12410.33333</v>
      </c>
      <c r="Q15" s="40">
        <f t="shared" si="9"/>
        <v>12410.33333</v>
      </c>
      <c r="R15" s="40">
        <f t="shared" si="9"/>
        <v>14130.33333</v>
      </c>
      <c r="S15" s="40">
        <f t="shared" si="9"/>
        <v>14130.33333</v>
      </c>
      <c r="T15" s="40">
        <f t="shared" si="9"/>
        <v>14990.33333</v>
      </c>
      <c r="U15" s="40">
        <f t="shared" si="9"/>
        <v>16710.33333</v>
      </c>
      <c r="V15" s="40">
        <f t="shared" si="9"/>
        <v>16710.33333</v>
      </c>
      <c r="W15" s="40">
        <f t="shared" si="9"/>
        <v>16710.33333</v>
      </c>
      <c r="X15" s="40">
        <f t="shared" si="9"/>
        <v>17570.33333</v>
      </c>
      <c r="Y15" s="40">
        <f t="shared" si="9"/>
        <v>17570.33333</v>
      </c>
      <c r="Z15" s="40">
        <f t="shared" si="9"/>
        <v>17570.33333</v>
      </c>
      <c r="AA15" s="40">
        <f t="shared" si="9"/>
        <v>17570.33333</v>
      </c>
      <c r="AB15" s="40">
        <f t="shared" si="9"/>
        <v>17570.33333</v>
      </c>
      <c r="AC15" s="40">
        <f t="shared" si="9"/>
        <v>17570.33333</v>
      </c>
      <c r="AD15" s="40">
        <f t="shared" si="9"/>
        <v>17570.33333</v>
      </c>
      <c r="AE15" s="40">
        <f t="shared" si="9"/>
        <v>18430.33333</v>
      </c>
      <c r="AF15" s="40">
        <f t="shared" si="9"/>
        <v>18430.33333</v>
      </c>
      <c r="AG15" s="40">
        <f t="shared" si="9"/>
        <v>19290.33333</v>
      </c>
      <c r="AH15" s="40">
        <f t="shared" si="9"/>
        <v>19290.33333</v>
      </c>
      <c r="AI15" s="40">
        <f t="shared" si="9"/>
        <v>19290.33333</v>
      </c>
      <c r="AJ15" s="40">
        <f t="shared" si="9"/>
        <v>20150.33333</v>
      </c>
      <c r="AK15" s="40">
        <f t="shared" si="9"/>
        <v>20150.33333</v>
      </c>
      <c r="AL15" s="40">
        <f t="shared" si="9"/>
        <v>20150.33333</v>
      </c>
      <c r="AM15" s="40">
        <f t="shared" si="9"/>
        <v>20150.33333</v>
      </c>
      <c r="AN15" s="40">
        <f t="shared" si="9"/>
        <v>20150.33333</v>
      </c>
      <c r="AO15" s="40">
        <f t="shared" si="9"/>
        <v>20150.33333</v>
      </c>
      <c r="AP15" s="40">
        <f t="shared" si="9"/>
        <v>20150.33333</v>
      </c>
      <c r="AQ15" s="40">
        <f t="shared" si="9"/>
        <v>21010.33333</v>
      </c>
      <c r="AR15" s="40">
        <f t="shared" si="9"/>
        <v>21010.33333</v>
      </c>
      <c r="AS15" s="40">
        <f t="shared" si="9"/>
        <v>21870.33333</v>
      </c>
      <c r="AT15" s="40">
        <f t="shared" si="9"/>
        <v>21870.33333</v>
      </c>
      <c r="AU15" s="40">
        <f t="shared" si="9"/>
        <v>21870.33333</v>
      </c>
      <c r="AV15" s="40">
        <f t="shared" si="9"/>
        <v>22730.33333</v>
      </c>
      <c r="AW15" s="40">
        <f t="shared" si="9"/>
        <v>22730.33333</v>
      </c>
      <c r="AX15" s="40">
        <f t="shared" si="9"/>
        <v>22730.33333</v>
      </c>
      <c r="AY15" s="40">
        <f t="shared" si="9"/>
        <v>22730.33333</v>
      </c>
      <c r="AZ15" s="40">
        <f t="shared" si="9"/>
        <v>22730.33333</v>
      </c>
      <c r="BA15" s="40">
        <f t="shared" si="9"/>
        <v>22730.33333</v>
      </c>
      <c r="BB15" s="40"/>
      <c r="BC15" s="40">
        <f t="shared" ref="BC15:BF15" si="10">SUMPRODUCT((YEAR($F$3:$BA$3)=BC$3)*$F15:$BA15)</f>
        <v>145484</v>
      </c>
      <c r="BD15" s="40">
        <f t="shared" si="10"/>
        <v>198804</v>
      </c>
      <c r="BE15" s="40">
        <f t="shared" si="10"/>
        <v>233204</v>
      </c>
      <c r="BF15" s="40">
        <f t="shared" si="10"/>
        <v>264164</v>
      </c>
    </row>
    <row r="16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</row>
    <row r="17">
      <c r="A17" s="170"/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</row>
    <row r="18">
      <c r="A18" s="170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</row>
    <row r="19">
      <c r="A19" s="170"/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</row>
    <row r="20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70"/>
    </row>
    <row r="21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70"/>
    </row>
    <row r="22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70"/>
    </row>
    <row r="23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70"/>
    </row>
    <row r="24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</row>
    <row r="25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0"/>
      <c r="BB25" s="170"/>
      <c r="BC25" s="170"/>
      <c r="BD25" s="170"/>
      <c r="BE25" s="170"/>
      <c r="BF25" s="170"/>
    </row>
    <row r="26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</row>
    <row r="27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</row>
    <row r="28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70"/>
    </row>
    <row r="29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70"/>
    </row>
    <row r="30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70"/>
    </row>
    <row r="3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170"/>
      <c r="BB31" s="170"/>
      <c r="BC31" s="170"/>
      <c r="BD31" s="170"/>
      <c r="BE31" s="170"/>
      <c r="BF31" s="170"/>
    </row>
    <row r="32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170"/>
      <c r="BB32" s="170"/>
      <c r="BC32" s="170"/>
      <c r="BD32" s="170"/>
      <c r="BE32" s="170"/>
      <c r="BF32" s="170"/>
    </row>
    <row r="33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70"/>
      <c r="BA33" s="170"/>
      <c r="BB33" s="170"/>
      <c r="BC33" s="170"/>
      <c r="BD33" s="170"/>
      <c r="BE33" s="170"/>
      <c r="BF33" s="170"/>
    </row>
    <row r="34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70"/>
    </row>
    <row r="35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0"/>
      <c r="AX35" s="170"/>
      <c r="AY35" s="170"/>
      <c r="AZ35" s="170"/>
      <c r="BA35" s="170"/>
      <c r="BB35" s="170"/>
      <c r="BC35" s="170"/>
      <c r="BD35" s="170"/>
      <c r="BE35" s="170"/>
      <c r="BF35" s="170"/>
    </row>
    <row r="36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70"/>
    </row>
    <row r="37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70"/>
    </row>
    <row r="38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</row>
    <row r="39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</row>
    <row r="40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70"/>
      <c r="AU40" s="170"/>
      <c r="AV40" s="170"/>
      <c r="AW40" s="170"/>
      <c r="AX40" s="170"/>
      <c r="AY40" s="170"/>
      <c r="AZ40" s="170"/>
      <c r="BA40" s="170"/>
      <c r="BB40" s="170"/>
      <c r="BC40" s="170"/>
      <c r="BD40" s="170"/>
      <c r="BE40" s="170"/>
      <c r="BF40" s="170"/>
    </row>
    <row r="4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70"/>
    </row>
    <row r="42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</row>
    <row r="43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70"/>
    </row>
    <row r="44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</row>
    <row r="4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70"/>
    </row>
    <row r="46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</row>
    <row r="47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  <c r="BF47" s="170"/>
    </row>
    <row r="48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70"/>
    </row>
    <row r="49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70"/>
    </row>
    <row r="50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70"/>
    </row>
    <row r="5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70"/>
    </row>
    <row r="52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0"/>
      <c r="BA52" s="170"/>
      <c r="BB52" s="170"/>
      <c r="BC52" s="170"/>
      <c r="BD52" s="170"/>
      <c r="BE52" s="170"/>
      <c r="BF52" s="170"/>
    </row>
    <row r="53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0"/>
      <c r="BA53" s="170"/>
      <c r="BB53" s="170"/>
      <c r="BC53" s="170"/>
      <c r="BD53" s="170"/>
      <c r="BE53" s="170"/>
      <c r="BF53" s="170"/>
    </row>
    <row r="54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0"/>
      <c r="BA54" s="170"/>
      <c r="BB54" s="170"/>
      <c r="BC54" s="170"/>
      <c r="BD54" s="170"/>
      <c r="BE54" s="170"/>
      <c r="BF54" s="170"/>
    </row>
    <row r="5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70"/>
    </row>
    <row r="56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70"/>
    </row>
    <row r="57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70"/>
    </row>
    <row r="58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</row>
    <row r="59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0"/>
      <c r="BA59" s="170"/>
      <c r="BB59" s="170"/>
      <c r="BC59" s="170"/>
      <c r="BD59" s="170"/>
      <c r="BE59" s="170"/>
      <c r="BF59" s="170"/>
    </row>
    <row r="60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170"/>
      <c r="AY60" s="170"/>
      <c r="AZ60" s="170"/>
      <c r="BA60" s="170"/>
      <c r="BB60" s="170"/>
      <c r="BC60" s="170"/>
      <c r="BD60" s="170"/>
      <c r="BE60" s="170"/>
      <c r="BF60" s="170"/>
    </row>
  </sheetData>
  <drawing r:id="rId1"/>
</worksheet>
</file>